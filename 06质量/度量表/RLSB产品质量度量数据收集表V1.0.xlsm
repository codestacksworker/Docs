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冰岛咖啡\Documents\工作\深醒\201706\"/>
    </mc:Choice>
  </mc:AlternateContent>
  <bookViews>
    <workbookView xWindow="13896" yWindow="-60" windowWidth="14640" windowHeight="11940" tabRatio="860" activeTab="3"/>
  </bookViews>
  <sheets>
    <sheet name="图表概览" sheetId="57" r:id="rId1"/>
    <sheet name="产品KPI" sheetId="5" r:id="rId2"/>
    <sheet name="度量指标" sheetId="42" r:id="rId3"/>
    <sheet name="基础度量项" sheetId="7" r:id="rId4"/>
    <sheet name="检查单明细" sheetId="38" r:id="rId5"/>
    <sheet name="缺陷明细" sheetId="13" r:id="rId6"/>
    <sheet name="需求明细_迭代1" sheetId="18" r:id="rId7"/>
    <sheet name="需求明细_迭代2" sheetId="43" r:id="rId8"/>
    <sheet name="需求明细_迭代3" sheetId="44" r:id="rId9"/>
    <sheet name="需求明细_迭代4" sheetId="45" r:id="rId10"/>
    <sheet name="需求明细_迭代5" sheetId="46" r:id="rId11"/>
    <sheet name="需求明细_迭代6" sheetId="47" r:id="rId12"/>
    <sheet name="需求明细_迭代7" sheetId="54" r:id="rId13"/>
    <sheet name="需求明细_迭代8" sheetId="55" r:id="rId14"/>
    <sheet name="需求明细_迭代9" sheetId="56" r:id="rId15"/>
    <sheet name="使用说明" sheetId="37" r:id="rId16"/>
  </sheets>
  <externalReferences>
    <externalReference r:id="rId17"/>
  </externalReferences>
  <definedNames>
    <definedName name="_xlnm._FilterDatabase" localSheetId="5" hidden="1">缺陷明细!$A$1:$AK$185</definedName>
    <definedName name="_xlnm._FilterDatabase" localSheetId="7" hidden="1">需求明细_迭代2!$A$1:$AK$123</definedName>
  </definedNames>
  <calcPr calcId="171027"/>
</workbook>
</file>

<file path=xl/calcChain.xml><?xml version="1.0" encoding="utf-8"?>
<calcChain xmlns="http://schemas.openxmlformats.org/spreadsheetml/2006/main">
  <c r="S122" i="43" l="1"/>
  <c r="S5" i="43"/>
  <c r="K6" i="5" l="1"/>
  <c r="K7" i="5"/>
  <c r="K8" i="5"/>
  <c r="K9" i="5"/>
  <c r="K10" i="5"/>
  <c r="K11" i="5"/>
  <c r="K12" i="5"/>
  <c r="K13" i="5"/>
  <c r="K5" i="5"/>
  <c r="R5" i="43" l="1"/>
  <c r="R6" i="43"/>
  <c r="R7" i="43"/>
  <c r="R8" i="43"/>
  <c r="R9" i="43"/>
  <c r="R10" i="43"/>
  <c r="R11" i="43"/>
  <c r="R12" i="43"/>
  <c r="R13" i="43"/>
  <c r="R14" i="43"/>
  <c r="R15" i="43"/>
  <c r="R16" i="43"/>
  <c r="R17" i="43"/>
  <c r="R18" i="43"/>
  <c r="R19" i="43"/>
  <c r="R20" i="43"/>
  <c r="R21" i="43"/>
  <c r="R22" i="43"/>
  <c r="R23" i="43"/>
  <c r="R24" i="43"/>
  <c r="R25" i="43"/>
  <c r="R26" i="43"/>
  <c r="R27" i="43"/>
  <c r="R28" i="43"/>
  <c r="R29" i="43"/>
  <c r="R30" i="43"/>
  <c r="R31" i="43"/>
  <c r="R32" i="43"/>
  <c r="R33" i="43"/>
  <c r="R34" i="43"/>
  <c r="R35" i="43"/>
  <c r="R36" i="43"/>
  <c r="R37" i="43"/>
  <c r="R38" i="43"/>
  <c r="R39" i="43"/>
  <c r="R40" i="43"/>
  <c r="R41" i="43"/>
  <c r="R42" i="43"/>
  <c r="R43" i="43"/>
  <c r="R44" i="43"/>
  <c r="R45" i="43"/>
  <c r="R46" i="43"/>
  <c r="R47" i="43"/>
  <c r="R48" i="43"/>
  <c r="R49" i="43"/>
  <c r="R50" i="43"/>
  <c r="R51" i="43"/>
  <c r="R52" i="43"/>
  <c r="R53" i="43"/>
  <c r="R54" i="43"/>
  <c r="R55" i="43"/>
  <c r="R56" i="43"/>
  <c r="R57" i="43"/>
  <c r="R58" i="43"/>
  <c r="R59" i="43"/>
  <c r="R60" i="43"/>
  <c r="R61" i="43"/>
  <c r="R62" i="43"/>
  <c r="R63" i="43"/>
  <c r="R64" i="43"/>
  <c r="R65" i="43"/>
  <c r="R66" i="43"/>
  <c r="R67" i="43"/>
  <c r="R68" i="43"/>
  <c r="R69" i="43"/>
  <c r="R70" i="43"/>
  <c r="R71" i="43"/>
  <c r="R72" i="43"/>
  <c r="R73" i="43"/>
  <c r="R74" i="43"/>
  <c r="R75" i="43"/>
  <c r="R76" i="43"/>
  <c r="R77" i="43"/>
  <c r="R78" i="43"/>
  <c r="R79" i="43"/>
  <c r="R80" i="43"/>
  <c r="R81" i="43"/>
  <c r="R82" i="43"/>
  <c r="R83" i="43"/>
  <c r="R84" i="43"/>
  <c r="R85" i="43"/>
  <c r="R86" i="43"/>
  <c r="R87" i="43"/>
  <c r="R88" i="43"/>
  <c r="R89" i="43"/>
  <c r="R90" i="43"/>
  <c r="R91" i="43"/>
  <c r="R92" i="43"/>
  <c r="R93" i="43"/>
  <c r="R94" i="43"/>
  <c r="R95" i="43"/>
  <c r="R96" i="43"/>
  <c r="R97" i="43"/>
  <c r="R98" i="43"/>
  <c r="R99" i="43"/>
  <c r="R100" i="43"/>
  <c r="R101" i="43"/>
  <c r="R102" i="43"/>
  <c r="R103" i="43"/>
  <c r="R104" i="43"/>
  <c r="R105" i="43"/>
  <c r="R106" i="43"/>
  <c r="R107" i="43"/>
  <c r="R108" i="43"/>
  <c r="R109" i="43"/>
  <c r="R110" i="43"/>
  <c r="R111" i="43"/>
  <c r="R112" i="43"/>
  <c r="R113" i="43"/>
  <c r="R114" i="43"/>
  <c r="R115" i="43"/>
  <c r="R116" i="43"/>
  <c r="R117" i="43"/>
  <c r="R118" i="43"/>
  <c r="R119" i="43"/>
  <c r="R120" i="43"/>
  <c r="R121" i="43"/>
  <c r="R122" i="43"/>
  <c r="P122" i="43"/>
  <c r="H5" i="43"/>
  <c r="J5" i="43"/>
  <c r="N5" i="43"/>
  <c r="P5" i="43"/>
  <c r="U5" i="43"/>
  <c r="W5" i="43"/>
  <c r="AA5" i="43"/>
  <c r="Y5" i="43"/>
  <c r="H6" i="43"/>
  <c r="I6" i="43"/>
  <c r="J6" i="43"/>
  <c r="K6" i="43"/>
  <c r="N6" i="43"/>
  <c r="O6" i="43"/>
  <c r="P6" i="43"/>
  <c r="Q6" i="43"/>
  <c r="S6" i="43"/>
  <c r="T6" i="43"/>
  <c r="U6" i="43"/>
  <c r="V6" i="43"/>
  <c r="W6" i="43"/>
  <c r="X6" i="43"/>
  <c r="Y6" i="43"/>
  <c r="Z6" i="43"/>
  <c r="AA6" i="43"/>
  <c r="AB6" i="43"/>
  <c r="H7" i="43"/>
  <c r="I7" i="43"/>
  <c r="J7" i="43"/>
  <c r="K7" i="43"/>
  <c r="N7" i="43"/>
  <c r="O7" i="43"/>
  <c r="P7" i="43"/>
  <c r="Q7" i="43"/>
  <c r="S7" i="43"/>
  <c r="T7" i="43"/>
  <c r="U7" i="43"/>
  <c r="V7" i="43"/>
  <c r="W7" i="43"/>
  <c r="X7" i="43"/>
  <c r="Y7" i="43"/>
  <c r="Z7" i="43"/>
  <c r="AA7" i="43"/>
  <c r="AB7" i="43"/>
  <c r="H8" i="43"/>
  <c r="I8" i="43"/>
  <c r="J8" i="43"/>
  <c r="K8" i="43"/>
  <c r="N8" i="43"/>
  <c r="O8" i="43"/>
  <c r="P8" i="43"/>
  <c r="Q8" i="43"/>
  <c r="S8" i="43"/>
  <c r="T8" i="43"/>
  <c r="U8" i="43"/>
  <c r="V8" i="43"/>
  <c r="W8" i="43"/>
  <c r="X8" i="43"/>
  <c r="Y8" i="43"/>
  <c r="Z8" i="43"/>
  <c r="AA8" i="43"/>
  <c r="AB8" i="43"/>
  <c r="H9" i="43"/>
  <c r="I9" i="43"/>
  <c r="J9" i="43"/>
  <c r="K9" i="43"/>
  <c r="N9" i="43"/>
  <c r="O9" i="43"/>
  <c r="P9" i="43"/>
  <c r="Q9" i="43"/>
  <c r="S9" i="43"/>
  <c r="T9" i="43"/>
  <c r="U9" i="43"/>
  <c r="V9" i="43"/>
  <c r="W9" i="43"/>
  <c r="X9" i="43"/>
  <c r="Y9" i="43"/>
  <c r="Z9" i="43"/>
  <c r="AA9" i="43"/>
  <c r="AB9" i="43"/>
  <c r="H10" i="43"/>
  <c r="I10" i="43"/>
  <c r="J10" i="43"/>
  <c r="K10" i="43"/>
  <c r="N10" i="43"/>
  <c r="O10" i="43"/>
  <c r="P10" i="43"/>
  <c r="Q10" i="43"/>
  <c r="S10" i="43"/>
  <c r="T10" i="43"/>
  <c r="U10" i="43"/>
  <c r="V10" i="43"/>
  <c r="W10" i="43"/>
  <c r="X10" i="43"/>
  <c r="Y10" i="43"/>
  <c r="Z10" i="43"/>
  <c r="AA10" i="43"/>
  <c r="AB10" i="43"/>
  <c r="H11" i="43"/>
  <c r="I11" i="43"/>
  <c r="J11" i="43"/>
  <c r="K11" i="43"/>
  <c r="N11" i="43"/>
  <c r="O11" i="43"/>
  <c r="P11" i="43"/>
  <c r="Q11" i="43"/>
  <c r="S11" i="43"/>
  <c r="T11" i="43"/>
  <c r="U11" i="43"/>
  <c r="V11" i="43"/>
  <c r="W11" i="43"/>
  <c r="X11" i="43"/>
  <c r="Y11" i="43"/>
  <c r="Z11" i="43"/>
  <c r="AA11" i="43"/>
  <c r="AB11" i="43"/>
  <c r="H12" i="43"/>
  <c r="I12" i="43"/>
  <c r="J12" i="43"/>
  <c r="K12" i="43"/>
  <c r="N12" i="43"/>
  <c r="O12" i="43"/>
  <c r="P12" i="43"/>
  <c r="Q12" i="43"/>
  <c r="S12" i="43"/>
  <c r="T12" i="43"/>
  <c r="U12" i="43"/>
  <c r="V12" i="43"/>
  <c r="W12" i="43"/>
  <c r="X12" i="43"/>
  <c r="Y12" i="43"/>
  <c r="Z12" i="43"/>
  <c r="AA12" i="43"/>
  <c r="AB12" i="43"/>
  <c r="H13" i="43"/>
  <c r="I13" i="43"/>
  <c r="J13" i="43"/>
  <c r="K13" i="43"/>
  <c r="N13" i="43"/>
  <c r="O13" i="43"/>
  <c r="P13" i="43"/>
  <c r="Q13" i="43"/>
  <c r="S13" i="43"/>
  <c r="T13" i="43"/>
  <c r="U13" i="43"/>
  <c r="V13" i="43"/>
  <c r="W13" i="43"/>
  <c r="X13" i="43"/>
  <c r="Y13" i="43"/>
  <c r="Z13" i="43"/>
  <c r="AA13" i="43"/>
  <c r="AB13" i="43"/>
  <c r="H14" i="43"/>
  <c r="I14" i="43"/>
  <c r="J14" i="43"/>
  <c r="K14" i="43"/>
  <c r="N14" i="43"/>
  <c r="O14" i="43"/>
  <c r="P14" i="43"/>
  <c r="Q14" i="43"/>
  <c r="S14" i="43"/>
  <c r="T14" i="43"/>
  <c r="U14" i="43"/>
  <c r="V14" i="43"/>
  <c r="W14" i="43"/>
  <c r="X14" i="43"/>
  <c r="Y14" i="43"/>
  <c r="Z14" i="43"/>
  <c r="AA14" i="43"/>
  <c r="AB14" i="43"/>
  <c r="H15" i="43"/>
  <c r="I15" i="43"/>
  <c r="J15" i="43"/>
  <c r="K15" i="43"/>
  <c r="N15" i="43"/>
  <c r="O15" i="43"/>
  <c r="P15" i="43"/>
  <c r="Q15" i="43"/>
  <c r="S15" i="43"/>
  <c r="T15" i="43"/>
  <c r="U15" i="43"/>
  <c r="V15" i="43"/>
  <c r="W15" i="43"/>
  <c r="X15" i="43"/>
  <c r="Y15" i="43"/>
  <c r="Z15" i="43"/>
  <c r="AA15" i="43"/>
  <c r="AB15" i="43"/>
  <c r="H16" i="43"/>
  <c r="I16" i="43"/>
  <c r="J16" i="43"/>
  <c r="K16" i="43"/>
  <c r="N16" i="43"/>
  <c r="O16" i="43"/>
  <c r="P16" i="43"/>
  <c r="Q16" i="43"/>
  <c r="S16" i="43"/>
  <c r="T16" i="43"/>
  <c r="U16" i="43"/>
  <c r="V16" i="43"/>
  <c r="W16" i="43"/>
  <c r="X16" i="43"/>
  <c r="Y16" i="43"/>
  <c r="Z16" i="43"/>
  <c r="AA16" i="43"/>
  <c r="AB16" i="43"/>
  <c r="H17" i="43"/>
  <c r="I17" i="43"/>
  <c r="J17" i="43"/>
  <c r="K17" i="43"/>
  <c r="N17" i="43"/>
  <c r="O17" i="43"/>
  <c r="P17" i="43"/>
  <c r="Q17" i="43"/>
  <c r="S17" i="43"/>
  <c r="T17" i="43"/>
  <c r="U17" i="43"/>
  <c r="V17" i="43"/>
  <c r="W17" i="43"/>
  <c r="X17" i="43"/>
  <c r="Y17" i="43"/>
  <c r="Z17" i="43"/>
  <c r="AA17" i="43"/>
  <c r="AB17" i="43"/>
  <c r="H18" i="43"/>
  <c r="I18" i="43"/>
  <c r="J18" i="43"/>
  <c r="K18" i="43"/>
  <c r="N18" i="43"/>
  <c r="O18" i="43"/>
  <c r="P18" i="43"/>
  <c r="Q18" i="43"/>
  <c r="S18" i="43"/>
  <c r="T18" i="43"/>
  <c r="U18" i="43"/>
  <c r="V18" i="43"/>
  <c r="W18" i="43"/>
  <c r="X18" i="43"/>
  <c r="Y18" i="43"/>
  <c r="Z18" i="43"/>
  <c r="AA18" i="43"/>
  <c r="AB18" i="43"/>
  <c r="H19" i="43"/>
  <c r="I19" i="43"/>
  <c r="J19" i="43"/>
  <c r="K19" i="43"/>
  <c r="N19" i="43"/>
  <c r="O19" i="43"/>
  <c r="P19" i="43"/>
  <c r="Q19" i="43"/>
  <c r="S19" i="43"/>
  <c r="T19" i="43"/>
  <c r="U19" i="43"/>
  <c r="V19" i="43"/>
  <c r="W19" i="43"/>
  <c r="X19" i="43"/>
  <c r="Y19" i="43"/>
  <c r="Z19" i="43"/>
  <c r="AA19" i="43"/>
  <c r="AB19" i="43"/>
  <c r="H20" i="43"/>
  <c r="I20" i="43"/>
  <c r="J20" i="43"/>
  <c r="K20" i="43"/>
  <c r="N20" i="43"/>
  <c r="O20" i="43"/>
  <c r="P20" i="43"/>
  <c r="Q20" i="43"/>
  <c r="S20" i="43"/>
  <c r="T20" i="43"/>
  <c r="U20" i="43"/>
  <c r="V20" i="43"/>
  <c r="W20" i="43"/>
  <c r="X20" i="43"/>
  <c r="Y20" i="43"/>
  <c r="Z20" i="43"/>
  <c r="AA20" i="43"/>
  <c r="AB20" i="43"/>
  <c r="H21" i="43"/>
  <c r="I21" i="43"/>
  <c r="J21" i="43"/>
  <c r="K21" i="43"/>
  <c r="N21" i="43"/>
  <c r="O21" i="43"/>
  <c r="P21" i="43"/>
  <c r="Q21" i="43"/>
  <c r="S21" i="43"/>
  <c r="T21" i="43"/>
  <c r="U21" i="43"/>
  <c r="V21" i="43"/>
  <c r="W21" i="43"/>
  <c r="X21" i="43"/>
  <c r="Y21" i="43"/>
  <c r="Z21" i="43"/>
  <c r="AA21" i="43"/>
  <c r="AB21" i="43"/>
  <c r="H22" i="43"/>
  <c r="I22" i="43"/>
  <c r="J22" i="43"/>
  <c r="K22" i="43"/>
  <c r="N22" i="43"/>
  <c r="O22" i="43"/>
  <c r="P22" i="43"/>
  <c r="Q22" i="43"/>
  <c r="S22" i="43"/>
  <c r="T22" i="43"/>
  <c r="U22" i="43"/>
  <c r="V22" i="43"/>
  <c r="W22" i="43"/>
  <c r="X22" i="43"/>
  <c r="Y22" i="43"/>
  <c r="Z22" i="43"/>
  <c r="AA22" i="43"/>
  <c r="AB22" i="43"/>
  <c r="H23" i="43"/>
  <c r="I23" i="43"/>
  <c r="J23" i="43"/>
  <c r="K23" i="43"/>
  <c r="N23" i="43"/>
  <c r="O23" i="43"/>
  <c r="P23" i="43"/>
  <c r="Q23" i="43"/>
  <c r="S23" i="43"/>
  <c r="T23" i="43"/>
  <c r="U23" i="43"/>
  <c r="V23" i="43"/>
  <c r="W23" i="43"/>
  <c r="X23" i="43"/>
  <c r="Y23" i="43"/>
  <c r="Z23" i="43"/>
  <c r="AA23" i="43"/>
  <c r="AB23" i="43"/>
  <c r="H24" i="43"/>
  <c r="I24" i="43"/>
  <c r="J24" i="43"/>
  <c r="K24" i="43"/>
  <c r="N24" i="43"/>
  <c r="O24" i="43"/>
  <c r="P24" i="43"/>
  <c r="Q24" i="43"/>
  <c r="S24" i="43"/>
  <c r="T24" i="43"/>
  <c r="U24" i="43"/>
  <c r="V24" i="43"/>
  <c r="W24" i="43"/>
  <c r="X24" i="43"/>
  <c r="Y24" i="43"/>
  <c r="Z24" i="43"/>
  <c r="AA24" i="43"/>
  <c r="AB24" i="43"/>
  <c r="H25" i="43"/>
  <c r="I25" i="43"/>
  <c r="J25" i="43"/>
  <c r="K25" i="43"/>
  <c r="N25" i="43"/>
  <c r="O25" i="43"/>
  <c r="P25" i="43"/>
  <c r="Q25" i="43"/>
  <c r="S25" i="43"/>
  <c r="T25" i="43"/>
  <c r="U25" i="43"/>
  <c r="V25" i="43"/>
  <c r="W25" i="43"/>
  <c r="X25" i="43"/>
  <c r="Y25" i="43"/>
  <c r="Z25" i="43"/>
  <c r="AA25" i="43"/>
  <c r="AB25" i="43"/>
  <c r="H26" i="43"/>
  <c r="I26" i="43"/>
  <c r="J26" i="43"/>
  <c r="K26" i="43"/>
  <c r="N26" i="43"/>
  <c r="O26" i="43"/>
  <c r="P26" i="43"/>
  <c r="Q26" i="43"/>
  <c r="S26" i="43"/>
  <c r="T26" i="43"/>
  <c r="U26" i="43"/>
  <c r="V26" i="43"/>
  <c r="W26" i="43"/>
  <c r="X26" i="43"/>
  <c r="Y26" i="43"/>
  <c r="Z26" i="43"/>
  <c r="AA26" i="43"/>
  <c r="AB26" i="43"/>
  <c r="H27" i="43"/>
  <c r="I27" i="43"/>
  <c r="J27" i="43"/>
  <c r="K27" i="43"/>
  <c r="N27" i="43"/>
  <c r="O27" i="43"/>
  <c r="P27" i="43"/>
  <c r="Q27" i="43"/>
  <c r="S27" i="43"/>
  <c r="T27" i="43"/>
  <c r="U27" i="43"/>
  <c r="V27" i="43"/>
  <c r="W27" i="43"/>
  <c r="X27" i="43"/>
  <c r="Y27" i="43"/>
  <c r="Z27" i="43"/>
  <c r="AA27" i="43"/>
  <c r="AB27" i="43"/>
  <c r="H28" i="43"/>
  <c r="I28" i="43"/>
  <c r="J28" i="43"/>
  <c r="K28" i="43"/>
  <c r="N28" i="43"/>
  <c r="O28" i="43"/>
  <c r="P28" i="43"/>
  <c r="Q28" i="43"/>
  <c r="S28" i="43"/>
  <c r="T28" i="43"/>
  <c r="U28" i="43"/>
  <c r="V28" i="43"/>
  <c r="W28" i="43"/>
  <c r="X28" i="43"/>
  <c r="Y28" i="43"/>
  <c r="Z28" i="43"/>
  <c r="AA28" i="43"/>
  <c r="AB28" i="43"/>
  <c r="H29" i="43"/>
  <c r="I29" i="43"/>
  <c r="J29" i="43"/>
  <c r="K29" i="43"/>
  <c r="N29" i="43"/>
  <c r="O29" i="43"/>
  <c r="P29" i="43"/>
  <c r="Q29" i="43"/>
  <c r="S29" i="43"/>
  <c r="T29" i="43"/>
  <c r="U29" i="43"/>
  <c r="V29" i="43"/>
  <c r="W29" i="43"/>
  <c r="X29" i="43"/>
  <c r="Y29" i="43"/>
  <c r="Z29" i="43"/>
  <c r="AA29" i="43"/>
  <c r="AB29" i="43"/>
  <c r="H30" i="43"/>
  <c r="I30" i="43"/>
  <c r="J30" i="43"/>
  <c r="K30" i="43"/>
  <c r="N30" i="43"/>
  <c r="O30" i="43"/>
  <c r="P30" i="43"/>
  <c r="Q30" i="43"/>
  <c r="S30" i="43"/>
  <c r="T30" i="43"/>
  <c r="U30" i="43"/>
  <c r="V30" i="43"/>
  <c r="W30" i="43"/>
  <c r="X30" i="43"/>
  <c r="Y30" i="43"/>
  <c r="Z30" i="43"/>
  <c r="AA30" i="43"/>
  <c r="AB30" i="43"/>
  <c r="H31" i="43"/>
  <c r="I31" i="43"/>
  <c r="J31" i="43"/>
  <c r="K31" i="43"/>
  <c r="N31" i="43"/>
  <c r="O31" i="43"/>
  <c r="P31" i="43"/>
  <c r="Q31" i="43"/>
  <c r="S31" i="43"/>
  <c r="T31" i="43"/>
  <c r="U31" i="43"/>
  <c r="V31" i="43"/>
  <c r="W31" i="43"/>
  <c r="X31" i="43"/>
  <c r="Y31" i="43"/>
  <c r="Z31" i="43"/>
  <c r="AA31" i="43"/>
  <c r="AB31" i="43"/>
  <c r="H32" i="43"/>
  <c r="I32" i="43"/>
  <c r="J32" i="43"/>
  <c r="K32" i="43"/>
  <c r="N32" i="43"/>
  <c r="O32" i="43"/>
  <c r="P32" i="43"/>
  <c r="Q32" i="43"/>
  <c r="S32" i="43"/>
  <c r="T32" i="43"/>
  <c r="U32" i="43"/>
  <c r="V32" i="43"/>
  <c r="W32" i="43"/>
  <c r="X32" i="43"/>
  <c r="Y32" i="43"/>
  <c r="Z32" i="43"/>
  <c r="AA32" i="43"/>
  <c r="AB32" i="43"/>
  <c r="H33" i="43"/>
  <c r="I33" i="43"/>
  <c r="J33" i="43"/>
  <c r="K33" i="43"/>
  <c r="N33" i="43"/>
  <c r="O33" i="43"/>
  <c r="P33" i="43"/>
  <c r="Q33" i="43"/>
  <c r="S33" i="43"/>
  <c r="T33" i="43"/>
  <c r="U33" i="43"/>
  <c r="V33" i="43"/>
  <c r="W33" i="43"/>
  <c r="X33" i="43"/>
  <c r="Y33" i="43"/>
  <c r="Z33" i="43"/>
  <c r="AA33" i="43"/>
  <c r="AB33" i="43"/>
  <c r="H34" i="43"/>
  <c r="I34" i="43"/>
  <c r="J34" i="43"/>
  <c r="K34" i="43"/>
  <c r="N34" i="43"/>
  <c r="O34" i="43"/>
  <c r="P34" i="43"/>
  <c r="Q34" i="43"/>
  <c r="S34" i="43"/>
  <c r="T34" i="43"/>
  <c r="U34" i="43"/>
  <c r="V34" i="43"/>
  <c r="W34" i="43"/>
  <c r="X34" i="43"/>
  <c r="Y34" i="43"/>
  <c r="Z34" i="43"/>
  <c r="AA34" i="43"/>
  <c r="AB34" i="43"/>
  <c r="H35" i="43"/>
  <c r="I35" i="43"/>
  <c r="J35" i="43"/>
  <c r="K35" i="43"/>
  <c r="N35" i="43"/>
  <c r="O35" i="43"/>
  <c r="P35" i="43"/>
  <c r="Q35" i="43"/>
  <c r="S35" i="43"/>
  <c r="T35" i="43"/>
  <c r="U35" i="43"/>
  <c r="V35" i="43"/>
  <c r="W35" i="43"/>
  <c r="X35" i="43"/>
  <c r="Y35" i="43"/>
  <c r="Z35" i="43"/>
  <c r="AA35" i="43"/>
  <c r="AB35" i="43"/>
  <c r="H36" i="43"/>
  <c r="I36" i="43"/>
  <c r="J36" i="43"/>
  <c r="K36" i="43"/>
  <c r="N36" i="43"/>
  <c r="O36" i="43"/>
  <c r="P36" i="43"/>
  <c r="Q36" i="43"/>
  <c r="S36" i="43"/>
  <c r="T36" i="43"/>
  <c r="U36" i="43"/>
  <c r="V36" i="43"/>
  <c r="W36" i="43"/>
  <c r="X36" i="43"/>
  <c r="Y36" i="43"/>
  <c r="Z36" i="43"/>
  <c r="AA36" i="43"/>
  <c r="AB36" i="43"/>
  <c r="H37" i="43"/>
  <c r="I37" i="43"/>
  <c r="J37" i="43"/>
  <c r="K37" i="43"/>
  <c r="N37" i="43"/>
  <c r="O37" i="43"/>
  <c r="P37" i="43"/>
  <c r="Q37" i="43"/>
  <c r="S37" i="43"/>
  <c r="T37" i="43"/>
  <c r="U37" i="43"/>
  <c r="V37" i="43"/>
  <c r="W37" i="43"/>
  <c r="X37" i="43"/>
  <c r="Y37" i="43"/>
  <c r="Z37" i="43"/>
  <c r="AA37" i="43"/>
  <c r="AB37" i="43"/>
  <c r="H38" i="43"/>
  <c r="I38" i="43"/>
  <c r="J38" i="43"/>
  <c r="K38" i="43"/>
  <c r="N38" i="43"/>
  <c r="O38" i="43"/>
  <c r="P38" i="43"/>
  <c r="Q38" i="43"/>
  <c r="S38" i="43"/>
  <c r="T38" i="43"/>
  <c r="U38" i="43"/>
  <c r="V38" i="43"/>
  <c r="W38" i="43"/>
  <c r="X38" i="43"/>
  <c r="Y38" i="43"/>
  <c r="Z38" i="43"/>
  <c r="AA38" i="43"/>
  <c r="AB38" i="43"/>
  <c r="H39" i="43"/>
  <c r="I39" i="43"/>
  <c r="J39" i="43"/>
  <c r="K39" i="43"/>
  <c r="N39" i="43"/>
  <c r="O39" i="43"/>
  <c r="P39" i="43"/>
  <c r="Q39" i="43"/>
  <c r="S39" i="43"/>
  <c r="T39" i="43"/>
  <c r="U39" i="43"/>
  <c r="V39" i="43"/>
  <c r="W39" i="43"/>
  <c r="X39" i="43"/>
  <c r="Y39" i="43"/>
  <c r="Z39" i="43"/>
  <c r="AA39" i="43"/>
  <c r="AB39" i="43"/>
  <c r="H40" i="43"/>
  <c r="I40" i="43"/>
  <c r="J40" i="43"/>
  <c r="K40" i="43"/>
  <c r="N40" i="43"/>
  <c r="O40" i="43"/>
  <c r="P40" i="43"/>
  <c r="Q40" i="43"/>
  <c r="S40" i="43"/>
  <c r="T40" i="43"/>
  <c r="U40" i="43"/>
  <c r="V40" i="43"/>
  <c r="W40" i="43"/>
  <c r="X40" i="43"/>
  <c r="Y40" i="43"/>
  <c r="Z40" i="43"/>
  <c r="AA40" i="43"/>
  <c r="AB40" i="43"/>
  <c r="H41" i="43"/>
  <c r="I41" i="43"/>
  <c r="J41" i="43"/>
  <c r="K41" i="43"/>
  <c r="N41" i="43"/>
  <c r="O41" i="43"/>
  <c r="P41" i="43"/>
  <c r="Q41" i="43"/>
  <c r="S41" i="43"/>
  <c r="T41" i="43"/>
  <c r="U41" i="43"/>
  <c r="V41" i="43"/>
  <c r="W41" i="43"/>
  <c r="X41" i="43"/>
  <c r="Y41" i="43"/>
  <c r="Z41" i="43"/>
  <c r="AA41" i="43"/>
  <c r="AB41" i="43"/>
  <c r="H42" i="43"/>
  <c r="I42" i="43"/>
  <c r="J42" i="43"/>
  <c r="K42" i="43"/>
  <c r="N42" i="43"/>
  <c r="O42" i="43"/>
  <c r="P42" i="43"/>
  <c r="Q42" i="43"/>
  <c r="S42" i="43"/>
  <c r="T42" i="43"/>
  <c r="U42" i="43"/>
  <c r="V42" i="43"/>
  <c r="W42" i="43"/>
  <c r="X42" i="43"/>
  <c r="Y42" i="43"/>
  <c r="Z42" i="43"/>
  <c r="AA42" i="43"/>
  <c r="AB42" i="43"/>
  <c r="H43" i="43"/>
  <c r="I43" i="43"/>
  <c r="J43" i="43"/>
  <c r="K43" i="43"/>
  <c r="N43" i="43"/>
  <c r="O43" i="43"/>
  <c r="P43" i="43"/>
  <c r="Q43" i="43"/>
  <c r="S43" i="43"/>
  <c r="T43" i="43"/>
  <c r="U43" i="43"/>
  <c r="V43" i="43"/>
  <c r="W43" i="43"/>
  <c r="X43" i="43"/>
  <c r="Y43" i="43"/>
  <c r="Z43" i="43"/>
  <c r="AA43" i="43"/>
  <c r="AB43" i="43"/>
  <c r="H44" i="43"/>
  <c r="I44" i="43"/>
  <c r="J44" i="43"/>
  <c r="K44" i="43"/>
  <c r="N44" i="43"/>
  <c r="O44" i="43"/>
  <c r="P44" i="43"/>
  <c r="Q44" i="43"/>
  <c r="S44" i="43"/>
  <c r="T44" i="43"/>
  <c r="U44" i="43"/>
  <c r="V44" i="43"/>
  <c r="W44" i="43"/>
  <c r="X44" i="43"/>
  <c r="Y44" i="43"/>
  <c r="Z44" i="43"/>
  <c r="AA44" i="43"/>
  <c r="AB44" i="43"/>
  <c r="H45" i="43"/>
  <c r="I45" i="43"/>
  <c r="J45" i="43"/>
  <c r="K45" i="43"/>
  <c r="N45" i="43"/>
  <c r="O45" i="43"/>
  <c r="P45" i="43"/>
  <c r="Q45" i="43"/>
  <c r="S45" i="43"/>
  <c r="T45" i="43"/>
  <c r="U45" i="43"/>
  <c r="V45" i="43"/>
  <c r="W45" i="43"/>
  <c r="X45" i="43"/>
  <c r="Y45" i="43"/>
  <c r="Z45" i="43"/>
  <c r="AA45" i="43"/>
  <c r="AB45" i="43"/>
  <c r="H46" i="43"/>
  <c r="I46" i="43"/>
  <c r="J46" i="43"/>
  <c r="K46" i="43"/>
  <c r="N46" i="43"/>
  <c r="O46" i="43"/>
  <c r="P46" i="43"/>
  <c r="Q46" i="43"/>
  <c r="S46" i="43"/>
  <c r="T46" i="43"/>
  <c r="U46" i="43"/>
  <c r="V46" i="43"/>
  <c r="W46" i="43"/>
  <c r="X46" i="43"/>
  <c r="Y46" i="43"/>
  <c r="Z46" i="43"/>
  <c r="AA46" i="43"/>
  <c r="AB46" i="43"/>
  <c r="H47" i="43"/>
  <c r="I47" i="43"/>
  <c r="J47" i="43"/>
  <c r="K47" i="43"/>
  <c r="N47" i="43"/>
  <c r="O47" i="43"/>
  <c r="P47" i="43"/>
  <c r="Q47" i="43"/>
  <c r="S47" i="43"/>
  <c r="T47" i="43"/>
  <c r="U47" i="43"/>
  <c r="V47" i="43"/>
  <c r="W47" i="43"/>
  <c r="X47" i="43"/>
  <c r="Y47" i="43"/>
  <c r="Z47" i="43"/>
  <c r="AA47" i="43"/>
  <c r="AB47" i="43"/>
  <c r="H48" i="43"/>
  <c r="I48" i="43"/>
  <c r="J48" i="43"/>
  <c r="K48" i="43"/>
  <c r="N48" i="43"/>
  <c r="O48" i="43"/>
  <c r="P48" i="43"/>
  <c r="Q48" i="43"/>
  <c r="S48" i="43"/>
  <c r="T48" i="43"/>
  <c r="U48" i="43"/>
  <c r="V48" i="43"/>
  <c r="W48" i="43"/>
  <c r="X48" i="43"/>
  <c r="Y48" i="43"/>
  <c r="Z48" i="43"/>
  <c r="AA48" i="43"/>
  <c r="AB48" i="43"/>
  <c r="H49" i="43"/>
  <c r="I49" i="43"/>
  <c r="J49" i="43"/>
  <c r="K49" i="43"/>
  <c r="N49" i="43"/>
  <c r="O49" i="43"/>
  <c r="P49" i="43"/>
  <c r="Q49" i="43"/>
  <c r="S49" i="43"/>
  <c r="T49" i="43"/>
  <c r="U49" i="43"/>
  <c r="V49" i="43"/>
  <c r="W49" i="43"/>
  <c r="X49" i="43"/>
  <c r="Y49" i="43"/>
  <c r="Z49" i="43"/>
  <c r="AA49" i="43"/>
  <c r="AB49" i="43"/>
  <c r="H50" i="43"/>
  <c r="I50" i="43"/>
  <c r="J50" i="43"/>
  <c r="K50" i="43"/>
  <c r="N50" i="43"/>
  <c r="O50" i="43"/>
  <c r="P50" i="43"/>
  <c r="Q50" i="43"/>
  <c r="S50" i="43"/>
  <c r="T50" i="43"/>
  <c r="U50" i="43"/>
  <c r="V50" i="43"/>
  <c r="W50" i="43"/>
  <c r="X50" i="43"/>
  <c r="Y50" i="43"/>
  <c r="Z50" i="43"/>
  <c r="AA50" i="43"/>
  <c r="AB50" i="43"/>
  <c r="H51" i="43"/>
  <c r="I51" i="43"/>
  <c r="J51" i="43"/>
  <c r="K51" i="43"/>
  <c r="N51" i="43"/>
  <c r="O51" i="43"/>
  <c r="P51" i="43"/>
  <c r="Q51" i="43"/>
  <c r="S51" i="43"/>
  <c r="T51" i="43"/>
  <c r="U51" i="43"/>
  <c r="V51" i="43"/>
  <c r="W51" i="43"/>
  <c r="X51" i="43"/>
  <c r="Y51" i="43"/>
  <c r="Z51" i="43"/>
  <c r="AA51" i="43"/>
  <c r="AB51" i="43"/>
  <c r="H52" i="43"/>
  <c r="I52" i="43"/>
  <c r="J52" i="43"/>
  <c r="K52" i="43"/>
  <c r="N52" i="43"/>
  <c r="O52" i="43"/>
  <c r="P52" i="43"/>
  <c r="Q52" i="43"/>
  <c r="S52" i="43"/>
  <c r="T52" i="43"/>
  <c r="U52" i="43"/>
  <c r="V52" i="43"/>
  <c r="W52" i="43"/>
  <c r="X52" i="43"/>
  <c r="Y52" i="43"/>
  <c r="Z52" i="43"/>
  <c r="AA52" i="43"/>
  <c r="AB52" i="43"/>
  <c r="H53" i="43"/>
  <c r="I53" i="43"/>
  <c r="J53" i="43"/>
  <c r="K53" i="43"/>
  <c r="N53" i="43"/>
  <c r="O53" i="43"/>
  <c r="P53" i="43"/>
  <c r="Q53" i="43"/>
  <c r="S53" i="43"/>
  <c r="T53" i="43"/>
  <c r="U53" i="43"/>
  <c r="V53" i="43"/>
  <c r="W53" i="43"/>
  <c r="X53" i="43"/>
  <c r="Y53" i="43"/>
  <c r="Z53" i="43"/>
  <c r="AA53" i="43"/>
  <c r="AB53" i="43"/>
  <c r="H54" i="43"/>
  <c r="I54" i="43"/>
  <c r="J54" i="43"/>
  <c r="K54" i="43"/>
  <c r="N54" i="43"/>
  <c r="O54" i="43"/>
  <c r="P54" i="43"/>
  <c r="Q54" i="43"/>
  <c r="S54" i="43"/>
  <c r="T54" i="43"/>
  <c r="U54" i="43"/>
  <c r="V54" i="43"/>
  <c r="W54" i="43"/>
  <c r="X54" i="43"/>
  <c r="Y54" i="43"/>
  <c r="Z54" i="43"/>
  <c r="AA54" i="43"/>
  <c r="AB54" i="43"/>
  <c r="H55" i="43"/>
  <c r="I55" i="43"/>
  <c r="J55" i="43"/>
  <c r="K55" i="43"/>
  <c r="N55" i="43"/>
  <c r="O55" i="43"/>
  <c r="P55" i="43"/>
  <c r="Q55" i="43"/>
  <c r="S55" i="43"/>
  <c r="T55" i="43"/>
  <c r="U55" i="43"/>
  <c r="V55" i="43"/>
  <c r="W55" i="43"/>
  <c r="X55" i="43"/>
  <c r="Y55" i="43"/>
  <c r="Z55" i="43"/>
  <c r="AA55" i="43"/>
  <c r="AB55" i="43"/>
  <c r="H56" i="43"/>
  <c r="I56" i="43"/>
  <c r="J56" i="43"/>
  <c r="K56" i="43"/>
  <c r="N56" i="43"/>
  <c r="O56" i="43"/>
  <c r="P56" i="43"/>
  <c r="Q56" i="43"/>
  <c r="S56" i="43"/>
  <c r="T56" i="43"/>
  <c r="U56" i="43"/>
  <c r="V56" i="43"/>
  <c r="W56" i="43"/>
  <c r="X56" i="43"/>
  <c r="Y56" i="43"/>
  <c r="Z56" i="43"/>
  <c r="AA56" i="43"/>
  <c r="AB56" i="43"/>
  <c r="H57" i="43"/>
  <c r="I57" i="43"/>
  <c r="J57" i="43"/>
  <c r="K57" i="43"/>
  <c r="N57" i="43"/>
  <c r="O57" i="43"/>
  <c r="P57" i="43"/>
  <c r="Q57" i="43"/>
  <c r="S57" i="43"/>
  <c r="T57" i="43"/>
  <c r="U57" i="43"/>
  <c r="V57" i="43"/>
  <c r="W57" i="43"/>
  <c r="X57" i="43"/>
  <c r="Y57" i="43"/>
  <c r="Z57" i="43"/>
  <c r="AA57" i="43"/>
  <c r="AB57" i="43"/>
  <c r="H58" i="43"/>
  <c r="I58" i="43"/>
  <c r="J58" i="43"/>
  <c r="K58" i="43"/>
  <c r="N58" i="43"/>
  <c r="O58" i="43"/>
  <c r="P58" i="43"/>
  <c r="Q58" i="43"/>
  <c r="S58" i="43"/>
  <c r="T58" i="43"/>
  <c r="U58" i="43"/>
  <c r="V58" i="43"/>
  <c r="W58" i="43"/>
  <c r="X58" i="43"/>
  <c r="Y58" i="43"/>
  <c r="Z58" i="43"/>
  <c r="AA58" i="43"/>
  <c r="AB58" i="43"/>
  <c r="H59" i="43"/>
  <c r="I59" i="43"/>
  <c r="J59" i="43"/>
  <c r="K59" i="43"/>
  <c r="N59" i="43"/>
  <c r="O59" i="43"/>
  <c r="P59" i="43"/>
  <c r="Q59" i="43"/>
  <c r="S59" i="43"/>
  <c r="T59" i="43"/>
  <c r="U59" i="43"/>
  <c r="V59" i="43"/>
  <c r="W59" i="43"/>
  <c r="X59" i="43"/>
  <c r="Y59" i="43"/>
  <c r="Z59" i="43"/>
  <c r="AA59" i="43"/>
  <c r="AB59" i="43"/>
  <c r="H60" i="43"/>
  <c r="I60" i="43"/>
  <c r="J60" i="43"/>
  <c r="K60" i="43"/>
  <c r="N60" i="43"/>
  <c r="O60" i="43"/>
  <c r="P60" i="43"/>
  <c r="Q60" i="43"/>
  <c r="S60" i="43"/>
  <c r="T60" i="43"/>
  <c r="U60" i="43"/>
  <c r="V60" i="43"/>
  <c r="W60" i="43"/>
  <c r="X60" i="43"/>
  <c r="Y60" i="43"/>
  <c r="Z60" i="43"/>
  <c r="AA60" i="43"/>
  <c r="AB60" i="43"/>
  <c r="H61" i="43"/>
  <c r="I61" i="43"/>
  <c r="J61" i="43"/>
  <c r="K61" i="43"/>
  <c r="N61" i="43"/>
  <c r="O61" i="43"/>
  <c r="P61" i="43"/>
  <c r="Q61" i="43"/>
  <c r="S61" i="43"/>
  <c r="T61" i="43"/>
  <c r="U61" i="43"/>
  <c r="V61" i="43"/>
  <c r="W61" i="43"/>
  <c r="X61" i="43"/>
  <c r="Y61" i="43"/>
  <c r="Z61" i="43"/>
  <c r="AA61" i="43"/>
  <c r="AB61" i="43"/>
  <c r="H62" i="43"/>
  <c r="I62" i="43"/>
  <c r="J62" i="43"/>
  <c r="K62" i="43"/>
  <c r="N62" i="43"/>
  <c r="O62" i="43"/>
  <c r="P62" i="43"/>
  <c r="Q62" i="43"/>
  <c r="S62" i="43"/>
  <c r="T62" i="43"/>
  <c r="U62" i="43"/>
  <c r="V62" i="43"/>
  <c r="W62" i="43"/>
  <c r="X62" i="43"/>
  <c r="Y62" i="43"/>
  <c r="Z62" i="43"/>
  <c r="AA62" i="43"/>
  <c r="AB62" i="43"/>
  <c r="H63" i="43"/>
  <c r="I63" i="43"/>
  <c r="J63" i="43"/>
  <c r="K63" i="43"/>
  <c r="N63" i="43"/>
  <c r="O63" i="43"/>
  <c r="P63" i="43"/>
  <c r="Q63" i="43"/>
  <c r="S63" i="43"/>
  <c r="T63" i="43"/>
  <c r="U63" i="43"/>
  <c r="V63" i="43"/>
  <c r="W63" i="43"/>
  <c r="X63" i="43"/>
  <c r="Y63" i="43"/>
  <c r="Z63" i="43"/>
  <c r="AA63" i="43"/>
  <c r="AB63" i="43"/>
  <c r="H64" i="43"/>
  <c r="I64" i="43"/>
  <c r="J64" i="43"/>
  <c r="K64" i="43"/>
  <c r="N64" i="43"/>
  <c r="O64" i="43"/>
  <c r="P64" i="43"/>
  <c r="Q64" i="43"/>
  <c r="S64" i="43"/>
  <c r="T64" i="43"/>
  <c r="U64" i="43"/>
  <c r="V64" i="43"/>
  <c r="W64" i="43"/>
  <c r="X64" i="43"/>
  <c r="Y64" i="43"/>
  <c r="Z64" i="43"/>
  <c r="AA64" i="43"/>
  <c r="AB64" i="43"/>
  <c r="H65" i="43"/>
  <c r="I65" i="43"/>
  <c r="J65" i="43"/>
  <c r="K65" i="43"/>
  <c r="N65" i="43"/>
  <c r="O65" i="43"/>
  <c r="P65" i="43"/>
  <c r="Q65" i="43"/>
  <c r="S65" i="43"/>
  <c r="T65" i="43"/>
  <c r="U65" i="43"/>
  <c r="V65" i="43"/>
  <c r="W65" i="43"/>
  <c r="X65" i="43"/>
  <c r="Y65" i="43"/>
  <c r="Z65" i="43"/>
  <c r="AA65" i="43"/>
  <c r="AB65" i="43"/>
  <c r="H66" i="43"/>
  <c r="I66" i="43"/>
  <c r="J66" i="43"/>
  <c r="K66" i="43"/>
  <c r="N66" i="43"/>
  <c r="O66" i="43"/>
  <c r="P66" i="43"/>
  <c r="Q66" i="43"/>
  <c r="S66" i="43"/>
  <c r="T66" i="43"/>
  <c r="U66" i="43"/>
  <c r="V66" i="43"/>
  <c r="W66" i="43"/>
  <c r="X66" i="43"/>
  <c r="Y66" i="43"/>
  <c r="Z66" i="43"/>
  <c r="AA66" i="43"/>
  <c r="AB66" i="43"/>
  <c r="H67" i="43"/>
  <c r="I67" i="43"/>
  <c r="J67" i="43"/>
  <c r="K67" i="43"/>
  <c r="N67" i="43"/>
  <c r="O67" i="43"/>
  <c r="P67" i="43"/>
  <c r="Q67" i="43"/>
  <c r="S67" i="43"/>
  <c r="T67" i="43"/>
  <c r="U67" i="43"/>
  <c r="V67" i="43"/>
  <c r="W67" i="43"/>
  <c r="X67" i="43"/>
  <c r="Y67" i="43"/>
  <c r="Z67" i="43"/>
  <c r="AA67" i="43"/>
  <c r="AB67" i="43"/>
  <c r="H68" i="43"/>
  <c r="I68" i="43"/>
  <c r="J68" i="43"/>
  <c r="K68" i="43"/>
  <c r="N68" i="43"/>
  <c r="O68" i="43"/>
  <c r="P68" i="43"/>
  <c r="Q68" i="43"/>
  <c r="S68" i="43"/>
  <c r="T68" i="43"/>
  <c r="U68" i="43"/>
  <c r="V68" i="43"/>
  <c r="W68" i="43"/>
  <c r="X68" i="43"/>
  <c r="Y68" i="43"/>
  <c r="Z68" i="43"/>
  <c r="AA68" i="43"/>
  <c r="AB68" i="43"/>
  <c r="H69" i="43"/>
  <c r="I69" i="43"/>
  <c r="J69" i="43"/>
  <c r="K69" i="43"/>
  <c r="N69" i="43"/>
  <c r="O69" i="43"/>
  <c r="P69" i="43"/>
  <c r="Q69" i="43"/>
  <c r="S69" i="43"/>
  <c r="T69" i="43"/>
  <c r="U69" i="43"/>
  <c r="V69" i="43"/>
  <c r="W69" i="43"/>
  <c r="X69" i="43"/>
  <c r="Y69" i="43"/>
  <c r="Z69" i="43"/>
  <c r="AA69" i="43"/>
  <c r="AB69" i="43"/>
  <c r="H70" i="43"/>
  <c r="I70" i="43"/>
  <c r="J70" i="43"/>
  <c r="K70" i="43"/>
  <c r="N70" i="43"/>
  <c r="O70" i="43"/>
  <c r="P70" i="43"/>
  <c r="Q70" i="43"/>
  <c r="S70" i="43"/>
  <c r="T70" i="43"/>
  <c r="U70" i="43"/>
  <c r="V70" i="43"/>
  <c r="W70" i="43"/>
  <c r="X70" i="43"/>
  <c r="Y70" i="43"/>
  <c r="Z70" i="43"/>
  <c r="AA70" i="43"/>
  <c r="AB70" i="43"/>
  <c r="H71" i="43"/>
  <c r="I71" i="43"/>
  <c r="J71" i="43"/>
  <c r="K71" i="43"/>
  <c r="N71" i="43"/>
  <c r="O71" i="43"/>
  <c r="P71" i="43"/>
  <c r="Q71" i="43"/>
  <c r="S71" i="43"/>
  <c r="T71" i="43"/>
  <c r="U71" i="43"/>
  <c r="V71" i="43"/>
  <c r="W71" i="43"/>
  <c r="X71" i="43"/>
  <c r="Y71" i="43"/>
  <c r="Z71" i="43"/>
  <c r="AA71" i="43"/>
  <c r="AB71" i="43"/>
  <c r="H72" i="43"/>
  <c r="I72" i="43"/>
  <c r="J72" i="43"/>
  <c r="K72" i="43"/>
  <c r="N72" i="43"/>
  <c r="O72" i="43"/>
  <c r="P72" i="43"/>
  <c r="Q72" i="43"/>
  <c r="S72" i="43"/>
  <c r="T72" i="43"/>
  <c r="U72" i="43"/>
  <c r="V72" i="43"/>
  <c r="W72" i="43"/>
  <c r="X72" i="43"/>
  <c r="Y72" i="43"/>
  <c r="Z72" i="43"/>
  <c r="AA72" i="43"/>
  <c r="AB72" i="43"/>
  <c r="H73" i="43"/>
  <c r="I73" i="43"/>
  <c r="J73" i="43"/>
  <c r="K73" i="43"/>
  <c r="N73" i="43"/>
  <c r="O73" i="43"/>
  <c r="P73" i="43"/>
  <c r="Q73" i="43"/>
  <c r="S73" i="43"/>
  <c r="T73" i="43"/>
  <c r="U73" i="43"/>
  <c r="V73" i="43"/>
  <c r="W73" i="43"/>
  <c r="X73" i="43"/>
  <c r="Y73" i="43"/>
  <c r="Z73" i="43"/>
  <c r="AA73" i="43"/>
  <c r="AB73" i="43"/>
  <c r="H74" i="43"/>
  <c r="I74" i="43"/>
  <c r="J74" i="43"/>
  <c r="K74" i="43"/>
  <c r="N74" i="43"/>
  <c r="O74" i="43"/>
  <c r="P74" i="43"/>
  <c r="Q74" i="43"/>
  <c r="S74" i="43"/>
  <c r="T74" i="43"/>
  <c r="U74" i="43"/>
  <c r="V74" i="43"/>
  <c r="W74" i="43"/>
  <c r="X74" i="43"/>
  <c r="Y74" i="43"/>
  <c r="Z74" i="43"/>
  <c r="AA74" i="43"/>
  <c r="AB74" i="43"/>
  <c r="H75" i="43"/>
  <c r="I75" i="43"/>
  <c r="J75" i="43"/>
  <c r="K75" i="43"/>
  <c r="N75" i="43"/>
  <c r="O75" i="43"/>
  <c r="P75" i="43"/>
  <c r="Q75" i="43"/>
  <c r="S75" i="43"/>
  <c r="T75" i="43"/>
  <c r="U75" i="43"/>
  <c r="V75" i="43"/>
  <c r="W75" i="43"/>
  <c r="X75" i="43"/>
  <c r="Y75" i="43"/>
  <c r="Z75" i="43"/>
  <c r="AA75" i="43"/>
  <c r="AB75" i="43"/>
  <c r="H76" i="43"/>
  <c r="I76" i="43"/>
  <c r="J76" i="43"/>
  <c r="K76" i="43"/>
  <c r="N76" i="43"/>
  <c r="O76" i="43"/>
  <c r="P76" i="43"/>
  <c r="Q76" i="43"/>
  <c r="S76" i="43"/>
  <c r="T76" i="43"/>
  <c r="U76" i="43"/>
  <c r="V76" i="43"/>
  <c r="W76" i="43"/>
  <c r="X76" i="43"/>
  <c r="Y76" i="43"/>
  <c r="Z76" i="43"/>
  <c r="AA76" i="43"/>
  <c r="AB76" i="43"/>
  <c r="H77" i="43"/>
  <c r="I77" i="43"/>
  <c r="J77" i="43"/>
  <c r="K77" i="43"/>
  <c r="N77" i="43"/>
  <c r="O77" i="43"/>
  <c r="P77" i="43"/>
  <c r="Q77" i="43"/>
  <c r="S77" i="43"/>
  <c r="T77" i="43"/>
  <c r="U77" i="43"/>
  <c r="V77" i="43"/>
  <c r="W77" i="43"/>
  <c r="X77" i="43"/>
  <c r="Y77" i="43"/>
  <c r="Z77" i="43"/>
  <c r="AA77" i="43"/>
  <c r="AB77" i="43"/>
  <c r="H78" i="43"/>
  <c r="I78" i="43"/>
  <c r="J78" i="43"/>
  <c r="K78" i="43"/>
  <c r="N78" i="43"/>
  <c r="O78" i="43"/>
  <c r="P78" i="43"/>
  <c r="Q78" i="43"/>
  <c r="S78" i="43"/>
  <c r="T78" i="43"/>
  <c r="U78" i="43"/>
  <c r="V78" i="43"/>
  <c r="W78" i="43"/>
  <c r="X78" i="43"/>
  <c r="Y78" i="43"/>
  <c r="Z78" i="43"/>
  <c r="AA78" i="43"/>
  <c r="AB78" i="43"/>
  <c r="H79" i="43"/>
  <c r="I79" i="43"/>
  <c r="J79" i="43"/>
  <c r="K79" i="43"/>
  <c r="N79" i="43"/>
  <c r="O79" i="43"/>
  <c r="P79" i="43"/>
  <c r="Q79" i="43"/>
  <c r="S79" i="43"/>
  <c r="T79" i="43"/>
  <c r="U79" i="43"/>
  <c r="V79" i="43"/>
  <c r="W79" i="43"/>
  <c r="X79" i="43"/>
  <c r="Y79" i="43"/>
  <c r="Z79" i="43"/>
  <c r="AA79" i="43"/>
  <c r="AB79" i="43"/>
  <c r="H80" i="43"/>
  <c r="I80" i="43"/>
  <c r="J80" i="43"/>
  <c r="K80" i="43"/>
  <c r="N80" i="43"/>
  <c r="O80" i="43"/>
  <c r="P80" i="43"/>
  <c r="Q80" i="43"/>
  <c r="S80" i="43"/>
  <c r="T80" i="43"/>
  <c r="U80" i="43"/>
  <c r="V80" i="43"/>
  <c r="W80" i="43"/>
  <c r="X80" i="43"/>
  <c r="Y80" i="43"/>
  <c r="Z80" i="43"/>
  <c r="AA80" i="43"/>
  <c r="AB80" i="43"/>
  <c r="H81" i="43"/>
  <c r="I81" i="43"/>
  <c r="J81" i="43"/>
  <c r="K81" i="43"/>
  <c r="N81" i="43"/>
  <c r="O81" i="43"/>
  <c r="P81" i="43"/>
  <c r="Q81" i="43"/>
  <c r="S81" i="43"/>
  <c r="T81" i="43"/>
  <c r="U81" i="43"/>
  <c r="V81" i="43"/>
  <c r="W81" i="43"/>
  <c r="X81" i="43"/>
  <c r="Y81" i="43"/>
  <c r="Z81" i="43"/>
  <c r="AA81" i="43"/>
  <c r="AB81" i="43"/>
  <c r="H82" i="43"/>
  <c r="I82" i="43"/>
  <c r="J82" i="43"/>
  <c r="K82" i="43"/>
  <c r="N82" i="43"/>
  <c r="O82" i="43"/>
  <c r="P82" i="43"/>
  <c r="Q82" i="43"/>
  <c r="S82" i="43"/>
  <c r="T82" i="43"/>
  <c r="U82" i="43"/>
  <c r="V82" i="43"/>
  <c r="W82" i="43"/>
  <c r="X82" i="43"/>
  <c r="Y82" i="43"/>
  <c r="Z82" i="43"/>
  <c r="AA82" i="43"/>
  <c r="AB82" i="43"/>
  <c r="H83" i="43"/>
  <c r="I83" i="43"/>
  <c r="J83" i="43"/>
  <c r="K83" i="43"/>
  <c r="N83" i="43"/>
  <c r="O83" i="43"/>
  <c r="P83" i="43"/>
  <c r="Q83" i="43"/>
  <c r="S83" i="43"/>
  <c r="T83" i="43"/>
  <c r="U83" i="43"/>
  <c r="V83" i="43"/>
  <c r="W83" i="43"/>
  <c r="X83" i="43"/>
  <c r="Y83" i="43"/>
  <c r="Z83" i="43"/>
  <c r="AA83" i="43"/>
  <c r="AB83" i="43"/>
  <c r="H84" i="43"/>
  <c r="I84" i="43"/>
  <c r="J84" i="43"/>
  <c r="K84" i="43"/>
  <c r="N84" i="43"/>
  <c r="O84" i="43"/>
  <c r="P84" i="43"/>
  <c r="Q84" i="43"/>
  <c r="S84" i="43"/>
  <c r="T84" i="43"/>
  <c r="U84" i="43"/>
  <c r="V84" i="43"/>
  <c r="W84" i="43"/>
  <c r="X84" i="43"/>
  <c r="Y84" i="43"/>
  <c r="Z84" i="43"/>
  <c r="AA84" i="43"/>
  <c r="AB84" i="43"/>
  <c r="H85" i="43"/>
  <c r="I85" i="43"/>
  <c r="J85" i="43"/>
  <c r="K85" i="43"/>
  <c r="N85" i="43"/>
  <c r="O85" i="43"/>
  <c r="P85" i="43"/>
  <c r="Q85" i="43"/>
  <c r="S85" i="43"/>
  <c r="T85" i="43"/>
  <c r="U85" i="43"/>
  <c r="V85" i="43"/>
  <c r="W85" i="43"/>
  <c r="X85" i="43"/>
  <c r="Y85" i="43"/>
  <c r="Z85" i="43"/>
  <c r="AA85" i="43"/>
  <c r="AB85" i="43"/>
  <c r="H86" i="43"/>
  <c r="I86" i="43"/>
  <c r="J86" i="43"/>
  <c r="K86" i="43"/>
  <c r="N86" i="43"/>
  <c r="O86" i="43"/>
  <c r="P86" i="43"/>
  <c r="Q86" i="43"/>
  <c r="S86" i="43"/>
  <c r="T86" i="43"/>
  <c r="U86" i="43"/>
  <c r="V86" i="43"/>
  <c r="W86" i="43"/>
  <c r="X86" i="43"/>
  <c r="Y86" i="43"/>
  <c r="Z86" i="43"/>
  <c r="AA86" i="43"/>
  <c r="AB86" i="43"/>
  <c r="H87" i="43"/>
  <c r="I87" i="43"/>
  <c r="J87" i="43"/>
  <c r="K87" i="43"/>
  <c r="N87" i="43"/>
  <c r="O87" i="43"/>
  <c r="P87" i="43"/>
  <c r="Q87" i="43"/>
  <c r="S87" i="43"/>
  <c r="T87" i="43"/>
  <c r="U87" i="43"/>
  <c r="V87" i="43"/>
  <c r="W87" i="43"/>
  <c r="X87" i="43"/>
  <c r="Y87" i="43"/>
  <c r="Z87" i="43"/>
  <c r="AA87" i="43"/>
  <c r="AB87" i="43"/>
  <c r="H88" i="43"/>
  <c r="I88" i="43"/>
  <c r="J88" i="43"/>
  <c r="K88" i="43"/>
  <c r="N88" i="43"/>
  <c r="O88" i="43"/>
  <c r="P88" i="43"/>
  <c r="Q88" i="43"/>
  <c r="S88" i="43"/>
  <c r="T88" i="43"/>
  <c r="U88" i="43"/>
  <c r="V88" i="43"/>
  <c r="W88" i="43"/>
  <c r="X88" i="43"/>
  <c r="Y88" i="43"/>
  <c r="Z88" i="43"/>
  <c r="AA88" i="43"/>
  <c r="AB88" i="43"/>
  <c r="H89" i="43"/>
  <c r="I89" i="43"/>
  <c r="J89" i="43"/>
  <c r="K89" i="43"/>
  <c r="N89" i="43"/>
  <c r="O89" i="43"/>
  <c r="P89" i="43"/>
  <c r="Q89" i="43"/>
  <c r="S89" i="43"/>
  <c r="T89" i="43"/>
  <c r="U89" i="43"/>
  <c r="V89" i="43"/>
  <c r="W89" i="43"/>
  <c r="X89" i="43"/>
  <c r="Y89" i="43"/>
  <c r="Z89" i="43"/>
  <c r="AA89" i="43"/>
  <c r="AB89" i="43"/>
  <c r="H90" i="43"/>
  <c r="I90" i="43"/>
  <c r="J90" i="43"/>
  <c r="K90" i="43"/>
  <c r="N90" i="43"/>
  <c r="O90" i="43"/>
  <c r="P90" i="43"/>
  <c r="Q90" i="43"/>
  <c r="S90" i="43"/>
  <c r="T90" i="43"/>
  <c r="U90" i="43"/>
  <c r="V90" i="43"/>
  <c r="W90" i="43"/>
  <c r="X90" i="43"/>
  <c r="Y90" i="43"/>
  <c r="Z90" i="43"/>
  <c r="AA90" i="43"/>
  <c r="AB90" i="43"/>
  <c r="H91" i="43"/>
  <c r="I91" i="43"/>
  <c r="J91" i="43"/>
  <c r="K91" i="43"/>
  <c r="N91" i="43"/>
  <c r="O91" i="43"/>
  <c r="P91" i="43"/>
  <c r="Q91" i="43"/>
  <c r="S91" i="43"/>
  <c r="T91" i="43"/>
  <c r="U91" i="43"/>
  <c r="V91" i="43"/>
  <c r="W91" i="43"/>
  <c r="X91" i="43"/>
  <c r="Y91" i="43"/>
  <c r="Z91" i="43"/>
  <c r="AA91" i="43"/>
  <c r="AB91" i="43"/>
  <c r="H92" i="43"/>
  <c r="I92" i="43"/>
  <c r="J92" i="43"/>
  <c r="K92" i="43"/>
  <c r="N92" i="43"/>
  <c r="O92" i="43"/>
  <c r="P92" i="43"/>
  <c r="Q92" i="43"/>
  <c r="S92" i="43"/>
  <c r="T92" i="43"/>
  <c r="U92" i="43"/>
  <c r="V92" i="43"/>
  <c r="W92" i="43"/>
  <c r="X92" i="43"/>
  <c r="Y92" i="43"/>
  <c r="Z92" i="43"/>
  <c r="AA92" i="43"/>
  <c r="AB92" i="43"/>
  <c r="H93" i="43"/>
  <c r="I93" i="43"/>
  <c r="J93" i="43"/>
  <c r="K93" i="43"/>
  <c r="N93" i="43"/>
  <c r="O93" i="43"/>
  <c r="P93" i="43"/>
  <c r="Q93" i="43"/>
  <c r="S93" i="43"/>
  <c r="T93" i="43"/>
  <c r="U93" i="43"/>
  <c r="V93" i="43"/>
  <c r="W93" i="43"/>
  <c r="X93" i="43"/>
  <c r="Y93" i="43"/>
  <c r="Z93" i="43"/>
  <c r="AA93" i="43"/>
  <c r="AB93" i="43"/>
  <c r="H94" i="43"/>
  <c r="I94" i="43"/>
  <c r="J94" i="43"/>
  <c r="K94" i="43"/>
  <c r="N94" i="43"/>
  <c r="O94" i="43"/>
  <c r="P94" i="43"/>
  <c r="Q94" i="43"/>
  <c r="S94" i="43"/>
  <c r="T94" i="43"/>
  <c r="U94" i="43"/>
  <c r="V94" i="43"/>
  <c r="W94" i="43"/>
  <c r="X94" i="43"/>
  <c r="Y94" i="43"/>
  <c r="Z94" i="43"/>
  <c r="AA94" i="43"/>
  <c r="AB94" i="43"/>
  <c r="H95" i="43"/>
  <c r="I95" i="43"/>
  <c r="J95" i="43"/>
  <c r="K95" i="43"/>
  <c r="N95" i="43"/>
  <c r="O95" i="43"/>
  <c r="P95" i="43"/>
  <c r="Q95" i="43"/>
  <c r="S95" i="43"/>
  <c r="T95" i="43"/>
  <c r="U95" i="43"/>
  <c r="V95" i="43"/>
  <c r="W95" i="43"/>
  <c r="X95" i="43"/>
  <c r="Y95" i="43"/>
  <c r="Z95" i="43"/>
  <c r="AA95" i="43"/>
  <c r="AB95" i="43"/>
  <c r="H96" i="43"/>
  <c r="I96" i="43"/>
  <c r="J96" i="43"/>
  <c r="K96" i="43"/>
  <c r="N96" i="43"/>
  <c r="O96" i="43"/>
  <c r="P96" i="43"/>
  <c r="Q96" i="43"/>
  <c r="S96" i="43"/>
  <c r="T96" i="43"/>
  <c r="U96" i="43"/>
  <c r="V96" i="43"/>
  <c r="W96" i="43"/>
  <c r="X96" i="43"/>
  <c r="Y96" i="43"/>
  <c r="Z96" i="43"/>
  <c r="AA96" i="43"/>
  <c r="AB96" i="43"/>
  <c r="H97" i="43"/>
  <c r="I97" i="43"/>
  <c r="J97" i="43"/>
  <c r="K97" i="43"/>
  <c r="N97" i="43"/>
  <c r="O97" i="43"/>
  <c r="P97" i="43"/>
  <c r="Q97" i="43"/>
  <c r="S97" i="43"/>
  <c r="T97" i="43"/>
  <c r="U97" i="43"/>
  <c r="V97" i="43"/>
  <c r="W97" i="43"/>
  <c r="X97" i="43"/>
  <c r="Y97" i="43"/>
  <c r="Z97" i="43"/>
  <c r="AA97" i="43"/>
  <c r="AB97" i="43"/>
  <c r="H98" i="43"/>
  <c r="I98" i="43"/>
  <c r="J98" i="43"/>
  <c r="K98" i="43"/>
  <c r="N98" i="43"/>
  <c r="O98" i="43"/>
  <c r="P98" i="43"/>
  <c r="Q98" i="43"/>
  <c r="S98" i="43"/>
  <c r="T98" i="43"/>
  <c r="U98" i="43"/>
  <c r="V98" i="43"/>
  <c r="W98" i="43"/>
  <c r="X98" i="43"/>
  <c r="Y98" i="43"/>
  <c r="Z98" i="43"/>
  <c r="AA98" i="43"/>
  <c r="AB98" i="43"/>
  <c r="H99" i="43"/>
  <c r="I99" i="43"/>
  <c r="J99" i="43"/>
  <c r="K99" i="43"/>
  <c r="N99" i="43"/>
  <c r="O99" i="43"/>
  <c r="P99" i="43"/>
  <c r="Q99" i="43"/>
  <c r="S99" i="43"/>
  <c r="T99" i="43"/>
  <c r="U99" i="43"/>
  <c r="V99" i="43"/>
  <c r="W99" i="43"/>
  <c r="X99" i="43"/>
  <c r="Y99" i="43"/>
  <c r="Z99" i="43"/>
  <c r="AA99" i="43"/>
  <c r="AB99" i="43"/>
  <c r="H100" i="43"/>
  <c r="I100" i="43"/>
  <c r="J100" i="43"/>
  <c r="K100" i="43"/>
  <c r="N100" i="43"/>
  <c r="O100" i="43"/>
  <c r="P100" i="43"/>
  <c r="Q100" i="43"/>
  <c r="S100" i="43"/>
  <c r="T100" i="43"/>
  <c r="U100" i="43"/>
  <c r="V100" i="43"/>
  <c r="W100" i="43"/>
  <c r="X100" i="43"/>
  <c r="Y100" i="43"/>
  <c r="Z100" i="43"/>
  <c r="AA100" i="43"/>
  <c r="AB100" i="43"/>
  <c r="H101" i="43"/>
  <c r="I101" i="43"/>
  <c r="J101" i="43"/>
  <c r="K101" i="43"/>
  <c r="N101" i="43"/>
  <c r="O101" i="43"/>
  <c r="P101" i="43"/>
  <c r="Q101" i="43"/>
  <c r="S101" i="43"/>
  <c r="T101" i="43"/>
  <c r="U101" i="43"/>
  <c r="V101" i="43"/>
  <c r="W101" i="43"/>
  <c r="X101" i="43"/>
  <c r="Y101" i="43"/>
  <c r="Z101" i="43"/>
  <c r="AA101" i="43"/>
  <c r="AB101" i="43"/>
  <c r="H102" i="43"/>
  <c r="I102" i="43"/>
  <c r="J102" i="43"/>
  <c r="K102" i="43"/>
  <c r="N102" i="43"/>
  <c r="O102" i="43"/>
  <c r="P102" i="43"/>
  <c r="Q102" i="43"/>
  <c r="S102" i="43"/>
  <c r="T102" i="43"/>
  <c r="U102" i="43"/>
  <c r="V102" i="43"/>
  <c r="W102" i="43"/>
  <c r="X102" i="43"/>
  <c r="Y102" i="43"/>
  <c r="Z102" i="43"/>
  <c r="AA102" i="43"/>
  <c r="AB102" i="43"/>
  <c r="H103" i="43"/>
  <c r="I103" i="43"/>
  <c r="J103" i="43"/>
  <c r="K103" i="43"/>
  <c r="N103" i="43"/>
  <c r="O103" i="43"/>
  <c r="P103" i="43"/>
  <c r="Q103" i="43"/>
  <c r="S103" i="43"/>
  <c r="T103" i="43"/>
  <c r="U103" i="43"/>
  <c r="V103" i="43"/>
  <c r="W103" i="43"/>
  <c r="X103" i="43"/>
  <c r="Y103" i="43"/>
  <c r="Z103" i="43"/>
  <c r="AA103" i="43"/>
  <c r="AB103" i="43"/>
  <c r="H104" i="43"/>
  <c r="I104" i="43"/>
  <c r="J104" i="43"/>
  <c r="K104" i="43"/>
  <c r="N104" i="43"/>
  <c r="O104" i="43"/>
  <c r="P104" i="43"/>
  <c r="Q104" i="43"/>
  <c r="S104" i="43"/>
  <c r="T104" i="43"/>
  <c r="U104" i="43"/>
  <c r="V104" i="43"/>
  <c r="W104" i="43"/>
  <c r="X104" i="43"/>
  <c r="Y104" i="43"/>
  <c r="Z104" i="43"/>
  <c r="AA104" i="43"/>
  <c r="AB104" i="43"/>
  <c r="H105" i="43"/>
  <c r="I105" i="43"/>
  <c r="J105" i="43"/>
  <c r="K105" i="43"/>
  <c r="N105" i="43"/>
  <c r="O105" i="43"/>
  <c r="P105" i="43"/>
  <c r="Q105" i="43"/>
  <c r="S105" i="43"/>
  <c r="T105" i="43"/>
  <c r="U105" i="43"/>
  <c r="V105" i="43"/>
  <c r="W105" i="43"/>
  <c r="X105" i="43"/>
  <c r="Y105" i="43"/>
  <c r="Z105" i="43"/>
  <c r="AA105" i="43"/>
  <c r="AB105" i="43"/>
  <c r="H106" i="43"/>
  <c r="I106" i="43"/>
  <c r="J106" i="43"/>
  <c r="K106" i="43"/>
  <c r="N106" i="43"/>
  <c r="O106" i="43"/>
  <c r="P106" i="43"/>
  <c r="Q106" i="43"/>
  <c r="S106" i="43"/>
  <c r="T106" i="43"/>
  <c r="U106" i="43"/>
  <c r="V106" i="43"/>
  <c r="W106" i="43"/>
  <c r="X106" i="43"/>
  <c r="Y106" i="43"/>
  <c r="Z106" i="43"/>
  <c r="AA106" i="43"/>
  <c r="AB106" i="43"/>
  <c r="H107" i="43"/>
  <c r="I107" i="43"/>
  <c r="J107" i="43"/>
  <c r="K107" i="43"/>
  <c r="N107" i="43"/>
  <c r="O107" i="43"/>
  <c r="P107" i="43"/>
  <c r="Q107" i="43"/>
  <c r="S107" i="43"/>
  <c r="T107" i="43"/>
  <c r="U107" i="43"/>
  <c r="V107" i="43"/>
  <c r="W107" i="43"/>
  <c r="X107" i="43"/>
  <c r="Y107" i="43"/>
  <c r="Z107" i="43"/>
  <c r="AA107" i="43"/>
  <c r="AB107" i="43"/>
  <c r="H108" i="43"/>
  <c r="I108" i="43"/>
  <c r="J108" i="43"/>
  <c r="K108" i="43"/>
  <c r="N108" i="43"/>
  <c r="O108" i="43"/>
  <c r="P108" i="43"/>
  <c r="Q108" i="43"/>
  <c r="S108" i="43"/>
  <c r="T108" i="43"/>
  <c r="U108" i="43"/>
  <c r="V108" i="43"/>
  <c r="W108" i="43"/>
  <c r="X108" i="43"/>
  <c r="Y108" i="43"/>
  <c r="Z108" i="43"/>
  <c r="AA108" i="43"/>
  <c r="AB108" i="43"/>
  <c r="H109" i="43"/>
  <c r="I109" i="43"/>
  <c r="J109" i="43"/>
  <c r="K109" i="43"/>
  <c r="N109" i="43"/>
  <c r="O109" i="43"/>
  <c r="P109" i="43"/>
  <c r="Q109" i="43"/>
  <c r="S109" i="43"/>
  <c r="T109" i="43"/>
  <c r="U109" i="43"/>
  <c r="V109" i="43"/>
  <c r="W109" i="43"/>
  <c r="X109" i="43"/>
  <c r="Y109" i="43"/>
  <c r="Z109" i="43"/>
  <c r="AA109" i="43"/>
  <c r="AB109" i="43"/>
  <c r="H110" i="43"/>
  <c r="I110" i="43"/>
  <c r="J110" i="43"/>
  <c r="K110" i="43"/>
  <c r="N110" i="43"/>
  <c r="O110" i="43"/>
  <c r="P110" i="43"/>
  <c r="Q110" i="43"/>
  <c r="S110" i="43"/>
  <c r="T110" i="43"/>
  <c r="U110" i="43"/>
  <c r="V110" i="43"/>
  <c r="W110" i="43"/>
  <c r="X110" i="43"/>
  <c r="Y110" i="43"/>
  <c r="Z110" i="43"/>
  <c r="AA110" i="43"/>
  <c r="AB110" i="43"/>
  <c r="H111" i="43"/>
  <c r="I111" i="43"/>
  <c r="J111" i="43"/>
  <c r="K111" i="43"/>
  <c r="N111" i="43"/>
  <c r="O111" i="43"/>
  <c r="P111" i="43"/>
  <c r="Q111" i="43"/>
  <c r="S111" i="43"/>
  <c r="T111" i="43"/>
  <c r="U111" i="43"/>
  <c r="V111" i="43"/>
  <c r="W111" i="43"/>
  <c r="X111" i="43"/>
  <c r="Y111" i="43"/>
  <c r="Z111" i="43"/>
  <c r="AA111" i="43"/>
  <c r="AB111" i="43"/>
  <c r="H112" i="43"/>
  <c r="I112" i="43"/>
  <c r="J112" i="43"/>
  <c r="K112" i="43"/>
  <c r="N112" i="43"/>
  <c r="O112" i="43"/>
  <c r="P112" i="43"/>
  <c r="Q112" i="43"/>
  <c r="S112" i="43"/>
  <c r="T112" i="43"/>
  <c r="U112" i="43"/>
  <c r="V112" i="43"/>
  <c r="W112" i="43"/>
  <c r="X112" i="43"/>
  <c r="Y112" i="43"/>
  <c r="Z112" i="43"/>
  <c r="AA112" i="43"/>
  <c r="AB112" i="43"/>
  <c r="H113" i="43"/>
  <c r="I113" i="43"/>
  <c r="J113" i="43"/>
  <c r="K113" i="43"/>
  <c r="N113" i="43"/>
  <c r="O113" i="43"/>
  <c r="P113" i="43"/>
  <c r="Q113" i="43"/>
  <c r="S113" i="43"/>
  <c r="T113" i="43"/>
  <c r="U113" i="43"/>
  <c r="V113" i="43"/>
  <c r="W113" i="43"/>
  <c r="X113" i="43"/>
  <c r="Y113" i="43"/>
  <c r="Z113" i="43"/>
  <c r="AA113" i="43"/>
  <c r="AB113" i="43"/>
  <c r="H114" i="43"/>
  <c r="I114" i="43"/>
  <c r="J114" i="43"/>
  <c r="K114" i="43"/>
  <c r="N114" i="43"/>
  <c r="O114" i="43"/>
  <c r="P114" i="43"/>
  <c r="Q114" i="43"/>
  <c r="S114" i="43"/>
  <c r="T114" i="43"/>
  <c r="U114" i="43"/>
  <c r="V114" i="43"/>
  <c r="W114" i="43"/>
  <c r="X114" i="43"/>
  <c r="Y114" i="43"/>
  <c r="Z114" i="43"/>
  <c r="AA114" i="43"/>
  <c r="AB114" i="43"/>
  <c r="H115" i="43"/>
  <c r="I115" i="43"/>
  <c r="J115" i="43"/>
  <c r="K115" i="43"/>
  <c r="N115" i="43"/>
  <c r="O115" i="43"/>
  <c r="P115" i="43"/>
  <c r="Q115" i="43"/>
  <c r="S115" i="43"/>
  <c r="T115" i="43"/>
  <c r="U115" i="43"/>
  <c r="V115" i="43"/>
  <c r="W115" i="43"/>
  <c r="X115" i="43"/>
  <c r="Y115" i="43"/>
  <c r="Z115" i="43"/>
  <c r="AA115" i="43"/>
  <c r="AB115" i="43"/>
  <c r="H116" i="43"/>
  <c r="I116" i="43"/>
  <c r="J116" i="43"/>
  <c r="K116" i="43"/>
  <c r="N116" i="43"/>
  <c r="O116" i="43"/>
  <c r="P116" i="43"/>
  <c r="Q116" i="43"/>
  <c r="S116" i="43"/>
  <c r="T116" i="43"/>
  <c r="U116" i="43"/>
  <c r="V116" i="43"/>
  <c r="W116" i="43"/>
  <c r="X116" i="43"/>
  <c r="Y116" i="43"/>
  <c r="Z116" i="43"/>
  <c r="AA116" i="43"/>
  <c r="AB116" i="43"/>
  <c r="H117" i="43"/>
  <c r="I117" i="43"/>
  <c r="J117" i="43"/>
  <c r="K117" i="43"/>
  <c r="N117" i="43"/>
  <c r="O117" i="43"/>
  <c r="P117" i="43"/>
  <c r="Q117" i="43"/>
  <c r="S117" i="43"/>
  <c r="T117" i="43"/>
  <c r="U117" i="43"/>
  <c r="V117" i="43"/>
  <c r="W117" i="43"/>
  <c r="X117" i="43"/>
  <c r="Y117" i="43"/>
  <c r="Z117" i="43"/>
  <c r="AA117" i="43"/>
  <c r="AB117" i="43"/>
  <c r="H118" i="43"/>
  <c r="I118" i="43"/>
  <c r="J118" i="43"/>
  <c r="K118" i="43"/>
  <c r="N118" i="43"/>
  <c r="O118" i="43"/>
  <c r="P118" i="43"/>
  <c r="Q118" i="43"/>
  <c r="S118" i="43"/>
  <c r="T118" i="43"/>
  <c r="U118" i="43"/>
  <c r="V118" i="43"/>
  <c r="W118" i="43"/>
  <c r="X118" i="43"/>
  <c r="Y118" i="43"/>
  <c r="Z118" i="43"/>
  <c r="AA118" i="43"/>
  <c r="AB118" i="43"/>
  <c r="H119" i="43"/>
  <c r="I119" i="43"/>
  <c r="J119" i="43"/>
  <c r="K119" i="43"/>
  <c r="N119" i="43"/>
  <c r="O119" i="43"/>
  <c r="P119" i="43"/>
  <c r="Q119" i="43"/>
  <c r="S119" i="43"/>
  <c r="T119" i="43"/>
  <c r="U119" i="43"/>
  <c r="V119" i="43"/>
  <c r="W119" i="43"/>
  <c r="X119" i="43"/>
  <c r="Y119" i="43"/>
  <c r="Z119" i="43"/>
  <c r="AA119" i="43"/>
  <c r="AB119" i="43"/>
  <c r="H120" i="43"/>
  <c r="I120" i="43"/>
  <c r="J120" i="43"/>
  <c r="K120" i="43"/>
  <c r="N120" i="43"/>
  <c r="O120" i="43"/>
  <c r="P120" i="43"/>
  <c r="Q120" i="43"/>
  <c r="S120" i="43"/>
  <c r="T120" i="43"/>
  <c r="U120" i="43"/>
  <c r="V120" i="43"/>
  <c r="W120" i="43"/>
  <c r="X120" i="43"/>
  <c r="Y120" i="43"/>
  <c r="Z120" i="43"/>
  <c r="AA120" i="43"/>
  <c r="AB120" i="43"/>
  <c r="H121" i="43"/>
  <c r="I121" i="43"/>
  <c r="J121" i="43"/>
  <c r="K121" i="43"/>
  <c r="N121" i="43"/>
  <c r="O121" i="43"/>
  <c r="P121" i="43"/>
  <c r="Q121" i="43"/>
  <c r="S121" i="43"/>
  <c r="T121" i="43"/>
  <c r="U121" i="43"/>
  <c r="V121" i="43"/>
  <c r="W121" i="43"/>
  <c r="X121" i="43"/>
  <c r="Y121" i="43"/>
  <c r="Z121" i="43"/>
  <c r="AA121" i="43"/>
  <c r="AB121" i="43"/>
  <c r="H122" i="43"/>
  <c r="I122" i="43"/>
  <c r="J122" i="43"/>
  <c r="K122" i="43"/>
  <c r="N122" i="43"/>
  <c r="O122" i="43"/>
  <c r="Q122" i="43"/>
  <c r="T122" i="43"/>
  <c r="U122" i="43"/>
  <c r="V122" i="43"/>
  <c r="W122" i="43"/>
  <c r="X122" i="43"/>
  <c r="Y122" i="43"/>
  <c r="Z122" i="43"/>
  <c r="AA122" i="43"/>
  <c r="AB122" i="43"/>
  <c r="AI56" i="43" l="1"/>
  <c r="AJ104" i="43"/>
  <c r="AI105" i="43"/>
  <c r="AJ105" i="43"/>
  <c r="AJ121" i="43"/>
  <c r="AI121" i="43"/>
  <c r="AD121" i="43"/>
  <c r="AJ120" i="43"/>
  <c r="AI120" i="43"/>
  <c r="AJ119" i="43"/>
  <c r="AI119" i="43"/>
  <c r="AC119" i="43"/>
  <c r="AJ118" i="43"/>
  <c r="AI118" i="43"/>
  <c r="AF118" i="43"/>
  <c r="AJ117" i="43"/>
  <c r="AI117" i="43"/>
  <c r="AJ116" i="43"/>
  <c r="AI116" i="43"/>
  <c r="AD116" i="43"/>
  <c r="AC116" i="43"/>
  <c r="AJ115" i="43"/>
  <c r="AI115" i="43"/>
  <c r="AJ114" i="43"/>
  <c r="AI114" i="43"/>
  <c r="AJ113" i="43"/>
  <c r="AI113" i="43"/>
  <c r="AD113" i="43"/>
  <c r="AJ112" i="43"/>
  <c r="AI112" i="43"/>
  <c r="AJ111" i="43"/>
  <c r="AI111" i="43"/>
  <c r="AC111" i="43"/>
  <c r="AJ110" i="43"/>
  <c r="AI110" i="43"/>
  <c r="AJ109" i="43"/>
  <c r="AI109" i="43"/>
  <c r="AJ108" i="43"/>
  <c r="AI108" i="43"/>
  <c r="AD108" i="43"/>
  <c r="AC108" i="43"/>
  <c r="AJ107" i="43"/>
  <c r="AI107" i="43"/>
  <c r="AJ106" i="43"/>
  <c r="AI106" i="43"/>
  <c r="AD105" i="43"/>
  <c r="AE105" i="43"/>
  <c r="AI104" i="43"/>
  <c r="AG104" i="43"/>
  <c r="AJ103" i="43"/>
  <c r="AI103" i="43"/>
  <c r="AD103" i="43"/>
  <c r="AJ102" i="43"/>
  <c r="AI102" i="43"/>
  <c r="AJ101" i="43"/>
  <c r="AI101" i="43"/>
  <c r="AC101" i="43"/>
  <c r="AJ100" i="43"/>
  <c r="AI100" i="43"/>
  <c r="AJ99" i="43"/>
  <c r="AI99" i="43"/>
  <c r="AJ98" i="43"/>
  <c r="AI98" i="43"/>
  <c r="AD98" i="43"/>
  <c r="AC98" i="43"/>
  <c r="AJ97" i="43"/>
  <c r="AI97" i="43"/>
  <c r="AJ96" i="43"/>
  <c r="AI96" i="43"/>
  <c r="AJ95" i="43"/>
  <c r="AI95" i="43"/>
  <c r="AD95" i="43"/>
  <c r="AJ94" i="43"/>
  <c r="AI94" i="43"/>
  <c r="AJ93" i="43"/>
  <c r="AI93" i="43"/>
  <c r="AC93" i="43"/>
  <c r="AJ92" i="43"/>
  <c r="AI92" i="43"/>
  <c r="AJ91" i="43"/>
  <c r="AI91" i="43"/>
  <c r="AJ90" i="43"/>
  <c r="AI90" i="43"/>
  <c r="AD90" i="43"/>
  <c r="AC90" i="43"/>
  <c r="AJ89" i="43"/>
  <c r="AI89" i="43"/>
  <c r="AJ88" i="43"/>
  <c r="AI88" i="43"/>
  <c r="AJ87" i="43"/>
  <c r="AI87" i="43"/>
  <c r="AD87" i="43"/>
  <c r="AJ86" i="43"/>
  <c r="AI86" i="43"/>
  <c r="AJ85" i="43"/>
  <c r="AI85" i="43"/>
  <c r="AC85" i="43"/>
  <c r="AJ84" i="43"/>
  <c r="AI84" i="43"/>
  <c r="AJ83" i="43"/>
  <c r="AI83" i="43"/>
  <c r="AJ82" i="43"/>
  <c r="AI82" i="43"/>
  <c r="AD82" i="43"/>
  <c r="AC82" i="43"/>
  <c r="AJ81" i="43"/>
  <c r="AI81" i="43"/>
  <c r="AJ80" i="43"/>
  <c r="AI80" i="43"/>
  <c r="AJ79" i="43"/>
  <c r="AI79" i="43"/>
  <c r="AD79" i="43"/>
  <c r="AJ78" i="43"/>
  <c r="AI78" i="43"/>
  <c r="AJ77" i="43"/>
  <c r="AI77" i="43"/>
  <c r="AC77" i="43"/>
  <c r="AJ76" i="43"/>
  <c r="AI76" i="43"/>
  <c r="AJ75" i="43"/>
  <c r="AI75" i="43"/>
  <c r="AJ74" i="43"/>
  <c r="AI74" i="43"/>
  <c r="AD74" i="43"/>
  <c r="AC74" i="43"/>
  <c r="AJ73" i="43"/>
  <c r="AI73" i="43"/>
  <c r="AJ72" i="43"/>
  <c r="AI72" i="43"/>
  <c r="AJ71" i="43"/>
  <c r="AI71" i="43"/>
  <c r="AD71" i="43"/>
  <c r="AJ70" i="43"/>
  <c r="AI70" i="43"/>
  <c r="AJ69" i="43"/>
  <c r="AI69" i="43"/>
  <c r="AC69" i="43"/>
  <c r="AJ68" i="43"/>
  <c r="AI68" i="43"/>
  <c r="AJ67" i="43"/>
  <c r="AI67" i="43"/>
  <c r="AJ66" i="43"/>
  <c r="AI66" i="43"/>
  <c r="AD66" i="43"/>
  <c r="AC66" i="43"/>
  <c r="AJ65" i="43"/>
  <c r="AI65" i="43"/>
  <c r="AJ64" i="43"/>
  <c r="AI64" i="43"/>
  <c r="AJ63" i="43"/>
  <c r="AI63" i="43"/>
  <c r="AD63" i="43"/>
  <c r="AJ62" i="43"/>
  <c r="AI62" i="43"/>
  <c r="AJ61" i="43"/>
  <c r="AI61" i="43"/>
  <c r="AD61" i="43"/>
  <c r="AC61" i="43"/>
  <c r="AJ60" i="43"/>
  <c r="AI60" i="43"/>
  <c r="AJ59" i="43"/>
  <c r="AI59" i="43"/>
  <c r="AJ58" i="43"/>
  <c r="AI58" i="43"/>
  <c r="AD58" i="43"/>
  <c r="AC58" i="43"/>
  <c r="AJ57" i="43"/>
  <c r="AI57" i="43"/>
  <c r="AC56" i="43"/>
  <c r="AJ56" i="43"/>
  <c r="AJ55" i="43"/>
  <c r="AI55" i="43"/>
  <c r="AD55" i="43"/>
  <c r="AH120" i="43" l="1"/>
  <c r="AH56" i="43"/>
  <c r="AH109" i="43"/>
  <c r="AH117" i="43"/>
  <c r="AF57" i="43"/>
  <c r="AH86" i="43"/>
  <c r="AG89" i="43"/>
  <c r="AH106" i="43"/>
  <c r="AG109" i="43"/>
  <c r="AH111" i="43"/>
  <c r="AF107" i="43"/>
  <c r="AE110" i="43"/>
  <c r="AF115" i="43"/>
  <c r="AH75" i="43"/>
  <c r="AG107" i="43"/>
  <c r="AH114" i="43"/>
  <c r="AH77" i="43"/>
  <c r="AH85" i="43"/>
  <c r="AG88" i="43"/>
  <c r="AH101" i="43"/>
  <c r="AH112" i="43"/>
  <c r="AH119" i="43"/>
  <c r="AG65" i="43"/>
  <c r="AE68" i="43"/>
  <c r="AF73" i="43"/>
  <c r="AH94" i="43"/>
  <c r="AG97" i="43"/>
  <c r="AE84" i="43"/>
  <c r="AF89" i="43"/>
  <c r="AE92" i="43"/>
  <c r="AE100" i="43"/>
  <c r="AG106" i="43"/>
  <c r="AE118" i="43"/>
  <c r="AG113" i="43"/>
  <c r="AH80" i="43"/>
  <c r="AG83" i="43"/>
  <c r="AH104" i="43"/>
  <c r="AF110" i="43"/>
  <c r="AD114" i="43"/>
  <c r="AH70" i="43"/>
  <c r="AG73" i="43"/>
  <c r="AH83" i="43"/>
  <c r="AH99" i="43"/>
  <c r="AG102" i="43"/>
  <c r="AD106" i="43"/>
  <c r="AE113" i="43"/>
  <c r="AG115" i="43"/>
  <c r="AG117" i="43"/>
  <c r="AE121" i="43"/>
  <c r="AH59" i="43"/>
  <c r="AH110" i="43"/>
  <c r="AH61" i="43"/>
  <c r="AG64" i="43"/>
  <c r="AF76" i="43"/>
  <c r="AE79" i="43"/>
  <c r="AF84" i="43"/>
  <c r="AE87" i="43"/>
  <c r="AF100" i="43"/>
  <c r="AE103" i="43"/>
  <c r="AG105" i="43"/>
  <c r="AC117" i="43"/>
  <c r="AE60" i="43"/>
  <c r="AH62" i="43"/>
  <c r="AH64" i="43"/>
  <c r="AC109" i="43"/>
  <c r="AG112" i="43"/>
  <c r="AG114" i="43"/>
  <c r="AG120" i="43"/>
  <c r="AF60" i="43"/>
  <c r="AG67" i="43"/>
  <c r="AH69" i="43"/>
  <c r="AG72" i="43"/>
  <c r="AE63" i="43"/>
  <c r="AF105" i="43"/>
  <c r="AC106" i="43"/>
  <c r="AH107" i="43"/>
  <c r="AE108" i="43"/>
  <c r="AG110" i="43"/>
  <c r="AD111" i="43"/>
  <c r="AF113" i="43"/>
  <c r="AC114" i="43"/>
  <c r="AH115" i="43"/>
  <c r="AE116" i="43"/>
  <c r="AG118" i="43"/>
  <c r="AD119" i="43"/>
  <c r="AF121" i="43"/>
  <c r="AF108" i="43"/>
  <c r="AE111" i="43"/>
  <c r="AF116" i="43"/>
  <c r="AH118" i="43"/>
  <c r="AE119" i="43"/>
  <c r="AG121" i="43"/>
  <c r="AE56" i="43"/>
  <c r="AF59" i="43"/>
  <c r="AF65" i="43"/>
  <c r="AH67" i="43"/>
  <c r="AH72" i="43"/>
  <c r="AF92" i="43"/>
  <c r="AE95" i="43"/>
  <c r="AF97" i="43"/>
  <c r="AH102" i="43"/>
  <c r="AH105" i="43"/>
  <c r="AE106" i="43"/>
  <c r="AG108" i="43"/>
  <c r="AD109" i="43"/>
  <c r="AF111" i="43"/>
  <c r="AC112" i="43"/>
  <c r="AH113" i="43"/>
  <c r="AE114" i="43"/>
  <c r="AG116" i="43"/>
  <c r="AD117" i="43"/>
  <c r="AF119" i="43"/>
  <c r="AC120" i="43"/>
  <c r="AH121" i="43"/>
  <c r="AG62" i="43"/>
  <c r="AG70" i="43"/>
  <c r="AG75" i="43"/>
  <c r="AG80" i="43"/>
  <c r="AF106" i="43"/>
  <c r="AC107" i="43"/>
  <c r="AH108" i="43"/>
  <c r="AE109" i="43"/>
  <c r="AG111" i="43"/>
  <c r="AD112" i="43"/>
  <c r="AF114" i="43"/>
  <c r="AC115" i="43"/>
  <c r="AH116" i="43"/>
  <c r="AE117" i="43"/>
  <c r="AG119" i="43"/>
  <c r="AD120" i="43"/>
  <c r="AE64" i="43"/>
  <c r="AD107" i="43"/>
  <c r="AF109" i="43"/>
  <c r="AC110" i="43"/>
  <c r="AE112" i="43"/>
  <c r="AD115" i="43"/>
  <c r="AF117" i="43"/>
  <c r="AC118" i="43"/>
  <c r="AE120" i="43"/>
  <c r="AG78" i="43"/>
  <c r="AH88" i="43"/>
  <c r="AG91" i="43"/>
  <c r="AH93" i="43"/>
  <c r="AG96" i="43"/>
  <c r="AC105" i="43"/>
  <c r="AE107" i="43"/>
  <c r="AD110" i="43"/>
  <c r="AF112" i="43"/>
  <c r="AC113" i="43"/>
  <c r="AE115" i="43"/>
  <c r="AD118" i="43"/>
  <c r="AF120" i="43"/>
  <c r="AC121" i="43"/>
  <c r="AE55" i="43"/>
  <c r="AG56" i="43"/>
  <c r="AF68" i="43"/>
  <c r="AE71" i="43"/>
  <c r="AH78" i="43"/>
  <c r="AG81" i="43"/>
  <c r="AG86" i="43"/>
  <c r="AH91" i="43"/>
  <c r="AH96" i="43"/>
  <c r="AG57" i="43"/>
  <c r="AG59" i="43"/>
  <c r="AF61" i="43"/>
  <c r="AC64" i="43"/>
  <c r="AE76" i="43"/>
  <c r="AF81" i="43"/>
  <c r="AG94" i="43"/>
  <c r="AG99" i="43"/>
  <c r="AF55" i="43"/>
  <c r="AH57" i="43"/>
  <c r="AE58" i="43"/>
  <c r="AG60" i="43"/>
  <c r="AF63" i="43"/>
  <c r="AH65" i="43"/>
  <c r="AE66" i="43"/>
  <c r="AG68" i="43"/>
  <c r="AD69" i="43"/>
  <c r="AF71" i="43"/>
  <c r="AC72" i="43"/>
  <c r="AH73" i="43"/>
  <c r="AE74" i="43"/>
  <c r="AG76" i="43"/>
  <c r="AD77" i="43"/>
  <c r="AF79" i="43"/>
  <c r="AC80" i="43"/>
  <c r="AH81" i="43"/>
  <c r="AE82" i="43"/>
  <c r="AG84" i="43"/>
  <c r="AD85" i="43"/>
  <c r="AF87" i="43"/>
  <c r="AC88" i="43"/>
  <c r="AH89" i="43"/>
  <c r="AE90" i="43"/>
  <c r="AG92" i="43"/>
  <c r="AD93" i="43"/>
  <c r="AF95" i="43"/>
  <c r="AC96" i="43"/>
  <c r="AH97" i="43"/>
  <c r="AE98" i="43"/>
  <c r="AG100" i="43"/>
  <c r="AD101" i="43"/>
  <c r="AF103" i="43"/>
  <c r="AC104" i="43"/>
  <c r="AG55" i="43"/>
  <c r="AD56" i="43"/>
  <c r="AF58" i="43"/>
  <c r="AC59" i="43"/>
  <c r="AH60" i="43"/>
  <c r="AE61" i="43"/>
  <c r="AG63" i="43"/>
  <c r="AD64" i="43"/>
  <c r="AF66" i="43"/>
  <c r="AC67" i="43"/>
  <c r="AH68" i="43"/>
  <c r="AE69" i="43"/>
  <c r="AG71" i="43"/>
  <c r="AD72" i="43"/>
  <c r="AF74" i="43"/>
  <c r="AC75" i="43"/>
  <c r="AH76" i="43"/>
  <c r="AE77" i="43"/>
  <c r="AG79" i="43"/>
  <c r="AD80" i="43"/>
  <c r="AF82" i="43"/>
  <c r="AC83" i="43"/>
  <c r="AH84" i="43"/>
  <c r="AE85" i="43"/>
  <c r="AG87" i="43"/>
  <c r="AD88" i="43"/>
  <c r="AF90" i="43"/>
  <c r="AC91" i="43"/>
  <c r="AH92" i="43"/>
  <c r="AE93" i="43"/>
  <c r="AG95" i="43"/>
  <c r="AD96" i="43"/>
  <c r="AF98" i="43"/>
  <c r="AC99" i="43"/>
  <c r="AH100" i="43"/>
  <c r="AE101" i="43"/>
  <c r="AG103" i="43"/>
  <c r="AD104" i="43"/>
  <c r="AH55" i="43"/>
  <c r="AG58" i="43"/>
  <c r="AD59" i="43"/>
  <c r="AC62" i="43"/>
  <c r="AH63" i="43"/>
  <c r="AG66" i="43"/>
  <c r="AD67" i="43"/>
  <c r="AF69" i="43"/>
  <c r="AC70" i="43"/>
  <c r="AH71" i="43"/>
  <c r="AE72" i="43"/>
  <c r="AG74" i="43"/>
  <c r="AD75" i="43"/>
  <c r="AF77" i="43"/>
  <c r="AC78" i="43"/>
  <c r="AH79" i="43"/>
  <c r="AE80" i="43"/>
  <c r="AG82" i="43"/>
  <c r="AD83" i="43"/>
  <c r="AF85" i="43"/>
  <c r="AC86" i="43"/>
  <c r="AH87" i="43"/>
  <c r="AE88" i="43"/>
  <c r="AG90" i="43"/>
  <c r="AD91" i="43"/>
  <c r="AF93" i="43"/>
  <c r="AC94" i="43"/>
  <c r="AH95" i="43"/>
  <c r="AE96" i="43"/>
  <c r="AG98" i="43"/>
  <c r="AD99" i="43"/>
  <c r="AF101" i="43"/>
  <c r="AC102" i="43"/>
  <c r="AH103" i="43"/>
  <c r="AE104" i="43"/>
  <c r="AF56" i="43"/>
  <c r="AC57" i="43"/>
  <c r="AH58" i="43"/>
  <c r="AE59" i="43"/>
  <c r="AG61" i="43"/>
  <c r="AD62" i="43"/>
  <c r="AF64" i="43"/>
  <c r="AC65" i="43"/>
  <c r="AH66" i="43"/>
  <c r="AE67" i="43"/>
  <c r="AG69" i="43"/>
  <c r="AD70" i="43"/>
  <c r="AF72" i="43"/>
  <c r="AC73" i="43"/>
  <c r="AH74" i="43"/>
  <c r="AE75" i="43"/>
  <c r="AG77" i="43"/>
  <c r="AD78" i="43"/>
  <c r="AF80" i="43"/>
  <c r="AC81" i="43"/>
  <c r="AH82" i="43"/>
  <c r="AE83" i="43"/>
  <c r="AG85" i="43"/>
  <c r="AD86" i="43"/>
  <c r="AF88" i="43"/>
  <c r="AC89" i="43"/>
  <c r="AH90" i="43"/>
  <c r="AE91" i="43"/>
  <c r="AG93" i="43"/>
  <c r="AD94" i="43"/>
  <c r="AF96" i="43"/>
  <c r="AC97" i="43"/>
  <c r="AH98" i="43"/>
  <c r="AE99" i="43"/>
  <c r="AG101" i="43"/>
  <c r="AD102" i="43"/>
  <c r="AF104" i="43"/>
  <c r="AD57" i="43"/>
  <c r="AC60" i="43"/>
  <c r="AE62" i="43"/>
  <c r="AD65" i="43"/>
  <c r="AF67" i="43"/>
  <c r="AC68" i="43"/>
  <c r="AE70" i="43"/>
  <c r="AD73" i="43"/>
  <c r="AF75" i="43"/>
  <c r="AC76" i="43"/>
  <c r="AE78" i="43"/>
  <c r="AD81" i="43"/>
  <c r="AF83" i="43"/>
  <c r="AC84" i="43"/>
  <c r="AE86" i="43"/>
  <c r="AD89" i="43"/>
  <c r="AF91" i="43"/>
  <c r="AC92" i="43"/>
  <c r="AE94" i="43"/>
  <c r="AD97" i="43"/>
  <c r="AF99" i="43"/>
  <c r="AC100" i="43"/>
  <c r="AE102" i="43"/>
  <c r="AC55" i="43"/>
  <c r="AE57" i="43"/>
  <c r="AD60" i="43"/>
  <c r="AF62" i="43"/>
  <c r="AC63" i="43"/>
  <c r="AE65" i="43"/>
  <c r="AD68" i="43"/>
  <c r="AF70" i="43"/>
  <c r="AC71" i="43"/>
  <c r="AE73" i="43"/>
  <c r="AD76" i="43"/>
  <c r="AF78" i="43"/>
  <c r="AC79" i="43"/>
  <c r="AE81" i="43"/>
  <c r="AD84" i="43"/>
  <c r="AF86" i="43"/>
  <c r="AC87" i="43"/>
  <c r="AE89" i="43"/>
  <c r="AD92" i="43"/>
  <c r="AF94" i="43"/>
  <c r="AC95" i="43"/>
  <c r="AE97" i="43"/>
  <c r="AD100" i="43"/>
  <c r="AF102" i="43"/>
  <c r="AC103" i="43"/>
  <c r="AB55" i="56" l="1"/>
  <c r="AA55" i="56"/>
  <c r="Z55" i="56"/>
  <c r="Y55" i="56"/>
  <c r="X55" i="56"/>
  <c r="W55" i="56"/>
  <c r="V55" i="56"/>
  <c r="U55" i="56"/>
  <c r="T55" i="56"/>
  <c r="S55" i="56"/>
  <c r="R55" i="56"/>
  <c r="Q55" i="56"/>
  <c r="P55" i="56"/>
  <c r="O55" i="56"/>
  <c r="N55" i="56"/>
  <c r="K55" i="56"/>
  <c r="J55" i="56"/>
  <c r="I55" i="56"/>
  <c r="H55" i="56"/>
  <c r="AB54" i="56"/>
  <c r="AA54" i="56"/>
  <c r="Z54" i="56"/>
  <c r="Y54" i="56"/>
  <c r="X54" i="56"/>
  <c r="W54" i="56"/>
  <c r="V54" i="56"/>
  <c r="U54" i="56"/>
  <c r="T54" i="56"/>
  <c r="S54" i="56"/>
  <c r="R54" i="56"/>
  <c r="Q54" i="56"/>
  <c r="P54" i="56"/>
  <c r="O54" i="56"/>
  <c r="N54" i="56"/>
  <c r="K54" i="56"/>
  <c r="J54" i="56"/>
  <c r="I54" i="56"/>
  <c r="H54" i="56"/>
  <c r="AB53" i="56"/>
  <c r="AA53" i="56"/>
  <c r="Z53" i="56"/>
  <c r="Y53" i="56"/>
  <c r="X53" i="56"/>
  <c r="W53" i="56"/>
  <c r="V53" i="56"/>
  <c r="U53" i="56"/>
  <c r="T53" i="56"/>
  <c r="S53" i="56"/>
  <c r="R53" i="56"/>
  <c r="Q53" i="56"/>
  <c r="P53" i="56"/>
  <c r="O53" i="56"/>
  <c r="N53" i="56"/>
  <c r="K53" i="56"/>
  <c r="J53" i="56"/>
  <c r="I53" i="56"/>
  <c r="H53" i="56"/>
  <c r="AB52" i="56"/>
  <c r="AA52" i="56"/>
  <c r="Z52" i="56"/>
  <c r="Y52" i="56"/>
  <c r="X52" i="56"/>
  <c r="W52" i="56"/>
  <c r="V52" i="56"/>
  <c r="U52" i="56"/>
  <c r="T52" i="56"/>
  <c r="S52" i="56"/>
  <c r="R52" i="56"/>
  <c r="Q52" i="56"/>
  <c r="P52" i="56"/>
  <c r="O52" i="56"/>
  <c r="N52" i="56"/>
  <c r="K52" i="56"/>
  <c r="J52" i="56"/>
  <c r="I52" i="56"/>
  <c r="H52" i="56"/>
  <c r="AB51" i="56"/>
  <c r="AA51" i="56"/>
  <c r="Z51" i="56"/>
  <c r="Y51" i="56"/>
  <c r="X51" i="56"/>
  <c r="W51" i="56"/>
  <c r="V51" i="56"/>
  <c r="U51" i="56"/>
  <c r="T51" i="56"/>
  <c r="S51" i="56"/>
  <c r="R51" i="56"/>
  <c r="Q51" i="56"/>
  <c r="P51" i="56"/>
  <c r="O51" i="56"/>
  <c r="N51" i="56"/>
  <c r="K51" i="56"/>
  <c r="J51" i="56"/>
  <c r="I51" i="56"/>
  <c r="H51" i="56"/>
  <c r="AB50" i="56"/>
  <c r="AA50" i="56"/>
  <c r="Z50" i="56"/>
  <c r="Y50" i="56"/>
  <c r="X50" i="56"/>
  <c r="W50" i="56"/>
  <c r="V50" i="56"/>
  <c r="U50" i="56"/>
  <c r="T50" i="56"/>
  <c r="S50" i="56"/>
  <c r="R50" i="56"/>
  <c r="Q50" i="56"/>
  <c r="P50" i="56"/>
  <c r="O50" i="56"/>
  <c r="N50" i="56"/>
  <c r="K50" i="56"/>
  <c r="J50" i="56"/>
  <c r="I50" i="56"/>
  <c r="H50" i="56"/>
  <c r="AB49" i="56"/>
  <c r="AA49" i="56"/>
  <c r="Z49" i="56"/>
  <c r="Y49" i="56"/>
  <c r="X49" i="56"/>
  <c r="W49" i="56"/>
  <c r="V49" i="56"/>
  <c r="U49" i="56"/>
  <c r="T49" i="56"/>
  <c r="S49" i="56"/>
  <c r="R49" i="56"/>
  <c r="Q49" i="56"/>
  <c r="P49" i="56"/>
  <c r="O49" i="56"/>
  <c r="N49" i="56"/>
  <c r="K49" i="56"/>
  <c r="J49" i="56"/>
  <c r="I49" i="56"/>
  <c r="H49" i="56"/>
  <c r="AB48" i="56"/>
  <c r="AA48" i="56"/>
  <c r="Z48" i="56"/>
  <c r="Y48" i="56"/>
  <c r="X48" i="56"/>
  <c r="W48" i="56"/>
  <c r="V48" i="56"/>
  <c r="U48" i="56"/>
  <c r="T48" i="56"/>
  <c r="S48" i="56"/>
  <c r="R48" i="56"/>
  <c r="Q48" i="56"/>
  <c r="P48" i="56"/>
  <c r="O48" i="56"/>
  <c r="N48" i="56"/>
  <c r="K48" i="56"/>
  <c r="J48" i="56"/>
  <c r="I48" i="56"/>
  <c r="H48" i="56"/>
  <c r="AB47" i="56"/>
  <c r="AA47" i="56"/>
  <c r="Z47" i="56"/>
  <c r="Y47" i="56"/>
  <c r="X47" i="56"/>
  <c r="W47" i="56"/>
  <c r="V47" i="56"/>
  <c r="U47" i="56"/>
  <c r="T47" i="56"/>
  <c r="S47" i="56"/>
  <c r="R47" i="56"/>
  <c r="Q47" i="56"/>
  <c r="P47" i="56"/>
  <c r="O47" i="56"/>
  <c r="N47" i="56"/>
  <c r="K47" i="56"/>
  <c r="J47" i="56"/>
  <c r="I47" i="56"/>
  <c r="H47" i="56"/>
  <c r="AB46" i="56"/>
  <c r="AA46" i="56"/>
  <c r="Z46" i="56"/>
  <c r="Y46" i="56"/>
  <c r="X46" i="56"/>
  <c r="W46" i="56"/>
  <c r="V46" i="56"/>
  <c r="U46" i="56"/>
  <c r="T46" i="56"/>
  <c r="S46" i="56"/>
  <c r="R46" i="56"/>
  <c r="Q46" i="56"/>
  <c r="P46" i="56"/>
  <c r="O46" i="56"/>
  <c r="N46" i="56"/>
  <c r="K46" i="56"/>
  <c r="J46" i="56"/>
  <c r="I46" i="56"/>
  <c r="H46" i="56"/>
  <c r="AB45" i="56"/>
  <c r="AA45" i="56"/>
  <c r="Z45" i="56"/>
  <c r="Y45" i="56"/>
  <c r="X45" i="56"/>
  <c r="W45" i="56"/>
  <c r="V45" i="56"/>
  <c r="U45" i="56"/>
  <c r="T45" i="56"/>
  <c r="S45" i="56"/>
  <c r="R45" i="56"/>
  <c r="Q45" i="56"/>
  <c r="P45" i="56"/>
  <c r="O45" i="56"/>
  <c r="N45" i="56"/>
  <c r="K45" i="56"/>
  <c r="J45" i="56"/>
  <c r="I45" i="56"/>
  <c r="H45" i="56"/>
  <c r="AB44" i="56"/>
  <c r="AA44" i="56"/>
  <c r="Z44" i="56"/>
  <c r="Y44" i="56"/>
  <c r="X44" i="56"/>
  <c r="W44" i="56"/>
  <c r="V44" i="56"/>
  <c r="U44" i="56"/>
  <c r="T44" i="56"/>
  <c r="S44" i="56"/>
  <c r="R44" i="56"/>
  <c r="Q44" i="56"/>
  <c r="P44" i="56"/>
  <c r="O44" i="56"/>
  <c r="N44" i="56"/>
  <c r="K44" i="56"/>
  <c r="J44" i="56"/>
  <c r="I44" i="56"/>
  <c r="H44" i="56"/>
  <c r="AB43" i="56"/>
  <c r="AA43" i="56"/>
  <c r="Z43" i="56"/>
  <c r="Y43" i="56"/>
  <c r="X43" i="56"/>
  <c r="W43" i="56"/>
  <c r="V43" i="56"/>
  <c r="U43" i="56"/>
  <c r="T43" i="56"/>
  <c r="S43" i="56"/>
  <c r="R43" i="56"/>
  <c r="Q43" i="56"/>
  <c r="P43" i="56"/>
  <c r="O43" i="56"/>
  <c r="N43" i="56"/>
  <c r="K43" i="56"/>
  <c r="J43" i="56"/>
  <c r="I43" i="56"/>
  <c r="H43" i="56"/>
  <c r="AB42" i="56"/>
  <c r="AA42" i="56"/>
  <c r="Z42" i="56"/>
  <c r="Y42" i="56"/>
  <c r="X42" i="56"/>
  <c r="W42" i="56"/>
  <c r="V42" i="56"/>
  <c r="U42" i="56"/>
  <c r="T42" i="56"/>
  <c r="S42" i="56"/>
  <c r="R42" i="56"/>
  <c r="Q42" i="56"/>
  <c r="P42" i="56"/>
  <c r="O42" i="56"/>
  <c r="N42" i="56"/>
  <c r="K42" i="56"/>
  <c r="J42" i="56"/>
  <c r="I42" i="56"/>
  <c r="H42" i="56"/>
  <c r="AB41" i="56"/>
  <c r="AA41" i="56"/>
  <c r="Z41" i="56"/>
  <c r="Y41" i="56"/>
  <c r="X41" i="56"/>
  <c r="W41" i="56"/>
  <c r="V41" i="56"/>
  <c r="U41" i="56"/>
  <c r="T41" i="56"/>
  <c r="S41" i="56"/>
  <c r="R41" i="56"/>
  <c r="Q41" i="56"/>
  <c r="P41" i="56"/>
  <c r="O41" i="56"/>
  <c r="N41" i="56"/>
  <c r="K41" i="56"/>
  <c r="J41" i="56"/>
  <c r="I41" i="56"/>
  <c r="H41" i="56"/>
  <c r="AB40" i="56"/>
  <c r="AA40" i="56"/>
  <c r="Z40" i="56"/>
  <c r="Y40" i="56"/>
  <c r="X40" i="56"/>
  <c r="W40" i="56"/>
  <c r="V40" i="56"/>
  <c r="U40" i="56"/>
  <c r="T40" i="56"/>
  <c r="S40" i="56"/>
  <c r="R40" i="56"/>
  <c r="Q40" i="56"/>
  <c r="P40" i="56"/>
  <c r="O40" i="56"/>
  <c r="N40" i="56"/>
  <c r="K40" i="56"/>
  <c r="J40" i="56"/>
  <c r="I40" i="56"/>
  <c r="H40" i="56"/>
  <c r="AB39" i="56"/>
  <c r="AA39" i="56"/>
  <c r="Z39" i="56"/>
  <c r="Y39" i="56"/>
  <c r="X39" i="56"/>
  <c r="W39" i="56"/>
  <c r="V39" i="56"/>
  <c r="U39" i="56"/>
  <c r="T39" i="56"/>
  <c r="S39" i="56"/>
  <c r="R39" i="56"/>
  <c r="Q39" i="56"/>
  <c r="P39" i="56"/>
  <c r="O39" i="56"/>
  <c r="N39" i="56"/>
  <c r="K39" i="56"/>
  <c r="J39" i="56"/>
  <c r="I39" i="56"/>
  <c r="H39" i="56"/>
  <c r="AB38" i="56"/>
  <c r="AA38" i="56"/>
  <c r="Z38" i="56"/>
  <c r="Y38" i="56"/>
  <c r="X38" i="56"/>
  <c r="W38" i="56"/>
  <c r="V38" i="56"/>
  <c r="U38" i="56"/>
  <c r="T38" i="56"/>
  <c r="S38" i="56"/>
  <c r="R38" i="56"/>
  <c r="Q38" i="56"/>
  <c r="P38" i="56"/>
  <c r="O38" i="56"/>
  <c r="N38" i="56"/>
  <c r="K38" i="56"/>
  <c r="J38" i="56"/>
  <c r="I38" i="56"/>
  <c r="H38" i="56"/>
  <c r="AB37" i="56"/>
  <c r="AA37" i="56"/>
  <c r="Z37" i="56"/>
  <c r="Y37" i="56"/>
  <c r="X37" i="56"/>
  <c r="W37" i="56"/>
  <c r="V37" i="56"/>
  <c r="U37" i="56"/>
  <c r="T37" i="56"/>
  <c r="S37" i="56"/>
  <c r="R37" i="56"/>
  <c r="Q37" i="56"/>
  <c r="P37" i="56"/>
  <c r="O37" i="56"/>
  <c r="N37" i="56"/>
  <c r="K37" i="56"/>
  <c r="J37" i="56"/>
  <c r="I37" i="56"/>
  <c r="H37" i="56"/>
  <c r="AB36" i="56"/>
  <c r="AA36" i="56"/>
  <c r="Z36" i="56"/>
  <c r="Y36" i="56"/>
  <c r="X36" i="56"/>
  <c r="W36" i="56"/>
  <c r="V36" i="56"/>
  <c r="U36" i="56"/>
  <c r="T36" i="56"/>
  <c r="S36" i="56"/>
  <c r="R36" i="56"/>
  <c r="Q36" i="56"/>
  <c r="P36" i="56"/>
  <c r="O36" i="56"/>
  <c r="N36" i="56"/>
  <c r="K36" i="56"/>
  <c r="J36" i="56"/>
  <c r="I36" i="56"/>
  <c r="H36" i="56"/>
  <c r="AB35" i="56"/>
  <c r="AA35" i="56"/>
  <c r="Z35" i="56"/>
  <c r="Y35" i="56"/>
  <c r="X35" i="56"/>
  <c r="W35" i="56"/>
  <c r="V35" i="56"/>
  <c r="U35" i="56"/>
  <c r="T35" i="56"/>
  <c r="S35" i="56"/>
  <c r="R35" i="56"/>
  <c r="Q35" i="56"/>
  <c r="P35" i="56"/>
  <c r="O35" i="56"/>
  <c r="N35" i="56"/>
  <c r="K35" i="56"/>
  <c r="J35" i="56"/>
  <c r="I35" i="56"/>
  <c r="H35" i="56"/>
  <c r="AB34" i="56"/>
  <c r="AA34" i="56"/>
  <c r="Z34" i="56"/>
  <c r="Y34" i="56"/>
  <c r="X34" i="56"/>
  <c r="W34" i="56"/>
  <c r="V34" i="56"/>
  <c r="U34" i="56"/>
  <c r="T34" i="56"/>
  <c r="S34" i="56"/>
  <c r="R34" i="56"/>
  <c r="Q34" i="56"/>
  <c r="P34" i="56"/>
  <c r="O34" i="56"/>
  <c r="N34" i="56"/>
  <c r="K34" i="56"/>
  <c r="J34" i="56"/>
  <c r="I34" i="56"/>
  <c r="H34" i="56"/>
  <c r="AB33" i="56"/>
  <c r="AA33" i="56"/>
  <c r="Z33" i="56"/>
  <c r="Y33" i="56"/>
  <c r="X33" i="56"/>
  <c r="W33" i="56"/>
  <c r="V33" i="56"/>
  <c r="U33" i="56"/>
  <c r="T33" i="56"/>
  <c r="S33" i="56"/>
  <c r="R33" i="56"/>
  <c r="Q33" i="56"/>
  <c r="P33" i="56"/>
  <c r="O33" i="56"/>
  <c r="N33" i="56"/>
  <c r="K33" i="56"/>
  <c r="J33" i="56"/>
  <c r="I33" i="56"/>
  <c r="H33" i="56"/>
  <c r="AB32" i="56"/>
  <c r="AA32" i="56"/>
  <c r="Z32" i="56"/>
  <c r="Y32" i="56"/>
  <c r="X32" i="56"/>
  <c r="W32" i="56"/>
  <c r="V32" i="56"/>
  <c r="U32" i="56"/>
  <c r="T32" i="56"/>
  <c r="S32" i="56"/>
  <c r="R32" i="56"/>
  <c r="Q32" i="56"/>
  <c r="P32" i="56"/>
  <c r="O32" i="56"/>
  <c r="N32" i="56"/>
  <c r="K32" i="56"/>
  <c r="J32" i="56"/>
  <c r="I32" i="56"/>
  <c r="H32" i="56"/>
  <c r="AB31" i="56"/>
  <c r="AA31" i="56"/>
  <c r="Z31" i="56"/>
  <c r="Y31" i="56"/>
  <c r="X31" i="56"/>
  <c r="W31" i="56"/>
  <c r="V31" i="56"/>
  <c r="U31" i="56"/>
  <c r="T31" i="56"/>
  <c r="S31" i="56"/>
  <c r="R31" i="56"/>
  <c r="Q31" i="56"/>
  <c r="P31" i="56"/>
  <c r="O31" i="56"/>
  <c r="N31" i="56"/>
  <c r="K31" i="56"/>
  <c r="J31" i="56"/>
  <c r="I31" i="56"/>
  <c r="H31" i="56"/>
  <c r="AB30" i="56"/>
  <c r="AA30" i="56"/>
  <c r="Z30" i="56"/>
  <c r="Y30" i="56"/>
  <c r="X30" i="56"/>
  <c r="W30" i="56"/>
  <c r="V30" i="56"/>
  <c r="U30" i="56"/>
  <c r="T30" i="56"/>
  <c r="S30" i="56"/>
  <c r="R30" i="56"/>
  <c r="Q30" i="56"/>
  <c r="P30" i="56"/>
  <c r="O30" i="56"/>
  <c r="N30" i="56"/>
  <c r="K30" i="56"/>
  <c r="J30" i="56"/>
  <c r="I30" i="56"/>
  <c r="H30" i="56"/>
  <c r="AB29" i="56"/>
  <c r="AA29" i="56"/>
  <c r="Z29" i="56"/>
  <c r="Y29" i="56"/>
  <c r="X29" i="56"/>
  <c r="W29" i="56"/>
  <c r="V29" i="56"/>
  <c r="U29" i="56"/>
  <c r="T29" i="56"/>
  <c r="S29" i="56"/>
  <c r="R29" i="56"/>
  <c r="Q29" i="56"/>
  <c r="P29" i="56"/>
  <c r="O29" i="56"/>
  <c r="N29" i="56"/>
  <c r="K29" i="56"/>
  <c r="J29" i="56"/>
  <c r="I29" i="56"/>
  <c r="H29" i="56"/>
  <c r="AB28" i="56"/>
  <c r="AA28" i="56"/>
  <c r="Z28" i="56"/>
  <c r="Y28" i="56"/>
  <c r="X28" i="56"/>
  <c r="W28" i="56"/>
  <c r="V28" i="56"/>
  <c r="U28" i="56"/>
  <c r="T28" i="56"/>
  <c r="S28" i="56"/>
  <c r="R28" i="56"/>
  <c r="Q28" i="56"/>
  <c r="P28" i="56"/>
  <c r="O28" i="56"/>
  <c r="N28" i="56"/>
  <c r="K28" i="56"/>
  <c r="J28" i="56"/>
  <c r="I28" i="56"/>
  <c r="H28" i="56"/>
  <c r="AB27" i="56"/>
  <c r="AA27" i="56"/>
  <c r="Z27" i="56"/>
  <c r="Y27" i="56"/>
  <c r="X27" i="56"/>
  <c r="W27" i="56"/>
  <c r="V27" i="56"/>
  <c r="U27" i="56"/>
  <c r="T27" i="56"/>
  <c r="S27" i="56"/>
  <c r="R27" i="56"/>
  <c r="Q27" i="56"/>
  <c r="P27" i="56"/>
  <c r="O27" i="56"/>
  <c r="N27" i="56"/>
  <c r="K27" i="56"/>
  <c r="J27" i="56"/>
  <c r="I27" i="56"/>
  <c r="H27" i="56"/>
  <c r="AB26" i="56"/>
  <c r="AA26" i="56"/>
  <c r="Z26" i="56"/>
  <c r="Y26" i="56"/>
  <c r="X26" i="56"/>
  <c r="W26" i="56"/>
  <c r="V26" i="56"/>
  <c r="U26" i="56"/>
  <c r="T26" i="56"/>
  <c r="S26" i="56"/>
  <c r="R26" i="56"/>
  <c r="Q26" i="56"/>
  <c r="P26" i="56"/>
  <c r="O26" i="56"/>
  <c r="N26" i="56"/>
  <c r="K26" i="56"/>
  <c r="J26" i="56"/>
  <c r="I26" i="56"/>
  <c r="H26" i="56"/>
  <c r="AB25" i="56"/>
  <c r="AA25" i="56"/>
  <c r="Z25" i="56"/>
  <c r="Y25" i="56"/>
  <c r="X25" i="56"/>
  <c r="W25" i="56"/>
  <c r="V25" i="56"/>
  <c r="U25" i="56"/>
  <c r="T25" i="56"/>
  <c r="S25" i="56"/>
  <c r="R25" i="56"/>
  <c r="Q25" i="56"/>
  <c r="P25" i="56"/>
  <c r="O25" i="56"/>
  <c r="N25" i="56"/>
  <c r="K25" i="56"/>
  <c r="J25" i="56"/>
  <c r="I25" i="56"/>
  <c r="H25" i="56"/>
  <c r="AB24" i="56"/>
  <c r="AA24" i="56"/>
  <c r="Z24" i="56"/>
  <c r="Y24" i="56"/>
  <c r="X24" i="56"/>
  <c r="W24" i="56"/>
  <c r="V24" i="56"/>
  <c r="U24" i="56"/>
  <c r="T24" i="56"/>
  <c r="S24" i="56"/>
  <c r="R24" i="56"/>
  <c r="Q24" i="56"/>
  <c r="P24" i="56"/>
  <c r="O24" i="56"/>
  <c r="N24" i="56"/>
  <c r="K24" i="56"/>
  <c r="J24" i="56"/>
  <c r="I24" i="56"/>
  <c r="H24" i="56"/>
  <c r="AB23" i="56"/>
  <c r="AA23" i="56"/>
  <c r="Z23" i="56"/>
  <c r="Y23" i="56"/>
  <c r="X23" i="56"/>
  <c r="W23" i="56"/>
  <c r="V23" i="56"/>
  <c r="U23" i="56"/>
  <c r="T23" i="56"/>
  <c r="S23" i="56"/>
  <c r="R23" i="56"/>
  <c r="Q23" i="56"/>
  <c r="P23" i="56"/>
  <c r="O23" i="56"/>
  <c r="N23" i="56"/>
  <c r="K23" i="56"/>
  <c r="J23" i="56"/>
  <c r="I23" i="56"/>
  <c r="H23" i="56"/>
  <c r="AB22" i="56"/>
  <c r="AA22" i="56"/>
  <c r="Z22" i="56"/>
  <c r="Y22" i="56"/>
  <c r="X22" i="56"/>
  <c r="W22" i="56"/>
  <c r="V22" i="56"/>
  <c r="U22" i="56"/>
  <c r="T22" i="56"/>
  <c r="S22" i="56"/>
  <c r="R22" i="56"/>
  <c r="Q22" i="56"/>
  <c r="P22" i="56"/>
  <c r="O22" i="56"/>
  <c r="N22" i="56"/>
  <c r="K22" i="56"/>
  <c r="J22" i="56"/>
  <c r="I22" i="56"/>
  <c r="H22" i="56"/>
  <c r="AB21" i="56"/>
  <c r="AA21" i="56"/>
  <c r="Z21" i="56"/>
  <c r="Y21" i="56"/>
  <c r="X21" i="56"/>
  <c r="W21" i="56"/>
  <c r="V21" i="56"/>
  <c r="U21" i="56"/>
  <c r="T21" i="56"/>
  <c r="S21" i="56"/>
  <c r="R21" i="56"/>
  <c r="Q21" i="56"/>
  <c r="P21" i="56"/>
  <c r="O21" i="56"/>
  <c r="N21" i="56"/>
  <c r="K21" i="56"/>
  <c r="J21" i="56"/>
  <c r="I21" i="56"/>
  <c r="H21" i="56"/>
  <c r="AB20" i="56"/>
  <c r="AA20" i="56"/>
  <c r="Z20" i="56"/>
  <c r="Y20" i="56"/>
  <c r="X20" i="56"/>
  <c r="W20" i="56"/>
  <c r="V20" i="56"/>
  <c r="U20" i="56"/>
  <c r="T20" i="56"/>
  <c r="S20" i="56"/>
  <c r="R20" i="56"/>
  <c r="Q20" i="56"/>
  <c r="P20" i="56"/>
  <c r="O20" i="56"/>
  <c r="N20" i="56"/>
  <c r="K20" i="56"/>
  <c r="J20" i="56"/>
  <c r="I20" i="56"/>
  <c r="H20" i="56"/>
  <c r="AB19" i="56"/>
  <c r="AA19" i="56"/>
  <c r="Z19" i="56"/>
  <c r="Y19" i="56"/>
  <c r="X19" i="56"/>
  <c r="W19" i="56"/>
  <c r="V19" i="56"/>
  <c r="U19" i="56"/>
  <c r="T19" i="56"/>
  <c r="S19" i="56"/>
  <c r="R19" i="56"/>
  <c r="Q19" i="56"/>
  <c r="P19" i="56"/>
  <c r="O19" i="56"/>
  <c r="N19" i="56"/>
  <c r="K19" i="56"/>
  <c r="J19" i="56"/>
  <c r="I19" i="56"/>
  <c r="H19" i="56"/>
  <c r="AB18" i="56"/>
  <c r="AA18" i="56"/>
  <c r="Z18" i="56"/>
  <c r="Y18" i="56"/>
  <c r="X18" i="56"/>
  <c r="W18" i="56"/>
  <c r="V18" i="56"/>
  <c r="U18" i="56"/>
  <c r="T18" i="56"/>
  <c r="S18" i="56"/>
  <c r="R18" i="56"/>
  <c r="Q18" i="56"/>
  <c r="P18" i="56"/>
  <c r="O18" i="56"/>
  <c r="N18" i="56"/>
  <c r="K18" i="56"/>
  <c r="J18" i="56"/>
  <c r="I18" i="56"/>
  <c r="H18" i="56"/>
  <c r="AB17" i="56"/>
  <c r="AA17" i="56"/>
  <c r="Z17" i="56"/>
  <c r="Y17" i="56"/>
  <c r="X17" i="56"/>
  <c r="W17" i="56"/>
  <c r="V17" i="56"/>
  <c r="U17" i="56"/>
  <c r="T17" i="56"/>
  <c r="S17" i="56"/>
  <c r="R17" i="56"/>
  <c r="Q17" i="56"/>
  <c r="P17" i="56"/>
  <c r="O17" i="56"/>
  <c r="N17" i="56"/>
  <c r="K17" i="56"/>
  <c r="J17" i="56"/>
  <c r="I17" i="56"/>
  <c r="H17" i="56"/>
  <c r="AB16" i="56"/>
  <c r="AA16" i="56"/>
  <c r="Z16" i="56"/>
  <c r="Y16" i="56"/>
  <c r="X16" i="56"/>
  <c r="W16" i="56"/>
  <c r="V16" i="56"/>
  <c r="U16" i="56"/>
  <c r="T16" i="56"/>
  <c r="S16" i="56"/>
  <c r="R16" i="56"/>
  <c r="Q16" i="56"/>
  <c r="P16" i="56"/>
  <c r="O16" i="56"/>
  <c r="N16" i="56"/>
  <c r="K16" i="56"/>
  <c r="J16" i="56"/>
  <c r="I16" i="56"/>
  <c r="H16" i="56"/>
  <c r="AB15" i="56"/>
  <c r="AA15" i="56"/>
  <c r="Z15" i="56"/>
  <c r="Y15" i="56"/>
  <c r="X15" i="56"/>
  <c r="W15" i="56"/>
  <c r="V15" i="56"/>
  <c r="U15" i="56"/>
  <c r="T15" i="56"/>
  <c r="S15" i="56"/>
  <c r="R15" i="56"/>
  <c r="Q15" i="56"/>
  <c r="P15" i="56"/>
  <c r="O15" i="56"/>
  <c r="N15" i="56"/>
  <c r="K15" i="56"/>
  <c r="J15" i="56"/>
  <c r="I15" i="56"/>
  <c r="H15" i="56"/>
  <c r="AB14" i="56"/>
  <c r="AA14" i="56"/>
  <c r="Z14" i="56"/>
  <c r="Y14" i="56"/>
  <c r="X14" i="56"/>
  <c r="W14" i="56"/>
  <c r="V14" i="56"/>
  <c r="U14" i="56"/>
  <c r="T14" i="56"/>
  <c r="S14" i="56"/>
  <c r="R14" i="56"/>
  <c r="Q14" i="56"/>
  <c r="P14" i="56"/>
  <c r="O14" i="56"/>
  <c r="N14" i="56"/>
  <c r="K14" i="56"/>
  <c r="J14" i="56"/>
  <c r="I14" i="56"/>
  <c r="H14" i="56"/>
  <c r="AB13" i="56"/>
  <c r="AA13" i="56"/>
  <c r="Z13" i="56"/>
  <c r="Y13" i="56"/>
  <c r="X13" i="56"/>
  <c r="W13" i="56"/>
  <c r="V13" i="56"/>
  <c r="U13" i="56"/>
  <c r="T13" i="56"/>
  <c r="S13" i="56"/>
  <c r="R13" i="56"/>
  <c r="Q13" i="56"/>
  <c r="P13" i="56"/>
  <c r="O13" i="56"/>
  <c r="N13" i="56"/>
  <c r="K13" i="56"/>
  <c r="J13" i="56"/>
  <c r="I13" i="56"/>
  <c r="H13" i="56"/>
  <c r="AB12" i="56"/>
  <c r="AA12" i="56"/>
  <c r="Z12" i="56"/>
  <c r="Y12" i="56"/>
  <c r="X12" i="56"/>
  <c r="W12" i="56"/>
  <c r="V12" i="56"/>
  <c r="U12" i="56"/>
  <c r="T12" i="56"/>
  <c r="S12" i="56"/>
  <c r="R12" i="56"/>
  <c r="Q12" i="56"/>
  <c r="P12" i="56"/>
  <c r="O12" i="56"/>
  <c r="N12" i="56"/>
  <c r="K12" i="56"/>
  <c r="J12" i="56"/>
  <c r="I12" i="56"/>
  <c r="H12" i="56"/>
  <c r="AB11" i="56"/>
  <c r="AA11" i="56"/>
  <c r="Z11" i="56"/>
  <c r="Y11" i="56"/>
  <c r="X11" i="56"/>
  <c r="W11" i="56"/>
  <c r="V11" i="56"/>
  <c r="U11" i="56"/>
  <c r="T11" i="56"/>
  <c r="S11" i="56"/>
  <c r="R11" i="56"/>
  <c r="Q11" i="56"/>
  <c r="P11" i="56"/>
  <c r="O11" i="56"/>
  <c r="N11" i="56"/>
  <c r="K11" i="56"/>
  <c r="J11" i="56"/>
  <c r="I11" i="56"/>
  <c r="H11" i="56"/>
  <c r="AB10" i="56"/>
  <c r="AA10" i="56"/>
  <c r="Z10" i="56"/>
  <c r="Y10" i="56"/>
  <c r="X10" i="56"/>
  <c r="W10" i="56"/>
  <c r="V10" i="56"/>
  <c r="U10" i="56"/>
  <c r="T10" i="56"/>
  <c r="S10" i="56"/>
  <c r="R10" i="56"/>
  <c r="Q10" i="56"/>
  <c r="P10" i="56"/>
  <c r="O10" i="56"/>
  <c r="N10" i="56"/>
  <c r="K10" i="56"/>
  <c r="J10" i="56"/>
  <c r="I10" i="56"/>
  <c r="H10" i="56"/>
  <c r="AB9" i="56"/>
  <c r="AA9" i="56"/>
  <c r="Z9" i="56"/>
  <c r="Y9" i="56"/>
  <c r="X9" i="56"/>
  <c r="W9" i="56"/>
  <c r="V9" i="56"/>
  <c r="U9" i="56"/>
  <c r="T9" i="56"/>
  <c r="S9" i="56"/>
  <c r="R9" i="56"/>
  <c r="Q9" i="56"/>
  <c r="P9" i="56"/>
  <c r="O9" i="56"/>
  <c r="N9" i="56"/>
  <c r="K9" i="56"/>
  <c r="J9" i="56"/>
  <c r="I9" i="56"/>
  <c r="H9" i="56"/>
  <c r="AB8" i="56"/>
  <c r="AA8" i="56"/>
  <c r="Z8" i="56"/>
  <c r="Y8" i="56"/>
  <c r="X8" i="56"/>
  <c r="W8" i="56"/>
  <c r="V8" i="56"/>
  <c r="U8" i="56"/>
  <c r="T8" i="56"/>
  <c r="S8" i="56"/>
  <c r="R8" i="56"/>
  <c r="Q8" i="56"/>
  <c r="P8" i="56"/>
  <c r="O8" i="56"/>
  <c r="N8" i="56"/>
  <c r="K8" i="56"/>
  <c r="J8" i="56"/>
  <c r="I8" i="56"/>
  <c r="H8" i="56"/>
  <c r="AB7" i="56"/>
  <c r="AA7" i="56"/>
  <c r="Z7" i="56"/>
  <c r="Y7" i="56"/>
  <c r="X7" i="56"/>
  <c r="W7" i="56"/>
  <c r="V7" i="56"/>
  <c r="U7" i="56"/>
  <c r="T7" i="56"/>
  <c r="S7" i="56"/>
  <c r="R7" i="56"/>
  <c r="Q7" i="56"/>
  <c r="P7" i="56"/>
  <c r="O7" i="56"/>
  <c r="N7" i="56"/>
  <c r="K7" i="56"/>
  <c r="J7" i="56"/>
  <c r="I7" i="56"/>
  <c r="H7" i="56"/>
  <c r="AB6" i="56"/>
  <c r="AA6" i="56"/>
  <c r="Z6" i="56"/>
  <c r="Y6" i="56"/>
  <c r="X6" i="56"/>
  <c r="W6" i="56"/>
  <c r="V6" i="56"/>
  <c r="U6" i="56"/>
  <c r="T6" i="56"/>
  <c r="S6" i="56"/>
  <c r="R6" i="56"/>
  <c r="Q6" i="56"/>
  <c r="P6" i="56"/>
  <c r="O6" i="56"/>
  <c r="N6" i="56"/>
  <c r="K6" i="56"/>
  <c r="J6" i="56"/>
  <c r="I6" i="56"/>
  <c r="H6" i="56"/>
  <c r="AB5" i="56"/>
  <c r="AA5" i="56"/>
  <c r="Z5" i="56"/>
  <c r="Y5" i="56"/>
  <c r="X5" i="56"/>
  <c r="W5" i="56"/>
  <c r="V5" i="56"/>
  <c r="U5" i="56"/>
  <c r="T5" i="56"/>
  <c r="S5" i="56"/>
  <c r="R5" i="56"/>
  <c r="Q5" i="56"/>
  <c r="P5" i="56"/>
  <c r="O5" i="56"/>
  <c r="N5" i="56"/>
  <c r="K5" i="56"/>
  <c r="J5" i="56"/>
  <c r="I5" i="56"/>
  <c r="H5" i="56"/>
  <c r="AB55" i="55"/>
  <c r="AA55" i="55"/>
  <c r="Z55" i="55"/>
  <c r="Y55" i="55"/>
  <c r="X55" i="55"/>
  <c r="W55" i="55"/>
  <c r="V55" i="55"/>
  <c r="U55" i="55"/>
  <c r="T55" i="55"/>
  <c r="S55" i="55"/>
  <c r="R55" i="55"/>
  <c r="Q55" i="55"/>
  <c r="P55" i="55"/>
  <c r="O55" i="55"/>
  <c r="N55" i="55"/>
  <c r="K55" i="55"/>
  <c r="J55" i="55"/>
  <c r="I55" i="55"/>
  <c r="H55" i="55"/>
  <c r="AB54" i="55"/>
  <c r="AA54" i="55"/>
  <c r="Z54" i="55"/>
  <c r="Y54" i="55"/>
  <c r="X54" i="55"/>
  <c r="W54" i="55"/>
  <c r="V54" i="55"/>
  <c r="U54" i="55"/>
  <c r="T54" i="55"/>
  <c r="S54" i="55"/>
  <c r="R54" i="55"/>
  <c r="Q54" i="55"/>
  <c r="P54" i="55"/>
  <c r="O54" i="55"/>
  <c r="N54" i="55"/>
  <c r="K54" i="55"/>
  <c r="J54" i="55"/>
  <c r="I54" i="55"/>
  <c r="H54" i="55"/>
  <c r="AB53" i="55"/>
  <c r="AA53" i="55"/>
  <c r="Z53" i="55"/>
  <c r="Y53" i="55"/>
  <c r="X53" i="55"/>
  <c r="W53" i="55"/>
  <c r="V53" i="55"/>
  <c r="U53" i="55"/>
  <c r="T53" i="55"/>
  <c r="S53" i="55"/>
  <c r="R53" i="55"/>
  <c r="Q53" i="55"/>
  <c r="P53" i="55"/>
  <c r="O53" i="55"/>
  <c r="N53" i="55"/>
  <c r="K53" i="55"/>
  <c r="J53" i="55"/>
  <c r="I53" i="55"/>
  <c r="H53" i="55"/>
  <c r="AB52" i="55"/>
  <c r="AA52" i="55"/>
  <c r="Z52" i="55"/>
  <c r="Y52" i="55"/>
  <c r="X52" i="55"/>
  <c r="W52" i="55"/>
  <c r="V52" i="55"/>
  <c r="U52" i="55"/>
  <c r="T52" i="55"/>
  <c r="S52" i="55"/>
  <c r="R52" i="55"/>
  <c r="Q52" i="55"/>
  <c r="P52" i="55"/>
  <c r="O52" i="55"/>
  <c r="N52" i="55"/>
  <c r="K52" i="55"/>
  <c r="J52" i="55"/>
  <c r="I52" i="55"/>
  <c r="H52" i="55"/>
  <c r="AB51" i="55"/>
  <c r="AA51" i="55"/>
  <c r="Z51" i="55"/>
  <c r="Y51" i="55"/>
  <c r="X51" i="55"/>
  <c r="W51" i="55"/>
  <c r="V51" i="55"/>
  <c r="U51" i="55"/>
  <c r="T51" i="55"/>
  <c r="S51" i="55"/>
  <c r="R51" i="55"/>
  <c r="Q51" i="55"/>
  <c r="P51" i="55"/>
  <c r="O51" i="55"/>
  <c r="N51" i="55"/>
  <c r="K51" i="55"/>
  <c r="J51" i="55"/>
  <c r="I51" i="55"/>
  <c r="H51" i="55"/>
  <c r="AB50" i="55"/>
  <c r="AA50" i="55"/>
  <c r="Z50" i="55"/>
  <c r="Y50" i="55"/>
  <c r="X50" i="55"/>
  <c r="W50" i="55"/>
  <c r="V50" i="55"/>
  <c r="U50" i="55"/>
  <c r="T50" i="55"/>
  <c r="S50" i="55"/>
  <c r="R50" i="55"/>
  <c r="Q50" i="55"/>
  <c r="P50" i="55"/>
  <c r="O50" i="55"/>
  <c r="N50" i="55"/>
  <c r="K50" i="55"/>
  <c r="J50" i="55"/>
  <c r="I50" i="55"/>
  <c r="H50" i="55"/>
  <c r="AB49" i="55"/>
  <c r="AA49" i="55"/>
  <c r="Z49" i="55"/>
  <c r="Y49" i="55"/>
  <c r="X49" i="55"/>
  <c r="W49" i="55"/>
  <c r="V49" i="55"/>
  <c r="U49" i="55"/>
  <c r="T49" i="55"/>
  <c r="S49" i="55"/>
  <c r="R49" i="55"/>
  <c r="Q49" i="55"/>
  <c r="P49" i="55"/>
  <c r="O49" i="55"/>
  <c r="N49" i="55"/>
  <c r="K49" i="55"/>
  <c r="J49" i="55"/>
  <c r="I49" i="55"/>
  <c r="H49" i="55"/>
  <c r="AB48" i="55"/>
  <c r="AA48" i="55"/>
  <c r="Z48" i="55"/>
  <c r="Y48" i="55"/>
  <c r="X48" i="55"/>
  <c r="W48" i="55"/>
  <c r="V48" i="55"/>
  <c r="U48" i="55"/>
  <c r="T48" i="55"/>
  <c r="S48" i="55"/>
  <c r="R48" i="55"/>
  <c r="Q48" i="55"/>
  <c r="P48" i="55"/>
  <c r="O48" i="55"/>
  <c r="N48" i="55"/>
  <c r="K48" i="55"/>
  <c r="J48" i="55"/>
  <c r="I48" i="55"/>
  <c r="H48" i="55"/>
  <c r="AB47" i="55"/>
  <c r="AA47" i="55"/>
  <c r="Z47" i="55"/>
  <c r="Y47" i="55"/>
  <c r="X47" i="55"/>
  <c r="W47" i="55"/>
  <c r="V47" i="55"/>
  <c r="U47" i="55"/>
  <c r="T47" i="55"/>
  <c r="S47" i="55"/>
  <c r="R47" i="55"/>
  <c r="Q47" i="55"/>
  <c r="P47" i="55"/>
  <c r="O47" i="55"/>
  <c r="N47" i="55"/>
  <c r="K47" i="55"/>
  <c r="J47" i="55"/>
  <c r="I47" i="55"/>
  <c r="H47" i="55"/>
  <c r="AB46" i="55"/>
  <c r="AA46" i="55"/>
  <c r="Z46" i="55"/>
  <c r="Y46" i="55"/>
  <c r="X46" i="55"/>
  <c r="W46" i="55"/>
  <c r="V46" i="55"/>
  <c r="U46" i="55"/>
  <c r="T46" i="55"/>
  <c r="S46" i="55"/>
  <c r="R46" i="55"/>
  <c r="Q46" i="55"/>
  <c r="P46" i="55"/>
  <c r="O46" i="55"/>
  <c r="N46" i="55"/>
  <c r="K46" i="55"/>
  <c r="J46" i="55"/>
  <c r="I46" i="55"/>
  <c r="H46" i="55"/>
  <c r="AB45" i="55"/>
  <c r="AA45" i="55"/>
  <c r="Z45" i="55"/>
  <c r="Y45" i="55"/>
  <c r="X45" i="55"/>
  <c r="W45" i="55"/>
  <c r="V45" i="55"/>
  <c r="U45" i="55"/>
  <c r="T45" i="55"/>
  <c r="S45" i="55"/>
  <c r="R45" i="55"/>
  <c r="Q45" i="55"/>
  <c r="P45" i="55"/>
  <c r="O45" i="55"/>
  <c r="N45" i="55"/>
  <c r="K45" i="55"/>
  <c r="J45" i="55"/>
  <c r="I45" i="55"/>
  <c r="H45" i="55"/>
  <c r="AB44" i="55"/>
  <c r="AA44" i="55"/>
  <c r="Z44" i="55"/>
  <c r="Y44" i="55"/>
  <c r="X44" i="55"/>
  <c r="W44" i="55"/>
  <c r="V44" i="55"/>
  <c r="U44" i="55"/>
  <c r="T44" i="55"/>
  <c r="S44" i="55"/>
  <c r="R44" i="55"/>
  <c r="Q44" i="55"/>
  <c r="P44" i="55"/>
  <c r="O44" i="55"/>
  <c r="N44" i="55"/>
  <c r="K44" i="55"/>
  <c r="J44" i="55"/>
  <c r="I44" i="55"/>
  <c r="H44" i="55"/>
  <c r="AB43" i="55"/>
  <c r="AA43" i="55"/>
  <c r="Z43" i="55"/>
  <c r="Y43" i="55"/>
  <c r="X43" i="55"/>
  <c r="W43" i="55"/>
  <c r="V43" i="55"/>
  <c r="U43" i="55"/>
  <c r="T43" i="55"/>
  <c r="S43" i="55"/>
  <c r="R43" i="55"/>
  <c r="Q43" i="55"/>
  <c r="P43" i="55"/>
  <c r="O43" i="55"/>
  <c r="N43" i="55"/>
  <c r="K43" i="55"/>
  <c r="J43" i="55"/>
  <c r="I43" i="55"/>
  <c r="H43" i="55"/>
  <c r="AB42" i="55"/>
  <c r="AA42" i="55"/>
  <c r="Z42" i="55"/>
  <c r="Y42" i="55"/>
  <c r="X42" i="55"/>
  <c r="W42" i="55"/>
  <c r="V42" i="55"/>
  <c r="U42" i="55"/>
  <c r="T42" i="55"/>
  <c r="S42" i="55"/>
  <c r="R42" i="55"/>
  <c r="Q42" i="55"/>
  <c r="P42" i="55"/>
  <c r="O42" i="55"/>
  <c r="N42" i="55"/>
  <c r="K42" i="55"/>
  <c r="J42" i="55"/>
  <c r="I42" i="55"/>
  <c r="H42" i="55"/>
  <c r="AB41" i="55"/>
  <c r="AA41" i="55"/>
  <c r="Z41" i="55"/>
  <c r="Y41" i="55"/>
  <c r="X41" i="55"/>
  <c r="W41" i="55"/>
  <c r="V41" i="55"/>
  <c r="U41" i="55"/>
  <c r="T41" i="55"/>
  <c r="S41" i="55"/>
  <c r="R41" i="55"/>
  <c r="Q41" i="55"/>
  <c r="P41" i="55"/>
  <c r="O41" i="55"/>
  <c r="N41" i="55"/>
  <c r="K41" i="55"/>
  <c r="J41" i="55"/>
  <c r="I41" i="55"/>
  <c r="H41" i="55"/>
  <c r="AB40" i="55"/>
  <c r="AA40" i="55"/>
  <c r="Z40" i="55"/>
  <c r="Y40" i="55"/>
  <c r="X40" i="55"/>
  <c r="W40" i="55"/>
  <c r="V40" i="55"/>
  <c r="U40" i="55"/>
  <c r="T40" i="55"/>
  <c r="S40" i="55"/>
  <c r="R40" i="55"/>
  <c r="Q40" i="55"/>
  <c r="P40" i="55"/>
  <c r="O40" i="55"/>
  <c r="N40" i="55"/>
  <c r="K40" i="55"/>
  <c r="J40" i="55"/>
  <c r="I40" i="55"/>
  <c r="H40" i="55"/>
  <c r="AB39" i="55"/>
  <c r="AA39" i="55"/>
  <c r="Z39" i="55"/>
  <c r="Y39" i="55"/>
  <c r="X39" i="55"/>
  <c r="W39" i="55"/>
  <c r="V39" i="55"/>
  <c r="U39" i="55"/>
  <c r="T39" i="55"/>
  <c r="S39" i="55"/>
  <c r="R39" i="55"/>
  <c r="Q39" i="55"/>
  <c r="P39" i="55"/>
  <c r="O39" i="55"/>
  <c r="N39" i="55"/>
  <c r="K39" i="55"/>
  <c r="J39" i="55"/>
  <c r="I39" i="55"/>
  <c r="H39" i="55"/>
  <c r="AB38" i="55"/>
  <c r="AA38" i="55"/>
  <c r="Z38" i="55"/>
  <c r="Y38" i="55"/>
  <c r="X38" i="55"/>
  <c r="W38" i="55"/>
  <c r="V38" i="55"/>
  <c r="U38" i="55"/>
  <c r="T38" i="55"/>
  <c r="S38" i="55"/>
  <c r="R38" i="55"/>
  <c r="Q38" i="55"/>
  <c r="P38" i="55"/>
  <c r="O38" i="55"/>
  <c r="N38" i="55"/>
  <c r="K38" i="55"/>
  <c r="J38" i="55"/>
  <c r="I38" i="55"/>
  <c r="H38" i="55"/>
  <c r="AB37" i="55"/>
  <c r="AA37" i="55"/>
  <c r="Z37" i="55"/>
  <c r="Y37" i="55"/>
  <c r="X37" i="55"/>
  <c r="W37" i="55"/>
  <c r="V37" i="55"/>
  <c r="U37" i="55"/>
  <c r="T37" i="55"/>
  <c r="S37" i="55"/>
  <c r="R37" i="55"/>
  <c r="Q37" i="55"/>
  <c r="P37" i="55"/>
  <c r="O37" i="55"/>
  <c r="N37" i="55"/>
  <c r="K37" i="55"/>
  <c r="J37" i="55"/>
  <c r="I37" i="55"/>
  <c r="H37" i="55"/>
  <c r="AB36" i="55"/>
  <c r="AA36" i="55"/>
  <c r="Z36" i="55"/>
  <c r="Y36" i="55"/>
  <c r="X36" i="55"/>
  <c r="W36" i="55"/>
  <c r="V36" i="55"/>
  <c r="U36" i="55"/>
  <c r="T36" i="55"/>
  <c r="S36" i="55"/>
  <c r="R36" i="55"/>
  <c r="Q36" i="55"/>
  <c r="P36" i="55"/>
  <c r="O36" i="55"/>
  <c r="N36" i="55"/>
  <c r="K36" i="55"/>
  <c r="J36" i="55"/>
  <c r="I36" i="55"/>
  <c r="H36" i="55"/>
  <c r="AB35" i="55"/>
  <c r="AA35" i="55"/>
  <c r="Z35" i="55"/>
  <c r="Y35" i="55"/>
  <c r="X35" i="55"/>
  <c r="W35" i="55"/>
  <c r="V35" i="55"/>
  <c r="U35" i="55"/>
  <c r="T35" i="55"/>
  <c r="S35" i="55"/>
  <c r="R35" i="55"/>
  <c r="Q35" i="55"/>
  <c r="P35" i="55"/>
  <c r="O35" i="55"/>
  <c r="N35" i="55"/>
  <c r="K35" i="55"/>
  <c r="J35" i="55"/>
  <c r="I35" i="55"/>
  <c r="H35" i="55"/>
  <c r="AB34" i="55"/>
  <c r="AA34" i="55"/>
  <c r="Z34" i="55"/>
  <c r="Y34" i="55"/>
  <c r="X34" i="55"/>
  <c r="W34" i="55"/>
  <c r="V34" i="55"/>
  <c r="U34" i="55"/>
  <c r="T34" i="55"/>
  <c r="S34" i="55"/>
  <c r="R34" i="55"/>
  <c r="Q34" i="55"/>
  <c r="P34" i="55"/>
  <c r="O34" i="55"/>
  <c r="N34" i="55"/>
  <c r="K34" i="55"/>
  <c r="J34" i="55"/>
  <c r="I34" i="55"/>
  <c r="H34" i="55"/>
  <c r="AB33" i="55"/>
  <c r="AA33" i="55"/>
  <c r="Z33" i="55"/>
  <c r="Y33" i="55"/>
  <c r="X33" i="55"/>
  <c r="W33" i="55"/>
  <c r="V33" i="55"/>
  <c r="U33" i="55"/>
  <c r="T33" i="55"/>
  <c r="S33" i="55"/>
  <c r="R33" i="55"/>
  <c r="Q33" i="55"/>
  <c r="P33" i="55"/>
  <c r="O33" i="55"/>
  <c r="N33" i="55"/>
  <c r="K33" i="55"/>
  <c r="J33" i="55"/>
  <c r="I33" i="55"/>
  <c r="H33" i="55"/>
  <c r="AB32" i="55"/>
  <c r="AA32" i="55"/>
  <c r="Z32" i="55"/>
  <c r="Y32" i="55"/>
  <c r="X32" i="55"/>
  <c r="W32" i="55"/>
  <c r="V32" i="55"/>
  <c r="U32" i="55"/>
  <c r="T32" i="55"/>
  <c r="S32" i="55"/>
  <c r="R32" i="55"/>
  <c r="Q32" i="55"/>
  <c r="P32" i="55"/>
  <c r="O32" i="55"/>
  <c r="N32" i="55"/>
  <c r="K32" i="55"/>
  <c r="J32" i="55"/>
  <c r="I32" i="55"/>
  <c r="H32" i="55"/>
  <c r="AB31" i="55"/>
  <c r="AA31" i="55"/>
  <c r="Z31" i="55"/>
  <c r="Y31" i="55"/>
  <c r="X31" i="55"/>
  <c r="W31" i="55"/>
  <c r="V31" i="55"/>
  <c r="U31" i="55"/>
  <c r="T31" i="55"/>
  <c r="S31" i="55"/>
  <c r="R31" i="55"/>
  <c r="Q31" i="55"/>
  <c r="P31" i="55"/>
  <c r="O31" i="55"/>
  <c r="N31" i="55"/>
  <c r="K31" i="55"/>
  <c r="J31" i="55"/>
  <c r="I31" i="55"/>
  <c r="H31" i="55"/>
  <c r="AB30" i="55"/>
  <c r="AA30" i="55"/>
  <c r="Z30" i="55"/>
  <c r="Y30" i="55"/>
  <c r="X30" i="55"/>
  <c r="W30" i="55"/>
  <c r="V30" i="55"/>
  <c r="U30" i="55"/>
  <c r="T30" i="55"/>
  <c r="S30" i="55"/>
  <c r="R30" i="55"/>
  <c r="Q30" i="55"/>
  <c r="P30" i="55"/>
  <c r="O30" i="55"/>
  <c r="N30" i="55"/>
  <c r="K30" i="55"/>
  <c r="J30" i="55"/>
  <c r="I30" i="55"/>
  <c r="H30" i="55"/>
  <c r="AB29" i="55"/>
  <c r="AA29" i="55"/>
  <c r="Z29" i="55"/>
  <c r="Y29" i="55"/>
  <c r="X29" i="55"/>
  <c r="W29" i="55"/>
  <c r="V29" i="55"/>
  <c r="U29" i="55"/>
  <c r="T29" i="55"/>
  <c r="S29" i="55"/>
  <c r="R29" i="55"/>
  <c r="Q29" i="55"/>
  <c r="P29" i="55"/>
  <c r="O29" i="55"/>
  <c r="N29" i="55"/>
  <c r="K29" i="55"/>
  <c r="J29" i="55"/>
  <c r="I29" i="55"/>
  <c r="H29" i="55"/>
  <c r="AB28" i="55"/>
  <c r="AA28" i="55"/>
  <c r="Z28" i="55"/>
  <c r="Y28" i="55"/>
  <c r="X28" i="55"/>
  <c r="W28" i="55"/>
  <c r="V28" i="55"/>
  <c r="U28" i="55"/>
  <c r="T28" i="55"/>
  <c r="S28" i="55"/>
  <c r="R28" i="55"/>
  <c r="Q28" i="55"/>
  <c r="P28" i="55"/>
  <c r="O28" i="55"/>
  <c r="N28" i="55"/>
  <c r="K28" i="55"/>
  <c r="J28" i="55"/>
  <c r="I28" i="55"/>
  <c r="H28" i="55"/>
  <c r="AB27" i="55"/>
  <c r="AA27" i="55"/>
  <c r="Z27" i="55"/>
  <c r="Y27" i="55"/>
  <c r="X27" i="55"/>
  <c r="W27" i="55"/>
  <c r="V27" i="55"/>
  <c r="U27" i="55"/>
  <c r="T27" i="55"/>
  <c r="S27" i="55"/>
  <c r="R27" i="55"/>
  <c r="Q27" i="55"/>
  <c r="P27" i="55"/>
  <c r="O27" i="55"/>
  <c r="N27" i="55"/>
  <c r="K27" i="55"/>
  <c r="J27" i="55"/>
  <c r="I27" i="55"/>
  <c r="H27" i="55"/>
  <c r="AB26" i="55"/>
  <c r="AA26" i="55"/>
  <c r="Z26" i="55"/>
  <c r="Y26" i="55"/>
  <c r="X26" i="55"/>
  <c r="W26" i="55"/>
  <c r="V26" i="55"/>
  <c r="U26" i="55"/>
  <c r="T26" i="55"/>
  <c r="S26" i="55"/>
  <c r="R26" i="55"/>
  <c r="Q26" i="55"/>
  <c r="P26" i="55"/>
  <c r="O26" i="55"/>
  <c r="N26" i="55"/>
  <c r="K26" i="55"/>
  <c r="J26" i="55"/>
  <c r="I26" i="55"/>
  <c r="H26" i="55"/>
  <c r="AB25" i="55"/>
  <c r="AA25" i="55"/>
  <c r="Z25" i="55"/>
  <c r="Y25" i="55"/>
  <c r="X25" i="55"/>
  <c r="W25" i="55"/>
  <c r="V25" i="55"/>
  <c r="U25" i="55"/>
  <c r="T25" i="55"/>
  <c r="S25" i="55"/>
  <c r="R25" i="55"/>
  <c r="Q25" i="55"/>
  <c r="P25" i="55"/>
  <c r="O25" i="55"/>
  <c r="N25" i="55"/>
  <c r="K25" i="55"/>
  <c r="J25" i="55"/>
  <c r="I25" i="55"/>
  <c r="H25" i="55"/>
  <c r="AB24" i="55"/>
  <c r="AA24" i="55"/>
  <c r="Z24" i="55"/>
  <c r="Y24" i="55"/>
  <c r="X24" i="55"/>
  <c r="W24" i="55"/>
  <c r="V24" i="55"/>
  <c r="U24" i="55"/>
  <c r="T24" i="55"/>
  <c r="S24" i="55"/>
  <c r="R24" i="55"/>
  <c r="Q24" i="55"/>
  <c r="P24" i="55"/>
  <c r="O24" i="55"/>
  <c r="N24" i="55"/>
  <c r="K24" i="55"/>
  <c r="J24" i="55"/>
  <c r="I24" i="55"/>
  <c r="H24" i="55"/>
  <c r="AB23" i="55"/>
  <c r="AA23" i="55"/>
  <c r="Z23" i="55"/>
  <c r="Y23" i="55"/>
  <c r="X23" i="55"/>
  <c r="W23" i="55"/>
  <c r="V23" i="55"/>
  <c r="U23" i="55"/>
  <c r="T23" i="55"/>
  <c r="S23" i="55"/>
  <c r="R23" i="55"/>
  <c r="Q23" i="55"/>
  <c r="P23" i="55"/>
  <c r="O23" i="55"/>
  <c r="N23" i="55"/>
  <c r="K23" i="55"/>
  <c r="J23" i="55"/>
  <c r="I23" i="55"/>
  <c r="H23" i="55"/>
  <c r="AB22" i="55"/>
  <c r="AA22" i="55"/>
  <c r="Z22" i="55"/>
  <c r="Y22" i="55"/>
  <c r="X22" i="55"/>
  <c r="W22" i="55"/>
  <c r="V22" i="55"/>
  <c r="U22" i="55"/>
  <c r="T22" i="55"/>
  <c r="S22" i="55"/>
  <c r="R22" i="55"/>
  <c r="Q22" i="55"/>
  <c r="P22" i="55"/>
  <c r="O22" i="55"/>
  <c r="N22" i="55"/>
  <c r="K22" i="55"/>
  <c r="J22" i="55"/>
  <c r="I22" i="55"/>
  <c r="H22" i="55"/>
  <c r="AB21" i="55"/>
  <c r="AA21" i="55"/>
  <c r="Z21" i="55"/>
  <c r="Y21" i="55"/>
  <c r="X21" i="55"/>
  <c r="W21" i="55"/>
  <c r="V21" i="55"/>
  <c r="U21" i="55"/>
  <c r="T21" i="55"/>
  <c r="S21" i="55"/>
  <c r="R21" i="55"/>
  <c r="Q21" i="55"/>
  <c r="P21" i="55"/>
  <c r="O21" i="55"/>
  <c r="N21" i="55"/>
  <c r="K21" i="55"/>
  <c r="J21" i="55"/>
  <c r="I21" i="55"/>
  <c r="H21" i="55"/>
  <c r="AB20" i="55"/>
  <c r="AA20" i="55"/>
  <c r="Z20" i="55"/>
  <c r="Y20" i="55"/>
  <c r="X20" i="55"/>
  <c r="W20" i="55"/>
  <c r="V20" i="55"/>
  <c r="U20" i="55"/>
  <c r="T20" i="55"/>
  <c r="S20" i="55"/>
  <c r="R20" i="55"/>
  <c r="Q20" i="55"/>
  <c r="P20" i="55"/>
  <c r="O20" i="55"/>
  <c r="N20" i="55"/>
  <c r="K20" i="55"/>
  <c r="J20" i="55"/>
  <c r="I20" i="55"/>
  <c r="H20" i="55"/>
  <c r="AB19" i="55"/>
  <c r="AA19" i="55"/>
  <c r="Z19" i="55"/>
  <c r="Y19" i="55"/>
  <c r="X19" i="55"/>
  <c r="W19" i="55"/>
  <c r="V19" i="55"/>
  <c r="U19" i="55"/>
  <c r="T19" i="55"/>
  <c r="S19" i="55"/>
  <c r="R19" i="55"/>
  <c r="Q19" i="55"/>
  <c r="P19" i="55"/>
  <c r="O19" i="55"/>
  <c r="N19" i="55"/>
  <c r="K19" i="55"/>
  <c r="J19" i="55"/>
  <c r="I19" i="55"/>
  <c r="H19" i="55"/>
  <c r="AB18" i="55"/>
  <c r="AA18" i="55"/>
  <c r="Z18" i="55"/>
  <c r="Y18" i="55"/>
  <c r="X18" i="55"/>
  <c r="W18" i="55"/>
  <c r="V18" i="55"/>
  <c r="U18" i="55"/>
  <c r="T18" i="55"/>
  <c r="S18" i="55"/>
  <c r="R18" i="55"/>
  <c r="Q18" i="55"/>
  <c r="P18" i="55"/>
  <c r="O18" i="55"/>
  <c r="N18" i="55"/>
  <c r="K18" i="55"/>
  <c r="J18" i="55"/>
  <c r="I18" i="55"/>
  <c r="H18" i="55"/>
  <c r="AB17" i="55"/>
  <c r="AA17" i="55"/>
  <c r="Z17" i="55"/>
  <c r="Y17" i="55"/>
  <c r="X17" i="55"/>
  <c r="W17" i="55"/>
  <c r="V17" i="55"/>
  <c r="U17" i="55"/>
  <c r="T17" i="55"/>
  <c r="S17" i="55"/>
  <c r="R17" i="55"/>
  <c r="Q17" i="55"/>
  <c r="P17" i="55"/>
  <c r="O17" i="55"/>
  <c r="N17" i="55"/>
  <c r="K17" i="55"/>
  <c r="J17" i="55"/>
  <c r="I17" i="55"/>
  <c r="H17" i="55"/>
  <c r="AB16" i="55"/>
  <c r="AA16" i="55"/>
  <c r="Z16" i="55"/>
  <c r="Y16" i="55"/>
  <c r="X16" i="55"/>
  <c r="W16" i="55"/>
  <c r="V16" i="55"/>
  <c r="U16" i="55"/>
  <c r="T16" i="55"/>
  <c r="S16" i="55"/>
  <c r="R16" i="55"/>
  <c r="Q16" i="55"/>
  <c r="P16" i="55"/>
  <c r="O16" i="55"/>
  <c r="N16" i="55"/>
  <c r="K16" i="55"/>
  <c r="J16" i="55"/>
  <c r="I16" i="55"/>
  <c r="H16" i="55"/>
  <c r="AB15" i="55"/>
  <c r="AA15" i="55"/>
  <c r="Z15" i="55"/>
  <c r="Y15" i="55"/>
  <c r="X15" i="55"/>
  <c r="W15" i="55"/>
  <c r="V15" i="55"/>
  <c r="U15" i="55"/>
  <c r="T15" i="55"/>
  <c r="S15" i="55"/>
  <c r="R15" i="55"/>
  <c r="Q15" i="55"/>
  <c r="P15" i="55"/>
  <c r="O15" i="55"/>
  <c r="N15" i="55"/>
  <c r="K15" i="55"/>
  <c r="J15" i="55"/>
  <c r="I15" i="55"/>
  <c r="H15" i="55"/>
  <c r="AB14" i="55"/>
  <c r="AA14" i="55"/>
  <c r="Z14" i="55"/>
  <c r="Y14" i="55"/>
  <c r="X14" i="55"/>
  <c r="W14" i="55"/>
  <c r="V14" i="55"/>
  <c r="U14" i="55"/>
  <c r="T14" i="55"/>
  <c r="S14" i="55"/>
  <c r="R14" i="55"/>
  <c r="Q14" i="55"/>
  <c r="P14" i="55"/>
  <c r="O14" i="55"/>
  <c r="N14" i="55"/>
  <c r="K14" i="55"/>
  <c r="J14" i="55"/>
  <c r="I14" i="55"/>
  <c r="H14" i="55"/>
  <c r="AB13" i="55"/>
  <c r="AA13" i="55"/>
  <c r="Z13" i="55"/>
  <c r="Y13" i="55"/>
  <c r="X13" i="55"/>
  <c r="W13" i="55"/>
  <c r="V13" i="55"/>
  <c r="U13" i="55"/>
  <c r="T13" i="55"/>
  <c r="S13" i="55"/>
  <c r="R13" i="55"/>
  <c r="Q13" i="55"/>
  <c r="P13" i="55"/>
  <c r="O13" i="55"/>
  <c r="N13" i="55"/>
  <c r="K13" i="55"/>
  <c r="J13" i="55"/>
  <c r="I13" i="55"/>
  <c r="H13" i="55"/>
  <c r="AB12" i="55"/>
  <c r="AA12" i="55"/>
  <c r="Z12" i="55"/>
  <c r="Y12" i="55"/>
  <c r="X12" i="55"/>
  <c r="W12" i="55"/>
  <c r="V12" i="55"/>
  <c r="U12" i="55"/>
  <c r="T12" i="55"/>
  <c r="S12" i="55"/>
  <c r="R12" i="55"/>
  <c r="Q12" i="55"/>
  <c r="P12" i="55"/>
  <c r="O12" i="55"/>
  <c r="N12" i="55"/>
  <c r="K12" i="55"/>
  <c r="J12" i="55"/>
  <c r="I12" i="55"/>
  <c r="H12" i="55"/>
  <c r="AB11" i="55"/>
  <c r="AA11" i="55"/>
  <c r="Z11" i="55"/>
  <c r="Y11" i="55"/>
  <c r="X11" i="55"/>
  <c r="W11" i="55"/>
  <c r="V11" i="55"/>
  <c r="U11" i="55"/>
  <c r="T11" i="55"/>
  <c r="S11" i="55"/>
  <c r="R11" i="55"/>
  <c r="Q11" i="55"/>
  <c r="P11" i="55"/>
  <c r="O11" i="55"/>
  <c r="N11" i="55"/>
  <c r="K11" i="55"/>
  <c r="J11" i="55"/>
  <c r="I11" i="55"/>
  <c r="H11" i="55"/>
  <c r="AB10" i="55"/>
  <c r="AA10" i="55"/>
  <c r="Z10" i="55"/>
  <c r="Y10" i="55"/>
  <c r="X10" i="55"/>
  <c r="W10" i="55"/>
  <c r="V10" i="55"/>
  <c r="U10" i="55"/>
  <c r="T10" i="55"/>
  <c r="S10" i="55"/>
  <c r="R10" i="55"/>
  <c r="Q10" i="55"/>
  <c r="P10" i="55"/>
  <c r="O10" i="55"/>
  <c r="N10" i="55"/>
  <c r="K10" i="55"/>
  <c r="J10" i="55"/>
  <c r="I10" i="55"/>
  <c r="H10" i="55"/>
  <c r="AB9" i="55"/>
  <c r="AA9" i="55"/>
  <c r="Z9" i="55"/>
  <c r="Y9" i="55"/>
  <c r="X9" i="55"/>
  <c r="W9" i="55"/>
  <c r="V9" i="55"/>
  <c r="U9" i="55"/>
  <c r="T9" i="55"/>
  <c r="S9" i="55"/>
  <c r="R9" i="55"/>
  <c r="Q9" i="55"/>
  <c r="P9" i="55"/>
  <c r="O9" i="55"/>
  <c r="N9" i="55"/>
  <c r="K9" i="55"/>
  <c r="J9" i="55"/>
  <c r="I9" i="55"/>
  <c r="H9" i="55"/>
  <c r="AB8" i="55"/>
  <c r="AA8" i="55"/>
  <c r="Z8" i="55"/>
  <c r="Y8" i="55"/>
  <c r="X8" i="55"/>
  <c r="W8" i="55"/>
  <c r="V8" i="55"/>
  <c r="U8" i="55"/>
  <c r="T8" i="55"/>
  <c r="S8" i="55"/>
  <c r="R8" i="55"/>
  <c r="Q8" i="55"/>
  <c r="P8" i="55"/>
  <c r="O8" i="55"/>
  <c r="N8" i="55"/>
  <c r="K8" i="55"/>
  <c r="J8" i="55"/>
  <c r="I8" i="55"/>
  <c r="H8" i="55"/>
  <c r="AB7" i="55"/>
  <c r="AA7" i="55"/>
  <c r="Z7" i="55"/>
  <c r="Y7" i="55"/>
  <c r="X7" i="55"/>
  <c r="W7" i="55"/>
  <c r="V7" i="55"/>
  <c r="U7" i="55"/>
  <c r="T7" i="55"/>
  <c r="S7" i="55"/>
  <c r="R7" i="55"/>
  <c r="Q7" i="55"/>
  <c r="P7" i="55"/>
  <c r="O7" i="55"/>
  <c r="N7" i="55"/>
  <c r="K7" i="55"/>
  <c r="J7" i="55"/>
  <c r="I7" i="55"/>
  <c r="H7" i="55"/>
  <c r="AB6" i="55"/>
  <c r="AA6" i="55"/>
  <c r="Z6" i="55"/>
  <c r="Y6" i="55"/>
  <c r="X6" i="55"/>
  <c r="W6" i="55"/>
  <c r="V6" i="55"/>
  <c r="U6" i="55"/>
  <c r="T6" i="55"/>
  <c r="S6" i="55"/>
  <c r="R6" i="55"/>
  <c r="Q6" i="55"/>
  <c r="P6" i="55"/>
  <c r="O6" i="55"/>
  <c r="N6" i="55"/>
  <c r="K6" i="55"/>
  <c r="J6" i="55"/>
  <c r="I6" i="55"/>
  <c r="H6" i="55"/>
  <c r="AB5" i="55"/>
  <c r="AA5" i="55"/>
  <c r="Z5" i="55"/>
  <c r="Y5" i="55"/>
  <c r="X5" i="55"/>
  <c r="W5" i="55"/>
  <c r="V5" i="55"/>
  <c r="U5" i="55"/>
  <c r="T5" i="55"/>
  <c r="S5" i="55"/>
  <c r="R5" i="55"/>
  <c r="Q5" i="55"/>
  <c r="P5" i="55"/>
  <c r="O5" i="55"/>
  <c r="N5" i="55"/>
  <c r="K5" i="55"/>
  <c r="J5" i="55"/>
  <c r="I5" i="55"/>
  <c r="H5" i="55"/>
  <c r="AB55" i="54"/>
  <c r="AA55" i="54"/>
  <c r="Z55" i="54"/>
  <c r="Y55" i="54"/>
  <c r="X55" i="54"/>
  <c r="W55" i="54"/>
  <c r="V55" i="54"/>
  <c r="U55" i="54"/>
  <c r="T55" i="54"/>
  <c r="S55" i="54"/>
  <c r="R55" i="54"/>
  <c r="Q55" i="54"/>
  <c r="P55" i="54"/>
  <c r="O55" i="54"/>
  <c r="N55" i="54"/>
  <c r="K55" i="54"/>
  <c r="J55" i="54"/>
  <c r="I55" i="54"/>
  <c r="H55" i="54"/>
  <c r="AB54" i="54"/>
  <c r="AA54" i="54"/>
  <c r="Z54" i="54"/>
  <c r="Y54" i="54"/>
  <c r="X54" i="54"/>
  <c r="W54" i="54"/>
  <c r="V54" i="54"/>
  <c r="U54" i="54"/>
  <c r="T54" i="54"/>
  <c r="S54" i="54"/>
  <c r="R54" i="54"/>
  <c r="Q54" i="54"/>
  <c r="P54" i="54"/>
  <c r="O54" i="54"/>
  <c r="N54" i="54"/>
  <c r="K54" i="54"/>
  <c r="J54" i="54"/>
  <c r="I54" i="54"/>
  <c r="H54" i="54"/>
  <c r="AB53" i="54"/>
  <c r="AA53" i="54"/>
  <c r="Z53" i="54"/>
  <c r="Y53" i="54"/>
  <c r="X53" i="54"/>
  <c r="W53" i="54"/>
  <c r="V53" i="54"/>
  <c r="U53" i="54"/>
  <c r="T53" i="54"/>
  <c r="S53" i="54"/>
  <c r="R53" i="54"/>
  <c r="Q53" i="54"/>
  <c r="P53" i="54"/>
  <c r="O53" i="54"/>
  <c r="N53" i="54"/>
  <c r="K53" i="54"/>
  <c r="J53" i="54"/>
  <c r="I53" i="54"/>
  <c r="H53" i="54"/>
  <c r="AB52" i="54"/>
  <c r="AA52" i="54"/>
  <c r="Z52" i="54"/>
  <c r="Y52" i="54"/>
  <c r="X52" i="54"/>
  <c r="W52" i="54"/>
  <c r="V52" i="54"/>
  <c r="U52" i="54"/>
  <c r="T52" i="54"/>
  <c r="S52" i="54"/>
  <c r="R52" i="54"/>
  <c r="Q52" i="54"/>
  <c r="P52" i="54"/>
  <c r="O52" i="54"/>
  <c r="N52" i="54"/>
  <c r="K52" i="54"/>
  <c r="J52" i="54"/>
  <c r="I52" i="54"/>
  <c r="H52" i="54"/>
  <c r="AB51" i="54"/>
  <c r="AA51" i="54"/>
  <c r="Z51" i="54"/>
  <c r="Y51" i="54"/>
  <c r="X51" i="54"/>
  <c r="W51" i="54"/>
  <c r="V51" i="54"/>
  <c r="U51" i="54"/>
  <c r="T51" i="54"/>
  <c r="S51" i="54"/>
  <c r="R51" i="54"/>
  <c r="Q51" i="54"/>
  <c r="P51" i="54"/>
  <c r="O51" i="54"/>
  <c r="N51" i="54"/>
  <c r="K51" i="54"/>
  <c r="J51" i="54"/>
  <c r="I51" i="54"/>
  <c r="H51" i="54"/>
  <c r="AB50" i="54"/>
  <c r="AA50" i="54"/>
  <c r="Z50" i="54"/>
  <c r="Y50" i="54"/>
  <c r="X50" i="54"/>
  <c r="W50" i="54"/>
  <c r="V50" i="54"/>
  <c r="U50" i="54"/>
  <c r="T50" i="54"/>
  <c r="S50" i="54"/>
  <c r="R50" i="54"/>
  <c r="Q50" i="54"/>
  <c r="P50" i="54"/>
  <c r="O50" i="54"/>
  <c r="N50" i="54"/>
  <c r="K50" i="54"/>
  <c r="J50" i="54"/>
  <c r="I50" i="54"/>
  <c r="H50" i="54"/>
  <c r="AB49" i="54"/>
  <c r="AA49" i="54"/>
  <c r="Z49" i="54"/>
  <c r="Y49" i="54"/>
  <c r="X49" i="54"/>
  <c r="W49" i="54"/>
  <c r="V49" i="54"/>
  <c r="U49" i="54"/>
  <c r="T49" i="54"/>
  <c r="S49" i="54"/>
  <c r="R49" i="54"/>
  <c r="Q49" i="54"/>
  <c r="P49" i="54"/>
  <c r="O49" i="54"/>
  <c r="N49" i="54"/>
  <c r="K49" i="54"/>
  <c r="J49" i="54"/>
  <c r="I49" i="54"/>
  <c r="H49" i="54"/>
  <c r="AB48" i="54"/>
  <c r="AA48" i="54"/>
  <c r="Z48" i="54"/>
  <c r="Y48" i="54"/>
  <c r="X48" i="54"/>
  <c r="W48" i="54"/>
  <c r="V48" i="54"/>
  <c r="U48" i="54"/>
  <c r="T48" i="54"/>
  <c r="S48" i="54"/>
  <c r="R48" i="54"/>
  <c r="Q48" i="54"/>
  <c r="P48" i="54"/>
  <c r="O48" i="54"/>
  <c r="N48" i="54"/>
  <c r="K48" i="54"/>
  <c r="J48" i="54"/>
  <c r="I48" i="54"/>
  <c r="H48" i="54"/>
  <c r="AB47" i="54"/>
  <c r="AA47" i="54"/>
  <c r="Z47" i="54"/>
  <c r="Y47" i="54"/>
  <c r="X47" i="54"/>
  <c r="W47" i="54"/>
  <c r="V47" i="54"/>
  <c r="U47" i="54"/>
  <c r="T47" i="54"/>
  <c r="S47" i="54"/>
  <c r="R47" i="54"/>
  <c r="Q47" i="54"/>
  <c r="P47" i="54"/>
  <c r="O47" i="54"/>
  <c r="N47" i="54"/>
  <c r="K47" i="54"/>
  <c r="J47" i="54"/>
  <c r="I47" i="54"/>
  <c r="H47" i="54"/>
  <c r="AB46" i="54"/>
  <c r="AA46" i="54"/>
  <c r="Z46" i="54"/>
  <c r="Y46" i="54"/>
  <c r="X46" i="54"/>
  <c r="W46" i="54"/>
  <c r="V46" i="54"/>
  <c r="U46" i="54"/>
  <c r="T46" i="54"/>
  <c r="S46" i="54"/>
  <c r="R46" i="54"/>
  <c r="Q46" i="54"/>
  <c r="P46" i="54"/>
  <c r="O46" i="54"/>
  <c r="N46" i="54"/>
  <c r="K46" i="54"/>
  <c r="J46" i="54"/>
  <c r="I46" i="54"/>
  <c r="H46" i="54"/>
  <c r="AB45" i="54"/>
  <c r="AA45" i="54"/>
  <c r="Z45" i="54"/>
  <c r="Y45" i="54"/>
  <c r="X45" i="54"/>
  <c r="W45" i="54"/>
  <c r="V45" i="54"/>
  <c r="U45" i="54"/>
  <c r="T45" i="54"/>
  <c r="S45" i="54"/>
  <c r="R45" i="54"/>
  <c r="Q45" i="54"/>
  <c r="P45" i="54"/>
  <c r="O45" i="54"/>
  <c r="N45" i="54"/>
  <c r="K45" i="54"/>
  <c r="J45" i="54"/>
  <c r="I45" i="54"/>
  <c r="H45" i="54"/>
  <c r="AB44" i="54"/>
  <c r="AA44" i="54"/>
  <c r="Z44" i="54"/>
  <c r="Y44" i="54"/>
  <c r="X44" i="54"/>
  <c r="W44" i="54"/>
  <c r="V44" i="54"/>
  <c r="U44" i="54"/>
  <c r="T44" i="54"/>
  <c r="S44" i="54"/>
  <c r="R44" i="54"/>
  <c r="Q44" i="54"/>
  <c r="P44" i="54"/>
  <c r="O44" i="54"/>
  <c r="N44" i="54"/>
  <c r="K44" i="54"/>
  <c r="J44" i="54"/>
  <c r="I44" i="54"/>
  <c r="H44" i="54"/>
  <c r="AB43" i="54"/>
  <c r="AA43" i="54"/>
  <c r="Z43" i="54"/>
  <c r="Y43" i="54"/>
  <c r="X43" i="54"/>
  <c r="W43" i="54"/>
  <c r="V43" i="54"/>
  <c r="U43" i="54"/>
  <c r="T43" i="54"/>
  <c r="S43" i="54"/>
  <c r="R43" i="54"/>
  <c r="Q43" i="54"/>
  <c r="P43" i="54"/>
  <c r="O43" i="54"/>
  <c r="N43" i="54"/>
  <c r="K43" i="54"/>
  <c r="J43" i="54"/>
  <c r="I43" i="54"/>
  <c r="H43" i="54"/>
  <c r="AB42" i="54"/>
  <c r="AA42" i="54"/>
  <c r="Z42" i="54"/>
  <c r="Y42" i="54"/>
  <c r="X42" i="54"/>
  <c r="W42" i="54"/>
  <c r="V42" i="54"/>
  <c r="U42" i="54"/>
  <c r="T42" i="54"/>
  <c r="S42" i="54"/>
  <c r="R42" i="54"/>
  <c r="Q42" i="54"/>
  <c r="P42" i="54"/>
  <c r="O42" i="54"/>
  <c r="N42" i="54"/>
  <c r="K42" i="54"/>
  <c r="J42" i="54"/>
  <c r="I42" i="54"/>
  <c r="H42" i="54"/>
  <c r="AB41" i="54"/>
  <c r="AA41" i="54"/>
  <c r="Z41" i="54"/>
  <c r="Y41" i="54"/>
  <c r="X41" i="54"/>
  <c r="W41" i="54"/>
  <c r="V41" i="54"/>
  <c r="U41" i="54"/>
  <c r="T41" i="54"/>
  <c r="S41" i="54"/>
  <c r="R41" i="54"/>
  <c r="Q41" i="54"/>
  <c r="P41" i="54"/>
  <c r="O41" i="54"/>
  <c r="N41" i="54"/>
  <c r="K41" i="54"/>
  <c r="J41" i="54"/>
  <c r="I41" i="54"/>
  <c r="H41" i="54"/>
  <c r="AB40" i="54"/>
  <c r="AA40" i="54"/>
  <c r="Z40" i="54"/>
  <c r="Y40" i="54"/>
  <c r="X40" i="54"/>
  <c r="W40" i="54"/>
  <c r="V40" i="54"/>
  <c r="U40" i="54"/>
  <c r="T40" i="54"/>
  <c r="S40" i="54"/>
  <c r="R40" i="54"/>
  <c r="Q40" i="54"/>
  <c r="P40" i="54"/>
  <c r="O40" i="54"/>
  <c r="N40" i="54"/>
  <c r="K40" i="54"/>
  <c r="J40" i="54"/>
  <c r="I40" i="54"/>
  <c r="H40" i="54"/>
  <c r="AB39" i="54"/>
  <c r="AA39" i="54"/>
  <c r="Z39" i="54"/>
  <c r="Y39" i="54"/>
  <c r="X39" i="54"/>
  <c r="W39" i="54"/>
  <c r="V39" i="54"/>
  <c r="U39" i="54"/>
  <c r="T39" i="54"/>
  <c r="S39" i="54"/>
  <c r="R39" i="54"/>
  <c r="Q39" i="54"/>
  <c r="P39" i="54"/>
  <c r="O39" i="54"/>
  <c r="N39" i="54"/>
  <c r="K39" i="54"/>
  <c r="J39" i="54"/>
  <c r="I39" i="54"/>
  <c r="H39" i="54"/>
  <c r="AB38" i="54"/>
  <c r="AA38" i="54"/>
  <c r="Z38" i="54"/>
  <c r="Y38" i="54"/>
  <c r="X38" i="54"/>
  <c r="W38" i="54"/>
  <c r="V38" i="54"/>
  <c r="U38" i="54"/>
  <c r="T38" i="54"/>
  <c r="S38" i="54"/>
  <c r="R38" i="54"/>
  <c r="Q38" i="54"/>
  <c r="P38" i="54"/>
  <c r="O38" i="54"/>
  <c r="N38" i="54"/>
  <c r="K38" i="54"/>
  <c r="J38" i="54"/>
  <c r="I38" i="54"/>
  <c r="H38" i="54"/>
  <c r="AB37" i="54"/>
  <c r="AA37" i="54"/>
  <c r="Z37" i="54"/>
  <c r="Y37" i="54"/>
  <c r="X37" i="54"/>
  <c r="W37" i="54"/>
  <c r="V37" i="54"/>
  <c r="U37" i="54"/>
  <c r="T37" i="54"/>
  <c r="S37" i="54"/>
  <c r="R37" i="54"/>
  <c r="Q37" i="54"/>
  <c r="P37" i="54"/>
  <c r="O37" i="54"/>
  <c r="N37" i="54"/>
  <c r="K37" i="54"/>
  <c r="J37" i="54"/>
  <c r="I37" i="54"/>
  <c r="H37" i="54"/>
  <c r="AB36" i="54"/>
  <c r="AA36" i="54"/>
  <c r="Z36" i="54"/>
  <c r="Y36" i="54"/>
  <c r="X36" i="54"/>
  <c r="W36" i="54"/>
  <c r="V36" i="54"/>
  <c r="U36" i="54"/>
  <c r="T36" i="54"/>
  <c r="S36" i="54"/>
  <c r="R36" i="54"/>
  <c r="Q36" i="54"/>
  <c r="P36" i="54"/>
  <c r="O36" i="54"/>
  <c r="N36" i="54"/>
  <c r="K36" i="54"/>
  <c r="J36" i="54"/>
  <c r="I36" i="54"/>
  <c r="H36" i="54"/>
  <c r="AB35" i="54"/>
  <c r="AA35" i="54"/>
  <c r="Z35" i="54"/>
  <c r="Y35" i="54"/>
  <c r="X35" i="54"/>
  <c r="W35" i="54"/>
  <c r="V35" i="54"/>
  <c r="U35" i="54"/>
  <c r="T35" i="54"/>
  <c r="S35" i="54"/>
  <c r="R35" i="54"/>
  <c r="Q35" i="54"/>
  <c r="P35" i="54"/>
  <c r="O35" i="54"/>
  <c r="N35" i="54"/>
  <c r="K35" i="54"/>
  <c r="J35" i="54"/>
  <c r="I35" i="54"/>
  <c r="H35" i="54"/>
  <c r="AB34" i="54"/>
  <c r="AA34" i="54"/>
  <c r="Z34" i="54"/>
  <c r="Y34" i="54"/>
  <c r="X34" i="54"/>
  <c r="W34" i="54"/>
  <c r="V34" i="54"/>
  <c r="U34" i="54"/>
  <c r="T34" i="54"/>
  <c r="S34" i="54"/>
  <c r="R34" i="54"/>
  <c r="Q34" i="54"/>
  <c r="P34" i="54"/>
  <c r="O34" i="54"/>
  <c r="N34" i="54"/>
  <c r="K34" i="54"/>
  <c r="J34" i="54"/>
  <c r="I34" i="54"/>
  <c r="H34" i="54"/>
  <c r="AB33" i="54"/>
  <c r="AA33" i="54"/>
  <c r="Z33" i="54"/>
  <c r="Y33" i="54"/>
  <c r="X33" i="54"/>
  <c r="W33" i="54"/>
  <c r="V33" i="54"/>
  <c r="U33" i="54"/>
  <c r="T33" i="54"/>
  <c r="S33" i="54"/>
  <c r="R33" i="54"/>
  <c r="Q33" i="54"/>
  <c r="P33" i="54"/>
  <c r="O33" i="54"/>
  <c r="N33" i="54"/>
  <c r="K33" i="54"/>
  <c r="J33" i="54"/>
  <c r="I33" i="54"/>
  <c r="H33" i="54"/>
  <c r="AB32" i="54"/>
  <c r="AA32" i="54"/>
  <c r="Z32" i="54"/>
  <c r="Y32" i="54"/>
  <c r="X32" i="54"/>
  <c r="W32" i="54"/>
  <c r="V32" i="54"/>
  <c r="U32" i="54"/>
  <c r="T32" i="54"/>
  <c r="S32" i="54"/>
  <c r="R32" i="54"/>
  <c r="Q32" i="54"/>
  <c r="P32" i="54"/>
  <c r="O32" i="54"/>
  <c r="N32" i="54"/>
  <c r="K32" i="54"/>
  <c r="J32" i="54"/>
  <c r="I32" i="54"/>
  <c r="H32" i="54"/>
  <c r="AB31" i="54"/>
  <c r="AA31" i="54"/>
  <c r="Z31" i="54"/>
  <c r="Y31" i="54"/>
  <c r="X31" i="54"/>
  <c r="W31" i="54"/>
  <c r="V31" i="54"/>
  <c r="U31" i="54"/>
  <c r="T31" i="54"/>
  <c r="S31" i="54"/>
  <c r="R31" i="54"/>
  <c r="Q31" i="54"/>
  <c r="P31" i="54"/>
  <c r="O31" i="54"/>
  <c r="N31" i="54"/>
  <c r="K31" i="54"/>
  <c r="J31" i="54"/>
  <c r="I31" i="54"/>
  <c r="H31" i="54"/>
  <c r="AB30" i="54"/>
  <c r="AA30" i="54"/>
  <c r="Z30" i="54"/>
  <c r="Y30" i="54"/>
  <c r="X30" i="54"/>
  <c r="W30" i="54"/>
  <c r="V30" i="54"/>
  <c r="U30" i="54"/>
  <c r="T30" i="54"/>
  <c r="S30" i="54"/>
  <c r="R30" i="54"/>
  <c r="Q30" i="54"/>
  <c r="P30" i="54"/>
  <c r="O30" i="54"/>
  <c r="N30" i="54"/>
  <c r="K30" i="54"/>
  <c r="J30" i="54"/>
  <c r="I30" i="54"/>
  <c r="H30" i="54"/>
  <c r="AB29" i="54"/>
  <c r="AA29" i="54"/>
  <c r="Z29" i="54"/>
  <c r="Y29" i="54"/>
  <c r="X29" i="54"/>
  <c r="W29" i="54"/>
  <c r="V29" i="54"/>
  <c r="U29" i="54"/>
  <c r="T29" i="54"/>
  <c r="S29" i="54"/>
  <c r="R29" i="54"/>
  <c r="Q29" i="54"/>
  <c r="P29" i="54"/>
  <c r="O29" i="54"/>
  <c r="N29" i="54"/>
  <c r="K29" i="54"/>
  <c r="J29" i="54"/>
  <c r="I29" i="54"/>
  <c r="H29" i="54"/>
  <c r="AB28" i="54"/>
  <c r="AA28" i="54"/>
  <c r="Z28" i="54"/>
  <c r="Y28" i="54"/>
  <c r="X28" i="54"/>
  <c r="W28" i="54"/>
  <c r="V28" i="54"/>
  <c r="U28" i="54"/>
  <c r="T28" i="54"/>
  <c r="S28" i="54"/>
  <c r="R28" i="54"/>
  <c r="Q28" i="54"/>
  <c r="P28" i="54"/>
  <c r="O28" i="54"/>
  <c r="N28" i="54"/>
  <c r="K28" i="54"/>
  <c r="J28" i="54"/>
  <c r="I28" i="54"/>
  <c r="H28" i="54"/>
  <c r="AB27" i="54"/>
  <c r="AA27" i="54"/>
  <c r="Z27" i="54"/>
  <c r="Y27" i="54"/>
  <c r="X27" i="54"/>
  <c r="W27" i="54"/>
  <c r="V27" i="54"/>
  <c r="U27" i="54"/>
  <c r="T27" i="54"/>
  <c r="S27" i="54"/>
  <c r="R27" i="54"/>
  <c r="Q27" i="54"/>
  <c r="P27" i="54"/>
  <c r="O27" i="54"/>
  <c r="N27" i="54"/>
  <c r="K27" i="54"/>
  <c r="J27" i="54"/>
  <c r="I27" i="54"/>
  <c r="H27" i="54"/>
  <c r="AB26" i="54"/>
  <c r="AA26" i="54"/>
  <c r="Z26" i="54"/>
  <c r="Y26" i="54"/>
  <c r="X26" i="54"/>
  <c r="W26" i="54"/>
  <c r="V26" i="54"/>
  <c r="U26" i="54"/>
  <c r="T26" i="54"/>
  <c r="S26" i="54"/>
  <c r="R26" i="54"/>
  <c r="Q26" i="54"/>
  <c r="P26" i="54"/>
  <c r="O26" i="54"/>
  <c r="N26" i="54"/>
  <c r="K26" i="54"/>
  <c r="J26" i="54"/>
  <c r="I26" i="54"/>
  <c r="H26" i="54"/>
  <c r="AB25" i="54"/>
  <c r="AA25" i="54"/>
  <c r="Z25" i="54"/>
  <c r="Y25" i="54"/>
  <c r="X25" i="54"/>
  <c r="W25" i="54"/>
  <c r="V25" i="54"/>
  <c r="U25" i="54"/>
  <c r="T25" i="54"/>
  <c r="S25" i="54"/>
  <c r="R25" i="54"/>
  <c r="Q25" i="54"/>
  <c r="P25" i="54"/>
  <c r="O25" i="54"/>
  <c r="N25" i="54"/>
  <c r="K25" i="54"/>
  <c r="J25" i="54"/>
  <c r="I25" i="54"/>
  <c r="H25" i="54"/>
  <c r="AB24" i="54"/>
  <c r="AA24" i="54"/>
  <c r="Z24" i="54"/>
  <c r="Y24" i="54"/>
  <c r="X24" i="54"/>
  <c r="W24" i="54"/>
  <c r="V24" i="54"/>
  <c r="U24" i="54"/>
  <c r="T24" i="54"/>
  <c r="S24" i="54"/>
  <c r="R24" i="54"/>
  <c r="Q24" i="54"/>
  <c r="P24" i="54"/>
  <c r="O24" i="54"/>
  <c r="N24" i="54"/>
  <c r="K24" i="54"/>
  <c r="J24" i="54"/>
  <c r="I24" i="54"/>
  <c r="H24" i="54"/>
  <c r="AB23" i="54"/>
  <c r="AA23" i="54"/>
  <c r="Z23" i="54"/>
  <c r="Y23" i="54"/>
  <c r="X23" i="54"/>
  <c r="W23" i="54"/>
  <c r="V23" i="54"/>
  <c r="U23" i="54"/>
  <c r="T23" i="54"/>
  <c r="S23" i="54"/>
  <c r="R23" i="54"/>
  <c r="Q23" i="54"/>
  <c r="P23" i="54"/>
  <c r="O23" i="54"/>
  <c r="N23" i="54"/>
  <c r="K23" i="54"/>
  <c r="J23" i="54"/>
  <c r="I23" i="54"/>
  <c r="H23" i="54"/>
  <c r="AB22" i="54"/>
  <c r="AA22" i="54"/>
  <c r="Z22" i="54"/>
  <c r="Y22" i="54"/>
  <c r="X22" i="54"/>
  <c r="W22" i="54"/>
  <c r="V22" i="54"/>
  <c r="U22" i="54"/>
  <c r="T22" i="54"/>
  <c r="S22" i="54"/>
  <c r="R22" i="54"/>
  <c r="Q22" i="54"/>
  <c r="P22" i="54"/>
  <c r="O22" i="54"/>
  <c r="N22" i="54"/>
  <c r="K22" i="54"/>
  <c r="J22" i="54"/>
  <c r="I22" i="54"/>
  <c r="H22" i="54"/>
  <c r="AB21" i="54"/>
  <c r="AA21" i="54"/>
  <c r="Z21" i="54"/>
  <c r="Y21" i="54"/>
  <c r="X21" i="54"/>
  <c r="W21" i="54"/>
  <c r="V21" i="54"/>
  <c r="U21" i="54"/>
  <c r="T21" i="54"/>
  <c r="S21" i="54"/>
  <c r="R21" i="54"/>
  <c r="Q21" i="54"/>
  <c r="P21" i="54"/>
  <c r="O21" i="54"/>
  <c r="N21" i="54"/>
  <c r="K21" i="54"/>
  <c r="J21" i="54"/>
  <c r="I21" i="54"/>
  <c r="H21" i="54"/>
  <c r="AB20" i="54"/>
  <c r="AA20" i="54"/>
  <c r="Z20" i="54"/>
  <c r="Y20" i="54"/>
  <c r="X20" i="54"/>
  <c r="W20" i="54"/>
  <c r="V20" i="54"/>
  <c r="U20" i="54"/>
  <c r="T20" i="54"/>
  <c r="S20" i="54"/>
  <c r="R20" i="54"/>
  <c r="Q20" i="54"/>
  <c r="P20" i="54"/>
  <c r="O20" i="54"/>
  <c r="N20" i="54"/>
  <c r="K20" i="54"/>
  <c r="J20" i="54"/>
  <c r="I20" i="54"/>
  <c r="H20" i="54"/>
  <c r="AB19" i="54"/>
  <c r="AA19" i="54"/>
  <c r="Z19" i="54"/>
  <c r="Y19" i="54"/>
  <c r="X19" i="54"/>
  <c r="W19" i="54"/>
  <c r="V19" i="54"/>
  <c r="U19" i="54"/>
  <c r="T19" i="54"/>
  <c r="S19" i="54"/>
  <c r="R19" i="54"/>
  <c r="Q19" i="54"/>
  <c r="P19" i="54"/>
  <c r="O19" i="54"/>
  <c r="N19" i="54"/>
  <c r="K19" i="54"/>
  <c r="J19" i="54"/>
  <c r="I19" i="54"/>
  <c r="H19" i="54"/>
  <c r="AB18" i="54"/>
  <c r="AA18" i="54"/>
  <c r="Z18" i="54"/>
  <c r="Y18" i="54"/>
  <c r="X18" i="54"/>
  <c r="W18" i="54"/>
  <c r="V18" i="54"/>
  <c r="U18" i="54"/>
  <c r="T18" i="54"/>
  <c r="S18" i="54"/>
  <c r="R18" i="54"/>
  <c r="Q18" i="54"/>
  <c r="P18" i="54"/>
  <c r="O18" i="54"/>
  <c r="N18" i="54"/>
  <c r="K18" i="54"/>
  <c r="J18" i="54"/>
  <c r="I18" i="54"/>
  <c r="H18" i="54"/>
  <c r="AB17" i="54"/>
  <c r="AA17" i="54"/>
  <c r="Z17" i="54"/>
  <c r="Y17" i="54"/>
  <c r="X17" i="54"/>
  <c r="W17" i="54"/>
  <c r="V17" i="54"/>
  <c r="U17" i="54"/>
  <c r="T17" i="54"/>
  <c r="S17" i="54"/>
  <c r="R17" i="54"/>
  <c r="Q17" i="54"/>
  <c r="P17" i="54"/>
  <c r="O17" i="54"/>
  <c r="N17" i="54"/>
  <c r="K17" i="54"/>
  <c r="J17" i="54"/>
  <c r="I17" i="54"/>
  <c r="H17" i="54"/>
  <c r="AB16" i="54"/>
  <c r="AA16" i="54"/>
  <c r="Z16" i="54"/>
  <c r="Y16" i="54"/>
  <c r="X16" i="54"/>
  <c r="W16" i="54"/>
  <c r="V16" i="54"/>
  <c r="U16" i="54"/>
  <c r="T16" i="54"/>
  <c r="S16" i="54"/>
  <c r="R16" i="54"/>
  <c r="Q16" i="54"/>
  <c r="P16" i="54"/>
  <c r="O16" i="54"/>
  <c r="N16" i="54"/>
  <c r="K16" i="54"/>
  <c r="J16" i="54"/>
  <c r="I16" i="54"/>
  <c r="H16" i="54"/>
  <c r="AB15" i="54"/>
  <c r="AA15" i="54"/>
  <c r="Z15" i="54"/>
  <c r="Y15" i="54"/>
  <c r="X15" i="54"/>
  <c r="W15" i="54"/>
  <c r="V15" i="54"/>
  <c r="U15" i="54"/>
  <c r="T15" i="54"/>
  <c r="S15" i="54"/>
  <c r="R15" i="54"/>
  <c r="Q15" i="54"/>
  <c r="P15" i="54"/>
  <c r="O15" i="54"/>
  <c r="N15" i="54"/>
  <c r="K15" i="54"/>
  <c r="J15" i="54"/>
  <c r="I15" i="54"/>
  <c r="H15" i="54"/>
  <c r="AB14" i="54"/>
  <c r="AA14" i="54"/>
  <c r="Z14" i="54"/>
  <c r="Y14" i="54"/>
  <c r="X14" i="54"/>
  <c r="W14" i="54"/>
  <c r="V14" i="54"/>
  <c r="U14" i="54"/>
  <c r="T14" i="54"/>
  <c r="S14" i="54"/>
  <c r="R14" i="54"/>
  <c r="Q14" i="54"/>
  <c r="P14" i="54"/>
  <c r="O14" i="54"/>
  <c r="N14" i="54"/>
  <c r="K14" i="54"/>
  <c r="J14" i="54"/>
  <c r="I14" i="54"/>
  <c r="H14" i="54"/>
  <c r="AB13" i="54"/>
  <c r="AA13" i="54"/>
  <c r="Z13" i="54"/>
  <c r="Y13" i="54"/>
  <c r="X13" i="54"/>
  <c r="W13" i="54"/>
  <c r="V13" i="54"/>
  <c r="U13" i="54"/>
  <c r="T13" i="54"/>
  <c r="S13" i="54"/>
  <c r="R13" i="54"/>
  <c r="Q13" i="54"/>
  <c r="P13" i="54"/>
  <c r="O13" i="54"/>
  <c r="N13" i="54"/>
  <c r="K13" i="54"/>
  <c r="J13" i="54"/>
  <c r="I13" i="54"/>
  <c r="H13" i="54"/>
  <c r="AB12" i="54"/>
  <c r="AA12" i="54"/>
  <c r="Z12" i="54"/>
  <c r="Y12" i="54"/>
  <c r="X12" i="54"/>
  <c r="W12" i="54"/>
  <c r="V12" i="54"/>
  <c r="U12" i="54"/>
  <c r="T12" i="54"/>
  <c r="S12" i="54"/>
  <c r="R12" i="54"/>
  <c r="Q12" i="54"/>
  <c r="P12" i="54"/>
  <c r="O12" i="54"/>
  <c r="N12" i="54"/>
  <c r="K12" i="54"/>
  <c r="J12" i="54"/>
  <c r="I12" i="54"/>
  <c r="H12" i="54"/>
  <c r="AB11" i="54"/>
  <c r="AA11" i="54"/>
  <c r="Z11" i="54"/>
  <c r="Y11" i="54"/>
  <c r="X11" i="54"/>
  <c r="W11" i="54"/>
  <c r="V11" i="54"/>
  <c r="U11" i="54"/>
  <c r="T11" i="54"/>
  <c r="S11" i="54"/>
  <c r="R11" i="54"/>
  <c r="Q11" i="54"/>
  <c r="P11" i="54"/>
  <c r="O11" i="54"/>
  <c r="N11" i="54"/>
  <c r="K11" i="54"/>
  <c r="J11" i="54"/>
  <c r="I11" i="54"/>
  <c r="H11" i="54"/>
  <c r="AB10" i="54"/>
  <c r="AA10" i="54"/>
  <c r="Z10" i="54"/>
  <c r="Y10" i="54"/>
  <c r="X10" i="54"/>
  <c r="W10" i="54"/>
  <c r="V10" i="54"/>
  <c r="U10" i="54"/>
  <c r="T10" i="54"/>
  <c r="S10" i="54"/>
  <c r="R10" i="54"/>
  <c r="Q10" i="54"/>
  <c r="P10" i="54"/>
  <c r="O10" i="54"/>
  <c r="N10" i="54"/>
  <c r="K10" i="54"/>
  <c r="J10" i="54"/>
  <c r="I10" i="54"/>
  <c r="H10" i="54"/>
  <c r="AB9" i="54"/>
  <c r="AA9" i="54"/>
  <c r="Z9" i="54"/>
  <c r="Y9" i="54"/>
  <c r="X9" i="54"/>
  <c r="W9" i="54"/>
  <c r="V9" i="54"/>
  <c r="U9" i="54"/>
  <c r="T9" i="54"/>
  <c r="S9" i="54"/>
  <c r="R9" i="54"/>
  <c r="Q9" i="54"/>
  <c r="P9" i="54"/>
  <c r="O9" i="54"/>
  <c r="N9" i="54"/>
  <c r="K9" i="54"/>
  <c r="J9" i="54"/>
  <c r="I9" i="54"/>
  <c r="H9" i="54"/>
  <c r="AB8" i="54"/>
  <c r="AA8" i="54"/>
  <c r="Z8" i="54"/>
  <c r="Y8" i="54"/>
  <c r="X8" i="54"/>
  <c r="W8" i="54"/>
  <c r="V8" i="54"/>
  <c r="U8" i="54"/>
  <c r="T8" i="54"/>
  <c r="S8" i="54"/>
  <c r="R8" i="54"/>
  <c r="Q8" i="54"/>
  <c r="P8" i="54"/>
  <c r="O8" i="54"/>
  <c r="N8" i="54"/>
  <c r="K8" i="54"/>
  <c r="J8" i="54"/>
  <c r="I8" i="54"/>
  <c r="H8" i="54"/>
  <c r="AB7" i="54"/>
  <c r="AA7" i="54"/>
  <c r="Z7" i="54"/>
  <c r="Y7" i="54"/>
  <c r="X7" i="54"/>
  <c r="W7" i="54"/>
  <c r="V7" i="54"/>
  <c r="U7" i="54"/>
  <c r="T7" i="54"/>
  <c r="S7" i="54"/>
  <c r="R7" i="54"/>
  <c r="Q7" i="54"/>
  <c r="P7" i="54"/>
  <c r="O7" i="54"/>
  <c r="N7" i="54"/>
  <c r="K7" i="54"/>
  <c r="J7" i="54"/>
  <c r="I7" i="54"/>
  <c r="H7" i="54"/>
  <c r="AB6" i="54"/>
  <c r="AA6" i="54"/>
  <c r="Z6" i="54"/>
  <c r="Y6" i="54"/>
  <c r="X6" i="54"/>
  <c r="W6" i="54"/>
  <c r="V6" i="54"/>
  <c r="U6" i="54"/>
  <c r="T6" i="54"/>
  <c r="S6" i="54"/>
  <c r="R6" i="54"/>
  <c r="Q6" i="54"/>
  <c r="P6" i="54"/>
  <c r="O6" i="54"/>
  <c r="N6" i="54"/>
  <c r="K6" i="54"/>
  <c r="J6" i="54"/>
  <c r="I6" i="54"/>
  <c r="H6" i="54"/>
  <c r="AB5" i="54"/>
  <c r="AA5" i="54"/>
  <c r="Z5" i="54"/>
  <c r="Y5" i="54"/>
  <c r="X5" i="54"/>
  <c r="W5" i="54"/>
  <c r="V5" i="54"/>
  <c r="U5" i="54"/>
  <c r="T5" i="54"/>
  <c r="S5" i="54"/>
  <c r="R5" i="54"/>
  <c r="Q5" i="54"/>
  <c r="P5" i="54"/>
  <c r="O5" i="54"/>
  <c r="N5" i="54"/>
  <c r="K5" i="54"/>
  <c r="J5" i="54"/>
  <c r="I5" i="54"/>
  <c r="H5" i="54"/>
  <c r="AB55" i="47"/>
  <c r="AA55" i="47"/>
  <c r="Z55" i="47"/>
  <c r="Y55" i="47"/>
  <c r="X55" i="47"/>
  <c r="W55" i="47"/>
  <c r="V55" i="47"/>
  <c r="U55" i="47"/>
  <c r="T55" i="47"/>
  <c r="S55" i="47"/>
  <c r="R55" i="47"/>
  <c r="Q55" i="47"/>
  <c r="P55" i="47"/>
  <c r="O55" i="47"/>
  <c r="N55" i="47"/>
  <c r="K55" i="47"/>
  <c r="J55" i="47"/>
  <c r="I55" i="47"/>
  <c r="H55" i="47"/>
  <c r="AB54" i="47"/>
  <c r="AA54" i="47"/>
  <c r="Z54" i="47"/>
  <c r="Y54" i="47"/>
  <c r="X54" i="47"/>
  <c r="W54" i="47"/>
  <c r="V54" i="47"/>
  <c r="U54" i="47"/>
  <c r="T54" i="47"/>
  <c r="S54" i="47"/>
  <c r="R54" i="47"/>
  <c r="Q54" i="47"/>
  <c r="P54" i="47"/>
  <c r="O54" i="47"/>
  <c r="N54" i="47"/>
  <c r="K54" i="47"/>
  <c r="J54" i="47"/>
  <c r="I54" i="47"/>
  <c r="H54" i="47"/>
  <c r="AB53" i="47"/>
  <c r="AA53" i="47"/>
  <c r="Z53" i="47"/>
  <c r="Y53" i="47"/>
  <c r="X53" i="47"/>
  <c r="W53" i="47"/>
  <c r="V53" i="47"/>
  <c r="U53" i="47"/>
  <c r="T53" i="47"/>
  <c r="S53" i="47"/>
  <c r="R53" i="47"/>
  <c r="Q53" i="47"/>
  <c r="P53" i="47"/>
  <c r="O53" i="47"/>
  <c r="N53" i="47"/>
  <c r="K53" i="47"/>
  <c r="J53" i="47"/>
  <c r="I53" i="47"/>
  <c r="H53" i="47"/>
  <c r="AB52" i="47"/>
  <c r="AA52" i="47"/>
  <c r="Z52" i="47"/>
  <c r="Y52" i="47"/>
  <c r="X52" i="47"/>
  <c r="W52" i="47"/>
  <c r="V52" i="47"/>
  <c r="U52" i="47"/>
  <c r="T52" i="47"/>
  <c r="S52" i="47"/>
  <c r="R52" i="47"/>
  <c r="Q52" i="47"/>
  <c r="P52" i="47"/>
  <c r="O52" i="47"/>
  <c r="N52" i="47"/>
  <c r="K52" i="47"/>
  <c r="J52" i="47"/>
  <c r="I52" i="47"/>
  <c r="H52" i="47"/>
  <c r="AB51" i="47"/>
  <c r="AA51" i="47"/>
  <c r="Z51" i="47"/>
  <c r="Y51" i="47"/>
  <c r="X51" i="47"/>
  <c r="W51" i="47"/>
  <c r="V51" i="47"/>
  <c r="U51" i="47"/>
  <c r="T51" i="47"/>
  <c r="S51" i="47"/>
  <c r="R51" i="47"/>
  <c r="Q51" i="47"/>
  <c r="P51" i="47"/>
  <c r="O51" i="47"/>
  <c r="N51" i="47"/>
  <c r="K51" i="47"/>
  <c r="J51" i="47"/>
  <c r="I51" i="47"/>
  <c r="H51" i="47"/>
  <c r="AB50" i="47"/>
  <c r="AA50" i="47"/>
  <c r="Z50" i="47"/>
  <c r="Y50" i="47"/>
  <c r="X50" i="47"/>
  <c r="W50" i="47"/>
  <c r="V50" i="47"/>
  <c r="U50" i="47"/>
  <c r="T50" i="47"/>
  <c r="S50" i="47"/>
  <c r="R50" i="47"/>
  <c r="Q50" i="47"/>
  <c r="P50" i="47"/>
  <c r="O50" i="47"/>
  <c r="N50" i="47"/>
  <c r="K50" i="47"/>
  <c r="J50" i="47"/>
  <c r="I50" i="47"/>
  <c r="H50" i="47"/>
  <c r="AB49" i="47"/>
  <c r="AA49" i="47"/>
  <c r="Z49" i="47"/>
  <c r="Y49" i="47"/>
  <c r="X49" i="47"/>
  <c r="W49" i="47"/>
  <c r="V49" i="47"/>
  <c r="U49" i="47"/>
  <c r="T49" i="47"/>
  <c r="S49" i="47"/>
  <c r="R49" i="47"/>
  <c r="Q49" i="47"/>
  <c r="P49" i="47"/>
  <c r="O49" i="47"/>
  <c r="N49" i="47"/>
  <c r="K49" i="47"/>
  <c r="J49" i="47"/>
  <c r="I49" i="47"/>
  <c r="H49" i="47"/>
  <c r="AB48" i="47"/>
  <c r="AA48" i="47"/>
  <c r="Z48" i="47"/>
  <c r="Y48" i="47"/>
  <c r="X48" i="47"/>
  <c r="W48" i="47"/>
  <c r="V48" i="47"/>
  <c r="U48" i="47"/>
  <c r="T48" i="47"/>
  <c r="S48" i="47"/>
  <c r="R48" i="47"/>
  <c r="Q48" i="47"/>
  <c r="P48" i="47"/>
  <c r="O48" i="47"/>
  <c r="N48" i="47"/>
  <c r="K48" i="47"/>
  <c r="J48" i="47"/>
  <c r="I48" i="47"/>
  <c r="H48" i="47"/>
  <c r="AB47" i="47"/>
  <c r="AA47" i="47"/>
  <c r="Z47" i="47"/>
  <c r="Y47" i="47"/>
  <c r="X47" i="47"/>
  <c r="W47" i="47"/>
  <c r="V47" i="47"/>
  <c r="U47" i="47"/>
  <c r="T47" i="47"/>
  <c r="S47" i="47"/>
  <c r="R47" i="47"/>
  <c r="Q47" i="47"/>
  <c r="P47" i="47"/>
  <c r="O47" i="47"/>
  <c r="N47" i="47"/>
  <c r="K47" i="47"/>
  <c r="J47" i="47"/>
  <c r="I47" i="47"/>
  <c r="H47" i="47"/>
  <c r="AB46" i="47"/>
  <c r="AA46" i="47"/>
  <c r="Z46" i="47"/>
  <c r="Y46" i="47"/>
  <c r="X46" i="47"/>
  <c r="W46" i="47"/>
  <c r="V46" i="47"/>
  <c r="U46" i="47"/>
  <c r="T46" i="47"/>
  <c r="S46" i="47"/>
  <c r="R46" i="47"/>
  <c r="Q46" i="47"/>
  <c r="P46" i="47"/>
  <c r="O46" i="47"/>
  <c r="N46" i="47"/>
  <c r="K46" i="47"/>
  <c r="J46" i="47"/>
  <c r="I46" i="47"/>
  <c r="H46" i="47"/>
  <c r="AB45" i="47"/>
  <c r="AA45" i="47"/>
  <c r="Z45" i="47"/>
  <c r="Y45" i="47"/>
  <c r="X45" i="47"/>
  <c r="W45" i="47"/>
  <c r="V45" i="47"/>
  <c r="U45" i="47"/>
  <c r="T45" i="47"/>
  <c r="S45" i="47"/>
  <c r="R45" i="47"/>
  <c r="Q45" i="47"/>
  <c r="P45" i="47"/>
  <c r="O45" i="47"/>
  <c r="N45" i="47"/>
  <c r="K45" i="47"/>
  <c r="J45" i="47"/>
  <c r="I45" i="47"/>
  <c r="H45" i="47"/>
  <c r="AB44" i="47"/>
  <c r="AA44" i="47"/>
  <c r="Z44" i="47"/>
  <c r="Y44" i="47"/>
  <c r="X44" i="47"/>
  <c r="W44" i="47"/>
  <c r="V44" i="47"/>
  <c r="U44" i="47"/>
  <c r="T44" i="47"/>
  <c r="S44" i="47"/>
  <c r="R44" i="47"/>
  <c r="Q44" i="47"/>
  <c r="P44" i="47"/>
  <c r="O44" i="47"/>
  <c r="N44" i="47"/>
  <c r="K44" i="47"/>
  <c r="J44" i="47"/>
  <c r="I44" i="47"/>
  <c r="H44" i="47"/>
  <c r="AB43" i="47"/>
  <c r="AA43" i="47"/>
  <c r="Z43" i="47"/>
  <c r="Y43" i="47"/>
  <c r="X43" i="47"/>
  <c r="W43" i="47"/>
  <c r="V43" i="47"/>
  <c r="U43" i="47"/>
  <c r="T43" i="47"/>
  <c r="S43" i="47"/>
  <c r="R43" i="47"/>
  <c r="Q43" i="47"/>
  <c r="P43" i="47"/>
  <c r="O43" i="47"/>
  <c r="N43" i="47"/>
  <c r="K43" i="47"/>
  <c r="J43" i="47"/>
  <c r="I43" i="47"/>
  <c r="H43" i="47"/>
  <c r="AB42" i="47"/>
  <c r="AA42" i="47"/>
  <c r="Z42" i="47"/>
  <c r="Y42" i="47"/>
  <c r="X42" i="47"/>
  <c r="W42" i="47"/>
  <c r="V42" i="47"/>
  <c r="U42" i="47"/>
  <c r="T42" i="47"/>
  <c r="S42" i="47"/>
  <c r="R42" i="47"/>
  <c r="Q42" i="47"/>
  <c r="P42" i="47"/>
  <c r="O42" i="47"/>
  <c r="N42" i="47"/>
  <c r="K42" i="47"/>
  <c r="J42" i="47"/>
  <c r="I42" i="47"/>
  <c r="H42" i="47"/>
  <c r="AB41" i="47"/>
  <c r="AA41" i="47"/>
  <c r="Z41" i="47"/>
  <c r="Y41" i="47"/>
  <c r="X41" i="47"/>
  <c r="W41" i="47"/>
  <c r="V41" i="47"/>
  <c r="U41" i="47"/>
  <c r="T41" i="47"/>
  <c r="S41" i="47"/>
  <c r="R41" i="47"/>
  <c r="Q41" i="47"/>
  <c r="P41" i="47"/>
  <c r="O41" i="47"/>
  <c r="N41" i="47"/>
  <c r="K41" i="47"/>
  <c r="J41" i="47"/>
  <c r="I41" i="47"/>
  <c r="H41" i="47"/>
  <c r="AB40" i="47"/>
  <c r="AA40" i="47"/>
  <c r="Z40" i="47"/>
  <c r="Y40" i="47"/>
  <c r="X40" i="47"/>
  <c r="W40" i="47"/>
  <c r="V40" i="47"/>
  <c r="U40" i="47"/>
  <c r="T40" i="47"/>
  <c r="S40" i="47"/>
  <c r="R40" i="47"/>
  <c r="Q40" i="47"/>
  <c r="P40" i="47"/>
  <c r="O40" i="47"/>
  <c r="N40" i="47"/>
  <c r="K40" i="47"/>
  <c r="J40" i="47"/>
  <c r="I40" i="47"/>
  <c r="H40" i="47"/>
  <c r="AB39" i="47"/>
  <c r="AA39" i="47"/>
  <c r="Z39" i="47"/>
  <c r="Y39" i="47"/>
  <c r="X39" i="47"/>
  <c r="W39" i="47"/>
  <c r="V39" i="47"/>
  <c r="U39" i="47"/>
  <c r="T39" i="47"/>
  <c r="S39" i="47"/>
  <c r="R39" i="47"/>
  <c r="Q39" i="47"/>
  <c r="P39" i="47"/>
  <c r="O39" i="47"/>
  <c r="N39" i="47"/>
  <c r="K39" i="47"/>
  <c r="J39" i="47"/>
  <c r="I39" i="47"/>
  <c r="H39" i="47"/>
  <c r="AB38" i="47"/>
  <c r="AA38" i="47"/>
  <c r="Z38" i="47"/>
  <c r="Y38" i="47"/>
  <c r="X38" i="47"/>
  <c r="W38" i="47"/>
  <c r="V38" i="47"/>
  <c r="U38" i="47"/>
  <c r="T38" i="47"/>
  <c r="S38" i="47"/>
  <c r="R38" i="47"/>
  <c r="Q38" i="47"/>
  <c r="P38" i="47"/>
  <c r="O38" i="47"/>
  <c r="N38" i="47"/>
  <c r="K38" i="47"/>
  <c r="J38" i="47"/>
  <c r="I38" i="47"/>
  <c r="H38" i="47"/>
  <c r="AB37" i="47"/>
  <c r="AA37" i="47"/>
  <c r="Z37" i="47"/>
  <c r="Y37" i="47"/>
  <c r="X37" i="47"/>
  <c r="W37" i="47"/>
  <c r="V37" i="47"/>
  <c r="U37" i="47"/>
  <c r="T37" i="47"/>
  <c r="S37" i="47"/>
  <c r="R37" i="47"/>
  <c r="Q37" i="47"/>
  <c r="P37" i="47"/>
  <c r="O37" i="47"/>
  <c r="N37" i="47"/>
  <c r="K37" i="47"/>
  <c r="J37" i="47"/>
  <c r="I37" i="47"/>
  <c r="H37" i="47"/>
  <c r="AB36" i="47"/>
  <c r="AA36" i="47"/>
  <c r="Z36" i="47"/>
  <c r="Y36" i="47"/>
  <c r="X36" i="47"/>
  <c r="W36" i="47"/>
  <c r="V36" i="47"/>
  <c r="U36" i="47"/>
  <c r="T36" i="47"/>
  <c r="S36" i="47"/>
  <c r="R36" i="47"/>
  <c r="Q36" i="47"/>
  <c r="P36" i="47"/>
  <c r="O36" i="47"/>
  <c r="N36" i="47"/>
  <c r="K36" i="47"/>
  <c r="J36" i="47"/>
  <c r="I36" i="47"/>
  <c r="H36" i="47"/>
  <c r="AB35" i="47"/>
  <c r="AA35" i="47"/>
  <c r="Z35" i="47"/>
  <c r="Y35" i="47"/>
  <c r="X35" i="47"/>
  <c r="W35" i="47"/>
  <c r="V35" i="47"/>
  <c r="U35" i="47"/>
  <c r="T35" i="47"/>
  <c r="S35" i="47"/>
  <c r="R35" i="47"/>
  <c r="Q35" i="47"/>
  <c r="P35" i="47"/>
  <c r="O35" i="47"/>
  <c r="N35" i="47"/>
  <c r="K35" i="47"/>
  <c r="J35" i="47"/>
  <c r="I35" i="47"/>
  <c r="H35" i="47"/>
  <c r="AB34" i="47"/>
  <c r="AA34" i="47"/>
  <c r="Z34" i="47"/>
  <c r="Y34" i="47"/>
  <c r="X34" i="47"/>
  <c r="W34" i="47"/>
  <c r="V34" i="47"/>
  <c r="U34" i="47"/>
  <c r="T34" i="47"/>
  <c r="S34" i="47"/>
  <c r="R34" i="47"/>
  <c r="Q34" i="47"/>
  <c r="P34" i="47"/>
  <c r="O34" i="47"/>
  <c r="N34" i="47"/>
  <c r="K34" i="47"/>
  <c r="J34" i="47"/>
  <c r="I34" i="47"/>
  <c r="H34" i="47"/>
  <c r="AB33" i="47"/>
  <c r="AA33" i="47"/>
  <c r="Z33" i="47"/>
  <c r="Y33" i="47"/>
  <c r="X33" i="47"/>
  <c r="W33" i="47"/>
  <c r="V33" i="47"/>
  <c r="U33" i="47"/>
  <c r="T33" i="47"/>
  <c r="S33" i="47"/>
  <c r="R33" i="47"/>
  <c r="Q33" i="47"/>
  <c r="P33" i="47"/>
  <c r="O33" i="47"/>
  <c r="N33" i="47"/>
  <c r="K33" i="47"/>
  <c r="J33" i="47"/>
  <c r="I33" i="47"/>
  <c r="H33" i="47"/>
  <c r="AB32" i="47"/>
  <c r="AA32" i="47"/>
  <c r="Z32" i="47"/>
  <c r="Y32" i="47"/>
  <c r="X32" i="47"/>
  <c r="W32" i="47"/>
  <c r="V32" i="47"/>
  <c r="U32" i="47"/>
  <c r="T32" i="47"/>
  <c r="S32" i="47"/>
  <c r="R32" i="47"/>
  <c r="Q32" i="47"/>
  <c r="P32" i="47"/>
  <c r="O32" i="47"/>
  <c r="N32" i="47"/>
  <c r="K32" i="47"/>
  <c r="J32" i="47"/>
  <c r="I32" i="47"/>
  <c r="H32" i="47"/>
  <c r="AB31" i="47"/>
  <c r="AA31" i="47"/>
  <c r="Z31" i="47"/>
  <c r="Y31" i="47"/>
  <c r="X31" i="47"/>
  <c r="W31" i="47"/>
  <c r="V31" i="47"/>
  <c r="U31" i="47"/>
  <c r="T31" i="47"/>
  <c r="S31" i="47"/>
  <c r="R31" i="47"/>
  <c r="Q31" i="47"/>
  <c r="P31" i="47"/>
  <c r="O31" i="47"/>
  <c r="N31" i="47"/>
  <c r="K31" i="47"/>
  <c r="J31" i="47"/>
  <c r="I31" i="47"/>
  <c r="H31" i="47"/>
  <c r="AB30" i="47"/>
  <c r="AA30" i="47"/>
  <c r="Z30" i="47"/>
  <c r="Y30" i="47"/>
  <c r="X30" i="47"/>
  <c r="W30" i="47"/>
  <c r="V30" i="47"/>
  <c r="U30" i="47"/>
  <c r="T30" i="47"/>
  <c r="S30" i="47"/>
  <c r="R30" i="47"/>
  <c r="Q30" i="47"/>
  <c r="P30" i="47"/>
  <c r="O30" i="47"/>
  <c r="N30" i="47"/>
  <c r="K30" i="47"/>
  <c r="J30" i="47"/>
  <c r="I30" i="47"/>
  <c r="H30" i="47"/>
  <c r="AB29" i="47"/>
  <c r="AA29" i="47"/>
  <c r="Z29" i="47"/>
  <c r="Y29" i="47"/>
  <c r="X29" i="47"/>
  <c r="W29" i="47"/>
  <c r="V29" i="47"/>
  <c r="U29" i="47"/>
  <c r="T29" i="47"/>
  <c r="S29" i="47"/>
  <c r="R29" i="47"/>
  <c r="Q29" i="47"/>
  <c r="P29" i="47"/>
  <c r="O29" i="47"/>
  <c r="N29" i="47"/>
  <c r="K29" i="47"/>
  <c r="J29" i="47"/>
  <c r="I29" i="47"/>
  <c r="H29" i="47"/>
  <c r="AB28" i="47"/>
  <c r="AA28" i="47"/>
  <c r="Z28" i="47"/>
  <c r="Y28" i="47"/>
  <c r="X28" i="47"/>
  <c r="W28" i="47"/>
  <c r="V28" i="47"/>
  <c r="U28" i="47"/>
  <c r="T28" i="47"/>
  <c r="S28" i="47"/>
  <c r="R28" i="47"/>
  <c r="Q28" i="47"/>
  <c r="P28" i="47"/>
  <c r="O28" i="47"/>
  <c r="N28" i="47"/>
  <c r="K28" i="47"/>
  <c r="J28" i="47"/>
  <c r="I28" i="47"/>
  <c r="H28" i="47"/>
  <c r="AB27" i="47"/>
  <c r="AA27" i="47"/>
  <c r="Z27" i="47"/>
  <c r="Y27" i="47"/>
  <c r="X27" i="47"/>
  <c r="W27" i="47"/>
  <c r="V27" i="47"/>
  <c r="U27" i="47"/>
  <c r="T27" i="47"/>
  <c r="S27" i="47"/>
  <c r="R27" i="47"/>
  <c r="Q27" i="47"/>
  <c r="P27" i="47"/>
  <c r="O27" i="47"/>
  <c r="N27" i="47"/>
  <c r="K27" i="47"/>
  <c r="J27" i="47"/>
  <c r="I27" i="47"/>
  <c r="H27" i="47"/>
  <c r="AB26" i="47"/>
  <c r="AA26" i="47"/>
  <c r="Z26" i="47"/>
  <c r="Y26" i="47"/>
  <c r="X26" i="47"/>
  <c r="W26" i="47"/>
  <c r="V26" i="47"/>
  <c r="U26" i="47"/>
  <c r="T26" i="47"/>
  <c r="S26" i="47"/>
  <c r="R26" i="47"/>
  <c r="Q26" i="47"/>
  <c r="P26" i="47"/>
  <c r="O26" i="47"/>
  <c r="N26" i="47"/>
  <c r="K26" i="47"/>
  <c r="J26" i="47"/>
  <c r="I26" i="47"/>
  <c r="H26" i="47"/>
  <c r="AB25" i="47"/>
  <c r="AA25" i="47"/>
  <c r="Z25" i="47"/>
  <c r="Y25" i="47"/>
  <c r="X25" i="47"/>
  <c r="W25" i="47"/>
  <c r="V25" i="47"/>
  <c r="U25" i="47"/>
  <c r="T25" i="47"/>
  <c r="S25" i="47"/>
  <c r="R25" i="47"/>
  <c r="Q25" i="47"/>
  <c r="P25" i="47"/>
  <c r="O25" i="47"/>
  <c r="N25" i="47"/>
  <c r="K25" i="47"/>
  <c r="J25" i="47"/>
  <c r="I25" i="47"/>
  <c r="H25" i="47"/>
  <c r="AB24" i="47"/>
  <c r="AA24" i="47"/>
  <c r="Z24" i="47"/>
  <c r="Y24" i="47"/>
  <c r="X24" i="47"/>
  <c r="W24" i="47"/>
  <c r="V24" i="47"/>
  <c r="U24" i="47"/>
  <c r="T24" i="47"/>
  <c r="S24" i="47"/>
  <c r="R24" i="47"/>
  <c r="Q24" i="47"/>
  <c r="P24" i="47"/>
  <c r="O24" i="47"/>
  <c r="N24" i="47"/>
  <c r="K24" i="47"/>
  <c r="J24" i="47"/>
  <c r="I24" i="47"/>
  <c r="H24" i="47"/>
  <c r="AB23" i="47"/>
  <c r="AA23" i="47"/>
  <c r="Z23" i="47"/>
  <c r="Y23" i="47"/>
  <c r="X23" i="47"/>
  <c r="W23" i="47"/>
  <c r="V23" i="47"/>
  <c r="U23" i="47"/>
  <c r="T23" i="47"/>
  <c r="S23" i="47"/>
  <c r="R23" i="47"/>
  <c r="Q23" i="47"/>
  <c r="P23" i="47"/>
  <c r="O23" i="47"/>
  <c r="N23" i="47"/>
  <c r="K23" i="47"/>
  <c r="J23" i="47"/>
  <c r="I23" i="47"/>
  <c r="H23" i="47"/>
  <c r="AB22" i="47"/>
  <c r="AA22" i="47"/>
  <c r="Z22" i="47"/>
  <c r="Y22" i="47"/>
  <c r="X22" i="47"/>
  <c r="W22" i="47"/>
  <c r="V22" i="47"/>
  <c r="U22" i="47"/>
  <c r="T22" i="47"/>
  <c r="S22" i="47"/>
  <c r="R22" i="47"/>
  <c r="Q22" i="47"/>
  <c r="P22" i="47"/>
  <c r="O22" i="47"/>
  <c r="N22" i="47"/>
  <c r="K22" i="47"/>
  <c r="J22" i="47"/>
  <c r="I22" i="47"/>
  <c r="H22" i="47"/>
  <c r="AB21" i="47"/>
  <c r="AA21" i="47"/>
  <c r="Z21" i="47"/>
  <c r="Y21" i="47"/>
  <c r="X21" i="47"/>
  <c r="W21" i="47"/>
  <c r="V21" i="47"/>
  <c r="U21" i="47"/>
  <c r="T21" i="47"/>
  <c r="S21" i="47"/>
  <c r="R21" i="47"/>
  <c r="Q21" i="47"/>
  <c r="P21" i="47"/>
  <c r="O21" i="47"/>
  <c r="N21" i="47"/>
  <c r="K21" i="47"/>
  <c r="J21" i="47"/>
  <c r="I21" i="47"/>
  <c r="H21" i="47"/>
  <c r="AB20" i="47"/>
  <c r="AA20" i="47"/>
  <c r="Z20" i="47"/>
  <c r="Y20" i="47"/>
  <c r="X20" i="47"/>
  <c r="W20" i="47"/>
  <c r="V20" i="47"/>
  <c r="U20" i="47"/>
  <c r="T20" i="47"/>
  <c r="S20" i="47"/>
  <c r="R20" i="47"/>
  <c r="Q20" i="47"/>
  <c r="P20" i="47"/>
  <c r="O20" i="47"/>
  <c r="N20" i="47"/>
  <c r="K20" i="47"/>
  <c r="J20" i="47"/>
  <c r="I20" i="47"/>
  <c r="H20" i="47"/>
  <c r="AB19" i="47"/>
  <c r="AA19" i="47"/>
  <c r="Z19" i="47"/>
  <c r="Y19" i="47"/>
  <c r="X19" i="47"/>
  <c r="W19" i="47"/>
  <c r="V19" i="47"/>
  <c r="U19" i="47"/>
  <c r="T19" i="47"/>
  <c r="S19" i="47"/>
  <c r="R19" i="47"/>
  <c r="Q19" i="47"/>
  <c r="P19" i="47"/>
  <c r="O19" i="47"/>
  <c r="N19" i="47"/>
  <c r="K19" i="47"/>
  <c r="J19" i="47"/>
  <c r="I19" i="47"/>
  <c r="H19" i="47"/>
  <c r="AB18" i="47"/>
  <c r="AA18" i="47"/>
  <c r="Z18" i="47"/>
  <c r="Y18" i="47"/>
  <c r="X18" i="47"/>
  <c r="W18" i="47"/>
  <c r="V18" i="47"/>
  <c r="U18" i="47"/>
  <c r="T18" i="47"/>
  <c r="S18" i="47"/>
  <c r="R18" i="47"/>
  <c r="Q18" i="47"/>
  <c r="P18" i="47"/>
  <c r="O18" i="47"/>
  <c r="N18" i="47"/>
  <c r="K18" i="47"/>
  <c r="J18" i="47"/>
  <c r="I18" i="47"/>
  <c r="H18" i="47"/>
  <c r="AB17" i="47"/>
  <c r="AA17" i="47"/>
  <c r="Z17" i="47"/>
  <c r="Y17" i="47"/>
  <c r="X17" i="47"/>
  <c r="W17" i="47"/>
  <c r="V17" i="47"/>
  <c r="U17" i="47"/>
  <c r="T17" i="47"/>
  <c r="S17" i="47"/>
  <c r="R17" i="47"/>
  <c r="Q17" i="47"/>
  <c r="P17" i="47"/>
  <c r="O17" i="47"/>
  <c r="N17" i="47"/>
  <c r="K17" i="47"/>
  <c r="J17" i="47"/>
  <c r="I17" i="47"/>
  <c r="H17" i="47"/>
  <c r="AB16" i="47"/>
  <c r="AA16" i="47"/>
  <c r="Z16" i="47"/>
  <c r="Y16" i="47"/>
  <c r="X16" i="47"/>
  <c r="W16" i="47"/>
  <c r="V16" i="47"/>
  <c r="U16" i="47"/>
  <c r="T16" i="47"/>
  <c r="S16" i="47"/>
  <c r="R16" i="47"/>
  <c r="Q16" i="47"/>
  <c r="P16" i="47"/>
  <c r="O16" i="47"/>
  <c r="N16" i="47"/>
  <c r="K16" i="47"/>
  <c r="J16" i="47"/>
  <c r="I16" i="47"/>
  <c r="H16" i="47"/>
  <c r="AB15" i="47"/>
  <c r="AA15" i="47"/>
  <c r="Z15" i="47"/>
  <c r="Y15" i="47"/>
  <c r="X15" i="47"/>
  <c r="W15" i="47"/>
  <c r="V15" i="47"/>
  <c r="U15" i="47"/>
  <c r="T15" i="47"/>
  <c r="S15" i="47"/>
  <c r="R15" i="47"/>
  <c r="Q15" i="47"/>
  <c r="P15" i="47"/>
  <c r="O15" i="47"/>
  <c r="N15" i="47"/>
  <c r="K15" i="47"/>
  <c r="J15" i="47"/>
  <c r="I15" i="47"/>
  <c r="H15" i="47"/>
  <c r="AB14" i="47"/>
  <c r="AA14" i="47"/>
  <c r="Z14" i="47"/>
  <c r="Y14" i="47"/>
  <c r="X14" i="47"/>
  <c r="W14" i="47"/>
  <c r="V14" i="47"/>
  <c r="U14" i="47"/>
  <c r="T14" i="47"/>
  <c r="S14" i="47"/>
  <c r="R14" i="47"/>
  <c r="Q14" i="47"/>
  <c r="P14" i="47"/>
  <c r="O14" i="47"/>
  <c r="N14" i="47"/>
  <c r="K14" i="47"/>
  <c r="J14" i="47"/>
  <c r="I14" i="47"/>
  <c r="H14" i="47"/>
  <c r="AB13" i="47"/>
  <c r="AA13" i="47"/>
  <c r="Z13" i="47"/>
  <c r="Y13" i="47"/>
  <c r="X13" i="47"/>
  <c r="W13" i="47"/>
  <c r="V13" i="47"/>
  <c r="U13" i="47"/>
  <c r="T13" i="47"/>
  <c r="S13" i="47"/>
  <c r="R13" i="47"/>
  <c r="Q13" i="47"/>
  <c r="P13" i="47"/>
  <c r="O13" i="47"/>
  <c r="N13" i="47"/>
  <c r="K13" i="47"/>
  <c r="J13" i="47"/>
  <c r="I13" i="47"/>
  <c r="H13" i="47"/>
  <c r="AB12" i="47"/>
  <c r="AA12" i="47"/>
  <c r="Z12" i="47"/>
  <c r="Y12" i="47"/>
  <c r="X12" i="47"/>
  <c r="W12" i="47"/>
  <c r="V12" i="47"/>
  <c r="U12" i="47"/>
  <c r="T12" i="47"/>
  <c r="S12" i="47"/>
  <c r="R12" i="47"/>
  <c r="Q12" i="47"/>
  <c r="P12" i="47"/>
  <c r="O12" i="47"/>
  <c r="N12" i="47"/>
  <c r="K12" i="47"/>
  <c r="J12" i="47"/>
  <c r="I12" i="47"/>
  <c r="H12" i="47"/>
  <c r="AB11" i="47"/>
  <c r="AA11" i="47"/>
  <c r="Z11" i="47"/>
  <c r="Y11" i="47"/>
  <c r="X11" i="47"/>
  <c r="W11" i="47"/>
  <c r="V11" i="47"/>
  <c r="U11" i="47"/>
  <c r="T11" i="47"/>
  <c r="S11" i="47"/>
  <c r="R11" i="47"/>
  <c r="Q11" i="47"/>
  <c r="P11" i="47"/>
  <c r="O11" i="47"/>
  <c r="N11" i="47"/>
  <c r="K11" i="47"/>
  <c r="J11" i="47"/>
  <c r="I11" i="47"/>
  <c r="H11" i="47"/>
  <c r="AB10" i="47"/>
  <c r="AA10" i="47"/>
  <c r="Z10" i="47"/>
  <c r="Y10" i="47"/>
  <c r="X10" i="47"/>
  <c r="W10" i="47"/>
  <c r="V10" i="47"/>
  <c r="U10" i="47"/>
  <c r="T10" i="47"/>
  <c r="S10" i="47"/>
  <c r="R10" i="47"/>
  <c r="Q10" i="47"/>
  <c r="P10" i="47"/>
  <c r="O10" i="47"/>
  <c r="N10" i="47"/>
  <c r="K10" i="47"/>
  <c r="J10" i="47"/>
  <c r="I10" i="47"/>
  <c r="H10" i="47"/>
  <c r="AB9" i="47"/>
  <c r="AA9" i="47"/>
  <c r="Z9" i="47"/>
  <c r="Y9" i="47"/>
  <c r="X9" i="47"/>
  <c r="W9" i="47"/>
  <c r="V9" i="47"/>
  <c r="U9" i="47"/>
  <c r="T9" i="47"/>
  <c r="S9" i="47"/>
  <c r="R9" i="47"/>
  <c r="Q9" i="47"/>
  <c r="P9" i="47"/>
  <c r="O9" i="47"/>
  <c r="N9" i="47"/>
  <c r="K9" i="47"/>
  <c r="J9" i="47"/>
  <c r="I9" i="47"/>
  <c r="H9" i="47"/>
  <c r="AB8" i="47"/>
  <c r="AA8" i="47"/>
  <c r="Z8" i="47"/>
  <c r="Y8" i="47"/>
  <c r="X8" i="47"/>
  <c r="W8" i="47"/>
  <c r="V8" i="47"/>
  <c r="U8" i="47"/>
  <c r="T8" i="47"/>
  <c r="S8" i="47"/>
  <c r="R8" i="47"/>
  <c r="Q8" i="47"/>
  <c r="P8" i="47"/>
  <c r="O8" i="47"/>
  <c r="N8" i="47"/>
  <c r="K8" i="47"/>
  <c r="J8" i="47"/>
  <c r="I8" i="47"/>
  <c r="H8" i="47"/>
  <c r="AB7" i="47"/>
  <c r="AA7" i="47"/>
  <c r="Z7" i="47"/>
  <c r="Y7" i="47"/>
  <c r="X7" i="47"/>
  <c r="W7" i="47"/>
  <c r="V7" i="47"/>
  <c r="U7" i="47"/>
  <c r="T7" i="47"/>
  <c r="S7" i="47"/>
  <c r="R7" i="47"/>
  <c r="Q7" i="47"/>
  <c r="P7" i="47"/>
  <c r="O7" i="47"/>
  <c r="N7" i="47"/>
  <c r="K7" i="47"/>
  <c r="J7" i="47"/>
  <c r="I7" i="47"/>
  <c r="H7" i="47"/>
  <c r="AB6" i="47"/>
  <c r="AA6" i="47"/>
  <c r="Z6" i="47"/>
  <c r="Y6" i="47"/>
  <c r="X6" i="47"/>
  <c r="W6" i="47"/>
  <c r="V6" i="47"/>
  <c r="U6" i="47"/>
  <c r="T6" i="47"/>
  <c r="S6" i="47"/>
  <c r="R6" i="47"/>
  <c r="Q6" i="47"/>
  <c r="P6" i="47"/>
  <c r="O6" i="47"/>
  <c r="N6" i="47"/>
  <c r="K6" i="47"/>
  <c r="J6" i="47"/>
  <c r="I6" i="47"/>
  <c r="H6" i="47"/>
  <c r="AB5" i="47"/>
  <c r="AA5" i="47"/>
  <c r="Z5" i="47"/>
  <c r="Y5" i="47"/>
  <c r="X5" i="47"/>
  <c r="W5" i="47"/>
  <c r="V5" i="47"/>
  <c r="U5" i="47"/>
  <c r="T5" i="47"/>
  <c r="S5" i="47"/>
  <c r="R5" i="47"/>
  <c r="Q5" i="47"/>
  <c r="P5" i="47"/>
  <c r="O5" i="47"/>
  <c r="N5" i="47"/>
  <c r="K5" i="47"/>
  <c r="J5" i="47"/>
  <c r="I5" i="47"/>
  <c r="H5" i="47"/>
  <c r="AB55" i="46"/>
  <c r="AA55" i="46"/>
  <c r="Z55" i="46"/>
  <c r="Y55" i="46"/>
  <c r="X55" i="46"/>
  <c r="W55" i="46"/>
  <c r="V55" i="46"/>
  <c r="U55" i="46"/>
  <c r="T55" i="46"/>
  <c r="S55" i="46"/>
  <c r="R55" i="46"/>
  <c r="Q55" i="46"/>
  <c r="P55" i="46"/>
  <c r="O55" i="46"/>
  <c r="N55" i="46"/>
  <c r="K55" i="46"/>
  <c r="J55" i="46"/>
  <c r="I55" i="46"/>
  <c r="H55" i="46"/>
  <c r="AB54" i="46"/>
  <c r="AA54" i="46"/>
  <c r="Z54" i="46"/>
  <c r="Y54" i="46"/>
  <c r="X54" i="46"/>
  <c r="W54" i="46"/>
  <c r="V54" i="46"/>
  <c r="U54" i="46"/>
  <c r="T54" i="46"/>
  <c r="S54" i="46"/>
  <c r="R54" i="46"/>
  <c r="Q54" i="46"/>
  <c r="P54" i="46"/>
  <c r="O54" i="46"/>
  <c r="N54" i="46"/>
  <c r="K54" i="46"/>
  <c r="J54" i="46"/>
  <c r="I54" i="46"/>
  <c r="H54" i="46"/>
  <c r="AB53" i="46"/>
  <c r="AA53" i="46"/>
  <c r="Z53" i="46"/>
  <c r="Y53" i="46"/>
  <c r="X53" i="46"/>
  <c r="W53" i="46"/>
  <c r="V53" i="46"/>
  <c r="U53" i="46"/>
  <c r="T53" i="46"/>
  <c r="S53" i="46"/>
  <c r="R53" i="46"/>
  <c r="Q53" i="46"/>
  <c r="P53" i="46"/>
  <c r="O53" i="46"/>
  <c r="N53" i="46"/>
  <c r="K53" i="46"/>
  <c r="J53" i="46"/>
  <c r="I53" i="46"/>
  <c r="H53" i="46"/>
  <c r="AB52" i="46"/>
  <c r="AA52" i="46"/>
  <c r="Z52" i="46"/>
  <c r="Y52" i="46"/>
  <c r="X52" i="46"/>
  <c r="W52" i="46"/>
  <c r="V52" i="46"/>
  <c r="U52" i="46"/>
  <c r="T52" i="46"/>
  <c r="S52" i="46"/>
  <c r="R52" i="46"/>
  <c r="Q52" i="46"/>
  <c r="P52" i="46"/>
  <c r="O52" i="46"/>
  <c r="N52" i="46"/>
  <c r="K52" i="46"/>
  <c r="J52" i="46"/>
  <c r="I52" i="46"/>
  <c r="H52" i="46"/>
  <c r="AB51" i="46"/>
  <c r="AA51" i="46"/>
  <c r="Z51" i="46"/>
  <c r="Y51" i="46"/>
  <c r="X51" i="46"/>
  <c r="W51" i="46"/>
  <c r="V51" i="46"/>
  <c r="U51" i="46"/>
  <c r="T51" i="46"/>
  <c r="S51" i="46"/>
  <c r="R51" i="46"/>
  <c r="Q51" i="46"/>
  <c r="P51" i="46"/>
  <c r="O51" i="46"/>
  <c r="N51" i="46"/>
  <c r="K51" i="46"/>
  <c r="J51" i="46"/>
  <c r="I51" i="46"/>
  <c r="H51" i="46"/>
  <c r="AB50" i="46"/>
  <c r="AA50" i="46"/>
  <c r="Z50" i="46"/>
  <c r="Y50" i="46"/>
  <c r="X50" i="46"/>
  <c r="W50" i="46"/>
  <c r="V50" i="46"/>
  <c r="U50" i="46"/>
  <c r="T50" i="46"/>
  <c r="S50" i="46"/>
  <c r="R50" i="46"/>
  <c r="Q50" i="46"/>
  <c r="P50" i="46"/>
  <c r="O50" i="46"/>
  <c r="N50" i="46"/>
  <c r="K50" i="46"/>
  <c r="J50" i="46"/>
  <c r="I50" i="46"/>
  <c r="H50" i="46"/>
  <c r="AB49" i="46"/>
  <c r="AA49" i="46"/>
  <c r="Z49" i="46"/>
  <c r="Y49" i="46"/>
  <c r="X49" i="46"/>
  <c r="W49" i="46"/>
  <c r="V49" i="46"/>
  <c r="U49" i="46"/>
  <c r="T49" i="46"/>
  <c r="S49" i="46"/>
  <c r="R49" i="46"/>
  <c r="Q49" i="46"/>
  <c r="P49" i="46"/>
  <c r="O49" i="46"/>
  <c r="N49" i="46"/>
  <c r="K49" i="46"/>
  <c r="J49" i="46"/>
  <c r="I49" i="46"/>
  <c r="H49" i="46"/>
  <c r="AB48" i="46"/>
  <c r="AA48" i="46"/>
  <c r="Z48" i="46"/>
  <c r="Y48" i="46"/>
  <c r="X48" i="46"/>
  <c r="W48" i="46"/>
  <c r="V48" i="46"/>
  <c r="U48" i="46"/>
  <c r="T48" i="46"/>
  <c r="S48" i="46"/>
  <c r="R48" i="46"/>
  <c r="Q48" i="46"/>
  <c r="P48" i="46"/>
  <c r="O48" i="46"/>
  <c r="N48" i="46"/>
  <c r="K48" i="46"/>
  <c r="J48" i="46"/>
  <c r="I48" i="46"/>
  <c r="H48" i="46"/>
  <c r="AB47" i="46"/>
  <c r="AA47" i="46"/>
  <c r="Z47" i="46"/>
  <c r="Y47" i="46"/>
  <c r="X47" i="46"/>
  <c r="W47" i="46"/>
  <c r="V47" i="46"/>
  <c r="U47" i="46"/>
  <c r="T47" i="46"/>
  <c r="S47" i="46"/>
  <c r="R47" i="46"/>
  <c r="Q47" i="46"/>
  <c r="P47" i="46"/>
  <c r="O47" i="46"/>
  <c r="N47" i="46"/>
  <c r="K47" i="46"/>
  <c r="J47" i="46"/>
  <c r="I47" i="46"/>
  <c r="H47" i="46"/>
  <c r="AB46" i="46"/>
  <c r="AA46" i="46"/>
  <c r="Z46" i="46"/>
  <c r="Y46" i="46"/>
  <c r="X46" i="46"/>
  <c r="W46" i="46"/>
  <c r="V46" i="46"/>
  <c r="U46" i="46"/>
  <c r="T46" i="46"/>
  <c r="S46" i="46"/>
  <c r="R46" i="46"/>
  <c r="Q46" i="46"/>
  <c r="P46" i="46"/>
  <c r="O46" i="46"/>
  <c r="N46" i="46"/>
  <c r="K46" i="46"/>
  <c r="J46" i="46"/>
  <c r="I46" i="46"/>
  <c r="H46" i="46"/>
  <c r="AB45" i="46"/>
  <c r="AA45" i="46"/>
  <c r="Z45" i="46"/>
  <c r="Y45" i="46"/>
  <c r="X45" i="46"/>
  <c r="W45" i="46"/>
  <c r="V45" i="46"/>
  <c r="U45" i="46"/>
  <c r="T45" i="46"/>
  <c r="S45" i="46"/>
  <c r="R45" i="46"/>
  <c r="Q45" i="46"/>
  <c r="P45" i="46"/>
  <c r="O45" i="46"/>
  <c r="N45" i="46"/>
  <c r="K45" i="46"/>
  <c r="J45" i="46"/>
  <c r="I45" i="46"/>
  <c r="H45" i="46"/>
  <c r="AB44" i="46"/>
  <c r="AA44" i="46"/>
  <c r="Z44" i="46"/>
  <c r="Y44" i="46"/>
  <c r="X44" i="46"/>
  <c r="W44" i="46"/>
  <c r="V44" i="46"/>
  <c r="U44" i="46"/>
  <c r="T44" i="46"/>
  <c r="S44" i="46"/>
  <c r="R44" i="46"/>
  <c r="Q44" i="46"/>
  <c r="P44" i="46"/>
  <c r="O44" i="46"/>
  <c r="N44" i="46"/>
  <c r="K44" i="46"/>
  <c r="J44" i="46"/>
  <c r="I44" i="46"/>
  <c r="H44" i="46"/>
  <c r="AB43" i="46"/>
  <c r="AA43" i="46"/>
  <c r="Z43" i="46"/>
  <c r="Y43" i="46"/>
  <c r="X43" i="46"/>
  <c r="W43" i="46"/>
  <c r="V43" i="46"/>
  <c r="U43" i="46"/>
  <c r="T43" i="46"/>
  <c r="S43" i="46"/>
  <c r="R43" i="46"/>
  <c r="Q43" i="46"/>
  <c r="P43" i="46"/>
  <c r="O43" i="46"/>
  <c r="N43" i="46"/>
  <c r="K43" i="46"/>
  <c r="J43" i="46"/>
  <c r="I43" i="46"/>
  <c r="H43" i="46"/>
  <c r="AB42" i="46"/>
  <c r="AA42" i="46"/>
  <c r="Z42" i="46"/>
  <c r="Y42" i="46"/>
  <c r="X42" i="46"/>
  <c r="W42" i="46"/>
  <c r="V42" i="46"/>
  <c r="U42" i="46"/>
  <c r="T42" i="46"/>
  <c r="S42" i="46"/>
  <c r="R42" i="46"/>
  <c r="Q42" i="46"/>
  <c r="P42" i="46"/>
  <c r="O42" i="46"/>
  <c r="N42" i="46"/>
  <c r="K42" i="46"/>
  <c r="J42" i="46"/>
  <c r="I42" i="46"/>
  <c r="H42" i="46"/>
  <c r="AB41" i="46"/>
  <c r="AA41" i="46"/>
  <c r="Z41" i="46"/>
  <c r="Y41" i="46"/>
  <c r="X41" i="46"/>
  <c r="W41" i="46"/>
  <c r="V41" i="46"/>
  <c r="U41" i="46"/>
  <c r="T41" i="46"/>
  <c r="S41" i="46"/>
  <c r="R41" i="46"/>
  <c r="Q41" i="46"/>
  <c r="P41" i="46"/>
  <c r="O41" i="46"/>
  <c r="N41" i="46"/>
  <c r="K41" i="46"/>
  <c r="J41" i="46"/>
  <c r="I41" i="46"/>
  <c r="H41" i="46"/>
  <c r="AB40" i="46"/>
  <c r="AA40" i="46"/>
  <c r="Z40" i="46"/>
  <c r="Y40" i="46"/>
  <c r="X40" i="46"/>
  <c r="W40" i="46"/>
  <c r="V40" i="46"/>
  <c r="U40" i="46"/>
  <c r="T40" i="46"/>
  <c r="S40" i="46"/>
  <c r="R40" i="46"/>
  <c r="Q40" i="46"/>
  <c r="P40" i="46"/>
  <c r="O40" i="46"/>
  <c r="N40" i="46"/>
  <c r="K40" i="46"/>
  <c r="J40" i="46"/>
  <c r="I40" i="46"/>
  <c r="H40" i="46"/>
  <c r="AB39" i="46"/>
  <c r="AA39" i="46"/>
  <c r="Z39" i="46"/>
  <c r="Y39" i="46"/>
  <c r="X39" i="46"/>
  <c r="W39" i="46"/>
  <c r="V39" i="46"/>
  <c r="U39" i="46"/>
  <c r="T39" i="46"/>
  <c r="S39" i="46"/>
  <c r="R39" i="46"/>
  <c r="Q39" i="46"/>
  <c r="P39" i="46"/>
  <c r="O39" i="46"/>
  <c r="N39" i="46"/>
  <c r="K39" i="46"/>
  <c r="J39" i="46"/>
  <c r="I39" i="46"/>
  <c r="H39" i="46"/>
  <c r="AB38" i="46"/>
  <c r="AA38" i="46"/>
  <c r="Z38" i="46"/>
  <c r="Y38" i="46"/>
  <c r="X38" i="46"/>
  <c r="W38" i="46"/>
  <c r="V38" i="46"/>
  <c r="U38" i="46"/>
  <c r="T38" i="46"/>
  <c r="S38" i="46"/>
  <c r="R38" i="46"/>
  <c r="Q38" i="46"/>
  <c r="P38" i="46"/>
  <c r="O38" i="46"/>
  <c r="N38" i="46"/>
  <c r="K38" i="46"/>
  <c r="J38" i="46"/>
  <c r="I38" i="46"/>
  <c r="H38" i="46"/>
  <c r="AB37" i="46"/>
  <c r="AA37" i="46"/>
  <c r="Z37" i="46"/>
  <c r="Y37" i="46"/>
  <c r="X37" i="46"/>
  <c r="W37" i="46"/>
  <c r="V37" i="46"/>
  <c r="U37" i="46"/>
  <c r="T37" i="46"/>
  <c r="S37" i="46"/>
  <c r="R37" i="46"/>
  <c r="Q37" i="46"/>
  <c r="P37" i="46"/>
  <c r="O37" i="46"/>
  <c r="N37" i="46"/>
  <c r="K37" i="46"/>
  <c r="J37" i="46"/>
  <c r="I37" i="46"/>
  <c r="H37" i="46"/>
  <c r="AB36" i="46"/>
  <c r="AA36" i="46"/>
  <c r="Z36" i="46"/>
  <c r="Y36" i="46"/>
  <c r="X36" i="46"/>
  <c r="W36" i="46"/>
  <c r="V36" i="46"/>
  <c r="U36" i="46"/>
  <c r="T36" i="46"/>
  <c r="S36" i="46"/>
  <c r="R36" i="46"/>
  <c r="Q36" i="46"/>
  <c r="P36" i="46"/>
  <c r="O36" i="46"/>
  <c r="N36" i="46"/>
  <c r="K36" i="46"/>
  <c r="J36" i="46"/>
  <c r="I36" i="46"/>
  <c r="H36" i="46"/>
  <c r="AB35" i="46"/>
  <c r="AA35" i="46"/>
  <c r="Z35" i="46"/>
  <c r="Y35" i="46"/>
  <c r="X35" i="46"/>
  <c r="W35" i="46"/>
  <c r="V35" i="46"/>
  <c r="U35" i="46"/>
  <c r="T35" i="46"/>
  <c r="S35" i="46"/>
  <c r="R35" i="46"/>
  <c r="Q35" i="46"/>
  <c r="P35" i="46"/>
  <c r="O35" i="46"/>
  <c r="N35" i="46"/>
  <c r="K35" i="46"/>
  <c r="J35" i="46"/>
  <c r="I35" i="46"/>
  <c r="H35" i="46"/>
  <c r="AB34" i="46"/>
  <c r="AA34" i="46"/>
  <c r="Z34" i="46"/>
  <c r="Y34" i="46"/>
  <c r="X34" i="46"/>
  <c r="W34" i="46"/>
  <c r="V34" i="46"/>
  <c r="U34" i="46"/>
  <c r="T34" i="46"/>
  <c r="S34" i="46"/>
  <c r="R34" i="46"/>
  <c r="Q34" i="46"/>
  <c r="P34" i="46"/>
  <c r="O34" i="46"/>
  <c r="N34" i="46"/>
  <c r="K34" i="46"/>
  <c r="J34" i="46"/>
  <c r="I34" i="46"/>
  <c r="H34" i="46"/>
  <c r="AB33" i="46"/>
  <c r="AA33" i="46"/>
  <c r="Z33" i="46"/>
  <c r="Y33" i="46"/>
  <c r="X33" i="46"/>
  <c r="W33" i="46"/>
  <c r="V33" i="46"/>
  <c r="U33" i="46"/>
  <c r="T33" i="46"/>
  <c r="S33" i="46"/>
  <c r="R33" i="46"/>
  <c r="Q33" i="46"/>
  <c r="P33" i="46"/>
  <c r="O33" i="46"/>
  <c r="N33" i="46"/>
  <c r="K33" i="46"/>
  <c r="J33" i="46"/>
  <c r="I33" i="46"/>
  <c r="H33" i="46"/>
  <c r="AB32" i="46"/>
  <c r="AA32" i="46"/>
  <c r="Z32" i="46"/>
  <c r="Y32" i="46"/>
  <c r="X32" i="46"/>
  <c r="W32" i="46"/>
  <c r="V32" i="46"/>
  <c r="U32" i="46"/>
  <c r="T32" i="46"/>
  <c r="S32" i="46"/>
  <c r="R32" i="46"/>
  <c r="Q32" i="46"/>
  <c r="P32" i="46"/>
  <c r="O32" i="46"/>
  <c r="N32" i="46"/>
  <c r="K32" i="46"/>
  <c r="J32" i="46"/>
  <c r="I32" i="46"/>
  <c r="H32" i="46"/>
  <c r="AB31" i="46"/>
  <c r="AA31" i="46"/>
  <c r="Z31" i="46"/>
  <c r="Y31" i="46"/>
  <c r="X31" i="46"/>
  <c r="W31" i="46"/>
  <c r="V31" i="46"/>
  <c r="U31" i="46"/>
  <c r="T31" i="46"/>
  <c r="S31" i="46"/>
  <c r="R31" i="46"/>
  <c r="Q31" i="46"/>
  <c r="P31" i="46"/>
  <c r="O31" i="46"/>
  <c r="N31" i="46"/>
  <c r="K31" i="46"/>
  <c r="J31" i="46"/>
  <c r="I31" i="46"/>
  <c r="H31" i="46"/>
  <c r="AB30" i="46"/>
  <c r="AA30" i="46"/>
  <c r="Z30" i="46"/>
  <c r="Y30" i="46"/>
  <c r="X30" i="46"/>
  <c r="W30" i="46"/>
  <c r="V30" i="46"/>
  <c r="U30" i="46"/>
  <c r="T30" i="46"/>
  <c r="S30" i="46"/>
  <c r="R30" i="46"/>
  <c r="Q30" i="46"/>
  <c r="P30" i="46"/>
  <c r="O30" i="46"/>
  <c r="N30" i="46"/>
  <c r="K30" i="46"/>
  <c r="J30" i="46"/>
  <c r="I30" i="46"/>
  <c r="H30" i="46"/>
  <c r="AB29" i="46"/>
  <c r="AA29" i="46"/>
  <c r="Z29" i="46"/>
  <c r="Y29" i="46"/>
  <c r="X29" i="46"/>
  <c r="W29" i="46"/>
  <c r="V29" i="46"/>
  <c r="U29" i="46"/>
  <c r="T29" i="46"/>
  <c r="S29" i="46"/>
  <c r="R29" i="46"/>
  <c r="Q29" i="46"/>
  <c r="P29" i="46"/>
  <c r="O29" i="46"/>
  <c r="N29" i="46"/>
  <c r="K29" i="46"/>
  <c r="J29" i="46"/>
  <c r="I29" i="46"/>
  <c r="H29" i="46"/>
  <c r="AB28" i="46"/>
  <c r="AA28" i="46"/>
  <c r="Z28" i="46"/>
  <c r="Y28" i="46"/>
  <c r="X28" i="46"/>
  <c r="W28" i="46"/>
  <c r="V28" i="46"/>
  <c r="U28" i="46"/>
  <c r="T28" i="46"/>
  <c r="S28" i="46"/>
  <c r="R28" i="46"/>
  <c r="Q28" i="46"/>
  <c r="P28" i="46"/>
  <c r="O28" i="46"/>
  <c r="N28" i="46"/>
  <c r="K28" i="46"/>
  <c r="J28" i="46"/>
  <c r="I28" i="46"/>
  <c r="H28" i="46"/>
  <c r="AB27" i="46"/>
  <c r="AA27" i="46"/>
  <c r="Z27" i="46"/>
  <c r="Y27" i="46"/>
  <c r="X27" i="46"/>
  <c r="W27" i="46"/>
  <c r="V27" i="46"/>
  <c r="U27" i="46"/>
  <c r="T27" i="46"/>
  <c r="S27" i="46"/>
  <c r="R27" i="46"/>
  <c r="Q27" i="46"/>
  <c r="P27" i="46"/>
  <c r="O27" i="46"/>
  <c r="N27" i="46"/>
  <c r="K27" i="46"/>
  <c r="J27" i="46"/>
  <c r="I27" i="46"/>
  <c r="H27" i="46"/>
  <c r="AB26" i="46"/>
  <c r="AA26" i="46"/>
  <c r="Z26" i="46"/>
  <c r="Y26" i="46"/>
  <c r="X26" i="46"/>
  <c r="W26" i="46"/>
  <c r="V26" i="46"/>
  <c r="U26" i="46"/>
  <c r="T26" i="46"/>
  <c r="S26" i="46"/>
  <c r="R26" i="46"/>
  <c r="Q26" i="46"/>
  <c r="P26" i="46"/>
  <c r="O26" i="46"/>
  <c r="N26" i="46"/>
  <c r="K26" i="46"/>
  <c r="J26" i="46"/>
  <c r="I26" i="46"/>
  <c r="H26" i="46"/>
  <c r="AB25" i="46"/>
  <c r="AA25" i="46"/>
  <c r="Z25" i="46"/>
  <c r="Y25" i="46"/>
  <c r="X25" i="46"/>
  <c r="W25" i="46"/>
  <c r="V25" i="46"/>
  <c r="U25" i="46"/>
  <c r="T25" i="46"/>
  <c r="S25" i="46"/>
  <c r="R25" i="46"/>
  <c r="Q25" i="46"/>
  <c r="P25" i="46"/>
  <c r="O25" i="46"/>
  <c r="N25" i="46"/>
  <c r="K25" i="46"/>
  <c r="J25" i="46"/>
  <c r="I25" i="46"/>
  <c r="H25" i="46"/>
  <c r="AB24" i="46"/>
  <c r="AA24" i="46"/>
  <c r="Z24" i="46"/>
  <c r="Y24" i="46"/>
  <c r="X24" i="46"/>
  <c r="W24" i="46"/>
  <c r="V24" i="46"/>
  <c r="U24" i="46"/>
  <c r="T24" i="46"/>
  <c r="S24" i="46"/>
  <c r="R24" i="46"/>
  <c r="Q24" i="46"/>
  <c r="P24" i="46"/>
  <c r="O24" i="46"/>
  <c r="N24" i="46"/>
  <c r="K24" i="46"/>
  <c r="J24" i="46"/>
  <c r="I24" i="46"/>
  <c r="H24" i="46"/>
  <c r="AB23" i="46"/>
  <c r="AA23" i="46"/>
  <c r="Z23" i="46"/>
  <c r="Y23" i="46"/>
  <c r="X23" i="46"/>
  <c r="W23" i="46"/>
  <c r="V23" i="46"/>
  <c r="U23" i="46"/>
  <c r="T23" i="46"/>
  <c r="S23" i="46"/>
  <c r="R23" i="46"/>
  <c r="Q23" i="46"/>
  <c r="P23" i="46"/>
  <c r="O23" i="46"/>
  <c r="N23" i="46"/>
  <c r="K23" i="46"/>
  <c r="J23" i="46"/>
  <c r="I23" i="46"/>
  <c r="H23" i="46"/>
  <c r="AB22" i="46"/>
  <c r="AA22" i="46"/>
  <c r="Z22" i="46"/>
  <c r="Y22" i="46"/>
  <c r="X22" i="46"/>
  <c r="W22" i="46"/>
  <c r="V22" i="46"/>
  <c r="U22" i="46"/>
  <c r="T22" i="46"/>
  <c r="S22" i="46"/>
  <c r="R22" i="46"/>
  <c r="Q22" i="46"/>
  <c r="P22" i="46"/>
  <c r="O22" i="46"/>
  <c r="N22" i="46"/>
  <c r="K22" i="46"/>
  <c r="J22" i="46"/>
  <c r="I22" i="46"/>
  <c r="H22" i="46"/>
  <c r="AB21" i="46"/>
  <c r="AA21" i="46"/>
  <c r="Z21" i="46"/>
  <c r="Y21" i="46"/>
  <c r="X21" i="46"/>
  <c r="W21" i="46"/>
  <c r="V21" i="46"/>
  <c r="U21" i="46"/>
  <c r="T21" i="46"/>
  <c r="S21" i="46"/>
  <c r="R21" i="46"/>
  <c r="Q21" i="46"/>
  <c r="P21" i="46"/>
  <c r="O21" i="46"/>
  <c r="N21" i="46"/>
  <c r="K21" i="46"/>
  <c r="J21" i="46"/>
  <c r="I21" i="46"/>
  <c r="H21" i="46"/>
  <c r="AB20" i="46"/>
  <c r="AA20" i="46"/>
  <c r="Z20" i="46"/>
  <c r="Y20" i="46"/>
  <c r="X20" i="46"/>
  <c r="W20" i="46"/>
  <c r="V20" i="46"/>
  <c r="U20" i="46"/>
  <c r="T20" i="46"/>
  <c r="S20" i="46"/>
  <c r="R20" i="46"/>
  <c r="Q20" i="46"/>
  <c r="P20" i="46"/>
  <c r="O20" i="46"/>
  <c r="N20" i="46"/>
  <c r="K20" i="46"/>
  <c r="J20" i="46"/>
  <c r="I20" i="46"/>
  <c r="H20" i="46"/>
  <c r="AB19" i="46"/>
  <c r="AA19" i="46"/>
  <c r="Z19" i="46"/>
  <c r="Y19" i="46"/>
  <c r="X19" i="46"/>
  <c r="W19" i="46"/>
  <c r="V19" i="46"/>
  <c r="U19" i="46"/>
  <c r="T19" i="46"/>
  <c r="S19" i="46"/>
  <c r="R19" i="46"/>
  <c r="Q19" i="46"/>
  <c r="P19" i="46"/>
  <c r="O19" i="46"/>
  <c r="N19" i="46"/>
  <c r="K19" i="46"/>
  <c r="J19" i="46"/>
  <c r="I19" i="46"/>
  <c r="H19" i="46"/>
  <c r="AB18" i="46"/>
  <c r="AA18" i="46"/>
  <c r="Z18" i="46"/>
  <c r="Y18" i="46"/>
  <c r="X18" i="46"/>
  <c r="W18" i="46"/>
  <c r="V18" i="46"/>
  <c r="U18" i="46"/>
  <c r="T18" i="46"/>
  <c r="S18" i="46"/>
  <c r="R18" i="46"/>
  <c r="Q18" i="46"/>
  <c r="P18" i="46"/>
  <c r="O18" i="46"/>
  <c r="N18" i="46"/>
  <c r="K18" i="46"/>
  <c r="J18" i="46"/>
  <c r="I18" i="46"/>
  <c r="H18" i="46"/>
  <c r="AB17" i="46"/>
  <c r="AA17" i="46"/>
  <c r="Z17" i="46"/>
  <c r="Y17" i="46"/>
  <c r="X17" i="46"/>
  <c r="W17" i="46"/>
  <c r="V17" i="46"/>
  <c r="U17" i="46"/>
  <c r="T17" i="46"/>
  <c r="S17" i="46"/>
  <c r="R17" i="46"/>
  <c r="Q17" i="46"/>
  <c r="P17" i="46"/>
  <c r="O17" i="46"/>
  <c r="N17" i="46"/>
  <c r="K17" i="46"/>
  <c r="J17" i="46"/>
  <c r="I17" i="46"/>
  <c r="H17" i="46"/>
  <c r="AB16" i="46"/>
  <c r="AA16" i="46"/>
  <c r="Z16" i="46"/>
  <c r="Y16" i="46"/>
  <c r="X16" i="46"/>
  <c r="W16" i="46"/>
  <c r="V16" i="46"/>
  <c r="U16" i="46"/>
  <c r="T16" i="46"/>
  <c r="S16" i="46"/>
  <c r="R16" i="46"/>
  <c r="Q16" i="46"/>
  <c r="P16" i="46"/>
  <c r="O16" i="46"/>
  <c r="N16" i="46"/>
  <c r="K16" i="46"/>
  <c r="J16" i="46"/>
  <c r="I16" i="46"/>
  <c r="H16" i="46"/>
  <c r="AB15" i="46"/>
  <c r="AA15" i="46"/>
  <c r="Z15" i="46"/>
  <c r="Y15" i="46"/>
  <c r="X15" i="46"/>
  <c r="W15" i="46"/>
  <c r="V15" i="46"/>
  <c r="U15" i="46"/>
  <c r="T15" i="46"/>
  <c r="S15" i="46"/>
  <c r="R15" i="46"/>
  <c r="Q15" i="46"/>
  <c r="P15" i="46"/>
  <c r="O15" i="46"/>
  <c r="N15" i="46"/>
  <c r="K15" i="46"/>
  <c r="J15" i="46"/>
  <c r="I15" i="46"/>
  <c r="H15" i="46"/>
  <c r="AB14" i="46"/>
  <c r="AA14" i="46"/>
  <c r="Z14" i="46"/>
  <c r="Y14" i="46"/>
  <c r="X14" i="46"/>
  <c r="W14" i="46"/>
  <c r="V14" i="46"/>
  <c r="U14" i="46"/>
  <c r="T14" i="46"/>
  <c r="S14" i="46"/>
  <c r="R14" i="46"/>
  <c r="Q14" i="46"/>
  <c r="P14" i="46"/>
  <c r="O14" i="46"/>
  <c r="N14" i="46"/>
  <c r="K14" i="46"/>
  <c r="J14" i="46"/>
  <c r="I14" i="46"/>
  <c r="H14" i="46"/>
  <c r="AB13" i="46"/>
  <c r="AA13" i="46"/>
  <c r="Z13" i="46"/>
  <c r="Y13" i="46"/>
  <c r="X13" i="46"/>
  <c r="W13" i="46"/>
  <c r="V13" i="46"/>
  <c r="U13" i="46"/>
  <c r="T13" i="46"/>
  <c r="S13" i="46"/>
  <c r="R13" i="46"/>
  <c r="Q13" i="46"/>
  <c r="P13" i="46"/>
  <c r="O13" i="46"/>
  <c r="N13" i="46"/>
  <c r="K13" i="46"/>
  <c r="J13" i="46"/>
  <c r="I13" i="46"/>
  <c r="H13" i="46"/>
  <c r="AB12" i="46"/>
  <c r="AA12" i="46"/>
  <c r="Z12" i="46"/>
  <c r="Y12" i="46"/>
  <c r="X12" i="46"/>
  <c r="W12" i="46"/>
  <c r="V12" i="46"/>
  <c r="U12" i="46"/>
  <c r="T12" i="46"/>
  <c r="S12" i="46"/>
  <c r="R12" i="46"/>
  <c r="Q12" i="46"/>
  <c r="P12" i="46"/>
  <c r="O12" i="46"/>
  <c r="N12" i="46"/>
  <c r="K12" i="46"/>
  <c r="J12" i="46"/>
  <c r="I12" i="46"/>
  <c r="H12" i="46"/>
  <c r="AB11" i="46"/>
  <c r="AA11" i="46"/>
  <c r="Z11" i="46"/>
  <c r="Y11" i="46"/>
  <c r="X11" i="46"/>
  <c r="W11" i="46"/>
  <c r="V11" i="46"/>
  <c r="U11" i="46"/>
  <c r="T11" i="46"/>
  <c r="S11" i="46"/>
  <c r="R11" i="46"/>
  <c r="Q11" i="46"/>
  <c r="P11" i="46"/>
  <c r="O11" i="46"/>
  <c r="N11" i="46"/>
  <c r="K11" i="46"/>
  <c r="J11" i="46"/>
  <c r="I11" i="46"/>
  <c r="H11" i="46"/>
  <c r="AB10" i="46"/>
  <c r="AA10" i="46"/>
  <c r="Z10" i="46"/>
  <c r="Y10" i="46"/>
  <c r="X10" i="46"/>
  <c r="W10" i="46"/>
  <c r="V10" i="46"/>
  <c r="U10" i="46"/>
  <c r="T10" i="46"/>
  <c r="S10" i="46"/>
  <c r="R10" i="46"/>
  <c r="Q10" i="46"/>
  <c r="P10" i="46"/>
  <c r="O10" i="46"/>
  <c r="N10" i="46"/>
  <c r="K10" i="46"/>
  <c r="J10" i="46"/>
  <c r="I10" i="46"/>
  <c r="H10" i="46"/>
  <c r="AB9" i="46"/>
  <c r="AA9" i="46"/>
  <c r="Z9" i="46"/>
  <c r="Y9" i="46"/>
  <c r="X9" i="46"/>
  <c r="W9" i="46"/>
  <c r="V9" i="46"/>
  <c r="U9" i="46"/>
  <c r="T9" i="46"/>
  <c r="S9" i="46"/>
  <c r="R9" i="46"/>
  <c r="Q9" i="46"/>
  <c r="P9" i="46"/>
  <c r="O9" i="46"/>
  <c r="N9" i="46"/>
  <c r="K9" i="46"/>
  <c r="J9" i="46"/>
  <c r="I9" i="46"/>
  <c r="H9" i="46"/>
  <c r="AB8" i="46"/>
  <c r="AA8" i="46"/>
  <c r="Z8" i="46"/>
  <c r="Y8" i="46"/>
  <c r="X8" i="46"/>
  <c r="W8" i="46"/>
  <c r="V8" i="46"/>
  <c r="U8" i="46"/>
  <c r="T8" i="46"/>
  <c r="S8" i="46"/>
  <c r="R8" i="46"/>
  <c r="Q8" i="46"/>
  <c r="P8" i="46"/>
  <c r="O8" i="46"/>
  <c r="N8" i="46"/>
  <c r="K8" i="46"/>
  <c r="J8" i="46"/>
  <c r="I8" i="46"/>
  <c r="H8" i="46"/>
  <c r="AB7" i="46"/>
  <c r="AA7" i="46"/>
  <c r="Z7" i="46"/>
  <c r="Y7" i="46"/>
  <c r="X7" i="46"/>
  <c r="W7" i="46"/>
  <c r="V7" i="46"/>
  <c r="U7" i="46"/>
  <c r="T7" i="46"/>
  <c r="S7" i="46"/>
  <c r="R7" i="46"/>
  <c r="Q7" i="46"/>
  <c r="P7" i="46"/>
  <c r="O7" i="46"/>
  <c r="N7" i="46"/>
  <c r="K7" i="46"/>
  <c r="J7" i="46"/>
  <c r="I7" i="46"/>
  <c r="H7" i="46"/>
  <c r="AB6" i="46"/>
  <c r="AA6" i="46"/>
  <c r="Z6" i="46"/>
  <c r="Y6" i="46"/>
  <c r="X6" i="46"/>
  <c r="W6" i="46"/>
  <c r="V6" i="46"/>
  <c r="U6" i="46"/>
  <c r="T6" i="46"/>
  <c r="S6" i="46"/>
  <c r="R6" i="46"/>
  <c r="Q6" i="46"/>
  <c r="P6" i="46"/>
  <c r="O6" i="46"/>
  <c r="N6" i="46"/>
  <c r="K6" i="46"/>
  <c r="J6" i="46"/>
  <c r="I6" i="46"/>
  <c r="H6" i="46"/>
  <c r="AB5" i="46"/>
  <c r="AA5" i="46"/>
  <c r="Z5" i="46"/>
  <c r="Y5" i="46"/>
  <c r="X5" i="46"/>
  <c r="W5" i="46"/>
  <c r="V5" i="46"/>
  <c r="U5" i="46"/>
  <c r="T5" i="46"/>
  <c r="S5" i="46"/>
  <c r="R5" i="46"/>
  <c r="Q5" i="46"/>
  <c r="P5" i="46"/>
  <c r="O5" i="46"/>
  <c r="N5" i="46"/>
  <c r="K5" i="46"/>
  <c r="J5" i="46"/>
  <c r="I5" i="46"/>
  <c r="H5" i="46"/>
  <c r="AB55" i="45"/>
  <c r="AA55" i="45"/>
  <c r="Z55" i="45"/>
  <c r="Y55" i="45"/>
  <c r="X55" i="45"/>
  <c r="W55" i="45"/>
  <c r="V55" i="45"/>
  <c r="U55" i="45"/>
  <c r="T55" i="45"/>
  <c r="S55" i="45"/>
  <c r="R55" i="45"/>
  <c r="Q55" i="45"/>
  <c r="P55" i="45"/>
  <c r="O55" i="45"/>
  <c r="N55" i="45"/>
  <c r="K55" i="45"/>
  <c r="J55" i="45"/>
  <c r="I55" i="45"/>
  <c r="H55" i="45"/>
  <c r="AB54" i="45"/>
  <c r="AA54" i="45"/>
  <c r="Z54" i="45"/>
  <c r="Y54" i="45"/>
  <c r="X54" i="45"/>
  <c r="W54" i="45"/>
  <c r="V54" i="45"/>
  <c r="U54" i="45"/>
  <c r="T54" i="45"/>
  <c r="S54" i="45"/>
  <c r="R54" i="45"/>
  <c r="Q54" i="45"/>
  <c r="P54" i="45"/>
  <c r="O54" i="45"/>
  <c r="N54" i="45"/>
  <c r="K54" i="45"/>
  <c r="J54" i="45"/>
  <c r="I54" i="45"/>
  <c r="H54" i="45"/>
  <c r="AB53" i="45"/>
  <c r="AA53" i="45"/>
  <c r="Z53" i="45"/>
  <c r="Y53" i="45"/>
  <c r="X53" i="45"/>
  <c r="W53" i="45"/>
  <c r="V53" i="45"/>
  <c r="U53" i="45"/>
  <c r="T53" i="45"/>
  <c r="S53" i="45"/>
  <c r="R53" i="45"/>
  <c r="Q53" i="45"/>
  <c r="P53" i="45"/>
  <c r="O53" i="45"/>
  <c r="N53" i="45"/>
  <c r="K53" i="45"/>
  <c r="J53" i="45"/>
  <c r="I53" i="45"/>
  <c r="H53" i="45"/>
  <c r="AB52" i="45"/>
  <c r="AA52" i="45"/>
  <c r="Z52" i="45"/>
  <c r="Y52" i="45"/>
  <c r="X52" i="45"/>
  <c r="W52" i="45"/>
  <c r="V52" i="45"/>
  <c r="U52" i="45"/>
  <c r="T52" i="45"/>
  <c r="S52" i="45"/>
  <c r="R52" i="45"/>
  <c r="Q52" i="45"/>
  <c r="P52" i="45"/>
  <c r="O52" i="45"/>
  <c r="N52" i="45"/>
  <c r="K52" i="45"/>
  <c r="J52" i="45"/>
  <c r="I52" i="45"/>
  <c r="H52" i="45"/>
  <c r="AB51" i="45"/>
  <c r="AA51" i="45"/>
  <c r="Z51" i="45"/>
  <c r="Y51" i="45"/>
  <c r="X51" i="45"/>
  <c r="W51" i="45"/>
  <c r="V51" i="45"/>
  <c r="U51" i="45"/>
  <c r="T51" i="45"/>
  <c r="S51" i="45"/>
  <c r="R51" i="45"/>
  <c r="Q51" i="45"/>
  <c r="P51" i="45"/>
  <c r="O51" i="45"/>
  <c r="N51" i="45"/>
  <c r="K51" i="45"/>
  <c r="J51" i="45"/>
  <c r="I51" i="45"/>
  <c r="H51" i="45"/>
  <c r="AB50" i="45"/>
  <c r="AA50" i="45"/>
  <c r="Z50" i="45"/>
  <c r="Y50" i="45"/>
  <c r="X50" i="45"/>
  <c r="W50" i="45"/>
  <c r="V50" i="45"/>
  <c r="U50" i="45"/>
  <c r="T50" i="45"/>
  <c r="S50" i="45"/>
  <c r="R50" i="45"/>
  <c r="Q50" i="45"/>
  <c r="P50" i="45"/>
  <c r="O50" i="45"/>
  <c r="N50" i="45"/>
  <c r="K50" i="45"/>
  <c r="J50" i="45"/>
  <c r="I50" i="45"/>
  <c r="H50" i="45"/>
  <c r="AB49" i="45"/>
  <c r="AA49" i="45"/>
  <c r="Z49" i="45"/>
  <c r="Y49" i="45"/>
  <c r="X49" i="45"/>
  <c r="W49" i="45"/>
  <c r="V49" i="45"/>
  <c r="U49" i="45"/>
  <c r="T49" i="45"/>
  <c r="S49" i="45"/>
  <c r="R49" i="45"/>
  <c r="Q49" i="45"/>
  <c r="P49" i="45"/>
  <c r="O49" i="45"/>
  <c r="N49" i="45"/>
  <c r="K49" i="45"/>
  <c r="J49" i="45"/>
  <c r="I49" i="45"/>
  <c r="H49" i="45"/>
  <c r="AB48" i="45"/>
  <c r="AA48" i="45"/>
  <c r="Z48" i="45"/>
  <c r="Y48" i="45"/>
  <c r="X48" i="45"/>
  <c r="W48" i="45"/>
  <c r="V48" i="45"/>
  <c r="U48" i="45"/>
  <c r="T48" i="45"/>
  <c r="S48" i="45"/>
  <c r="R48" i="45"/>
  <c r="Q48" i="45"/>
  <c r="P48" i="45"/>
  <c r="O48" i="45"/>
  <c r="N48" i="45"/>
  <c r="K48" i="45"/>
  <c r="J48" i="45"/>
  <c r="I48" i="45"/>
  <c r="H48" i="45"/>
  <c r="AB47" i="45"/>
  <c r="AA47" i="45"/>
  <c r="Z47" i="45"/>
  <c r="Y47" i="45"/>
  <c r="X47" i="45"/>
  <c r="W47" i="45"/>
  <c r="V47" i="45"/>
  <c r="U47" i="45"/>
  <c r="T47" i="45"/>
  <c r="S47" i="45"/>
  <c r="R47" i="45"/>
  <c r="Q47" i="45"/>
  <c r="P47" i="45"/>
  <c r="O47" i="45"/>
  <c r="N47" i="45"/>
  <c r="K47" i="45"/>
  <c r="J47" i="45"/>
  <c r="I47" i="45"/>
  <c r="H47" i="45"/>
  <c r="AB46" i="45"/>
  <c r="AA46" i="45"/>
  <c r="Z46" i="45"/>
  <c r="Y46" i="45"/>
  <c r="X46" i="45"/>
  <c r="W46" i="45"/>
  <c r="V46" i="45"/>
  <c r="U46" i="45"/>
  <c r="T46" i="45"/>
  <c r="S46" i="45"/>
  <c r="R46" i="45"/>
  <c r="Q46" i="45"/>
  <c r="P46" i="45"/>
  <c r="O46" i="45"/>
  <c r="N46" i="45"/>
  <c r="K46" i="45"/>
  <c r="J46" i="45"/>
  <c r="I46" i="45"/>
  <c r="H46" i="45"/>
  <c r="AB45" i="45"/>
  <c r="AA45" i="45"/>
  <c r="Z45" i="45"/>
  <c r="Y45" i="45"/>
  <c r="X45" i="45"/>
  <c r="W45" i="45"/>
  <c r="V45" i="45"/>
  <c r="U45" i="45"/>
  <c r="T45" i="45"/>
  <c r="S45" i="45"/>
  <c r="R45" i="45"/>
  <c r="Q45" i="45"/>
  <c r="P45" i="45"/>
  <c r="O45" i="45"/>
  <c r="N45" i="45"/>
  <c r="K45" i="45"/>
  <c r="J45" i="45"/>
  <c r="I45" i="45"/>
  <c r="H45" i="45"/>
  <c r="AB44" i="45"/>
  <c r="AA44" i="45"/>
  <c r="Z44" i="45"/>
  <c r="Y44" i="45"/>
  <c r="X44" i="45"/>
  <c r="W44" i="45"/>
  <c r="V44" i="45"/>
  <c r="U44" i="45"/>
  <c r="T44" i="45"/>
  <c r="S44" i="45"/>
  <c r="R44" i="45"/>
  <c r="Q44" i="45"/>
  <c r="P44" i="45"/>
  <c r="O44" i="45"/>
  <c r="N44" i="45"/>
  <c r="K44" i="45"/>
  <c r="J44" i="45"/>
  <c r="I44" i="45"/>
  <c r="H44" i="45"/>
  <c r="AB43" i="45"/>
  <c r="AA43" i="45"/>
  <c r="Z43" i="45"/>
  <c r="Y43" i="45"/>
  <c r="X43" i="45"/>
  <c r="W43" i="45"/>
  <c r="V43" i="45"/>
  <c r="U43" i="45"/>
  <c r="T43" i="45"/>
  <c r="S43" i="45"/>
  <c r="R43" i="45"/>
  <c r="Q43" i="45"/>
  <c r="P43" i="45"/>
  <c r="O43" i="45"/>
  <c r="N43" i="45"/>
  <c r="K43" i="45"/>
  <c r="J43" i="45"/>
  <c r="I43" i="45"/>
  <c r="H43" i="45"/>
  <c r="AB42" i="45"/>
  <c r="AA42" i="45"/>
  <c r="Z42" i="45"/>
  <c r="Y42" i="45"/>
  <c r="X42" i="45"/>
  <c r="W42" i="45"/>
  <c r="V42" i="45"/>
  <c r="U42" i="45"/>
  <c r="T42" i="45"/>
  <c r="S42" i="45"/>
  <c r="R42" i="45"/>
  <c r="Q42" i="45"/>
  <c r="P42" i="45"/>
  <c r="O42" i="45"/>
  <c r="N42" i="45"/>
  <c r="K42" i="45"/>
  <c r="J42" i="45"/>
  <c r="I42" i="45"/>
  <c r="H42" i="45"/>
  <c r="AB41" i="45"/>
  <c r="AA41" i="45"/>
  <c r="Z41" i="45"/>
  <c r="Y41" i="45"/>
  <c r="X41" i="45"/>
  <c r="W41" i="45"/>
  <c r="V41" i="45"/>
  <c r="U41" i="45"/>
  <c r="T41" i="45"/>
  <c r="S41" i="45"/>
  <c r="R41" i="45"/>
  <c r="Q41" i="45"/>
  <c r="P41" i="45"/>
  <c r="O41" i="45"/>
  <c r="N41" i="45"/>
  <c r="K41" i="45"/>
  <c r="J41" i="45"/>
  <c r="I41" i="45"/>
  <c r="H41" i="45"/>
  <c r="AB40" i="45"/>
  <c r="AA40" i="45"/>
  <c r="Z40" i="45"/>
  <c r="Y40" i="45"/>
  <c r="X40" i="45"/>
  <c r="W40" i="45"/>
  <c r="V40" i="45"/>
  <c r="U40" i="45"/>
  <c r="T40" i="45"/>
  <c r="S40" i="45"/>
  <c r="R40" i="45"/>
  <c r="Q40" i="45"/>
  <c r="P40" i="45"/>
  <c r="O40" i="45"/>
  <c r="N40" i="45"/>
  <c r="K40" i="45"/>
  <c r="J40" i="45"/>
  <c r="I40" i="45"/>
  <c r="H40" i="45"/>
  <c r="AB39" i="45"/>
  <c r="AA39" i="45"/>
  <c r="Z39" i="45"/>
  <c r="Y39" i="45"/>
  <c r="X39" i="45"/>
  <c r="W39" i="45"/>
  <c r="V39" i="45"/>
  <c r="U39" i="45"/>
  <c r="T39" i="45"/>
  <c r="S39" i="45"/>
  <c r="R39" i="45"/>
  <c r="Q39" i="45"/>
  <c r="P39" i="45"/>
  <c r="O39" i="45"/>
  <c r="N39" i="45"/>
  <c r="K39" i="45"/>
  <c r="J39" i="45"/>
  <c r="I39" i="45"/>
  <c r="H39" i="45"/>
  <c r="AB38" i="45"/>
  <c r="AA38" i="45"/>
  <c r="Z38" i="45"/>
  <c r="Y38" i="45"/>
  <c r="X38" i="45"/>
  <c r="W38" i="45"/>
  <c r="V38" i="45"/>
  <c r="U38" i="45"/>
  <c r="T38" i="45"/>
  <c r="S38" i="45"/>
  <c r="R38" i="45"/>
  <c r="Q38" i="45"/>
  <c r="P38" i="45"/>
  <c r="O38" i="45"/>
  <c r="N38" i="45"/>
  <c r="K38" i="45"/>
  <c r="J38" i="45"/>
  <c r="I38" i="45"/>
  <c r="H38" i="45"/>
  <c r="AB37" i="45"/>
  <c r="AA37" i="45"/>
  <c r="Z37" i="45"/>
  <c r="Y37" i="45"/>
  <c r="X37" i="45"/>
  <c r="W37" i="45"/>
  <c r="V37" i="45"/>
  <c r="U37" i="45"/>
  <c r="T37" i="45"/>
  <c r="S37" i="45"/>
  <c r="R37" i="45"/>
  <c r="Q37" i="45"/>
  <c r="P37" i="45"/>
  <c r="O37" i="45"/>
  <c r="N37" i="45"/>
  <c r="K37" i="45"/>
  <c r="J37" i="45"/>
  <c r="I37" i="45"/>
  <c r="H37" i="45"/>
  <c r="AB36" i="45"/>
  <c r="AA36" i="45"/>
  <c r="Z36" i="45"/>
  <c r="Y36" i="45"/>
  <c r="X36" i="45"/>
  <c r="W36" i="45"/>
  <c r="V36" i="45"/>
  <c r="U36" i="45"/>
  <c r="T36" i="45"/>
  <c r="S36" i="45"/>
  <c r="R36" i="45"/>
  <c r="Q36" i="45"/>
  <c r="P36" i="45"/>
  <c r="O36" i="45"/>
  <c r="N36" i="45"/>
  <c r="K36" i="45"/>
  <c r="J36" i="45"/>
  <c r="I36" i="45"/>
  <c r="H36" i="45"/>
  <c r="AB35" i="45"/>
  <c r="AA35" i="45"/>
  <c r="Z35" i="45"/>
  <c r="Y35" i="45"/>
  <c r="X35" i="45"/>
  <c r="W35" i="45"/>
  <c r="V35" i="45"/>
  <c r="U35" i="45"/>
  <c r="T35" i="45"/>
  <c r="S35" i="45"/>
  <c r="R35" i="45"/>
  <c r="Q35" i="45"/>
  <c r="P35" i="45"/>
  <c r="O35" i="45"/>
  <c r="N35" i="45"/>
  <c r="K35" i="45"/>
  <c r="J35" i="45"/>
  <c r="I35" i="45"/>
  <c r="H35" i="45"/>
  <c r="AB34" i="45"/>
  <c r="AA34" i="45"/>
  <c r="Z34" i="45"/>
  <c r="Y34" i="45"/>
  <c r="X34" i="45"/>
  <c r="W34" i="45"/>
  <c r="V34" i="45"/>
  <c r="U34" i="45"/>
  <c r="T34" i="45"/>
  <c r="S34" i="45"/>
  <c r="R34" i="45"/>
  <c r="Q34" i="45"/>
  <c r="P34" i="45"/>
  <c r="O34" i="45"/>
  <c r="N34" i="45"/>
  <c r="K34" i="45"/>
  <c r="J34" i="45"/>
  <c r="I34" i="45"/>
  <c r="H34" i="45"/>
  <c r="AB33" i="45"/>
  <c r="AA33" i="45"/>
  <c r="Z33" i="45"/>
  <c r="Y33" i="45"/>
  <c r="X33" i="45"/>
  <c r="W33" i="45"/>
  <c r="V33" i="45"/>
  <c r="U33" i="45"/>
  <c r="T33" i="45"/>
  <c r="S33" i="45"/>
  <c r="R33" i="45"/>
  <c r="Q33" i="45"/>
  <c r="P33" i="45"/>
  <c r="O33" i="45"/>
  <c r="N33" i="45"/>
  <c r="K33" i="45"/>
  <c r="J33" i="45"/>
  <c r="I33" i="45"/>
  <c r="H33" i="45"/>
  <c r="AB32" i="45"/>
  <c r="AA32" i="45"/>
  <c r="Z32" i="45"/>
  <c r="Y32" i="45"/>
  <c r="X32" i="45"/>
  <c r="W32" i="45"/>
  <c r="V32" i="45"/>
  <c r="U32" i="45"/>
  <c r="T32" i="45"/>
  <c r="S32" i="45"/>
  <c r="R32" i="45"/>
  <c r="Q32" i="45"/>
  <c r="P32" i="45"/>
  <c r="O32" i="45"/>
  <c r="N32" i="45"/>
  <c r="K32" i="45"/>
  <c r="J32" i="45"/>
  <c r="I32" i="45"/>
  <c r="H32" i="45"/>
  <c r="AB31" i="45"/>
  <c r="AA31" i="45"/>
  <c r="Z31" i="45"/>
  <c r="Y31" i="45"/>
  <c r="X31" i="45"/>
  <c r="W31" i="45"/>
  <c r="V31" i="45"/>
  <c r="U31" i="45"/>
  <c r="T31" i="45"/>
  <c r="S31" i="45"/>
  <c r="R31" i="45"/>
  <c r="Q31" i="45"/>
  <c r="P31" i="45"/>
  <c r="O31" i="45"/>
  <c r="N31" i="45"/>
  <c r="K31" i="45"/>
  <c r="J31" i="45"/>
  <c r="I31" i="45"/>
  <c r="H31" i="45"/>
  <c r="AB30" i="45"/>
  <c r="AA30" i="45"/>
  <c r="Z30" i="45"/>
  <c r="Y30" i="45"/>
  <c r="X30" i="45"/>
  <c r="W30" i="45"/>
  <c r="V30" i="45"/>
  <c r="U30" i="45"/>
  <c r="T30" i="45"/>
  <c r="S30" i="45"/>
  <c r="R30" i="45"/>
  <c r="Q30" i="45"/>
  <c r="P30" i="45"/>
  <c r="O30" i="45"/>
  <c r="N30" i="45"/>
  <c r="K30" i="45"/>
  <c r="J30" i="45"/>
  <c r="I30" i="45"/>
  <c r="H30" i="45"/>
  <c r="AB29" i="45"/>
  <c r="AA29" i="45"/>
  <c r="Z29" i="45"/>
  <c r="Y29" i="45"/>
  <c r="X29" i="45"/>
  <c r="W29" i="45"/>
  <c r="V29" i="45"/>
  <c r="U29" i="45"/>
  <c r="T29" i="45"/>
  <c r="S29" i="45"/>
  <c r="R29" i="45"/>
  <c r="Q29" i="45"/>
  <c r="P29" i="45"/>
  <c r="O29" i="45"/>
  <c r="N29" i="45"/>
  <c r="K29" i="45"/>
  <c r="J29" i="45"/>
  <c r="I29" i="45"/>
  <c r="H29" i="45"/>
  <c r="AB28" i="45"/>
  <c r="AA28" i="45"/>
  <c r="Z28" i="45"/>
  <c r="Y28" i="45"/>
  <c r="X28" i="45"/>
  <c r="W28" i="45"/>
  <c r="V28" i="45"/>
  <c r="U28" i="45"/>
  <c r="T28" i="45"/>
  <c r="S28" i="45"/>
  <c r="R28" i="45"/>
  <c r="Q28" i="45"/>
  <c r="P28" i="45"/>
  <c r="O28" i="45"/>
  <c r="N28" i="45"/>
  <c r="K28" i="45"/>
  <c r="J28" i="45"/>
  <c r="I28" i="45"/>
  <c r="H28" i="45"/>
  <c r="AB27" i="45"/>
  <c r="AA27" i="45"/>
  <c r="Z27" i="45"/>
  <c r="Y27" i="45"/>
  <c r="X27" i="45"/>
  <c r="W27" i="45"/>
  <c r="V27" i="45"/>
  <c r="U27" i="45"/>
  <c r="T27" i="45"/>
  <c r="S27" i="45"/>
  <c r="R27" i="45"/>
  <c r="Q27" i="45"/>
  <c r="P27" i="45"/>
  <c r="O27" i="45"/>
  <c r="N27" i="45"/>
  <c r="K27" i="45"/>
  <c r="J27" i="45"/>
  <c r="I27" i="45"/>
  <c r="H27" i="45"/>
  <c r="AB26" i="45"/>
  <c r="AA26" i="45"/>
  <c r="Z26" i="45"/>
  <c r="Y26" i="45"/>
  <c r="X26" i="45"/>
  <c r="W26" i="45"/>
  <c r="V26" i="45"/>
  <c r="U26" i="45"/>
  <c r="T26" i="45"/>
  <c r="S26" i="45"/>
  <c r="R26" i="45"/>
  <c r="Q26" i="45"/>
  <c r="P26" i="45"/>
  <c r="O26" i="45"/>
  <c r="N26" i="45"/>
  <c r="K26" i="45"/>
  <c r="J26" i="45"/>
  <c r="I26" i="45"/>
  <c r="H26" i="45"/>
  <c r="AB25" i="45"/>
  <c r="AA25" i="45"/>
  <c r="Z25" i="45"/>
  <c r="Y25" i="45"/>
  <c r="X25" i="45"/>
  <c r="W25" i="45"/>
  <c r="V25" i="45"/>
  <c r="U25" i="45"/>
  <c r="T25" i="45"/>
  <c r="S25" i="45"/>
  <c r="R25" i="45"/>
  <c r="Q25" i="45"/>
  <c r="P25" i="45"/>
  <c r="O25" i="45"/>
  <c r="N25" i="45"/>
  <c r="K25" i="45"/>
  <c r="J25" i="45"/>
  <c r="I25" i="45"/>
  <c r="H25" i="45"/>
  <c r="AB24" i="45"/>
  <c r="AA24" i="45"/>
  <c r="Z24" i="45"/>
  <c r="Y24" i="45"/>
  <c r="X24" i="45"/>
  <c r="W24" i="45"/>
  <c r="V24" i="45"/>
  <c r="U24" i="45"/>
  <c r="T24" i="45"/>
  <c r="S24" i="45"/>
  <c r="R24" i="45"/>
  <c r="Q24" i="45"/>
  <c r="P24" i="45"/>
  <c r="O24" i="45"/>
  <c r="N24" i="45"/>
  <c r="K24" i="45"/>
  <c r="J24" i="45"/>
  <c r="I24" i="45"/>
  <c r="H24" i="45"/>
  <c r="AB23" i="45"/>
  <c r="AA23" i="45"/>
  <c r="Z23" i="45"/>
  <c r="Y23" i="45"/>
  <c r="X23" i="45"/>
  <c r="W23" i="45"/>
  <c r="V23" i="45"/>
  <c r="U23" i="45"/>
  <c r="T23" i="45"/>
  <c r="S23" i="45"/>
  <c r="R23" i="45"/>
  <c r="Q23" i="45"/>
  <c r="P23" i="45"/>
  <c r="O23" i="45"/>
  <c r="N23" i="45"/>
  <c r="K23" i="45"/>
  <c r="J23" i="45"/>
  <c r="I23" i="45"/>
  <c r="H23" i="45"/>
  <c r="AB22" i="45"/>
  <c r="AA22" i="45"/>
  <c r="Z22" i="45"/>
  <c r="Y22" i="45"/>
  <c r="X22" i="45"/>
  <c r="W22" i="45"/>
  <c r="V22" i="45"/>
  <c r="U22" i="45"/>
  <c r="T22" i="45"/>
  <c r="S22" i="45"/>
  <c r="R22" i="45"/>
  <c r="Q22" i="45"/>
  <c r="P22" i="45"/>
  <c r="O22" i="45"/>
  <c r="N22" i="45"/>
  <c r="K22" i="45"/>
  <c r="J22" i="45"/>
  <c r="I22" i="45"/>
  <c r="H22" i="45"/>
  <c r="AB21" i="45"/>
  <c r="AA21" i="45"/>
  <c r="Z21" i="45"/>
  <c r="Y21" i="45"/>
  <c r="X21" i="45"/>
  <c r="W21" i="45"/>
  <c r="V21" i="45"/>
  <c r="U21" i="45"/>
  <c r="T21" i="45"/>
  <c r="S21" i="45"/>
  <c r="R21" i="45"/>
  <c r="Q21" i="45"/>
  <c r="P21" i="45"/>
  <c r="O21" i="45"/>
  <c r="N21" i="45"/>
  <c r="K21" i="45"/>
  <c r="J21" i="45"/>
  <c r="I21" i="45"/>
  <c r="H21" i="45"/>
  <c r="AB20" i="45"/>
  <c r="AA20" i="45"/>
  <c r="Z20" i="45"/>
  <c r="Y20" i="45"/>
  <c r="X20" i="45"/>
  <c r="W20" i="45"/>
  <c r="V20" i="45"/>
  <c r="U20" i="45"/>
  <c r="T20" i="45"/>
  <c r="S20" i="45"/>
  <c r="R20" i="45"/>
  <c r="Q20" i="45"/>
  <c r="P20" i="45"/>
  <c r="O20" i="45"/>
  <c r="N20" i="45"/>
  <c r="K20" i="45"/>
  <c r="J20" i="45"/>
  <c r="I20" i="45"/>
  <c r="H20" i="45"/>
  <c r="AB19" i="45"/>
  <c r="AA19" i="45"/>
  <c r="Z19" i="45"/>
  <c r="Y19" i="45"/>
  <c r="X19" i="45"/>
  <c r="W19" i="45"/>
  <c r="V19" i="45"/>
  <c r="U19" i="45"/>
  <c r="T19" i="45"/>
  <c r="S19" i="45"/>
  <c r="R19" i="45"/>
  <c r="Q19" i="45"/>
  <c r="P19" i="45"/>
  <c r="O19" i="45"/>
  <c r="N19" i="45"/>
  <c r="K19" i="45"/>
  <c r="J19" i="45"/>
  <c r="I19" i="45"/>
  <c r="H19" i="45"/>
  <c r="AB18" i="45"/>
  <c r="AA18" i="45"/>
  <c r="Z18" i="45"/>
  <c r="Y18" i="45"/>
  <c r="X18" i="45"/>
  <c r="W18" i="45"/>
  <c r="V18" i="45"/>
  <c r="U18" i="45"/>
  <c r="T18" i="45"/>
  <c r="S18" i="45"/>
  <c r="R18" i="45"/>
  <c r="Q18" i="45"/>
  <c r="P18" i="45"/>
  <c r="O18" i="45"/>
  <c r="N18" i="45"/>
  <c r="K18" i="45"/>
  <c r="J18" i="45"/>
  <c r="I18" i="45"/>
  <c r="H18" i="45"/>
  <c r="AB17" i="45"/>
  <c r="AA17" i="45"/>
  <c r="Z17" i="45"/>
  <c r="Y17" i="45"/>
  <c r="X17" i="45"/>
  <c r="W17" i="45"/>
  <c r="V17" i="45"/>
  <c r="U17" i="45"/>
  <c r="T17" i="45"/>
  <c r="S17" i="45"/>
  <c r="R17" i="45"/>
  <c r="Q17" i="45"/>
  <c r="P17" i="45"/>
  <c r="O17" i="45"/>
  <c r="N17" i="45"/>
  <c r="K17" i="45"/>
  <c r="J17" i="45"/>
  <c r="I17" i="45"/>
  <c r="H17" i="45"/>
  <c r="AB16" i="45"/>
  <c r="AA16" i="45"/>
  <c r="Z16" i="45"/>
  <c r="Y16" i="45"/>
  <c r="X16" i="45"/>
  <c r="W16" i="45"/>
  <c r="V16" i="45"/>
  <c r="U16" i="45"/>
  <c r="T16" i="45"/>
  <c r="S16" i="45"/>
  <c r="R16" i="45"/>
  <c r="Q16" i="45"/>
  <c r="P16" i="45"/>
  <c r="O16" i="45"/>
  <c r="N16" i="45"/>
  <c r="K16" i="45"/>
  <c r="J16" i="45"/>
  <c r="I16" i="45"/>
  <c r="H16" i="45"/>
  <c r="AB15" i="45"/>
  <c r="AA15" i="45"/>
  <c r="Z15" i="45"/>
  <c r="Y15" i="45"/>
  <c r="X15" i="45"/>
  <c r="W15" i="45"/>
  <c r="V15" i="45"/>
  <c r="U15" i="45"/>
  <c r="T15" i="45"/>
  <c r="S15" i="45"/>
  <c r="R15" i="45"/>
  <c r="Q15" i="45"/>
  <c r="P15" i="45"/>
  <c r="O15" i="45"/>
  <c r="N15" i="45"/>
  <c r="K15" i="45"/>
  <c r="J15" i="45"/>
  <c r="I15" i="45"/>
  <c r="H15" i="45"/>
  <c r="AB14" i="45"/>
  <c r="AA14" i="45"/>
  <c r="Z14" i="45"/>
  <c r="Y14" i="45"/>
  <c r="X14" i="45"/>
  <c r="W14" i="45"/>
  <c r="V14" i="45"/>
  <c r="U14" i="45"/>
  <c r="T14" i="45"/>
  <c r="S14" i="45"/>
  <c r="R14" i="45"/>
  <c r="Q14" i="45"/>
  <c r="P14" i="45"/>
  <c r="O14" i="45"/>
  <c r="N14" i="45"/>
  <c r="K14" i="45"/>
  <c r="J14" i="45"/>
  <c r="I14" i="45"/>
  <c r="H14" i="45"/>
  <c r="AB13" i="45"/>
  <c r="AA13" i="45"/>
  <c r="Z13" i="45"/>
  <c r="Y13" i="45"/>
  <c r="X13" i="45"/>
  <c r="W13" i="45"/>
  <c r="V13" i="45"/>
  <c r="U13" i="45"/>
  <c r="T13" i="45"/>
  <c r="S13" i="45"/>
  <c r="R13" i="45"/>
  <c r="Q13" i="45"/>
  <c r="P13" i="45"/>
  <c r="O13" i="45"/>
  <c r="N13" i="45"/>
  <c r="K13" i="45"/>
  <c r="J13" i="45"/>
  <c r="I13" i="45"/>
  <c r="H13" i="45"/>
  <c r="AB12" i="45"/>
  <c r="AA12" i="45"/>
  <c r="Z12" i="45"/>
  <c r="Y12" i="45"/>
  <c r="X12" i="45"/>
  <c r="W12" i="45"/>
  <c r="V12" i="45"/>
  <c r="U12" i="45"/>
  <c r="T12" i="45"/>
  <c r="S12" i="45"/>
  <c r="R12" i="45"/>
  <c r="Q12" i="45"/>
  <c r="P12" i="45"/>
  <c r="O12" i="45"/>
  <c r="N12" i="45"/>
  <c r="K12" i="45"/>
  <c r="J12" i="45"/>
  <c r="I12" i="45"/>
  <c r="H12" i="45"/>
  <c r="AB11" i="45"/>
  <c r="AA11" i="45"/>
  <c r="Z11" i="45"/>
  <c r="Y11" i="45"/>
  <c r="X11" i="45"/>
  <c r="W11" i="45"/>
  <c r="V11" i="45"/>
  <c r="U11" i="45"/>
  <c r="T11" i="45"/>
  <c r="S11" i="45"/>
  <c r="R11" i="45"/>
  <c r="Q11" i="45"/>
  <c r="P11" i="45"/>
  <c r="O11" i="45"/>
  <c r="N11" i="45"/>
  <c r="K11" i="45"/>
  <c r="J11" i="45"/>
  <c r="I11" i="45"/>
  <c r="H11" i="45"/>
  <c r="AB10" i="45"/>
  <c r="AA10" i="45"/>
  <c r="Z10" i="45"/>
  <c r="Y10" i="45"/>
  <c r="X10" i="45"/>
  <c r="W10" i="45"/>
  <c r="V10" i="45"/>
  <c r="U10" i="45"/>
  <c r="T10" i="45"/>
  <c r="S10" i="45"/>
  <c r="R10" i="45"/>
  <c r="Q10" i="45"/>
  <c r="P10" i="45"/>
  <c r="O10" i="45"/>
  <c r="N10" i="45"/>
  <c r="K10" i="45"/>
  <c r="J10" i="45"/>
  <c r="I10" i="45"/>
  <c r="H10" i="45"/>
  <c r="AB9" i="45"/>
  <c r="AA9" i="45"/>
  <c r="Z9" i="45"/>
  <c r="Y9" i="45"/>
  <c r="X9" i="45"/>
  <c r="W9" i="45"/>
  <c r="V9" i="45"/>
  <c r="U9" i="45"/>
  <c r="T9" i="45"/>
  <c r="S9" i="45"/>
  <c r="R9" i="45"/>
  <c r="Q9" i="45"/>
  <c r="P9" i="45"/>
  <c r="O9" i="45"/>
  <c r="N9" i="45"/>
  <c r="K9" i="45"/>
  <c r="J9" i="45"/>
  <c r="I9" i="45"/>
  <c r="H9" i="45"/>
  <c r="AB8" i="45"/>
  <c r="AA8" i="45"/>
  <c r="Z8" i="45"/>
  <c r="Y8" i="45"/>
  <c r="X8" i="45"/>
  <c r="W8" i="45"/>
  <c r="V8" i="45"/>
  <c r="U8" i="45"/>
  <c r="T8" i="45"/>
  <c r="S8" i="45"/>
  <c r="R8" i="45"/>
  <c r="Q8" i="45"/>
  <c r="P8" i="45"/>
  <c r="O8" i="45"/>
  <c r="N8" i="45"/>
  <c r="K8" i="45"/>
  <c r="J8" i="45"/>
  <c r="I8" i="45"/>
  <c r="H8" i="45"/>
  <c r="AB7" i="45"/>
  <c r="AA7" i="45"/>
  <c r="Z7" i="45"/>
  <c r="Y7" i="45"/>
  <c r="X7" i="45"/>
  <c r="W7" i="45"/>
  <c r="V7" i="45"/>
  <c r="U7" i="45"/>
  <c r="T7" i="45"/>
  <c r="S7" i="45"/>
  <c r="R7" i="45"/>
  <c r="Q7" i="45"/>
  <c r="P7" i="45"/>
  <c r="O7" i="45"/>
  <c r="N7" i="45"/>
  <c r="K7" i="45"/>
  <c r="J7" i="45"/>
  <c r="I7" i="45"/>
  <c r="H7" i="45"/>
  <c r="AB6" i="45"/>
  <c r="AA6" i="45"/>
  <c r="Z6" i="45"/>
  <c r="Y6" i="45"/>
  <c r="X6" i="45"/>
  <c r="W6" i="45"/>
  <c r="V6" i="45"/>
  <c r="U6" i="45"/>
  <c r="T6" i="45"/>
  <c r="S6" i="45"/>
  <c r="R6" i="45"/>
  <c r="Q6" i="45"/>
  <c r="P6" i="45"/>
  <c r="O6" i="45"/>
  <c r="N6" i="45"/>
  <c r="K6" i="45"/>
  <c r="J6" i="45"/>
  <c r="I6" i="45"/>
  <c r="H6" i="45"/>
  <c r="AB5" i="45"/>
  <c r="AA5" i="45"/>
  <c r="Z5" i="45"/>
  <c r="Y5" i="45"/>
  <c r="X5" i="45"/>
  <c r="W5" i="45"/>
  <c r="V5" i="45"/>
  <c r="U5" i="45"/>
  <c r="T5" i="45"/>
  <c r="S5" i="45"/>
  <c r="R5" i="45"/>
  <c r="Q5" i="45"/>
  <c r="P5" i="45"/>
  <c r="O5" i="45"/>
  <c r="N5" i="45"/>
  <c r="K5" i="45"/>
  <c r="J5" i="45"/>
  <c r="I5" i="45"/>
  <c r="H5" i="45"/>
  <c r="AB55" i="44"/>
  <c r="AA55" i="44"/>
  <c r="Z55" i="44"/>
  <c r="Y55" i="44"/>
  <c r="X55" i="44"/>
  <c r="W55" i="44"/>
  <c r="V55" i="44"/>
  <c r="U55" i="44"/>
  <c r="T55" i="44"/>
  <c r="S55" i="44"/>
  <c r="R55" i="44"/>
  <c r="Q55" i="44"/>
  <c r="P55" i="44"/>
  <c r="O55" i="44"/>
  <c r="N55" i="44"/>
  <c r="K55" i="44"/>
  <c r="J55" i="44"/>
  <c r="I55" i="44"/>
  <c r="H55" i="44"/>
  <c r="AB54" i="44"/>
  <c r="AA54" i="44"/>
  <c r="Z54" i="44"/>
  <c r="Y54" i="44"/>
  <c r="X54" i="44"/>
  <c r="W54" i="44"/>
  <c r="V54" i="44"/>
  <c r="U54" i="44"/>
  <c r="T54" i="44"/>
  <c r="S54" i="44"/>
  <c r="R54" i="44"/>
  <c r="Q54" i="44"/>
  <c r="P54" i="44"/>
  <c r="O54" i="44"/>
  <c r="N54" i="44"/>
  <c r="K54" i="44"/>
  <c r="J54" i="44"/>
  <c r="I54" i="44"/>
  <c r="H54" i="44"/>
  <c r="AB53" i="44"/>
  <c r="AA53" i="44"/>
  <c r="Z53" i="44"/>
  <c r="Y53" i="44"/>
  <c r="X53" i="44"/>
  <c r="W53" i="44"/>
  <c r="V53" i="44"/>
  <c r="U53" i="44"/>
  <c r="T53" i="44"/>
  <c r="S53" i="44"/>
  <c r="R53" i="44"/>
  <c r="Q53" i="44"/>
  <c r="P53" i="44"/>
  <c r="O53" i="44"/>
  <c r="N53" i="44"/>
  <c r="K53" i="44"/>
  <c r="J53" i="44"/>
  <c r="I53" i="44"/>
  <c r="H53" i="44"/>
  <c r="AB52" i="44"/>
  <c r="AA52" i="44"/>
  <c r="Z52" i="44"/>
  <c r="Y52" i="44"/>
  <c r="X52" i="44"/>
  <c r="W52" i="44"/>
  <c r="V52" i="44"/>
  <c r="U52" i="44"/>
  <c r="T52" i="44"/>
  <c r="S52" i="44"/>
  <c r="R52" i="44"/>
  <c r="Q52" i="44"/>
  <c r="P52" i="44"/>
  <c r="O52" i="44"/>
  <c r="N52" i="44"/>
  <c r="K52" i="44"/>
  <c r="J52" i="44"/>
  <c r="I52" i="44"/>
  <c r="H52" i="44"/>
  <c r="AB51" i="44"/>
  <c r="AA51" i="44"/>
  <c r="Z51" i="44"/>
  <c r="Y51" i="44"/>
  <c r="X51" i="44"/>
  <c r="W51" i="44"/>
  <c r="V51" i="44"/>
  <c r="U51" i="44"/>
  <c r="T51" i="44"/>
  <c r="S51" i="44"/>
  <c r="R51" i="44"/>
  <c r="Q51" i="44"/>
  <c r="P51" i="44"/>
  <c r="O51" i="44"/>
  <c r="N51" i="44"/>
  <c r="K51" i="44"/>
  <c r="J51" i="44"/>
  <c r="I51" i="44"/>
  <c r="H51" i="44"/>
  <c r="AB50" i="44"/>
  <c r="AA50" i="44"/>
  <c r="Z50" i="44"/>
  <c r="Y50" i="44"/>
  <c r="X50" i="44"/>
  <c r="W50" i="44"/>
  <c r="V50" i="44"/>
  <c r="U50" i="44"/>
  <c r="T50" i="44"/>
  <c r="S50" i="44"/>
  <c r="R50" i="44"/>
  <c r="Q50" i="44"/>
  <c r="P50" i="44"/>
  <c r="O50" i="44"/>
  <c r="N50" i="44"/>
  <c r="K50" i="44"/>
  <c r="J50" i="44"/>
  <c r="I50" i="44"/>
  <c r="H50" i="44"/>
  <c r="AB49" i="44"/>
  <c r="AA49" i="44"/>
  <c r="Z49" i="44"/>
  <c r="Y49" i="44"/>
  <c r="X49" i="44"/>
  <c r="W49" i="44"/>
  <c r="V49" i="44"/>
  <c r="U49" i="44"/>
  <c r="T49" i="44"/>
  <c r="S49" i="44"/>
  <c r="R49" i="44"/>
  <c r="Q49" i="44"/>
  <c r="P49" i="44"/>
  <c r="O49" i="44"/>
  <c r="N49" i="44"/>
  <c r="K49" i="44"/>
  <c r="J49" i="44"/>
  <c r="I49" i="44"/>
  <c r="H49" i="44"/>
  <c r="AB48" i="44"/>
  <c r="AA48" i="44"/>
  <c r="Z48" i="44"/>
  <c r="Y48" i="44"/>
  <c r="X48" i="44"/>
  <c r="W48" i="44"/>
  <c r="V48" i="44"/>
  <c r="U48" i="44"/>
  <c r="T48" i="44"/>
  <c r="S48" i="44"/>
  <c r="R48" i="44"/>
  <c r="Q48" i="44"/>
  <c r="P48" i="44"/>
  <c r="O48" i="44"/>
  <c r="N48" i="44"/>
  <c r="K48" i="44"/>
  <c r="J48" i="44"/>
  <c r="I48" i="44"/>
  <c r="H48" i="44"/>
  <c r="AB47" i="44"/>
  <c r="AA47" i="44"/>
  <c r="Z47" i="44"/>
  <c r="Y47" i="44"/>
  <c r="X47" i="44"/>
  <c r="W47" i="44"/>
  <c r="V47" i="44"/>
  <c r="U47" i="44"/>
  <c r="T47" i="44"/>
  <c r="S47" i="44"/>
  <c r="R47" i="44"/>
  <c r="Q47" i="44"/>
  <c r="P47" i="44"/>
  <c r="O47" i="44"/>
  <c r="N47" i="44"/>
  <c r="K47" i="44"/>
  <c r="J47" i="44"/>
  <c r="I47" i="44"/>
  <c r="H47" i="44"/>
  <c r="AB46" i="44"/>
  <c r="AA46" i="44"/>
  <c r="Z46" i="44"/>
  <c r="Y46" i="44"/>
  <c r="X46" i="44"/>
  <c r="W46" i="44"/>
  <c r="V46" i="44"/>
  <c r="U46" i="44"/>
  <c r="T46" i="44"/>
  <c r="S46" i="44"/>
  <c r="R46" i="44"/>
  <c r="Q46" i="44"/>
  <c r="P46" i="44"/>
  <c r="O46" i="44"/>
  <c r="N46" i="44"/>
  <c r="K46" i="44"/>
  <c r="J46" i="44"/>
  <c r="I46" i="44"/>
  <c r="H46" i="44"/>
  <c r="AB45" i="44"/>
  <c r="AA45" i="44"/>
  <c r="Z45" i="44"/>
  <c r="Y45" i="44"/>
  <c r="X45" i="44"/>
  <c r="W45" i="44"/>
  <c r="V45" i="44"/>
  <c r="U45" i="44"/>
  <c r="T45" i="44"/>
  <c r="S45" i="44"/>
  <c r="R45" i="44"/>
  <c r="Q45" i="44"/>
  <c r="P45" i="44"/>
  <c r="O45" i="44"/>
  <c r="N45" i="44"/>
  <c r="K45" i="44"/>
  <c r="J45" i="44"/>
  <c r="I45" i="44"/>
  <c r="H45" i="44"/>
  <c r="AB44" i="44"/>
  <c r="AA44" i="44"/>
  <c r="Z44" i="44"/>
  <c r="Y44" i="44"/>
  <c r="X44" i="44"/>
  <c r="W44" i="44"/>
  <c r="V44" i="44"/>
  <c r="U44" i="44"/>
  <c r="T44" i="44"/>
  <c r="S44" i="44"/>
  <c r="R44" i="44"/>
  <c r="Q44" i="44"/>
  <c r="P44" i="44"/>
  <c r="O44" i="44"/>
  <c r="N44" i="44"/>
  <c r="K44" i="44"/>
  <c r="J44" i="44"/>
  <c r="I44" i="44"/>
  <c r="H44" i="44"/>
  <c r="AB43" i="44"/>
  <c r="AA43" i="44"/>
  <c r="Z43" i="44"/>
  <c r="Y43" i="44"/>
  <c r="X43" i="44"/>
  <c r="W43" i="44"/>
  <c r="V43" i="44"/>
  <c r="U43" i="44"/>
  <c r="T43" i="44"/>
  <c r="S43" i="44"/>
  <c r="R43" i="44"/>
  <c r="Q43" i="44"/>
  <c r="P43" i="44"/>
  <c r="O43" i="44"/>
  <c r="N43" i="44"/>
  <c r="K43" i="44"/>
  <c r="J43" i="44"/>
  <c r="I43" i="44"/>
  <c r="H43" i="44"/>
  <c r="AB42" i="44"/>
  <c r="AA42" i="44"/>
  <c r="Z42" i="44"/>
  <c r="Y42" i="44"/>
  <c r="X42" i="44"/>
  <c r="W42" i="44"/>
  <c r="V42" i="44"/>
  <c r="U42" i="44"/>
  <c r="T42" i="44"/>
  <c r="S42" i="44"/>
  <c r="R42" i="44"/>
  <c r="Q42" i="44"/>
  <c r="P42" i="44"/>
  <c r="O42" i="44"/>
  <c r="N42" i="44"/>
  <c r="K42" i="44"/>
  <c r="J42" i="44"/>
  <c r="I42" i="44"/>
  <c r="H42" i="44"/>
  <c r="AB41" i="44"/>
  <c r="AA41" i="44"/>
  <c r="Z41" i="44"/>
  <c r="Y41" i="44"/>
  <c r="X41" i="44"/>
  <c r="W41" i="44"/>
  <c r="V41" i="44"/>
  <c r="U41" i="44"/>
  <c r="T41" i="44"/>
  <c r="S41" i="44"/>
  <c r="R41" i="44"/>
  <c r="Q41" i="44"/>
  <c r="P41" i="44"/>
  <c r="O41" i="44"/>
  <c r="N41" i="44"/>
  <c r="K41" i="44"/>
  <c r="J41" i="44"/>
  <c r="I41" i="44"/>
  <c r="H41" i="44"/>
  <c r="AB40" i="44"/>
  <c r="AA40" i="44"/>
  <c r="Z40" i="44"/>
  <c r="Y40" i="44"/>
  <c r="X40" i="44"/>
  <c r="W40" i="44"/>
  <c r="V40" i="44"/>
  <c r="U40" i="44"/>
  <c r="T40" i="44"/>
  <c r="S40" i="44"/>
  <c r="R40" i="44"/>
  <c r="Q40" i="44"/>
  <c r="P40" i="44"/>
  <c r="O40" i="44"/>
  <c r="N40" i="44"/>
  <c r="K40" i="44"/>
  <c r="J40" i="44"/>
  <c r="I40" i="44"/>
  <c r="H40" i="44"/>
  <c r="AB39" i="44"/>
  <c r="AA39" i="44"/>
  <c r="Z39" i="44"/>
  <c r="Y39" i="44"/>
  <c r="X39" i="44"/>
  <c r="W39" i="44"/>
  <c r="V39" i="44"/>
  <c r="U39" i="44"/>
  <c r="T39" i="44"/>
  <c r="S39" i="44"/>
  <c r="R39" i="44"/>
  <c r="Q39" i="44"/>
  <c r="P39" i="44"/>
  <c r="O39" i="44"/>
  <c r="N39" i="44"/>
  <c r="K39" i="44"/>
  <c r="J39" i="44"/>
  <c r="I39" i="44"/>
  <c r="H39" i="44"/>
  <c r="AB38" i="44"/>
  <c r="AA38" i="44"/>
  <c r="Z38" i="44"/>
  <c r="Y38" i="44"/>
  <c r="X38" i="44"/>
  <c r="W38" i="44"/>
  <c r="V38" i="44"/>
  <c r="U38" i="44"/>
  <c r="T38" i="44"/>
  <c r="S38" i="44"/>
  <c r="R38" i="44"/>
  <c r="Q38" i="44"/>
  <c r="P38" i="44"/>
  <c r="O38" i="44"/>
  <c r="N38" i="44"/>
  <c r="K38" i="44"/>
  <c r="J38" i="44"/>
  <c r="I38" i="44"/>
  <c r="H38" i="44"/>
  <c r="AB37" i="44"/>
  <c r="AA37" i="44"/>
  <c r="Z37" i="44"/>
  <c r="Y37" i="44"/>
  <c r="X37" i="44"/>
  <c r="W37" i="44"/>
  <c r="V37" i="44"/>
  <c r="U37" i="44"/>
  <c r="T37" i="44"/>
  <c r="S37" i="44"/>
  <c r="R37" i="44"/>
  <c r="Q37" i="44"/>
  <c r="P37" i="44"/>
  <c r="O37" i="44"/>
  <c r="N37" i="44"/>
  <c r="K37" i="44"/>
  <c r="J37" i="44"/>
  <c r="I37" i="44"/>
  <c r="H37" i="44"/>
  <c r="AB36" i="44"/>
  <c r="AA36" i="44"/>
  <c r="Z36" i="44"/>
  <c r="Y36" i="44"/>
  <c r="X36" i="44"/>
  <c r="W36" i="44"/>
  <c r="V36" i="44"/>
  <c r="U36" i="44"/>
  <c r="T36" i="44"/>
  <c r="S36" i="44"/>
  <c r="R36" i="44"/>
  <c r="Q36" i="44"/>
  <c r="P36" i="44"/>
  <c r="O36" i="44"/>
  <c r="N36" i="44"/>
  <c r="K36" i="44"/>
  <c r="J36" i="44"/>
  <c r="I36" i="44"/>
  <c r="H36" i="44"/>
  <c r="AB35" i="44"/>
  <c r="AA35" i="44"/>
  <c r="Z35" i="44"/>
  <c r="Y35" i="44"/>
  <c r="X35" i="44"/>
  <c r="W35" i="44"/>
  <c r="V35" i="44"/>
  <c r="U35" i="44"/>
  <c r="T35" i="44"/>
  <c r="S35" i="44"/>
  <c r="R35" i="44"/>
  <c r="Q35" i="44"/>
  <c r="P35" i="44"/>
  <c r="O35" i="44"/>
  <c r="N35" i="44"/>
  <c r="K35" i="44"/>
  <c r="J35" i="44"/>
  <c r="I35" i="44"/>
  <c r="H35" i="44"/>
  <c r="AB34" i="44"/>
  <c r="AA34" i="44"/>
  <c r="Z34" i="44"/>
  <c r="Y34" i="44"/>
  <c r="X34" i="44"/>
  <c r="W34" i="44"/>
  <c r="V34" i="44"/>
  <c r="U34" i="44"/>
  <c r="T34" i="44"/>
  <c r="S34" i="44"/>
  <c r="R34" i="44"/>
  <c r="Q34" i="44"/>
  <c r="P34" i="44"/>
  <c r="O34" i="44"/>
  <c r="N34" i="44"/>
  <c r="K34" i="44"/>
  <c r="J34" i="44"/>
  <c r="I34" i="44"/>
  <c r="H34" i="44"/>
  <c r="AB33" i="44"/>
  <c r="AA33" i="44"/>
  <c r="Z33" i="44"/>
  <c r="Y33" i="44"/>
  <c r="X33" i="44"/>
  <c r="W33" i="44"/>
  <c r="V33" i="44"/>
  <c r="U33" i="44"/>
  <c r="T33" i="44"/>
  <c r="S33" i="44"/>
  <c r="R33" i="44"/>
  <c r="Q33" i="44"/>
  <c r="P33" i="44"/>
  <c r="O33" i="44"/>
  <c r="N33" i="44"/>
  <c r="K33" i="44"/>
  <c r="J33" i="44"/>
  <c r="I33" i="44"/>
  <c r="H33" i="44"/>
  <c r="AB32" i="44"/>
  <c r="AA32" i="44"/>
  <c r="Z32" i="44"/>
  <c r="Y32" i="44"/>
  <c r="X32" i="44"/>
  <c r="W32" i="44"/>
  <c r="V32" i="44"/>
  <c r="U32" i="44"/>
  <c r="T32" i="44"/>
  <c r="S32" i="44"/>
  <c r="R32" i="44"/>
  <c r="Q32" i="44"/>
  <c r="P32" i="44"/>
  <c r="O32" i="44"/>
  <c r="N32" i="44"/>
  <c r="K32" i="44"/>
  <c r="J32" i="44"/>
  <c r="I32" i="44"/>
  <c r="H32" i="44"/>
  <c r="AB31" i="44"/>
  <c r="AA31" i="44"/>
  <c r="Z31" i="44"/>
  <c r="Y31" i="44"/>
  <c r="X31" i="44"/>
  <c r="W31" i="44"/>
  <c r="V31" i="44"/>
  <c r="U31" i="44"/>
  <c r="T31" i="44"/>
  <c r="S31" i="44"/>
  <c r="R31" i="44"/>
  <c r="Q31" i="44"/>
  <c r="P31" i="44"/>
  <c r="O31" i="44"/>
  <c r="N31" i="44"/>
  <c r="K31" i="44"/>
  <c r="J31" i="44"/>
  <c r="I31" i="44"/>
  <c r="H31" i="44"/>
  <c r="AB30" i="44"/>
  <c r="AA30" i="44"/>
  <c r="Z30" i="44"/>
  <c r="Y30" i="44"/>
  <c r="X30" i="44"/>
  <c r="W30" i="44"/>
  <c r="V30" i="44"/>
  <c r="U30" i="44"/>
  <c r="T30" i="44"/>
  <c r="S30" i="44"/>
  <c r="R30" i="44"/>
  <c r="Q30" i="44"/>
  <c r="P30" i="44"/>
  <c r="O30" i="44"/>
  <c r="N30" i="44"/>
  <c r="K30" i="44"/>
  <c r="J30" i="44"/>
  <c r="I30" i="44"/>
  <c r="H30" i="44"/>
  <c r="AB29" i="44"/>
  <c r="AA29" i="44"/>
  <c r="Z29" i="44"/>
  <c r="Y29" i="44"/>
  <c r="X29" i="44"/>
  <c r="W29" i="44"/>
  <c r="V29" i="44"/>
  <c r="U29" i="44"/>
  <c r="T29" i="44"/>
  <c r="S29" i="44"/>
  <c r="R29" i="44"/>
  <c r="Q29" i="44"/>
  <c r="P29" i="44"/>
  <c r="O29" i="44"/>
  <c r="N29" i="44"/>
  <c r="K29" i="44"/>
  <c r="J29" i="44"/>
  <c r="I29" i="44"/>
  <c r="H29" i="44"/>
  <c r="AB28" i="44"/>
  <c r="AA28" i="44"/>
  <c r="Z28" i="44"/>
  <c r="Y28" i="44"/>
  <c r="X28" i="44"/>
  <c r="W28" i="44"/>
  <c r="V28" i="44"/>
  <c r="U28" i="44"/>
  <c r="T28" i="44"/>
  <c r="S28" i="44"/>
  <c r="R28" i="44"/>
  <c r="Q28" i="44"/>
  <c r="P28" i="44"/>
  <c r="O28" i="44"/>
  <c r="N28" i="44"/>
  <c r="K28" i="44"/>
  <c r="J28" i="44"/>
  <c r="I28" i="44"/>
  <c r="H28" i="44"/>
  <c r="AB27" i="44"/>
  <c r="AA27" i="44"/>
  <c r="Z27" i="44"/>
  <c r="Y27" i="44"/>
  <c r="X27" i="44"/>
  <c r="W27" i="44"/>
  <c r="V27" i="44"/>
  <c r="U27" i="44"/>
  <c r="T27" i="44"/>
  <c r="S27" i="44"/>
  <c r="R27" i="44"/>
  <c r="Q27" i="44"/>
  <c r="P27" i="44"/>
  <c r="O27" i="44"/>
  <c r="N27" i="44"/>
  <c r="K27" i="44"/>
  <c r="J27" i="44"/>
  <c r="I27" i="44"/>
  <c r="H27" i="44"/>
  <c r="AB26" i="44"/>
  <c r="AA26" i="44"/>
  <c r="Z26" i="44"/>
  <c r="Y26" i="44"/>
  <c r="X26" i="44"/>
  <c r="W26" i="44"/>
  <c r="V26" i="44"/>
  <c r="U26" i="44"/>
  <c r="T26" i="44"/>
  <c r="S26" i="44"/>
  <c r="R26" i="44"/>
  <c r="Q26" i="44"/>
  <c r="P26" i="44"/>
  <c r="O26" i="44"/>
  <c r="N26" i="44"/>
  <c r="K26" i="44"/>
  <c r="J26" i="44"/>
  <c r="I26" i="44"/>
  <c r="H26" i="44"/>
  <c r="AB25" i="44"/>
  <c r="AA25" i="44"/>
  <c r="Z25" i="44"/>
  <c r="Y25" i="44"/>
  <c r="X25" i="44"/>
  <c r="W25" i="44"/>
  <c r="V25" i="44"/>
  <c r="U25" i="44"/>
  <c r="T25" i="44"/>
  <c r="S25" i="44"/>
  <c r="R25" i="44"/>
  <c r="Q25" i="44"/>
  <c r="P25" i="44"/>
  <c r="O25" i="44"/>
  <c r="N25" i="44"/>
  <c r="K25" i="44"/>
  <c r="J25" i="44"/>
  <c r="I25" i="44"/>
  <c r="H25" i="44"/>
  <c r="AB24" i="44"/>
  <c r="AA24" i="44"/>
  <c r="Z24" i="44"/>
  <c r="Y24" i="44"/>
  <c r="X24" i="44"/>
  <c r="W24" i="44"/>
  <c r="V24" i="44"/>
  <c r="U24" i="44"/>
  <c r="T24" i="44"/>
  <c r="S24" i="44"/>
  <c r="R24" i="44"/>
  <c r="Q24" i="44"/>
  <c r="P24" i="44"/>
  <c r="O24" i="44"/>
  <c r="N24" i="44"/>
  <c r="K24" i="44"/>
  <c r="J24" i="44"/>
  <c r="I24" i="44"/>
  <c r="H24" i="44"/>
  <c r="AB23" i="44"/>
  <c r="AA23" i="44"/>
  <c r="Z23" i="44"/>
  <c r="Y23" i="44"/>
  <c r="X23" i="44"/>
  <c r="W23" i="44"/>
  <c r="V23" i="44"/>
  <c r="U23" i="44"/>
  <c r="T23" i="44"/>
  <c r="S23" i="44"/>
  <c r="R23" i="44"/>
  <c r="Q23" i="44"/>
  <c r="P23" i="44"/>
  <c r="O23" i="44"/>
  <c r="N23" i="44"/>
  <c r="K23" i="44"/>
  <c r="J23" i="44"/>
  <c r="I23" i="44"/>
  <c r="H23" i="44"/>
  <c r="AB22" i="44"/>
  <c r="AA22" i="44"/>
  <c r="Z22" i="44"/>
  <c r="Y22" i="44"/>
  <c r="X22" i="44"/>
  <c r="W22" i="44"/>
  <c r="V22" i="44"/>
  <c r="U22" i="44"/>
  <c r="T22" i="44"/>
  <c r="S22" i="44"/>
  <c r="R22" i="44"/>
  <c r="Q22" i="44"/>
  <c r="P22" i="44"/>
  <c r="O22" i="44"/>
  <c r="N22" i="44"/>
  <c r="K22" i="44"/>
  <c r="J22" i="44"/>
  <c r="I22" i="44"/>
  <c r="H22" i="44"/>
  <c r="AB21" i="44"/>
  <c r="AA21" i="44"/>
  <c r="Z21" i="44"/>
  <c r="Y21" i="44"/>
  <c r="X21" i="44"/>
  <c r="W21" i="44"/>
  <c r="V21" i="44"/>
  <c r="U21" i="44"/>
  <c r="T21" i="44"/>
  <c r="S21" i="44"/>
  <c r="R21" i="44"/>
  <c r="Q21" i="44"/>
  <c r="P21" i="44"/>
  <c r="O21" i="44"/>
  <c r="N21" i="44"/>
  <c r="K21" i="44"/>
  <c r="J21" i="44"/>
  <c r="I21" i="44"/>
  <c r="H21" i="44"/>
  <c r="AB20" i="44"/>
  <c r="AA20" i="44"/>
  <c r="Z20" i="44"/>
  <c r="Y20" i="44"/>
  <c r="X20" i="44"/>
  <c r="W20" i="44"/>
  <c r="V20" i="44"/>
  <c r="U20" i="44"/>
  <c r="T20" i="44"/>
  <c r="S20" i="44"/>
  <c r="R20" i="44"/>
  <c r="Q20" i="44"/>
  <c r="P20" i="44"/>
  <c r="O20" i="44"/>
  <c r="N20" i="44"/>
  <c r="K20" i="44"/>
  <c r="J20" i="44"/>
  <c r="I20" i="44"/>
  <c r="H20" i="44"/>
  <c r="AB19" i="44"/>
  <c r="AA19" i="44"/>
  <c r="Z19" i="44"/>
  <c r="Y19" i="44"/>
  <c r="X19" i="44"/>
  <c r="W19" i="44"/>
  <c r="V19" i="44"/>
  <c r="U19" i="44"/>
  <c r="T19" i="44"/>
  <c r="S19" i="44"/>
  <c r="R19" i="44"/>
  <c r="Q19" i="44"/>
  <c r="P19" i="44"/>
  <c r="O19" i="44"/>
  <c r="N19" i="44"/>
  <c r="K19" i="44"/>
  <c r="J19" i="44"/>
  <c r="I19" i="44"/>
  <c r="H19" i="44"/>
  <c r="AB18" i="44"/>
  <c r="AA18" i="44"/>
  <c r="Z18" i="44"/>
  <c r="Y18" i="44"/>
  <c r="X18" i="44"/>
  <c r="W18" i="44"/>
  <c r="V18" i="44"/>
  <c r="U18" i="44"/>
  <c r="T18" i="44"/>
  <c r="S18" i="44"/>
  <c r="R18" i="44"/>
  <c r="Q18" i="44"/>
  <c r="P18" i="44"/>
  <c r="O18" i="44"/>
  <c r="N18" i="44"/>
  <c r="K18" i="44"/>
  <c r="J18" i="44"/>
  <c r="I18" i="44"/>
  <c r="H18" i="44"/>
  <c r="AB17" i="44"/>
  <c r="AA17" i="44"/>
  <c r="Z17" i="44"/>
  <c r="Y17" i="44"/>
  <c r="X17" i="44"/>
  <c r="W17" i="44"/>
  <c r="V17" i="44"/>
  <c r="U17" i="44"/>
  <c r="T17" i="44"/>
  <c r="S17" i="44"/>
  <c r="R17" i="44"/>
  <c r="Q17" i="44"/>
  <c r="P17" i="44"/>
  <c r="O17" i="44"/>
  <c r="N17" i="44"/>
  <c r="K17" i="44"/>
  <c r="J17" i="44"/>
  <c r="I17" i="44"/>
  <c r="H17" i="44"/>
  <c r="AB16" i="44"/>
  <c r="AA16" i="44"/>
  <c r="Z16" i="44"/>
  <c r="Y16" i="44"/>
  <c r="X16" i="44"/>
  <c r="W16" i="44"/>
  <c r="V16" i="44"/>
  <c r="U16" i="44"/>
  <c r="T16" i="44"/>
  <c r="S16" i="44"/>
  <c r="R16" i="44"/>
  <c r="Q16" i="44"/>
  <c r="P16" i="44"/>
  <c r="O16" i="44"/>
  <c r="N16" i="44"/>
  <c r="K16" i="44"/>
  <c r="J16" i="44"/>
  <c r="I16" i="44"/>
  <c r="H16" i="44"/>
  <c r="AB15" i="44"/>
  <c r="AA15" i="44"/>
  <c r="Z15" i="44"/>
  <c r="Y15" i="44"/>
  <c r="X15" i="44"/>
  <c r="W15" i="44"/>
  <c r="V15" i="44"/>
  <c r="U15" i="44"/>
  <c r="T15" i="44"/>
  <c r="S15" i="44"/>
  <c r="R15" i="44"/>
  <c r="Q15" i="44"/>
  <c r="P15" i="44"/>
  <c r="O15" i="44"/>
  <c r="N15" i="44"/>
  <c r="K15" i="44"/>
  <c r="J15" i="44"/>
  <c r="I15" i="44"/>
  <c r="H15" i="44"/>
  <c r="AB14" i="44"/>
  <c r="AA14" i="44"/>
  <c r="Z14" i="44"/>
  <c r="Y14" i="44"/>
  <c r="X14" i="44"/>
  <c r="W14" i="44"/>
  <c r="V14" i="44"/>
  <c r="U14" i="44"/>
  <c r="T14" i="44"/>
  <c r="S14" i="44"/>
  <c r="R14" i="44"/>
  <c r="Q14" i="44"/>
  <c r="P14" i="44"/>
  <c r="O14" i="44"/>
  <c r="N14" i="44"/>
  <c r="K14" i="44"/>
  <c r="J14" i="44"/>
  <c r="I14" i="44"/>
  <c r="H14" i="44"/>
  <c r="AB13" i="44"/>
  <c r="AA13" i="44"/>
  <c r="Z13" i="44"/>
  <c r="Y13" i="44"/>
  <c r="X13" i="44"/>
  <c r="W13" i="44"/>
  <c r="V13" i="44"/>
  <c r="U13" i="44"/>
  <c r="T13" i="44"/>
  <c r="S13" i="44"/>
  <c r="R13" i="44"/>
  <c r="Q13" i="44"/>
  <c r="P13" i="44"/>
  <c r="O13" i="44"/>
  <c r="N13" i="44"/>
  <c r="K13" i="44"/>
  <c r="J13" i="44"/>
  <c r="I13" i="44"/>
  <c r="H13" i="44"/>
  <c r="AB12" i="44"/>
  <c r="AA12" i="44"/>
  <c r="Z12" i="44"/>
  <c r="Y12" i="44"/>
  <c r="X12" i="44"/>
  <c r="W12" i="44"/>
  <c r="V12" i="44"/>
  <c r="U12" i="44"/>
  <c r="T12" i="44"/>
  <c r="S12" i="44"/>
  <c r="R12" i="44"/>
  <c r="Q12" i="44"/>
  <c r="P12" i="44"/>
  <c r="O12" i="44"/>
  <c r="N12" i="44"/>
  <c r="K12" i="44"/>
  <c r="J12" i="44"/>
  <c r="I12" i="44"/>
  <c r="H12" i="44"/>
  <c r="AB11" i="44"/>
  <c r="AA11" i="44"/>
  <c r="Z11" i="44"/>
  <c r="Y11" i="44"/>
  <c r="X11" i="44"/>
  <c r="W11" i="44"/>
  <c r="V11" i="44"/>
  <c r="U11" i="44"/>
  <c r="T11" i="44"/>
  <c r="S11" i="44"/>
  <c r="R11" i="44"/>
  <c r="Q11" i="44"/>
  <c r="P11" i="44"/>
  <c r="O11" i="44"/>
  <c r="N11" i="44"/>
  <c r="K11" i="44"/>
  <c r="J11" i="44"/>
  <c r="I11" i="44"/>
  <c r="H11" i="44"/>
  <c r="AB10" i="44"/>
  <c r="AA10" i="44"/>
  <c r="Z10" i="44"/>
  <c r="Y10" i="44"/>
  <c r="X10" i="44"/>
  <c r="W10" i="44"/>
  <c r="V10" i="44"/>
  <c r="U10" i="44"/>
  <c r="T10" i="44"/>
  <c r="S10" i="44"/>
  <c r="R10" i="44"/>
  <c r="Q10" i="44"/>
  <c r="P10" i="44"/>
  <c r="O10" i="44"/>
  <c r="N10" i="44"/>
  <c r="K10" i="44"/>
  <c r="J10" i="44"/>
  <c r="I10" i="44"/>
  <c r="H10" i="44"/>
  <c r="AB9" i="44"/>
  <c r="AA9" i="44"/>
  <c r="Z9" i="44"/>
  <c r="Y9" i="44"/>
  <c r="X9" i="44"/>
  <c r="W9" i="44"/>
  <c r="V9" i="44"/>
  <c r="U9" i="44"/>
  <c r="T9" i="44"/>
  <c r="S9" i="44"/>
  <c r="R9" i="44"/>
  <c r="Q9" i="44"/>
  <c r="P9" i="44"/>
  <c r="O9" i="44"/>
  <c r="N9" i="44"/>
  <c r="K9" i="44"/>
  <c r="J9" i="44"/>
  <c r="I9" i="44"/>
  <c r="H9" i="44"/>
  <c r="AB8" i="44"/>
  <c r="AA8" i="44"/>
  <c r="Z8" i="44"/>
  <c r="Y8" i="44"/>
  <c r="X8" i="44"/>
  <c r="W8" i="44"/>
  <c r="V8" i="44"/>
  <c r="U8" i="44"/>
  <c r="T8" i="44"/>
  <c r="S8" i="44"/>
  <c r="R8" i="44"/>
  <c r="Q8" i="44"/>
  <c r="P8" i="44"/>
  <c r="O8" i="44"/>
  <c r="N8" i="44"/>
  <c r="K8" i="44"/>
  <c r="J8" i="44"/>
  <c r="I8" i="44"/>
  <c r="H8" i="44"/>
  <c r="AB7" i="44"/>
  <c r="AA7" i="44"/>
  <c r="Z7" i="44"/>
  <c r="Y7" i="44"/>
  <c r="X7" i="44"/>
  <c r="W7" i="44"/>
  <c r="V7" i="44"/>
  <c r="U7" i="44"/>
  <c r="T7" i="44"/>
  <c r="S7" i="44"/>
  <c r="R7" i="44"/>
  <c r="Q7" i="44"/>
  <c r="P7" i="44"/>
  <c r="O7" i="44"/>
  <c r="N7" i="44"/>
  <c r="K7" i="44"/>
  <c r="J7" i="44"/>
  <c r="I7" i="44"/>
  <c r="H7" i="44"/>
  <c r="AB6" i="44"/>
  <c r="AA6" i="44"/>
  <c r="Z6" i="44"/>
  <c r="Y6" i="44"/>
  <c r="X6" i="44"/>
  <c r="W6" i="44"/>
  <c r="V6" i="44"/>
  <c r="U6" i="44"/>
  <c r="T6" i="44"/>
  <c r="S6" i="44"/>
  <c r="R6" i="44"/>
  <c r="Q6" i="44"/>
  <c r="P6" i="44"/>
  <c r="O6" i="44"/>
  <c r="N6" i="44"/>
  <c r="K6" i="44"/>
  <c r="J6" i="44"/>
  <c r="I6" i="44"/>
  <c r="H6" i="44"/>
  <c r="AB5" i="44"/>
  <c r="AA5" i="44"/>
  <c r="Z5" i="44"/>
  <c r="Y5" i="44"/>
  <c r="X5" i="44"/>
  <c r="W5" i="44"/>
  <c r="V5" i="44"/>
  <c r="U5" i="44"/>
  <c r="T5" i="44"/>
  <c r="S5" i="44"/>
  <c r="R5" i="44"/>
  <c r="Q5" i="44"/>
  <c r="P5" i="44"/>
  <c r="O5" i="44"/>
  <c r="N5" i="44"/>
  <c r="K5" i="44"/>
  <c r="J5" i="44"/>
  <c r="I5" i="44"/>
  <c r="H5" i="44"/>
  <c r="AB5" i="43"/>
  <c r="Z5" i="43"/>
  <c r="X5" i="43"/>
  <c r="V5" i="43"/>
  <c r="T5" i="43"/>
  <c r="Q5" i="43"/>
  <c r="O5" i="43"/>
  <c r="K5" i="43"/>
  <c r="I5" i="43"/>
  <c r="H6" i="18"/>
  <c r="I6" i="18"/>
  <c r="J6" i="18"/>
  <c r="K6" i="18"/>
  <c r="N6" i="18"/>
  <c r="O6" i="18"/>
  <c r="P6" i="18"/>
  <c r="Q6" i="18"/>
  <c r="R6" i="18"/>
  <c r="S6" i="18"/>
  <c r="T6" i="18"/>
  <c r="U6" i="18"/>
  <c r="V6" i="18"/>
  <c r="W6" i="18"/>
  <c r="X6" i="18"/>
  <c r="Y6" i="18"/>
  <c r="Z6" i="18"/>
  <c r="AA6" i="18"/>
  <c r="AB6" i="18"/>
  <c r="H7" i="18"/>
  <c r="I7" i="18"/>
  <c r="J7" i="18"/>
  <c r="K7" i="18"/>
  <c r="N7" i="18"/>
  <c r="O7" i="18"/>
  <c r="P7" i="18"/>
  <c r="Q7" i="18"/>
  <c r="R7" i="18"/>
  <c r="S7" i="18"/>
  <c r="T7" i="18"/>
  <c r="U7" i="18"/>
  <c r="V7" i="18"/>
  <c r="W7" i="18"/>
  <c r="X7" i="18"/>
  <c r="Y7" i="18"/>
  <c r="Z7" i="18"/>
  <c r="AA7" i="18"/>
  <c r="AB7" i="18"/>
  <c r="H8" i="18"/>
  <c r="I8" i="18"/>
  <c r="J8" i="18"/>
  <c r="K8" i="18"/>
  <c r="N8" i="18"/>
  <c r="O8" i="18"/>
  <c r="P8" i="18"/>
  <c r="Q8" i="18"/>
  <c r="R8" i="18"/>
  <c r="S8" i="18"/>
  <c r="T8" i="18"/>
  <c r="U8" i="18"/>
  <c r="V8" i="18"/>
  <c r="W8" i="18"/>
  <c r="X8" i="18"/>
  <c r="Y8" i="18"/>
  <c r="Z8" i="18"/>
  <c r="AA8" i="18"/>
  <c r="AB8" i="18"/>
  <c r="H9" i="18"/>
  <c r="I9" i="18"/>
  <c r="J9" i="18"/>
  <c r="K9" i="18"/>
  <c r="N9" i="18"/>
  <c r="O9" i="18"/>
  <c r="P9" i="18"/>
  <c r="Q9" i="18"/>
  <c r="R9" i="18"/>
  <c r="S9" i="18"/>
  <c r="T9" i="18"/>
  <c r="U9" i="18"/>
  <c r="V9" i="18"/>
  <c r="W9" i="18"/>
  <c r="X9" i="18"/>
  <c r="Y9" i="18"/>
  <c r="Z9" i="18"/>
  <c r="AA9" i="18"/>
  <c r="AB9" i="18"/>
  <c r="H10" i="18"/>
  <c r="I10" i="18"/>
  <c r="J10" i="18"/>
  <c r="K10" i="18"/>
  <c r="N10" i="18"/>
  <c r="O10" i="18"/>
  <c r="P10" i="18"/>
  <c r="Q10" i="18"/>
  <c r="R10" i="18"/>
  <c r="S10" i="18"/>
  <c r="T10" i="18"/>
  <c r="U10" i="18"/>
  <c r="V10" i="18"/>
  <c r="W10" i="18"/>
  <c r="X10" i="18"/>
  <c r="Y10" i="18"/>
  <c r="Z10" i="18"/>
  <c r="AA10" i="18"/>
  <c r="AB10" i="18"/>
  <c r="H11" i="18"/>
  <c r="I11" i="18"/>
  <c r="J11" i="18"/>
  <c r="K11" i="18"/>
  <c r="N11" i="18"/>
  <c r="O11" i="18"/>
  <c r="P11" i="18"/>
  <c r="Q11" i="18"/>
  <c r="R11" i="18"/>
  <c r="S11" i="18"/>
  <c r="T11" i="18"/>
  <c r="U11" i="18"/>
  <c r="V11" i="18"/>
  <c r="W11" i="18"/>
  <c r="X11" i="18"/>
  <c r="Y11" i="18"/>
  <c r="Z11" i="18"/>
  <c r="AA11" i="18"/>
  <c r="AB11" i="18"/>
  <c r="H12" i="18"/>
  <c r="I12" i="18"/>
  <c r="J12" i="18"/>
  <c r="K12" i="18"/>
  <c r="N12" i="18"/>
  <c r="O12" i="18"/>
  <c r="P12" i="18"/>
  <c r="Q12" i="18"/>
  <c r="R12" i="18"/>
  <c r="S12" i="18"/>
  <c r="T12" i="18"/>
  <c r="U12" i="18"/>
  <c r="V12" i="18"/>
  <c r="W12" i="18"/>
  <c r="X12" i="18"/>
  <c r="Y12" i="18"/>
  <c r="Z12" i="18"/>
  <c r="AA12" i="18"/>
  <c r="AB12" i="18"/>
  <c r="H13" i="18"/>
  <c r="I13" i="18"/>
  <c r="J13" i="18"/>
  <c r="K13" i="18"/>
  <c r="N13" i="18"/>
  <c r="O13" i="18"/>
  <c r="P13" i="18"/>
  <c r="Q13" i="18"/>
  <c r="R13" i="18"/>
  <c r="S13" i="18"/>
  <c r="T13" i="18"/>
  <c r="U13" i="18"/>
  <c r="V13" i="18"/>
  <c r="W13" i="18"/>
  <c r="X13" i="18"/>
  <c r="Y13" i="18"/>
  <c r="Z13" i="18"/>
  <c r="AA13" i="18"/>
  <c r="AB13" i="18"/>
  <c r="H14" i="18"/>
  <c r="I14" i="18"/>
  <c r="J14" i="18"/>
  <c r="K14" i="18"/>
  <c r="N14" i="18"/>
  <c r="O14" i="18"/>
  <c r="P14" i="18"/>
  <c r="Q14" i="18"/>
  <c r="R14" i="18"/>
  <c r="S14" i="18"/>
  <c r="T14" i="18"/>
  <c r="U14" i="18"/>
  <c r="V14" i="18"/>
  <c r="W14" i="18"/>
  <c r="X14" i="18"/>
  <c r="Y14" i="18"/>
  <c r="Z14" i="18"/>
  <c r="AA14" i="18"/>
  <c r="AB14" i="18"/>
  <c r="H15" i="18"/>
  <c r="I15" i="18"/>
  <c r="J15" i="18"/>
  <c r="K15" i="18"/>
  <c r="N15" i="18"/>
  <c r="O15" i="18"/>
  <c r="P15" i="18"/>
  <c r="Q15" i="18"/>
  <c r="R15" i="18"/>
  <c r="S15" i="18"/>
  <c r="T15" i="18"/>
  <c r="U15" i="18"/>
  <c r="V15" i="18"/>
  <c r="W15" i="18"/>
  <c r="X15" i="18"/>
  <c r="Y15" i="18"/>
  <c r="Z15" i="18"/>
  <c r="AA15" i="18"/>
  <c r="AB15" i="18"/>
  <c r="H16" i="18"/>
  <c r="I16" i="18"/>
  <c r="J16" i="18"/>
  <c r="K16" i="18"/>
  <c r="N16" i="18"/>
  <c r="O16" i="18"/>
  <c r="P16" i="18"/>
  <c r="Q16" i="18"/>
  <c r="R16" i="18"/>
  <c r="S16" i="18"/>
  <c r="T16" i="18"/>
  <c r="U16" i="18"/>
  <c r="V16" i="18"/>
  <c r="W16" i="18"/>
  <c r="X16" i="18"/>
  <c r="Y16" i="18"/>
  <c r="Z16" i="18"/>
  <c r="AA16" i="18"/>
  <c r="AB16" i="18"/>
  <c r="H17" i="18"/>
  <c r="I17" i="18"/>
  <c r="J17" i="18"/>
  <c r="K17" i="18"/>
  <c r="N17" i="18"/>
  <c r="O17" i="18"/>
  <c r="P17" i="18"/>
  <c r="Q17" i="18"/>
  <c r="R17" i="18"/>
  <c r="S17" i="18"/>
  <c r="T17" i="18"/>
  <c r="U17" i="18"/>
  <c r="V17" i="18"/>
  <c r="W17" i="18"/>
  <c r="X17" i="18"/>
  <c r="Y17" i="18"/>
  <c r="Z17" i="18"/>
  <c r="AA17" i="18"/>
  <c r="AB17" i="18"/>
  <c r="H18" i="18"/>
  <c r="I18" i="18"/>
  <c r="J18" i="18"/>
  <c r="K18" i="18"/>
  <c r="N18" i="18"/>
  <c r="O18" i="18"/>
  <c r="P18" i="18"/>
  <c r="Q18" i="18"/>
  <c r="R18" i="18"/>
  <c r="S18" i="18"/>
  <c r="T18" i="18"/>
  <c r="U18" i="18"/>
  <c r="V18" i="18"/>
  <c r="W18" i="18"/>
  <c r="X18" i="18"/>
  <c r="Y18" i="18"/>
  <c r="Z18" i="18"/>
  <c r="AA18" i="18"/>
  <c r="AB18" i="18"/>
  <c r="H19" i="18"/>
  <c r="I19" i="18"/>
  <c r="J19" i="18"/>
  <c r="K19" i="18"/>
  <c r="N19" i="18"/>
  <c r="O19" i="18"/>
  <c r="P19" i="18"/>
  <c r="Q19" i="18"/>
  <c r="R19" i="18"/>
  <c r="S19" i="18"/>
  <c r="T19" i="18"/>
  <c r="U19" i="18"/>
  <c r="V19" i="18"/>
  <c r="W19" i="18"/>
  <c r="X19" i="18"/>
  <c r="Y19" i="18"/>
  <c r="Z19" i="18"/>
  <c r="AA19" i="18"/>
  <c r="AB19" i="18"/>
  <c r="H20" i="18"/>
  <c r="I20" i="18"/>
  <c r="J20" i="18"/>
  <c r="K20" i="18"/>
  <c r="N20" i="18"/>
  <c r="O20" i="18"/>
  <c r="P20" i="18"/>
  <c r="Q20" i="18"/>
  <c r="R20" i="18"/>
  <c r="S20" i="18"/>
  <c r="T20" i="18"/>
  <c r="U20" i="18"/>
  <c r="V20" i="18"/>
  <c r="W20" i="18"/>
  <c r="X20" i="18"/>
  <c r="Y20" i="18"/>
  <c r="Z20" i="18"/>
  <c r="AA20" i="18"/>
  <c r="AB20" i="18"/>
  <c r="H21" i="18"/>
  <c r="I21" i="18"/>
  <c r="J21" i="18"/>
  <c r="K21" i="18"/>
  <c r="N21" i="18"/>
  <c r="O21" i="18"/>
  <c r="P21" i="18"/>
  <c r="Q21" i="18"/>
  <c r="R21" i="18"/>
  <c r="S21" i="18"/>
  <c r="T21" i="18"/>
  <c r="U21" i="18"/>
  <c r="V21" i="18"/>
  <c r="W21" i="18"/>
  <c r="X21" i="18"/>
  <c r="Y21" i="18"/>
  <c r="Z21" i="18"/>
  <c r="AA21" i="18"/>
  <c r="AB21" i="18"/>
  <c r="H22" i="18"/>
  <c r="I22" i="18"/>
  <c r="J22" i="18"/>
  <c r="K22" i="18"/>
  <c r="N22" i="18"/>
  <c r="O22" i="18"/>
  <c r="P22" i="18"/>
  <c r="Q22" i="18"/>
  <c r="R22" i="18"/>
  <c r="S22" i="18"/>
  <c r="T22" i="18"/>
  <c r="U22" i="18"/>
  <c r="V22" i="18"/>
  <c r="W22" i="18"/>
  <c r="X22" i="18"/>
  <c r="Y22" i="18"/>
  <c r="Z22" i="18"/>
  <c r="AA22" i="18"/>
  <c r="AB22" i="18"/>
  <c r="H23" i="18"/>
  <c r="I23" i="18"/>
  <c r="J23" i="18"/>
  <c r="K23" i="18"/>
  <c r="N23" i="18"/>
  <c r="O23" i="18"/>
  <c r="P23" i="18"/>
  <c r="Q23" i="18"/>
  <c r="R23" i="18"/>
  <c r="S23" i="18"/>
  <c r="T23" i="18"/>
  <c r="U23" i="18"/>
  <c r="V23" i="18"/>
  <c r="W23" i="18"/>
  <c r="X23" i="18"/>
  <c r="Y23" i="18"/>
  <c r="Z23" i="18"/>
  <c r="AA23" i="18"/>
  <c r="AB23" i="18"/>
  <c r="H24" i="18"/>
  <c r="I24" i="18"/>
  <c r="J24" i="18"/>
  <c r="K24" i="18"/>
  <c r="N24" i="18"/>
  <c r="O24" i="18"/>
  <c r="P24" i="18"/>
  <c r="Q24" i="18"/>
  <c r="R24" i="18"/>
  <c r="S24" i="18"/>
  <c r="T24" i="18"/>
  <c r="U24" i="18"/>
  <c r="V24" i="18"/>
  <c r="W24" i="18"/>
  <c r="X24" i="18"/>
  <c r="Y24" i="18"/>
  <c r="Z24" i="18"/>
  <c r="AA24" i="18"/>
  <c r="AB24" i="18"/>
  <c r="H25" i="18"/>
  <c r="I25" i="18"/>
  <c r="J25" i="18"/>
  <c r="K25" i="18"/>
  <c r="N25" i="18"/>
  <c r="O25" i="18"/>
  <c r="P25" i="18"/>
  <c r="Q25" i="18"/>
  <c r="R25" i="18"/>
  <c r="S25" i="18"/>
  <c r="T25" i="18"/>
  <c r="U25" i="18"/>
  <c r="V25" i="18"/>
  <c r="W25" i="18"/>
  <c r="X25" i="18"/>
  <c r="Y25" i="18"/>
  <c r="Z25" i="18"/>
  <c r="AA25" i="18"/>
  <c r="AB25" i="18"/>
  <c r="H26" i="18"/>
  <c r="I26" i="18"/>
  <c r="J26" i="18"/>
  <c r="K26" i="18"/>
  <c r="N26" i="18"/>
  <c r="O26" i="18"/>
  <c r="P26" i="18"/>
  <c r="Q26" i="18"/>
  <c r="R26" i="18"/>
  <c r="S26" i="18"/>
  <c r="T26" i="18"/>
  <c r="U26" i="18"/>
  <c r="V26" i="18"/>
  <c r="W26" i="18"/>
  <c r="X26" i="18"/>
  <c r="Y26" i="18"/>
  <c r="Z26" i="18"/>
  <c r="AA26" i="18"/>
  <c r="AB26" i="18"/>
  <c r="H27" i="18"/>
  <c r="I27" i="18"/>
  <c r="J27" i="18"/>
  <c r="K27" i="18"/>
  <c r="N27" i="18"/>
  <c r="O27" i="18"/>
  <c r="P27" i="18"/>
  <c r="Q27" i="18"/>
  <c r="R27" i="18"/>
  <c r="S27" i="18"/>
  <c r="T27" i="18"/>
  <c r="U27" i="18"/>
  <c r="V27" i="18"/>
  <c r="W27" i="18"/>
  <c r="X27" i="18"/>
  <c r="Y27" i="18"/>
  <c r="Z27" i="18"/>
  <c r="AA27" i="18"/>
  <c r="AB27" i="18"/>
  <c r="H28" i="18"/>
  <c r="I28" i="18"/>
  <c r="J28" i="18"/>
  <c r="K28" i="18"/>
  <c r="N28" i="18"/>
  <c r="O28" i="18"/>
  <c r="P28" i="18"/>
  <c r="Q28" i="18"/>
  <c r="R28" i="18"/>
  <c r="S28" i="18"/>
  <c r="T28" i="18"/>
  <c r="U28" i="18"/>
  <c r="V28" i="18"/>
  <c r="W28" i="18"/>
  <c r="X28" i="18"/>
  <c r="Y28" i="18"/>
  <c r="Z28" i="18"/>
  <c r="AA28" i="18"/>
  <c r="AB28" i="18"/>
  <c r="H29" i="18"/>
  <c r="I29" i="18"/>
  <c r="J29" i="18"/>
  <c r="K29" i="18"/>
  <c r="N29" i="18"/>
  <c r="O29" i="18"/>
  <c r="P29" i="18"/>
  <c r="Q29" i="18"/>
  <c r="R29" i="18"/>
  <c r="S29" i="18"/>
  <c r="T29" i="18"/>
  <c r="U29" i="18"/>
  <c r="V29" i="18"/>
  <c r="W29" i="18"/>
  <c r="X29" i="18"/>
  <c r="Y29" i="18"/>
  <c r="Z29" i="18"/>
  <c r="AA29" i="18"/>
  <c r="AB29" i="18"/>
  <c r="H30" i="18"/>
  <c r="I30" i="18"/>
  <c r="J30" i="18"/>
  <c r="K30" i="18"/>
  <c r="N30" i="18"/>
  <c r="O30" i="18"/>
  <c r="P30" i="18"/>
  <c r="Q30" i="18"/>
  <c r="R30" i="18"/>
  <c r="S30" i="18"/>
  <c r="T30" i="18"/>
  <c r="U30" i="18"/>
  <c r="V30" i="18"/>
  <c r="W30" i="18"/>
  <c r="X30" i="18"/>
  <c r="Y30" i="18"/>
  <c r="Z30" i="18"/>
  <c r="AA30" i="18"/>
  <c r="AB30" i="18"/>
  <c r="H31" i="18"/>
  <c r="I31" i="18"/>
  <c r="J31" i="18"/>
  <c r="K31" i="18"/>
  <c r="N31" i="18"/>
  <c r="O31" i="18"/>
  <c r="P31" i="18"/>
  <c r="Q31" i="18"/>
  <c r="R31" i="18"/>
  <c r="S31" i="18"/>
  <c r="T31" i="18"/>
  <c r="U31" i="18"/>
  <c r="V31" i="18"/>
  <c r="W31" i="18"/>
  <c r="X31" i="18"/>
  <c r="Y31" i="18"/>
  <c r="Z31" i="18"/>
  <c r="AA31" i="18"/>
  <c r="AB31" i="18"/>
  <c r="H32" i="18"/>
  <c r="I32" i="18"/>
  <c r="J32" i="18"/>
  <c r="K32" i="18"/>
  <c r="N32" i="18"/>
  <c r="O32" i="18"/>
  <c r="P32" i="18"/>
  <c r="Q32" i="18"/>
  <c r="R32" i="18"/>
  <c r="S32" i="18"/>
  <c r="T32" i="18"/>
  <c r="U32" i="18"/>
  <c r="V32" i="18"/>
  <c r="W32" i="18"/>
  <c r="X32" i="18"/>
  <c r="Y32" i="18"/>
  <c r="Z32" i="18"/>
  <c r="AA32" i="18"/>
  <c r="AB32" i="18"/>
  <c r="H33" i="18"/>
  <c r="I33" i="18"/>
  <c r="J33" i="18"/>
  <c r="K33" i="18"/>
  <c r="N33" i="18"/>
  <c r="O33" i="18"/>
  <c r="P33" i="18"/>
  <c r="Q33" i="18"/>
  <c r="R33" i="18"/>
  <c r="S33" i="18"/>
  <c r="T33" i="18"/>
  <c r="U33" i="18"/>
  <c r="V33" i="18"/>
  <c r="W33" i="18"/>
  <c r="X33" i="18"/>
  <c r="Y33" i="18"/>
  <c r="Z33" i="18"/>
  <c r="AA33" i="18"/>
  <c r="AB33" i="18"/>
  <c r="H34" i="18"/>
  <c r="I34" i="18"/>
  <c r="J34" i="18"/>
  <c r="K34" i="18"/>
  <c r="N34" i="18"/>
  <c r="O34" i="18"/>
  <c r="P34" i="18"/>
  <c r="Q34" i="18"/>
  <c r="R34" i="18"/>
  <c r="S34" i="18"/>
  <c r="T34" i="18"/>
  <c r="U34" i="18"/>
  <c r="V34" i="18"/>
  <c r="W34" i="18"/>
  <c r="X34" i="18"/>
  <c r="Y34" i="18"/>
  <c r="Z34" i="18"/>
  <c r="AA34" i="18"/>
  <c r="AB34" i="18"/>
  <c r="H35" i="18"/>
  <c r="I35" i="18"/>
  <c r="J35" i="18"/>
  <c r="K35" i="18"/>
  <c r="N35" i="18"/>
  <c r="O35" i="18"/>
  <c r="P35" i="18"/>
  <c r="Q35" i="18"/>
  <c r="R35" i="18"/>
  <c r="S35" i="18"/>
  <c r="T35" i="18"/>
  <c r="U35" i="18"/>
  <c r="V35" i="18"/>
  <c r="W35" i="18"/>
  <c r="X35" i="18"/>
  <c r="Y35" i="18"/>
  <c r="Z35" i="18"/>
  <c r="AA35" i="18"/>
  <c r="AB35" i="18"/>
  <c r="H36" i="18"/>
  <c r="I36" i="18"/>
  <c r="J36" i="18"/>
  <c r="K36" i="18"/>
  <c r="N36" i="18"/>
  <c r="O36" i="18"/>
  <c r="P36" i="18"/>
  <c r="Q36" i="18"/>
  <c r="R36" i="18"/>
  <c r="S36" i="18"/>
  <c r="T36" i="18"/>
  <c r="U36" i="18"/>
  <c r="V36" i="18"/>
  <c r="W36" i="18"/>
  <c r="X36" i="18"/>
  <c r="Y36" i="18"/>
  <c r="Z36" i="18"/>
  <c r="AA36" i="18"/>
  <c r="AB36" i="18"/>
  <c r="H37" i="18"/>
  <c r="I37" i="18"/>
  <c r="J37" i="18"/>
  <c r="K37" i="18"/>
  <c r="N37" i="18"/>
  <c r="O37" i="18"/>
  <c r="P37" i="18"/>
  <c r="Q37" i="18"/>
  <c r="R37" i="18"/>
  <c r="S37" i="18"/>
  <c r="T37" i="18"/>
  <c r="U37" i="18"/>
  <c r="V37" i="18"/>
  <c r="W37" i="18"/>
  <c r="X37" i="18"/>
  <c r="Y37" i="18"/>
  <c r="Z37" i="18"/>
  <c r="AA37" i="18"/>
  <c r="AB37" i="18"/>
  <c r="H38" i="18"/>
  <c r="I38" i="18"/>
  <c r="J38" i="18"/>
  <c r="K38" i="18"/>
  <c r="N38" i="18"/>
  <c r="O38" i="18"/>
  <c r="P38" i="18"/>
  <c r="Q38" i="18"/>
  <c r="R38" i="18"/>
  <c r="S38" i="18"/>
  <c r="T38" i="18"/>
  <c r="U38" i="18"/>
  <c r="V38" i="18"/>
  <c r="W38" i="18"/>
  <c r="X38" i="18"/>
  <c r="Y38" i="18"/>
  <c r="Z38" i="18"/>
  <c r="AA38" i="18"/>
  <c r="AB38" i="18"/>
  <c r="H39" i="18"/>
  <c r="I39" i="18"/>
  <c r="J39" i="18"/>
  <c r="K39" i="18"/>
  <c r="N39" i="18"/>
  <c r="O39" i="18"/>
  <c r="P39" i="18"/>
  <c r="Q39" i="18"/>
  <c r="R39" i="18"/>
  <c r="S39" i="18"/>
  <c r="T39" i="18"/>
  <c r="U39" i="18"/>
  <c r="V39" i="18"/>
  <c r="W39" i="18"/>
  <c r="X39" i="18"/>
  <c r="Y39" i="18"/>
  <c r="Z39" i="18"/>
  <c r="AA39" i="18"/>
  <c r="AB39" i="18"/>
  <c r="H40" i="18"/>
  <c r="I40" i="18"/>
  <c r="J40" i="18"/>
  <c r="K40" i="18"/>
  <c r="N40" i="18"/>
  <c r="O40" i="18"/>
  <c r="P40" i="18"/>
  <c r="Q40" i="18"/>
  <c r="R40" i="18"/>
  <c r="S40" i="18"/>
  <c r="T40" i="18"/>
  <c r="U40" i="18"/>
  <c r="V40" i="18"/>
  <c r="W40" i="18"/>
  <c r="X40" i="18"/>
  <c r="Y40" i="18"/>
  <c r="Z40" i="18"/>
  <c r="AA40" i="18"/>
  <c r="AB40" i="18"/>
  <c r="H41" i="18"/>
  <c r="I41" i="18"/>
  <c r="J41" i="18"/>
  <c r="K41" i="18"/>
  <c r="N41" i="18"/>
  <c r="O41" i="18"/>
  <c r="P41" i="18"/>
  <c r="Q41" i="18"/>
  <c r="R41" i="18"/>
  <c r="S41" i="18"/>
  <c r="T41" i="18"/>
  <c r="U41" i="18"/>
  <c r="V41" i="18"/>
  <c r="W41" i="18"/>
  <c r="X41" i="18"/>
  <c r="Y41" i="18"/>
  <c r="Z41" i="18"/>
  <c r="AA41" i="18"/>
  <c r="AB41" i="18"/>
  <c r="H42" i="18"/>
  <c r="I42" i="18"/>
  <c r="J42" i="18"/>
  <c r="K42" i="18"/>
  <c r="N42" i="18"/>
  <c r="O42" i="18"/>
  <c r="P42" i="18"/>
  <c r="Q42" i="18"/>
  <c r="R42" i="18"/>
  <c r="S42" i="18"/>
  <c r="T42" i="18"/>
  <c r="U42" i="18"/>
  <c r="V42" i="18"/>
  <c r="W42" i="18"/>
  <c r="X42" i="18"/>
  <c r="Y42" i="18"/>
  <c r="Z42" i="18"/>
  <c r="AA42" i="18"/>
  <c r="AB42" i="18"/>
  <c r="H43" i="18"/>
  <c r="I43" i="18"/>
  <c r="J43" i="18"/>
  <c r="K43" i="18"/>
  <c r="N43" i="18"/>
  <c r="O43" i="18"/>
  <c r="P43" i="18"/>
  <c r="Q43" i="18"/>
  <c r="R43" i="18"/>
  <c r="S43" i="18"/>
  <c r="T43" i="18"/>
  <c r="U43" i="18"/>
  <c r="V43" i="18"/>
  <c r="W43" i="18"/>
  <c r="X43" i="18"/>
  <c r="Y43" i="18"/>
  <c r="Z43" i="18"/>
  <c r="AA43" i="18"/>
  <c r="AB43" i="18"/>
  <c r="H44" i="18"/>
  <c r="I44" i="18"/>
  <c r="J44" i="18"/>
  <c r="K44" i="18"/>
  <c r="N44" i="18"/>
  <c r="O44" i="18"/>
  <c r="P44" i="18"/>
  <c r="Q44" i="18"/>
  <c r="R44" i="18"/>
  <c r="S44" i="18"/>
  <c r="T44" i="18"/>
  <c r="U44" i="18"/>
  <c r="V44" i="18"/>
  <c r="W44" i="18"/>
  <c r="X44" i="18"/>
  <c r="Y44" i="18"/>
  <c r="Z44" i="18"/>
  <c r="AA44" i="18"/>
  <c r="AB44" i="18"/>
  <c r="H45" i="18"/>
  <c r="I45" i="18"/>
  <c r="J45" i="18"/>
  <c r="K45" i="18"/>
  <c r="N45" i="18"/>
  <c r="O45" i="18"/>
  <c r="P45" i="18"/>
  <c r="Q45" i="18"/>
  <c r="R45" i="18"/>
  <c r="S45" i="18"/>
  <c r="T45" i="18"/>
  <c r="U45" i="18"/>
  <c r="V45" i="18"/>
  <c r="W45" i="18"/>
  <c r="X45" i="18"/>
  <c r="Y45" i="18"/>
  <c r="Z45" i="18"/>
  <c r="AA45" i="18"/>
  <c r="AB45" i="18"/>
  <c r="H46" i="18"/>
  <c r="I46" i="18"/>
  <c r="J46" i="18"/>
  <c r="K46" i="18"/>
  <c r="N46" i="18"/>
  <c r="O46" i="18"/>
  <c r="P46" i="18"/>
  <c r="Q46" i="18"/>
  <c r="R46" i="18"/>
  <c r="S46" i="18"/>
  <c r="T46" i="18"/>
  <c r="U46" i="18"/>
  <c r="V46" i="18"/>
  <c r="W46" i="18"/>
  <c r="X46" i="18"/>
  <c r="Y46" i="18"/>
  <c r="Z46" i="18"/>
  <c r="AA46" i="18"/>
  <c r="AB46" i="18"/>
  <c r="H47" i="18"/>
  <c r="I47" i="18"/>
  <c r="J47" i="18"/>
  <c r="K47" i="18"/>
  <c r="N47" i="18"/>
  <c r="O47" i="18"/>
  <c r="P47" i="18"/>
  <c r="Q47" i="18"/>
  <c r="R47" i="18"/>
  <c r="S47" i="18"/>
  <c r="T47" i="18"/>
  <c r="U47" i="18"/>
  <c r="V47" i="18"/>
  <c r="W47" i="18"/>
  <c r="X47" i="18"/>
  <c r="Y47" i="18"/>
  <c r="Z47" i="18"/>
  <c r="AA47" i="18"/>
  <c r="AB47" i="18"/>
  <c r="H48" i="18"/>
  <c r="I48" i="18"/>
  <c r="J48" i="18"/>
  <c r="K48" i="18"/>
  <c r="N48" i="18"/>
  <c r="O48" i="18"/>
  <c r="P48" i="18"/>
  <c r="Q48" i="18"/>
  <c r="R48" i="18"/>
  <c r="S48" i="18"/>
  <c r="T48" i="18"/>
  <c r="U48" i="18"/>
  <c r="V48" i="18"/>
  <c r="W48" i="18"/>
  <c r="X48" i="18"/>
  <c r="Y48" i="18"/>
  <c r="Z48" i="18"/>
  <c r="AA48" i="18"/>
  <c r="AB48" i="18"/>
  <c r="H49" i="18"/>
  <c r="I49" i="18"/>
  <c r="J49" i="18"/>
  <c r="K49" i="18"/>
  <c r="N49" i="18"/>
  <c r="O49" i="18"/>
  <c r="P49" i="18"/>
  <c r="Q49" i="18"/>
  <c r="R49" i="18"/>
  <c r="S49" i="18"/>
  <c r="T49" i="18"/>
  <c r="U49" i="18"/>
  <c r="V49" i="18"/>
  <c r="W49" i="18"/>
  <c r="X49" i="18"/>
  <c r="Y49" i="18"/>
  <c r="Z49" i="18"/>
  <c r="AA49" i="18"/>
  <c r="AB49" i="18"/>
  <c r="H50" i="18"/>
  <c r="I50" i="18"/>
  <c r="J50" i="18"/>
  <c r="K50" i="18"/>
  <c r="N50" i="18"/>
  <c r="O50" i="18"/>
  <c r="P50" i="18"/>
  <c r="Q50" i="18"/>
  <c r="R50" i="18"/>
  <c r="S50" i="18"/>
  <c r="T50" i="18"/>
  <c r="U50" i="18"/>
  <c r="V50" i="18"/>
  <c r="W50" i="18"/>
  <c r="X50" i="18"/>
  <c r="Y50" i="18"/>
  <c r="Z50" i="18"/>
  <c r="AA50" i="18"/>
  <c r="AB50" i="18"/>
  <c r="H51" i="18"/>
  <c r="I51" i="18"/>
  <c r="J51" i="18"/>
  <c r="K51" i="18"/>
  <c r="N51" i="18"/>
  <c r="O51" i="18"/>
  <c r="P51" i="18"/>
  <c r="Q51" i="18"/>
  <c r="R51" i="18"/>
  <c r="S51" i="18"/>
  <c r="T51" i="18"/>
  <c r="U51" i="18"/>
  <c r="V51" i="18"/>
  <c r="W51" i="18"/>
  <c r="X51" i="18"/>
  <c r="Y51" i="18"/>
  <c r="Z51" i="18"/>
  <c r="AA51" i="18"/>
  <c r="AB51" i="18"/>
  <c r="H52" i="18"/>
  <c r="I52" i="18"/>
  <c r="J52" i="18"/>
  <c r="K52" i="18"/>
  <c r="N52" i="18"/>
  <c r="O52" i="18"/>
  <c r="P52" i="18"/>
  <c r="Q52" i="18"/>
  <c r="R52" i="18"/>
  <c r="S52" i="18"/>
  <c r="T52" i="18"/>
  <c r="U52" i="18"/>
  <c r="V52" i="18"/>
  <c r="W52" i="18"/>
  <c r="X52" i="18"/>
  <c r="Y52" i="18"/>
  <c r="Z52" i="18"/>
  <c r="AA52" i="18"/>
  <c r="AB52" i="18"/>
  <c r="H53" i="18"/>
  <c r="I53" i="18"/>
  <c r="J53" i="18"/>
  <c r="K53" i="18"/>
  <c r="N53" i="18"/>
  <c r="O53" i="18"/>
  <c r="P53" i="18"/>
  <c r="Q53" i="18"/>
  <c r="R53" i="18"/>
  <c r="S53" i="18"/>
  <c r="T53" i="18"/>
  <c r="U53" i="18"/>
  <c r="V53" i="18"/>
  <c r="W53" i="18"/>
  <c r="X53" i="18"/>
  <c r="Y53" i="18"/>
  <c r="Z53" i="18"/>
  <c r="AA53" i="18"/>
  <c r="AB53" i="18"/>
  <c r="H54" i="18"/>
  <c r="I54" i="18"/>
  <c r="J54" i="18"/>
  <c r="K54" i="18"/>
  <c r="N54" i="18"/>
  <c r="O54" i="18"/>
  <c r="P54" i="18"/>
  <c r="Q54" i="18"/>
  <c r="R54" i="18"/>
  <c r="S54" i="18"/>
  <c r="T54" i="18"/>
  <c r="U54" i="18"/>
  <c r="V54" i="18"/>
  <c r="W54" i="18"/>
  <c r="X54" i="18"/>
  <c r="Y54" i="18"/>
  <c r="Z54" i="18"/>
  <c r="AA54" i="18"/>
  <c r="AB54" i="18"/>
  <c r="H55" i="18"/>
  <c r="I55" i="18"/>
  <c r="J55" i="18"/>
  <c r="K55" i="18"/>
  <c r="N55" i="18"/>
  <c r="O55" i="18"/>
  <c r="P55" i="18"/>
  <c r="Q55" i="18"/>
  <c r="R55" i="18"/>
  <c r="S55" i="18"/>
  <c r="T55" i="18"/>
  <c r="U55" i="18"/>
  <c r="V55" i="18"/>
  <c r="W55" i="18"/>
  <c r="X55" i="18"/>
  <c r="Y55" i="18"/>
  <c r="Z55" i="18"/>
  <c r="AA55" i="18"/>
  <c r="AB55" i="18"/>
  <c r="AA5" i="18"/>
  <c r="Y5" i="18"/>
  <c r="W5" i="18"/>
  <c r="U5" i="18"/>
  <c r="P5" i="18"/>
  <c r="R5" i="18"/>
  <c r="S5" i="18"/>
  <c r="N5" i="18"/>
  <c r="J5" i="18"/>
  <c r="I5" i="18"/>
  <c r="K5" i="18"/>
  <c r="O5" i="18"/>
  <c r="H5" i="18"/>
  <c r="E56" i="56" l="1"/>
  <c r="M56" i="56" s="1"/>
  <c r="D56" i="56"/>
  <c r="AJ55" i="56"/>
  <c r="AI55" i="56"/>
  <c r="AD55" i="56"/>
  <c r="AJ54" i="56"/>
  <c r="AI54" i="56"/>
  <c r="AH54" i="56"/>
  <c r="AJ53" i="56"/>
  <c r="AI53" i="56"/>
  <c r="AD53" i="56"/>
  <c r="AC53" i="56"/>
  <c r="AJ52" i="56"/>
  <c r="AI52" i="56"/>
  <c r="AJ51" i="56"/>
  <c r="AI51" i="56"/>
  <c r="AC51" i="56"/>
  <c r="AJ50" i="56"/>
  <c r="AI50" i="56"/>
  <c r="AD50" i="56"/>
  <c r="AC50" i="56"/>
  <c r="AJ49" i="56"/>
  <c r="AI49" i="56"/>
  <c r="AF49" i="56"/>
  <c r="AJ48" i="56"/>
  <c r="AI48" i="56"/>
  <c r="AD48" i="56"/>
  <c r="AC48" i="56"/>
  <c r="AJ47" i="56"/>
  <c r="AI47" i="56"/>
  <c r="AD47" i="56"/>
  <c r="AJ46" i="56"/>
  <c r="AI46" i="56"/>
  <c r="AH46" i="56"/>
  <c r="AJ45" i="56"/>
  <c r="AI45" i="56"/>
  <c r="AD45" i="56"/>
  <c r="AC45" i="56"/>
  <c r="AJ44" i="56"/>
  <c r="AI44" i="56"/>
  <c r="AJ43" i="56"/>
  <c r="AI43" i="56"/>
  <c r="AH43" i="56"/>
  <c r="AC43" i="56"/>
  <c r="AJ42" i="56"/>
  <c r="AI42" i="56"/>
  <c r="AD42" i="56"/>
  <c r="AC42" i="56"/>
  <c r="AJ41" i="56"/>
  <c r="AI41" i="56"/>
  <c r="AF41" i="56"/>
  <c r="AG41" i="56"/>
  <c r="AJ40" i="56"/>
  <c r="AI40" i="56"/>
  <c r="AD40" i="56"/>
  <c r="AC40" i="56"/>
  <c r="AJ39" i="56"/>
  <c r="AI39" i="56"/>
  <c r="AD39" i="56"/>
  <c r="AJ38" i="56"/>
  <c r="AI38" i="56"/>
  <c r="AH38" i="56"/>
  <c r="AJ37" i="56"/>
  <c r="AI37" i="56"/>
  <c r="AD37" i="56"/>
  <c r="AC37" i="56"/>
  <c r="AJ36" i="56"/>
  <c r="AI36" i="56"/>
  <c r="AF36" i="56"/>
  <c r="AE36" i="56"/>
  <c r="AJ35" i="56"/>
  <c r="AI35" i="56"/>
  <c r="AC35" i="56"/>
  <c r="AJ34" i="56"/>
  <c r="AI34" i="56"/>
  <c r="AD34" i="56"/>
  <c r="AC34" i="56"/>
  <c r="AJ33" i="56"/>
  <c r="AI33" i="56"/>
  <c r="AF33" i="56"/>
  <c r="AG33" i="56"/>
  <c r="AJ32" i="56"/>
  <c r="AI32" i="56"/>
  <c r="AD32" i="56"/>
  <c r="AC32" i="56"/>
  <c r="AJ31" i="56"/>
  <c r="AI31" i="56"/>
  <c r="AD31" i="56"/>
  <c r="AJ30" i="56"/>
  <c r="AI30" i="56"/>
  <c r="AJ29" i="56"/>
  <c r="AI29" i="56"/>
  <c r="AD29" i="56"/>
  <c r="AC29" i="56"/>
  <c r="AJ28" i="56"/>
  <c r="AI28" i="56"/>
  <c r="AF28" i="56"/>
  <c r="AE28" i="56"/>
  <c r="AJ27" i="56"/>
  <c r="AI27" i="56"/>
  <c r="AC27" i="56"/>
  <c r="AJ26" i="56"/>
  <c r="AI26" i="56"/>
  <c r="AD26" i="56"/>
  <c r="AC26" i="56"/>
  <c r="AJ25" i="56"/>
  <c r="AI25" i="56"/>
  <c r="AF25" i="56"/>
  <c r="AJ24" i="56"/>
  <c r="AI24" i="56"/>
  <c r="AD24" i="56"/>
  <c r="AC24" i="56"/>
  <c r="AJ23" i="56"/>
  <c r="AI23" i="56"/>
  <c r="AD23" i="56"/>
  <c r="AG23" i="56"/>
  <c r="AJ22" i="56"/>
  <c r="AI22" i="56"/>
  <c r="AJ21" i="56"/>
  <c r="AI21" i="56"/>
  <c r="AD21" i="56"/>
  <c r="AC21" i="56"/>
  <c r="AJ20" i="56"/>
  <c r="AI20" i="56"/>
  <c r="AF20" i="56"/>
  <c r="AE20" i="56"/>
  <c r="AJ19" i="56"/>
  <c r="AI19" i="56"/>
  <c r="AC19" i="56"/>
  <c r="AJ18" i="56"/>
  <c r="AI18" i="56"/>
  <c r="AD18" i="56"/>
  <c r="AC18" i="56"/>
  <c r="AJ17" i="56"/>
  <c r="AI17" i="56"/>
  <c r="AF17" i="56"/>
  <c r="AJ16" i="56"/>
  <c r="AI16" i="56"/>
  <c r="AD16" i="56"/>
  <c r="AC16" i="56"/>
  <c r="AJ15" i="56"/>
  <c r="AI15" i="56"/>
  <c r="AD15" i="56"/>
  <c r="AG15" i="56"/>
  <c r="AJ14" i="56"/>
  <c r="AI14" i="56"/>
  <c r="AH14" i="56"/>
  <c r="AJ13" i="56"/>
  <c r="AI13" i="56"/>
  <c r="AD13" i="56"/>
  <c r="AC13" i="56"/>
  <c r="AJ12" i="56"/>
  <c r="AI12" i="56"/>
  <c r="AJ11" i="56"/>
  <c r="AI11" i="56"/>
  <c r="AC11" i="56"/>
  <c r="AJ10" i="56"/>
  <c r="AI10" i="56"/>
  <c r="AD10" i="56"/>
  <c r="AC10" i="56"/>
  <c r="AJ9" i="56"/>
  <c r="AI9" i="56"/>
  <c r="AJ8" i="56"/>
  <c r="AI8" i="56"/>
  <c r="AD8" i="56"/>
  <c r="AC8" i="56"/>
  <c r="AJ7" i="56"/>
  <c r="AI7" i="56"/>
  <c r="AE7" i="56"/>
  <c r="AD7" i="56"/>
  <c r="AJ6" i="56"/>
  <c r="AI6" i="56"/>
  <c r="AH6" i="56"/>
  <c r="AJ5" i="56"/>
  <c r="U56" i="56"/>
  <c r="R56" i="56"/>
  <c r="Q56" i="56"/>
  <c r="K56" i="56"/>
  <c r="AD5" i="56"/>
  <c r="AC5" i="56"/>
  <c r="E56" i="55"/>
  <c r="M56" i="55" s="1"/>
  <c r="D56" i="55"/>
  <c r="AJ55" i="55"/>
  <c r="AI55" i="55"/>
  <c r="AD55" i="55"/>
  <c r="AJ54" i="55"/>
  <c r="AI54" i="55"/>
  <c r="AH54" i="55"/>
  <c r="AJ53" i="55"/>
  <c r="AI53" i="55"/>
  <c r="AD53" i="55"/>
  <c r="AC53" i="55"/>
  <c r="AJ52" i="55"/>
  <c r="AI52" i="55"/>
  <c r="AE52" i="55"/>
  <c r="AJ51" i="55"/>
  <c r="AI51" i="55"/>
  <c r="AC51" i="55"/>
  <c r="AJ50" i="55"/>
  <c r="AI50" i="55"/>
  <c r="AD50" i="55"/>
  <c r="AC50" i="55"/>
  <c r="AJ49" i="55"/>
  <c r="AI49" i="55"/>
  <c r="AF49" i="55"/>
  <c r="AG49" i="55"/>
  <c r="AJ48" i="55"/>
  <c r="AI48" i="55"/>
  <c r="AD48" i="55"/>
  <c r="AC48" i="55"/>
  <c r="AJ47" i="55"/>
  <c r="AI47" i="55"/>
  <c r="AD47" i="55"/>
  <c r="AJ46" i="55"/>
  <c r="AI46" i="55"/>
  <c r="AJ45" i="55"/>
  <c r="AI45" i="55"/>
  <c r="AD45" i="55"/>
  <c r="AC45" i="55"/>
  <c r="AJ44" i="55"/>
  <c r="AI44" i="55"/>
  <c r="AE44" i="55"/>
  <c r="AJ43" i="55"/>
  <c r="AI43" i="55"/>
  <c r="AC43" i="55"/>
  <c r="AJ42" i="55"/>
  <c r="AI42" i="55"/>
  <c r="AD42" i="55"/>
  <c r="AC42" i="55"/>
  <c r="AJ41" i="55"/>
  <c r="AI41" i="55"/>
  <c r="AF41" i="55"/>
  <c r="AJ40" i="55"/>
  <c r="AI40" i="55"/>
  <c r="AD40" i="55"/>
  <c r="AC40" i="55"/>
  <c r="AJ39" i="55"/>
  <c r="AI39" i="55"/>
  <c r="AD39" i="55"/>
  <c r="AJ38" i="55"/>
  <c r="AI38" i="55"/>
  <c r="AH38" i="55"/>
  <c r="AJ37" i="55"/>
  <c r="AI37" i="55"/>
  <c r="AD37" i="55"/>
  <c r="AC37" i="55"/>
  <c r="AJ36" i="55"/>
  <c r="AI36" i="55"/>
  <c r="AJ35" i="55"/>
  <c r="AI35" i="55"/>
  <c r="AE35" i="55"/>
  <c r="AH35" i="55"/>
  <c r="AC35" i="55"/>
  <c r="AJ34" i="55"/>
  <c r="AI34" i="55"/>
  <c r="AD34" i="55"/>
  <c r="AC34" i="55"/>
  <c r="AJ33" i="55"/>
  <c r="AI33" i="55"/>
  <c r="AG33" i="55"/>
  <c r="AJ32" i="55"/>
  <c r="AI32" i="55"/>
  <c r="AD32" i="55"/>
  <c r="AC32" i="55"/>
  <c r="AJ31" i="55"/>
  <c r="AI31" i="55"/>
  <c r="AD31" i="55"/>
  <c r="AI30" i="55"/>
  <c r="AJ30" i="55"/>
  <c r="AH30" i="55"/>
  <c r="AJ29" i="55"/>
  <c r="AI29" i="55"/>
  <c r="AD29" i="55"/>
  <c r="AC29" i="55"/>
  <c r="AJ28" i="55"/>
  <c r="AI28" i="55"/>
  <c r="AF28" i="55"/>
  <c r="AJ27" i="55"/>
  <c r="AI27" i="55"/>
  <c r="AC27" i="55"/>
  <c r="AJ26" i="55"/>
  <c r="AI26" i="55"/>
  <c r="AD26" i="55"/>
  <c r="AC26" i="55"/>
  <c r="AJ25" i="55"/>
  <c r="AI25" i="55"/>
  <c r="AF25" i="55"/>
  <c r="AJ24" i="55"/>
  <c r="AI24" i="55"/>
  <c r="AD24" i="55"/>
  <c r="AC24" i="55"/>
  <c r="AJ23" i="55"/>
  <c r="AI23" i="55"/>
  <c r="AD23" i="55"/>
  <c r="AJ22" i="55"/>
  <c r="AI22" i="55"/>
  <c r="AD22" i="55"/>
  <c r="AJ21" i="55"/>
  <c r="AI21" i="55"/>
  <c r="AD21" i="55"/>
  <c r="AC21" i="55"/>
  <c r="AJ20" i="55"/>
  <c r="AI20" i="55"/>
  <c r="AJ19" i="55"/>
  <c r="AI19" i="55"/>
  <c r="AH19" i="55"/>
  <c r="AC19" i="55"/>
  <c r="AJ18" i="55"/>
  <c r="AI18" i="55"/>
  <c r="AD18" i="55"/>
  <c r="AC18" i="55"/>
  <c r="AJ17" i="55"/>
  <c r="AI17" i="55"/>
  <c r="AJ16" i="55"/>
  <c r="AI16" i="55"/>
  <c r="AD16" i="55"/>
  <c r="AC16" i="55"/>
  <c r="AJ15" i="55"/>
  <c r="AI15" i="55"/>
  <c r="AD15" i="55"/>
  <c r="AJ14" i="55"/>
  <c r="AI14" i="55"/>
  <c r="AJ13" i="55"/>
  <c r="AI13" i="55"/>
  <c r="AD13" i="55"/>
  <c r="AC13" i="55"/>
  <c r="AJ12" i="55"/>
  <c r="AI12" i="55"/>
  <c r="AF12" i="55"/>
  <c r="AJ11" i="55"/>
  <c r="AI11" i="55"/>
  <c r="AC11" i="55"/>
  <c r="AJ10" i="55"/>
  <c r="AI10" i="55"/>
  <c r="AD10" i="55"/>
  <c r="AC10" i="55"/>
  <c r="AJ9" i="55"/>
  <c r="AI9" i="55"/>
  <c r="AF9" i="55"/>
  <c r="AC9" i="55"/>
  <c r="AJ8" i="55"/>
  <c r="AI8" i="55"/>
  <c r="AD8" i="55"/>
  <c r="AC8" i="55"/>
  <c r="AI7" i="55"/>
  <c r="AJ7" i="55"/>
  <c r="AD7" i="55"/>
  <c r="AJ6" i="55"/>
  <c r="AI6" i="55"/>
  <c r="AD6" i="55"/>
  <c r="AJ5" i="55"/>
  <c r="W56" i="55"/>
  <c r="T56" i="55"/>
  <c r="N56" i="55"/>
  <c r="J56" i="55"/>
  <c r="AD5" i="55"/>
  <c r="AC5" i="55"/>
  <c r="E56" i="54"/>
  <c r="M56" i="54" s="1"/>
  <c r="D56" i="54"/>
  <c r="AJ55" i="54"/>
  <c r="AI55" i="54"/>
  <c r="AD55" i="54"/>
  <c r="AJ54" i="54"/>
  <c r="AI54" i="54"/>
  <c r="AJ53" i="54"/>
  <c r="AI53" i="54"/>
  <c r="AD53" i="54"/>
  <c r="AC53" i="54"/>
  <c r="AJ52" i="54"/>
  <c r="AI52" i="54"/>
  <c r="AE52" i="54"/>
  <c r="AJ51" i="54"/>
  <c r="AI51" i="54"/>
  <c r="AC51" i="54"/>
  <c r="AJ50" i="54"/>
  <c r="AI50" i="54"/>
  <c r="AD50" i="54"/>
  <c r="AC50" i="54"/>
  <c r="AJ49" i="54"/>
  <c r="AI49" i="54"/>
  <c r="AF49" i="54"/>
  <c r="AJ48" i="54"/>
  <c r="AI48" i="54"/>
  <c r="AD48" i="54"/>
  <c r="AC48" i="54"/>
  <c r="AJ47" i="54"/>
  <c r="AI47" i="54"/>
  <c r="AD47" i="54"/>
  <c r="AJ46" i="54"/>
  <c r="AI46" i="54"/>
  <c r="AJ45" i="54"/>
  <c r="AI45" i="54"/>
  <c r="AD45" i="54"/>
  <c r="AC45" i="54"/>
  <c r="AJ44" i="54"/>
  <c r="AI44" i="54"/>
  <c r="AF44" i="54"/>
  <c r="AE44" i="54"/>
  <c r="AJ43" i="54"/>
  <c r="AI43" i="54"/>
  <c r="AC43" i="54"/>
  <c r="AJ42" i="54"/>
  <c r="AI42" i="54"/>
  <c r="AD42" i="54"/>
  <c r="AC42" i="54"/>
  <c r="AJ41" i="54"/>
  <c r="AI41" i="54"/>
  <c r="AF41" i="54"/>
  <c r="AJ40" i="54"/>
  <c r="AI40" i="54"/>
  <c r="AD40" i="54"/>
  <c r="AC40" i="54"/>
  <c r="AJ39" i="54"/>
  <c r="AI39" i="54"/>
  <c r="AD39" i="54"/>
  <c r="AE39" i="54"/>
  <c r="AJ38" i="54"/>
  <c r="AI38" i="54"/>
  <c r="AJ37" i="54"/>
  <c r="AI37" i="54"/>
  <c r="AD37" i="54"/>
  <c r="AC37" i="54"/>
  <c r="AJ36" i="54"/>
  <c r="AI36" i="54"/>
  <c r="AF36" i="54"/>
  <c r="AE36" i="54"/>
  <c r="AJ35" i="54"/>
  <c r="AI35" i="54"/>
  <c r="AC35" i="54"/>
  <c r="AJ34" i="54"/>
  <c r="AI34" i="54"/>
  <c r="AD34" i="54"/>
  <c r="AC34" i="54"/>
  <c r="AJ33" i="54"/>
  <c r="AI33" i="54"/>
  <c r="AF33" i="54"/>
  <c r="AJ32" i="54"/>
  <c r="AI32" i="54"/>
  <c r="AD32" i="54"/>
  <c r="AC32" i="54"/>
  <c r="AJ31" i="54"/>
  <c r="AI31" i="54"/>
  <c r="AD31" i="54"/>
  <c r="AE31" i="54"/>
  <c r="AJ30" i="54"/>
  <c r="AI30" i="54"/>
  <c r="AJ29" i="54"/>
  <c r="AI29" i="54"/>
  <c r="AD29" i="54"/>
  <c r="AC29" i="54"/>
  <c r="AJ28" i="54"/>
  <c r="AI28" i="54"/>
  <c r="AF28" i="54"/>
  <c r="AE28" i="54"/>
  <c r="AJ27" i="54"/>
  <c r="AI27" i="54"/>
  <c r="AC27" i="54"/>
  <c r="AJ26" i="54"/>
  <c r="AI26" i="54"/>
  <c r="AD26" i="54"/>
  <c r="AC26" i="54"/>
  <c r="AJ25" i="54"/>
  <c r="AI25" i="54"/>
  <c r="AF25" i="54"/>
  <c r="AJ24" i="54"/>
  <c r="AI24" i="54"/>
  <c r="AD24" i="54"/>
  <c r="AC24" i="54"/>
  <c r="AJ23" i="54"/>
  <c r="AI23" i="54"/>
  <c r="AD23" i="54"/>
  <c r="AJ22" i="54"/>
  <c r="AI22" i="54"/>
  <c r="AJ21" i="54"/>
  <c r="AI21" i="54"/>
  <c r="AD21" i="54"/>
  <c r="AC21" i="54"/>
  <c r="AJ20" i="54"/>
  <c r="AI20" i="54"/>
  <c r="AF20" i="54"/>
  <c r="AE20" i="54"/>
  <c r="AJ19" i="54"/>
  <c r="AI19" i="54"/>
  <c r="AD19" i="54"/>
  <c r="AC19" i="54"/>
  <c r="AJ18" i="54"/>
  <c r="AI18" i="54"/>
  <c r="AD18" i="54"/>
  <c r="AC18" i="54"/>
  <c r="AJ17" i="54"/>
  <c r="AI17" i="54"/>
  <c r="AJ16" i="54"/>
  <c r="AI16" i="54"/>
  <c r="AD16" i="54"/>
  <c r="AC16" i="54"/>
  <c r="AJ15" i="54"/>
  <c r="AI15" i="54"/>
  <c r="AD15" i="54"/>
  <c r="AE15" i="54"/>
  <c r="AJ14" i="54"/>
  <c r="AI14" i="54"/>
  <c r="AC14" i="54"/>
  <c r="AJ13" i="54"/>
  <c r="AI13" i="54"/>
  <c r="AD13" i="54"/>
  <c r="AC13" i="54"/>
  <c r="AJ12" i="54"/>
  <c r="AI12" i="54"/>
  <c r="AF12" i="54"/>
  <c r="AJ11" i="54"/>
  <c r="AI11" i="54"/>
  <c r="AC11" i="54"/>
  <c r="AJ10" i="54"/>
  <c r="AI10" i="54"/>
  <c r="AD10" i="54"/>
  <c r="AC10" i="54"/>
  <c r="AJ9" i="54"/>
  <c r="AI9" i="54"/>
  <c r="AJ8" i="54"/>
  <c r="AI8" i="54"/>
  <c r="AD8" i="54"/>
  <c r="AC8" i="54"/>
  <c r="AJ7" i="54"/>
  <c r="AI7" i="54"/>
  <c r="AD7" i="54"/>
  <c r="AJ6" i="54"/>
  <c r="AI6" i="54"/>
  <c r="AE6" i="54"/>
  <c r="AC6" i="54"/>
  <c r="AJ5" i="54"/>
  <c r="AJ56" i="54" s="1"/>
  <c r="R56" i="54"/>
  <c r="AD5" i="54"/>
  <c r="AC5" i="54"/>
  <c r="E56" i="47"/>
  <c r="M56" i="47" s="1"/>
  <c r="D56" i="47"/>
  <c r="AJ55" i="47"/>
  <c r="AI55" i="47"/>
  <c r="AD55" i="47"/>
  <c r="AJ54" i="47"/>
  <c r="AI54" i="47"/>
  <c r="AJ53" i="47"/>
  <c r="AI53" i="47"/>
  <c r="AD53" i="47"/>
  <c r="AC53" i="47"/>
  <c r="AJ52" i="47"/>
  <c r="AI52" i="47"/>
  <c r="AE52" i="47"/>
  <c r="AJ51" i="47"/>
  <c r="AI51" i="47"/>
  <c r="AH51" i="47"/>
  <c r="AC51" i="47"/>
  <c r="AJ50" i="47"/>
  <c r="AI50" i="47"/>
  <c r="AD50" i="47"/>
  <c r="AC50" i="47"/>
  <c r="AJ49" i="47"/>
  <c r="AI49" i="47"/>
  <c r="AF49" i="47"/>
  <c r="AJ48" i="47"/>
  <c r="AI48" i="47"/>
  <c r="AD48" i="47"/>
  <c r="AC48" i="47"/>
  <c r="AJ47" i="47"/>
  <c r="AI47" i="47"/>
  <c r="AD47" i="47"/>
  <c r="AJ46" i="47"/>
  <c r="AI46" i="47"/>
  <c r="AJ45" i="47"/>
  <c r="AI45" i="47"/>
  <c r="AD45" i="47"/>
  <c r="AC45" i="47"/>
  <c r="AJ44" i="47"/>
  <c r="AI44" i="47"/>
  <c r="AF44" i="47"/>
  <c r="AE44" i="47"/>
  <c r="AJ43" i="47"/>
  <c r="AI43" i="47"/>
  <c r="AC43" i="47"/>
  <c r="AJ42" i="47"/>
  <c r="AI42" i="47"/>
  <c r="AD42" i="47"/>
  <c r="AC42" i="47"/>
  <c r="AJ41" i="47"/>
  <c r="AI41" i="47"/>
  <c r="AJ40" i="47"/>
  <c r="AI40" i="47"/>
  <c r="AD40" i="47"/>
  <c r="AC40" i="47"/>
  <c r="AJ39" i="47"/>
  <c r="AI39" i="47"/>
  <c r="AD39" i="47"/>
  <c r="AI38" i="47"/>
  <c r="AJ38" i="47"/>
  <c r="AJ37" i="47"/>
  <c r="AI37" i="47"/>
  <c r="AD37" i="47"/>
  <c r="AC37" i="47"/>
  <c r="AJ36" i="47"/>
  <c r="AI36" i="47"/>
  <c r="AE36" i="47"/>
  <c r="AJ35" i="47"/>
  <c r="AI35" i="47"/>
  <c r="AC35" i="47"/>
  <c r="AJ34" i="47"/>
  <c r="AI34" i="47"/>
  <c r="AD34" i="47"/>
  <c r="AC34" i="47"/>
  <c r="AJ33" i="47"/>
  <c r="AI33" i="47"/>
  <c r="AF33" i="47"/>
  <c r="AJ32" i="47"/>
  <c r="AI32" i="47"/>
  <c r="AD32" i="47"/>
  <c r="AC32" i="47"/>
  <c r="AJ31" i="47"/>
  <c r="AI31" i="47"/>
  <c r="AD31" i="47"/>
  <c r="AJ30" i="47"/>
  <c r="AI30" i="47"/>
  <c r="AH30" i="47"/>
  <c r="AJ29" i="47"/>
  <c r="AI29" i="47"/>
  <c r="AD29" i="47"/>
  <c r="AC29" i="47"/>
  <c r="AJ28" i="47"/>
  <c r="AI28" i="47"/>
  <c r="AJ27" i="47"/>
  <c r="AI27" i="47"/>
  <c r="AC27" i="47"/>
  <c r="AI26" i="47"/>
  <c r="AJ26" i="47"/>
  <c r="AD26" i="47"/>
  <c r="AC26" i="47"/>
  <c r="AJ25" i="47"/>
  <c r="AI25" i="47"/>
  <c r="AF25" i="47"/>
  <c r="AJ24" i="47"/>
  <c r="AI24" i="47"/>
  <c r="AD24" i="47"/>
  <c r="AC24" i="47"/>
  <c r="AJ23" i="47"/>
  <c r="AI23" i="47"/>
  <c r="AD23" i="47"/>
  <c r="AJ22" i="47"/>
  <c r="AI22" i="47"/>
  <c r="AE22" i="47"/>
  <c r="AJ21" i="47"/>
  <c r="AI21" i="47"/>
  <c r="AD21" i="47"/>
  <c r="AC21" i="47"/>
  <c r="AJ20" i="47"/>
  <c r="AI20" i="47"/>
  <c r="AC20" i="47"/>
  <c r="AJ19" i="47"/>
  <c r="AI19" i="47"/>
  <c r="AC19" i="47"/>
  <c r="AJ18" i="47"/>
  <c r="AI18" i="47"/>
  <c r="AD18" i="47"/>
  <c r="AC18" i="47"/>
  <c r="AJ17" i="47"/>
  <c r="AI17" i="47"/>
  <c r="AD17" i="47"/>
  <c r="AJ16" i="47"/>
  <c r="AI16" i="47"/>
  <c r="AG16" i="47"/>
  <c r="AD16" i="47"/>
  <c r="AC16" i="47"/>
  <c r="AJ15" i="47"/>
  <c r="AI15" i="47"/>
  <c r="AD15" i="47"/>
  <c r="AE15" i="47"/>
  <c r="AJ14" i="47"/>
  <c r="AI14" i="47"/>
  <c r="AH14" i="47"/>
  <c r="AJ13" i="47"/>
  <c r="AI13" i="47"/>
  <c r="AD13" i="47"/>
  <c r="AC13" i="47"/>
  <c r="AJ12" i="47"/>
  <c r="AI12" i="47"/>
  <c r="AE12" i="47"/>
  <c r="AJ11" i="47"/>
  <c r="AI11" i="47"/>
  <c r="AC11" i="47"/>
  <c r="AJ10" i="47"/>
  <c r="AI10" i="47"/>
  <c r="AD10" i="47"/>
  <c r="AC10" i="47"/>
  <c r="AJ9" i="47"/>
  <c r="AI9" i="47"/>
  <c r="AD9" i="47"/>
  <c r="AJ8" i="47"/>
  <c r="AI8" i="47"/>
  <c r="AD8" i="47"/>
  <c r="AC8" i="47"/>
  <c r="AJ7" i="47"/>
  <c r="AI7" i="47"/>
  <c r="AD7" i="47"/>
  <c r="AJ6" i="47"/>
  <c r="AI6" i="47"/>
  <c r="AA56" i="47"/>
  <c r="AJ5" i="47"/>
  <c r="P56" i="47"/>
  <c r="AD5" i="47"/>
  <c r="AC5" i="47"/>
  <c r="E56" i="46"/>
  <c r="M56" i="46" s="1"/>
  <c r="D56" i="46"/>
  <c r="AJ55" i="46"/>
  <c r="AI55" i="46"/>
  <c r="AD55" i="46"/>
  <c r="AJ54" i="46"/>
  <c r="AI54" i="46"/>
  <c r="AJ53" i="46"/>
  <c r="AI53" i="46"/>
  <c r="AD53" i="46"/>
  <c r="AC53" i="46"/>
  <c r="AJ52" i="46"/>
  <c r="AI52" i="46"/>
  <c r="AE52" i="46"/>
  <c r="AJ51" i="46"/>
  <c r="AI51" i="46"/>
  <c r="AC51" i="46"/>
  <c r="AJ50" i="46"/>
  <c r="AI50" i="46"/>
  <c r="AD50" i="46"/>
  <c r="AC50" i="46"/>
  <c r="AJ49" i="46"/>
  <c r="AI49" i="46"/>
  <c r="AF49" i="46"/>
  <c r="AJ48" i="46"/>
  <c r="AI48" i="46"/>
  <c r="AD48" i="46"/>
  <c r="AC48" i="46"/>
  <c r="AJ47" i="46"/>
  <c r="AI47" i="46"/>
  <c r="AD47" i="46"/>
  <c r="AE47" i="46"/>
  <c r="AJ46" i="46"/>
  <c r="AI46" i="46"/>
  <c r="AJ45" i="46"/>
  <c r="AI45" i="46"/>
  <c r="AD45" i="46"/>
  <c r="AC45" i="46"/>
  <c r="AJ44" i="46"/>
  <c r="AI44" i="46"/>
  <c r="AJ43" i="46"/>
  <c r="AI43" i="46"/>
  <c r="AC43" i="46"/>
  <c r="AJ42" i="46"/>
  <c r="AI42" i="46"/>
  <c r="AD42" i="46"/>
  <c r="AC42" i="46"/>
  <c r="AJ41" i="46"/>
  <c r="AI41" i="46"/>
  <c r="AF41" i="46"/>
  <c r="AJ40" i="46"/>
  <c r="AI40" i="46"/>
  <c r="AD40" i="46"/>
  <c r="AC40" i="46"/>
  <c r="AJ39" i="46"/>
  <c r="AI39" i="46"/>
  <c r="AD39" i="46"/>
  <c r="AE39" i="46"/>
  <c r="AJ38" i="46"/>
  <c r="AI38" i="46"/>
  <c r="AD38" i="46"/>
  <c r="AC38" i="46"/>
  <c r="AJ37" i="46"/>
  <c r="AI37" i="46"/>
  <c r="AD37" i="46"/>
  <c r="AC37" i="46"/>
  <c r="AJ36" i="46"/>
  <c r="AI36" i="46"/>
  <c r="AJ35" i="46"/>
  <c r="AI35" i="46"/>
  <c r="AH35" i="46"/>
  <c r="AC35" i="46"/>
  <c r="AJ34" i="46"/>
  <c r="AI34" i="46"/>
  <c r="AD34" i="46"/>
  <c r="AC34" i="46"/>
  <c r="AJ33" i="46"/>
  <c r="AI33" i="46"/>
  <c r="AF33" i="46"/>
  <c r="AC33" i="46"/>
  <c r="AJ32" i="46"/>
  <c r="AI32" i="46"/>
  <c r="AE32" i="46"/>
  <c r="AD32" i="46"/>
  <c r="AC32" i="46"/>
  <c r="AJ31" i="46"/>
  <c r="AI31" i="46"/>
  <c r="AD31" i="46"/>
  <c r="AI30" i="46"/>
  <c r="AJ30" i="46"/>
  <c r="AH30" i="46"/>
  <c r="AJ29" i="46"/>
  <c r="AI29" i="46"/>
  <c r="AD29" i="46"/>
  <c r="AC29" i="46"/>
  <c r="AJ28" i="46"/>
  <c r="AI28" i="46"/>
  <c r="AF28" i="46"/>
  <c r="AD27" i="46"/>
  <c r="AJ27" i="46"/>
  <c r="AI27" i="46"/>
  <c r="AC27" i="46"/>
  <c r="AJ26" i="46"/>
  <c r="AI26" i="46"/>
  <c r="AD26" i="46"/>
  <c r="AC26" i="46"/>
  <c r="AJ25" i="46"/>
  <c r="AI25" i="46"/>
  <c r="AJ24" i="46"/>
  <c r="AI24" i="46"/>
  <c r="AD24" i="46"/>
  <c r="AC24" i="46"/>
  <c r="AI23" i="46"/>
  <c r="AJ23" i="46"/>
  <c r="AD23" i="46"/>
  <c r="AJ22" i="46"/>
  <c r="AI22" i="46"/>
  <c r="AD22" i="46"/>
  <c r="AG22" i="46"/>
  <c r="AJ21" i="46"/>
  <c r="AI21" i="46"/>
  <c r="AD21" i="46"/>
  <c r="AC21" i="46"/>
  <c r="AJ20" i="46"/>
  <c r="AI20" i="46"/>
  <c r="AF20" i="46"/>
  <c r="AJ19" i="46"/>
  <c r="AI19" i="46"/>
  <c r="AH19" i="46"/>
  <c r="AC19" i="46"/>
  <c r="AJ18" i="46"/>
  <c r="AI18" i="46"/>
  <c r="AD18" i="46"/>
  <c r="AC18" i="46"/>
  <c r="AJ17" i="46"/>
  <c r="AI17" i="46"/>
  <c r="AF17" i="46"/>
  <c r="AC17" i="46"/>
  <c r="AJ16" i="46"/>
  <c r="AI16" i="46"/>
  <c r="AD16" i="46"/>
  <c r="AC16" i="46"/>
  <c r="AJ15" i="46"/>
  <c r="AI15" i="46"/>
  <c r="AD15" i="46"/>
  <c r="AE15" i="46"/>
  <c r="AJ14" i="46"/>
  <c r="AI14" i="46"/>
  <c r="AE14" i="46"/>
  <c r="AC14" i="46"/>
  <c r="AJ13" i="46"/>
  <c r="AI13" i="46"/>
  <c r="AD13" i="46"/>
  <c r="AC13" i="46"/>
  <c r="AJ12" i="46"/>
  <c r="AI12" i="46"/>
  <c r="AJ11" i="46"/>
  <c r="AI11" i="46"/>
  <c r="AD11" i="46"/>
  <c r="AC11" i="46"/>
  <c r="AJ10" i="46"/>
  <c r="AI10" i="46"/>
  <c r="AD10" i="46"/>
  <c r="AC10" i="46"/>
  <c r="AJ9" i="46"/>
  <c r="AI9" i="46"/>
  <c r="AF9" i="46"/>
  <c r="AJ8" i="46"/>
  <c r="AI8" i="46"/>
  <c r="AD8" i="46"/>
  <c r="AC8" i="46"/>
  <c r="AJ7" i="46"/>
  <c r="AI7" i="46"/>
  <c r="AD7" i="46"/>
  <c r="AJ6" i="46"/>
  <c r="AI6" i="46"/>
  <c r="AD6" i="46"/>
  <c r="AJ5" i="46"/>
  <c r="Y56" i="46"/>
  <c r="X56" i="46"/>
  <c r="W56" i="46"/>
  <c r="Q56" i="46"/>
  <c r="P56" i="46"/>
  <c r="O56" i="46"/>
  <c r="AD5" i="46"/>
  <c r="AC5" i="46"/>
  <c r="E56" i="45"/>
  <c r="M56" i="45" s="1"/>
  <c r="D56" i="45"/>
  <c r="AJ55" i="45"/>
  <c r="AI55" i="45"/>
  <c r="AD55" i="45"/>
  <c r="AJ54" i="45"/>
  <c r="AI54" i="45"/>
  <c r="AH54" i="45"/>
  <c r="AJ53" i="45"/>
  <c r="AI53" i="45"/>
  <c r="AD53" i="45"/>
  <c r="AC53" i="45"/>
  <c r="AJ52" i="45"/>
  <c r="AI52" i="45"/>
  <c r="AF52" i="45"/>
  <c r="AJ51" i="45"/>
  <c r="AI51" i="45"/>
  <c r="AC51" i="45"/>
  <c r="AJ50" i="45"/>
  <c r="AI50" i="45"/>
  <c r="AD50" i="45"/>
  <c r="AC50" i="45"/>
  <c r="AJ49" i="45"/>
  <c r="AI49" i="45"/>
  <c r="AJ48" i="45"/>
  <c r="AI48" i="45"/>
  <c r="AD48" i="45"/>
  <c r="AC48" i="45"/>
  <c r="AJ47" i="45"/>
  <c r="AI47" i="45"/>
  <c r="AD47" i="45"/>
  <c r="AJ46" i="45"/>
  <c r="AI46" i="45"/>
  <c r="AH46" i="45"/>
  <c r="AJ45" i="45"/>
  <c r="AI45" i="45"/>
  <c r="AD45" i="45"/>
  <c r="AC45" i="45"/>
  <c r="AJ44" i="45"/>
  <c r="AI44" i="45"/>
  <c r="AJ43" i="45"/>
  <c r="AI43" i="45"/>
  <c r="AC43" i="45"/>
  <c r="AJ42" i="45"/>
  <c r="AI42" i="45"/>
  <c r="AD42" i="45"/>
  <c r="AC42" i="45"/>
  <c r="AJ41" i="45"/>
  <c r="AI41" i="45"/>
  <c r="AJ40" i="45"/>
  <c r="AI40" i="45"/>
  <c r="AD40" i="45"/>
  <c r="AC40" i="45"/>
  <c r="AJ39" i="45"/>
  <c r="AI39" i="45"/>
  <c r="AJ38" i="45"/>
  <c r="AI38" i="45"/>
  <c r="AH38" i="45"/>
  <c r="AJ37" i="45"/>
  <c r="AI37" i="45"/>
  <c r="AD37" i="45"/>
  <c r="AC37" i="45"/>
  <c r="AJ36" i="45"/>
  <c r="AI36" i="45"/>
  <c r="AJ35" i="45"/>
  <c r="AI35" i="45"/>
  <c r="AF35" i="45"/>
  <c r="AC35" i="45"/>
  <c r="AJ34" i="45"/>
  <c r="AI34" i="45"/>
  <c r="AD34" i="45"/>
  <c r="AC34" i="45"/>
  <c r="AJ33" i="45"/>
  <c r="AI33" i="45"/>
  <c r="AJ32" i="45"/>
  <c r="AI32" i="45"/>
  <c r="AD32" i="45"/>
  <c r="AC32" i="45"/>
  <c r="AJ31" i="45"/>
  <c r="AI31" i="45"/>
  <c r="AF31" i="45"/>
  <c r="AJ30" i="45"/>
  <c r="AI30" i="45"/>
  <c r="AC30" i="45"/>
  <c r="AJ29" i="45"/>
  <c r="AI29" i="45"/>
  <c r="AF29" i="45"/>
  <c r="AD29" i="45"/>
  <c r="AC29" i="45"/>
  <c r="AJ28" i="45"/>
  <c r="AI28" i="45"/>
  <c r="AJ27" i="45"/>
  <c r="AI27" i="45"/>
  <c r="AC27" i="45"/>
  <c r="AJ26" i="45"/>
  <c r="AI26" i="45"/>
  <c r="AD26" i="45"/>
  <c r="AJ25" i="45"/>
  <c r="AI25" i="45"/>
  <c r="AF25" i="45"/>
  <c r="AJ24" i="45"/>
  <c r="AI24" i="45"/>
  <c r="AD24" i="45"/>
  <c r="AC24" i="45"/>
  <c r="AJ23" i="45"/>
  <c r="AI23" i="45"/>
  <c r="AF23" i="45"/>
  <c r="AJ22" i="45"/>
  <c r="AI22" i="45"/>
  <c r="AC22" i="45"/>
  <c r="AJ21" i="45"/>
  <c r="AI21" i="45"/>
  <c r="AD21" i="45"/>
  <c r="AC21" i="45"/>
  <c r="AJ20" i="45"/>
  <c r="AI20" i="45"/>
  <c r="AJ19" i="45"/>
  <c r="AI19" i="45"/>
  <c r="AF19" i="45"/>
  <c r="AC19" i="45"/>
  <c r="AJ18" i="45"/>
  <c r="AI18" i="45"/>
  <c r="AD18" i="45"/>
  <c r="AC18" i="45"/>
  <c r="AJ17" i="45"/>
  <c r="AI17" i="45"/>
  <c r="AF17" i="45"/>
  <c r="AG17" i="45"/>
  <c r="AJ16" i="45"/>
  <c r="AI16" i="45"/>
  <c r="AD16" i="45"/>
  <c r="AC16" i="45"/>
  <c r="AJ15" i="45"/>
  <c r="AI15" i="45"/>
  <c r="AJ14" i="45"/>
  <c r="AI14" i="45"/>
  <c r="AJ13" i="45"/>
  <c r="AI13" i="45"/>
  <c r="AD13" i="45"/>
  <c r="AC13" i="45"/>
  <c r="AI12" i="45"/>
  <c r="AJ12" i="45"/>
  <c r="AF12" i="45"/>
  <c r="AJ11" i="45"/>
  <c r="AI11" i="45"/>
  <c r="AC11" i="45"/>
  <c r="AJ10" i="45"/>
  <c r="AI10" i="45"/>
  <c r="AD10" i="45"/>
  <c r="AE10" i="45"/>
  <c r="AJ9" i="45"/>
  <c r="AI9" i="45"/>
  <c r="AH9" i="45"/>
  <c r="AJ8" i="45"/>
  <c r="AI8" i="45"/>
  <c r="AD8" i="45"/>
  <c r="AC8" i="45"/>
  <c r="AD7" i="45"/>
  <c r="AJ7" i="45"/>
  <c r="AI7" i="45"/>
  <c r="AJ6" i="45"/>
  <c r="AI6" i="45"/>
  <c r="AE6" i="45"/>
  <c r="AA56" i="45"/>
  <c r="AJ5" i="45"/>
  <c r="W56" i="45"/>
  <c r="U56" i="45"/>
  <c r="S56" i="45"/>
  <c r="O56" i="45"/>
  <c r="K56" i="45"/>
  <c r="AD5" i="45"/>
  <c r="AC5" i="45"/>
  <c r="E56" i="44"/>
  <c r="M56" i="44" s="1"/>
  <c r="D56" i="44"/>
  <c r="AJ55" i="44"/>
  <c r="AI55" i="44"/>
  <c r="AD55" i="44"/>
  <c r="AJ54" i="44"/>
  <c r="AI54" i="44"/>
  <c r="AH54" i="44"/>
  <c r="AJ53" i="44"/>
  <c r="AI53" i="44"/>
  <c r="AD53" i="44"/>
  <c r="AC53" i="44"/>
  <c r="AJ52" i="44"/>
  <c r="AI52" i="44"/>
  <c r="AE52" i="44"/>
  <c r="AJ51" i="44"/>
  <c r="AI51" i="44"/>
  <c r="AC51" i="44"/>
  <c r="AJ50" i="44"/>
  <c r="AI50" i="44"/>
  <c r="AD50" i="44"/>
  <c r="AC50" i="44"/>
  <c r="AJ49" i="44"/>
  <c r="AI49" i="44"/>
  <c r="AF49" i="44"/>
  <c r="AJ48" i="44"/>
  <c r="AI48" i="44"/>
  <c r="AD48" i="44"/>
  <c r="AC48" i="44"/>
  <c r="AJ47" i="44"/>
  <c r="AI47" i="44"/>
  <c r="AD47" i="44"/>
  <c r="AE47" i="44"/>
  <c r="AJ46" i="44"/>
  <c r="AI46" i="44"/>
  <c r="AJ45" i="44"/>
  <c r="AI45" i="44"/>
  <c r="AD45" i="44"/>
  <c r="AC45" i="44"/>
  <c r="AJ44" i="44"/>
  <c r="AI44" i="44"/>
  <c r="AF44" i="44"/>
  <c r="AJ43" i="44"/>
  <c r="AI43" i="44"/>
  <c r="AC43" i="44"/>
  <c r="AJ42" i="44"/>
  <c r="AI42" i="44"/>
  <c r="AD42" i="44"/>
  <c r="AC42" i="44"/>
  <c r="AJ41" i="44"/>
  <c r="AI41" i="44"/>
  <c r="AF41" i="44"/>
  <c r="AG41" i="44"/>
  <c r="AJ40" i="44"/>
  <c r="AI40" i="44"/>
  <c r="AD40" i="44"/>
  <c r="AC40" i="44"/>
  <c r="AJ39" i="44"/>
  <c r="AI39" i="44"/>
  <c r="AD39" i="44"/>
  <c r="AJ38" i="44"/>
  <c r="AI38" i="44"/>
  <c r="AH38" i="44"/>
  <c r="AJ37" i="44"/>
  <c r="AI37" i="44"/>
  <c r="AD37" i="44"/>
  <c r="AC37" i="44"/>
  <c r="AJ36" i="44"/>
  <c r="AI36" i="44"/>
  <c r="AE36" i="44"/>
  <c r="AJ35" i="44"/>
  <c r="AI35" i="44"/>
  <c r="AC35" i="44"/>
  <c r="AI34" i="44"/>
  <c r="AJ34" i="44"/>
  <c r="AD34" i="44"/>
  <c r="AC34" i="44"/>
  <c r="AJ33" i="44"/>
  <c r="AI33" i="44"/>
  <c r="AF33" i="44"/>
  <c r="AJ32" i="44"/>
  <c r="AI32" i="44"/>
  <c r="AD32" i="44"/>
  <c r="AC32" i="44"/>
  <c r="AJ31" i="44"/>
  <c r="AI31" i="44"/>
  <c r="AD31" i="44"/>
  <c r="AG31" i="44"/>
  <c r="AJ30" i="44"/>
  <c r="AI30" i="44"/>
  <c r="AJ29" i="44"/>
  <c r="AI29" i="44"/>
  <c r="AD29" i="44"/>
  <c r="AC29" i="44"/>
  <c r="AJ28" i="44"/>
  <c r="AI28" i="44"/>
  <c r="AJ27" i="44"/>
  <c r="AI27" i="44"/>
  <c r="AC27" i="44"/>
  <c r="AJ26" i="44"/>
  <c r="AI26" i="44"/>
  <c r="AD26" i="44"/>
  <c r="AC26" i="44"/>
  <c r="AJ25" i="44"/>
  <c r="AI25" i="44"/>
  <c r="AF25" i="44"/>
  <c r="AJ24" i="44"/>
  <c r="AI24" i="44"/>
  <c r="AD24" i="44"/>
  <c r="AC24" i="44"/>
  <c r="AJ23" i="44"/>
  <c r="AI23" i="44"/>
  <c r="AD23" i="44"/>
  <c r="AC23" i="44"/>
  <c r="AJ22" i="44"/>
  <c r="AI22" i="44"/>
  <c r="AJ21" i="44"/>
  <c r="AI21" i="44"/>
  <c r="AD21" i="44"/>
  <c r="AC21" i="44"/>
  <c r="AJ20" i="44"/>
  <c r="AI20" i="44"/>
  <c r="AF20" i="44"/>
  <c r="AJ19" i="44"/>
  <c r="AI19" i="44"/>
  <c r="AC19" i="44"/>
  <c r="AJ18" i="44"/>
  <c r="AI18" i="44"/>
  <c r="AD18" i="44"/>
  <c r="AC18" i="44"/>
  <c r="AJ17" i="44"/>
  <c r="AI17" i="44"/>
  <c r="AJ16" i="44"/>
  <c r="AI16" i="44"/>
  <c r="AF16" i="44"/>
  <c r="AC16" i="44"/>
  <c r="AJ15" i="44"/>
  <c r="AI15" i="44"/>
  <c r="AD15" i="44"/>
  <c r="AG15" i="44"/>
  <c r="AJ14" i="44"/>
  <c r="AI14" i="44"/>
  <c r="AJ13" i="44"/>
  <c r="AI13" i="44"/>
  <c r="AD13" i="44"/>
  <c r="AC13" i="44"/>
  <c r="AJ12" i="44"/>
  <c r="AI12" i="44"/>
  <c r="AH12" i="44"/>
  <c r="AJ11" i="44"/>
  <c r="AI11" i="44"/>
  <c r="AH11" i="44"/>
  <c r="AC11" i="44"/>
  <c r="AJ10" i="44"/>
  <c r="AI10" i="44"/>
  <c r="AD10" i="44"/>
  <c r="AC10" i="44"/>
  <c r="AJ9" i="44"/>
  <c r="AI9" i="44"/>
  <c r="AF9" i="44"/>
  <c r="AJ8" i="44"/>
  <c r="AI8" i="44"/>
  <c r="AD8" i="44"/>
  <c r="AC8" i="44"/>
  <c r="AJ7" i="44"/>
  <c r="AI7" i="44"/>
  <c r="AD7" i="44"/>
  <c r="AJ6" i="44"/>
  <c r="AI6" i="44"/>
  <c r="AH6" i="44"/>
  <c r="AG6" i="44"/>
  <c r="AJ5" i="44"/>
  <c r="Q56" i="44"/>
  <c r="K56" i="44"/>
  <c r="AD5" i="44"/>
  <c r="AC5" i="44"/>
  <c r="E123" i="43"/>
  <c r="M123" i="43" s="1"/>
  <c r="AJ122" i="43"/>
  <c r="AI122" i="43"/>
  <c r="AD122" i="43"/>
  <c r="AJ54" i="43"/>
  <c r="AI54" i="43"/>
  <c r="AH54" i="43"/>
  <c r="AJ53" i="43"/>
  <c r="AI53" i="43"/>
  <c r="AD53" i="43"/>
  <c r="AC53" i="43"/>
  <c r="AJ52" i="43"/>
  <c r="AI52" i="43"/>
  <c r="AJ51" i="43"/>
  <c r="AI51" i="43"/>
  <c r="AC51" i="43"/>
  <c r="AI50" i="43"/>
  <c r="AJ50" i="43"/>
  <c r="AD50" i="43"/>
  <c r="AC50" i="43"/>
  <c r="AJ49" i="43"/>
  <c r="AI49" i="43"/>
  <c r="AF49" i="43"/>
  <c r="AJ48" i="43"/>
  <c r="AI48" i="43"/>
  <c r="AD48" i="43"/>
  <c r="AC48" i="43"/>
  <c r="AJ47" i="43"/>
  <c r="AI47" i="43"/>
  <c r="AD47" i="43"/>
  <c r="AJ46" i="43"/>
  <c r="AI46" i="43"/>
  <c r="AH46" i="43"/>
  <c r="AJ45" i="43"/>
  <c r="AI45" i="43"/>
  <c r="AD45" i="43"/>
  <c r="AC45" i="43"/>
  <c r="AJ44" i="43"/>
  <c r="AI44" i="43"/>
  <c r="AJ43" i="43"/>
  <c r="AI43" i="43"/>
  <c r="AC43" i="43"/>
  <c r="AJ42" i="43"/>
  <c r="AI42" i="43"/>
  <c r="AD42" i="43"/>
  <c r="AC42" i="43"/>
  <c r="AJ41" i="43"/>
  <c r="AI41" i="43"/>
  <c r="AF41" i="43"/>
  <c r="AJ40" i="43"/>
  <c r="AI40" i="43"/>
  <c r="AD40" i="43"/>
  <c r="AC40" i="43"/>
  <c r="AJ39" i="43"/>
  <c r="AI39" i="43"/>
  <c r="AD39" i="43"/>
  <c r="AE39" i="43"/>
  <c r="AJ38" i="43"/>
  <c r="AI38" i="43"/>
  <c r="AJ37" i="43"/>
  <c r="AI37" i="43"/>
  <c r="AD37" i="43"/>
  <c r="AC37" i="43"/>
  <c r="AJ36" i="43"/>
  <c r="AI36" i="43"/>
  <c r="AF36" i="43"/>
  <c r="AE36" i="43"/>
  <c r="AJ35" i="43"/>
  <c r="AI35" i="43"/>
  <c r="AC35" i="43"/>
  <c r="AJ34" i="43"/>
  <c r="AI34" i="43"/>
  <c r="AD34" i="43"/>
  <c r="AC34" i="43"/>
  <c r="AJ33" i="43"/>
  <c r="AI33" i="43"/>
  <c r="AF33" i="43"/>
  <c r="AJ32" i="43"/>
  <c r="AI32" i="43"/>
  <c r="AD32" i="43"/>
  <c r="AC32" i="43"/>
  <c r="AJ31" i="43"/>
  <c r="AI31" i="43"/>
  <c r="AD31" i="43"/>
  <c r="AG31" i="43"/>
  <c r="AJ30" i="43"/>
  <c r="AI30" i="43"/>
  <c r="AJ29" i="43"/>
  <c r="AI29" i="43"/>
  <c r="AD29" i="43"/>
  <c r="AC29" i="43"/>
  <c r="AJ28" i="43"/>
  <c r="AI28" i="43"/>
  <c r="AJ27" i="43"/>
  <c r="AI27" i="43"/>
  <c r="AC27" i="43"/>
  <c r="AJ26" i="43"/>
  <c r="AI26" i="43"/>
  <c r="AD26" i="43"/>
  <c r="AC26" i="43"/>
  <c r="AJ25" i="43"/>
  <c r="AI25" i="43"/>
  <c r="AF25" i="43"/>
  <c r="AJ24" i="43"/>
  <c r="AI24" i="43"/>
  <c r="AD24" i="43"/>
  <c r="AC24" i="43"/>
  <c r="AJ23" i="43"/>
  <c r="AI23" i="43"/>
  <c r="AD23" i="43"/>
  <c r="AG23" i="43"/>
  <c r="AJ22" i="43"/>
  <c r="AI22" i="43"/>
  <c r="AJ21" i="43"/>
  <c r="AI21" i="43"/>
  <c r="AD21" i="43"/>
  <c r="AC21" i="43"/>
  <c r="AJ20" i="43"/>
  <c r="AI20" i="43"/>
  <c r="AF20" i="43"/>
  <c r="AE20" i="43"/>
  <c r="AJ19" i="43"/>
  <c r="AI19" i="43"/>
  <c r="AC19" i="43"/>
  <c r="AJ18" i="43"/>
  <c r="AI18" i="43"/>
  <c r="AD18" i="43"/>
  <c r="AC18" i="43"/>
  <c r="AJ17" i="43"/>
  <c r="AI17" i="43"/>
  <c r="AF17" i="43"/>
  <c r="AJ16" i="43"/>
  <c r="AI16" i="43"/>
  <c r="AD16" i="43"/>
  <c r="AC16" i="43"/>
  <c r="AJ15" i="43"/>
  <c r="AI15" i="43"/>
  <c r="AD15" i="43"/>
  <c r="AJ14" i="43"/>
  <c r="AI14" i="43"/>
  <c r="AJ13" i="43"/>
  <c r="AI13" i="43"/>
  <c r="AD13" i="43"/>
  <c r="AC13" i="43"/>
  <c r="AJ12" i="43"/>
  <c r="AI12" i="43"/>
  <c r="AF12" i="43"/>
  <c r="AE12" i="43"/>
  <c r="AJ11" i="43"/>
  <c r="AI11" i="43"/>
  <c r="AC11" i="43"/>
  <c r="AI10" i="43"/>
  <c r="AJ10" i="43"/>
  <c r="AD10" i="43"/>
  <c r="AC10" i="43"/>
  <c r="AJ9" i="43"/>
  <c r="AI9" i="43"/>
  <c r="AJ8" i="43"/>
  <c r="AI8" i="43"/>
  <c r="AD8" i="43"/>
  <c r="AC8" i="43"/>
  <c r="AJ7" i="43"/>
  <c r="AI7" i="43"/>
  <c r="AE7" i="43"/>
  <c r="AD7" i="43"/>
  <c r="AJ6" i="43"/>
  <c r="AI6" i="43"/>
  <c r="AH6" i="43"/>
  <c r="AJ5" i="43"/>
  <c r="AD5" i="43"/>
  <c r="AC5" i="43"/>
  <c r="Q56" i="47" l="1"/>
  <c r="S56" i="54"/>
  <c r="O56" i="55"/>
  <c r="Y56" i="47"/>
  <c r="W56" i="54"/>
  <c r="AB56" i="55"/>
  <c r="F56" i="45"/>
  <c r="Q56" i="54"/>
  <c r="Y56" i="54"/>
  <c r="V56" i="55"/>
  <c r="J123" i="43"/>
  <c r="N123" i="43"/>
  <c r="V123" i="43"/>
  <c r="AB123" i="43"/>
  <c r="F123" i="43"/>
  <c r="W56" i="44"/>
  <c r="X56" i="44"/>
  <c r="N56" i="44"/>
  <c r="O56" i="44"/>
  <c r="P56" i="44"/>
  <c r="U56" i="44"/>
  <c r="V56" i="44"/>
  <c r="F56" i="47"/>
  <c r="S56" i="47"/>
  <c r="X56" i="47"/>
  <c r="AA56" i="54"/>
  <c r="O56" i="54"/>
  <c r="F56" i="54"/>
  <c r="F56" i="55"/>
  <c r="Y56" i="56"/>
  <c r="AJ56" i="56"/>
  <c r="O123" i="43"/>
  <c r="W123" i="43"/>
  <c r="AG9" i="43"/>
  <c r="AH11" i="43"/>
  <c r="AH19" i="43"/>
  <c r="AH27" i="43"/>
  <c r="AE15" i="44"/>
  <c r="AF21" i="45"/>
  <c r="AH43" i="45"/>
  <c r="AG46" i="45"/>
  <c r="AH51" i="45"/>
  <c r="AH14" i="46"/>
  <c r="AE38" i="46"/>
  <c r="AE43" i="46"/>
  <c r="AH46" i="46"/>
  <c r="AG49" i="46"/>
  <c r="AE51" i="46"/>
  <c r="AH54" i="46"/>
  <c r="AG17" i="47"/>
  <c r="AE31" i="56"/>
  <c r="AE52" i="56"/>
  <c r="AG17" i="43"/>
  <c r="AG25" i="43"/>
  <c r="AH30" i="43"/>
  <c r="AH38" i="43"/>
  <c r="AG41" i="43"/>
  <c r="AH43" i="43"/>
  <c r="AG46" i="43"/>
  <c r="AG7" i="44"/>
  <c r="AH6" i="45"/>
  <c r="AF15" i="45"/>
  <c r="AG20" i="45"/>
  <c r="AG41" i="45"/>
  <c r="AG49" i="45"/>
  <c r="G56" i="45"/>
  <c r="AF16" i="46"/>
  <c r="AE16" i="46"/>
  <c r="AH21" i="47"/>
  <c r="AF36" i="55"/>
  <c r="AE39" i="55"/>
  <c r="AF44" i="55"/>
  <c r="AF44" i="56"/>
  <c r="AE47" i="56"/>
  <c r="AH11" i="45"/>
  <c r="AH22" i="45"/>
  <c r="AF27" i="45"/>
  <c r="AF36" i="45"/>
  <c r="AF12" i="46"/>
  <c r="AG21" i="46"/>
  <c r="AF19" i="47"/>
  <c r="K56" i="54"/>
  <c r="U56" i="54"/>
  <c r="AH11" i="54"/>
  <c r="P56" i="55"/>
  <c r="X56" i="55"/>
  <c r="AH11" i="55"/>
  <c r="AG13" i="55"/>
  <c r="AG14" i="56"/>
  <c r="AJ123" i="43"/>
  <c r="P56" i="45"/>
  <c r="AD56" i="46"/>
  <c r="S56" i="46"/>
  <c r="AA56" i="46"/>
  <c r="AH26" i="46"/>
  <c r="AG6" i="47"/>
  <c r="N56" i="54"/>
  <c r="V56" i="54"/>
  <c r="AH6" i="54"/>
  <c r="AG9" i="54"/>
  <c r="AH27" i="54"/>
  <c r="AG30" i="54"/>
  <c r="AH35" i="54"/>
  <c r="AG38" i="54"/>
  <c r="AE11" i="55"/>
  <c r="N56" i="56"/>
  <c r="V56" i="56"/>
  <c r="AA123" i="43"/>
  <c r="AF44" i="43"/>
  <c r="AE47" i="43"/>
  <c r="AE52" i="43"/>
  <c r="AC7" i="44"/>
  <c r="AE12" i="44"/>
  <c r="AG17" i="44"/>
  <c r="AG22" i="44"/>
  <c r="AH27" i="44"/>
  <c r="AG30" i="44"/>
  <c r="Q56" i="45"/>
  <c r="Y56" i="45"/>
  <c r="AD11" i="45"/>
  <c r="AG14" i="45"/>
  <c r="AG18" i="45"/>
  <c r="AG28" i="45"/>
  <c r="AF39" i="45"/>
  <c r="J56" i="46"/>
  <c r="T56" i="46"/>
  <c r="AB56" i="46"/>
  <c r="AE20" i="46"/>
  <c r="N56" i="47"/>
  <c r="V56" i="47"/>
  <c r="AH11" i="47"/>
  <c r="AG14" i="47"/>
  <c r="AE28" i="47"/>
  <c r="AF17" i="54"/>
  <c r="AH22" i="54"/>
  <c r="AG25" i="54"/>
  <c r="AH30" i="54"/>
  <c r="AH38" i="54"/>
  <c r="AH46" i="54"/>
  <c r="AG49" i="54"/>
  <c r="AH54" i="54"/>
  <c r="AH14" i="55"/>
  <c r="AG17" i="55"/>
  <c r="O56" i="56"/>
  <c r="W56" i="56"/>
  <c r="AF9" i="56"/>
  <c r="AE12" i="56"/>
  <c r="AG17" i="56"/>
  <c r="AH19" i="56"/>
  <c r="AE15" i="43"/>
  <c r="J56" i="44"/>
  <c r="T56" i="44"/>
  <c r="AB56" i="44"/>
  <c r="AH22" i="44"/>
  <c r="AH30" i="44"/>
  <c r="AG33" i="44"/>
  <c r="AH43" i="44"/>
  <c r="AG46" i="44"/>
  <c r="AJ56" i="45"/>
  <c r="AH30" i="45"/>
  <c r="K56" i="46"/>
  <c r="U56" i="46"/>
  <c r="AG6" i="46"/>
  <c r="AH10" i="46"/>
  <c r="AG25" i="46"/>
  <c r="AG30" i="46"/>
  <c r="O56" i="47"/>
  <c r="W56" i="47"/>
  <c r="AE11" i="47"/>
  <c r="AH38" i="47"/>
  <c r="S56" i="55"/>
  <c r="AA56" i="55"/>
  <c r="AF17" i="55"/>
  <c r="AG25" i="56"/>
  <c r="AH27" i="56"/>
  <c r="AH35" i="56"/>
  <c r="AG38" i="56"/>
  <c r="AE15" i="55"/>
  <c r="AF20" i="55"/>
  <c r="AG38" i="55"/>
  <c r="F56" i="56"/>
  <c r="AC14" i="45"/>
  <c r="AG9" i="46"/>
  <c r="AE28" i="46"/>
  <c r="AH43" i="46"/>
  <c r="AG46" i="46"/>
  <c r="G56" i="46"/>
  <c r="AF12" i="47"/>
  <c r="AF41" i="47"/>
  <c r="AH46" i="47"/>
  <c r="AG49" i="47"/>
  <c r="AH54" i="47"/>
  <c r="G56" i="56"/>
  <c r="K123" i="43"/>
  <c r="U123" i="43"/>
  <c r="AG6" i="43"/>
  <c r="AG15" i="43"/>
  <c r="AH22" i="43"/>
  <c r="AE31" i="43"/>
  <c r="AG22" i="43"/>
  <c r="AE122" i="43"/>
  <c r="AH14" i="43"/>
  <c r="AE23" i="43"/>
  <c r="AF28" i="43"/>
  <c r="AG33" i="43"/>
  <c r="AH35" i="43"/>
  <c r="AG38" i="43"/>
  <c r="AF52" i="43"/>
  <c r="Y123" i="43"/>
  <c r="AG7" i="43"/>
  <c r="AF9" i="43"/>
  <c r="AG14" i="43"/>
  <c r="AE28" i="43"/>
  <c r="X123" i="43"/>
  <c r="AG30" i="43"/>
  <c r="AE44" i="43"/>
  <c r="AG49" i="43"/>
  <c r="AH51" i="43"/>
  <c r="AG54" i="43"/>
  <c r="S56" i="44"/>
  <c r="R56" i="44"/>
  <c r="AJ56" i="44"/>
  <c r="AF12" i="44"/>
  <c r="AC15" i="44"/>
  <c r="AF17" i="44"/>
  <c r="AH19" i="44"/>
  <c r="AE28" i="44"/>
  <c r="AF52" i="44"/>
  <c r="Y56" i="44"/>
  <c r="AE13" i="44"/>
  <c r="AD16" i="44"/>
  <c r="AD20" i="44"/>
  <c r="AE23" i="44"/>
  <c r="AG25" i="44"/>
  <c r="AF36" i="44"/>
  <c r="AE39" i="44"/>
  <c r="AE44" i="44"/>
  <c r="AG49" i="44"/>
  <c r="AH51" i="44"/>
  <c r="AG54" i="44"/>
  <c r="AE31" i="44"/>
  <c r="AH46" i="44"/>
  <c r="AI5" i="44"/>
  <c r="AI56" i="44" s="1"/>
  <c r="AE5" i="44"/>
  <c r="AE7" i="44"/>
  <c r="AG9" i="44"/>
  <c r="AE11" i="44"/>
  <c r="AF7" i="44"/>
  <c r="AD12" i="44"/>
  <c r="AH14" i="44"/>
  <c r="AE20" i="44"/>
  <c r="AG38" i="44"/>
  <c r="AA56" i="44"/>
  <c r="AG14" i="44"/>
  <c r="AF28" i="44"/>
  <c r="AH35" i="44"/>
  <c r="AE55" i="44"/>
  <c r="N56" i="45"/>
  <c r="V56" i="45"/>
  <c r="AG9" i="45"/>
  <c r="AC10" i="45"/>
  <c r="AG12" i="45"/>
  <c r="AF13" i="45"/>
  <c r="AE23" i="45"/>
  <c r="AE24" i="45"/>
  <c r="AH27" i="45"/>
  <c r="AE31" i="45"/>
  <c r="AE32" i="45"/>
  <c r="AG36" i="45"/>
  <c r="AG38" i="45"/>
  <c r="AF5" i="45"/>
  <c r="AF7" i="45"/>
  <c r="AE15" i="45"/>
  <c r="AE16" i="45"/>
  <c r="AH19" i="45"/>
  <c r="AG22" i="45"/>
  <c r="AE26" i="45"/>
  <c r="AD27" i="45"/>
  <c r="AG30" i="45"/>
  <c r="AH35" i="45"/>
  <c r="J56" i="45"/>
  <c r="T56" i="45"/>
  <c r="AB56" i="45"/>
  <c r="AE7" i="45"/>
  <c r="AE8" i="45"/>
  <c r="AE18" i="45"/>
  <c r="AD19" i="45"/>
  <c r="AE34" i="45"/>
  <c r="AD35" i="45"/>
  <c r="AD39" i="45"/>
  <c r="R56" i="45"/>
  <c r="Z56" i="45"/>
  <c r="AC6" i="45"/>
  <c r="AE20" i="45"/>
  <c r="AH23" i="45"/>
  <c r="AE28" i="45"/>
  <c r="AH31" i="45"/>
  <c r="AF44" i="45"/>
  <c r="AE47" i="45"/>
  <c r="AE55" i="45"/>
  <c r="AC56" i="45"/>
  <c r="AF9" i="45"/>
  <c r="AF11" i="45"/>
  <c r="AE12" i="45"/>
  <c r="AH14" i="45"/>
  <c r="AH15" i="45"/>
  <c r="AE22" i="45"/>
  <c r="AD23" i="45"/>
  <c r="AH25" i="45"/>
  <c r="AG26" i="45"/>
  <c r="AE30" i="45"/>
  <c r="AD31" i="45"/>
  <c r="AF33" i="45"/>
  <c r="AE36" i="45"/>
  <c r="AE39" i="45"/>
  <c r="AF41" i="45"/>
  <c r="AE44" i="45"/>
  <c r="AF49" i="45"/>
  <c r="AE52" i="45"/>
  <c r="AG6" i="45"/>
  <c r="X56" i="45"/>
  <c r="AH7" i="45"/>
  <c r="AE14" i="45"/>
  <c r="AD15" i="45"/>
  <c r="AH17" i="45"/>
  <c r="AF20" i="45"/>
  <c r="AG25" i="45"/>
  <c r="AC26" i="45"/>
  <c r="AF28" i="45"/>
  <c r="AG33" i="45"/>
  <c r="AG34" i="45"/>
  <c r="AG10" i="45"/>
  <c r="AG54" i="45"/>
  <c r="N56" i="46"/>
  <c r="V56" i="46"/>
  <c r="AH6" i="46"/>
  <c r="AH11" i="46"/>
  <c r="AD19" i="46"/>
  <c r="AE27" i="46"/>
  <c r="AE31" i="46"/>
  <c r="AF32" i="46"/>
  <c r="AE36" i="46"/>
  <c r="AG38" i="46"/>
  <c r="AF44" i="46"/>
  <c r="AE44" i="46"/>
  <c r="AE46" i="46"/>
  <c r="AH51" i="46"/>
  <c r="AG54" i="46"/>
  <c r="AC22" i="46"/>
  <c r="AC25" i="46"/>
  <c r="AD30" i="46"/>
  <c r="AE35" i="46"/>
  <c r="AE7" i="46"/>
  <c r="AF8" i="46"/>
  <c r="AE12" i="46"/>
  <c r="AG14" i="46"/>
  <c r="AE22" i="46"/>
  <c r="AG24" i="46"/>
  <c r="AH27" i="46"/>
  <c r="AC30" i="46"/>
  <c r="AD35" i="46"/>
  <c r="AG41" i="46"/>
  <c r="AC56" i="46"/>
  <c r="R56" i="46"/>
  <c r="AE8" i="46"/>
  <c r="AG13" i="46"/>
  <c r="AG17" i="46"/>
  <c r="AH18" i="46"/>
  <c r="AH22" i="46"/>
  <c r="AF25" i="46"/>
  <c r="AE30" i="46"/>
  <c r="AE11" i="46"/>
  <c r="AE55" i="46"/>
  <c r="AF24" i="46"/>
  <c r="AF52" i="46"/>
  <c r="AC6" i="46"/>
  <c r="AE6" i="46"/>
  <c r="AC9" i="46"/>
  <c r="AD14" i="46"/>
  <c r="AE19" i="46"/>
  <c r="AE23" i="46"/>
  <c r="AE24" i="46"/>
  <c r="AG29" i="46"/>
  <c r="AG33" i="46"/>
  <c r="AH34" i="46"/>
  <c r="AF36" i="46"/>
  <c r="AH38" i="46"/>
  <c r="AE7" i="47"/>
  <c r="AG8" i="47"/>
  <c r="AE20" i="47"/>
  <c r="AG22" i="47"/>
  <c r="AF28" i="47"/>
  <c r="R56" i="47"/>
  <c r="AJ56" i="47"/>
  <c r="AE6" i="47"/>
  <c r="AG54" i="47"/>
  <c r="AF11" i="47"/>
  <c r="AH13" i="47"/>
  <c r="AE23" i="47"/>
  <c r="AG25" i="47"/>
  <c r="AH27" i="47"/>
  <c r="AG30" i="47"/>
  <c r="AE39" i="47"/>
  <c r="AG41" i="47"/>
  <c r="AH43" i="47"/>
  <c r="AG46" i="47"/>
  <c r="AH6" i="47"/>
  <c r="AE8" i="47"/>
  <c r="AF17" i="47"/>
  <c r="AH19" i="47"/>
  <c r="AF36" i="47"/>
  <c r="K56" i="47"/>
  <c r="AF9" i="47"/>
  <c r="AE55" i="47"/>
  <c r="U56" i="47"/>
  <c r="AH5" i="47"/>
  <c r="J56" i="47"/>
  <c r="T56" i="47"/>
  <c r="AB56" i="47"/>
  <c r="AG9" i="47"/>
  <c r="AC12" i="47"/>
  <c r="AE14" i="47"/>
  <c r="AF20" i="47"/>
  <c r="AH22" i="47"/>
  <c r="AE31" i="47"/>
  <c r="AG33" i="47"/>
  <c r="AH35" i="47"/>
  <c r="AG38" i="47"/>
  <c r="AE47" i="47"/>
  <c r="AF52" i="47"/>
  <c r="AC56" i="54"/>
  <c r="AE7" i="54"/>
  <c r="AE12" i="54"/>
  <c r="AG17" i="54"/>
  <c r="AG22" i="54"/>
  <c r="AE55" i="54"/>
  <c r="P56" i="54"/>
  <c r="X56" i="54"/>
  <c r="AF9" i="54"/>
  <c r="AD11" i="54"/>
  <c r="AH14" i="54"/>
  <c r="AH19" i="54"/>
  <c r="AE47" i="54"/>
  <c r="AF52" i="54"/>
  <c r="AG14" i="54"/>
  <c r="AG6" i="54"/>
  <c r="AE23" i="54"/>
  <c r="AG41" i="54"/>
  <c r="AH51" i="54"/>
  <c r="AG54" i="54"/>
  <c r="J56" i="54"/>
  <c r="T56" i="54"/>
  <c r="AB56" i="54"/>
  <c r="AC22" i="54"/>
  <c r="AD27" i="54"/>
  <c r="AG33" i="54"/>
  <c r="AH43" i="54"/>
  <c r="AG46" i="54"/>
  <c r="AD56" i="55"/>
  <c r="Q56" i="55"/>
  <c r="Y56" i="55"/>
  <c r="AF8" i="55"/>
  <c r="AH10" i="55"/>
  <c r="AD14" i="55"/>
  <c r="AF24" i="55"/>
  <c r="AH27" i="55"/>
  <c r="AH46" i="55"/>
  <c r="AH51" i="55"/>
  <c r="AG54" i="55"/>
  <c r="AH6" i="55"/>
  <c r="AE12" i="55"/>
  <c r="AG14" i="55"/>
  <c r="AC17" i="55"/>
  <c r="AE20" i="55"/>
  <c r="AH22" i="55"/>
  <c r="AE31" i="55"/>
  <c r="AF33" i="55"/>
  <c r="AE36" i="55"/>
  <c r="AG41" i="55"/>
  <c r="AH43" i="55"/>
  <c r="AG46" i="55"/>
  <c r="K56" i="55"/>
  <c r="U56" i="55"/>
  <c r="AG6" i="55"/>
  <c r="AE19" i="55"/>
  <c r="AG22" i="55"/>
  <c r="AE28" i="55"/>
  <c r="AE55" i="55"/>
  <c r="R56" i="55"/>
  <c r="AJ56" i="55"/>
  <c r="AE7" i="55"/>
  <c r="AG9" i="55"/>
  <c r="AF16" i="55"/>
  <c r="AE23" i="55"/>
  <c r="AG25" i="55"/>
  <c r="AE27" i="55"/>
  <c r="AG30" i="55"/>
  <c r="AE47" i="55"/>
  <c r="AF52" i="55"/>
  <c r="AG30" i="56"/>
  <c r="S56" i="56"/>
  <c r="AG7" i="56"/>
  <c r="AH11" i="56"/>
  <c r="P56" i="56"/>
  <c r="X56" i="56"/>
  <c r="AG9" i="56"/>
  <c r="AE15" i="56"/>
  <c r="AD17" i="56"/>
  <c r="AH22" i="56"/>
  <c r="AE44" i="56"/>
  <c r="AG49" i="56"/>
  <c r="AH51" i="56"/>
  <c r="AG54" i="56"/>
  <c r="AG22" i="56"/>
  <c r="AE39" i="56"/>
  <c r="AC12" i="56"/>
  <c r="AG46" i="56"/>
  <c r="AG6" i="56"/>
  <c r="J56" i="56"/>
  <c r="T56" i="56"/>
  <c r="AB56" i="56"/>
  <c r="AF12" i="56"/>
  <c r="AE23" i="56"/>
  <c r="AE55" i="56"/>
  <c r="AA56" i="56"/>
  <c r="AD9" i="56"/>
  <c r="AH30" i="56"/>
  <c r="AF52" i="56"/>
  <c r="AI5" i="56"/>
  <c r="AI56" i="56" s="1"/>
  <c r="AF6" i="56"/>
  <c r="AC7" i="56"/>
  <c r="AH8" i="56"/>
  <c r="AE9" i="56"/>
  <c r="AG11" i="56"/>
  <c r="AD12" i="56"/>
  <c r="AF14" i="56"/>
  <c r="AC15" i="56"/>
  <c r="AH16" i="56"/>
  <c r="AE17" i="56"/>
  <c r="AG19" i="56"/>
  <c r="AD20" i="56"/>
  <c r="AF22" i="56"/>
  <c r="AC23" i="56"/>
  <c r="AH24" i="56"/>
  <c r="AE25" i="56"/>
  <c r="AG27" i="56"/>
  <c r="AD28" i="56"/>
  <c r="AF30" i="56"/>
  <c r="AC31" i="56"/>
  <c r="AH32" i="56"/>
  <c r="AE33" i="56"/>
  <c r="AG35" i="56"/>
  <c r="AD36" i="56"/>
  <c r="AF38" i="56"/>
  <c r="AC39" i="56"/>
  <c r="AH40" i="56"/>
  <c r="AE41" i="56"/>
  <c r="AG43" i="56"/>
  <c r="AD44" i="56"/>
  <c r="AF46" i="56"/>
  <c r="AC47" i="56"/>
  <c r="AH48" i="56"/>
  <c r="AE49" i="56"/>
  <c r="AG51" i="56"/>
  <c r="AD52" i="56"/>
  <c r="AF54" i="56"/>
  <c r="AC55" i="56"/>
  <c r="L56" i="56"/>
  <c r="AE6" i="56"/>
  <c r="AG8" i="56"/>
  <c r="AF11" i="56"/>
  <c r="AH13" i="56"/>
  <c r="AE14" i="56"/>
  <c r="AG16" i="56"/>
  <c r="AF19" i="56"/>
  <c r="AC20" i="56"/>
  <c r="AH21" i="56"/>
  <c r="AE22" i="56"/>
  <c r="AG24" i="56"/>
  <c r="AD25" i="56"/>
  <c r="AF27" i="56"/>
  <c r="AC28" i="56"/>
  <c r="AH29" i="56"/>
  <c r="AE30" i="56"/>
  <c r="AG32" i="56"/>
  <c r="AD33" i="56"/>
  <c r="AF35" i="56"/>
  <c r="AC36" i="56"/>
  <c r="AH37" i="56"/>
  <c r="AE38" i="56"/>
  <c r="AG40" i="56"/>
  <c r="AD41" i="56"/>
  <c r="AF43" i="56"/>
  <c r="AC44" i="56"/>
  <c r="AH45" i="56"/>
  <c r="AE46" i="56"/>
  <c r="AG48" i="56"/>
  <c r="AD49" i="56"/>
  <c r="AF51" i="56"/>
  <c r="AC52" i="56"/>
  <c r="AH53" i="56"/>
  <c r="AE54" i="56"/>
  <c r="AG5" i="56"/>
  <c r="AD6" i="56"/>
  <c r="AD56" i="56" s="1"/>
  <c r="AF8" i="56"/>
  <c r="AC9" i="56"/>
  <c r="AH10" i="56"/>
  <c r="AE11" i="56"/>
  <c r="AG13" i="56"/>
  <c r="AD14" i="56"/>
  <c r="AF16" i="56"/>
  <c r="AC17" i="56"/>
  <c r="AH18" i="56"/>
  <c r="AE19" i="56"/>
  <c r="AG21" i="56"/>
  <c r="AD22" i="56"/>
  <c r="AF24" i="56"/>
  <c r="AC25" i="56"/>
  <c r="AH26" i="56"/>
  <c r="AE27" i="56"/>
  <c r="AG29" i="56"/>
  <c r="AD30" i="56"/>
  <c r="AF32" i="56"/>
  <c r="AC33" i="56"/>
  <c r="AH34" i="56"/>
  <c r="AE35" i="56"/>
  <c r="AG37" i="56"/>
  <c r="AD38" i="56"/>
  <c r="AF40" i="56"/>
  <c r="AC41" i="56"/>
  <c r="AH42" i="56"/>
  <c r="AE43" i="56"/>
  <c r="AG45" i="56"/>
  <c r="AD46" i="56"/>
  <c r="AF48" i="56"/>
  <c r="AC49" i="56"/>
  <c r="AH50" i="56"/>
  <c r="AE51" i="56"/>
  <c r="AG53" i="56"/>
  <c r="AD54" i="56"/>
  <c r="Z56" i="56"/>
  <c r="AH5" i="56"/>
  <c r="AF5" i="56"/>
  <c r="AC6" i="56"/>
  <c r="AC56" i="56" s="1"/>
  <c r="AH7" i="56"/>
  <c r="AE8" i="56"/>
  <c r="AG10" i="56"/>
  <c r="AD11" i="56"/>
  <c r="AF13" i="56"/>
  <c r="AC14" i="56"/>
  <c r="AH15" i="56"/>
  <c r="AE16" i="56"/>
  <c r="AG18" i="56"/>
  <c r="AD19" i="56"/>
  <c r="AF21" i="56"/>
  <c r="AC22" i="56"/>
  <c r="AH23" i="56"/>
  <c r="AE24" i="56"/>
  <c r="AG26" i="56"/>
  <c r="AD27" i="56"/>
  <c r="AF29" i="56"/>
  <c r="AC30" i="56"/>
  <c r="AH31" i="56"/>
  <c r="AE32" i="56"/>
  <c r="AG34" i="56"/>
  <c r="AD35" i="56"/>
  <c r="AF37" i="56"/>
  <c r="AC38" i="56"/>
  <c r="AH39" i="56"/>
  <c r="AE40" i="56"/>
  <c r="AG42" i="56"/>
  <c r="AD43" i="56"/>
  <c r="AF45" i="56"/>
  <c r="AC46" i="56"/>
  <c r="AH47" i="56"/>
  <c r="AE48" i="56"/>
  <c r="AG50" i="56"/>
  <c r="AD51" i="56"/>
  <c r="AF53" i="56"/>
  <c r="AC54" i="56"/>
  <c r="AH55" i="56"/>
  <c r="I56" i="56"/>
  <c r="AE5" i="56"/>
  <c r="AF10" i="56"/>
  <c r="AH12" i="56"/>
  <c r="AE13" i="56"/>
  <c r="AF18" i="56"/>
  <c r="AH20" i="56"/>
  <c r="AE21" i="56"/>
  <c r="AF26" i="56"/>
  <c r="AH28" i="56"/>
  <c r="AE29" i="56"/>
  <c r="AG31" i="56"/>
  <c r="AF34" i="56"/>
  <c r="AH36" i="56"/>
  <c r="AE37" i="56"/>
  <c r="AG39" i="56"/>
  <c r="AF42" i="56"/>
  <c r="AH44" i="56"/>
  <c r="AE45" i="56"/>
  <c r="AG47" i="56"/>
  <c r="AF50" i="56"/>
  <c r="AH52" i="56"/>
  <c r="AE53" i="56"/>
  <c r="AG55" i="56"/>
  <c r="H56" i="56"/>
  <c r="AF7" i="56"/>
  <c r="AH9" i="56"/>
  <c r="AE10" i="56"/>
  <c r="AG12" i="56"/>
  <c r="AF15" i="56"/>
  <c r="AH17" i="56"/>
  <c r="AE18" i="56"/>
  <c r="AG20" i="56"/>
  <c r="AF23" i="56"/>
  <c r="AH25" i="56"/>
  <c r="AE26" i="56"/>
  <c r="AG28" i="56"/>
  <c r="AF31" i="56"/>
  <c r="AH33" i="56"/>
  <c r="AE34" i="56"/>
  <c r="AG36" i="56"/>
  <c r="AF39" i="56"/>
  <c r="AH41" i="56"/>
  <c r="AE42" i="56"/>
  <c r="AG44" i="56"/>
  <c r="AF47" i="56"/>
  <c r="AH49" i="56"/>
  <c r="AE50" i="56"/>
  <c r="AG52" i="56"/>
  <c r="AF55" i="56"/>
  <c r="AI5" i="55"/>
  <c r="AI56" i="55" s="1"/>
  <c r="AF6" i="55"/>
  <c r="AC7" i="55"/>
  <c r="AH8" i="55"/>
  <c r="AE9" i="55"/>
  <c r="AG11" i="55"/>
  <c r="AD12" i="55"/>
  <c r="AF14" i="55"/>
  <c r="AC15" i="55"/>
  <c r="AH16" i="55"/>
  <c r="AE17" i="55"/>
  <c r="AG19" i="55"/>
  <c r="AD20" i="55"/>
  <c r="AF22" i="55"/>
  <c r="AC23" i="55"/>
  <c r="AH24" i="55"/>
  <c r="AE25" i="55"/>
  <c r="AG27" i="55"/>
  <c r="AD28" i="55"/>
  <c r="AF30" i="55"/>
  <c r="AC31" i="55"/>
  <c r="AH32" i="55"/>
  <c r="AE33" i="55"/>
  <c r="AG35" i="55"/>
  <c r="AD36" i="55"/>
  <c r="AF38" i="55"/>
  <c r="AC39" i="55"/>
  <c r="AH40" i="55"/>
  <c r="AE41" i="55"/>
  <c r="AG43" i="55"/>
  <c r="AD44" i="55"/>
  <c r="AF46" i="55"/>
  <c r="AC47" i="55"/>
  <c r="AH48" i="55"/>
  <c r="AE49" i="55"/>
  <c r="AG51" i="55"/>
  <c r="AD52" i="55"/>
  <c r="AF54" i="55"/>
  <c r="AC55" i="55"/>
  <c r="L56" i="55"/>
  <c r="AH5" i="55"/>
  <c r="AE6" i="55"/>
  <c r="AG8" i="55"/>
  <c r="AD9" i="55"/>
  <c r="AF11" i="55"/>
  <c r="AC12" i="55"/>
  <c r="AH13" i="55"/>
  <c r="AE14" i="55"/>
  <c r="AG16" i="55"/>
  <c r="AD17" i="55"/>
  <c r="AF19" i="55"/>
  <c r="AC20" i="55"/>
  <c r="AH21" i="55"/>
  <c r="AE22" i="55"/>
  <c r="AG24" i="55"/>
  <c r="AD25" i="55"/>
  <c r="AF27" i="55"/>
  <c r="AC28" i="55"/>
  <c r="AH29" i="55"/>
  <c r="AE30" i="55"/>
  <c r="AG32" i="55"/>
  <c r="AD33" i="55"/>
  <c r="AF35" i="55"/>
  <c r="AC36" i="55"/>
  <c r="AH37" i="55"/>
  <c r="AE38" i="55"/>
  <c r="AG40" i="55"/>
  <c r="AD41" i="55"/>
  <c r="AF43" i="55"/>
  <c r="AC44" i="55"/>
  <c r="AH45" i="55"/>
  <c r="AE46" i="55"/>
  <c r="AG48" i="55"/>
  <c r="AD49" i="55"/>
  <c r="AF51" i="55"/>
  <c r="AC52" i="55"/>
  <c r="AH53" i="55"/>
  <c r="AE54" i="55"/>
  <c r="AH18" i="55"/>
  <c r="AG21" i="55"/>
  <c r="AC25" i="55"/>
  <c r="AH26" i="55"/>
  <c r="AG29" i="55"/>
  <c r="AD30" i="55"/>
  <c r="AF32" i="55"/>
  <c r="AC33" i="55"/>
  <c r="AH34" i="55"/>
  <c r="AG37" i="55"/>
  <c r="AD38" i="55"/>
  <c r="AF40" i="55"/>
  <c r="AC41" i="55"/>
  <c r="AH42" i="55"/>
  <c r="AE43" i="55"/>
  <c r="AG45" i="55"/>
  <c r="AD46" i="55"/>
  <c r="AF48" i="55"/>
  <c r="AC49" i="55"/>
  <c r="AH50" i="55"/>
  <c r="AE51" i="55"/>
  <c r="AG53" i="55"/>
  <c r="AD54" i="55"/>
  <c r="Z56" i="55"/>
  <c r="AF5" i="55"/>
  <c r="AC6" i="55"/>
  <c r="AC56" i="55" s="1"/>
  <c r="AH7" i="55"/>
  <c r="AE8" i="55"/>
  <c r="AG10" i="55"/>
  <c r="AD11" i="55"/>
  <c r="AF13" i="55"/>
  <c r="AC14" i="55"/>
  <c r="AH15" i="55"/>
  <c r="AE16" i="55"/>
  <c r="AG18" i="55"/>
  <c r="AD19" i="55"/>
  <c r="AF21" i="55"/>
  <c r="AC22" i="55"/>
  <c r="AH23" i="55"/>
  <c r="AE24" i="55"/>
  <c r="AG26" i="55"/>
  <c r="AD27" i="55"/>
  <c r="AF29" i="55"/>
  <c r="AC30" i="55"/>
  <c r="AH31" i="55"/>
  <c r="AE32" i="55"/>
  <c r="AG34" i="55"/>
  <c r="AD35" i="55"/>
  <c r="AF37" i="55"/>
  <c r="AC38" i="55"/>
  <c r="AH39" i="55"/>
  <c r="AE40" i="55"/>
  <c r="AG42" i="55"/>
  <c r="AD43" i="55"/>
  <c r="AF45" i="55"/>
  <c r="AC46" i="55"/>
  <c r="AH47" i="55"/>
  <c r="AE48" i="55"/>
  <c r="AG50" i="55"/>
  <c r="AD51" i="55"/>
  <c r="AF53" i="55"/>
  <c r="AC54" i="55"/>
  <c r="AH55" i="55"/>
  <c r="I56" i="55"/>
  <c r="AE5" i="55"/>
  <c r="AG7" i="55"/>
  <c r="AF10" i="55"/>
  <c r="AH12" i="55"/>
  <c r="AE13" i="55"/>
  <c r="AG15" i="55"/>
  <c r="AF18" i="55"/>
  <c r="AH20" i="55"/>
  <c r="AE21" i="55"/>
  <c r="AG23" i="55"/>
  <c r="AF26" i="55"/>
  <c r="AH28" i="55"/>
  <c r="AE29" i="55"/>
  <c r="AG31" i="55"/>
  <c r="AF34" i="55"/>
  <c r="AH36" i="55"/>
  <c r="AE37" i="55"/>
  <c r="AG39" i="55"/>
  <c r="AF42" i="55"/>
  <c r="AH44" i="55"/>
  <c r="AE45" i="55"/>
  <c r="AG47" i="55"/>
  <c r="AF50" i="55"/>
  <c r="AH52" i="55"/>
  <c r="AE53" i="55"/>
  <c r="AG55" i="55"/>
  <c r="H56" i="55"/>
  <c r="AF7" i="55"/>
  <c r="AH9" i="55"/>
  <c r="AE10" i="55"/>
  <c r="AG12" i="55"/>
  <c r="AF15" i="55"/>
  <c r="AH17" i="55"/>
  <c r="AE18" i="55"/>
  <c r="AG20" i="55"/>
  <c r="AF23" i="55"/>
  <c r="AH25" i="55"/>
  <c r="AE26" i="55"/>
  <c r="AG28" i="55"/>
  <c r="AF31" i="55"/>
  <c r="AH33" i="55"/>
  <c r="AE34" i="55"/>
  <c r="AG36" i="55"/>
  <c r="AF39" i="55"/>
  <c r="AH41" i="55"/>
  <c r="AE42" i="55"/>
  <c r="AG44" i="55"/>
  <c r="AF47" i="55"/>
  <c r="AH49" i="55"/>
  <c r="AE50" i="55"/>
  <c r="AG52" i="55"/>
  <c r="AF55" i="55"/>
  <c r="G56" i="55"/>
  <c r="AG5" i="55"/>
  <c r="AI5" i="54"/>
  <c r="AI56" i="54" s="1"/>
  <c r="AF6" i="54"/>
  <c r="AC7" i="54"/>
  <c r="AH8" i="54"/>
  <c r="AE9" i="54"/>
  <c r="AG11" i="54"/>
  <c r="AD12" i="54"/>
  <c r="AF14" i="54"/>
  <c r="AC15" i="54"/>
  <c r="AH16" i="54"/>
  <c r="AE17" i="54"/>
  <c r="AG19" i="54"/>
  <c r="AD20" i="54"/>
  <c r="AF22" i="54"/>
  <c r="AC23" i="54"/>
  <c r="AH24" i="54"/>
  <c r="AE25" i="54"/>
  <c r="AG27" i="54"/>
  <c r="AD28" i="54"/>
  <c r="AF30" i="54"/>
  <c r="AC31" i="54"/>
  <c r="AH32" i="54"/>
  <c r="AE33" i="54"/>
  <c r="AG35" i="54"/>
  <c r="AD36" i="54"/>
  <c r="AF38" i="54"/>
  <c r="AC39" i="54"/>
  <c r="AH40" i="54"/>
  <c r="AE41" i="54"/>
  <c r="AG43" i="54"/>
  <c r="AD44" i="54"/>
  <c r="AF46" i="54"/>
  <c r="AC47" i="54"/>
  <c r="AH48" i="54"/>
  <c r="AE49" i="54"/>
  <c r="AG51" i="54"/>
  <c r="AD52" i="54"/>
  <c r="AF54" i="54"/>
  <c r="AC55" i="54"/>
  <c r="L56" i="54"/>
  <c r="AH5" i="54"/>
  <c r="AG8" i="54"/>
  <c r="AD9" i="54"/>
  <c r="AF11" i="54"/>
  <c r="AC12" i="54"/>
  <c r="AH13" i="54"/>
  <c r="AE14" i="54"/>
  <c r="AG16" i="54"/>
  <c r="AD17" i="54"/>
  <c r="AF19" i="54"/>
  <c r="AC20" i="54"/>
  <c r="AH21" i="54"/>
  <c r="AE22" i="54"/>
  <c r="AG24" i="54"/>
  <c r="AD25" i="54"/>
  <c r="AF27" i="54"/>
  <c r="AC28" i="54"/>
  <c r="AH29" i="54"/>
  <c r="AE30" i="54"/>
  <c r="AG32" i="54"/>
  <c r="AD33" i="54"/>
  <c r="AF35" i="54"/>
  <c r="AC36" i="54"/>
  <c r="AH37" i="54"/>
  <c r="AE38" i="54"/>
  <c r="AG40" i="54"/>
  <c r="AD41" i="54"/>
  <c r="AF43" i="54"/>
  <c r="AC44" i="54"/>
  <c r="AH45" i="54"/>
  <c r="AE46" i="54"/>
  <c r="AG48" i="54"/>
  <c r="AD49" i="54"/>
  <c r="AF51" i="54"/>
  <c r="AC52" i="54"/>
  <c r="AH53" i="54"/>
  <c r="AE54" i="54"/>
  <c r="AG5" i="54"/>
  <c r="AG56" i="54" s="1"/>
  <c r="AD6" i="54"/>
  <c r="AD56" i="54" s="1"/>
  <c r="AF8" i="54"/>
  <c r="AC9" i="54"/>
  <c r="AH10" i="54"/>
  <c r="AE11" i="54"/>
  <c r="AG13" i="54"/>
  <c r="AD14" i="54"/>
  <c r="AF16" i="54"/>
  <c r="AC17" i="54"/>
  <c r="AH18" i="54"/>
  <c r="AE19" i="54"/>
  <c r="AG21" i="54"/>
  <c r="AD22" i="54"/>
  <c r="AF24" i="54"/>
  <c r="AC25" i="54"/>
  <c r="AH26" i="54"/>
  <c r="AE27" i="54"/>
  <c r="AG29" i="54"/>
  <c r="AD30" i="54"/>
  <c r="AF32" i="54"/>
  <c r="AC33" i="54"/>
  <c r="AH34" i="54"/>
  <c r="AE35" i="54"/>
  <c r="AG37" i="54"/>
  <c r="AD38" i="54"/>
  <c r="AF40" i="54"/>
  <c r="AC41" i="54"/>
  <c r="AH42" i="54"/>
  <c r="AE43" i="54"/>
  <c r="AG45" i="54"/>
  <c r="AD46" i="54"/>
  <c r="AF48" i="54"/>
  <c r="AC49" i="54"/>
  <c r="AH50" i="54"/>
  <c r="AE51" i="54"/>
  <c r="AG53" i="54"/>
  <c r="AD54" i="54"/>
  <c r="Z56" i="54"/>
  <c r="AF5" i="54"/>
  <c r="AH7" i="54"/>
  <c r="AE8" i="54"/>
  <c r="AG10" i="54"/>
  <c r="AF13" i="54"/>
  <c r="AH15" i="54"/>
  <c r="AE16" i="54"/>
  <c r="AG18" i="54"/>
  <c r="AF21" i="54"/>
  <c r="AH23" i="54"/>
  <c r="AE24" i="54"/>
  <c r="AG26" i="54"/>
  <c r="AF29" i="54"/>
  <c r="AC30" i="54"/>
  <c r="AH31" i="54"/>
  <c r="AE32" i="54"/>
  <c r="AG34" i="54"/>
  <c r="AD35" i="54"/>
  <c r="AF37" i="54"/>
  <c r="AC38" i="54"/>
  <c r="AH39" i="54"/>
  <c r="AE40" i="54"/>
  <c r="AG42" i="54"/>
  <c r="AD43" i="54"/>
  <c r="AF45" i="54"/>
  <c r="AC46" i="54"/>
  <c r="AH47" i="54"/>
  <c r="AE48" i="54"/>
  <c r="AG50" i="54"/>
  <c r="AD51" i="54"/>
  <c r="AF53" i="54"/>
  <c r="AC54" i="54"/>
  <c r="AH55" i="54"/>
  <c r="I56" i="54"/>
  <c r="AE5" i="54"/>
  <c r="AE56" i="54" s="1"/>
  <c r="AG7" i="54"/>
  <c r="AF10" i="54"/>
  <c r="AH12" i="54"/>
  <c r="AE13" i="54"/>
  <c r="AG15" i="54"/>
  <c r="AF18" i="54"/>
  <c r="AH20" i="54"/>
  <c r="AE21" i="54"/>
  <c r="AG23" i="54"/>
  <c r="AF26" i="54"/>
  <c r="AH28" i="54"/>
  <c r="AE29" i="54"/>
  <c r="AG31" i="54"/>
  <c r="AF34" i="54"/>
  <c r="AH36" i="54"/>
  <c r="AE37" i="54"/>
  <c r="AG39" i="54"/>
  <c r="AF42" i="54"/>
  <c r="AH44" i="54"/>
  <c r="AE45" i="54"/>
  <c r="AG47" i="54"/>
  <c r="AF50" i="54"/>
  <c r="AH52" i="54"/>
  <c r="AE53" i="54"/>
  <c r="AG55" i="54"/>
  <c r="H56" i="54"/>
  <c r="AF7" i="54"/>
  <c r="AH9" i="54"/>
  <c r="AE10" i="54"/>
  <c r="AG12" i="54"/>
  <c r="AF15" i="54"/>
  <c r="AH17" i="54"/>
  <c r="AE18" i="54"/>
  <c r="AG20" i="54"/>
  <c r="AF23" i="54"/>
  <c r="AH25" i="54"/>
  <c r="AE26" i="54"/>
  <c r="AG28" i="54"/>
  <c r="AF31" i="54"/>
  <c r="AH33" i="54"/>
  <c r="AE34" i="54"/>
  <c r="AG36" i="54"/>
  <c r="AF39" i="54"/>
  <c r="AH41" i="54"/>
  <c r="AE42" i="54"/>
  <c r="AG44" i="54"/>
  <c r="AF47" i="54"/>
  <c r="AH49" i="54"/>
  <c r="AE50" i="54"/>
  <c r="AG52" i="54"/>
  <c r="AF55" i="54"/>
  <c r="G56" i="54"/>
  <c r="AI5" i="47"/>
  <c r="AI56" i="47" s="1"/>
  <c r="AF6" i="47"/>
  <c r="AC7" i="47"/>
  <c r="AH8" i="47"/>
  <c r="AH56" i="47" s="1"/>
  <c r="AE9" i="47"/>
  <c r="AG11" i="47"/>
  <c r="AD12" i="47"/>
  <c r="AF14" i="47"/>
  <c r="AC15" i="47"/>
  <c r="AH16" i="47"/>
  <c r="AE17" i="47"/>
  <c r="AG19" i="47"/>
  <c r="AD20" i="47"/>
  <c r="AF22" i="47"/>
  <c r="AC23" i="47"/>
  <c r="AH24" i="47"/>
  <c r="AE25" i="47"/>
  <c r="AG27" i="47"/>
  <c r="AD28" i="47"/>
  <c r="AF30" i="47"/>
  <c r="AC31" i="47"/>
  <c r="AH32" i="47"/>
  <c r="AE33" i="47"/>
  <c r="AG35" i="47"/>
  <c r="AD36" i="47"/>
  <c r="AF38" i="47"/>
  <c r="AC39" i="47"/>
  <c r="AH40" i="47"/>
  <c r="AE41" i="47"/>
  <c r="AG43" i="47"/>
  <c r="AD44" i="47"/>
  <c r="AF46" i="47"/>
  <c r="AC47" i="47"/>
  <c r="AH48" i="47"/>
  <c r="AE49" i="47"/>
  <c r="AG51" i="47"/>
  <c r="AD52" i="47"/>
  <c r="AF54" i="47"/>
  <c r="AC55" i="47"/>
  <c r="L56" i="47"/>
  <c r="AG24" i="47"/>
  <c r="AD25" i="47"/>
  <c r="AF27" i="47"/>
  <c r="AC28" i="47"/>
  <c r="AH29" i="47"/>
  <c r="AE30" i="47"/>
  <c r="AG32" i="47"/>
  <c r="AD33" i="47"/>
  <c r="AF35" i="47"/>
  <c r="AC36" i="47"/>
  <c r="AH37" i="47"/>
  <c r="AE38" i="47"/>
  <c r="AG40" i="47"/>
  <c r="AD41" i="47"/>
  <c r="AF43" i="47"/>
  <c r="AC44" i="47"/>
  <c r="AH45" i="47"/>
  <c r="AE46" i="47"/>
  <c r="AG48" i="47"/>
  <c r="AD49" i="47"/>
  <c r="AF51" i="47"/>
  <c r="AC52" i="47"/>
  <c r="AH53" i="47"/>
  <c r="AE54" i="47"/>
  <c r="AG5" i="47"/>
  <c r="AG56" i="47" s="1"/>
  <c r="AD6" i="47"/>
  <c r="AD56" i="47" s="1"/>
  <c r="AF8" i="47"/>
  <c r="AC9" i="47"/>
  <c r="AH10" i="47"/>
  <c r="AG13" i="47"/>
  <c r="AD14" i="47"/>
  <c r="AF16" i="47"/>
  <c r="AC17" i="47"/>
  <c r="AH18" i="47"/>
  <c r="AE19" i="47"/>
  <c r="AG21" i="47"/>
  <c r="AD22" i="47"/>
  <c r="AF24" i="47"/>
  <c r="AC25" i="47"/>
  <c r="AH26" i="47"/>
  <c r="AE27" i="47"/>
  <c r="AG29" i="47"/>
  <c r="AD30" i="47"/>
  <c r="AF32" i="47"/>
  <c r="AC33" i="47"/>
  <c r="AH34" i="47"/>
  <c r="AE35" i="47"/>
  <c r="AG37" i="47"/>
  <c r="AD38" i="47"/>
  <c r="AF40" i="47"/>
  <c r="AC41" i="47"/>
  <c r="AH42" i="47"/>
  <c r="AE43" i="47"/>
  <c r="AG45" i="47"/>
  <c r="AD46" i="47"/>
  <c r="AF48" i="47"/>
  <c r="AC49" i="47"/>
  <c r="AH50" i="47"/>
  <c r="AE51" i="47"/>
  <c r="AG53" i="47"/>
  <c r="AD54" i="47"/>
  <c r="Z56" i="47"/>
  <c r="AF5" i="47"/>
  <c r="AC6" i="47"/>
  <c r="AC56" i="47" s="1"/>
  <c r="AH7" i="47"/>
  <c r="AG10" i="47"/>
  <c r="AD11" i="47"/>
  <c r="AF13" i="47"/>
  <c r="AC14" i="47"/>
  <c r="AH15" i="47"/>
  <c r="AE16" i="47"/>
  <c r="AG18" i="47"/>
  <c r="AD19" i="47"/>
  <c r="AF21" i="47"/>
  <c r="AC22" i="47"/>
  <c r="AH23" i="47"/>
  <c r="AE24" i="47"/>
  <c r="AG26" i="47"/>
  <c r="AD27" i="47"/>
  <c r="AF29" i="47"/>
  <c r="AC30" i="47"/>
  <c r="AH31" i="47"/>
  <c r="AE32" i="47"/>
  <c r="AG34" i="47"/>
  <c r="AD35" i="47"/>
  <c r="AF37" i="47"/>
  <c r="AC38" i="47"/>
  <c r="AH39" i="47"/>
  <c r="AE40" i="47"/>
  <c r="AG42" i="47"/>
  <c r="AD43" i="47"/>
  <c r="AF45" i="47"/>
  <c r="AC46" i="47"/>
  <c r="AH47" i="47"/>
  <c r="AE48" i="47"/>
  <c r="AG50" i="47"/>
  <c r="AD51" i="47"/>
  <c r="AF53" i="47"/>
  <c r="AC54" i="47"/>
  <c r="AH55" i="47"/>
  <c r="I56" i="47"/>
  <c r="AE5" i="47"/>
  <c r="AE56" i="47" s="1"/>
  <c r="AG7" i="47"/>
  <c r="AF10" i="47"/>
  <c r="AH12" i="47"/>
  <c r="AE13" i="47"/>
  <c r="AG15" i="47"/>
  <c r="AF18" i="47"/>
  <c r="AH20" i="47"/>
  <c r="AE21" i="47"/>
  <c r="AG23" i="47"/>
  <c r="AF26" i="47"/>
  <c r="AH28" i="47"/>
  <c r="AE29" i="47"/>
  <c r="AG31" i="47"/>
  <c r="AF34" i="47"/>
  <c r="AH36" i="47"/>
  <c r="AE37" i="47"/>
  <c r="AG39" i="47"/>
  <c r="AF42" i="47"/>
  <c r="AH44" i="47"/>
  <c r="AE45" i="47"/>
  <c r="AG47" i="47"/>
  <c r="AF50" i="47"/>
  <c r="AH52" i="47"/>
  <c r="AE53" i="47"/>
  <c r="AG55" i="47"/>
  <c r="H56" i="47"/>
  <c r="AF7" i="47"/>
  <c r="AH9" i="47"/>
  <c r="AE10" i="47"/>
  <c r="AG12" i="47"/>
  <c r="AF15" i="47"/>
  <c r="AH17" i="47"/>
  <c r="AE18" i="47"/>
  <c r="AG20" i="47"/>
  <c r="AF23" i="47"/>
  <c r="AH25" i="47"/>
  <c r="AE26" i="47"/>
  <c r="AG28" i="47"/>
  <c r="AF31" i="47"/>
  <c r="AH33" i="47"/>
  <c r="AE34" i="47"/>
  <c r="AG36" i="47"/>
  <c r="AF39" i="47"/>
  <c r="AH41" i="47"/>
  <c r="AE42" i="47"/>
  <c r="AG44" i="47"/>
  <c r="AF47" i="47"/>
  <c r="AH49" i="47"/>
  <c r="AE50" i="47"/>
  <c r="AG52" i="47"/>
  <c r="AF55" i="47"/>
  <c r="G56" i="47"/>
  <c r="AJ56" i="46"/>
  <c r="AI5" i="46"/>
  <c r="AI56" i="46" s="1"/>
  <c r="AF6" i="46"/>
  <c r="AC7" i="46"/>
  <c r="AH8" i="46"/>
  <c r="AE9" i="46"/>
  <c r="AG11" i="46"/>
  <c r="AD12" i="46"/>
  <c r="AF14" i="46"/>
  <c r="AC15" i="46"/>
  <c r="AH16" i="46"/>
  <c r="AE17" i="46"/>
  <c r="AG19" i="46"/>
  <c r="AD20" i="46"/>
  <c r="AF22" i="46"/>
  <c r="AC23" i="46"/>
  <c r="AH24" i="46"/>
  <c r="AE25" i="46"/>
  <c r="AG27" i="46"/>
  <c r="AD28" i="46"/>
  <c r="AF30" i="46"/>
  <c r="AC31" i="46"/>
  <c r="AH32" i="46"/>
  <c r="AE33" i="46"/>
  <c r="AG35" i="46"/>
  <c r="AD36" i="46"/>
  <c r="AF38" i="46"/>
  <c r="AC39" i="46"/>
  <c r="AH40" i="46"/>
  <c r="AE41" i="46"/>
  <c r="AG43" i="46"/>
  <c r="AD44" i="46"/>
  <c r="AF46" i="46"/>
  <c r="AC47" i="46"/>
  <c r="AH48" i="46"/>
  <c r="AE49" i="46"/>
  <c r="AG51" i="46"/>
  <c r="AD52" i="46"/>
  <c r="AF54" i="46"/>
  <c r="AC55" i="46"/>
  <c r="L56" i="46"/>
  <c r="AH5" i="46"/>
  <c r="AH56" i="46" s="1"/>
  <c r="AG8" i="46"/>
  <c r="AD9" i="46"/>
  <c r="AF11" i="46"/>
  <c r="AC12" i="46"/>
  <c r="AH13" i="46"/>
  <c r="AG16" i="46"/>
  <c r="AD17" i="46"/>
  <c r="AF19" i="46"/>
  <c r="AC20" i="46"/>
  <c r="AH21" i="46"/>
  <c r="AD25" i="46"/>
  <c r="AF27" i="46"/>
  <c r="AC28" i="46"/>
  <c r="AH29" i="46"/>
  <c r="AG32" i="46"/>
  <c r="AD33" i="46"/>
  <c r="AF35" i="46"/>
  <c r="AC36" i="46"/>
  <c r="AH37" i="46"/>
  <c r="AG40" i="46"/>
  <c r="AD41" i="46"/>
  <c r="AF43" i="46"/>
  <c r="AC44" i="46"/>
  <c r="AH45" i="46"/>
  <c r="AG48" i="46"/>
  <c r="AD49" i="46"/>
  <c r="AF51" i="46"/>
  <c r="AC52" i="46"/>
  <c r="AH53" i="46"/>
  <c r="AE54" i="46"/>
  <c r="AG37" i="46"/>
  <c r="AF40" i="46"/>
  <c r="AC41" i="46"/>
  <c r="AH42" i="46"/>
  <c r="AG45" i="46"/>
  <c r="AD46" i="46"/>
  <c r="AF48" i="46"/>
  <c r="AC49" i="46"/>
  <c r="AH50" i="46"/>
  <c r="AG53" i="46"/>
  <c r="AD54" i="46"/>
  <c r="Z56" i="46"/>
  <c r="AF5" i="46"/>
  <c r="AH7" i="46"/>
  <c r="AG10" i="46"/>
  <c r="AF13" i="46"/>
  <c r="AH15" i="46"/>
  <c r="AG18" i="46"/>
  <c r="AF21" i="46"/>
  <c r="AH23" i="46"/>
  <c r="AG26" i="46"/>
  <c r="AF29" i="46"/>
  <c r="AH31" i="46"/>
  <c r="AG34" i="46"/>
  <c r="AF37" i="46"/>
  <c r="AH39" i="46"/>
  <c r="AE40" i="46"/>
  <c r="AG42" i="46"/>
  <c r="AD43" i="46"/>
  <c r="AF45" i="46"/>
  <c r="AC46" i="46"/>
  <c r="AH47" i="46"/>
  <c r="AE48" i="46"/>
  <c r="AG50" i="46"/>
  <c r="AD51" i="46"/>
  <c r="AF53" i="46"/>
  <c r="AC54" i="46"/>
  <c r="AH55" i="46"/>
  <c r="I56" i="46"/>
  <c r="AE5" i="46"/>
  <c r="AG7" i="46"/>
  <c r="AF10" i="46"/>
  <c r="AH12" i="46"/>
  <c r="AE13" i="46"/>
  <c r="AG15" i="46"/>
  <c r="AF18" i="46"/>
  <c r="AH20" i="46"/>
  <c r="AE21" i="46"/>
  <c r="AG23" i="46"/>
  <c r="AF26" i="46"/>
  <c r="AH28" i="46"/>
  <c r="AE29" i="46"/>
  <c r="AG31" i="46"/>
  <c r="AF34" i="46"/>
  <c r="AH36" i="46"/>
  <c r="AE37" i="46"/>
  <c r="AG39" i="46"/>
  <c r="AF42" i="46"/>
  <c r="AH44" i="46"/>
  <c r="AE45" i="46"/>
  <c r="AG47" i="46"/>
  <c r="AF50" i="46"/>
  <c r="AH52" i="46"/>
  <c r="AE53" i="46"/>
  <c r="AG55" i="46"/>
  <c r="H56" i="46"/>
  <c r="AF7" i="46"/>
  <c r="AH9" i="46"/>
  <c r="AE10" i="46"/>
  <c r="AG12" i="46"/>
  <c r="AF15" i="46"/>
  <c r="AH17" i="46"/>
  <c r="AE18" i="46"/>
  <c r="AG20" i="46"/>
  <c r="AF23" i="46"/>
  <c r="AH25" i="46"/>
  <c r="AE26" i="46"/>
  <c r="AG28" i="46"/>
  <c r="AF31" i="46"/>
  <c r="AH33" i="46"/>
  <c r="AE34" i="46"/>
  <c r="AG36" i="46"/>
  <c r="AF39" i="46"/>
  <c r="AH41" i="46"/>
  <c r="AE42" i="46"/>
  <c r="AG44" i="46"/>
  <c r="AF47" i="46"/>
  <c r="AH49" i="46"/>
  <c r="AE50" i="46"/>
  <c r="AG52" i="46"/>
  <c r="AF55" i="46"/>
  <c r="AG5" i="46"/>
  <c r="F56" i="46"/>
  <c r="AI5" i="45"/>
  <c r="AI56" i="45" s="1"/>
  <c r="AF6" i="45"/>
  <c r="AF56" i="45" s="1"/>
  <c r="AC7" i="45"/>
  <c r="AH8" i="45"/>
  <c r="AE9" i="45"/>
  <c r="AG11" i="45"/>
  <c r="AD12" i="45"/>
  <c r="AF14" i="45"/>
  <c r="AC15" i="45"/>
  <c r="AH16" i="45"/>
  <c r="AE17" i="45"/>
  <c r="AG19" i="45"/>
  <c r="AD20" i="45"/>
  <c r="AF22" i="45"/>
  <c r="AC23" i="45"/>
  <c r="AH24" i="45"/>
  <c r="AE25" i="45"/>
  <c r="AG27" i="45"/>
  <c r="AD28" i="45"/>
  <c r="AF30" i="45"/>
  <c r="AC31" i="45"/>
  <c r="AH32" i="45"/>
  <c r="AE33" i="45"/>
  <c r="AG35" i="45"/>
  <c r="AD36" i="45"/>
  <c r="AF38" i="45"/>
  <c r="AC39" i="45"/>
  <c r="AH40" i="45"/>
  <c r="AE41" i="45"/>
  <c r="AG43" i="45"/>
  <c r="AD44" i="45"/>
  <c r="AF46" i="45"/>
  <c r="AC47" i="45"/>
  <c r="AH48" i="45"/>
  <c r="AE49" i="45"/>
  <c r="AG51" i="45"/>
  <c r="AD52" i="45"/>
  <c r="AF54" i="45"/>
  <c r="AC55" i="45"/>
  <c r="L56" i="45"/>
  <c r="AH5" i="45"/>
  <c r="AG8" i="45"/>
  <c r="AD9" i="45"/>
  <c r="AC12" i="45"/>
  <c r="AH13" i="45"/>
  <c r="AG16" i="45"/>
  <c r="AD17" i="45"/>
  <c r="AC20" i="45"/>
  <c r="AH21" i="45"/>
  <c r="AG24" i="45"/>
  <c r="AD25" i="45"/>
  <c r="AC28" i="45"/>
  <c r="AH29" i="45"/>
  <c r="AG32" i="45"/>
  <c r="AD33" i="45"/>
  <c r="AC36" i="45"/>
  <c r="AH37" i="45"/>
  <c r="AE38" i="45"/>
  <c r="AG40" i="45"/>
  <c r="AD41" i="45"/>
  <c r="AF43" i="45"/>
  <c r="AC44" i="45"/>
  <c r="AH45" i="45"/>
  <c r="AE46" i="45"/>
  <c r="AG48" i="45"/>
  <c r="AD49" i="45"/>
  <c r="AF51" i="45"/>
  <c r="AC52" i="45"/>
  <c r="AH53" i="45"/>
  <c r="AE54" i="45"/>
  <c r="AG5" i="45"/>
  <c r="AD6" i="45"/>
  <c r="AD56" i="45" s="1"/>
  <c r="AF8" i="45"/>
  <c r="AC9" i="45"/>
  <c r="AH10" i="45"/>
  <c r="AE11" i="45"/>
  <c r="AG13" i="45"/>
  <c r="AD14" i="45"/>
  <c r="AF16" i="45"/>
  <c r="AC17" i="45"/>
  <c r="AH18" i="45"/>
  <c r="AE19" i="45"/>
  <c r="AG21" i="45"/>
  <c r="AD22" i="45"/>
  <c r="AF24" i="45"/>
  <c r="AC25" i="45"/>
  <c r="AH26" i="45"/>
  <c r="AE27" i="45"/>
  <c r="AG29" i="45"/>
  <c r="AD30" i="45"/>
  <c r="AF32" i="45"/>
  <c r="AC33" i="45"/>
  <c r="AH34" i="45"/>
  <c r="AE35" i="45"/>
  <c r="AG37" i="45"/>
  <c r="AD38" i="45"/>
  <c r="AF40" i="45"/>
  <c r="AC41" i="45"/>
  <c r="AH42" i="45"/>
  <c r="AE43" i="45"/>
  <c r="AG45" i="45"/>
  <c r="AD46" i="45"/>
  <c r="AF48" i="45"/>
  <c r="AC49" i="45"/>
  <c r="AH50" i="45"/>
  <c r="AE51" i="45"/>
  <c r="AG53" i="45"/>
  <c r="AD54" i="45"/>
  <c r="AF37" i="45"/>
  <c r="AC38" i="45"/>
  <c r="AH39" i="45"/>
  <c r="AE40" i="45"/>
  <c r="AG42" i="45"/>
  <c r="AD43" i="45"/>
  <c r="AF45" i="45"/>
  <c r="AC46" i="45"/>
  <c r="AH47" i="45"/>
  <c r="AE48" i="45"/>
  <c r="AG50" i="45"/>
  <c r="AD51" i="45"/>
  <c r="AF53" i="45"/>
  <c r="AC54" i="45"/>
  <c r="AH55" i="45"/>
  <c r="I56" i="45"/>
  <c r="AE5" i="45"/>
  <c r="AE56" i="45" s="1"/>
  <c r="AG7" i="45"/>
  <c r="AF10" i="45"/>
  <c r="AH12" i="45"/>
  <c r="AE13" i="45"/>
  <c r="AG15" i="45"/>
  <c r="AF18" i="45"/>
  <c r="AH20" i="45"/>
  <c r="AE21" i="45"/>
  <c r="AG23" i="45"/>
  <c r="AF26" i="45"/>
  <c r="AH28" i="45"/>
  <c r="AE29" i="45"/>
  <c r="AG31" i="45"/>
  <c r="AF34" i="45"/>
  <c r="AH36" i="45"/>
  <c r="AE37" i="45"/>
  <c r="AG39" i="45"/>
  <c r="AF42" i="45"/>
  <c r="AH44" i="45"/>
  <c r="AE45" i="45"/>
  <c r="AG47" i="45"/>
  <c r="AF50" i="45"/>
  <c r="AH52" i="45"/>
  <c r="AE53" i="45"/>
  <c r="AG55" i="45"/>
  <c r="H56" i="45"/>
  <c r="AH33" i="45"/>
  <c r="AH41" i="45"/>
  <c r="AE42" i="45"/>
  <c r="AG44" i="45"/>
  <c r="AF47" i="45"/>
  <c r="AH49" i="45"/>
  <c r="AE50" i="45"/>
  <c r="AG52" i="45"/>
  <c r="AF55" i="45"/>
  <c r="AF6" i="44"/>
  <c r="AH8" i="44"/>
  <c r="AE9" i="44"/>
  <c r="AG11" i="44"/>
  <c r="AF14" i="44"/>
  <c r="AH16" i="44"/>
  <c r="AE17" i="44"/>
  <c r="AG19" i="44"/>
  <c r="AF22" i="44"/>
  <c r="AH24" i="44"/>
  <c r="AE25" i="44"/>
  <c r="AG27" i="44"/>
  <c r="AD28" i="44"/>
  <c r="AF30" i="44"/>
  <c r="AC31" i="44"/>
  <c r="AH32" i="44"/>
  <c r="AE33" i="44"/>
  <c r="AG35" i="44"/>
  <c r="AD36" i="44"/>
  <c r="AF38" i="44"/>
  <c r="AC39" i="44"/>
  <c r="AH40" i="44"/>
  <c r="AE41" i="44"/>
  <c r="AG43" i="44"/>
  <c r="AD44" i="44"/>
  <c r="AF46" i="44"/>
  <c r="AC47" i="44"/>
  <c r="AH48" i="44"/>
  <c r="AE49" i="44"/>
  <c r="AG51" i="44"/>
  <c r="AD52" i="44"/>
  <c r="AF54" i="44"/>
  <c r="AC55" i="44"/>
  <c r="L56" i="44"/>
  <c r="AE6" i="44"/>
  <c r="AG8" i="44"/>
  <c r="AD9" i="44"/>
  <c r="AF11" i="44"/>
  <c r="AC12" i="44"/>
  <c r="AH13" i="44"/>
  <c r="AE14" i="44"/>
  <c r="AG16" i="44"/>
  <c r="AD17" i="44"/>
  <c r="AF19" i="44"/>
  <c r="AC20" i="44"/>
  <c r="AH21" i="44"/>
  <c r="AE22" i="44"/>
  <c r="AG24" i="44"/>
  <c r="AD25" i="44"/>
  <c r="AF27" i="44"/>
  <c r="AC28" i="44"/>
  <c r="AH29" i="44"/>
  <c r="AE30" i="44"/>
  <c r="AG32" i="44"/>
  <c r="AD33" i="44"/>
  <c r="AF35" i="44"/>
  <c r="AC36" i="44"/>
  <c r="AH37" i="44"/>
  <c r="AE38" i="44"/>
  <c r="AG40" i="44"/>
  <c r="AD41" i="44"/>
  <c r="AF43" i="44"/>
  <c r="AC44" i="44"/>
  <c r="AH45" i="44"/>
  <c r="AE46" i="44"/>
  <c r="AG48" i="44"/>
  <c r="AD49" i="44"/>
  <c r="AF51" i="44"/>
  <c r="AC52" i="44"/>
  <c r="AH53" i="44"/>
  <c r="AE54" i="44"/>
  <c r="AG5" i="44"/>
  <c r="AD6" i="44"/>
  <c r="AD56" i="44" s="1"/>
  <c r="AF8" i="44"/>
  <c r="AC9" i="44"/>
  <c r="AH10" i="44"/>
  <c r="AG13" i="44"/>
  <c r="AD14" i="44"/>
  <c r="AC17" i="44"/>
  <c r="AH18" i="44"/>
  <c r="AE19" i="44"/>
  <c r="AG21" i="44"/>
  <c r="AD22" i="44"/>
  <c r="AF24" i="44"/>
  <c r="AC25" i="44"/>
  <c r="AH26" i="44"/>
  <c r="AE27" i="44"/>
  <c r="AG29" i="44"/>
  <c r="AD30" i="44"/>
  <c r="AF32" i="44"/>
  <c r="AC33" i="44"/>
  <c r="AH34" i="44"/>
  <c r="AE35" i="44"/>
  <c r="AG37" i="44"/>
  <c r="AD38" i="44"/>
  <c r="AF40" i="44"/>
  <c r="AC41" i="44"/>
  <c r="AH42" i="44"/>
  <c r="AE43" i="44"/>
  <c r="AG45" i="44"/>
  <c r="AD46" i="44"/>
  <c r="AF48" i="44"/>
  <c r="AC49" i="44"/>
  <c r="AH50" i="44"/>
  <c r="AE51" i="44"/>
  <c r="AG53" i="44"/>
  <c r="AD54" i="44"/>
  <c r="Z56" i="44"/>
  <c r="AH5" i="44"/>
  <c r="AF5" i="44"/>
  <c r="AC6" i="44"/>
  <c r="AC56" i="44" s="1"/>
  <c r="AH7" i="44"/>
  <c r="AE8" i="44"/>
  <c r="AG10" i="44"/>
  <c r="AD11" i="44"/>
  <c r="AF13" i="44"/>
  <c r="AC14" i="44"/>
  <c r="AH15" i="44"/>
  <c r="AE16" i="44"/>
  <c r="AG18" i="44"/>
  <c r="AD19" i="44"/>
  <c r="AF21" i="44"/>
  <c r="AC22" i="44"/>
  <c r="AH23" i="44"/>
  <c r="AE24" i="44"/>
  <c r="AG26" i="44"/>
  <c r="AD27" i="44"/>
  <c r="AF29" i="44"/>
  <c r="AC30" i="44"/>
  <c r="AH31" i="44"/>
  <c r="AE32" i="44"/>
  <c r="AG34" i="44"/>
  <c r="AD35" i="44"/>
  <c r="AF37" i="44"/>
  <c r="AC38" i="44"/>
  <c r="AH39" i="44"/>
  <c r="AE40" i="44"/>
  <c r="AG42" i="44"/>
  <c r="AD43" i="44"/>
  <c r="AF45" i="44"/>
  <c r="AC46" i="44"/>
  <c r="AH47" i="44"/>
  <c r="AE48" i="44"/>
  <c r="AG50" i="44"/>
  <c r="AD51" i="44"/>
  <c r="AF53" i="44"/>
  <c r="AC54" i="44"/>
  <c r="AH55" i="44"/>
  <c r="I56" i="44"/>
  <c r="AF10" i="44"/>
  <c r="AF18" i="44"/>
  <c r="AH20" i="44"/>
  <c r="AE21" i="44"/>
  <c r="AG23" i="44"/>
  <c r="AF26" i="44"/>
  <c r="AH28" i="44"/>
  <c r="AE29" i="44"/>
  <c r="AF34" i="44"/>
  <c r="AH36" i="44"/>
  <c r="AE37" i="44"/>
  <c r="AG39" i="44"/>
  <c r="AF42" i="44"/>
  <c r="AH44" i="44"/>
  <c r="AE45" i="44"/>
  <c r="AG47" i="44"/>
  <c r="AF50" i="44"/>
  <c r="AH52" i="44"/>
  <c r="AE53" i="44"/>
  <c r="AG55" i="44"/>
  <c r="H56" i="44"/>
  <c r="AH9" i="44"/>
  <c r="AE10" i="44"/>
  <c r="AG12" i="44"/>
  <c r="AF15" i="44"/>
  <c r="AH17" i="44"/>
  <c r="AE18" i="44"/>
  <c r="AG20" i="44"/>
  <c r="AF23" i="44"/>
  <c r="AH25" i="44"/>
  <c r="AE26" i="44"/>
  <c r="AG28" i="44"/>
  <c r="AF31" i="44"/>
  <c r="AH33" i="44"/>
  <c r="AE34" i="44"/>
  <c r="AG36" i="44"/>
  <c r="AF39" i="44"/>
  <c r="AH41" i="44"/>
  <c r="AE42" i="44"/>
  <c r="AG44" i="44"/>
  <c r="AF47" i="44"/>
  <c r="AH49" i="44"/>
  <c r="AE50" i="44"/>
  <c r="AG52" i="44"/>
  <c r="AF55" i="44"/>
  <c r="G56" i="44"/>
  <c r="F56" i="44"/>
  <c r="AI5" i="43"/>
  <c r="AI123" i="43" s="1"/>
  <c r="AF6" i="43"/>
  <c r="AC7" i="43"/>
  <c r="AH8" i="43"/>
  <c r="AE9" i="43"/>
  <c r="AG11" i="43"/>
  <c r="AD12" i="43"/>
  <c r="AF14" i="43"/>
  <c r="AC15" i="43"/>
  <c r="AH16" i="43"/>
  <c r="AE17" i="43"/>
  <c r="AG19" i="43"/>
  <c r="AD20" i="43"/>
  <c r="AF22" i="43"/>
  <c r="AC23" i="43"/>
  <c r="AH24" i="43"/>
  <c r="AE25" i="43"/>
  <c r="AG27" i="43"/>
  <c r="AD28" i="43"/>
  <c r="AF30" i="43"/>
  <c r="AC31" i="43"/>
  <c r="AH32" i="43"/>
  <c r="AE33" i="43"/>
  <c r="AG35" i="43"/>
  <c r="AD36" i="43"/>
  <c r="AF38" i="43"/>
  <c r="AC39" i="43"/>
  <c r="AH40" i="43"/>
  <c r="AE41" i="43"/>
  <c r="AG43" i="43"/>
  <c r="AD44" i="43"/>
  <c r="AF46" i="43"/>
  <c r="AC47" i="43"/>
  <c r="AH48" i="43"/>
  <c r="AE49" i="43"/>
  <c r="AG51" i="43"/>
  <c r="AD52" i="43"/>
  <c r="AF54" i="43"/>
  <c r="AC122" i="43"/>
  <c r="L123" i="43"/>
  <c r="AH5" i="43"/>
  <c r="AE6" i="43"/>
  <c r="AG8" i="43"/>
  <c r="AD9" i="43"/>
  <c r="AF11" i="43"/>
  <c r="AC12" i="43"/>
  <c r="AH13" i="43"/>
  <c r="AE14" i="43"/>
  <c r="AG16" i="43"/>
  <c r="AD17" i="43"/>
  <c r="AF19" i="43"/>
  <c r="AC20" i="43"/>
  <c r="AH21" i="43"/>
  <c r="AE22" i="43"/>
  <c r="AG24" i="43"/>
  <c r="AD25" i="43"/>
  <c r="AF27" i="43"/>
  <c r="AC28" i="43"/>
  <c r="AH29" i="43"/>
  <c r="AE30" i="43"/>
  <c r="AG32" i="43"/>
  <c r="AD33" i="43"/>
  <c r="AF35" i="43"/>
  <c r="AC36" i="43"/>
  <c r="AH37" i="43"/>
  <c r="AE38" i="43"/>
  <c r="AG40" i="43"/>
  <c r="AD41" i="43"/>
  <c r="AF43" i="43"/>
  <c r="AC44" i="43"/>
  <c r="AH45" i="43"/>
  <c r="AE46" i="43"/>
  <c r="AG48" i="43"/>
  <c r="AD49" i="43"/>
  <c r="AF51" i="43"/>
  <c r="AC52" i="43"/>
  <c r="AH53" i="43"/>
  <c r="AE54" i="43"/>
  <c r="AG5" i="43"/>
  <c r="AD6" i="43"/>
  <c r="AF8" i="43"/>
  <c r="AC9" i="43"/>
  <c r="AH10" i="43"/>
  <c r="AE11" i="43"/>
  <c r="AG13" i="43"/>
  <c r="AD14" i="43"/>
  <c r="AF16" i="43"/>
  <c r="AC17" i="43"/>
  <c r="AH18" i="43"/>
  <c r="AE19" i="43"/>
  <c r="AG21" i="43"/>
  <c r="AD22" i="43"/>
  <c r="AF24" i="43"/>
  <c r="AC25" i="43"/>
  <c r="AH26" i="43"/>
  <c r="AE27" i="43"/>
  <c r="AG29" i="43"/>
  <c r="AD30" i="43"/>
  <c r="AF32" i="43"/>
  <c r="AC33" i="43"/>
  <c r="AH34" i="43"/>
  <c r="AE35" i="43"/>
  <c r="AG37" i="43"/>
  <c r="AD38" i="43"/>
  <c r="AF40" i="43"/>
  <c r="AC41" i="43"/>
  <c r="AH42" i="43"/>
  <c r="AE43" i="43"/>
  <c r="AG45" i="43"/>
  <c r="AD46" i="43"/>
  <c r="AF48" i="43"/>
  <c r="AC49" i="43"/>
  <c r="AH50" i="43"/>
  <c r="AE51" i="43"/>
  <c r="AG53" i="43"/>
  <c r="AD54" i="43"/>
  <c r="Z123" i="43"/>
  <c r="AF5" i="43"/>
  <c r="AC6" i="43"/>
  <c r="AH7" i="43"/>
  <c r="AE8" i="43"/>
  <c r="AG10" i="43"/>
  <c r="AD11" i="43"/>
  <c r="AF13" i="43"/>
  <c r="AC14" i="43"/>
  <c r="AH15" i="43"/>
  <c r="AE16" i="43"/>
  <c r="AG18" i="43"/>
  <c r="AD19" i="43"/>
  <c r="AF21" i="43"/>
  <c r="AC22" i="43"/>
  <c r="AH23" i="43"/>
  <c r="AE24" i="43"/>
  <c r="AG26" i="43"/>
  <c r="AD27" i="43"/>
  <c r="AF29" i="43"/>
  <c r="AC30" i="43"/>
  <c r="AH31" i="43"/>
  <c r="AE32" i="43"/>
  <c r="AG34" i="43"/>
  <c r="AD35" i="43"/>
  <c r="AF37" i="43"/>
  <c r="AC38" i="43"/>
  <c r="AH39" i="43"/>
  <c r="AE40" i="43"/>
  <c r="AG42" i="43"/>
  <c r="AD43" i="43"/>
  <c r="AF45" i="43"/>
  <c r="AC46" i="43"/>
  <c r="AH47" i="43"/>
  <c r="AE48" i="43"/>
  <c r="AG50" i="43"/>
  <c r="AD51" i="43"/>
  <c r="AF53" i="43"/>
  <c r="AC54" i="43"/>
  <c r="AH122" i="43"/>
  <c r="I123" i="43"/>
  <c r="AE5" i="43"/>
  <c r="AF10" i="43"/>
  <c r="AH12" i="43"/>
  <c r="AE13" i="43"/>
  <c r="AF18" i="43"/>
  <c r="AH20" i="43"/>
  <c r="AE21" i="43"/>
  <c r="AF26" i="43"/>
  <c r="AH28" i="43"/>
  <c r="AE29" i="43"/>
  <c r="AF34" i="43"/>
  <c r="AH36" i="43"/>
  <c r="AE37" i="43"/>
  <c r="AG39" i="43"/>
  <c r="AF42" i="43"/>
  <c r="AH44" i="43"/>
  <c r="AE45" i="43"/>
  <c r="AG47" i="43"/>
  <c r="AF50" i="43"/>
  <c r="AH52" i="43"/>
  <c r="AE53" i="43"/>
  <c r="AG122" i="43"/>
  <c r="H123" i="43"/>
  <c r="AF7" i="43"/>
  <c r="AH9" i="43"/>
  <c r="AE10" i="43"/>
  <c r="AG12" i="43"/>
  <c r="AF15" i="43"/>
  <c r="AH17" i="43"/>
  <c r="AE18" i="43"/>
  <c r="AG20" i="43"/>
  <c r="AF23" i="43"/>
  <c r="AH25" i="43"/>
  <c r="AE26" i="43"/>
  <c r="AG28" i="43"/>
  <c r="AF31" i="43"/>
  <c r="AH33" i="43"/>
  <c r="AE34" i="43"/>
  <c r="AG36" i="43"/>
  <c r="AF39" i="43"/>
  <c r="AH41" i="43"/>
  <c r="AE42" i="43"/>
  <c r="AG44" i="43"/>
  <c r="AF47" i="43"/>
  <c r="AH49" i="43"/>
  <c r="AE50" i="43"/>
  <c r="AG52" i="43"/>
  <c r="AF122" i="43"/>
  <c r="G123" i="43"/>
  <c r="AN6" i="7"/>
  <c r="AO6" i="7"/>
  <c r="AN7" i="7"/>
  <c r="AO7" i="7"/>
  <c r="AN8" i="7"/>
  <c r="AO8" i="7"/>
  <c r="AN9" i="7"/>
  <c r="AO9" i="7"/>
  <c r="AN10" i="7"/>
  <c r="AO10" i="7"/>
  <c r="AN11" i="7"/>
  <c r="AO11" i="7"/>
  <c r="AN12" i="7"/>
  <c r="AO12" i="7"/>
  <c r="AN13" i="7"/>
  <c r="AO13" i="7"/>
  <c r="AO5" i="7"/>
  <c r="AN5" i="7"/>
  <c r="AD123" i="43" l="1"/>
  <c r="AC123" i="43"/>
  <c r="AE56" i="56"/>
  <c r="AH56" i="55"/>
  <c r="AE56" i="46"/>
  <c r="AF56" i="56"/>
  <c r="AE56" i="55"/>
  <c r="AF56" i="55"/>
  <c r="AG56" i="44"/>
  <c r="AG56" i="46"/>
  <c r="AH56" i="44"/>
  <c r="AE56" i="44"/>
  <c r="AF56" i="44"/>
  <c r="AF56" i="46"/>
  <c r="AH56" i="56"/>
  <c r="AG56" i="56"/>
  <c r="AG56" i="55"/>
  <c r="AH56" i="54"/>
  <c r="AF56" i="54"/>
  <c r="AF56" i="47"/>
  <c r="AG56" i="45"/>
  <c r="AH56" i="45"/>
  <c r="AE123" i="43"/>
  <c r="AF123" i="43"/>
  <c r="AB5" i="42" l="1"/>
  <c r="B5" i="5" s="1"/>
  <c r="AB6" i="42"/>
  <c r="B6" i="5" s="1"/>
  <c r="AB7" i="42"/>
  <c r="B7" i="5" s="1"/>
  <c r="AB8" i="42"/>
  <c r="B8" i="5" s="1"/>
  <c r="AB9" i="42"/>
  <c r="B9" i="5" s="1"/>
  <c r="AB10" i="42"/>
  <c r="B10" i="5" s="1"/>
  <c r="AB11" i="42"/>
  <c r="B11" i="5" s="1"/>
  <c r="AB12" i="42"/>
  <c r="B12" i="5" s="1"/>
  <c r="AB13" i="42"/>
  <c r="B13" i="5" s="1"/>
  <c r="E7" i="7"/>
  <c r="E8" i="7"/>
  <c r="E6" i="7"/>
  <c r="E12" i="7"/>
  <c r="E9" i="7"/>
  <c r="E10" i="7"/>
  <c r="E13" i="7"/>
  <c r="E11" i="7"/>
  <c r="E56" i="18" l="1"/>
  <c r="D56" i="18"/>
  <c r="F5" i="7"/>
  <c r="E5" i="7"/>
  <c r="L56" i="18" l="1"/>
  <c r="M56" i="18"/>
  <c r="F56" i="18"/>
  <c r="G56" i="18"/>
  <c r="J56" i="18"/>
  <c r="H56" i="18"/>
  <c r="R56" i="18"/>
  <c r="S56" i="18"/>
  <c r="P56" i="18"/>
  <c r="Y56" i="18"/>
  <c r="AA56" i="18"/>
  <c r="U56" i="18"/>
  <c r="W56" i="18"/>
  <c r="N56" i="18"/>
  <c r="B5" i="42"/>
  <c r="C5" i="42" s="1"/>
  <c r="AB5" i="18" l="1"/>
  <c r="AB56" i="18" s="1"/>
  <c r="Z5" i="18"/>
  <c r="Z56" i="18" s="1"/>
  <c r="X5" i="18"/>
  <c r="X56" i="18" s="1"/>
  <c r="V5" i="18"/>
  <c r="V56" i="18" s="1"/>
  <c r="T5" i="18"/>
  <c r="T56" i="18" s="1"/>
  <c r="Q5" i="18"/>
  <c r="Q56" i="18" s="1"/>
  <c r="O56" i="18"/>
  <c r="K56" i="18"/>
  <c r="I56" i="18"/>
  <c r="J5" i="7"/>
  <c r="AJ55" i="18" l="1"/>
  <c r="AI55" i="18"/>
  <c r="AD55" i="18"/>
  <c r="AC55" i="18"/>
  <c r="AJ54" i="18"/>
  <c r="AI54" i="18"/>
  <c r="AF54" i="18"/>
  <c r="AJ53" i="18"/>
  <c r="AI53" i="18"/>
  <c r="AD53" i="18"/>
  <c r="AC53" i="18"/>
  <c r="AJ52" i="18"/>
  <c r="AI52" i="18"/>
  <c r="AD52" i="18"/>
  <c r="AJ51" i="18"/>
  <c r="AI51" i="18"/>
  <c r="AG51" i="18"/>
  <c r="AI50" i="18"/>
  <c r="AJ50" i="18"/>
  <c r="AD50" i="18"/>
  <c r="AC50" i="18"/>
  <c r="AJ49" i="18"/>
  <c r="AI49" i="18"/>
  <c r="AF49" i="18"/>
  <c r="AJ48" i="18"/>
  <c r="AI48" i="18"/>
  <c r="AG48" i="18"/>
  <c r="AH48" i="18"/>
  <c r="AC48" i="18"/>
  <c r="AJ47" i="18"/>
  <c r="AI47" i="18"/>
  <c r="AD47" i="18"/>
  <c r="AC47" i="18"/>
  <c r="AJ46" i="18"/>
  <c r="AI46" i="18"/>
  <c r="AE46" i="18"/>
  <c r="AF46" i="18"/>
  <c r="AJ45" i="18"/>
  <c r="AI45" i="18"/>
  <c r="AD45" i="18"/>
  <c r="AC45" i="18"/>
  <c r="AC44" i="18"/>
  <c r="AJ44" i="18"/>
  <c r="AI44" i="18"/>
  <c r="AD44" i="18"/>
  <c r="AJ43" i="18"/>
  <c r="AI43" i="18"/>
  <c r="AH43" i="18"/>
  <c r="AG43" i="18"/>
  <c r="AI42" i="18"/>
  <c r="AJ42" i="18"/>
  <c r="AD42" i="18"/>
  <c r="AC42" i="18"/>
  <c r="AJ41" i="18"/>
  <c r="AI41" i="18"/>
  <c r="AF41" i="18"/>
  <c r="AE41" i="18"/>
  <c r="AJ40" i="18"/>
  <c r="AI40" i="18"/>
  <c r="AC40" i="18"/>
  <c r="AJ39" i="18"/>
  <c r="AI39" i="18"/>
  <c r="AD39" i="18"/>
  <c r="AC39" i="18"/>
  <c r="AJ38" i="18"/>
  <c r="AI38" i="18"/>
  <c r="AF38" i="18"/>
  <c r="AJ37" i="18"/>
  <c r="AI37" i="18"/>
  <c r="AD37" i="18"/>
  <c r="AC37" i="18"/>
  <c r="AJ36" i="18"/>
  <c r="AI36" i="18"/>
  <c r="AD36" i="18"/>
  <c r="AJ35" i="18"/>
  <c r="AI35" i="18"/>
  <c r="AH35" i="18"/>
  <c r="AI34" i="18"/>
  <c r="AJ34" i="18"/>
  <c r="AD34" i="18"/>
  <c r="AC34" i="18"/>
  <c r="AJ33" i="18"/>
  <c r="AI33" i="18"/>
  <c r="AF33" i="18"/>
  <c r="AJ32" i="18"/>
  <c r="AI32" i="18"/>
  <c r="AH32" i="18"/>
  <c r="AC32" i="18"/>
  <c r="AI31" i="18"/>
  <c r="AJ31" i="18"/>
  <c r="AD31" i="18"/>
  <c r="AC31" i="18"/>
  <c r="AJ30" i="18"/>
  <c r="AI30" i="18"/>
  <c r="AE30" i="18"/>
  <c r="AJ29" i="18"/>
  <c r="AI29" i="18"/>
  <c r="AH29" i="18"/>
  <c r="AD29" i="18"/>
  <c r="AC29" i="18"/>
  <c r="AC28" i="18"/>
  <c r="AJ28" i="18"/>
  <c r="AI28" i="18"/>
  <c r="AD28" i="18"/>
  <c r="AJ27" i="18"/>
  <c r="AI27" i="18"/>
  <c r="AF27" i="18"/>
  <c r="AJ26" i="18"/>
  <c r="AI26" i="18"/>
  <c r="AD26" i="18"/>
  <c r="AC26" i="18"/>
  <c r="AJ25" i="18"/>
  <c r="AI25" i="18"/>
  <c r="AF25" i="18"/>
  <c r="AJ24" i="18"/>
  <c r="AI24" i="18"/>
  <c r="AG24" i="18"/>
  <c r="AC24" i="18"/>
  <c r="AJ23" i="18"/>
  <c r="AI23" i="18"/>
  <c r="AD23" i="18"/>
  <c r="AC23" i="18"/>
  <c r="AE22" i="18"/>
  <c r="AJ22" i="18"/>
  <c r="AI22" i="18"/>
  <c r="AJ21" i="18"/>
  <c r="AI21" i="18"/>
  <c r="AH21" i="18"/>
  <c r="AD21" i="18"/>
  <c r="AC21" i="18"/>
  <c r="AC20" i="18"/>
  <c r="AJ20" i="18"/>
  <c r="AI20" i="18"/>
  <c r="AD20" i="18"/>
  <c r="AE20" i="18"/>
  <c r="AJ19" i="18"/>
  <c r="AI19" i="18"/>
  <c r="AF19" i="18"/>
  <c r="AJ18" i="18"/>
  <c r="AI18" i="18"/>
  <c r="AD18" i="18"/>
  <c r="AC18" i="18"/>
  <c r="AD17" i="18"/>
  <c r="AJ17" i="18"/>
  <c r="AI17" i="18"/>
  <c r="AJ16" i="18"/>
  <c r="AI16" i="18"/>
  <c r="AG16" i="18"/>
  <c r="AC16" i="18"/>
  <c r="AJ15" i="18"/>
  <c r="AI15" i="18"/>
  <c r="AD15" i="18"/>
  <c r="AC15" i="18"/>
  <c r="AJ14" i="18"/>
  <c r="AI14" i="18"/>
  <c r="AF14" i="18"/>
  <c r="AG14" i="18"/>
  <c r="AJ13" i="18"/>
  <c r="AI13" i="18"/>
  <c r="AH13" i="18"/>
  <c r="AD13" i="18"/>
  <c r="AC13" i="18"/>
  <c r="AJ12" i="18"/>
  <c r="AI12" i="18"/>
  <c r="AD12" i="18"/>
  <c r="AE12" i="18"/>
  <c r="AJ11" i="18"/>
  <c r="AI11" i="18"/>
  <c r="AF11" i="18"/>
  <c r="AG11" i="18"/>
  <c r="AJ10" i="18"/>
  <c r="AI10" i="18"/>
  <c r="AD10" i="18"/>
  <c r="AC10" i="18"/>
  <c r="AD9" i="18"/>
  <c r="AJ9" i="18"/>
  <c r="AI9" i="18"/>
  <c r="AE9" i="18"/>
  <c r="AJ8" i="18"/>
  <c r="AI8" i="18"/>
  <c r="AH8" i="18"/>
  <c r="AC8" i="18"/>
  <c r="AJ7" i="18"/>
  <c r="AI7" i="18"/>
  <c r="AD7" i="18"/>
  <c r="AC7" i="18"/>
  <c r="AJ6" i="18"/>
  <c r="AJ56" i="18" s="1"/>
  <c r="AI6" i="18"/>
  <c r="AF6" i="18"/>
  <c r="AE6" i="18"/>
  <c r="AJ5" i="18"/>
  <c r="AI5" i="18"/>
  <c r="AD5" i="18"/>
  <c r="AC5" i="18"/>
  <c r="N5" i="7"/>
  <c r="J12" i="7"/>
  <c r="L13" i="7"/>
  <c r="T12" i="7"/>
  <c r="G5" i="7"/>
  <c r="Q5" i="7"/>
  <c r="L11" i="7"/>
  <c r="F11" i="7"/>
  <c r="F13" i="7"/>
  <c r="F12" i="7"/>
  <c r="O13" i="7"/>
  <c r="S13" i="7"/>
  <c r="J13" i="7"/>
  <c r="V11" i="7"/>
  <c r="L12" i="7"/>
  <c r="R11" i="7"/>
  <c r="M5" i="7"/>
  <c r="Q12" i="7"/>
  <c r="M11" i="7"/>
  <c r="X5" i="7"/>
  <c r="Y12" i="7"/>
  <c r="W5" i="7"/>
  <c r="R12" i="7"/>
  <c r="W13" i="7"/>
  <c r="V12" i="7"/>
  <c r="U11" i="7"/>
  <c r="K12" i="7"/>
  <c r="P5" i="7"/>
  <c r="O12" i="7"/>
  <c r="M12" i="7"/>
  <c r="H5" i="7"/>
  <c r="Z12" i="7"/>
  <c r="N12" i="7"/>
  <c r="Y5" i="7"/>
  <c r="Z11" i="7"/>
  <c r="N11" i="7"/>
  <c r="H11" i="7"/>
  <c r="W12" i="7"/>
  <c r="S12" i="7"/>
  <c r="O5" i="7"/>
  <c r="AI56" i="18" l="1"/>
  <c r="O12" i="42"/>
  <c r="N12" i="42"/>
  <c r="L11" i="42"/>
  <c r="R12" i="42"/>
  <c r="I11" i="42"/>
  <c r="H11" i="42"/>
  <c r="K11" i="42"/>
  <c r="I12" i="42"/>
  <c r="G12" i="42"/>
  <c r="M12" i="42"/>
  <c r="B12" i="42"/>
  <c r="C12" i="42" s="1"/>
  <c r="D11" i="42"/>
  <c r="B11" i="42"/>
  <c r="C11" i="42" s="1"/>
  <c r="B13" i="42"/>
  <c r="C13" i="42" s="1"/>
  <c r="E5" i="42"/>
  <c r="D5" i="42"/>
  <c r="F5" i="42"/>
  <c r="S5" i="42"/>
  <c r="R5" i="42"/>
  <c r="Q5" i="42"/>
  <c r="J5" i="42"/>
  <c r="I5" i="7"/>
  <c r="AA5" i="42" s="1"/>
  <c r="C5" i="5" s="1"/>
  <c r="H5" i="5" s="1"/>
  <c r="AG13" i="7"/>
  <c r="AE13" i="7"/>
  <c r="AH12" i="7"/>
  <c r="AF12" i="7"/>
  <c r="AJ12" i="7"/>
  <c r="AI12" i="7"/>
  <c r="AG12" i="7"/>
  <c r="AE12" i="7"/>
  <c r="AG8" i="18"/>
  <c r="AC12" i="18"/>
  <c r="AE14" i="18"/>
  <c r="AH24" i="18"/>
  <c r="AF30" i="18"/>
  <c r="AE36" i="18"/>
  <c r="AG38" i="18"/>
  <c r="AH16" i="18"/>
  <c r="AF22" i="18"/>
  <c r="AE28" i="18"/>
  <c r="AG30" i="18"/>
  <c r="AD33" i="18"/>
  <c r="AF35" i="18"/>
  <c r="AH37" i="18"/>
  <c r="AG40" i="18"/>
  <c r="AD41" i="18"/>
  <c r="AE44" i="18"/>
  <c r="AG46" i="18"/>
  <c r="AD49" i="18"/>
  <c r="AE52" i="18"/>
  <c r="AG22" i="18"/>
  <c r="AD25" i="18"/>
  <c r="AH45" i="18"/>
  <c r="AG54" i="18"/>
  <c r="AH51" i="18"/>
  <c r="AH27" i="18"/>
  <c r="AE33" i="18"/>
  <c r="AG35" i="18"/>
  <c r="AE49" i="18"/>
  <c r="AF17" i="18"/>
  <c r="AH19" i="18"/>
  <c r="AE25" i="18"/>
  <c r="AG27" i="18"/>
  <c r="AG32" i="18"/>
  <c r="AC36" i="18"/>
  <c r="AE38" i="18"/>
  <c r="AG6" i="18"/>
  <c r="AF9" i="18"/>
  <c r="AH11" i="18"/>
  <c r="AE17" i="18"/>
  <c r="AG19" i="18"/>
  <c r="AH40" i="18"/>
  <c r="AC52" i="18"/>
  <c r="AF43" i="18"/>
  <c r="AF51" i="18"/>
  <c r="AH53" i="18"/>
  <c r="AE54" i="18"/>
  <c r="AG5" i="18"/>
  <c r="AD6" i="18"/>
  <c r="AF8" i="18"/>
  <c r="AC9" i="18"/>
  <c r="AH10" i="18"/>
  <c r="AE11" i="18"/>
  <c r="AG13" i="18"/>
  <c r="AD14" i="18"/>
  <c r="AF16" i="18"/>
  <c r="AC17" i="18"/>
  <c r="AH18" i="18"/>
  <c r="AE19" i="18"/>
  <c r="AG21" i="18"/>
  <c r="AD22" i="18"/>
  <c r="AF24" i="18"/>
  <c r="AC25" i="18"/>
  <c r="AH26" i="18"/>
  <c r="AE27" i="18"/>
  <c r="AG29" i="18"/>
  <c r="AD30" i="18"/>
  <c r="AF32" i="18"/>
  <c r="AC33" i="18"/>
  <c r="AH34" i="18"/>
  <c r="AE35" i="18"/>
  <c r="AG37" i="18"/>
  <c r="AD38" i="18"/>
  <c r="AF40" i="18"/>
  <c r="AC41" i="18"/>
  <c r="AH42" i="18"/>
  <c r="AE43" i="18"/>
  <c r="AG45" i="18"/>
  <c r="AD46" i="18"/>
  <c r="AF48" i="18"/>
  <c r="AC49" i="18"/>
  <c r="AH50" i="18"/>
  <c r="AE51" i="18"/>
  <c r="AG53" i="18"/>
  <c r="AD54" i="18"/>
  <c r="AH5" i="18"/>
  <c r="AF5" i="18"/>
  <c r="AF56" i="18" s="1"/>
  <c r="AC6" i="18"/>
  <c r="AC56" i="18" s="1"/>
  <c r="AH7" i="18"/>
  <c r="AE8" i="18"/>
  <c r="AG10" i="18"/>
  <c r="AD11" i="18"/>
  <c r="AF13" i="18"/>
  <c r="AC14" i="18"/>
  <c r="AH15" i="18"/>
  <c r="AE16" i="18"/>
  <c r="AG18" i="18"/>
  <c r="AD19" i="18"/>
  <c r="AF21" i="18"/>
  <c r="AC22" i="18"/>
  <c r="AH23" i="18"/>
  <c r="AE24" i="18"/>
  <c r="AG26" i="18"/>
  <c r="AD27" i="18"/>
  <c r="AF29" i="18"/>
  <c r="AC30" i="18"/>
  <c r="AH31" i="18"/>
  <c r="AE32" i="18"/>
  <c r="AG34" i="18"/>
  <c r="AD35" i="18"/>
  <c r="AF37" i="18"/>
  <c r="AC38" i="18"/>
  <c r="AH39" i="18"/>
  <c r="AE40" i="18"/>
  <c r="AG42" i="18"/>
  <c r="AD43" i="18"/>
  <c r="AF45" i="18"/>
  <c r="AC46" i="18"/>
  <c r="AH47" i="18"/>
  <c r="AE48" i="18"/>
  <c r="AG50" i="18"/>
  <c r="AD51" i="18"/>
  <c r="AF53" i="18"/>
  <c r="AC54" i="18"/>
  <c r="AH55" i="18"/>
  <c r="AE5" i="18"/>
  <c r="AG7" i="18"/>
  <c r="AD8" i="18"/>
  <c r="AF10" i="18"/>
  <c r="AC11" i="18"/>
  <c r="AH12" i="18"/>
  <c r="AE13" i="18"/>
  <c r="AG15" i="18"/>
  <c r="AD16" i="18"/>
  <c r="AF18" i="18"/>
  <c r="AC19" i="18"/>
  <c r="AH20" i="18"/>
  <c r="AE21" i="18"/>
  <c r="AG23" i="18"/>
  <c r="AD24" i="18"/>
  <c r="AF26" i="18"/>
  <c r="AC27" i="18"/>
  <c r="AH28" i="18"/>
  <c r="AE29" i="18"/>
  <c r="AG31" i="18"/>
  <c r="AD32" i="18"/>
  <c r="AF34" i="18"/>
  <c r="AC35" i="18"/>
  <c r="AH36" i="18"/>
  <c r="AE37" i="18"/>
  <c r="AG39" i="18"/>
  <c r="AD40" i="18"/>
  <c r="AF42" i="18"/>
  <c r="AC43" i="18"/>
  <c r="AH44" i="18"/>
  <c r="AE45" i="18"/>
  <c r="AG47" i="18"/>
  <c r="AD48" i="18"/>
  <c r="AF50" i="18"/>
  <c r="AC51" i="18"/>
  <c r="AH52" i="18"/>
  <c r="AE53" i="18"/>
  <c r="AG55" i="18"/>
  <c r="AF7" i="18"/>
  <c r="AH9" i="18"/>
  <c r="AE10" i="18"/>
  <c r="AG12" i="18"/>
  <c r="AF15" i="18"/>
  <c r="AH17" i="18"/>
  <c r="AE18" i="18"/>
  <c r="AG20" i="18"/>
  <c r="AF23" i="18"/>
  <c r="AH25" i="18"/>
  <c r="AE26" i="18"/>
  <c r="AG28" i="18"/>
  <c r="AF31" i="18"/>
  <c r="AH33" i="18"/>
  <c r="AE34" i="18"/>
  <c r="AG36" i="18"/>
  <c r="AF39" i="18"/>
  <c r="AH41" i="18"/>
  <c r="AE42" i="18"/>
  <c r="AG44" i="18"/>
  <c r="AF47" i="18"/>
  <c r="AH49" i="18"/>
  <c r="AE50" i="18"/>
  <c r="AG52" i="18"/>
  <c r="AF55" i="18"/>
  <c r="AH6" i="18"/>
  <c r="AE7" i="18"/>
  <c r="AG9" i="18"/>
  <c r="AF12" i="18"/>
  <c r="AH14" i="18"/>
  <c r="AE15" i="18"/>
  <c r="AG17" i="18"/>
  <c r="AF20" i="18"/>
  <c r="AH22" i="18"/>
  <c r="AE23" i="18"/>
  <c r="AG25" i="18"/>
  <c r="AF28" i="18"/>
  <c r="AH30" i="18"/>
  <c r="AE31" i="18"/>
  <c r="AG33" i="18"/>
  <c r="AF36" i="18"/>
  <c r="AH38" i="18"/>
  <c r="AE39" i="18"/>
  <c r="AG41" i="18"/>
  <c r="AF44" i="18"/>
  <c r="AH46" i="18"/>
  <c r="AE47" i="18"/>
  <c r="AG49" i="18"/>
  <c r="AF52" i="18"/>
  <c r="AH54" i="18"/>
  <c r="AE55" i="18"/>
  <c r="T5" i="7"/>
  <c r="K11" i="7"/>
  <c r="Q11" i="7"/>
  <c r="S11" i="7"/>
  <c r="U12" i="7"/>
  <c r="H12" i="7"/>
  <c r="G11" i="7"/>
  <c r="K5" i="7"/>
  <c r="W11" i="7"/>
  <c r="R5" i="7"/>
  <c r="Y11" i="7"/>
  <c r="Y13" i="7"/>
  <c r="H13" i="7"/>
  <c r="O11" i="7"/>
  <c r="AA5" i="7"/>
  <c r="M13" i="7"/>
  <c r="Z5" i="7"/>
  <c r="T11" i="7"/>
  <c r="K13" i="7"/>
  <c r="P12" i="7"/>
  <c r="R13" i="7"/>
  <c r="V5" i="7"/>
  <c r="Z13" i="7"/>
  <c r="U5" i="7"/>
  <c r="P11" i="7"/>
  <c r="AD5" i="7"/>
  <c r="L5" i="7"/>
  <c r="X12" i="7"/>
  <c r="N13" i="7"/>
  <c r="V13" i="7"/>
  <c r="P13" i="7"/>
  <c r="X13" i="7"/>
  <c r="T13" i="7"/>
  <c r="J11" i="7"/>
  <c r="S5" i="7"/>
  <c r="Q13" i="7"/>
  <c r="AC5" i="7"/>
  <c r="G12" i="7"/>
  <c r="AB5" i="7"/>
  <c r="G13" i="7"/>
  <c r="U13" i="7"/>
  <c r="X11" i="7"/>
  <c r="AG56" i="18" l="1"/>
  <c r="AE56" i="18"/>
  <c r="AH56" i="18"/>
  <c r="AD56" i="18"/>
  <c r="G11" i="42"/>
  <c r="F12" i="42"/>
  <c r="H12" i="42"/>
  <c r="K12" i="42"/>
  <c r="Q12" i="42"/>
  <c r="J13" i="42"/>
  <c r="I13" i="42"/>
  <c r="S12" i="42"/>
  <c r="J11" i="42"/>
  <c r="R13" i="42"/>
  <c r="N13" i="42"/>
  <c r="K13" i="42"/>
  <c r="O13" i="42"/>
  <c r="M13" i="42"/>
  <c r="N11" i="42"/>
  <c r="S11" i="42"/>
  <c r="H13" i="42"/>
  <c r="F13" i="42"/>
  <c r="Q13" i="42"/>
  <c r="S13" i="42"/>
  <c r="L13" i="42"/>
  <c r="J12" i="42"/>
  <c r="F11" i="42"/>
  <c r="L12" i="42"/>
  <c r="O11" i="42"/>
  <c r="G13" i="42"/>
  <c r="M11" i="42"/>
  <c r="Q11" i="42"/>
  <c r="R11" i="42"/>
  <c r="E12" i="42"/>
  <c r="D12" i="42"/>
  <c r="E13" i="42"/>
  <c r="D13" i="42"/>
  <c r="E11" i="42"/>
  <c r="V5" i="42"/>
  <c r="U5" i="42"/>
  <c r="T5" i="42"/>
  <c r="O5" i="42"/>
  <c r="N5" i="42"/>
  <c r="M5" i="42"/>
  <c r="L5" i="42"/>
  <c r="K5" i="42"/>
  <c r="G5" i="42"/>
  <c r="H5" i="42"/>
  <c r="I5" i="42"/>
  <c r="I12" i="7"/>
  <c r="AA12" i="42" s="1"/>
  <c r="C12" i="5" s="1"/>
  <c r="H12" i="5" s="1"/>
  <c r="I13" i="7"/>
  <c r="AA13" i="42" s="1"/>
  <c r="C13" i="5" s="1"/>
  <c r="H13" i="5" s="1"/>
  <c r="I11" i="7"/>
  <c r="AA11" i="42" s="1"/>
  <c r="C11" i="5" s="1"/>
  <c r="H11" i="5" s="1"/>
  <c r="AJ11" i="7"/>
  <c r="AH11" i="7"/>
  <c r="AF11" i="7"/>
  <c r="AI13" i="7"/>
  <c r="AI11" i="7"/>
  <c r="AG11" i="7"/>
  <c r="AE11" i="7"/>
  <c r="AH13" i="7"/>
  <c r="AF13" i="7"/>
  <c r="AJ13" i="7"/>
  <c r="AL5" i="7"/>
  <c r="AJ5" i="7"/>
  <c r="AC13" i="7"/>
  <c r="AA13" i="7"/>
  <c r="AD13" i="7"/>
  <c r="AB12" i="7"/>
  <c r="AC12" i="7"/>
  <c r="AD12" i="7"/>
  <c r="AC11" i="7"/>
  <c r="AD11" i="7"/>
  <c r="AB13" i="7"/>
  <c r="AB11" i="7"/>
  <c r="AA11" i="7"/>
  <c r="AA12" i="7"/>
  <c r="V12" i="42" l="1"/>
  <c r="U13" i="42"/>
  <c r="V13" i="42"/>
  <c r="U11" i="42"/>
  <c r="T11" i="42"/>
  <c r="T13" i="42"/>
  <c r="V11" i="42"/>
  <c r="T12" i="42"/>
  <c r="U12" i="42"/>
  <c r="AL12" i="7"/>
  <c r="AL13" i="7"/>
  <c r="AK11" i="7"/>
  <c r="AK13" i="7"/>
  <c r="AL11" i="7"/>
  <c r="AK12" i="7"/>
  <c r="F8" i="7"/>
  <c r="L6" i="7"/>
  <c r="F10" i="7"/>
  <c r="F6" i="7"/>
  <c r="L7" i="7"/>
  <c r="L9" i="7"/>
  <c r="L10" i="7"/>
  <c r="L8" i="7"/>
  <c r="F7" i="7"/>
  <c r="F9" i="7"/>
  <c r="B9" i="42" l="1"/>
  <c r="C9" i="42" s="1"/>
  <c r="B8" i="42"/>
  <c r="C8" i="42" s="1"/>
  <c r="B7" i="42"/>
  <c r="C7" i="42" s="1"/>
  <c r="B6" i="42"/>
  <c r="B10" i="42"/>
  <c r="C10" i="42" s="1"/>
  <c r="AM11" i="7"/>
  <c r="Z11" i="42" s="1"/>
  <c r="E11" i="5" s="1"/>
  <c r="AM13" i="7"/>
  <c r="Z13" i="42" s="1"/>
  <c r="E13" i="5" s="1"/>
  <c r="AM12" i="7"/>
  <c r="U7" i="7"/>
  <c r="X8" i="7"/>
  <c r="R6" i="7"/>
  <c r="U6" i="7"/>
  <c r="V8" i="7"/>
  <c r="N7" i="7"/>
  <c r="M10" i="7"/>
  <c r="H10" i="7"/>
  <c r="G8" i="7"/>
  <c r="S7" i="7"/>
  <c r="S9" i="7"/>
  <c r="J8" i="7"/>
  <c r="P10" i="7"/>
  <c r="G9" i="7"/>
  <c r="P9" i="7"/>
  <c r="W10" i="7"/>
  <c r="M9" i="7"/>
  <c r="M7" i="7"/>
  <c r="M8" i="7"/>
  <c r="Y7" i="7"/>
  <c r="S6" i="7"/>
  <c r="Q10" i="7"/>
  <c r="P8" i="7"/>
  <c r="X7" i="7"/>
  <c r="K7" i="7"/>
  <c r="S8" i="7"/>
  <c r="W9" i="7"/>
  <c r="Z7" i="7"/>
  <c r="O9" i="7"/>
  <c r="G7" i="7"/>
  <c r="R8" i="7"/>
  <c r="V6" i="7"/>
  <c r="X9" i="7"/>
  <c r="W8" i="7"/>
  <c r="H7" i="7"/>
  <c r="N6" i="7"/>
  <c r="V10" i="7"/>
  <c r="H9" i="7"/>
  <c r="J9" i="7"/>
  <c r="N9" i="7"/>
  <c r="K8" i="7"/>
  <c r="O7" i="7"/>
  <c r="Q7" i="7"/>
  <c r="K6" i="7"/>
  <c r="G6" i="7"/>
  <c r="N10" i="7"/>
  <c r="V9" i="7"/>
  <c r="K10" i="7"/>
  <c r="R9" i="7"/>
  <c r="V7" i="7"/>
  <c r="Z10" i="7"/>
  <c r="T6" i="7"/>
  <c r="P7" i="7"/>
  <c r="M6" i="7"/>
  <c r="Y10" i="7"/>
  <c r="T9" i="7"/>
  <c r="K9" i="7"/>
  <c r="W7" i="7"/>
  <c r="H8" i="7"/>
  <c r="O6" i="7"/>
  <c r="X10" i="7"/>
  <c r="Y8" i="7"/>
  <c r="U9" i="7"/>
  <c r="U10" i="7"/>
  <c r="Q8" i="7"/>
  <c r="N8" i="7"/>
  <c r="Z8" i="7"/>
  <c r="Y9" i="7"/>
  <c r="H6" i="7"/>
  <c r="Z9" i="7"/>
  <c r="J6" i="7"/>
  <c r="R7" i="7"/>
  <c r="O8" i="7"/>
  <c r="T8" i="7"/>
  <c r="W6" i="7"/>
  <c r="Q6" i="7"/>
  <c r="Y6" i="7"/>
  <c r="U8" i="7"/>
  <c r="P6" i="7"/>
  <c r="J10" i="7"/>
  <c r="T7" i="7"/>
  <c r="J7" i="7"/>
  <c r="S10" i="7"/>
  <c r="O10" i="7"/>
  <c r="T10" i="7"/>
  <c r="R10" i="7"/>
  <c r="G10" i="7"/>
  <c r="Q9" i="7"/>
  <c r="Z6" i="7"/>
  <c r="X6" i="7"/>
  <c r="M10" i="42" l="1"/>
  <c r="G7" i="42"/>
  <c r="F8" i="42"/>
  <c r="H7" i="42"/>
  <c r="L9" i="42"/>
  <c r="M8" i="42"/>
  <c r="J9" i="42"/>
  <c r="Q7" i="42"/>
  <c r="R8" i="42"/>
  <c r="M7" i="42"/>
  <c r="J6" i="42"/>
  <c r="I6" i="42"/>
  <c r="R9" i="42"/>
  <c r="S8" i="42"/>
  <c r="G8" i="42"/>
  <c r="H9" i="42"/>
  <c r="H8" i="42"/>
  <c r="I10" i="42"/>
  <c r="L6" i="42"/>
  <c r="Q9" i="42"/>
  <c r="Q6" i="42"/>
  <c r="H10" i="42"/>
  <c r="S10" i="42"/>
  <c r="R6" i="42"/>
  <c r="L10" i="42"/>
  <c r="L8" i="42"/>
  <c r="R7" i="42"/>
  <c r="S6" i="42"/>
  <c r="I8" i="42"/>
  <c r="F9" i="42"/>
  <c r="N9" i="42"/>
  <c r="K9" i="42"/>
  <c r="O9" i="42"/>
  <c r="H6" i="42"/>
  <c r="Q8" i="42"/>
  <c r="J8" i="42"/>
  <c r="G6" i="42"/>
  <c r="J10" i="42"/>
  <c r="M9" i="42"/>
  <c r="I7" i="42"/>
  <c r="F10" i="42"/>
  <c r="S9" i="42"/>
  <c r="K8" i="42"/>
  <c r="O8" i="42"/>
  <c r="N8" i="42"/>
  <c r="R10" i="42"/>
  <c r="J7" i="42"/>
  <c r="S7" i="42"/>
  <c r="L7" i="42"/>
  <c r="O6" i="42"/>
  <c r="K6" i="42"/>
  <c r="N6" i="42"/>
  <c r="K7" i="42"/>
  <c r="O7" i="42"/>
  <c r="N7" i="42"/>
  <c r="F6" i="42"/>
  <c r="K10" i="42"/>
  <c r="O10" i="42"/>
  <c r="N10" i="42"/>
  <c r="Q10" i="42"/>
  <c r="I9" i="42"/>
  <c r="G9" i="42"/>
  <c r="M6" i="42"/>
  <c r="G10" i="42"/>
  <c r="F7" i="42"/>
  <c r="P12" i="42"/>
  <c r="X12" i="42"/>
  <c r="Y12" i="42"/>
  <c r="D12" i="5" s="1"/>
  <c r="W12" i="42"/>
  <c r="P11" i="42"/>
  <c r="W11" i="42"/>
  <c r="X11" i="42"/>
  <c r="Y11" i="42"/>
  <c r="D11" i="5" s="1"/>
  <c r="P13" i="42"/>
  <c r="W13" i="42"/>
  <c r="X13" i="42"/>
  <c r="Y13" i="42"/>
  <c r="D13" i="5" s="1"/>
  <c r="Z12" i="42"/>
  <c r="E12" i="5" s="1"/>
  <c r="E7" i="42"/>
  <c r="D7" i="42"/>
  <c r="E9" i="42"/>
  <c r="D9" i="42"/>
  <c r="E8" i="42"/>
  <c r="D8" i="42"/>
  <c r="E10" i="42"/>
  <c r="D10" i="42"/>
  <c r="E6" i="42"/>
  <c r="D6" i="42"/>
  <c r="I7" i="7"/>
  <c r="AA7" i="42" s="1"/>
  <c r="C7" i="5" s="1"/>
  <c r="H7" i="5" s="1"/>
  <c r="I9" i="7"/>
  <c r="AA9" i="42" s="1"/>
  <c r="C9" i="5" s="1"/>
  <c r="H9" i="5" s="1"/>
  <c r="I8" i="7"/>
  <c r="AA8" i="42" s="1"/>
  <c r="C8" i="5" s="1"/>
  <c r="H8" i="5" s="1"/>
  <c r="I10" i="7"/>
  <c r="AA10" i="42" s="1"/>
  <c r="C10" i="5" s="1"/>
  <c r="H10" i="5" s="1"/>
  <c r="I6" i="7"/>
  <c r="AA6" i="42" s="1"/>
  <c r="C6" i="5" s="1"/>
  <c r="H6" i="5" s="1"/>
  <c r="AH7" i="7"/>
  <c r="AF7" i="7"/>
  <c r="AJ7" i="7"/>
  <c r="AI8" i="7"/>
  <c r="AG8" i="7"/>
  <c r="AE8" i="7"/>
  <c r="AJ8" i="7"/>
  <c r="AH8" i="7"/>
  <c r="AF8" i="7"/>
  <c r="AI9" i="7"/>
  <c r="AE9" i="7"/>
  <c r="AG9" i="7"/>
  <c r="AH6" i="7"/>
  <c r="AJ6" i="7"/>
  <c r="AF6" i="7"/>
  <c r="AI10" i="7"/>
  <c r="AG10" i="7"/>
  <c r="AE10" i="7"/>
  <c r="AE6" i="7"/>
  <c r="AG6" i="7"/>
  <c r="AI6" i="7"/>
  <c r="AH9" i="7"/>
  <c r="AJ9" i="7"/>
  <c r="AF9" i="7"/>
  <c r="AJ10" i="7"/>
  <c r="AH10" i="7"/>
  <c r="AF10" i="7"/>
  <c r="AI7" i="7"/>
  <c r="AG7" i="7"/>
  <c r="AE7" i="7"/>
  <c r="AC8" i="7"/>
  <c r="AB6" i="7"/>
  <c r="AD6" i="7"/>
  <c r="AC6" i="7"/>
  <c r="AB7" i="7"/>
  <c r="AB10" i="7"/>
  <c r="AB8" i="7"/>
  <c r="AA10" i="7"/>
  <c r="AC7" i="7"/>
  <c r="AD10" i="7"/>
  <c r="AA7" i="7"/>
  <c r="AD8" i="7"/>
  <c r="AA6" i="7"/>
  <c r="AC10" i="7"/>
  <c r="AD9" i="7"/>
  <c r="AA8" i="7"/>
  <c r="AD7" i="7"/>
  <c r="AA9" i="7"/>
  <c r="AB9" i="7"/>
  <c r="AC9" i="7"/>
  <c r="U8" i="42" l="1"/>
  <c r="U9" i="42"/>
  <c r="T7" i="42"/>
  <c r="T9" i="42"/>
  <c r="V9" i="42"/>
  <c r="V7" i="42"/>
  <c r="U10" i="42"/>
  <c r="V6" i="42"/>
  <c r="V8" i="42"/>
  <c r="V10" i="42"/>
  <c r="U6" i="42"/>
  <c r="U7" i="42"/>
  <c r="T6" i="42"/>
  <c r="T10" i="42"/>
  <c r="T8" i="42"/>
  <c r="AK7" i="7"/>
  <c r="AK9" i="7"/>
  <c r="AL9" i="7"/>
  <c r="AL7" i="7"/>
  <c r="AL6" i="7"/>
  <c r="AL8" i="7"/>
  <c r="AL10" i="7"/>
  <c r="AK6" i="7"/>
  <c r="AK10" i="7"/>
  <c r="AK8" i="7"/>
  <c r="AM6" i="7" l="1"/>
  <c r="AM10" i="7"/>
  <c r="AM7" i="7"/>
  <c r="Z7" i="42" s="1"/>
  <c r="E7" i="5" s="1"/>
  <c r="AM8" i="7"/>
  <c r="Z8" i="42" s="1"/>
  <c r="E8" i="5" s="1"/>
  <c r="AM9" i="7"/>
  <c r="Z9" i="42" s="1"/>
  <c r="E9" i="5" s="1"/>
  <c r="P6" i="42" l="1"/>
  <c r="Y6" i="42"/>
  <c r="D6" i="5" s="1"/>
  <c r="I6" i="5" s="1"/>
  <c r="X6" i="42"/>
  <c r="W6" i="42"/>
  <c r="P10" i="42"/>
  <c r="W10" i="42"/>
  <c r="Y10" i="42"/>
  <c r="D10" i="5" s="1"/>
  <c r="I10" i="5" s="1"/>
  <c r="X10" i="42"/>
  <c r="P7" i="42"/>
  <c r="X7" i="42"/>
  <c r="W7" i="42"/>
  <c r="Y7" i="42"/>
  <c r="D7" i="5" s="1"/>
  <c r="I7" i="5" s="1"/>
  <c r="P8" i="42"/>
  <c r="Y8" i="42"/>
  <c r="D8" i="5" s="1"/>
  <c r="W8" i="42"/>
  <c r="X8" i="42"/>
  <c r="Z6" i="42"/>
  <c r="E6" i="5" s="1"/>
  <c r="J6" i="5" s="1"/>
  <c r="Z10" i="42"/>
  <c r="E10" i="5" s="1"/>
  <c r="J10" i="5" s="1"/>
  <c r="P9" i="42"/>
  <c r="W9" i="42"/>
  <c r="X9" i="42"/>
  <c r="Y9" i="42"/>
  <c r="D9" i="5" s="1"/>
  <c r="I9" i="5" s="1"/>
  <c r="G9" i="5"/>
  <c r="G7" i="5"/>
  <c r="G12" i="5"/>
  <c r="G11" i="5"/>
  <c r="G13" i="5"/>
  <c r="I13" i="5"/>
  <c r="I12" i="5"/>
  <c r="I11" i="5"/>
  <c r="J7" i="5"/>
  <c r="J13" i="5"/>
  <c r="J11" i="5"/>
  <c r="J12" i="5"/>
  <c r="J9" i="5"/>
  <c r="L11" i="5" l="1"/>
  <c r="L13" i="5"/>
  <c r="L9" i="5"/>
  <c r="L12" i="5"/>
  <c r="L7" i="5"/>
  <c r="G10" i="5"/>
  <c r="L10" i="5" s="1"/>
  <c r="G6" i="5"/>
  <c r="L6" i="5" s="1"/>
  <c r="AE5" i="7" l="1"/>
  <c r="AG5" i="7"/>
  <c r="AI5" i="7"/>
  <c r="AF5" i="7"/>
  <c r="AH5" i="7"/>
  <c r="AK5" i="7"/>
  <c r="AM5" i="7" l="1"/>
  <c r="Y5" i="42" s="1"/>
  <c r="D5" i="5" s="1"/>
  <c r="Z5" i="42" l="1"/>
  <c r="E5" i="5" s="1"/>
  <c r="P5" i="42"/>
  <c r="W5" i="42"/>
  <c r="X5" i="42"/>
  <c r="G8" i="5" l="1"/>
  <c r="G5" i="5"/>
  <c r="I8" i="5"/>
  <c r="J5" i="5"/>
  <c r="J8" i="5"/>
  <c r="I5" i="5"/>
  <c r="L5" i="5" l="1"/>
  <c r="L8" i="5"/>
</calcChain>
</file>

<file path=xl/comments1.xml><?xml version="1.0" encoding="utf-8"?>
<comments xmlns="http://schemas.openxmlformats.org/spreadsheetml/2006/main">
  <authors>
    <author>admin</author>
  </authors>
  <commentList>
    <comment ref="F3" authorId="0" shapeId="0">
      <text>
        <r>
          <rPr>
            <b/>
            <sz val="9"/>
            <color indexed="81"/>
            <rFont val="宋体"/>
            <family val="3"/>
            <charset val="134"/>
          </rPr>
          <t>手工录入：禅道中冒烟测试提测的版本次数</t>
        </r>
      </text>
    </comment>
  </commentList>
</comments>
</file>

<file path=xl/comments2.xml><?xml version="1.0" encoding="utf-8"?>
<comments xmlns="http://schemas.openxmlformats.org/spreadsheetml/2006/main">
  <authors>
    <author>admin</author>
  </authors>
  <commentList>
    <comment ref="C6" authorId="0" shapeId="0">
      <text>
        <r>
          <rPr>
            <b/>
            <sz val="9"/>
            <color indexed="81"/>
            <rFont val="宋体"/>
            <family val="3"/>
            <charset val="134"/>
          </rPr>
          <t>admin:</t>
        </r>
        <r>
          <rPr>
            <sz val="9"/>
            <color indexed="81"/>
            <rFont val="宋体"/>
            <family val="3"/>
            <charset val="134"/>
          </rPr>
          <t xml:space="preserve">
本迭代交付是否成功判断：在迭代周期内未完成计划的任务</t>
        </r>
      </text>
    </comment>
  </commentList>
</comments>
</file>

<file path=xl/comments3.xml><?xml version="1.0" encoding="utf-8"?>
<comments xmlns="http://schemas.openxmlformats.org/spreadsheetml/2006/main">
  <authors>
    <author>admin</author>
  </authors>
  <commentList>
    <comment ref="J1" authorId="0" shapeId="0">
      <text>
        <r>
          <rPr>
            <b/>
            <sz val="9"/>
            <color indexed="81"/>
            <rFont val="宋体"/>
            <family val="3"/>
            <charset val="134"/>
          </rPr>
          <t>等于检出活动</t>
        </r>
        <r>
          <rPr>
            <sz val="9"/>
            <color indexed="81"/>
            <rFont val="Tahoma"/>
            <family val="2"/>
          </rPr>
          <t xml:space="preserve">
</t>
        </r>
      </text>
    </comment>
  </commentList>
</comments>
</file>

<file path=xl/comments4.xml><?xml version="1.0" encoding="utf-8"?>
<comments xmlns="http://schemas.openxmlformats.org/spreadsheetml/2006/main">
  <authors>
    <author>admin</author>
  </authors>
  <commentList>
    <comment ref="C4" authorId="0" shapeId="0">
      <text>
        <r>
          <rPr>
            <b/>
            <sz val="9"/>
            <color indexed="81"/>
            <rFont val="宋体"/>
            <family val="3"/>
            <charset val="134"/>
          </rPr>
          <t>本轮迭代起止时间</t>
        </r>
      </text>
    </comment>
  </commentList>
</comments>
</file>

<file path=xl/comments5.xml><?xml version="1.0" encoding="utf-8"?>
<comments xmlns="http://schemas.openxmlformats.org/spreadsheetml/2006/main">
  <authors>
    <author>admin</author>
  </authors>
  <commentList>
    <comment ref="C4" authorId="0" shapeId="0">
      <text>
        <r>
          <rPr>
            <b/>
            <sz val="9"/>
            <color indexed="81"/>
            <rFont val="宋体"/>
            <family val="3"/>
            <charset val="134"/>
          </rPr>
          <t>本轮迭代起止时间</t>
        </r>
      </text>
    </comment>
  </commentList>
</comments>
</file>

<file path=xl/comments6.xml><?xml version="1.0" encoding="utf-8"?>
<comments xmlns="http://schemas.openxmlformats.org/spreadsheetml/2006/main">
  <authors>
    <author>admin</author>
  </authors>
  <commentList>
    <comment ref="C4" authorId="0" shapeId="0">
      <text>
        <r>
          <rPr>
            <b/>
            <sz val="9"/>
            <color indexed="81"/>
            <rFont val="宋体"/>
            <family val="3"/>
            <charset val="134"/>
          </rPr>
          <t>本轮迭代起止时间</t>
        </r>
      </text>
    </comment>
  </commentList>
</comments>
</file>

<file path=xl/comments7.xml><?xml version="1.0" encoding="utf-8"?>
<comments xmlns="http://schemas.openxmlformats.org/spreadsheetml/2006/main">
  <authors>
    <author>admin</author>
  </authors>
  <commentList>
    <comment ref="C4" authorId="0" shapeId="0">
      <text>
        <r>
          <rPr>
            <b/>
            <sz val="9"/>
            <color indexed="81"/>
            <rFont val="宋体"/>
            <family val="3"/>
            <charset val="134"/>
          </rPr>
          <t>本轮迭代起止时间</t>
        </r>
      </text>
    </comment>
  </commentList>
</comments>
</file>

<file path=xl/comments8.xml><?xml version="1.0" encoding="utf-8"?>
<comments xmlns="http://schemas.openxmlformats.org/spreadsheetml/2006/main">
  <authors>
    <author>admin</author>
  </authors>
  <commentList>
    <comment ref="C4" authorId="0" shapeId="0">
      <text>
        <r>
          <rPr>
            <b/>
            <sz val="9"/>
            <color indexed="81"/>
            <rFont val="宋体"/>
            <family val="3"/>
            <charset val="134"/>
          </rPr>
          <t>本轮迭代起止时间</t>
        </r>
      </text>
    </comment>
  </commentList>
</comments>
</file>

<file path=xl/comments9.xml><?xml version="1.0" encoding="utf-8"?>
<comments xmlns="http://schemas.openxmlformats.org/spreadsheetml/2006/main">
  <authors>
    <author>admin</author>
  </authors>
  <commentList>
    <comment ref="C4" authorId="0" shapeId="0">
      <text>
        <r>
          <rPr>
            <b/>
            <sz val="9"/>
            <color indexed="81"/>
            <rFont val="宋体"/>
            <family val="3"/>
            <charset val="134"/>
          </rPr>
          <t>本轮迭代起止时间</t>
        </r>
      </text>
    </comment>
  </commentList>
</comments>
</file>

<file path=xl/comments10.xml><?xml version="1.0" encoding="utf-8"?>
<comments xmlns="http://schemas.openxmlformats.org/spreadsheetml/2006/main">
  <authors>
    <author>admin</author>
  </authors>
  <commentList>
    <comment ref="C4" authorId="0" shapeId="0">
      <text>
        <r>
          <rPr>
            <b/>
            <sz val="9"/>
            <color indexed="81"/>
            <rFont val="宋体"/>
            <family val="3"/>
            <charset val="134"/>
          </rPr>
          <t>本轮迭代起止时间</t>
        </r>
      </text>
    </comment>
  </commentList>
</comments>
</file>

<file path=xl/comments11.xml><?xml version="1.0" encoding="utf-8"?>
<comments xmlns="http://schemas.openxmlformats.org/spreadsheetml/2006/main">
  <authors>
    <author>admin</author>
  </authors>
  <commentList>
    <comment ref="C4" authorId="0" shapeId="0">
      <text>
        <r>
          <rPr>
            <b/>
            <sz val="9"/>
            <color indexed="81"/>
            <rFont val="宋体"/>
            <family val="3"/>
            <charset val="134"/>
          </rPr>
          <t>本轮迭代起止时间</t>
        </r>
      </text>
    </comment>
  </commentList>
</comments>
</file>

<file path=xl/comments12.xml><?xml version="1.0" encoding="utf-8"?>
<comments xmlns="http://schemas.openxmlformats.org/spreadsheetml/2006/main">
  <authors>
    <author>admin</author>
  </authors>
  <commentList>
    <comment ref="C4" authorId="0" shapeId="0">
      <text>
        <r>
          <rPr>
            <b/>
            <sz val="9"/>
            <color indexed="81"/>
            <rFont val="宋体"/>
            <family val="3"/>
            <charset val="134"/>
          </rPr>
          <t>本轮迭代起止时间</t>
        </r>
      </text>
    </comment>
  </commentList>
</comments>
</file>

<file path=xl/sharedStrings.xml><?xml version="1.0" encoding="utf-8"?>
<sst xmlns="http://schemas.openxmlformats.org/spreadsheetml/2006/main" count="7251" uniqueCount="1341">
  <si>
    <t>系统测试</t>
  </si>
  <si>
    <t>指数</t>
  </si>
  <si>
    <t>综合</t>
  </si>
  <si>
    <t>过程检查</t>
  </si>
  <si>
    <t>备注</t>
  </si>
  <si>
    <t>M002</t>
  </si>
  <si>
    <t>M003</t>
  </si>
  <si>
    <t>M004</t>
  </si>
  <si>
    <t>M005</t>
  </si>
  <si>
    <t>M006</t>
  </si>
  <si>
    <t>M007</t>
  </si>
  <si>
    <t>M008</t>
  </si>
  <si>
    <t>M009</t>
  </si>
  <si>
    <t>M010</t>
  </si>
  <si>
    <t>M011</t>
  </si>
  <si>
    <t>M012</t>
  </si>
  <si>
    <t>M013</t>
  </si>
  <si>
    <t>M014</t>
  </si>
  <si>
    <t>M015</t>
  </si>
  <si>
    <t>M016</t>
  </si>
  <si>
    <t>M017</t>
  </si>
  <si>
    <t>M018</t>
  </si>
  <si>
    <t>M019</t>
  </si>
  <si>
    <t>M020</t>
  </si>
  <si>
    <t>M021</t>
  </si>
  <si>
    <t>M022</t>
  </si>
  <si>
    <t>M024</t>
  </si>
  <si>
    <t>M025</t>
  </si>
  <si>
    <t>M023</t>
  </si>
  <si>
    <t>M026</t>
  </si>
  <si>
    <t>M027</t>
  </si>
  <si>
    <t>M028</t>
  </si>
  <si>
    <t>M029</t>
  </si>
  <si>
    <t>M030</t>
  </si>
  <si>
    <t>系统测试检出缺陷数</t>
  </si>
  <si>
    <t>系统测试检出严重及致命缺陷数</t>
  </si>
  <si>
    <t>系统测试关闭缺陷数</t>
  </si>
  <si>
    <t>系统测试关闭严重及致命缺陷数</t>
  </si>
  <si>
    <t>开发评审检出缺陷数</t>
  </si>
  <si>
    <t>开发评审关闭缺陷数</t>
  </si>
  <si>
    <t>系统测试前检出缺陷数</t>
  </si>
  <si>
    <t>系统测试前关闭缺陷数</t>
  </si>
  <si>
    <t>过程</t>
  </si>
  <si>
    <t>附件</t>
  </si>
  <si>
    <t>验收测试</t>
  </si>
  <si>
    <t>系统测试案例评审检出缺陷数</t>
  </si>
  <si>
    <t>系统测试案例评审关闭缺陷数</t>
  </si>
  <si>
    <r>
      <rPr>
        <sz val="12"/>
        <rFont val="Arial"/>
        <family val="2"/>
      </rPr>
      <t xml:space="preserve"> </t>
    </r>
    <r>
      <rPr>
        <sz val="10"/>
        <color theme="1"/>
        <rFont val="Arial"/>
        <family val="2"/>
      </rPr>
      <t xml:space="preserve">     </t>
    </r>
    <r>
      <rPr>
        <sz val="12"/>
        <rFont val="Arial"/>
        <family val="2"/>
      </rPr>
      <t xml:space="preserve">      </t>
    </r>
    <r>
      <rPr>
        <b/>
        <sz val="18"/>
        <rFont val="Arial"/>
        <family val="2"/>
      </rPr>
      <t xml:space="preserve">                                </t>
    </r>
    <r>
      <rPr>
        <sz val="12"/>
        <rFont val="Arial"/>
        <family val="2"/>
      </rPr>
      <t xml:space="preserve"> </t>
    </r>
  </si>
  <si>
    <t>使用说明</t>
  </si>
  <si>
    <t>分类</t>
  </si>
  <si>
    <t>相关信息位置</t>
  </si>
  <si>
    <t>编制类型</t>
  </si>
  <si>
    <t>项目整体质量情况</t>
  </si>
  <si>
    <t>自动生成</t>
  </si>
  <si>
    <t>自动汇总表格，项目各指标实际数据汇总。</t>
  </si>
  <si>
    <t>基础数据明细</t>
  </si>
  <si>
    <t>参考信息</t>
  </si>
  <si>
    <t>版本信息</t>
  </si>
  <si>
    <r>
      <rPr>
        <u/>
        <sz val="10"/>
        <color theme="10"/>
        <rFont val="宋体"/>
        <family val="3"/>
        <charset val="134"/>
      </rPr>
      <t>版本信息</t>
    </r>
  </si>
  <si>
    <t>收集表版本变更记录。</t>
  </si>
  <si>
    <t>需求名称</t>
    <phoneticPr fontId="13" type="noConversion"/>
  </si>
  <si>
    <r>
      <t>Zen</t>
    </r>
    <r>
      <rPr>
        <sz val="10"/>
        <color theme="1"/>
        <rFont val="Arial"/>
        <family val="2"/>
      </rPr>
      <t>Tao</t>
    </r>
    <phoneticPr fontId="13" type="noConversion"/>
  </si>
  <si>
    <t>开发规模</t>
    <phoneticPr fontId="13" type="noConversion"/>
  </si>
  <si>
    <t>ZenTao</t>
    <phoneticPr fontId="13" type="noConversion"/>
  </si>
  <si>
    <t>运维测试</t>
    <phoneticPr fontId="13" type="noConversion"/>
  </si>
  <si>
    <t>运维测试检出缺陷数</t>
    <phoneticPr fontId="13" type="noConversion"/>
  </si>
  <si>
    <t>运维测试关闭缺陷数</t>
    <phoneticPr fontId="13" type="noConversion"/>
  </si>
  <si>
    <t>运维测试检出严重及致命缺陷数</t>
    <phoneticPr fontId="13" type="noConversion"/>
  </si>
  <si>
    <t>运维测试关闭严重及致命缺陷数</t>
    <phoneticPr fontId="13" type="noConversion"/>
  </si>
  <si>
    <t>Bug编号</t>
  </si>
  <si>
    <t>所属产品</t>
  </si>
  <si>
    <t>分支/平台</t>
  </si>
  <si>
    <t>所属模块</t>
  </si>
  <si>
    <t>所属项目</t>
  </si>
  <si>
    <t>相关需求</t>
  </si>
  <si>
    <t>相关任务</t>
  </si>
  <si>
    <t>Bug标题</t>
  </si>
  <si>
    <t>关键词</t>
  </si>
  <si>
    <t>严重程度</t>
  </si>
  <si>
    <t>优先级</t>
  </si>
  <si>
    <t>Bug类型</t>
  </si>
  <si>
    <t>操作系统</t>
  </si>
  <si>
    <t>浏览器</t>
  </si>
  <si>
    <t>重现步骤</t>
  </si>
  <si>
    <t>Bug状态</t>
  </si>
  <si>
    <t>激活次数</t>
  </si>
  <si>
    <t>是否确认</t>
  </si>
  <si>
    <t>抄送给</t>
  </si>
  <si>
    <t>由谁创建</t>
  </si>
  <si>
    <t>创建日期</t>
  </si>
  <si>
    <t>影响版本</t>
  </si>
  <si>
    <t>指派给</t>
  </si>
  <si>
    <t>指派日期</t>
  </si>
  <si>
    <t>解决者</t>
  </si>
  <si>
    <t>解决方案</t>
  </si>
  <si>
    <t>解决版本</t>
  </si>
  <si>
    <t>解决日期</t>
  </si>
  <si>
    <t>由谁关闭</t>
  </si>
  <si>
    <t>关闭日期</t>
  </si>
  <si>
    <t>重复ID</t>
  </si>
  <si>
    <t>相关Bug</t>
  </si>
  <si>
    <t>相关用例</t>
  </si>
  <si>
    <t>最后修改者</t>
  </si>
  <si>
    <t>修改日期</t>
  </si>
  <si>
    <t>需求级别</t>
    <phoneticPr fontId="13" type="noConversion"/>
  </si>
  <si>
    <t>评审检出缺陷数</t>
    <phoneticPr fontId="13" type="noConversion"/>
  </si>
  <si>
    <t>评审关闭缺陷数</t>
    <phoneticPr fontId="13" type="noConversion"/>
  </si>
  <si>
    <t>单元测试检出缺陷数</t>
    <phoneticPr fontId="13" type="noConversion"/>
  </si>
  <si>
    <t>单元测试关闭缺陷数</t>
    <phoneticPr fontId="13" type="noConversion"/>
  </si>
  <si>
    <t>单元测试</t>
    <phoneticPr fontId="13" type="noConversion"/>
  </si>
  <si>
    <t>验收测试检出缺陷数</t>
    <phoneticPr fontId="13" type="noConversion"/>
  </si>
  <si>
    <t>验收测试关闭缺陷数</t>
    <phoneticPr fontId="13" type="noConversion"/>
  </si>
  <si>
    <t>验收测试关闭严重及致命缺陷数</t>
    <phoneticPr fontId="13" type="noConversion"/>
  </si>
  <si>
    <t>交付前检出缺陷数</t>
    <phoneticPr fontId="13" type="noConversion"/>
  </si>
  <si>
    <t>交付后关闭缺陷数</t>
    <phoneticPr fontId="13" type="noConversion"/>
  </si>
  <si>
    <t>交付前关闭缺陷数</t>
    <phoneticPr fontId="13" type="noConversion"/>
  </si>
  <si>
    <t>交付后检出缺陷数</t>
    <phoneticPr fontId="13" type="noConversion"/>
  </si>
  <si>
    <t>需求</t>
    <phoneticPr fontId="13" type="noConversion"/>
  </si>
  <si>
    <t>系统测试案例评审检出缺陷数</t>
    <phoneticPr fontId="13" type="noConversion"/>
  </si>
  <si>
    <t>系统测试案例评审关闭缺陷数</t>
    <phoneticPr fontId="13" type="noConversion"/>
  </si>
  <si>
    <t>验收测试</t>
    <phoneticPr fontId="13" type="noConversion"/>
  </si>
  <si>
    <t>评审检出缺陷密度</t>
    <phoneticPr fontId="13" type="noConversion"/>
  </si>
  <si>
    <t>单元测试检出缺陷数密度</t>
    <phoneticPr fontId="13" type="noConversion"/>
  </si>
  <si>
    <t>系统测试检出缺陷密度</t>
    <phoneticPr fontId="13" type="noConversion"/>
  </si>
  <si>
    <t>评审缺陷关闭率</t>
    <phoneticPr fontId="13" type="noConversion"/>
  </si>
  <si>
    <t>单元测试缺陷关闭率</t>
    <phoneticPr fontId="13" type="noConversion"/>
  </si>
  <si>
    <t>系统测试案例评审缺陷关闭率</t>
    <phoneticPr fontId="13" type="noConversion"/>
  </si>
  <si>
    <t>系统测试检出严重及致命缺陷占比</t>
    <phoneticPr fontId="13" type="noConversion"/>
  </si>
  <si>
    <t>系统测试缺陷关闭率</t>
    <phoneticPr fontId="13" type="noConversion"/>
  </si>
  <si>
    <t>验收测试检出缺陷密度</t>
    <phoneticPr fontId="13" type="noConversion"/>
  </si>
  <si>
    <t>验收测试检出严重及致命缺陷占比</t>
    <phoneticPr fontId="13" type="noConversion"/>
  </si>
  <si>
    <t>验收测试缺陷关闭率</t>
    <phoneticPr fontId="13" type="noConversion"/>
  </si>
  <si>
    <t>运维测试检出缺陷密度</t>
    <phoneticPr fontId="13" type="noConversion"/>
  </si>
  <si>
    <t>运维测试检出严重及致命缺陷占比</t>
    <phoneticPr fontId="13" type="noConversion"/>
  </si>
  <si>
    <t>运维测试缺陷关闭率</t>
    <phoneticPr fontId="13" type="noConversion"/>
  </si>
  <si>
    <t>开发评审检出缺陷占比</t>
    <phoneticPr fontId="13" type="noConversion"/>
  </si>
  <si>
    <t>系统测试前检出缺陷占比</t>
    <phoneticPr fontId="13" type="noConversion"/>
  </si>
  <si>
    <t>交付前检出缺陷占比</t>
    <phoneticPr fontId="13" type="noConversion"/>
  </si>
  <si>
    <t>交付后检出缺陷占比</t>
    <phoneticPr fontId="13" type="noConversion"/>
  </si>
  <si>
    <t>系统测试检出缺陷占比</t>
    <phoneticPr fontId="13" type="noConversion"/>
  </si>
  <si>
    <t>C001</t>
    <phoneticPr fontId="13" type="noConversion"/>
  </si>
  <si>
    <t>过程规范</t>
    <phoneticPr fontId="13" type="noConversion"/>
  </si>
  <si>
    <t>项目进度</t>
    <phoneticPr fontId="13" type="noConversion"/>
  </si>
  <si>
    <t>过程质量</t>
    <phoneticPr fontId="13" type="noConversion"/>
  </si>
  <si>
    <t>交付质量</t>
    <phoneticPr fontId="13" type="noConversion"/>
  </si>
  <si>
    <t>交付后缺陷占比</t>
    <phoneticPr fontId="13" type="noConversion"/>
  </si>
  <si>
    <t>过程符合度</t>
    <phoneticPr fontId="13" type="noConversion"/>
  </si>
  <si>
    <t>交付前缺陷占比</t>
    <phoneticPr fontId="13" type="noConversion"/>
  </si>
  <si>
    <t>过程检查项数</t>
    <phoneticPr fontId="13" type="noConversion"/>
  </si>
  <si>
    <t>过程检出的不符合项数</t>
    <phoneticPr fontId="13" type="noConversion"/>
  </si>
  <si>
    <t>项目进度</t>
    <phoneticPr fontId="13" type="noConversion"/>
  </si>
  <si>
    <t>I01</t>
    <phoneticPr fontId="13" type="noConversion"/>
  </si>
  <si>
    <t>I02</t>
    <phoneticPr fontId="13" type="noConversion"/>
  </si>
  <si>
    <t>I03</t>
    <phoneticPr fontId="13" type="noConversion"/>
  </si>
  <si>
    <t>I04</t>
    <phoneticPr fontId="13" type="noConversion"/>
  </si>
  <si>
    <t>总分</t>
    <phoneticPr fontId="13" type="noConversion"/>
  </si>
  <si>
    <t>手工导入</t>
    <phoneticPr fontId="13" type="noConversion"/>
  </si>
  <si>
    <r>
      <rPr>
        <sz val="10"/>
        <color theme="1"/>
        <rFont val="宋体"/>
        <family val="3"/>
        <charset val="134"/>
      </rPr>
      <t>说明</t>
    </r>
    <r>
      <rPr>
        <sz val="10"/>
        <color theme="1"/>
        <rFont val="Arial"/>
        <family val="2"/>
      </rPr>
      <t>1</t>
    </r>
    <r>
      <rPr>
        <sz val="10"/>
        <color theme="1"/>
        <rFont val="宋体"/>
        <family val="3"/>
        <charset val="134"/>
      </rPr>
      <t>：本度量表使用</t>
    </r>
    <phoneticPr fontId="13" type="noConversion"/>
  </si>
  <si>
    <r>
      <rPr>
        <u/>
        <sz val="10"/>
        <color theme="10"/>
        <rFont val="宋体"/>
        <family val="3"/>
        <charset val="134"/>
      </rPr>
      <t>项目</t>
    </r>
    <r>
      <rPr>
        <u/>
        <sz val="10"/>
        <color theme="10"/>
        <rFont val="Arial"/>
        <family val="2"/>
      </rPr>
      <t>KPI</t>
    </r>
    <phoneticPr fontId="13" type="noConversion"/>
  </si>
  <si>
    <r>
      <rPr>
        <sz val="10"/>
        <rFont val="宋体"/>
        <family val="3"/>
        <charset val="134"/>
      </rPr>
      <t>自动汇总表格，</t>
    </r>
    <r>
      <rPr>
        <sz val="10"/>
        <rFont val="宋体"/>
        <family val="3"/>
        <charset val="134"/>
      </rPr>
      <t>由项目各项指标实际数据核算项目评价得分。</t>
    </r>
    <phoneticPr fontId="13" type="noConversion"/>
  </si>
  <si>
    <t>度量指标</t>
    <phoneticPr fontId="13" type="noConversion"/>
  </si>
  <si>
    <t>基础度量项</t>
    <phoneticPr fontId="13" type="noConversion"/>
  </si>
  <si>
    <t>检查单明细</t>
    <phoneticPr fontId="13" type="noConversion"/>
  </si>
  <si>
    <t>手工导入</t>
    <phoneticPr fontId="13" type="noConversion"/>
  </si>
  <si>
    <t>缺陷明细</t>
    <phoneticPr fontId="13" type="noConversion"/>
  </si>
  <si>
    <t>迭代轮次</t>
    <phoneticPr fontId="13" type="noConversion"/>
  </si>
  <si>
    <r>
      <rPr>
        <sz val="10"/>
        <color theme="1"/>
        <rFont val="宋体"/>
        <family val="3"/>
        <charset val="134"/>
      </rPr>
      <t>迭代</t>
    </r>
    <r>
      <rPr>
        <sz val="10"/>
        <color theme="1"/>
        <rFont val="Arial"/>
        <family val="2"/>
      </rPr>
      <t>1</t>
    </r>
    <phoneticPr fontId="13" type="noConversion"/>
  </si>
  <si>
    <r>
      <rPr>
        <sz val="10"/>
        <color theme="1"/>
        <rFont val="宋体"/>
        <family val="3"/>
        <charset val="134"/>
      </rPr>
      <t>迭代</t>
    </r>
    <r>
      <rPr>
        <sz val="10"/>
        <color theme="1"/>
        <rFont val="Arial"/>
        <family val="2"/>
      </rPr>
      <t>2</t>
    </r>
    <r>
      <rPr>
        <sz val="11"/>
        <color theme="1"/>
        <rFont val="宋体"/>
        <family val="2"/>
        <charset val="134"/>
        <scheme val="minor"/>
      </rPr>
      <t/>
    </r>
  </si>
  <si>
    <r>
      <rPr>
        <sz val="10"/>
        <color theme="1"/>
        <rFont val="宋体"/>
        <family val="3"/>
        <charset val="134"/>
      </rPr>
      <t>迭代</t>
    </r>
    <r>
      <rPr>
        <sz val="10"/>
        <color theme="1"/>
        <rFont val="Arial"/>
        <family val="2"/>
      </rPr>
      <t>3</t>
    </r>
    <r>
      <rPr>
        <sz val="11"/>
        <color theme="1"/>
        <rFont val="宋体"/>
        <family val="2"/>
        <charset val="134"/>
        <scheme val="minor"/>
      </rPr>
      <t/>
    </r>
  </si>
  <si>
    <r>
      <rPr>
        <sz val="10"/>
        <color theme="1"/>
        <rFont val="宋体"/>
        <family val="3"/>
        <charset val="134"/>
      </rPr>
      <t>迭代</t>
    </r>
    <r>
      <rPr>
        <sz val="10"/>
        <color theme="1"/>
        <rFont val="Arial"/>
        <family val="2"/>
      </rPr>
      <t>4</t>
    </r>
    <r>
      <rPr>
        <sz val="11"/>
        <color theme="1"/>
        <rFont val="宋体"/>
        <family val="2"/>
        <charset val="134"/>
        <scheme val="minor"/>
      </rPr>
      <t/>
    </r>
  </si>
  <si>
    <r>
      <rPr>
        <sz val="10"/>
        <color theme="1"/>
        <rFont val="宋体"/>
        <family val="3"/>
        <charset val="134"/>
      </rPr>
      <t>迭代</t>
    </r>
    <r>
      <rPr>
        <sz val="10"/>
        <color theme="1"/>
        <rFont val="Arial"/>
        <family val="2"/>
      </rPr>
      <t>5</t>
    </r>
    <r>
      <rPr>
        <sz val="11"/>
        <color theme="1"/>
        <rFont val="宋体"/>
        <family val="2"/>
        <charset val="134"/>
        <scheme val="minor"/>
      </rPr>
      <t/>
    </r>
  </si>
  <si>
    <r>
      <rPr>
        <sz val="10"/>
        <color theme="1"/>
        <rFont val="宋体"/>
        <family val="3"/>
        <charset val="134"/>
      </rPr>
      <t>迭代</t>
    </r>
    <r>
      <rPr>
        <sz val="10"/>
        <color theme="1"/>
        <rFont val="Arial"/>
        <family val="2"/>
      </rPr>
      <t>6</t>
    </r>
    <r>
      <rPr>
        <sz val="11"/>
        <color theme="1"/>
        <rFont val="宋体"/>
        <family val="2"/>
        <charset val="134"/>
        <scheme val="minor"/>
      </rPr>
      <t/>
    </r>
  </si>
  <si>
    <r>
      <rPr>
        <sz val="10"/>
        <color theme="1"/>
        <rFont val="宋体"/>
        <family val="3"/>
        <charset val="134"/>
      </rPr>
      <t>迭代</t>
    </r>
    <r>
      <rPr>
        <sz val="10"/>
        <color theme="1"/>
        <rFont val="Arial"/>
        <family val="2"/>
      </rPr>
      <t>7</t>
    </r>
    <r>
      <rPr>
        <sz val="11"/>
        <color theme="1"/>
        <rFont val="宋体"/>
        <family val="2"/>
        <charset val="134"/>
        <scheme val="minor"/>
      </rPr>
      <t/>
    </r>
  </si>
  <si>
    <r>
      <rPr>
        <sz val="10"/>
        <color theme="1"/>
        <rFont val="宋体"/>
        <family val="3"/>
        <charset val="134"/>
      </rPr>
      <t>迭代</t>
    </r>
    <r>
      <rPr>
        <sz val="10"/>
        <color theme="1"/>
        <rFont val="Arial"/>
        <family val="2"/>
      </rPr>
      <t>8</t>
    </r>
    <r>
      <rPr>
        <sz val="11"/>
        <color theme="1"/>
        <rFont val="宋体"/>
        <family val="2"/>
        <charset val="134"/>
        <scheme val="minor"/>
      </rPr>
      <t/>
    </r>
  </si>
  <si>
    <r>
      <rPr>
        <sz val="10"/>
        <color theme="1"/>
        <rFont val="宋体"/>
        <family val="3"/>
        <charset val="134"/>
      </rPr>
      <t>迭代</t>
    </r>
    <r>
      <rPr>
        <sz val="10"/>
        <color theme="1"/>
        <rFont val="Arial"/>
        <family val="2"/>
      </rPr>
      <t>9</t>
    </r>
    <r>
      <rPr>
        <sz val="11"/>
        <color theme="1"/>
        <rFont val="宋体"/>
        <family val="2"/>
        <charset val="134"/>
        <scheme val="minor"/>
      </rPr>
      <t/>
    </r>
  </si>
  <si>
    <t>迭代轮次</t>
    <phoneticPr fontId="13" type="noConversion"/>
  </si>
  <si>
    <r>
      <rPr>
        <sz val="10"/>
        <rFont val="宋体"/>
        <family val="3"/>
        <charset val="134"/>
      </rPr>
      <t>每个迭代将检查单审计结果手工复制到本</t>
    </r>
    <r>
      <rPr>
        <sz val="10"/>
        <rFont val="Arial"/>
        <family val="2"/>
      </rPr>
      <t>sheet</t>
    </r>
    <r>
      <rPr>
        <sz val="10"/>
        <rFont val="宋体"/>
        <family val="3"/>
        <charset val="134"/>
      </rPr>
      <t>页。</t>
    </r>
    <phoneticPr fontId="13" type="noConversion"/>
  </si>
  <si>
    <r>
      <rPr>
        <sz val="10"/>
        <rFont val="宋体"/>
        <family val="3"/>
        <charset val="134"/>
      </rPr>
      <t>每个迭代从禅道导出缺陷清单，复制到本</t>
    </r>
    <r>
      <rPr>
        <sz val="10"/>
        <rFont val="Arial"/>
        <family val="2"/>
      </rPr>
      <t>sheet</t>
    </r>
    <r>
      <rPr>
        <sz val="10"/>
        <rFont val="宋体"/>
        <family val="3"/>
        <charset val="134"/>
      </rPr>
      <t>页。</t>
    </r>
    <phoneticPr fontId="13" type="noConversion"/>
  </si>
  <si>
    <r>
      <rPr>
        <sz val="10"/>
        <rFont val="宋体"/>
        <family val="3"/>
        <charset val="134"/>
      </rPr>
      <t xml:space="preserve">基础数据录入表格：
</t>
    </r>
    <r>
      <rPr>
        <sz val="10"/>
        <rFont val="Arial"/>
        <family val="2"/>
      </rPr>
      <t>1</t>
    </r>
    <r>
      <rPr>
        <sz val="10"/>
        <rFont val="宋体"/>
        <family val="3"/>
        <charset val="134"/>
      </rPr>
      <t>）每个迭代新增一个</t>
    </r>
    <r>
      <rPr>
        <sz val="10"/>
        <rFont val="Arial"/>
        <family val="2"/>
      </rPr>
      <t>“</t>
    </r>
    <r>
      <rPr>
        <sz val="10"/>
        <rFont val="宋体"/>
        <family val="3"/>
        <charset val="134"/>
      </rPr>
      <t>工作表</t>
    </r>
    <r>
      <rPr>
        <sz val="10"/>
        <rFont val="Arial"/>
        <family val="2"/>
      </rPr>
      <t>”</t>
    </r>
    <r>
      <rPr>
        <sz val="10"/>
        <rFont val="宋体"/>
        <family val="3"/>
        <charset val="134"/>
      </rPr>
      <t>（</t>
    </r>
    <r>
      <rPr>
        <sz val="10"/>
        <rFont val="Arial"/>
        <family val="2"/>
      </rPr>
      <t>sheet</t>
    </r>
    <r>
      <rPr>
        <sz val="10"/>
        <rFont val="宋体"/>
        <family val="3"/>
        <charset val="134"/>
      </rPr>
      <t>），以</t>
    </r>
    <r>
      <rPr>
        <sz val="10"/>
        <rFont val="Arial"/>
        <family val="2"/>
      </rPr>
      <t>“</t>
    </r>
    <r>
      <rPr>
        <sz val="10"/>
        <rFont val="宋体"/>
        <family val="3"/>
        <charset val="134"/>
      </rPr>
      <t>需求明细</t>
    </r>
    <r>
      <rPr>
        <sz val="10"/>
        <rFont val="Arial"/>
        <family val="2"/>
      </rPr>
      <t>_</t>
    </r>
    <r>
      <rPr>
        <sz val="10"/>
        <rFont val="宋体"/>
        <family val="3"/>
        <charset val="134"/>
      </rPr>
      <t>迭代</t>
    </r>
    <r>
      <rPr>
        <sz val="10"/>
        <rFont val="Arial"/>
        <family val="2"/>
      </rPr>
      <t>N”</t>
    </r>
    <r>
      <rPr>
        <sz val="10"/>
        <rFont val="宋体"/>
        <family val="3"/>
        <charset val="134"/>
      </rPr>
      <t>格式命名，例如</t>
    </r>
    <r>
      <rPr>
        <sz val="10"/>
        <rFont val="Arial"/>
        <family val="2"/>
      </rPr>
      <t>“</t>
    </r>
    <r>
      <rPr>
        <sz val="10"/>
        <rFont val="宋体"/>
        <family val="3"/>
        <charset val="134"/>
      </rPr>
      <t>需求明细</t>
    </r>
    <r>
      <rPr>
        <sz val="10"/>
        <rFont val="Arial"/>
        <family val="2"/>
      </rPr>
      <t>_</t>
    </r>
    <r>
      <rPr>
        <sz val="10"/>
        <rFont val="宋体"/>
        <family val="3"/>
        <charset val="134"/>
      </rPr>
      <t>迭代</t>
    </r>
    <r>
      <rPr>
        <sz val="10"/>
        <rFont val="Arial"/>
        <family val="2"/>
      </rPr>
      <t>1”</t>
    </r>
    <r>
      <rPr>
        <sz val="10"/>
        <rFont val="宋体"/>
        <family val="3"/>
        <charset val="134"/>
      </rPr>
      <t xml:space="preserve">。
</t>
    </r>
    <r>
      <rPr>
        <sz val="10"/>
        <rFont val="Arial"/>
        <family val="2"/>
      </rPr>
      <t>2</t>
    </r>
    <r>
      <rPr>
        <sz val="10"/>
        <rFont val="宋体"/>
        <family val="3"/>
        <charset val="134"/>
      </rPr>
      <t>）『需求明细</t>
    </r>
    <r>
      <rPr>
        <sz val="10"/>
        <rFont val="Arial"/>
        <family val="2"/>
      </rPr>
      <t>_</t>
    </r>
    <r>
      <rPr>
        <sz val="10"/>
        <rFont val="宋体"/>
        <family val="3"/>
        <charset val="134"/>
      </rPr>
      <t>迭代</t>
    </r>
    <r>
      <rPr>
        <sz val="10"/>
        <rFont val="Arial"/>
        <family val="2"/>
      </rPr>
      <t>N</t>
    </r>
    <r>
      <rPr>
        <sz val="10"/>
        <rFont val="宋体"/>
        <family val="3"/>
        <charset val="134"/>
      </rPr>
      <t xml:space="preserve">』表中以需求为单位，逐一记录本轮迭代需求的各项基础数据，是『基础度量项』表中数据的明细，须一致。
</t>
    </r>
    <r>
      <rPr>
        <sz val="10"/>
        <rFont val="Arial"/>
        <family val="2"/>
      </rPr>
      <t>2</t>
    </r>
    <r>
      <rPr>
        <sz val="10"/>
        <rFont val="宋体"/>
        <family val="3"/>
        <charset val="134"/>
      </rPr>
      <t>）『需求明细</t>
    </r>
    <r>
      <rPr>
        <sz val="10"/>
        <rFont val="Arial"/>
        <family val="2"/>
      </rPr>
      <t>_</t>
    </r>
    <r>
      <rPr>
        <sz val="10"/>
        <rFont val="宋体"/>
        <family val="3"/>
        <charset val="134"/>
      </rPr>
      <t>迭代</t>
    </r>
    <r>
      <rPr>
        <sz val="10"/>
        <rFont val="Arial"/>
        <family val="2"/>
      </rPr>
      <t>N</t>
    </r>
    <r>
      <rPr>
        <sz val="10"/>
        <rFont val="宋体"/>
        <family val="3"/>
        <charset val="134"/>
      </rPr>
      <t xml:space="preserve">』表中汇总数据可以自动同步到『基础度量项』表中。
</t>
    </r>
    <r>
      <rPr>
        <sz val="10"/>
        <rFont val="Arial"/>
        <family val="2"/>
      </rPr>
      <t>3</t>
    </r>
    <r>
      <rPr>
        <sz val="10"/>
        <rFont val="宋体"/>
        <family val="3"/>
        <charset val="134"/>
      </rPr>
      <t>）其中黄色、灰色区域为自动计算部分，无需填写。</t>
    </r>
    <phoneticPr fontId="13" type="noConversion"/>
  </si>
  <si>
    <r>
      <rPr>
        <sz val="10"/>
        <color theme="1"/>
        <rFont val="宋体"/>
        <family val="3"/>
        <charset val="134"/>
      </rPr>
      <t>说明</t>
    </r>
    <r>
      <rPr>
        <sz val="10"/>
        <color theme="1"/>
        <rFont val="Arial"/>
        <family val="2"/>
      </rPr>
      <t>2</t>
    </r>
    <r>
      <rPr>
        <sz val="10"/>
        <color theme="1"/>
        <rFont val="宋体"/>
        <family val="3"/>
        <charset val="134"/>
      </rPr>
      <t>：产品的数据收集按迭代轮次开展，每一个迭代的</t>
    </r>
    <r>
      <rPr>
        <sz val="10"/>
        <color theme="1"/>
        <rFont val="Arial"/>
        <family val="2"/>
      </rPr>
      <t>KPI</t>
    </r>
    <r>
      <rPr>
        <sz val="10"/>
        <color theme="1"/>
        <rFont val="宋体"/>
        <family val="3"/>
        <charset val="134"/>
      </rPr>
      <t>反映了本轮次迭代的质量情况</t>
    </r>
    <r>
      <rPr>
        <sz val="10"/>
        <color theme="1"/>
        <rFont val="宋体"/>
        <family val="3"/>
        <charset val="134"/>
      </rPr>
      <t>。</t>
    </r>
    <phoneticPr fontId="13" type="noConversion"/>
  </si>
  <si>
    <t>需求
ID</t>
    <phoneticPr fontId="13" type="noConversion"/>
  </si>
  <si>
    <t>是否交付</t>
    <phoneticPr fontId="13" type="noConversion"/>
  </si>
  <si>
    <t>开发规模
（人天）</t>
    <phoneticPr fontId="13" type="noConversion"/>
  </si>
  <si>
    <t>系统测试</t>
    <phoneticPr fontId="13" type="noConversion"/>
  </si>
  <si>
    <t>运维测试</t>
    <phoneticPr fontId="13" type="noConversion"/>
  </si>
  <si>
    <t>系统测试计划执行案例数</t>
    <phoneticPr fontId="13" type="noConversion"/>
  </si>
  <si>
    <t>系统测试实际执行案例数</t>
    <phoneticPr fontId="13" type="noConversion"/>
  </si>
  <si>
    <t>系统测试丢弃缺陷数</t>
    <phoneticPr fontId="13" type="noConversion"/>
  </si>
  <si>
    <t>验收测试检出严重及致命缺陷数</t>
    <phoneticPr fontId="13" type="noConversion"/>
  </si>
  <si>
    <t>运维测试关闭缺陷数</t>
    <phoneticPr fontId="13" type="noConversion"/>
  </si>
  <si>
    <t>运维测试关闭严重及致命缺陷数</t>
    <phoneticPr fontId="13" type="noConversion"/>
  </si>
  <si>
    <t>交付后检出缺陷数</t>
    <phoneticPr fontId="13" type="noConversion"/>
  </si>
  <si>
    <t>迭代1</t>
    <phoneticPr fontId="13" type="noConversion"/>
  </si>
  <si>
    <t>迭代基本信息</t>
    <phoneticPr fontId="13" type="noConversion"/>
  </si>
  <si>
    <t>团队人数</t>
    <phoneticPr fontId="13" type="noConversion"/>
  </si>
  <si>
    <t>交付是否成功</t>
    <phoneticPr fontId="13" type="noConversion"/>
  </si>
  <si>
    <t>计划迭代规模（功能点）</t>
    <phoneticPr fontId="13" type="noConversion"/>
  </si>
  <si>
    <t>实际接收规模（功能点）</t>
    <phoneticPr fontId="13" type="noConversion"/>
  </si>
  <si>
    <t>M001</t>
    <phoneticPr fontId="13" type="noConversion"/>
  </si>
  <si>
    <t>M031</t>
  </si>
  <si>
    <t>M032</t>
  </si>
  <si>
    <t>M033</t>
  </si>
  <si>
    <t>M034</t>
  </si>
  <si>
    <t>M035</t>
  </si>
  <si>
    <t>M036</t>
  </si>
  <si>
    <t>M037</t>
  </si>
  <si>
    <t>M038</t>
  </si>
  <si>
    <t>20170401~20170415</t>
    <phoneticPr fontId="13" type="noConversion"/>
  </si>
  <si>
    <t>迭代实际完成时间</t>
    <phoneticPr fontId="13" type="noConversion"/>
  </si>
  <si>
    <t>合计</t>
    <phoneticPr fontId="13" type="noConversion"/>
  </si>
  <si>
    <t>开发阶段</t>
    <phoneticPr fontId="13" type="noConversion"/>
  </si>
  <si>
    <t>开发评审</t>
    <phoneticPr fontId="13" type="noConversion"/>
  </si>
  <si>
    <t>系统测试计划执行案例数</t>
    <phoneticPr fontId="13" type="noConversion"/>
  </si>
  <si>
    <t>系统测试实际执行案例数</t>
    <phoneticPr fontId="13" type="noConversion"/>
  </si>
  <si>
    <t>系统测试关闭缺陷数</t>
    <phoneticPr fontId="13" type="noConversion"/>
  </si>
  <si>
    <t>系统测试检出严重及致命缺陷数</t>
    <phoneticPr fontId="13" type="noConversion"/>
  </si>
  <si>
    <t>系统测试丢弃缺陷数</t>
    <phoneticPr fontId="13" type="noConversion"/>
  </si>
  <si>
    <t>验收测试检出严重及致命缺陷数</t>
    <phoneticPr fontId="13" type="noConversion"/>
  </si>
  <si>
    <t>运维测试检出严重及致命缺陷数</t>
    <phoneticPr fontId="13" type="noConversion"/>
  </si>
  <si>
    <t>M039</t>
  </si>
  <si>
    <t>M040</t>
  </si>
  <si>
    <t>系统测试有效率</t>
    <phoneticPr fontId="13" type="noConversion"/>
  </si>
  <si>
    <t>系统测试缺陷检出率</t>
    <phoneticPr fontId="13" type="noConversion"/>
  </si>
  <si>
    <t>进度偏差率</t>
    <phoneticPr fontId="13" type="noConversion"/>
  </si>
  <si>
    <t>C002</t>
  </si>
  <si>
    <t>C003</t>
  </si>
  <si>
    <t>C004</t>
  </si>
  <si>
    <t>C005</t>
  </si>
  <si>
    <t>C006</t>
  </si>
  <si>
    <t>C007</t>
  </si>
  <si>
    <t>C008</t>
  </si>
  <si>
    <t>C009</t>
  </si>
  <si>
    <t>C010</t>
  </si>
  <si>
    <t>C011</t>
  </si>
  <si>
    <t>C012</t>
  </si>
  <si>
    <t>C013</t>
  </si>
  <si>
    <t>C014</t>
  </si>
  <si>
    <t>C015</t>
  </si>
  <si>
    <t>C016</t>
  </si>
  <si>
    <t>C017</t>
  </si>
  <si>
    <t>C018</t>
  </si>
  <si>
    <t>C019</t>
  </si>
  <si>
    <t>C020</t>
  </si>
  <si>
    <t>C021</t>
  </si>
  <si>
    <t>C022</t>
  </si>
  <si>
    <t>C023</t>
  </si>
  <si>
    <t>C024</t>
  </si>
  <si>
    <t>C025</t>
  </si>
  <si>
    <t>C026</t>
  </si>
  <si>
    <t>C027</t>
  </si>
  <si>
    <t>迭代9</t>
    <phoneticPr fontId="13" type="noConversion"/>
  </si>
  <si>
    <t>迭代6</t>
    <phoneticPr fontId="13" type="noConversion"/>
  </si>
  <si>
    <t>迭代5</t>
    <phoneticPr fontId="13" type="noConversion"/>
  </si>
  <si>
    <t>迭代4</t>
    <phoneticPr fontId="13" type="noConversion"/>
  </si>
  <si>
    <t>迭代3</t>
    <phoneticPr fontId="13" type="noConversion"/>
  </si>
  <si>
    <t>C027</t>
    <phoneticPr fontId="13" type="noConversion"/>
  </si>
  <si>
    <t>C026</t>
    <phoneticPr fontId="13" type="noConversion"/>
  </si>
  <si>
    <t>C024</t>
    <phoneticPr fontId="13" type="noConversion"/>
  </si>
  <si>
    <t>C025</t>
    <phoneticPr fontId="13" type="noConversion"/>
  </si>
  <si>
    <t>迭代周期（天）</t>
    <phoneticPr fontId="13" type="noConversion"/>
  </si>
  <si>
    <t xml:space="preserve">迭代交付率
</t>
    <phoneticPr fontId="13" type="noConversion"/>
  </si>
  <si>
    <t xml:space="preserve">有效实际投入工作量
</t>
    <phoneticPr fontId="13" type="noConversion"/>
  </si>
  <si>
    <t>白色单元格手工填写，其他自动汇总，自动根据各明细数据生成，用于各项指标值计算。</t>
    <phoneticPr fontId="13" type="noConversion"/>
  </si>
  <si>
    <t>产品缺陷总数</t>
    <phoneticPr fontId="13" type="noConversion"/>
  </si>
  <si>
    <t>迭代轮次</t>
    <phoneticPr fontId="13" type="noConversion"/>
  </si>
  <si>
    <t>若团队成员未全部参与每日站会，结果为N</t>
  </si>
  <si>
    <t>序号</t>
    <phoneticPr fontId="13" type="noConversion"/>
  </si>
  <si>
    <t>检查点和检查证据</t>
    <phoneticPr fontId="13" type="noConversion"/>
  </si>
  <si>
    <t>检查结果</t>
    <phoneticPr fontId="13" type="noConversion"/>
  </si>
  <si>
    <t>迭代8</t>
    <phoneticPr fontId="13" type="noConversion"/>
  </si>
  <si>
    <t>迭代7</t>
    <phoneticPr fontId="13" type="noConversion"/>
  </si>
  <si>
    <t>迭代2</t>
    <phoneticPr fontId="13" type="noConversion"/>
  </si>
  <si>
    <t>产品质量度量指标</t>
    <phoneticPr fontId="13" type="noConversion"/>
  </si>
  <si>
    <t>计划投入工作量（人时）</t>
    <phoneticPr fontId="13" type="noConversion"/>
  </si>
  <si>
    <t>实际花费工作量（人时）</t>
    <phoneticPr fontId="13" type="noConversion"/>
  </si>
  <si>
    <t>进度偏差(人时）</t>
    <phoneticPr fontId="13" type="noConversion"/>
  </si>
  <si>
    <t>生产率（功能点/人时）</t>
    <phoneticPr fontId="13" type="noConversion"/>
  </si>
  <si>
    <t>迭代轮次</t>
    <phoneticPr fontId="13" type="noConversion"/>
  </si>
  <si>
    <r>
      <rPr>
        <sz val="10"/>
        <rFont val="宋体"/>
        <family val="3"/>
        <charset val="134"/>
      </rPr>
      <t>需求明细</t>
    </r>
    <r>
      <rPr>
        <sz val="10"/>
        <rFont val="Arial"/>
        <family val="2"/>
      </rPr>
      <t>_</t>
    </r>
    <r>
      <rPr>
        <sz val="10"/>
        <rFont val="宋体"/>
        <family val="3"/>
        <charset val="134"/>
      </rPr>
      <t>迭代</t>
    </r>
    <r>
      <rPr>
        <sz val="10"/>
        <rFont val="Arial"/>
        <family val="2"/>
      </rPr>
      <t>N</t>
    </r>
    <phoneticPr fontId="13" type="noConversion"/>
  </si>
  <si>
    <t>冒烟测试
提测次数</t>
    <phoneticPr fontId="13" type="noConversion"/>
  </si>
  <si>
    <t>I05</t>
    <phoneticPr fontId="13" type="noConversion"/>
  </si>
  <si>
    <t>I06</t>
    <phoneticPr fontId="13" type="noConversion"/>
  </si>
  <si>
    <t>冒烟测试
版本质量</t>
    <phoneticPr fontId="13" type="noConversion"/>
  </si>
  <si>
    <t>系统测试无效缺陷数</t>
    <phoneticPr fontId="13" type="noConversion"/>
  </si>
  <si>
    <t>比对方法-抓拍组合比对法</t>
  </si>
  <si>
    <t>一定要(最基本的、不能没有)</t>
    <phoneticPr fontId="13" type="noConversion"/>
  </si>
  <si>
    <t>告警提示信息</t>
  </si>
  <si>
    <t>比对告警提示交互操作-判决及推送</t>
  </si>
  <si>
    <t>场景视频回放服务</t>
  </si>
  <si>
    <t>应该要（重要的、应该有的）</t>
    <phoneticPr fontId="13" type="noConversion"/>
  </si>
  <si>
    <t>报警消息订阅与发布</t>
  </si>
  <si>
    <t>报警消息</t>
  </si>
  <si>
    <t>抓拍记录查询</t>
  </si>
  <si>
    <t>告警提示查询条件</t>
  </si>
  <si>
    <r>
      <rPr>
        <sz val="10"/>
        <rFont val="宋体"/>
        <family val="3"/>
        <charset val="134"/>
      </rPr>
      <t>一定要</t>
    </r>
    <r>
      <rPr>
        <sz val="10"/>
        <rFont val="Arial"/>
        <family val="2"/>
      </rPr>
      <t>(</t>
    </r>
    <r>
      <rPr>
        <sz val="10"/>
        <rFont val="宋体"/>
        <family val="3"/>
        <charset val="134"/>
      </rPr>
      <t>最基本的、不能没有</t>
    </r>
    <r>
      <rPr>
        <sz val="10"/>
        <rFont val="Arial"/>
        <family val="2"/>
      </rPr>
      <t>)</t>
    </r>
    <phoneticPr fontId="13" type="noConversion"/>
  </si>
  <si>
    <t>报警消息查询条件</t>
  </si>
  <si>
    <t>模板库比对（1:N）</t>
  </si>
  <si>
    <t>抓拍库比对</t>
  </si>
  <si>
    <t>返回比对结果</t>
  </si>
  <si>
    <r>
      <rPr>
        <sz val="10"/>
        <color theme="1"/>
        <rFont val="宋体"/>
        <family val="3"/>
        <charset val="134"/>
      </rPr>
      <t>场景图、场景视频存储</t>
    </r>
    <r>
      <rPr>
        <sz val="10"/>
        <color theme="1"/>
        <rFont val="Arial"/>
        <family val="2"/>
      </rPr>
      <t>200</t>
    </r>
    <r>
      <rPr>
        <sz val="10"/>
        <color theme="1"/>
        <rFont val="宋体"/>
        <family val="3"/>
        <charset val="134"/>
      </rPr>
      <t>天</t>
    </r>
    <phoneticPr fontId="13" type="noConversion"/>
  </si>
  <si>
    <t>一定要(最基本的、不能没有)</t>
    <phoneticPr fontId="13" type="noConversion"/>
  </si>
  <si>
    <t>201705161~20170527</t>
    <phoneticPr fontId="13" type="noConversion"/>
  </si>
  <si>
    <t>20170607~20170627</t>
    <phoneticPr fontId="13" type="noConversion"/>
  </si>
  <si>
    <t>422</t>
  </si>
  <si>
    <t>427</t>
  </si>
  <si>
    <t>430</t>
  </si>
  <si>
    <t>432</t>
  </si>
  <si>
    <t>434</t>
  </si>
  <si>
    <t>435</t>
  </si>
  <si>
    <t>437</t>
  </si>
  <si>
    <t>444</t>
  </si>
  <si>
    <t>445</t>
  </si>
  <si>
    <t>446</t>
  </si>
  <si>
    <t>529</t>
  </si>
  <si>
    <t>531</t>
  </si>
  <si>
    <t>532</t>
  </si>
  <si>
    <t>533</t>
  </si>
  <si>
    <t>534</t>
  </si>
  <si>
    <t>535</t>
  </si>
  <si>
    <t>536</t>
  </si>
  <si>
    <t>538</t>
  </si>
  <si>
    <t>551</t>
  </si>
  <si>
    <t>552</t>
  </si>
  <si>
    <t>555</t>
  </si>
  <si>
    <t>556</t>
  </si>
  <si>
    <t>557</t>
  </si>
  <si>
    <t>558</t>
  </si>
  <si>
    <t>560</t>
  </si>
  <si>
    <t>561</t>
  </si>
  <si>
    <t>562</t>
  </si>
  <si>
    <t>564</t>
  </si>
  <si>
    <t>569</t>
  </si>
  <si>
    <t>578</t>
  </si>
  <si>
    <t>580</t>
  </si>
  <si>
    <t>581</t>
  </si>
  <si>
    <t>597</t>
  </si>
  <si>
    <t>598</t>
  </si>
  <si>
    <t>599</t>
  </si>
  <si>
    <t>603</t>
  </si>
  <si>
    <t>607</t>
  </si>
  <si>
    <t>609</t>
  </si>
  <si>
    <t>610</t>
  </si>
  <si>
    <t>611</t>
  </si>
  <si>
    <t>613</t>
  </si>
  <si>
    <t>622</t>
  </si>
  <si>
    <t>626</t>
  </si>
  <si>
    <t>627</t>
  </si>
  <si>
    <t>629</t>
  </si>
  <si>
    <t>632</t>
  </si>
  <si>
    <t>636</t>
  </si>
  <si>
    <t>637</t>
  </si>
  <si>
    <t>视频回放功能开发</t>
  </si>
  <si>
    <t>视频回放框架实体开发和接口开发</t>
  </si>
  <si>
    <t>通道管理中通道名称新建和修改：通道名称不能为空，默认不用英文用中文，并且通道名称可以重复</t>
  </si>
  <si>
    <t>通道管理：通道支持模糊查询，如果查询多个通道默认选中第一个或者只返回第一个结果选中</t>
  </si>
  <si>
    <t>通道阈值字段修改为通道质量系数，暂时保留，范围：0~2，默认值为1</t>
  </si>
  <si>
    <t>通道校验</t>
  </si>
  <si>
    <t>通道管理：通道号添加通道不可以重复创建，需要校验，手动输入</t>
  </si>
  <si>
    <t>通道管理：视频预览中的通道预览上显示通道名称</t>
  </si>
  <si>
    <t>通道管理：右键删除必须有是否删除类似的有好提示信息,确认后才可以真正删除，避免误操作；</t>
  </si>
  <si>
    <t>抓拍记录：查询的起止时间精确到分钟</t>
  </si>
  <si>
    <t>抓拍记录：查询条件起始时间有默认值：今天、昨天、本周；有最大时间限制</t>
  </si>
  <si>
    <t>抓拍记录：抓拍列表显示信息通道名称，通道位置，抓拍时间</t>
  </si>
  <si>
    <t>抓拍记录：抓拍右键（查看视频，保存视频，保存图片）</t>
  </si>
  <si>
    <t>比对记录：查询的起止时间精确到分钟，分数保留小数点后两位</t>
  </si>
  <si>
    <t>比对记录：查询的分页重做，要显示总记录数，总页数，起始时间有默认值：今天、昨天、本周；有最大时间限制</t>
  </si>
  <si>
    <t>比对记录：TOP显示信息（分数，姓名，身份证，库名称）</t>
  </si>
  <si>
    <t>比对记录：支持身份证号，姓名模糊匹配查询，模板库精确匹配查询。</t>
  </si>
  <si>
    <t>比对记录：TOP右键（添加至此模版，删除记录）</t>
  </si>
  <si>
    <t>比对记录：查询分页以抓拍记录组织分页</t>
  </si>
  <si>
    <t>比对记录：抓拍信息显示（通道名称，通道位置，抓拍时间）</t>
  </si>
  <si>
    <t>比对记录：抓拍信息右键（查看视频，保存视频，保存图片）</t>
  </si>
  <si>
    <t>抓拍比对：通道右键改为打开/关闭通道，抓拍预览（有状态标识），视频预览。</t>
  </si>
  <si>
    <t>抓拍比对：分屏显示最多显示4屏，2屏时为左右分屏</t>
  </si>
  <si>
    <t>抓拍比对：识别结果变成告警提示，阈值去掉，一共显示多少条去掉</t>
  </si>
  <si>
    <t>抓拍比对：鼠标单击或者悬停抓拍预览照片上，可以暂停图片滚动预览和鼠标移走继续滚动预览</t>
  </si>
  <si>
    <t>界面统一中文、字体大小一致、布局规整统一;适用于所有界面</t>
  </si>
  <si>
    <t>导航调整：</t>
  </si>
  <si>
    <t>登录功能：可以做一个简单的实现</t>
  </si>
  <si>
    <t>利用负载均衡模拟部署并进行单元测试</t>
  </si>
  <si>
    <t>使用多线程处理订阅ActiveMq的抓拍数据</t>
  </si>
  <si>
    <t>视频访问组件加入通道重连及掉线通知</t>
  </si>
  <si>
    <t>自测试 订阅ActiveMQ的抓拍数据使用多线程处理的实现。</t>
  </si>
  <si>
    <t>Bug-通道伪删除策略引起的缺陷-解决方案设计</t>
  </si>
  <si>
    <t>通道管理组件加入通道状态监控与异常通道处理</t>
  </si>
  <si>
    <t>负载均衡分配状况展示</t>
  </si>
  <si>
    <t>抓拍集群单元测试</t>
  </si>
  <si>
    <t>自测试 策略服务的计数算法</t>
  </si>
  <si>
    <t>视频通道号信息可获取，视频平台配置工具通道显示出访问通道号</t>
  </si>
  <si>
    <t>自测模板库比对</t>
  </si>
  <si>
    <t>抓拍集群集成测试</t>
  </si>
  <si>
    <t>开发抓拍库比对，查询特征值接口</t>
  </si>
  <si>
    <t>自测抓拍库比对，查询特征值接口</t>
  </si>
  <si>
    <t>抓拍集群bug修复</t>
  </si>
  <si>
    <t>视频平台CSS管理模块，实现基于mysql数据库版本的运行</t>
  </si>
  <si>
    <t>视频平台CSS存储模块，实现基于mysql数据库版本的运行</t>
  </si>
  <si>
    <t>Bug-通道伪删除策略引起的缺陷。</t>
  </si>
  <si>
    <t>视频平台实现mysql版本计划录像功能</t>
  </si>
  <si>
    <t>视频平台mysql版本实现计划录像回放</t>
  </si>
  <si>
    <t>通道伪删除与通道的订阅处理协调</t>
  </si>
  <si>
    <t>视频平台mysql版本，计划录像和录像回放功能单元测试</t>
  </si>
  <si>
    <t>【协调】需要比对服务提供删除模板库接口</t>
  </si>
  <si>
    <t>比对条件查询优化，根据分数和库id过滤无法返回结果</t>
  </si>
  <si>
    <t>【协调】需要比对服务提供1:1人脸比对接口</t>
  </si>
  <si>
    <t>告警提示实现设计</t>
  </si>
  <si>
    <t>完成告警提示所需接口的开发和自测</t>
  </si>
  <si>
    <t>增加通道号是否存在的接口</t>
  </si>
  <si>
    <t>抓拍记录和比对记录不存储场景图片</t>
  </si>
  <si>
    <t>抓拍记录和比对记录不存储场景图片实现设计</t>
  </si>
  <si>
    <t>通道管理测试</t>
  </si>
  <si>
    <t>抓拍记录测试</t>
  </si>
  <si>
    <t>比对记录测试</t>
  </si>
  <si>
    <t>抓拍比对测试</t>
  </si>
  <si>
    <t>PC界面测试：界面统一中文、字体大小一致、布局规整统一</t>
  </si>
  <si>
    <t>模板管理测试</t>
  </si>
  <si>
    <t>业务流测试E2E</t>
  </si>
  <si>
    <t>新产品V1.0第二次迭代版本整体功能回归测试</t>
  </si>
  <si>
    <t>模版管理：模板库列表展示字段顺序：序号，模板库名称，启用状态，数量，容量，备注，创建时间，模版库类型不显示都去掉</t>
  </si>
  <si>
    <t>模版管理：模板库查询ToolBar取消</t>
  </si>
  <si>
    <t>模版管理：目标人管理：必须有1张照片，必须设置主照片；只有1张照片时默认设置为主照片</t>
  </si>
  <si>
    <t>模版管理：目标人：右键增加新建功能</t>
  </si>
  <si>
    <t>模版管理：目标人增加和删除需要修改模版库中模版数量并且更新页面数据。</t>
  </si>
  <si>
    <t>模版管理：模版库新建过程，目标对象不可以做任何操作，要有好提示信息</t>
  </si>
  <si>
    <t>框架维护：告警实体接口修改增加字段</t>
  </si>
  <si>
    <t>比对信息增加通道位置字段 channel_area</t>
  </si>
  <si>
    <t>比对信息增加channel_area字段</t>
  </si>
  <si>
    <t>模版管理：开发一个模版管理的弹窗</t>
  </si>
  <si>
    <t>动态比对：原抓拍比对，界面整体布局，统一标准</t>
  </si>
  <si>
    <t>修改模板库列表的非焦点选中样式为突出选中</t>
  </si>
  <si>
    <t>告警提示：告警弹窗开发、页面布局</t>
  </si>
  <si>
    <t>动态比对：抓拍推送和告警提示推送调整</t>
  </si>
  <si>
    <t>接口开发：新增通道是否存在/ ChannelIsExist</t>
  </si>
  <si>
    <t>动态比对：告警提示选中去掉红圈，排除问题</t>
  </si>
  <si>
    <t>通道管理：界面整体布局，统一标准</t>
  </si>
  <si>
    <t>告警提示推送时增加4个字段。</t>
  </si>
  <si>
    <t>通道管理：伪删除的处理</t>
  </si>
  <si>
    <t>抓拍比对：抓拍模版创建</t>
  </si>
  <si>
    <t>告警查询结果增加4个字段，模板增加一个字段 ft_image_time，比对结果增加一个字段ft_image_time</t>
  </si>
  <si>
    <t>添加模板时，增加一个字段ft_image_time;  //模板照片采集的时间</t>
  </si>
  <si>
    <t>模版管理：模板增加 ft_image_time （模板照片采集的时间）</t>
  </si>
  <si>
    <t>优化Core核心业务和策略服务的部署文档</t>
  </si>
  <si>
    <t>告警报警：缺少字段：人脸对象性别、抓拍通道系数、告警提示命中次数，比对方法名</t>
  </si>
  <si>
    <t>动态比对：最新抓拍推送mq的字段</t>
  </si>
  <si>
    <t>比对记录：增加 通道位置 Channel_area , 人像图片采集时间 ft_image_time</t>
  </si>
  <si>
    <t>告警详细：场景图片新增接口查询，告警添加场景字段</t>
  </si>
  <si>
    <t>框架：修改时间戳转换</t>
  </si>
  <si>
    <t>提测策略服务计数法</t>
  </si>
  <si>
    <t>Core核心业务订阅到的抓拍场景图不再保存到数据中心</t>
  </si>
  <si>
    <t>抓拍记录：页面统一布局</t>
  </si>
  <si>
    <t>去除重复告警信息</t>
  </si>
  <si>
    <t>比对记录：整体页面布局调整</t>
  </si>
  <si>
    <t>抓拍记录：右键查看视频，保存视频</t>
  </si>
  <si>
    <t>比对记录：右键（查看视频，保存视频）</t>
  </si>
  <si>
    <t>模版管理：整体布局调整</t>
  </si>
  <si>
    <t>视频平台测试</t>
  </si>
  <si>
    <t>修改BUG列表</t>
  </si>
  <si>
    <t>模版管理：模版容量检验</t>
  </si>
  <si>
    <t>模板管理：页面整体布局</t>
  </si>
  <si>
    <t>模版管理：目标人编辑完善业务逻辑</t>
  </si>
  <si>
    <t>抓拍图人脸坐标标识</t>
  </si>
  <si>
    <t>页面统一布局：告警输出、报警输出、告警记录、报警记录</t>
  </si>
  <si>
    <t>通道查询：模糊查询，模糊定位，查询的全部展开，默认选择第一个</t>
  </si>
  <si>
    <t>告警去重</t>
  </si>
  <si>
    <t>模版管理：模版等比压缩（默认比例：112*126）</t>
  </si>
  <si>
    <t>在告警消息推送中，添加策略一的告警次数。</t>
  </si>
  <si>
    <t>保存告警信息时，添加库id、目标人名称、目标人证件号、命中次数、证件类型</t>
  </si>
  <si>
    <t>批量建库，导入模板</t>
  </si>
  <si>
    <t>高</t>
  </si>
  <si>
    <t>中</t>
  </si>
  <si>
    <t>0</t>
  </si>
  <si>
    <t>1</t>
  </si>
  <si>
    <t>否</t>
  </si>
  <si>
    <t>是</t>
  </si>
  <si>
    <t>183</t>
  </si>
  <si>
    <t>动态人脸识别系统(#2)</t>
  </si>
  <si>
    <t>所有(#0)</t>
  </si>
  <si>
    <t>桌面客户端(#6)</t>
  </si>
  <si>
    <t>新产品V1.0版本(#3)</t>
  </si>
  <si>
    <t>资源管理—通道管理：对已添加的通道进行右键修改，编辑删除按钮都未生效</t>
  </si>
  <si>
    <t>代码错误</t>
  </si>
  <si>
    <t>[步骤]1.进入资源管理下的通道管理页面 2.右键点击已存在的通道  编辑删除按钮未生效（且字体不清晰）
[结果]
编辑删除按钮未生效
&lt;img alt="" src="data/upload/1/201704/2117505204688u0v.png" /&gt;
[期望]编辑删除按钮生效，且字体清晰</t>
  </si>
  <si>
    <t>已关闭</t>
  </si>
  <si>
    <t>已确认</t>
  </si>
  <si>
    <t>,</t>
  </si>
  <si>
    <t>焦聚静</t>
  </si>
  <si>
    <t>2017-04-21</t>
  </si>
  <si>
    <t>RLSB-CS-V0.1-20170420(#6)</t>
  </si>
  <si>
    <t>Closed</t>
  </si>
  <si>
    <t>2017-05-15</t>
  </si>
  <si>
    <t>莫斯棋</t>
  </si>
  <si>
    <t>丢弃</t>
  </si>
  <si>
    <t>2017-05-09</t>
  </si>
  <si>
    <t>2117505204688u0v.png</t>
  </si>
  <si>
    <t>184</t>
  </si>
  <si>
    <t>添加同级区域，客户端崩溃</t>
  </si>
  <si>
    <t>[步骤]
右键选择添加同级区域
[结果]
弹出提示框，点击提示框确定按钮后，再点击其他区域，程序崩溃
&lt;img src="data/upload/1/201704/2117513408647avn.png" alt="" /&gt;
[期望]</t>
  </si>
  <si>
    <t>赵肖玲</t>
  </si>
  <si>
    <t>2017-06-14</t>
  </si>
  <si>
    <t>已解决</t>
  </si>
  <si>
    <t>陈灵艳</t>
  </si>
  <si>
    <t>2117513408647avn.png</t>
  </si>
  <si>
    <t>185</t>
  </si>
  <si>
    <t>资源管理—通道管理—删除区域：添加多个子区域，然后删除子区域，崩溃</t>
  </si>
  <si>
    <t>[步骤]1.进入资源管理下的通道管理页面 2.点击子区域，对一个区域添加多个子区域  3.然后删除子区域
[结果]崩溃
&lt;img alt="" src="data/upload/1/201704/21180150052252ur.png" /&gt;
[期望]</t>
  </si>
  <si>
    <t>2017-06-12</t>
  </si>
  <si>
    <t>211753010671650v.png</t>
  </si>
  <si>
    <t>187</t>
  </si>
  <si>
    <t>资源管理—通道管理—添加区域：添加一个根区域之后，添加其同级区域</t>
  </si>
  <si>
    <t>[前置条件]
已有一个根区域[步骤]
1，选择区域“北京”，右键
2，添加同级区域
[结果]
系统报错后崩溃
报错截图：
&lt;img alt="24102958085915sq.png" src="data/upload/1/201704/24102958085915sq.png" /&gt;
崩溃截图：
&lt;img alt="2410314104598fa3.png" src="data/upload/1/201704/2410314104598fa3.png" /&gt;
[期望]
弹出合理化提示，只允许有一个根区域，或者，允许多个根区域并存</t>
  </si>
  <si>
    <t>王超颖</t>
  </si>
  <si>
    <t>2017-04-24</t>
  </si>
  <si>
    <t>2017-05-25</t>
  </si>
  <si>
    <t>资源管理—通道管理—添加区域：添加一个根区域之后，添加其同级区域(233)</t>
  </si>
  <si>
    <t>24102958085915sq.png</t>
  </si>
  <si>
    <t>188</t>
  </si>
  <si>
    <t>资源管理—通道管理—添加区域：添加区域时，需要再次编辑才能修改区域名称</t>
  </si>
  <si>
    <t>一般</t>
  </si>
  <si>
    <t>[步骤]
1.通道列表中，右键添加区域
[结果]
New Node直接被保存，需要再次点击编辑，才能修改区域名称
[期望]
添加区域后，直接可以编辑区域名称</t>
  </si>
  <si>
    <t>陈灵艳,莫斯棋,</t>
  </si>
  <si>
    <t>梁先策</t>
  </si>
  <si>
    <t>2017-05-23</t>
  </si>
  <si>
    <t>0000-00-00</t>
  </si>
  <si>
    <t>资源管理—通道管理—添加区域：添加第一个区域(234)</t>
  </si>
  <si>
    <t>189</t>
  </si>
  <si>
    <t>资源管理—通道管理—添加区域：编辑区域名称后，提交保存操作不方便，需要点击Search才能保存。</t>
  </si>
  <si>
    <t>[步骤]
1.选择一个区域New Node，右键编辑
2.输入北京
3.点击界面其他区域，或者按键回车
[结果]
都不能提交保存，只有当点击search按钮时，才能提交保存
[期望]
提交保存易操作</t>
  </si>
  <si>
    <t>资源管理—通道管理—修改区域：右键编辑区域(236)</t>
  </si>
  <si>
    <t>190</t>
  </si>
  <si>
    <t>资源管理—通道管理—删除区域：删除一个根区域，需要点击search，右键菜单恢复为“添加区域”</t>
  </si>
  <si>
    <t>[步骤]
1.选择根区域，右键删除
2.删除后，查看右键菜单
[结果]
需要点击search，右键菜单才会恢复为“添加区域”
&lt;img src="data/upload/1/201704/2411393202462ih3.png" alt="2411393202462ih3.png" /&gt;
[期望]
右键菜单恢复为“添加区域”</t>
  </si>
  <si>
    <t>资源管理—通道管理—删除区域：删除一个根区域(235)</t>
  </si>
  <si>
    <t>2411393202462ih3.png</t>
  </si>
  <si>
    <t>191</t>
  </si>
  <si>
    <t>资源管理—通道管理—删除区域：删除一个包含通道的区域后，右侧通道没有自动刷新</t>
  </si>
  <si>
    <t>[步骤]
1.选择一个区域，有通道的，右键删除
2.验证区域被删除，验证该区域下的所有通道被删除，验证区域和通道列表均自动刷新
[结果]
删除后，右侧通道没有自动刷新
&lt;img src="data/upload/1/201704/2412054403804sqs.png" alt="2412054403804sqs.png" /&gt;
[期望]
右侧通道界面自动刷新</t>
  </si>
  <si>
    <t>资源管理—通道管理—删除区域：删除一个包含通道的区域(230)</t>
  </si>
  <si>
    <t>192</t>
  </si>
  <si>
    <t>资源管理—通道管理—修改区域：F2编辑区域</t>
  </si>
  <si>
    <t xml:space="preserve">[步骤]
1.选择一个区域，按键F2
2.选中区域变为可编辑，修改区域名称，点击其他区域提交保存
[结果]
客户端显示保存成功，修改后的数据未成功提交到数据库
&lt;img src="data/upload/1/201704/24123302051584ed.png" alt="24123302051584ed.png" /&gt;
[期望]
客户端与数据库均保存成功
</t>
  </si>
  <si>
    <t>2017-06-13</t>
  </si>
  <si>
    <t>RLSB-CS-V0.1-20170515(#9)</t>
  </si>
  <si>
    <t>2017-06-01</t>
  </si>
  <si>
    <t>资源管理—通道管理—修改区域：F2编辑区域(237)</t>
  </si>
  <si>
    <t>24123302051584ed.png</t>
  </si>
  <si>
    <t>193</t>
  </si>
  <si>
    <t>资源管理—通道管理—删除区域：添加一个区域，然后删除以后，点击右键添加子区域（同级区域     编辑等），崩溃</t>
  </si>
  <si>
    <t>[步骤]1.进入资源管理下的通道管理 2.添加一个区域，3，删除此区域 4.点击右键添加子区域等
[结果]
添加一个区域
&lt;img alt="" src="data/upload/1/201704/2414293409456bcf.png" /&gt;
删除区域
&lt;img alt="" src="data/upload/1/201704/2414294705856bcf.png" /&gt;
点击右键添加子区域
&lt;img alt="" src="data/upload/1/201704/2414300301191bc.png" /&gt;
[期望]删除区域以后应该刷新此页面，只剩之前未添加区域的时候的添加区域按钮</t>
  </si>
  <si>
    <t>2414293409456bcf.png</t>
  </si>
  <si>
    <t>194</t>
  </si>
  <si>
    <t>资源管理—通道管理—删除区域：添加多个区域，然后连续删除三个区域以后，再对其中一个区域编辑，崩溃</t>
  </si>
  <si>
    <t>[步骤]1.进入资源管理下的通道管理，2.添加多个区域 3.然后接连删除三个区域以后4.对其中一个区域右键编辑
[结果]
右键添加多个区域
&lt;img alt="" src="data/upload/1/201704/2414351309434cf2.png" /&gt;
接连删除三个区域
&lt;img alt="" src="data/upload/1/201704/24143529051090q1.png" /&gt;
对其中一个区域点击选中右键编辑
&lt;img alt="" src="data/upload/1/201704/2414361509129cf2.png" /&gt;
[期望]</t>
  </si>
  <si>
    <t>2414351309434cf2.png</t>
  </si>
  <si>
    <t>195</t>
  </si>
  <si>
    <t>资源管理—通道管理：选中任意通道或区域，最右边有个三角标识，左键点击，出现多个按钮</t>
  </si>
  <si>
    <t>[步骤]1.进入资源管理下的通道管理页面  2，选中任意通道或区域 3.右边有个三角标识  4.左键点击出现多个按钮
[结果]
点击左键会出现如下几个按钮，但点击均不生效
&lt;img alt="" src="data/upload/1/201704/2415003304333b81.png" /&gt;
[期望]个人认为没有必要，如果需要有，首先按钮要生效，其次通道不需要有</t>
  </si>
  <si>
    <t>2415003304333b81.png</t>
  </si>
  <si>
    <t>196</t>
  </si>
  <si>
    <t>资源管理—通道管理—添加通道：人脸抓拍参数设置个默认值</t>
  </si>
  <si>
    <t>[步骤]1，进入资源管理下的通道管理 2.人脸抓拍参数设置个默认值
[结果]
&lt;img alt="" src="data/upload/1/201704/2415160702914bij.png" /&gt;
[期望]人脸抓拍参数设置个默认值方便使用</t>
  </si>
  <si>
    <t>2415160702914bij.png</t>
  </si>
  <si>
    <t>197</t>
  </si>
  <si>
    <t>资源管理—通道管理—通道列表：不支持区域、通道的名称的模糊查询</t>
  </si>
  <si>
    <t>[步骤]
1. 有一个“我的”通道
2. 搜索框输入，“我的”，可以查出“我的”通道
3.搜索框输入，“我”
[结果]
查不到“我的”通道
&lt;img src="data/upload/1/201704/2415210506067t80.png" alt="2415210506067t80.png" /&gt;
[期望]
通道、区域名称应支持模糊查询</t>
  </si>
  <si>
    <t>韩强</t>
  </si>
  <si>
    <t>新产品1.0版本发布(#1)</t>
  </si>
  <si>
    <t>2017-05-08</t>
  </si>
  <si>
    <t>资源管理—通道管理—通道列表：搜索功能正常搜索(189)</t>
  </si>
  <si>
    <t>2415210506067t80.png</t>
  </si>
  <si>
    <t>198</t>
  </si>
  <si>
    <t>资源管理—通道管理—修改通道：对已添加的通道进行修改。ip删除，状态应该更新为为红色</t>
  </si>
  <si>
    <t>[步骤]1.进入资源管理下的通道管理页面 2.点击修改通道 3.删除ip  4.状态显示为绿色，应该为红色
[结果]
&lt;img alt="" src="data/upload/1/201704/2415250408761b81.png" /&gt;
[期望]状态应该为红色</t>
  </si>
  <si>
    <t>2017-05-16</t>
  </si>
  <si>
    <t>2415250408761b81.png</t>
  </si>
  <si>
    <t>199</t>
  </si>
  <si>
    <t>资源管理—通道管理—删除区域：删除一个包含通道的区域时，被删除通道的is_del没有被置为1</t>
  </si>
  <si>
    <t>[步骤]
1.选择一个包含通道A的区域，右键删除
2.去查channel表，查看被删除的通道A字段is_del
[结果]
is_del为0
[期望]
is_del为1
[注]
1.此问题只出现在删除区域时；
2.单独删除通道时，is_del被置为1</t>
  </si>
  <si>
    <t>李彦婵</t>
  </si>
  <si>
    <t>2017-04-26</t>
  </si>
  <si>
    <t>200</t>
  </si>
  <si>
    <t>通道信息：输入框长字符串问题</t>
  </si>
  <si>
    <t>[步骤]
1.在通道信息维护页面，对通道名称、备注、视频源IP、用户名、密码等进行超长字符串设置
[结果]
1.允许输入超长字符串；
2.页面展示不友好，建议显示不下的字符使用省略号
3.客户端无限制展示超长字符，数据库表字段有长度限制。保存超长字符时，若不重启客户端，超长字符可以展示；一旦重启，只保留数据库中限制了长度的串，例如：通道名称输入100个字符，保存显示成功；重启客户端后，通道名称只显示64个字符
&lt;img alt="2415592601721sr5.png" src="data/upload/1/201704/2415592601721sr5.png" /&gt;
[期望]</t>
  </si>
  <si>
    <t>延期处理</t>
  </si>
  <si>
    <t>对所有输入框进行长字符验证(239)</t>
  </si>
  <si>
    <t>2415592601721sr5.png</t>
  </si>
  <si>
    <t>201</t>
  </si>
  <si>
    <t>资源管理—通道管理：多个通道时候，建议自适应屏幕分辨率</t>
  </si>
  <si>
    <t>[步骤]1.进入资源管理下的通道管理 2.添加多个通道如下图
[结果]
&lt;img alt="" src="data/upload/1/201704/24162956057128ag.png" /&gt;
[期望]建议自适应屏幕</t>
  </si>
  <si>
    <t>24162956057128ag.png</t>
  </si>
  <si>
    <t>202</t>
  </si>
  <si>
    <t>多个同名通道存在时，搜索只能定位到第一个</t>
  </si>
  <si>
    <t>[步骤]
1.添加多个通道“啊”，在不同层级的区域
2.搜索“啊”通道
[结果]
只能定位到第一个，后面的所有啊，都无法被查询到
如图：共有四个啊通道：
&lt;img src="data/upload/1/201704/24165143023393et.png" alt="24165143023393et.png" /&gt;
只有第一个能被定位到：
&lt;img src="data/upload/1/201704/2416505406423ih3.png" alt="2416505406423ih3.png" /&gt;
[期望]
能展示所有的“啊”通道</t>
  </si>
  <si>
    <t>2416505406423ih3.png</t>
  </si>
  <si>
    <t>203</t>
  </si>
  <si>
    <t>资源管理—通道管理—通道列表：先选中一个通道“通道1”，用不存在的字段搜索，如“劲松”，右侧通道视频列表不清空</t>
  </si>
  <si>
    <t>[步骤]
1.先选中一个“通道1”
2.搜索框中，输入“劲松”，点击search  （不存在名叫劲松的通道或区域）
[结果]
通道1仍存在在界面右侧的通道视频列表中
&lt;img src="data/upload/1/201704/2417172201953sr5.png" alt="2417172201953sr5.png" /&gt;
[期望]
验证右侧通道视频列表不展示任何通道</t>
  </si>
  <si>
    <t>资源管理—通道管理—通道列表：搜索功能不正常搜索(190)</t>
  </si>
  <si>
    <t>2417172201953sr5.png</t>
  </si>
  <si>
    <t>204</t>
  </si>
  <si>
    <t>资源管理—通道管理—图像源参数：摄像头方向未保存入库</t>
  </si>
  <si>
    <t>[步骤]
1.修改一通道的摄像头方向为东
2.关闭通道管理
3.再次打开通道，查看该摄像头方向
[结果]
摄像头方向为None，查库，channel_direct 为 0
&lt;img src="data/upload/1/201704/2514295708886uvu.png" alt="2514295708886uvu.png" /&gt;
[期望]
方向为东，数据入库</t>
  </si>
  <si>
    <t>2017-04-25</t>
  </si>
  <si>
    <t>资源管理—通道管理—图像源参数：摄像头方向的修改保存(210)</t>
  </si>
  <si>
    <t>2514295708886uvu.png</t>
  </si>
  <si>
    <t>205</t>
  </si>
  <si>
    <t>资源管理—通道管理—通道列表：搜索框为空时，点击搜索，右侧应显示所有通道</t>
  </si>
  <si>
    <t>[步骤]
1.搜索框为空时，点击搜索
[结果]
右侧没有显示所有通道
[期望]
右侧应显示所有通道</t>
  </si>
  <si>
    <t>2017-05-05</t>
  </si>
  <si>
    <t>资源管理—通道管理—通道列表：搜索框为空，点击搜索(191)</t>
  </si>
  <si>
    <t>206</t>
  </si>
  <si>
    <t>资源管理—通道管理—通道显示：ping一些不能ping通的ip，状态都变绿</t>
  </si>
  <si>
    <t>[步骤]
1.添加通道，ip设为192.168.1.16
2.添加通道，ip设为125.154.1.1
3.添加通道，ip设为0.0.0.125
4.依次点击“更新编辑状态”
[结果]
1.2.3的通道状态都变绿
&lt;img src="data/upload/1/201704/2515293909758d0s.png" alt="2515293909758d0s.png" /&gt;
[期望]
1.2.3的通道状态不应变绿，IP实际上都是ping不通的：
C:\Users\admin&amp;gt;ping 192.168.1.16
正在 Ping 192.168.1.16 具有 32 字节的数据:
来自 192.168.1.156 的回复: 无法访问目标主机。
来自 192.168.1.1 的回复: 无法访问目标主机。
来自 192.168.1.1 的回复: 无法访问目标主机。
来自 192.168.1.1 的回复: 无法访问目标主机。
192.168.1.16 的 Ping 统计信息:
    数据包: 已发送 = 4，已接收 = 4，丢失 = 0 (0% 丢失)，
C:\Users\admin&amp;gt;ping 125.154.1.1
正在 Ping 125.154.1.1 具有 32 字节的数据:
请求超时。
请求超时。
请求超时。
请求超时。
125.154.1.1 的 Ping 统计信息:
    数据包: 已发送 = 4，已接收 = 0，丢失 = 4 (100% 丢失)，
C:\Users\admin&amp;gt;ping 0.0.0.125
正在 Ping 0.0.0.125 具有 32 字节的数据:
PING：传输失败。常见故障。
PING：传输失败。常见故障。
PING：传输失败。常见故障。
PING：传输失败。常见故障。
0.0.0.125 的 Ping 统计信息:
    数据包: 已发送 = 4，已接收 = 0，丢失 = 4 (100% 丢失)，</t>
  </si>
  <si>
    <t>资源管理—通道管理—通道显示：界面Ping按钮显示连接状态(200)</t>
  </si>
  <si>
    <t>2515293909758d0s.png</t>
  </si>
  <si>
    <t>207</t>
  </si>
  <si>
    <t>资源管理—通道管理—通道视频列表：没有显示通道所属区域</t>
  </si>
  <si>
    <t>[步骤]
1. 查看通道信息
[结果]
&lt;img src="data/upload/1/201704/25161919020345k6.png" alt="25161919020345k6.png" /&gt;
[期望]
&lt;img src="data/upload/1/201704/25161908063916dd.png" alt="25161908063916dd.png" /&gt;</t>
  </si>
  <si>
    <t>资源管理—通道管理—通道视频列表：验证通道信息展示(196)</t>
  </si>
  <si>
    <t>25161908063916dd.png</t>
  </si>
  <si>
    <t>321</t>
  </si>
  <si>
    <t>资源管理—通道管理：新增通道，均不填写报错（未将对象引用设置到对象的实例）</t>
  </si>
  <si>
    <t>立即修改</t>
  </si>
  <si>
    <t>[步骤]1.点击资源管理下的通道管理
         2.添加区域
         3.给区域新增通道
         4.内容均不填写点击保存
[结果]
报错
&lt;img alt="" src="data/upload/1/201705/16140352054846c.png" /&gt;
[期望]正常添加通道，</t>
  </si>
  <si>
    <t>2017-05-27</t>
  </si>
  <si>
    <t>2017-05-19</t>
  </si>
  <si>
    <t>16140352054846c.png</t>
  </si>
  <si>
    <t>323</t>
  </si>
  <si>
    <t>资源管理—通道管理：添加一个通道，不填写通道号，然后直接点击区域，提示通道号为空，</t>
  </si>
  <si>
    <t>正常排队</t>
  </si>
  <si>
    <t>[步骤]1.点击资源管理下的通道管理
          2.在区域下添加一个通道号为空的通道
          3.点击该区域
[结果]
 直接点击区域，显示如下
&lt;img alt="" src="data/upload/1/201705/161514580759546c.png" /&gt;
先选择通道，再次点击区域，显示如下
&lt;img alt="" src="data/upload/1/201705/161516020534k4o.png" /&gt;
[期望]  不提示通道号为空，（ip也同理）</t>
  </si>
  <si>
    <t>2017-06-20</t>
  </si>
  <si>
    <t>161514580759546c.png</t>
  </si>
  <si>
    <t>326</t>
  </si>
  <si>
    <t>通道管理：摄像头密码错误仍能进行视频预览</t>
  </si>
  <si>
    <t>[步骤]
1.点击通道管理
2.对已添加的摄像头进行修改
3.密码修改为错误的
[结果]
还可以正常观看视频
&lt;img alt="" src="data/upload/1/201705/1616474005400mrq.png" /&gt;
[期望] 密码错误不可以观看视频预览</t>
  </si>
  <si>
    <t>莫增文,</t>
  </si>
  <si>
    <t>外部原因</t>
  </si>
  <si>
    <t>2017-05-22</t>
  </si>
  <si>
    <t>资源管理—通道管理—图像源参数：登录相机端密码的修改保存(214)</t>
  </si>
  <si>
    <t>高振东</t>
  </si>
  <si>
    <t>1616474005400mrq.png</t>
  </si>
  <si>
    <t>327</t>
  </si>
  <si>
    <t>人脸比对——抓拍比对：所有识别结果都显示60分</t>
  </si>
  <si>
    <t>[步骤]
进入人脸比对界面，选择抓拍比对，有抓拍人脸和人脸模板
[结果]
所有识别结果都显示60分
&lt;img alt="1617262504351e0i.png" src="data/upload/1/201705/1617262504351e0i.png" /&gt;
[期望]
识别结果显示正确分数</t>
  </si>
  <si>
    <t>人脸比对——抓拍比对：识别结果页面核查(183)</t>
  </si>
  <si>
    <t>1617262504351e0i.png</t>
  </si>
  <si>
    <t>328</t>
  </si>
  <si>
    <t>人脸比对——抓拍比对：设置窗口布局为16，然后点击一个视频进行预览，设置窗口布局失效</t>
  </si>
  <si>
    <t>[步骤]
1.点击人脸比对下的抓拍比对按钮
2.点击设置窗口布局 设置为16
3.然后点击一个视频，右键 视频预览
[结果]
&lt;img alt="" src="data/upload/1/201705/1617524904284mmr.png" /&gt;
&lt;img alt="" src="data/upload/1/201705/1617532505509qc4.png" /&gt;
[期望] 窗口布局依然显示为16</t>
  </si>
  <si>
    <t>刘宏亮</t>
  </si>
  <si>
    <t>设计如此</t>
  </si>
  <si>
    <t>1617524904284mmr.png</t>
  </si>
  <si>
    <t>329</t>
  </si>
  <si>
    <t>人脸比对——抓拍比对：点击是否抓拍，停止抓拍目前未生效</t>
  </si>
  <si>
    <t>[步骤]
1.点击人脸比对下的抓拍比对按钮
2.选择一个通道点击右键
3.点击是否抓拍按钮
[结果]
目前一直在抓拍，点击关闭没有用
[期望]按钮可以正常使用</t>
  </si>
  <si>
    <t>2017-05-24</t>
  </si>
  <si>
    <t>人脸比对——抓拍比对：右键抓拍，验证开启抓拍的通道向MQ推送抓拍照片(474)</t>
  </si>
  <si>
    <t>330</t>
  </si>
  <si>
    <t>资源管理—通道管理：通道号删除两位，应该不可以观看视频预览</t>
  </si>
  <si>
    <t>[步骤]
1.点击资源管理下的通道管理
2.点击已有的摄像头进行修改
3.默认的通道号52_#_51000003_1_101  删除后两位
[结果]
视频还可以正常预览
&lt;img alt="" src="data/upload/1/201705/1618080707567mrq.png" /&gt;
[期望]视频预览不可以观看</t>
  </si>
  <si>
    <t>1618080707567mrq.png</t>
  </si>
  <si>
    <t>331</t>
  </si>
  <si>
    <t>模板库：编辑模板库的控件默认不是新建状态</t>
  </si>
  <si>
    <t>[前置条件]
登录成功[步骤]
1.打开模板管理页面；
2.检查编辑模板库区域；
[结果]
默认选择了第一个模板库；控件上回显了第一个模板库的信息。
&lt;img alt="17110827070155d.png" src="data/upload/1/201705/17110827070155d.png" /&gt;
[期望]
所有控件应该为新建状态；</t>
  </si>
  <si>
    <t>2017-05-17</t>
  </si>
  <si>
    <t>模板库：编辑模板库，验证默认为新建状态(372)</t>
  </si>
  <si>
    <t>17110827070155d.png</t>
  </si>
  <si>
    <t>332</t>
  </si>
  <si>
    <t>模板库：编辑模板库，点击新建，去掉弹窗，模板名称、备注置空</t>
  </si>
  <si>
    <t>[前置条件]
登录成功[步骤]
1.打开模板管理
2.点击新建
[结果]
直接弹出弹窗
&lt;img alt="17111445030339cu.png" src="data/upload/1/201705/17111445030339cu.png" /&gt;
[期望]
无弹窗
模板名称置空，备注置空</t>
  </si>
  <si>
    <t>模板库：编辑模板库，验证新建按钮功能(103)</t>
  </si>
  <si>
    <t>17111445030339cu.png</t>
  </si>
  <si>
    <t>333</t>
  </si>
  <si>
    <t>模板库：新建的模板库显示数量为6919，实际为0</t>
  </si>
  <si>
    <t xml:space="preserve">[步骤]
1.打开模板管理
2.新建模板库
3.查看新建的模板库数量
[结果]
6919
&lt;img alt="1711221703559d39.png" src="data/upload/1/201705/1711221703559d39.png" /&gt;
[期望]
0
</t>
  </si>
  <si>
    <t>1711221703559d39.png</t>
  </si>
  <si>
    <t>334</t>
  </si>
  <si>
    <t>模板库：修改备注后的模板库，按新备注查询不到</t>
  </si>
  <si>
    <t>[步骤]
1.打开模板管理
2.选中模板库“我是新建的”,其备注为“我是新建的”
3.修改其备注为“她”
4.查询条件中，备注输入“她”
5.点击查询
[结果]
查询不到；
按照修改前的“我是”查询，能查到
[期望]
修改后的备注能查询到</t>
  </si>
  <si>
    <t>335</t>
  </si>
  <si>
    <t>模板库：英文备注查询不到</t>
  </si>
  <si>
    <t>低优先级</t>
  </si>
  <si>
    <t>[步骤]
1.打开模板管理
2.选中模板库“测试英文备注”,其备注为“ENGLISH”
3.查询条件中，备注输入“ENGLISH”
5.点击查询
[结果]
查询不到；
[期望]
 英文备注查询不到</t>
  </si>
  <si>
    <t>336</t>
  </si>
  <si>
    <t>模板库：按创建时间的查询模板库的问题</t>
  </si>
  <si>
    <t>[前置条件]
有2017/5/16和2017/5/17两天创建的模板库
[步骤]
1. 打开模板管理
2. 截至时间选择2017/5/16
3.点击查询
4. 开始时间选择2017/5/17
5.点击查询
6.开始时间选择2017/5/16，截止时间选择2017/5/16
7.点击查询
[结果]
3.返回了所有模板库：2017/5/16和2017/5/17
&lt;img alt="1714233103001ui5.png" src="data/upload/1/201705/1714233103001ui5.png" /&gt;
5.返回了所有模板库：2017/5/16和2017/5/17
&lt;img alt="17143602076465d3.png" src="data/upload/1/201705/17143602076465d3.png" /&gt;
7.无结果返回
&lt;img alt="1714395502330ui5.png" src="data/upload/1/201705/1714395502330ui5.png" /&gt;
[期望]
3.返回2017/5/16及之前创建的模板库
5.返回2017/5/17及之后创建的模板库
7.应返回2017/5/16日创建的模板库</t>
  </si>
  <si>
    <t>模板库：模板库按创建时间查询(124)</t>
  </si>
  <si>
    <t>1714233103001ui5.png</t>
  </si>
  <si>
    <t>340</t>
  </si>
  <si>
    <t>模板管理：添加非人脸照片，显示添加成功，人脸对象列表刷新出现该人脸对象及其模板，切换到其他模板库再切回来，模板不再显示。</t>
  </si>
  <si>
    <t xml:space="preserve">[步骤]
1.在某人脸库下，新建人脸对象
2.浏览添加非人脸照片，设为主照片
3.保存
4.点击其他人脸库
5.再点击步骤1的人脸库，查看人脸对象的照片
[结果]
3.提示保存成功，人脸对象列表显示显示新建的人脸对象
&lt;img src="data/upload/1/201705/1811512108672ha2.png" alt="1811512108672ha2.png" /&gt;
5.照片不显示了
&lt;img src="data/upload/1/201705/1811514508367b9o.png" alt="1811514508367b9o.png" /&gt;
[期望]
3.提示照片检测不到人脸
</t>
  </si>
  <si>
    <t>2017-05-18</t>
  </si>
  <si>
    <t>2017-06-06</t>
  </si>
  <si>
    <t>人脸对象：新建人脸对象，浏览添加非人脸照片(138)</t>
  </si>
  <si>
    <t>1811512108672ha2.png</t>
  </si>
  <si>
    <t>341</t>
  </si>
  <si>
    <t>人脸对象：不选中对象时，右键应无删除菜单</t>
  </si>
  <si>
    <t>[步骤]
1.打开模板管理
2.不选择任何人脸对象，右键
[结果]
有删除菜单，且点击删除，提示删除成功
&lt;img src="data/upload/1/201705/1813325705957a2o.png" alt="1813325705957a2o.png" /&gt;
&lt;img src="data/upload/1/201705/1813330801970nga.png" alt="1813330801970nga.png" /&gt;
[期望]
验证无删除菜单</t>
  </si>
  <si>
    <t>人脸对象：验证不选中对象时，右键无删除菜单(533)</t>
  </si>
  <si>
    <t>1813325705957a2o.png</t>
  </si>
  <si>
    <t>342</t>
  </si>
  <si>
    <t>人脸比对——抓拍比对：两个摄像头进行视频观看按钮的操作，后一个点击视频预览导致前一个视频预览不能观看</t>
  </si>
  <si>
    <t>[步骤]
1.添加两个摄像头，一个正常使用（知春路），一个ip填写错误（大钟寺）
2.点击人脸比对下的抓拍比对
3.先点击ip错误的摄像头进行视频预览
4.然后点击ip正确的视频进行视频预览
[结果]
先点击ip正确的摄像头如下
&lt;img alt="" src="data/upload/1/201705/1815251207186p85.png" /&gt;
再次点击ip不正确的摄像头的视频预览
&lt;img alt="" src="data/upload/1/201705/1815260401745t2j.png" /&gt;
点击ip错误的摄像头，关闭视频预览，结果关闭了ip正确的摄像头
&lt;img alt="" src="data/upload/1/201705/1815274802791bfu.png" /&gt;
[期望] 视频预览按钮正常使用</t>
  </si>
  <si>
    <t>高振东,</t>
  </si>
  <si>
    <t>1815251207186p85.png</t>
  </si>
  <si>
    <t>343</t>
  </si>
  <si>
    <t>模板库：模板库无数据时，点击删除按钮，多次提示</t>
  </si>
  <si>
    <t>[步骤]
1.点击模板管理页面
2.右键删除按钮
[结果]
&lt;img alt="" src="data/upload/1/201705/1815311409599rp8.png" /&gt;
&lt;img alt="" src="data/upload/1/201705/1815312404229bfu.png" /&gt;
[期望]只提示一次即可</t>
  </si>
  <si>
    <t>1815311409599rp8.png</t>
  </si>
  <si>
    <t>344</t>
  </si>
  <si>
    <t>人脸对象：添加人脸对象的时候，没有选中模板库，报错</t>
  </si>
  <si>
    <t>[步骤]
1.进入模板库页面
2.添加一个模板库
3.不选中模板库，直接点击右键添加人脸对象
[结果]
&lt;img alt="" src="data/upload/1/201705/1815372903520qt2.png" /&gt;
&lt;img alt="" src="data/upload/1/201705/18153737054712mv.png" /&gt;
[期望] 不选中模板库提示，或者直接默认选中模板库</t>
  </si>
  <si>
    <t>1815372903520qt2.png</t>
  </si>
  <si>
    <t>345</t>
  </si>
  <si>
    <t>人脸对象：选择其中一个为主模板，然后右键移除另外一个，主模板也被移除</t>
  </si>
  <si>
    <t>[步骤]
1.进入人脸对象页面
2.人脸对象添加两个模板
3.其中一个点击右键设为主模板
4.另外一个点击右键，删除模板
[结果]
&lt;img alt="" src="data/upload/1/201705/1815513508804bfu.png" /&gt;
&lt;img alt="" src="data/upload/1/201705/1815530201071k6j.png" /&gt;
&lt;img alt="" src="data/upload/1/201705/1815524803818qt2.png" /&gt;
[期望]  移除模板按钮，移除选中模板，主照片保留，除非移除的是主照片的模板，则主照片删除</t>
  </si>
  <si>
    <t>1815513508804bfu.png</t>
  </si>
  <si>
    <t>346</t>
  </si>
  <si>
    <t>人脸对象;点击右键移除模板未生效</t>
  </si>
  <si>
    <t>[步骤]
1.进入人脸对象页面
2.对人脸对象模板进行右键移除
3.此页面看起来删除   点击模板库进行刷新，发现没有删除
[结果]
&lt;img alt="" src="data/upload/1/201705/1815560804281mvk.png" /&gt;
&lt;img alt="" src="data/upload/1/201705/1815561901835t2j.png" /&gt;
&lt;img alt="" src="data/upload/1/201705/1815563207283jbf.png" /&gt;
[期望]  正常移除模板</t>
  </si>
  <si>
    <t>1815560804281mvk.png</t>
  </si>
  <si>
    <t>347</t>
  </si>
  <si>
    <t>人脸小不推送(人脸最小检测尺寸为0)</t>
  </si>
  <si>
    <t xml:space="preserve">[步骤]
1.通道参数中，人脸最小检测尺寸为0
[结果]
人脸照片小，不推送
抓拍服务器有画人脸框
[期望]
</t>
  </si>
  <si>
    <t>桑明礼</t>
  </si>
  <si>
    <t>348</t>
  </si>
  <si>
    <t>新增加的模板照片，没有加载，除非重启比对服务。</t>
  </si>
  <si>
    <t xml:space="preserve">
</t>
  </si>
  <si>
    <t>郝文峰</t>
  </si>
  <si>
    <t>349</t>
  </si>
  <si>
    <t>模板库容量大小客户端无配置</t>
  </si>
  <si>
    <t>没有模板库容量大小配置，新建模板库默认存成0，比对服务不会比对容量为0的库</t>
  </si>
  <si>
    <t>2312573305419176.png</t>
  </si>
  <si>
    <t>350</t>
  </si>
  <si>
    <t>模板库A过大时，若其人脸对象刷新未完成，点击了其他模板库B，人脸对象暂时切换到模板B，人脸对象列表马上又刷新为A的</t>
  </si>
  <si>
    <t>351</t>
  </si>
  <si>
    <t>动态人脸识别PC(#11)</t>
  </si>
  <si>
    <t>通道管理(#53)</t>
  </si>
  <si>
    <t>新产品V1.0版本第一次迭代(#11)</t>
  </si>
  <si>
    <t>订阅某通道，关闭抓拍比对页面，再次打开抓拍比对，订阅图标状态是未订阅状态。</t>
  </si>
  <si>
    <t>[步骤]
1.打开抓拍，打开订阅
2.关闭抓拍比对页面
3.打开抓拍比对页面
4.验证订阅图标
[结果]
未订阅
&lt;img src="data/upload/1/201705/1819360802103phn.png" alt="1819360802103phn.png" /&gt;
[期望]
已订阅状态</t>
  </si>
  <si>
    <t>激活</t>
  </si>
  <si>
    <t>未确认</t>
  </si>
  <si>
    <t>苏晓伟,</t>
  </si>
  <si>
    <t>RLSB-CS-v0.2-20170515(#10)</t>
  </si>
  <si>
    <t>苏晓伟</t>
  </si>
  <si>
    <t>2017-06-23</t>
  </si>
  <si>
    <t>1819360802103phn.png</t>
  </si>
  <si>
    <t>352</t>
  </si>
  <si>
    <t>请修改抓拍比对的通道右键菜单</t>
  </si>
  <si>
    <t>通道状态是已订阅，建议右键菜单变为取消订阅；通道状态是已开启抓拍，建议右键菜单变更为关闭抓拍
通道状态是未订阅，建议右键菜单变为开启订阅；通道状态是未开启抓拍，建议右键菜单变更为开启抓拍</t>
  </si>
  <si>
    <t>353</t>
  </si>
  <si>
    <t>抓拍记录按时间检索不对</t>
  </si>
  <si>
    <t>&lt;img src="data/upload/1/201705/18194525022077rb.png" alt="18194525022077rb.png" /&gt;</t>
  </si>
  <si>
    <t>2017-06-21</t>
  </si>
  <si>
    <t>2017-06-09</t>
  </si>
  <si>
    <t>18194525022077rb.png</t>
  </si>
  <si>
    <t>354</t>
  </si>
  <si>
    <t>比对记录(#48)</t>
  </si>
  <si>
    <t>比对记录无比对结果，表fcmp_capture_alarm中有数据</t>
  </si>
  <si>
    <t xml:space="preserve">[步骤]
比对记录中查到过，似乎是重启客户端之后就查不到了
[结果]
&lt;img src="data/upload/1/201705/1820095708861h1g.png" alt="1820095708861h1g.png" /&gt;
&lt;img src="data/upload/1/201705/1820111401806gaa.png" alt="1820111401806gaa.png" /&gt;
</t>
  </si>
  <si>
    <t>1820095708861h1g.png</t>
  </si>
  <si>
    <t>355</t>
  </si>
  <si>
    <t>抓拍服务不起，在客户端打开抓拍、订阅，没有“不能启动抓拍订阅”的提示</t>
  </si>
  <si>
    <t>370</t>
  </si>
  <si>
    <t>抓拍比对：双击抓拍在照片，弹出添加模板，抓拍照片没有显示在添加模板窗口</t>
  </si>
  <si>
    <t>[步骤]
1.双击抓拍照片
[结果]
&lt;img alt="22141606074280vl.png" src="data/upload/1/201705/22141606074280vl.png" /&gt;
[期望]
选中抓拍照片显示在添加模板窗口</t>
  </si>
  <si>
    <t>22141606074280vl.png</t>
  </si>
  <si>
    <t>372</t>
  </si>
  <si>
    <t>抓拍比对：添加模板窗口，类型为空，不能保存模板</t>
  </si>
  <si>
    <t>[步骤]
1.双击抓拍照片
[结果]
人员类型为空，且其为必填项，为空不能保存模板
&lt;img src="data/upload/1/201705/2214222304060217.png" alt="2214222304060217.png" /&gt;
[期望]
人员类型或者可选，或者不是必填项</t>
  </si>
  <si>
    <t>2214222304060217.png</t>
  </si>
  <si>
    <t>374</t>
  </si>
  <si>
    <t>抓拍比对(#52)</t>
  </si>
  <si>
    <t>抓拍比对：识别结果模块和场景留存窗口，模板照片显示的是抓拍照片</t>
  </si>
  <si>
    <t>[步骤]
1.开启抓拍、订阅
2.添加模板
3.查看识别结果
4.在识别结果中双击开启场景留存窗口
[结果]
3.识别结果模块
&lt;img alt="221453290527445b.png" src="data/upload/1/201705/221453290527445b.png" /&gt;
4.场景留存窗口：模板照片位置处，显示的是抓拍照片
&lt;img alt="2214454304576b7v.png" src="data/upload/1/201705/2214454304576b7v.png" /&gt;
[期望]
模板照片位置处，显示的是模板照片
&lt;img alt="2214483705853l62.png" src="data/upload/1/201705/2214483705853l62.png" /&gt;</t>
  </si>
  <si>
    <t>2214454304576b7v.png</t>
  </si>
  <si>
    <t>375</t>
  </si>
  <si>
    <t>抓拍比对：抓拍照片模块应显示通道名称</t>
  </si>
  <si>
    <t>[步骤]
1.开启抓拍、订阅
[结果]
&lt;img alt="2214503605941jdq.png" src="data/upload/1/201705/2214503605941jdq.png" /&gt;
[期望]
&lt;img alt="22144952099926mj.png" src="data/upload/1/201705/22144952099926mj.png" /&gt;</t>
  </si>
  <si>
    <t>22144952099926mj.png</t>
  </si>
  <si>
    <t>377</t>
  </si>
  <si>
    <t>抓拍比对：场景留存窗口的，抓拍信息，模板信息有待完善</t>
  </si>
  <si>
    <t>[步骤]
[结果]
场景留存窗口的，抓拍信息，模板信息有待完善
&lt;img src="data/upload/1/201705/2215243107621s0v.png" alt="2215243107621s0v.png" /&gt;
[期望]</t>
  </si>
  <si>
    <t>2215243107621s0v.png</t>
  </si>
  <si>
    <t>378</t>
  </si>
  <si>
    <t>抓拍比对：识别结果模块，详细信息有待完善</t>
  </si>
  <si>
    <t>[步骤]
[结果]
识别结果模块，详细信息有待完善
&lt;img src="data/upload/1/201705/2215284307464768.png" alt="2215284307464768.png" /&gt;
[期望]</t>
  </si>
  <si>
    <t>2215284307464768.png</t>
  </si>
  <si>
    <t>381</t>
  </si>
  <si>
    <t>抓拍记录：抓拍记录页面显示的抓拍通道名称，显示成了id</t>
  </si>
  <si>
    <t>[步骤]
1.点击抓拍记录按钮
2.查看页面抓拍通道的显示
[结果]
通道名称，时间也可以优化一下。
&lt;img alt="" src="data/upload/1/201705/221725360209b5p.png" /&gt;
[期望] 正确显示抓拍通道</t>
  </si>
  <si>
    <t>22171311031055p0.png</t>
  </si>
  <si>
    <t>382</t>
  </si>
  <si>
    <t>抓拍记录：对抓拍记录的图片进行保存，保存失败</t>
  </si>
  <si>
    <t>[步骤]
1.点击抓拍记录
2.点击抓拍照片 右键
3.点击保存图片
[结果]
保存失败
&lt;img alt="" src="data/upload/1/201705/2217282709911209.png" /&gt;
[期望]保存成功</t>
  </si>
  <si>
    <t>2217282709911209.png</t>
  </si>
  <si>
    <t>384</t>
  </si>
  <si>
    <t>抓拍记录：抓拍记录页面，右键查看背景图，图片模糊</t>
  </si>
  <si>
    <t>[步骤]
1.点击抓拍记录
2.点击抓拍照片 右键
3.点击查看背景图
[结果]
&lt;img alt="" src="data/upload/1/201705/2217321504527r28.png" /&gt;
[期望]显示清晰</t>
  </si>
  <si>
    <t>2217321504527r28.png</t>
  </si>
  <si>
    <t>386</t>
  </si>
  <si>
    <t>抓拍记录：抓拍记录页面，按区域查询，查询内容和没有查询条件一样（按通道查询一样）</t>
  </si>
  <si>
    <t>[步骤]
1.点击抓拍记录
2.点击选择按区域查询（选择没有抓拍的区域）
[结果]
第一次点击进来抓拍记录
&lt;img alt="" src="data/upload/1/201705/2217451404388p0p.png" /&gt;
选择没有抓拍的区域(此区域刚添加，没有抓拍记录)
&lt;img alt="" src="data/upload/1/201705/22174548075887r2.png" /&gt;
&lt;img alt="" src="data/upload/1/201705/2217321504527r28.png" /&gt;
[期望]正确显示按区域查询结果</t>
  </si>
  <si>
    <t>2217451404388p0p.png</t>
  </si>
  <si>
    <t>387</t>
  </si>
  <si>
    <t>抓拍比对：抓拍比对</t>
  </si>
  <si>
    <t>[步骤]
1.点击抓拍记录页面
2.点击抓拍照片，进行添加模板
3.均不填写，点击保存
[结果]
&lt;img alt="" src="data/upload/1/201705/2218173109749p20.png" /&gt;
[期望]把人员名称修改为姓名</t>
  </si>
  <si>
    <t>2017-05-26</t>
  </si>
  <si>
    <t>22175004089595p0.png</t>
  </si>
  <si>
    <t>389</t>
  </si>
  <si>
    <t>抓拍记录:对抓拍记录的删除功能未实现</t>
  </si>
  <si>
    <t>[步骤]
1.点击抓拍记录按钮
2.选择任意一个抓拍记录    右键
[结果]
&lt;img alt="" src="data/upload/1/201705/221757430250928b.png" /&gt;
[期望]
&lt;img alt="" src="data/upload/1/201705/2217573508228n5m.png" /&gt;</t>
  </si>
  <si>
    <t>2217573508228n5m.png</t>
  </si>
  <si>
    <t>403</t>
  </si>
  <si>
    <t>通道管理：添加修改删除通道，显示数据提交失败</t>
  </si>
  <si>
    <t>高度关注</t>
  </si>
  <si>
    <t>其他</t>
  </si>
  <si>
    <t xml:space="preserve">日志请见附件
</t>
  </si>
  <si>
    <t>主干(#trunk)</t>
  </si>
  <si>
    <t>log4j</t>
  </si>
  <si>
    <t>414</t>
  </si>
  <si>
    <t>模板管理：右键点编辑，人脸对象编辑框显示不出来</t>
  </si>
  <si>
    <t>比对记录：不添加主模板照片，比对记录查不出结果</t>
  </si>
  <si>
    <t>抓拍比对：开启某通道，关闭抓拍比对页面，再次打开抓拍比对，抓拍状态是未开启状态。</t>
  </si>
  <si>
    <t>抓拍状态也未做持久化</t>
  </si>
  <si>
    <t>抓拍比对：识别结果不显示</t>
  </si>
  <si>
    <t>RLSB-CS-V0.1-patch-20170524
[步骤]
1.添加通道，模板
2.开启抓拍，订阅
[结果]
抓拍比对页面上，识别结果不展示；比对记录能查到比对结果
&lt;img src="data/upload/1/201705/25110824064737vp.png" alt="25110824064737vp.png" /&gt;
[期望]</t>
  </si>
  <si>
    <t>25110824064737vp.png</t>
  </si>
  <si>
    <t>模板管理：人脸对象，点击新建，人脸对象编辑框内容没有置空</t>
  </si>
  <si>
    <t xml:space="preserve">[步骤]
1.选中某人脸对象，右键编辑
2.点击新建
[结果]
人脸对象编辑框内，控件没有被置空
[期望]
人脸对象编辑框内，所有控件置为原始状态
</t>
  </si>
  <si>
    <t>433</t>
  </si>
  <si>
    <t>模板库：修改模板库状态为否，应停止对该模板库的比对</t>
  </si>
  <si>
    <t>[步骤]
1. 新建两个模板库A,B，均为启动状态
2.PC端修改模板库A的状态为未启用
[结果]
仍旧与A模板库的模板进行比对
[期望]
应停止对A模板库的模板的比对</t>
  </si>
  <si>
    <t>模板库：模板库模板只增不减</t>
  </si>
  <si>
    <t>[步骤]
1.删除模板照片
2.查看模板库数量
[结果]
应减少
[期望]
模板库数量只增不减</t>
  </si>
  <si>
    <t>模板管理：选中某人脸对象，右键编辑，应在目标对象编辑框内回显该人的基本信息和照片</t>
  </si>
  <si>
    <t>&lt;img src="data/upload/1/201705/2514081108343dak.png" alt="2514081108343dak.png" /&gt;</t>
  </si>
  <si>
    <t>2514081108343dak.png</t>
  </si>
  <si>
    <t>436</t>
  </si>
  <si>
    <t>抓拍服务：修改通道名称后，抓拍服务的视频窗口起两个了两个新老名字的窗口</t>
  </si>
  <si>
    <t>[步骤]
1. 新建通道，命名为“通道”
2.修改通道名，该为“陈灵艳的通道”
3.登录服务器查看
[结果]
2个视频预览的窗口打开着，“通道”和“陈灵艳的通道”，uid相同
&lt;img src="data/upload/1/201705/2514122706484u4f.png" alt="2514122706484u4f.png" /&gt;
[期望]
只应有一个</t>
  </si>
  <si>
    <t>2514122706484u4f.png</t>
  </si>
  <si>
    <t>模板管理：新建人脸对象，添加模板，不设置主照片，点保存，再编辑，设置主照片，保存失败</t>
  </si>
  <si>
    <t>[步骤]
1.新建人脸对象栗山千明，添加模板照片，不设主照片，点击保存
2.再编辑栗山千明
3.设置步骤1里的照片为主照片，点击保存
[结果]
提示保存失败
&lt;img alt="2514435901622tok.png" src="data/upload/1/201705/2514435901622tok.png" /&gt;
[期望]
保存成功
core日志截图：
&lt;img alt="2514520001835ebd.png" src="data/upload/1/201705/2514520001835ebd.png" /&gt;</t>
  </si>
  <si>
    <t>2514435901622tok.png</t>
  </si>
  <si>
    <t>441</t>
  </si>
  <si>
    <t>模板管理：修改模板照片，失败</t>
  </si>
  <si>
    <t xml:space="preserve">[步骤]
1. 添加人员对象，南泰铉，添加他的照片，保存成功
2.编辑南泰铉，单击他的照片
3.弹出“选择模板照片”
4.选择一张姜育恒的照片，点击保存
[结果]
保存报错
&lt;img src="data/upload/1/201705/2516312505356164.png" alt="2516312505356164.png" /&gt;
[预期]
修改模板照片成功
[日志]
pc日志： 2017-05-25 16:30:38,334 比对服务修改模板失败！模板ID：0fb98cbd-9b6e-44a7-9ff8-c642a9a55393
&lt;img src="data/upload/1/201705/2516354801905031.png" alt="2516354801905031.png" /&gt;
core日志，请见附件
</t>
  </si>
  <si>
    <t>2516312505356164.png</t>
  </si>
  <si>
    <t>442</t>
  </si>
  <si>
    <t>模板管理：移除模板照片，提示失败，实际上删除成功，刷新页面可以看到移除了</t>
  </si>
  <si>
    <t>[步骤]
1. 添加人员对象，南泰铉，添加他的照片，保存成功
2.编辑南泰铉，右键单击他的照片
3.右键菜单选择移除模板
4.点击查询
[结果]
3.提示删除失败
&lt;img src="data/upload/1/201705/2517243406224164.png" alt="2517243406224164.png" /&gt;
4.点击查询后，南泰铉的模板照片已经被移除
&lt;img src="data/upload/1/201705/2517245504927bd0.png" alt="2517245504927bd0.png" /&gt;
[预期]
提示信息正确</t>
  </si>
  <si>
    <t>2517243406224164.png</t>
  </si>
  <si>
    <t>比对记录：按分数查询失败</t>
  </si>
  <si>
    <t>[步骤]
设置分数为0.99，点击查询
[结果]
99分一下的比对记录都查出来了
&lt;img src="data/upload/1/201705/2518400602980d03.png" alt="2518400602980d03.png" /&gt;
[期望]
99分以上的比对记录查询出来</t>
  </si>
  <si>
    <t>2518400602980d03.png</t>
  </si>
  <si>
    <t>比对记录：按模板库查询失败</t>
  </si>
  <si>
    <t>[步骤]
设置模板库查询条件为“茶P”，点击查询
[结果]
除“茶P”库外的，其他库的比对记录都查出来了
&lt;img src="data/upload/1/201705/2518552708576ku4.png" alt="2518552708576ku4.png" /&gt;
茶P模板库只有三人：范冰冰，南泰铉，BUG345
&lt;img src="data/upload/1/201705/251855550903mto.png" alt="251855550903mto.png" /&gt;
[期望]
应该只查出"茶P"模板库的比对记录查询</t>
  </si>
  <si>
    <t>2518552708576ku4.png</t>
  </si>
  <si>
    <t>比对记录：无法按时间查询，日期控件不能选择具体时间</t>
  </si>
  <si>
    <t>可以按日期查询，无法看时间查询，日期控件不能选择具体时间
&lt;img src="data/upload/1/201705/2519011006444okd.png" alt="2519011006444okd.png" /&gt;</t>
  </si>
  <si>
    <t>2519011006444okd.png</t>
  </si>
  <si>
    <t>447</t>
  </si>
  <si>
    <t>比对记录：无抓拍场景图</t>
  </si>
  <si>
    <t>[步骤]
1.查看比对记录
[结果]
无场景图
&lt;img alt="2519065506368316.png" src="data/upload/1/201705/2519065506368316.png" /&gt;
[期望]
有场景图</t>
  </si>
  <si>
    <t>2519065506368316.png</t>
  </si>
  <si>
    <t>448</t>
  </si>
  <si>
    <t>比对记录：抓拍照片右键，点击保存照片，系统崩溃</t>
  </si>
  <si>
    <t>[步骤]
1.查看比对记录
2.选择抓拍照片，右键
3.点击保存图片
[结果]
&lt;img src="data/upload/1/201705/2519084609898kd0.png" alt="2519084609898kd0.png" /&gt;
&lt;img src="data/upload/1/201705/2519080907193031.png" alt="2519080907193031.png" /&gt;
[期望]</t>
  </si>
  <si>
    <t>2017-06-26</t>
  </si>
  <si>
    <t>2519080907193031.png</t>
  </si>
  <si>
    <t>449</t>
  </si>
  <si>
    <t>比对记录：数据库分页行数设置成100，显示50行，设置成200，显示101行。。。</t>
  </si>
  <si>
    <t>&lt;img src="data/upload/1/201705/2519133706959164.png" alt="2519133706959164.png" /&gt;</t>
  </si>
  <si>
    <t>2519133706959164.png</t>
  </si>
  <si>
    <t>458</t>
  </si>
  <si>
    <t>资源管理—通道管理—人脸抓拍参数设置：最小采集帧间距为空的修改与保存</t>
  </si>
  <si>
    <t xml:space="preserve">[步骤]
1. 进入通道管理，在最下方找到通道详细信息维护界面，在人脸抓拍参数设置中修改最小采集帧间距为空，点击保存
[结果]
1. 点击保存按钮后,系统直接自行管理通道详细信息页面,无任何提示信息;再次打开通道信息页面后最小采集帧间距仍保留为原值
[期望]
1. 提示保存失败，最小采集帧间距不能为空
</t>
  </si>
  <si>
    <t>资源管理—通道管理—人脸抓拍参数设置：最小采集帧间距为空的修改与保存(227)</t>
  </si>
  <si>
    <t>460</t>
  </si>
  <si>
    <t>资源管理—通道管理—通道详细信息维护：保存按钮</t>
  </si>
  <si>
    <t xml:space="preserve">[步骤]
1. 进入通道管理，在最下方找到通道详细信息维护界面，随意修改数据，点击保存
[结果]
1. 修改重要等级、通道位置、通道经纬度、备注信息点击保存后,关闭通道管理再次打开后修改内容恢复到初始空值状态
[期望]
1. 保存成功，生成新的通道详细信息
</t>
  </si>
  <si>
    <t>2017-06-27</t>
  </si>
  <si>
    <t>RLSB-CS-Patch-V0.51-20170623(#21)</t>
  </si>
  <si>
    <t>资源管理—通道管理—通道详细信息维护：保存按钮(204)</t>
  </si>
  <si>
    <t>修改后.JPG</t>
  </si>
  <si>
    <t>抓拍比对——添加模板：点击抓拍比对页面的抓拍图，进行添加模板操作，模板库不选择，点击保存，提示添加失败。</t>
  </si>
  <si>
    <t>[步骤]
1.点击抓拍比对按钮
2.点击下侧抓拍图
3.对其进行模板添加
4.输入名称，性别，点击保存按钮
选择了模板库，即可添加成功
[结果]
&lt;img alt="" src="data/upload/1/201706/1211495608980te1.png" /&gt;
[期望]
提示模板库未选择</t>
  </si>
  <si>
    <t>RLSB-CS-v0.2-20170605(#17)</t>
  </si>
  <si>
    <t>1211495608980te1.png</t>
  </si>
  <si>
    <t>资源管理—通道管理：对已经添加的摄像头进行编辑，点击保存以后，界面显示多个此摄像头</t>
  </si>
  <si>
    <t>[步骤]
1.点击资源管理下的通道管理按钮
2.点击编辑已添加的摄像头
3.点击保存
[结果]
&lt;img alt="" src="data/upload/1/201706/1213394504954037.png" /&gt;
导致动态比对页面  
&lt;img alt="" src="data/upload/1/201706/121340380826c13.png" /&gt;
刷新此页面以后，显示正确
&lt;img alt="" src="data/upload/1/201706/121341120300037.png" /&gt;
[期望]</t>
  </si>
  <si>
    <t>1213394504954037.png</t>
  </si>
  <si>
    <t>视频控件未注册的时候，点击摄像头等提示：摄像机无法链接，</t>
  </si>
  <si>
    <t>[步骤]
1.视频控件未注册
2.点击摄像头等提示摄像机无法链接
[结果]
[期望]
提示语优化</t>
  </si>
  <si>
    <t>资源管理—通道管理：删除通道的提示语，</t>
  </si>
  <si>
    <t>[步骤]
1.点击资源管理下的通道管理按钮
2.点击删除通道
[结果]
&lt;img alt="" src="data/upload/1/201706/1213474502886lm3.png" /&gt;
[期望]
提示语优化</t>
  </si>
  <si>
    <t>1213474502886lm3.png</t>
  </si>
  <si>
    <t>告警记录、报警记录：默认应显示所有区域、通道下的结果，请修改默认区域为空</t>
  </si>
  <si>
    <t xml:space="preserve">&lt;img alt="1217034503726j2n.png" src="data/upload/1/201706/1217034503726j2n.png" /&gt;
&lt;img alt="1217035906134juj.png" src="data/upload/1/201706/1217035906134juj.png" /&gt;
</t>
  </si>
  <si>
    <t>刘宏亮,</t>
  </si>
  <si>
    <t>1215165702163j2n.png</t>
  </si>
  <si>
    <t>告警输出：订阅n个通道，告警记录展示n个相同的告警，更改一个状态，剩余其他状态都一起变更</t>
  </si>
  <si>
    <t>[步骤]
1.订阅通道1；
2.订阅通道2；
3.订阅通道3；
4.查看告警窗口
[结果]
订阅3个通道，告警记录展示3个相同的告警
更改一个状态，剩余其他状态都一起变更
&lt;img alt="12171403092127mu.png" src="data/upload/1/201706/12171403092127mu.png" /&gt;
[期望]</t>
  </si>
  <si>
    <t>12171403092127mu.png</t>
  </si>
  <si>
    <t>模板管理(#54)</t>
  </si>
  <si>
    <t>模板管理-界面模板库名称不一致</t>
  </si>
  <si>
    <t>Windows 7</t>
  </si>
  <si>
    <t>[步骤]
模板管理页面中模板库列表、模板库名称等名称要保持前后统一、且无错别字、保持一致
[结果]
界面上模板库列表和模板库编辑部分显示的名称不统一，有错别字；具体见附件
[期望]
界面上模板库列表和模板库编辑部分显示的名称显示一致</t>
  </si>
  <si>
    <t>2017-06-19</t>
  </si>
  <si>
    <t>模板管理</t>
  </si>
  <si>
    <t>告警输出结果不正确</t>
  </si>
  <si>
    <t>[步骤]
通道管理中71通道质量系数设置为0.6
数据库阈值:60
查看告警输出记录结果
[结果]
告警记录中低于36%的都显示
[期望]
告警输出显示为满足36%以上的比对记录</t>
  </si>
  <si>
    <t>莫斯棋,</t>
  </si>
  <si>
    <t>通道系数</t>
  </si>
  <si>
    <t>540</t>
  </si>
  <si>
    <t>资源管理—通道管理：动态比对页面打开（且打开抓拍与订阅），打开通道管理页面，修改通道的通道号，然后点击动态比对页面通道显示有问题</t>
  </si>
  <si>
    <t>[步骤]
1.打开动态比对
2.打开抓拍与订阅
3.修改通道的通道号
4.点击动态比对页面的通道右键
[结果]
&lt;img alt="" src="data/upload/1/201706/1310023509772cp8.png" /&gt;
[期望]
正常显示抓拍与订阅</t>
  </si>
  <si>
    <t>1310023509772cp8.png</t>
  </si>
  <si>
    <t>542</t>
  </si>
  <si>
    <t>报警管理—告警记录、报警记录：点击打开告警记录，点击查询按钮，然后向下滑动查看数据，导致第一条数据，没有显示圆圈，如图</t>
  </si>
  <si>
    <t>[步骤]
1.点击报警管理下的告警记录
2.点击查询按钮
[结果]
&lt;img alt="" src="data/upload/1/201706/1311500201475phh.png" /&gt;
滑动鼠标查看下边的数据以后
&lt;img alt="" src="data/upload/1/201706/1311502401262m5p.png" /&gt;
[期望]</t>
  </si>
  <si>
    <t>1311500201475phh.png</t>
  </si>
  <si>
    <t>543</t>
  </si>
  <si>
    <t>告警记录：已否决和已确认的告警，都显示为“未处理”</t>
  </si>
  <si>
    <t>&lt;img alt="13130711066062nt.png" src="data/upload/1/201706/13130711066062nt.png" /&gt;</t>
  </si>
  <si>
    <t>13130711066062nt.png</t>
  </si>
  <si>
    <t>544</t>
  </si>
  <si>
    <t>报警管理—报警输出：点击打开告警输出，推送到报警输出，推送一次以后，点击订阅摄像头，再次推送收不到</t>
  </si>
  <si>
    <t>[步骤]
1.点击报警管理下的告警输出按钮
2.对摄像头进行订阅（取消订阅，方便操作）
3.点击告警输出，进行推送
4.报警输出收到推送
5.对摄像头进行订阅，
6.告警输出进行推送
[结果]
收不到推送
[期望]
正常收到推送</t>
  </si>
  <si>
    <t>545</t>
  </si>
  <si>
    <t>比对记录有记录，查询时出现无查询结果</t>
  </si>
  <si>
    <t>[步骤]
1、打开比对记录页面,区域、模板库、姓名等查询参数均为空，日期选择：2017/06/13 10：00 ~2017/06/13 12：00 （当前时钟时间为：2017/06/13 11：30 ），点击查询
2、比对记录查询有11：00之后的比对记录，见截图
3、修改查询时间为2017/06/13 11 ：00 ~2017/06/13 12：00 （当前时钟时间为：2017/06/13 11：30 ），在次查询
[结果]
第一次查询有结果，修改查询时间后再次查询无结果
客户端log如下:
2017-06-13 11:44:02,840 【Error】：查询比对记录信息异常！【FcmpCaptureAlarm】--&amp;gt;【函数名】：QueryCmpLogWithImg
System.OutOfMemoryException: Exception of type 'System.OutOfMemoryException' was thrown.
   at System.Text.StringBuilder.ToString()
   at System.IO.StringWriter.ToString()
   at Newtonsoft.Json.Linq.JToken.ToString(Formatting formatting, JsonConverter[] converters) in C:\Users\MOSIQI\Desktop\Newtonsoft.Json-master\Newtonsoft.Json-master\Src\Newtonsoft.Json\Linq\JToken.cs:line 443
   at Newtonsoft.Json.Linq.JToken.ToString() in C:\Users\MOSIQI\Desktop\Newtonsoft.Json-master\Newtonsoft.Json-master\Src\Newtonsoft.Json\Linq\JToken.cs:line 425
   at SING.Data.DAL.FcmpCaptureAlarm.QueryCmpLogWithImg(String json) in E:\C#代码\RLSB-CS\trunk\devel\code\Client\FaceSystem\FACE\SING.Data\DAL\FcmpCaptureAlarm.cs:line 381
[期望]</t>
  </si>
  <si>
    <t>比对记录1</t>
  </si>
  <si>
    <t>546</t>
  </si>
  <si>
    <t>报警管理—报警输出：点击告警输出推送到报警输出，推送完一次以后，直接关闭报警输入界面，重新打开，再次推送，收到四张图</t>
  </si>
  <si>
    <t>[步骤]
1.点击报警管理，告警输出进行推送
2.报警输出页面打开接收推送
3.点击关闭报警输出页面重新打开接受推送
4.再次点击关闭报警输出页面重新打开接受推送（多次进行此操作，报警输出页面条数一直在增加。）
[结果]
推送一条显示四条
&lt;img alt="" src="data/upload/1/201706/1313595603205cqa.png" /&gt;
[期望]
正确接受推送正确显示</t>
  </si>
  <si>
    <t>1313595603205cqa.png</t>
  </si>
  <si>
    <t>547</t>
  </si>
  <si>
    <t>报警输出：先开启报警输出，收不到告警推送；除非重开报警输出</t>
  </si>
  <si>
    <t>[步骤]
1.开启，抓拍比对，告警输出，报警输出
2.订阅；
3.告警推送；
[结果]
先开启报警输出，收不到告警推送；除非重开报警输出
[期望]
报警窗口收到告警推送</t>
  </si>
  <si>
    <t>548</t>
  </si>
  <si>
    <t>资源管理—模板管理：点击新增对象，选择模板，然后点击切换模板，显示没有变化，点击移除模板，出现选择的模板</t>
  </si>
  <si>
    <t>[步骤]
1.点击资源管理下的模板管理
2.点击新增按钮
3.对对象添加模板
4.点击选择模板
5.再次点击切换模板（还是显示之前模板，点击移除模板，则显示后选择的模板）
[结果]
&lt;img alt="" src="data/upload/1/201706/1314394601489pvn.png" /&gt;
&lt;img alt="" src="data/upload/1/201706/1314400001248vn7.png" /&gt;
[期望]</t>
  </si>
  <si>
    <t>1314394601489pvn.png</t>
  </si>
  <si>
    <t>549</t>
  </si>
  <si>
    <t>动态比对-实时抓拍有丢帧现象</t>
  </si>
  <si>
    <t>[步骤]
1、打开动态比对页面，选择大钟寺通道2
2、打开抓拍、订阅、以及视频预览
[结果]
订阅抓拍有丢失现象
[期望]
订阅抓拍无丢失现象</t>
  </si>
  <si>
    <t>捕获1.JPG</t>
  </si>
  <si>
    <t>550</t>
  </si>
  <si>
    <t>修改通道的通道号，抓拍要么仍抓原来的，要么新旧都抓</t>
  </si>
  <si>
    <t>2017-06-16</t>
  </si>
  <si>
    <t>告警提示(#56)</t>
  </si>
  <si>
    <t>告警输出与动态比对实时订阅时间不同步，有延迟</t>
  </si>
  <si>
    <t>[步骤]
1、打开动态比对页面，开始通道71的抓拍、订阅、预览
2、打开告警输出页面
[结果]
告警输出的信息与动态比对页面的实时订阅抓拍不同步，相差近1小时
[期望]
告警输出的信息与动态比对页面的实时订阅抓拍保持一致</t>
  </si>
  <si>
    <t>告警非实时1.JPG</t>
  </si>
  <si>
    <t>报警消息(#57)</t>
  </si>
  <si>
    <t>报警记录与报警消息窗口中抓拍时间、相似度值显示不一致</t>
  </si>
  <si>
    <t>[步骤]
1、告警输出窗口中，选择确认为同一人的告警记录，设置为已确认，并进行推送
2、在的打开报警信息窗口中收到一条推送消息，同时打开报警记录页面进行查询
[结果]
两个页面显示的抓拍照片时间不一致，相似度保留的小数点位数不同
[期望]
两个页面显示的抓拍照片信息一致，相似度保留相同小数点</t>
  </si>
  <si>
    <t>报警记录</t>
  </si>
  <si>
    <t>553</t>
  </si>
  <si>
    <t>报警记录页面部分记录判决、推送无状态圈</t>
  </si>
  <si>
    <t>[步骤]
1、推送告警信息至报警窗口后，打开报警记录页面进行查询
[结果]
报警页面部分记录判决、推送无状态圈
[期望]
报警记录显示信息一致</t>
  </si>
  <si>
    <t>报警记录1</t>
  </si>
  <si>
    <t>554</t>
  </si>
  <si>
    <t>告警推送记录与报警消息窗口接收的记录不一致</t>
  </si>
  <si>
    <t>[步骤]
1、在告警信息窗口中选择两条记录分别进行确认、推送
2、查看报警信息接收窗口收到的两条记录
3、查看告警记录中已推送的告警记录
[结果]
告警记录中已推送的告警记录信息与报警信息窗口接收到的记录信息不一致
[期望]
告警记录中已推送的告警记录信息与报警信息窗口接收到的抓拍记录信息一致</t>
  </si>
  <si>
    <t>告警推送记录状态不正确</t>
  </si>
  <si>
    <t>告警输出：抓拍照片为空</t>
  </si>
  <si>
    <t xml:space="preserve">
&lt;img src="data/upload/1/201706/1411384109859153.png" alt="1411384109859153.png" /&gt;</t>
  </si>
  <si>
    <t>2017-06-22</t>
  </si>
  <si>
    <t>莫增文</t>
  </si>
  <si>
    <t>无法重现</t>
  </si>
  <si>
    <t>14113757052613nu.png</t>
  </si>
  <si>
    <t>告警输出：有时通道名称未显示</t>
  </si>
  <si>
    <t>&lt;img src="data/upload/1/201706/141140590816m7j.png" alt="141140590816m7j.png" /&gt;</t>
  </si>
  <si>
    <t>141140590816m7j.png</t>
  </si>
  <si>
    <t>新产品V1.0第二次迭代(#18)</t>
  </si>
  <si>
    <t>资源管理—通道管理：通道管理添加区域，未添加摄像头，动态比对不显示区域</t>
  </si>
  <si>
    <t>[步骤]
1.点击资源管理下的通道管理
2.添加区域
3.点击动态比对
[结果]
区域管理
&lt;img alt="" src="data/upload/1/201706/1414444209220s9c.png" /&gt;
动态比对
&lt;img alt="" src="data/upload/1/201706/14144457080539c3.png" /&gt;
[期望]
动态比对正常显示区域</t>
  </si>
  <si>
    <t>RLSB-CS-0.3-20170614(#18)</t>
  </si>
  <si>
    <t>RLSB-CS-0.4-20170616(#19)</t>
  </si>
  <si>
    <t>1414444209220s9c.png</t>
  </si>
  <si>
    <t>资源管理—通道管理：删除区域，点击否，崩溃（删除通道同理）</t>
  </si>
  <si>
    <t>[步骤]
1.点击资源管理下的通道管理按钮
2.点击删除区域
3.点击否
[结果]
崩溃
&lt;img alt="" src="data/upload/1/201706/1415065407716645.png" /&gt;
&lt;img alt="" src="data/upload/1/201706/141507010492945t.png" /&gt;
[期望]
正常返回</t>
  </si>
  <si>
    <t>1415065407716645.png</t>
  </si>
  <si>
    <t>559</t>
  </si>
  <si>
    <t>资源管理—通道管理：点击添加通道，通道号重复，应该返回编辑页面</t>
  </si>
  <si>
    <t>[步骤]
1.点击资源管理下的通道管理按钮
2.点击对区域添加通道
3.通道号填写重复
4.提示通道号重复
5.点击确定
[结果]
&lt;img alt="" src="data/upload/1/201706/141512400909c3o.png" /&gt;
&lt;img alt="" src="data/upload/1/201706/1415130602163u64.png" /&gt;
[期望]</t>
  </si>
  <si>
    <t>1415123602619eub.png</t>
  </si>
  <si>
    <t>资源管理—通道管理： 通道管理的添加，必填项，提示了，但未填写保存成功（动态比对页面添加模板同理）</t>
  </si>
  <si>
    <t>[步骤]
1.点击资源管理下的通道管理
2.点击添加通道
3.必填项未填写
4.提示要填写   点击确定保存成功
[结果]
未填写必填项保存成功通道
[期望]
必填项不填写不能保存</t>
  </si>
  <si>
    <t>资源管理-模板管理-新建模板时超过模板库容量时模板库数量还在增加</t>
  </si>
  <si>
    <t>[步骤]资源管理-模板管理-新建模板时超过模板库容量时模板库数量还在增加
&lt;img src="data/upload/1/201706/14160717022024n4.png" alt="" /&gt;
[结果]
[期望]新建模板时超过模板库容量时模板库数量不增加或者提示超过模板库容量不允许添加</t>
  </si>
  <si>
    <t>耿义龙</t>
  </si>
  <si>
    <t>14160717022024n4.png</t>
  </si>
  <si>
    <t>历史检索-比对记录查询出比对记录没有显示模板的创建时间</t>
  </si>
  <si>
    <t>界面优化</t>
  </si>
  <si>
    <t>[步骤]历史检索-比对记录查询出比对记录没有显示模板的创建时间
&lt;img src="data/upload/1/201706/1416144908766j58.png" alt="" /&gt;
[结果]
[期望]</t>
  </si>
  <si>
    <t>1416144908766j58.png</t>
  </si>
  <si>
    <t>563</t>
  </si>
  <si>
    <t>修改有目标对象的模板库容量后,模板库数量归零</t>
  </si>
  <si>
    <t>[步骤]
1、模板管理创建模板库，容量保留默认值、状态为启用，点击保存
2、在添加的模板库中新建目标对象，分别添加3个目标对象，共4张照片
3、修改该模板库的容量为50，并保存
[结果]
修改成功后模板库中的数量由4变为0，实际目标对象仍存在
[期望]
修改模板库容留不影响已有目标对象以及数量</t>
  </si>
  <si>
    <t>RLSB-CS-0.5-20170621(#20)</t>
  </si>
  <si>
    <t>修改模板库容量后数量归零.JPG</t>
  </si>
  <si>
    <t>动态对比新建模板不选择出生日期给出提示必须选择，再选择出生日期时直接弹出保存成功</t>
  </si>
  <si>
    <t>[步骤]
1、动态比对页面，选择任一抓拍照片，双击弹出模板创建页面
2、输入姓名、性别、其他字段保留空，点击保存；弹出提示信息：出生日期必须输入
3、点击确定按钮后，点击出生日期选择框
[结果]
弹出保存成功，查看模板库已存在当前添加的人脸对象
[期望]
点击确定后，仍处于编辑状态，可进行出生日期的设置等</t>
  </si>
  <si>
    <t>动态比对新建模板.JPG</t>
  </si>
  <si>
    <t>人脸比对——动态比对：动态比对页面，下边的抓拍图与右侧的告警提示的抓拍图，看起来不一样</t>
  </si>
  <si>
    <t>[步骤]
[结果]
动态比对页面
&lt;img alt="" src="data/upload/1/201706/16135739067964ma.png" /&gt;
抓拍记录页面
&lt;img alt="" src="data/upload/1/201706/161357510313ck5.png" /&gt;
[期望]</t>
  </si>
  <si>
    <t>2017-06-28</t>
  </si>
  <si>
    <t>纪鹏宇</t>
  </si>
  <si>
    <t>16135739067964ma.png</t>
  </si>
  <si>
    <t>历史检索——比对记录：TOP信息显示正确性（分数、姓名、创建时间）</t>
  </si>
  <si>
    <t xml:space="preserve">[步骤]
1. 查询时间输入当天14：30~14：40，点击查询，查看比对记录top3信息的正确性
[结果]
1. 返回的查询结果中，同一个人连续5秒的抓拍照片比对结果中，有一秒的比对记录TOP3信息不正确
&lt;img src="data/upload/1/201706/1915180205642dl1.png" alt="" /&gt;
[期望]
1.同一个人多个次抓拍照片比对结果的TOP3 应一致
</t>
  </si>
  <si>
    <t>莫斯棋,莫增文,</t>
  </si>
  <si>
    <t>admin</t>
  </si>
  <si>
    <t>历史检索——比对记录：比对记录列表信息显示正确性(370)</t>
  </si>
  <si>
    <t>1915180205642dl1.png</t>
  </si>
  <si>
    <t>历史检索——比对记录：比对记录页面查询条件两两结合等，如时间和姓名</t>
  </si>
  <si>
    <t>设计变更</t>
  </si>
  <si>
    <t xml:space="preserve">[前置条件]
已登录[步骤]
1. 点击历史检索下的比对记录按钮
2. 查询条件进行修改：时间段相同，数据库行数100--〉200，点击查询
[结果]
1. 相同时间段，修改数据库行数100变更为200再查询时，无查询结果，客户端查询出现异常
Log异常内容：
2017-06-19 15:12:07,323 【Error】：查询比对记录信息异常！【FcmpCaptureAlarm】--&amp;gt;【函数名】：QueryCmpLogWithImg
Newtonsoft.Json.JsonReaderException: Unexpected character encountered while parsing value: E. Path '', line 0, position 0.
   at Newtonsoft.Json.JsonTextReader.ParseValue() in C:\Users\MOSIQI\Desktop\Newtonsoft.Json-master\Newtonsoft.Json-master\Src\Newtonsoft.Json\JsonTextReader.cs:line 1753
   at Newtonsoft.Json.JsonTextReader.Read() in C:\Users\MOSIQI\Desktop\Newtonsoft.Json-master\Newtonsoft.Json-master\Src\Newtonsoft.Json\JsonTextReader.cs:line 402
   at Newtonsoft.Json.JsonReader.ReadAndMoveToContent() in C:\Users\MOSIQI\Desktop\Newtonsoft.Json-master\Newtonsoft.Json-master\Src\Newtonsoft.Json\JsonReader.cs:line 1157
   at Newtonsoft.Json.Serialization.JsonSerializerInternalReader.ReadForType(JsonReader reader, JsonContract contract, Boolean hasConverter) in C:\Users\MOSIQI\Desktop\Newtonsoft.Json-master\Newtonsoft.Json-master\Src\Newtonsoft.Json\Serialization\JsonSerializerInternalReader.cs:line 2240
   at Newtonsoft.Json.Serialization.JsonSerializerInternalReader.Deserialize(JsonReader reader, Type objectType, Boolean checkAdditionalContent) in C:\Users\MOSIQI\Desktop\Newtonsoft.Json-master\Newtonsoft.Json-master\Src\Newtonsoft.Json\Serialization\JsonSerializerInternalReader.cs:line 196
   at Newtonsoft.Json.JsonSerializer.DeserializeInternal(JsonReader reader, Type objectType) in C:\Users\MOSIQI\Desktop\Newtonsoft.Json-master\Newtonsoft.Json-master\Src\Newtonsoft.Json\JsonSerializer.cs:line 874
   at Newtonsoft.Json.JsonSerializer.Deserialize(JsonReader reader, Type objectType) in C:\Users\MOSIQI\Desktop\Newtonsoft.Json-master\Newtonsoft.Json-master\Src\Newtonsoft.Json\JsonSerializer.cs:line 853
   at SING.Data.Help.Json.JsonHelper.DeserializeJsonToObject[T](String json) in E:\C#代码\RLSB-CS\trunk\devel\code\Client\FaceSystem\FACE\SING.Data\Help\Json\JsonHelper.cs:line 37
   at SING.Data.DAL.FcmpCaptureAlarm.QueryCmpLogWithImg(String json) in E:\C#代码\RLSB-CS\trunk\devel\code\Client\FaceSystem\FACE\SING.Data\DAL\FcmpCaptureAlarm.cs:line 431
2017-06-19 15:12:08,584 【Info】：告警信息UUID为空,抓拍ID:8F060BF824EF464FA1B0EFF964CD7B41,目标人ID:ab55a8fe-e08d-47a6-a798-350f97a4b09c--&amp;gt;【ViewModel】--&amp;gt;【函数名】: AsynHandleAlertInfo
2017-06-19 15:12:09,035 【Info】：告警信息UUID为空,抓拍ID:8F060BF824EF464FA1B0EFF964CD7B41,目标人ID:dccbb508-d114-471f-9058-a7974d00e6e7--&amp;gt;【ViewModel】--&amp;gt;【函数名】: AsynHandleAlertInfo
2017-06-19 15:12:09,747 【Info】：告警信息UUID为空,抓拍ID:AC1D06975A2E4553A8C4BE1AF296ED24,目标人ID:dccbb508-d114-471f-9058-a7974d00e6e7--&amp;gt;【ViewModel】--&amp;gt;【函数名】: AsynHandleAlertInfo
2017-06-19 15:12:10,505 【Info】：告警信息UUID为空,抓拍ID:A505A19F270A45B8971961018F0F6465,目标人ID:dccbb508-d114-471f-9058-a7974d00e6e7--&amp;gt;【ViewModel】--&amp;gt;【函数名】: AsynHandleAlertInfo
2017-06-19 15:12:28,817 【Error】：查询比对记录信息异常！【FcmpCaptureAlarm】--&amp;gt;【函数名】：QueryCmpLogWithImg
System.OutOfMemoryException: Exception of type 'System.OutOfMemoryException' was thrown.
   at System.Text.StringBuilder.ToString()
   at System.IO.StringWriter.ToString()
   at Newtonsoft.Json.Linq.JToken.ToString(Formatting formatting, JsonConverter[] converters) in C:\Users\MOSIQI\Desktop\Newtonsoft.Json-master\Newtonsoft.Json-master\Src\Newtonsoft.Json\Linq\JToken.cs:line 443
   at Newtonsoft.Json.Linq.JToken.ToString() in C:\Users\MOSIQI\Desktop\Newtonsoft.Json-master\Newtonsoft.Json-master\Src\Newtonsoft.Json\Linq\JToken.cs:line 425
   at SING.Data.DAL.FcmpCaptureAlarm.QueryCmpLogWithImg(String json) in E:\C#代码\RLSB-CS\trunk\devel\code\Client\FaceSystem\FACE\SING.Data\DAL\FcmpCaptureAlarm.cs:line 436
[期望]
1. 正确跳转比对记录页面
2. 正确查询出修改的查询条件下的内容
</t>
  </si>
  <si>
    <t>历史检索——比对记录：比对记录页面查询条件两两结合等，如时间和姓名(93)</t>
  </si>
  <si>
    <t>告警记录查询不到结果</t>
  </si>
  <si>
    <t xml:space="preserve">pc客户端报http链接异常
2017-06-19 16:12:24,270 【Info】：HTTP连接失败！【Alert】--&amp;gt;【函数名】: QueryAlerts
2017-06-19 16:12:25,407 【Info】：HTTP连接失败！【Alert】--&amp;gt;【函数名】: QueryAlerts
2017-06-19 16:13:42,806 【Info】：告警信息UUID为空,抓拍ID:C5C3DF1957074BD893F3C5F1509DFCB7,目标人ID:dccbb508-d114-471f-9058-a7974d00e6e7--&amp;gt;【ViewModel】--&amp;gt;【函数名】: AsynHandleAlertInfo
2017-06-19 16:13:42,807 【Info】：告警信息UUID为空,抓拍ID:C5C3DF1957074BD893F3C5F1509DFCB7,目标人ID:dccbb508-d114-471f-9058-a7974d00e6e7--&amp;gt;【ViewModel】--&amp;gt;【函数名】: AsynHandleAlertInfo
2017-06-19 16:13:42,814 【Info】：告警信息UUID为空,抓拍ID:C5C3DF1957074BD893F3C5F1509DFCB7,目标人ID:dccbb508-d114-471f-9058-a7974d00e6e7--&amp;gt;【ViewModel】--&amp;gt;【函数名】: AsynHandleAlertInfo
2017-06-19 16:13:42,815 【Info】：告警信息UUID为空,抓拍ID:C5C3DF1957074BD893F3C5F1509DFCB7,目标人ID:dccbb508-d114-471f-9058-a7974d00e6e7--&amp;gt;【ViewModel】--&amp;gt;【函数名】: AsynHandleAlertInfo
2017-06-19 16:13:42,822 【Info】：告警信息UUID为空,抓拍ID:C5C3DF1957074BD893F3C5F1509DFCB7,目标人ID:dccbb508-d114-471f-9058-a7974d00e6e7--&amp;gt;【ViewModel】--&amp;gt;【函数名】: AsynHandleAlertInfo
2017-06-19 16:13:42,823 【Info】：告警信息UUID为空,抓拍ID:C5C3DF1957074BD893F3C5F1509DFCB7,目标人ID:dccbb508-d114-471f-9058-a7974d00e6e7--&amp;gt;【ViewModel】--&amp;gt;【函数名】: AsynHandleAlertInfo
2017-06-19 16:13:43,416 【Info】：告警信息UUID为空,抓拍ID:39D38E7DDA6344959C252B56A25B0748,目标人ID:dccbb508-d114-471f-9058-a7974d00e6e7--&amp;gt;【ViewModel】--&amp;gt;【函数名】: AsynHandleAlertInfo
2017-06-19 16:13:43,417 【Info】：告警信息UUID为空,抓拍ID:39D38E7DDA6344959C252B56A25B0748,目标人ID:dccbb508-d114-471f-9058-a7974d00e6e7--&amp;gt;【ViewModel】--&amp;gt;【函数名】: AsynHandleAlertInfo
2017-06-19 16:13:43,418 【Info】：告警信息UUID为空,抓拍ID:39D38E7DDA6344959C252B56A25B0748,目标人ID:dccbb508-d114-471f-9058-a7974d00e6e7--&amp;gt;【ViewModel】--&amp;gt;【函数名】: AsynHandleAlertInfo
2017-06-19 16:13:43,419 【Info】：告警信息UUID为空,抓拍ID:39D38E7DDA6344959C252B56A25B0748,目标人ID:dccbb508-d114-471f-9058-a7974d00e6e7--&amp;gt;【ViewModel】--&amp;gt;【函数名】: AsynHandleAlertInfo
2017-06-19 16:13:47,549 【Info】：告警信息UUID为空,抓拍ID:FFDEBC86B35740B287CD5C188A347BC9,目标人ID:dccbb508-d114-471f-9058-a7974d00e6e7--&amp;gt;【ViewModel】--&amp;gt;【函数名】: AsynHandleAlertInfo
2017-06-19 16:13:47,550 【Info】：告警信息UUID为空,抓拍ID:FFDEBC86B35740B287CD5C188A347BC9,目标人ID:dccbb508-d114-471f-9058-a7974d00e6e7--&amp;gt;【ViewModel】--&amp;gt;【函数名】: AsynHandleAlertInfo
2017-06-19 16:13:47,550 【Info】：告警信息UUID为空,抓拍ID:FFDEBC86B35740B287CD5C188A347BC9,目标人ID:dccbb508-d114-471f-9058-a7974d00e6e7--&amp;gt;【ViewModel】--&amp;gt;【函数名】: AsynHandleAlertInfo
core日志报：
  2017-06-1916:14:31 [pool-2-thread-1] DEBUG com.sxt.multithread.ThreadTask(line-494) 2883501  - 数据中心查询人脸对象异常。error:-1;message:sql: no rows in result set
</t>
  </si>
  <si>
    <t>data-center</t>
  </si>
  <si>
    <t>582</t>
  </si>
  <si>
    <t>抓拍记录(#47)</t>
  </si>
  <si>
    <t>同一抓拍在抓拍记录中显示的抓拍时间与告警消息中的抓拍时间不一致</t>
  </si>
  <si>
    <t>[步骤]
1、查看告警输出消息中某个抓拍时间的告警
2、查看抓拍记录中相同时间段内的抓拍信息
[结果]
相同抓拍时间内告警信息中抓拍信息与抓拍记录中的抓拍信息不一致
&lt;img src="data/upload/1/201706/1917215201973msl.png" alt="" /&gt;
[期望]
相同抓拍时间内告警信息中抓拍信息与抓拍记录中的抓拍信息一致</t>
  </si>
  <si>
    <t>刘宏亮,苏晓伟,</t>
  </si>
  <si>
    <t>1917215201973msl.png</t>
  </si>
  <si>
    <t>583</t>
  </si>
  <si>
    <t>报警记录：报警输出中有报警，报警记录查不到</t>
  </si>
  <si>
    <t xml:space="preserve">&lt;img src="data/upload/1/201706/1919333302151mt1.png" alt="1919333302151mt1.png" /&gt;
&lt;img src="data/upload/1/201706/1919334701321nrp.png" alt="1919334701321nrp.png" /&gt;
&lt;img src="data/upload/1/201706/19193403044401oa.png" alt="19193403044401oa.png" /&gt;
</t>
  </si>
  <si>
    <t>1919333302151mt1.png</t>
  </si>
  <si>
    <t>584</t>
  </si>
  <si>
    <t>动态比对中通道模糊查询无效</t>
  </si>
  <si>
    <t xml:space="preserve">[步骤]
打开动态比对页面,在左侧通道查询输入框输入8,执行查询
[结果]
通道树形结构无反应，实际应该能展开两个区域通道：88、89
&lt;img src="data/upload/1/201706/201357020430227c.png" alt="" /&gt;
[期望]
能展开含"8" 所有通道，并将定为在第一个通道名称含“8”的通道上
</t>
  </si>
  <si>
    <t>201357020430227c.png</t>
  </si>
  <si>
    <t>585</t>
  </si>
  <si>
    <t>动态比对告警信息拖拉问题</t>
  </si>
  <si>
    <t>[步骤]
拖拉动态比对-告警信息框
[结果]
&lt;img src="data/upload/1/201706/2014361402922s6d.png" alt="" /&gt;&lt;img src="data/upload/1/201706/2014374503837s6d.png" alt="" /&gt;
[期望]
拖拉不影响照片显示效果，详细信息框拖拉后能够将信息显示完整</t>
  </si>
  <si>
    <t>2014361402922s6d.png</t>
  </si>
  <si>
    <t>586</t>
  </si>
  <si>
    <t>动态比对-告警提示栏-最新的告警提示信息是从下往上推，不符合行为习惯</t>
  </si>
  <si>
    <t>[步骤]
动态比对左侧的告警提示显示栏，查看最新的告警消息
[结果]
告警最新消息是从下往上推送，最新一条记录总是从最低端往上冒
&lt;img src="data/upload/1/201706/20145424083182n3.png" alt="" /&gt;
[期望]
最新的告警消息始终是置顶，从上往下推送</t>
  </si>
  <si>
    <t>20145424083182n3.png</t>
  </si>
  <si>
    <t>587</t>
  </si>
  <si>
    <t>动态比对-抓拍预览关闭再打开无效后，重启抓拍服务不开启抓拍预览，但有抓拍数据</t>
  </si>
  <si>
    <t>[步骤]
1、动态比对-选择牡丹园下的88爱迪生通道，右键停止抓拍预览，抓拍数据停止
2、关闭动态比对页面，再重新打开动态比对页面，再次开启88爱迪生通道的抓拍预览，结果无抓拍数据；反复多次无效
3、重启抓拍服务，关闭动态比对页面再打开
[结果]
未进行抓拍预览，但有大量抓拍数据
&lt;img src="data/upload/1/201706/20154912053227c.png" alt="" /&gt;抓拍数据持续10多分钟后停止
&lt;img src="data/upload/1/201706/2015495603539fjs.png" alt="" /&gt;
[期望]
1、抓拍预览停止后，可正常开启
2、当停止抓拍预览，且重启抓拍服务后，再打开动态比对页面，通道应保持重启前的状态</t>
  </si>
  <si>
    <t>20154912053227c.png</t>
  </si>
  <si>
    <t>588</t>
  </si>
  <si>
    <t>比对记录：查询的分页重做，要显示总记录数，总页数，起始时间有默认值：今天、昨天、本周；有最大时间限制(428)</t>
  </si>
  <si>
    <t>比对记录查询-相同查询条件多次查询结果不一致</t>
  </si>
  <si>
    <t>[步骤]
比对记录页面，按姓名模糊查询，姓名输入L ，时间当天的默认时间值，点击查询
同样比对条件执行多次查询
[结果]
多次查询结果不一致，有时查询无结果；
输入L 查询结果&lt;img src="data/upload/1/201706/2114063901538sql.png" alt="" /&gt;输入LY查询结果
&lt;img src="data/upload/1/201706/2114083108447ssq.png" alt="" /&gt;查看图片CLY模板照片大小5.77兆
[期望]
能够查询到指定时间段内姓名含L的比对记录</t>
  </si>
  <si>
    <t>客户端日志0621</t>
  </si>
  <si>
    <t>589</t>
  </si>
  <si>
    <t>同时打开4个视频预览窗口，持续一段时间有3个视频预览窗口黑屏</t>
  </si>
  <si>
    <t>[步骤]
1、分别打开4个通道的视频预览，查看多通道视频预览状态
[结果]
其中一个视频预览画面一直静止不动，其他三个正常；
&lt;img src="data/upload/1/201706/2110511803432iss.png" alt="" /&gt;持续运行一段时间，有三个视频预览黑屏
[期望]
四个通道的视频预览窗口正常</t>
  </si>
  <si>
    <t>高振东,苏晓伟,</t>
  </si>
  <si>
    <t>2110511803432iss.png</t>
  </si>
  <si>
    <t>590</t>
  </si>
  <si>
    <t>同时开始三个抓拍预览，告警记录信息中告警记录数与告警输出窗口、动态对比报警信息显示记录数不一致</t>
  </si>
  <si>
    <t>[步骤]
1、同时开启三个通道的抓拍预览，查看动态比对页面的告警信息显示、告警输出窗口以及告警记录显示信息的一致性
[结果]
1、只有一个通道有抓拍、其他两个通道没有抓拍数据
2、一个通道抓拍下，三者显示的告警信息不一致一致：
告警记录查询结果：7条告警记录&lt;img src="data/upload/1/201706/211124010245079m.png" alt="" /&gt;
告警输出：14条告警输出
&lt;img src="data/upload/1/201706/2111263101275m9h.png" alt="" /&gt;问题可能情况：
三个通道的同一个抓拍处理均以一个通道记录
[期望]
三者显示的告警信息记录保持一致</t>
  </si>
  <si>
    <t>郝文峰,刘宏亮,莫增文,</t>
  </si>
  <si>
    <t>211124010245079m.png</t>
  </si>
  <si>
    <t>591</t>
  </si>
  <si>
    <t>通道管理-进入视频预览列表通道状态显示红色为连接不上但是下边的视频预览正常显示</t>
  </si>
  <si>
    <t>[步骤]进入视频预览列表通道状态显示红色为连接不上但是下边的视频预览正常显示
[结果]&lt;img src="data/upload/1/201706/21140046057285ia.png" alt="" /&gt;
[期望]通道状态应该为绿色连接状态</t>
  </si>
  <si>
    <t>21140046057285ia.png</t>
  </si>
  <si>
    <t>592</t>
  </si>
  <si>
    <t>比对记录-按证件号模糊查询无效</t>
  </si>
  <si>
    <t>[步骤]
比对记录-区域、通道号、证件号输入132（模板中有对应的目标对象），查询时间今天，进行查询
[结果]
显示所有比对记录
&lt;img src="data/upload/1/201706/2114154902452mj9.png" alt="" /&gt;
[期望]
只返回该通道内身份证号含查询内容的比对记录</t>
  </si>
  <si>
    <t>2114154902452mj9.png</t>
  </si>
  <si>
    <t>593</t>
  </si>
  <si>
    <t>比对记录不显示证件号</t>
  </si>
  <si>
    <t>[步骤]
比对记录查询，查看TOP信息显示完整性
[结果]
比对记录查询结果中top信息证件号不显示
&lt;img src="data/upload/1/201706/21141908066059s7.png" alt="" /&gt;
[期望]
比对记录查询结果中top信息显示完整</t>
  </si>
  <si>
    <t>21141908066059s7.png</t>
  </si>
  <si>
    <t>594</t>
  </si>
  <si>
    <t>通道管理-修改通道不填写视频参数然后点击别的通道后再点击该通道显示修改成功</t>
  </si>
  <si>
    <t>[步骤]修改通道不填写视频参数然后点击别的通道后再点击该通道显示修改成功&lt;img src="data/upload/1/201706/2114384707620h4r.png" alt="" /&gt;
[结果]
[期望]不允许ip为空  不允许修改</t>
  </si>
  <si>
    <t>2114384707620h4r.png</t>
  </si>
  <si>
    <t>595</t>
  </si>
  <si>
    <t>动态比对：双击抓拍照片打开的模板添加窗口的模板库信息与模板管理中的模板库信息不一致</t>
  </si>
  <si>
    <t>[步骤]
1、双击抓拍照片进行模板添加，弹出目标对象添加窗口
2、查看弹出窗口显示的模板库信息与模板管理中信息同步
[结果]
弹出的添加窗口的模板库信息与模板管理中的信息不一致
&lt;img src="data/upload/1/201706/2114531207258j9s.png" alt="" /&gt;
[期望]
弹出的添加窗口的模板库信息与模板管理中的信息同步</t>
  </si>
  <si>
    <t>2114531207258j9s.png</t>
  </si>
  <si>
    <t>资源管理- 模板管理：动态比对添加模板后，模板管理中的模板库数量不同步增加</t>
  </si>
  <si>
    <t>[步骤]
1、动态比对-抓拍照片双击添加模板，并保存
2、查看模板管理中对应模板库的信息是不增加
[结果]
添加的抓拍照片已经保存至模板库，但模板库数量不同步更新
&lt;img src="data/upload/1/201706/2114585508657j9s.png" alt="" /&gt;
[期望]
模板库的信息同步更新，包括模板数量、目标人脸对象信息</t>
  </si>
  <si>
    <t>21145811018249h1.png</t>
  </si>
  <si>
    <t>抓拍记录：抓拍记录信息中通道位置不显示</t>
  </si>
  <si>
    <t>[步骤]
1、抓拍记录查询，查看抓拍记录信息显示完整性
[结果]
抓拍记录不显示通道位置，实际通道有通道位置
&lt;img src="data/upload/1/201706/211514040304j9s.png" alt="" /&gt;
[期望]
抓拍记录信息显示完整</t>
  </si>
  <si>
    <t>211514040304j9s.png</t>
  </si>
  <si>
    <t>模板管理-身份证位数不足18位添加模板成功，建议位数不足不允许添加</t>
  </si>
  <si>
    <t>[步骤]身份证位数不足18位添加模板成功，建议位数不足不允许添加
[结果]&lt;img src="data/upload/1/201706/211517500298ho.png" alt="" /&gt;
[期望]只允许18位 身份证添加</t>
  </si>
  <si>
    <t>211517500298ho.png</t>
  </si>
  <si>
    <t>600</t>
  </si>
  <si>
    <t>模板管理-新建模板没选主照片添加成功，应该不允许添加</t>
  </si>
  <si>
    <t>[步骤]新建模板没选主照片添加成功
[结果]&lt;img src="data/upload/1/201706/21154407051008ho.png" alt="" /&gt;
[期望]应该不允许添加</t>
  </si>
  <si>
    <t>21154407051008ho.png</t>
  </si>
  <si>
    <t>报警管理: 告警输出和报警输出显示的消息中证件号码不完整</t>
  </si>
  <si>
    <t>建议</t>
  </si>
  <si>
    <t>[步骤]
查看报警输出和告警输出窗口中显示的记录信息完整性
[结果]
&lt;img src="data/upload/1/201706/2117333504212kup.png" alt="" /&gt;
[期望]
信息显示不完整时可以有鼠标触发完整显示</t>
  </si>
  <si>
    <t>2117333504212kup.png</t>
  </si>
  <si>
    <t>604</t>
  </si>
  <si>
    <t>报警管理: 双击告警输出信息窗口中的某一条告警消息,弹出的告警信息列表窗口始终处于首位高亮窗口 ,激活其他任何窗口都在此页面之后</t>
  </si>
  <si>
    <t>[步骤]
1、双击告警输出信息窗口中的某一条告警消息,弹出的告警信息列表窗口
2、切换其他应用窗口
[结果]
的告警信息列表窗口始终处于首位高亮窗口 ,激活其他任何应用红窗口都在此页面之后
&lt;img src="data/upload/1/201706/211740570284pol.png" alt="" /&gt;
[期望]
可以激活其他应用窗口且能处于首位高亮状态</t>
  </si>
  <si>
    <t>211740570284pol.png</t>
  </si>
  <si>
    <t>606</t>
  </si>
  <si>
    <t>报警管理：告警列表窗口显示信息不完整</t>
  </si>
  <si>
    <t>[步骤]
1、双击告警窗口中选择任一告警消息记录，双击弹出告警列表窗口
2、查看告警列表窗口中显示信息的正确性、完整性
[结果]
1、性别：不显示
2、编号应为证件号
3、抓拍照片的通道地址无显示
4、告警时间：空
&lt;img src="data/upload/1/201706/21175142023802g3.png" alt="" /&gt;
[期望]
信息显示完整、准确</t>
  </si>
  <si>
    <t>21175142023802g3.png</t>
  </si>
  <si>
    <t>告警提示: 系统连续运行48小时，中途修改质量系数后告警提示出现相似度低于60%的告警</t>
  </si>
  <si>
    <t>[步骤]
1、系统连续运行30多小时后，修改通道的质量系数：1〉0.5 
2、继续运行，查看告警提示是否正确
[结果]
系统连续运行48小时后告警提示出现相似度低于60%的告警 :10%\30%
&lt;img src="data/upload/1/201706/22093240086444np.png" alt="" /&gt;
[期望]
质量系数变更后能正常生效</t>
  </si>
  <si>
    <t>22093240086444np.png</t>
  </si>
  <si>
    <t>模板管理：模板库名字过长时，不换行；新建、编辑和保存按钮被隐藏</t>
  </si>
  <si>
    <t>[步骤]
模板库管理：新建模板库，库名称输入：104个汉字，容量输入550 ，备注内容同样104个汉字，点击保存
[结果]
1、保存成功，但容量仍是默认值
2、模板库编辑窗体显示的模板名称不换行，导致新建、编辑等按钮被隐藏
&lt;img src="data/upload/1/201706/2214503402900tsj.png" alt="" /&gt;
[期望]
模板库名称应该有长度限制，过长时应换行显示</t>
  </si>
  <si>
    <t>2214503402900tsj.png</t>
  </si>
  <si>
    <t>资源管理-模板管理：添加目标对象问题</t>
  </si>
  <si>
    <t>[步骤]
1、资源管理-模板管理：新建目标对象
2、目标对象输入信息：全部输入（见截图）
[结果]
1、创建时间不自动生成
&lt;img src="data/upload/1/201706/221652430667107k.png" alt="" /&gt;
[期望]
目标对象创建时间可以自动生成</t>
  </si>
  <si>
    <t>221652430667107k.png</t>
  </si>
  <si>
    <t>资源管理-模板管理： 创建模板库或者目标对象时，所有文本输入框在输入英文字母时，始终是大写</t>
  </si>
  <si>
    <t>[步骤]
资源管理-模板管理： 创建模板库或者目标对象时，所有文本输入框分别输入英文大、小写字母
[结果]
创建模板库或者目标对象时，所有文本输入框在输入英文字母时，无论输入大小写始终是大写
&lt;img src="data/upload/1/201706/2216565201413su4.png" alt="" /&gt;
[期望]
可以区分字母大小写</t>
  </si>
  <si>
    <t>2216565201413su4.png</t>
  </si>
  <si>
    <t>612</t>
  </si>
  <si>
    <t>资源管理-模板管理：目标对象的出生日期建议只显示到年月日；年月日输入时无法双击直接获取提示日期</t>
  </si>
  <si>
    <t>[步骤]
资源管理-模板管理：添加目标对象，选择出生年月日
[结果]
1、出生日期需要选择有小时
2、双击提示的日期，无法直接获取
&lt;img src="data/upload/1/201706/2217222404223m07.png" alt="" /&gt;
[期望]
建议只显示到年月日
建议可以双击提示的日期直接获取输入</t>
  </si>
  <si>
    <t>2217222404223m07.png</t>
  </si>
  <si>
    <t>资源管理-模板管理：添加目标对象数量达到模板库容量上限后，重新修改模板库容量值，再次添加目标对象，保存失败</t>
  </si>
  <si>
    <t>[步骤]
1、资源管理-模板管理：添加目标对象数量达到模板库容量上限（10）后，重新修改模板库容量值-增加容量（15）
2、再次新建目标对象，保存时提示失败
3、点击确定按钮后，模板库数量为零，容量更新为修改值15
4、关闭模板管理页面再次打开，数量更新为11
5、查看数据库中模板库信息
[结果]
1、客户端提示保存失败，但数据库中模板数量增加
&lt;img src="data/upload/1/201706/2218001101693ets.png" alt="" /&gt;
&lt;img src="data/upload/1/201706/221758540459425j.png" alt="" /&gt;
&lt;img src="data/upload/1/201706/2218032808669jq0.png" alt="" /&gt;
[期望]</t>
  </si>
  <si>
    <t>221758540459425j.png</t>
  </si>
  <si>
    <t>614</t>
  </si>
  <si>
    <t>历史记录(#36)</t>
  </si>
  <si>
    <t>报警管理-报警记录-告警记录查询条件不展示通道</t>
  </si>
  <si>
    <t>[步骤]&lt;img src="data/upload/1/201706/22180602045195jn.png" alt="" /&gt;
[结果]
[期望]展示通道</t>
  </si>
  <si>
    <t>221805380402915j.png</t>
  </si>
  <si>
    <t>615</t>
  </si>
  <si>
    <t>报警管理-报警记录-报警记录查询条件不展示通道</t>
  </si>
  <si>
    <t>[步骤]&lt;img src="data/upload/1/201706/221807400120321q.png" alt="" /&gt;
[结果]
[期望]展示通道</t>
  </si>
  <si>
    <t>221807400120321q.png</t>
  </si>
  <si>
    <t>616</t>
  </si>
  <si>
    <t>报警管理-智能报警-报警输出不显示已经推送的告警信息</t>
  </si>
  <si>
    <t>[步骤]推送告警信息
&lt;img src="data/upload/1/201706/2218105107536o15.png" alt="" /&gt;
去报警输出查看推送的信息
&lt;img src="data/upload/1/201706/22181138072333ll.png" alt="" /&gt;
[结果]没查到报警信息
[期望]查到推送的报警信息</t>
  </si>
  <si>
    <t>2218105107536o15.png</t>
  </si>
  <si>
    <t>617</t>
  </si>
  <si>
    <t>历史检索-抓拍记录查询</t>
  </si>
  <si>
    <t>[步骤]抓拍记录查询&lt;img src="data/upload/1/201706/2218275008787g3l.png" alt="" /&gt;
[结果]没显示通道位置
[期望]显示通道位置</t>
  </si>
  <si>
    <t>重复Bug</t>
  </si>
  <si>
    <t>抓拍记录：抓拍记录信息中通道位置不显示(598)</t>
  </si>
  <si>
    <t>2218275008787g3l.png</t>
  </si>
  <si>
    <t>618</t>
  </si>
  <si>
    <t>资源管理-模板管理: 目标对象中移出一个模板,保存成功后目标对象记录信息不实时更新</t>
  </si>
  <si>
    <t>[步骤]
1、 选择一条目标对象记录,进行编辑
2、选择最后一张模板右键移出，点击保存成功
[结果]
编辑窗口的模板已经移出，且模板库数量已减1，但目标对象记录中显示的模板没有更新，必须关闭模板管理窗体再次打开
&lt;img src="data/upload/1/201706/2309521509835r8a.png" alt="" /&gt;
[期望]
相关信息要保持同步</t>
  </si>
  <si>
    <t>2309521509835r8a.png</t>
  </si>
  <si>
    <t>619</t>
  </si>
  <si>
    <t>动态比对：运行一段时间动态比对页面中同一个通道出现两条记录</t>
  </si>
  <si>
    <t>[步骤]
1、通道管理增加两条通道
2、动态比对页面打开其中的一个通道、抓拍预览、视频预览
3、持续运行
[结果]
运行12小时后发现动态比对页面的通道出现一条重复记录，关闭动态比对页面再打开恢复正常&lt;img src="data/upload/1/201706/231037500210083e.png" alt="" /&gt;
[期望]
动态比对页面中通道数与通道管理中的通道数相同</t>
  </si>
  <si>
    <t>231037500210083e.png</t>
  </si>
  <si>
    <t>620</t>
  </si>
  <si>
    <t>模板管理-新建模板只要是从本地文件选择的图片新建成功后没有展示创建时间</t>
  </si>
  <si>
    <t>[步骤]模板管理-新建模板只要是从本地文件选择的图片新建成功后没有展示创建时间&lt;img src="data/upload/1/201706/2312015505601qdc.png" alt="" /&gt;
[结果]
[期望]显示创建时间</t>
  </si>
  <si>
    <t>2312015505601qdc.png</t>
  </si>
  <si>
    <t>621</t>
  </si>
  <si>
    <t>报警管理-智能报警-告警输出页面模板证件信息显示不全</t>
  </si>
  <si>
    <t>[步骤]报警管理-智能报警-告警输出页面模板证件信息显示不全
[结果]&lt;img src="data/upload/1/201706/23132816067533ud.png" alt="" /&gt;
[期望]显示完成证件信息</t>
  </si>
  <si>
    <t>23132816067533ud.png</t>
  </si>
  <si>
    <t>报警管理-报警记录-告警记录页面身份证号显示不全</t>
  </si>
  <si>
    <t>[步骤]告警记录查询
[结果]&lt;img src="data/upload/1/201706/2314060803262qdc.png" alt="" /&gt;
[期望]显示完整的身份证号码</t>
  </si>
  <si>
    <t>2314060803262qdc.png</t>
  </si>
  <si>
    <t>624</t>
  </si>
  <si>
    <t>报警管理-报警记录-报警记录查询不添加区域和通道查询不到信息</t>
  </si>
  <si>
    <t>[步骤]
[结果]&lt;img src="data/upload/1/201706/2314422709655lr3.png" alt="" /&gt;
[期望]默认查询出该时间段的信息</t>
  </si>
  <si>
    <t>2314422709655lr3.png</t>
  </si>
  <si>
    <t>625</t>
  </si>
  <si>
    <t>动态比对：告警信息命中次数统计有问题</t>
  </si>
  <si>
    <t>[步骤]
1、打开动态比对，启动抓拍
2、动态比对：告警信息命中次数统计
[结果]
&lt;img src="data/upload/1/201706/23142057063563f1.png" alt="" /&gt;第二个抓拍记录命中此目标对象
&lt;img src="data/upload/1/201706/2314224205612f83.png" alt="" /&gt;
[期望]</t>
  </si>
  <si>
    <t>23142057063563f1.png</t>
  </si>
  <si>
    <t>报警管理：告警输出窗口中选择一条告警信息确认并推送，报警输出窗口中出现多条记录</t>
  </si>
  <si>
    <t>[步骤]
1、报警管理：告警输出窗口中选择一条告警信息确认并推送
2、查看报警输出窗口收到的报警信息
[结果]
报警输出窗口中出现多条记录
&lt;img src="data/upload/1/201706/23145203096983en.png" alt="" /&gt;
[期望]
只有一条</t>
  </si>
  <si>
    <t>23145203096983en.png</t>
  </si>
  <si>
    <t>动态比对：告警消息-双击告警信息，弹出告警列表窗口，点击推送无效</t>
  </si>
  <si>
    <t>[步骤]
1、动态比对：告警消息-双击告警信息，弹出告警列表窗口
2、点击窗口中的推送按钮
[结果]
推送无效
&lt;img src="data/upload/1/201706/2314540606435v3f.png" alt="" /&gt;
[期望]
可推送到报警输出窗口</t>
  </si>
  <si>
    <t>2314540606435v3f.png</t>
  </si>
  <si>
    <t>628</t>
  </si>
  <si>
    <t>告警管理：告警记录、报警记录信息中抓拍通道地址、身份证号显示不完整</t>
  </si>
  <si>
    <t>[步骤]
1、查看告警记录
2、查看报警记录
[结果]
告警记录中抓拍信息中的区域通道显示不完整、目标人信息证件号显示不完整
报警记录中抓拍信息中的区域通道显示不完整、目标人信息证件号显示不完整
&lt;img src="data/upload/1/201706/2315373007499nst.png" alt="" /&gt;
[期望]
信息显示不完整时换行或有鼠标事件能够看到完整信息
特别强调：请查看类似页面问题，一并修改完毕</t>
  </si>
  <si>
    <t>2315373007499nst.png</t>
  </si>
  <si>
    <t>通道管理：修改通道70的参数保存后，动态比对页面通道70丢失</t>
  </si>
  <si>
    <t>[步骤]
1、通道管理中双击通道70修改人脸对象参数，保存
2、查看动态比对通道
[结果]
动态比对页面大钟寺区域下的通道丢失，关闭动态比对再打开恢复&lt;img src="data/upload/1/201706/23160739081803en.png" alt="" /&gt;
[期望]
动态比对和通道管理保持一致</t>
  </si>
  <si>
    <t>23160739081803en.png</t>
  </si>
  <si>
    <t>630</t>
  </si>
  <si>
    <t>通道管理：新增区域和通道后，对应的抓拍记录、比对记录、告警记录、报警记录窗口中区域下拉列表框中的的记录不同步更新，必须关闭窗体再打开</t>
  </si>
  <si>
    <t>[步骤]
1、通道管理：新增区域和通道，保存成功
2、查看对应的抓拍记录、比对记录、告警记录、报警记录窗口中区域下拉列表和通道下拉列表，是否同步更新
[结果]
不同步更新
&lt;img src="data/upload/1/201706/2316354309729jr8.png" alt="" /&gt;
[期望]
对应的区域和通道信息都同步更新</t>
  </si>
  <si>
    <t>2316354309729jr8.png</t>
  </si>
  <si>
    <t>631</t>
  </si>
  <si>
    <t>动态比对：打开两个通道的抓拍预览后，动态比对的抓拍预览数量出现增多</t>
  </si>
  <si>
    <t>[步骤]
1、开启两个客户端，一个只订阅一个通道的抓拍的，另一个订阅两个通道的抓拍
2、查看两个客户端同一通道的抓拍预览是否一致
[结果]
同一个通道的抓拍预览在两个客户端不一致：两个通道的客户端数据比一个通道的客户端数据增倍
&lt;img src="data/upload/1/201706/2317302302510qcn.png" alt="" /&gt;
[期望]
抓拍数据一致</t>
  </si>
  <si>
    <t>2317302302510qcn.png</t>
  </si>
  <si>
    <t>动态比对-告警提示-动态比对右边窗口告警提示比对出的照片模板有的不显示抓拍次数</t>
  </si>
  <si>
    <t>设计缺陷</t>
  </si>
  <si>
    <t>[步骤]人脸比对-动态比对右边窗口告警提示比对出的照片模板不显示抓拍次数
[结果]&lt;img src="data/upload/1/201706/2317354901560no7.png" alt="" /&gt;
[期望]显示次数</t>
  </si>
  <si>
    <t>刘宏亮,莫斯棋,</t>
  </si>
  <si>
    <t>2316534106855e35.png</t>
  </si>
  <si>
    <t>633</t>
  </si>
  <si>
    <t>动态比对：视频预览窗口异常</t>
  </si>
  <si>
    <t>[步骤]
视频预览窗口出现异常
[结果]
&lt;img src="data/upload/1/201706/2317583302057ljr.png" alt="" /&gt;
[期望]
持续正常预览</t>
  </si>
  <si>
    <t>高振东,莫增文,</t>
  </si>
  <si>
    <t>2317583302057ljr.png</t>
  </si>
  <si>
    <t>634</t>
  </si>
  <si>
    <t>抓拍比对：区域、通道查询提交设置后，不能重置进行全区域或全通道查询</t>
  </si>
  <si>
    <t>[步骤]
1、抓拍比对页面选择按区域查询或通道查询后，查询条件可以重置
[结果]
区域、通道查询提交设置后，不能重置进行全区域或全通道查询
[期望]
能够快速重置，清空查询条件；比对记录查询可以，且上个版本抓拍记录也可以</t>
  </si>
  <si>
    <t>635</t>
  </si>
  <si>
    <t>历史检索-比对记录右键添加至此模板长时间没反应最后添加失败</t>
  </si>
  <si>
    <t>[步骤]历史检索-比对记录右键添加至此模板长时间没反应最后添加失败
[结果]&lt;img src="data/upload/1/201706/2318194309007no7.png" alt="" /&gt;
[期望]快速成功添加至此模板</t>
  </si>
  <si>
    <t>2318194309007no7.png</t>
  </si>
  <si>
    <t>连续运行3*24小时后,动态比对-通道右键选项不完整</t>
  </si>
  <si>
    <t xml:space="preserve">前提条件 连续运行3*24小时
[步骤]
1、查看动态比对是否正常
2、进行抓拍比对查询
3、进行比对记录查询
[结果]
动态比对-通道右键选项不完整&lt;img src="data/upload/1/201706/2611093406386d29.png" alt="" /&gt;
[期望]
动态比对正常 </t>
  </si>
  <si>
    <t>2611093406386d29.png</t>
  </si>
  <si>
    <t>比对记录：比对记录查询结果点击下一页时查询结果不翻页，而且始终在同一页查询记录累加显示</t>
  </si>
  <si>
    <t>[步骤]
比对记录查询结果，点击下一页
[结果]
比对记录查询结果点击下一页时查询结果不翻页，而且始终在同一页查询记录累加显示
&lt;img src="data/upload/1/201706/2615541303390imd.png" alt="" /&gt;
[期望]
期望翻页显示，并且记录序号连续</t>
  </si>
  <si>
    <t>2611141703730imd.png</t>
  </si>
  <si>
    <t>638</t>
  </si>
  <si>
    <t>程序连续运行3*24小时后，视频预览窗口出现连接超时，视频预览无法正常预览</t>
  </si>
  <si>
    <t>[步骤]
1、查看动态识别窗口动态预览
[结果]
程序连续运行3*24小时后，视频预览窗口出现连接异常；关闭动态比对页面再次打开，选择原通道右键“视频预览 ”，提示连接过程中出现异常，超时
&lt;img src="data/upload/1/201706/2611250602512d29.png" alt="" /&gt;
[期望]
能正常打开视频预览</t>
  </si>
  <si>
    <t>2611250602512d29.png</t>
  </si>
  <si>
    <t>639</t>
  </si>
  <si>
    <t>告警记录：通过时间段进行告警记录查询无结果</t>
  </si>
  <si>
    <t>[步骤]
1、告警记录：输入查询时间段：2017/06/25 11：24 ~2017/06/26 11：24,其他参数保留默认值：空，点击查询
[结果]
无查询记录；
保留查询时间段不便，选择查询区域和通道，再次查询，有查询结果
&lt;img src="data/upload/1/201706/2611342507736fim.png" alt="" /&gt;
特别提醒：关注报警记录类似问题
[期望]
可查询满足该时间段内所有告警记录</t>
  </si>
  <si>
    <t>2611342507736fim.png</t>
  </si>
  <si>
    <t>640</t>
  </si>
  <si>
    <t>人脸比对——抓拍比对：视频预览随机测试2</t>
  </si>
  <si>
    <t xml:space="preserve">[前置条件]
没有打开视频预览的通道[步骤]
1. 选中某个通道，右键“视频预览”
2. 再次选中某个通道，右键“视频预览”
3. 点击 “窗口布局”，选择数值4
4. 将打开视频预览的两通道关闭视频预览
5. 选中关闭的通道，右键视频预览
[结果]
1. 关闭所有通道预览，再打开一个通道预览时仍是分四屏显示
[期望]
1. 打开 通道的视频预览
2. 两个视频分左右两屏显示
3. 视频预览多屏显示，原先打开的视频分别在第一位置和第二位置显示
4. 视频预览多屏显示但没有打开的视频预览
5. 视频预览变成一屏显示
</t>
  </si>
  <si>
    <t>人脸比对——抓拍比对：视频预览随机测试2(546)</t>
  </si>
  <si>
    <t>641</t>
  </si>
  <si>
    <t>资源管理—通道管理：通道状态显示不正确</t>
  </si>
  <si>
    <t xml:space="preserve">[步骤]
1. 点击资源管理下的通道管理页面
2. 查看通道状态与动态比对页面通道状态一致
[结果]
1. 通道状态显示不正确
&lt;img src="data/upload/1/201706/2611482105704mot.png" alt="" /&gt;
[期望]
1. 正确跳转通道管理页面
2. 通道状态与动态比对页面通道状态一致
</t>
  </si>
  <si>
    <t>资源管理—通道管理—修改通道：ping的是视频平台的所在的ip，(544)</t>
  </si>
  <si>
    <t>2611482105704mot.png</t>
  </si>
  <si>
    <t>642</t>
  </si>
  <si>
    <t>告警提示：修改通道质量系数1~0.5~0.3后，动态比对页面策略二的告警输出信息无计数信息</t>
  </si>
  <si>
    <t xml:space="preserve">[步骤]
1、通道管理：修改指定通道的质量系数：由1~0.5（运行1小时）-0.3
2、查看动态比对-告警信息列表是否正确
[结果]
动态比对页面策略二的告警输出信息无计数信息
&lt;img src="data/upload/1/201706/2612120409030md2.png" alt="" /&gt;
[期望]
告警信息列表信息显示正确
</t>
  </si>
  <si>
    <t>2612120409030md2.png</t>
  </si>
  <si>
    <t>643</t>
  </si>
  <si>
    <t>动态比对：打开第二个通道的抓拍预览后，告警信息列表出现该通道25号的告警信息</t>
  </si>
  <si>
    <t xml:space="preserve">前提条件：已有一条通道70的订阅了抓拍预览
[步骤]
1、  再打开通道71的抓拍预览
2、  查看动态比对页面的告警提示
[结果]
71通道出现6月25日晚8：05的告警提示
&lt;img src="data/upload/1/201706/2612141002522d29.png" alt="" /&gt;
&lt;img src="data/upload/1/201706/261216010323mot.png" alt="" /&gt;
[期望]
出现告警提示时间段为打开通道71开始以后的告警提示信息
</t>
  </si>
  <si>
    <t>2612141002522d29.png</t>
  </si>
  <si>
    <t>644</t>
  </si>
  <si>
    <t>告警消息推送至报警记录 后，再产生的抓拍记录只在动态比对告警信息列表中显示，但不再推送到告警输出窗口</t>
  </si>
  <si>
    <t>[步骤]
1、告警输出：选择相似度90%以上确认为同一人的告警信息，点击推送
2、查看报警输出窗口，获得已推送的告警信息
3、查看报警记录
4、查看新的抓拍满足告警条件是否再次推送
[结果]
已被推送的告警信息，后续在抓拍的目标满足告警条件，只在动态比对-告警信息列表中显示，但不再推送到告警输出窗口
&lt;img src="data/upload/1/201706/261351510640lt8.png" alt="" /&gt;
[期望]
应该有通过新的告警信息产生</t>
  </si>
  <si>
    <t>261351510640lt8.png</t>
  </si>
  <si>
    <t>645</t>
  </si>
  <si>
    <t>资源管理-模板管理：人脸对象时间和性别组合查询不正确</t>
  </si>
  <si>
    <t>[步骤]
1、模板管理：查询人脸对象,创建时间输入2016/6/22 ~2016/6/22 性别：男 ，其他字段保留默认值，点击查询
[结果]
查询无结果，实际存在6/22创建的性别为男的模板
&lt;img src="data/upload/1/201706/2615085206835t3j.png" alt="" /&gt;
[期望]
可查询出满足条件的</t>
  </si>
  <si>
    <t>2615085206835t3j.png</t>
  </si>
  <si>
    <t>646</t>
  </si>
  <si>
    <t>比对服务(#34)</t>
  </si>
  <si>
    <t>比对记录查询界面有记录序号，告警记录和报警记录无</t>
  </si>
  <si>
    <t>[步骤]
1、比对记录、告警记录、报警记录界面显示布局一致
[结果]
比对记录查询结果有记录序号，告警记录和报警记录均无
&lt;img src="data/upload/1/201706/2615331903463j6o.png" alt="" /&gt;
[期望]
比对记录、告警记录、报警记录类似界面的查询结果展示一致</t>
  </si>
  <si>
    <t>2615331903463j6o.png</t>
  </si>
  <si>
    <t>648</t>
  </si>
  <si>
    <t>模板管理-目标对象管理，建议查询按钮锁定，不随筛选条件移动</t>
  </si>
  <si>
    <t>[步骤]
 模板管理-目标对象管理，筛选条件移动时，查询按钮随滚动条拖动而移动
[结果]
 查询条件太长，选择最后的字段作为查询条件后，需要拖动水平滚动条返回最前端点击查询按钮
[期望]
 模板管理-目标对象管理，建议查询按钮锁定，不随筛选条件移动</t>
  </si>
  <si>
    <t>649</t>
  </si>
  <si>
    <t>通道管理：区域初始页面通道详细字段后均有长短不一的文本框</t>
  </si>
  <si>
    <t>[步骤]
通道管理：点击区域名称，显示通道初始状态页面
[结果]
&lt;img src="data/upload/1/201706/261603020380mot.png" alt="" /&gt;
[期望]
期望显示字段后面不要带空的文本框</t>
  </si>
  <si>
    <t>261603020380mot.png</t>
  </si>
  <si>
    <t>650</t>
  </si>
  <si>
    <t>连续运行4*24小时后，系统只抓拍，不比对、不存储、不告警，抓拍记录、比对记录、告警输出、告警记录均只有27号8：03：47之前的记录</t>
  </si>
  <si>
    <t>[步骤]
连续运行4*24小时后，查看动态识别、抓拍记录、比对记录、告警输出、告警记录
[结果]
所有记录只有2017/6/27 8：03：47之前
&lt;img src="data/upload/1/201706/2709241609313ott.png" alt="" /&gt;
[期望]
系统运行正常，能够查询各类记录。</t>
  </si>
  <si>
    <t>郝文峰,莫增文,</t>
  </si>
  <si>
    <t>2709241609313ott.png</t>
  </si>
  <si>
    <t>迭代2</t>
    <phoneticPr fontId="13" type="noConversion"/>
  </si>
  <si>
    <t>系统测试</t>
    <phoneticPr fontId="13" type="noConversion"/>
  </si>
  <si>
    <t>迭代规划</t>
  </si>
  <si>
    <t>若未开展迭代计划会议，结果为N</t>
  </si>
  <si>
    <t>Y</t>
  </si>
  <si>
    <t>若未对迭代任务构建工作分解结构，结果为N</t>
  </si>
  <si>
    <t>若迭代计划中未包含评审任务，结果为N</t>
  </si>
  <si>
    <t>NA</t>
  </si>
  <si>
    <t>若未进行UI设计（需产出UI设计稿），结果为N</t>
  </si>
  <si>
    <t>若未进行系统设计（需产出系统设计文档），结果为N</t>
  </si>
  <si>
    <t>N</t>
  </si>
  <si>
    <t>若未进行前端开发（需产出产品切片），结果为N</t>
  </si>
  <si>
    <t>若未进行后台及数据库开发（需产出开发文档），结果为N</t>
  </si>
  <si>
    <t>若未进行产品自测试（需产出测试方案），结果为N</t>
  </si>
  <si>
    <t>若未进行代码走查，结果为N</t>
  </si>
  <si>
    <t>若未在禅道中创建版本，结果为N</t>
  </si>
  <si>
    <t>若版本未关联需求，结果为N</t>
  </si>
  <si>
    <t>若版本的名称编号与本次基线名称不符，结果为N</t>
  </si>
  <si>
    <t>若提测申请单中版本与本次基线名称不符，结果为N</t>
  </si>
  <si>
    <t>若提测申请单中未说明本次测试目的、测试范围，结果为N</t>
  </si>
  <si>
    <t>若无系统测试案例，结果为N</t>
  </si>
  <si>
    <t>若无系统测试报告，结果为N</t>
  </si>
  <si>
    <t>若各阶段产出物要素填写不完整，结果为N
说明：各阶段产出物要求填写的要素需完整填写，不涉及的内容不能删除，建议填写“无”或“不涉及”</t>
  </si>
  <si>
    <t>若每日站会未准时开展，结果为N</t>
  </si>
  <si>
    <t>若看板上的任务与禅道中不一致，结果为N</t>
  </si>
  <si>
    <t>若每日站会时，未更新看板，结果为N</t>
  </si>
  <si>
    <t>若迭代结束后，未召开迭代审查与回顾会议，结果为N</t>
  </si>
  <si>
    <t>若无迭代审查与回顾会议纪要，结果为N</t>
  </si>
  <si>
    <t>若每轮迭代无改进行动计划，结果为N</t>
  </si>
  <si>
    <t>若未进行风险管理，结果为N</t>
  </si>
  <si>
    <t>缺陷管理</t>
  </si>
  <si>
    <t>若禅道中未记录评审、自测试、代码走查、系统测试的缺陷，结果为N</t>
  </si>
  <si>
    <t>若未处理的缺陷，没有记录解决方案，结果为N</t>
  </si>
  <si>
    <t>产品立项</t>
  </si>
  <si>
    <t>若无产品规划书，结果为N</t>
  </si>
  <si>
    <t>若产品规划书要素填写不完整，结果为N
要素包含：需求人、产品需求描述、需求功能列表、需求确认、产品名称、规划人员、规划说明（尺寸、规则、修改建议等）</t>
  </si>
  <si>
    <t>若产品规划书未开展评审，结果为N</t>
  </si>
  <si>
    <t>若未进行立项申请及审批，结果为N</t>
  </si>
  <si>
    <t>产品启动</t>
  </si>
  <si>
    <t>若未开展产品启动会议，结果为N</t>
  </si>
  <si>
    <t>若未确定产品和团队章程，结果为N</t>
  </si>
  <si>
    <t>若未制定产品计划，结果为N</t>
  </si>
  <si>
    <t>若未建立产品需求待办列表，结果为N</t>
  </si>
  <si>
    <t>若未进行粗略估算，结果为N</t>
  </si>
  <si>
    <t>若未明确干系人角色卡，结果为N</t>
  </si>
  <si>
    <t>若无启动会会议纪要，结果为N</t>
  </si>
  <si>
    <t>若未进行过程裁剪，结果为N</t>
  </si>
  <si>
    <t>若过程裁剪不符合裁剪要求，结果为N</t>
  </si>
  <si>
    <t>产品收尾</t>
  </si>
  <si>
    <t>若产品发布后一周之内未开展产品总结会，结果为N</t>
  </si>
  <si>
    <t>若无产品总结表，结果为N</t>
  </si>
  <si>
    <t>若无产品发布通告，结果为N</t>
  </si>
  <si>
    <t>产品发布规划</t>
  </si>
  <si>
    <t>若未开展发布规划会议，结果为N</t>
  </si>
  <si>
    <t>若未分解用户故事，结果为N</t>
  </si>
  <si>
    <t>若未定义验收标准，结果为N</t>
  </si>
  <si>
    <t>若未估算用户故事点数，结果为N</t>
  </si>
  <si>
    <t>若用户故事未排优先级，结果为N</t>
  </si>
  <si>
    <t>若未确定本次发布内的迭代次数，结果为N</t>
  </si>
  <si>
    <t>若未选择当前发布应完成的用户故事，结果为N</t>
  </si>
  <si>
    <t>若发布会议未按时召开，结果为N</t>
  </si>
  <si>
    <t>若发布会议的参与角色不齐，结果为N</t>
  </si>
  <si>
    <t>若无发布会议纪要，结果为N</t>
  </si>
  <si>
    <t>迭代1</t>
    <phoneticPr fontId="13" type="noConversion"/>
  </si>
  <si>
    <r>
      <rPr>
        <sz val="10"/>
        <color theme="1"/>
        <rFont val="宋体"/>
        <family val="3"/>
        <charset val="134"/>
      </rPr>
      <t>迭代</t>
    </r>
    <r>
      <rPr>
        <sz val="10"/>
        <color theme="1"/>
        <rFont val="Arial"/>
        <family val="2"/>
      </rPr>
      <t>2</t>
    </r>
    <phoneticPr fontId="13" type="noConversion"/>
  </si>
  <si>
    <t>否</t>
    <phoneticPr fontId="13" type="noConversion"/>
  </si>
  <si>
    <t>严重</t>
  </si>
  <si>
    <t>严重</t>
    <phoneticPr fontId="13" type="noConversion"/>
  </si>
  <si>
    <r>
      <rPr>
        <sz val="9"/>
        <color indexed="8"/>
        <rFont val="宋体"/>
        <family val="3"/>
        <charset val="134"/>
      </rPr>
      <t>致命</t>
    </r>
    <r>
      <rPr>
        <sz val="9"/>
        <color indexed="8"/>
        <rFont val="Calibri"/>
        <family val="2"/>
      </rPr>
      <t/>
    </r>
    <phoneticPr fontId="13" type="noConversion"/>
  </si>
  <si>
    <t>致命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</si>
</sst>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_(* #,##0.00_);_(* \(#,##0.00\);_(* &quot;-&quot;??_);_(@_)"/>
    <numFmt numFmtId="177" formatCode="[$-F800]dddd\,\ mmmm\ dd\,\ yyyy"/>
    <numFmt numFmtId="178" formatCode="0.00_ "/>
    <numFmt numFmtId="179" formatCode="0.00_);[Red]\(0.00\)"/>
  </numFmts>
  <fonts count="56">
    <font>
      <sz val="10"/>
      <color theme="1"/>
      <name val="Arial"/>
      <charset val="134"/>
    </font>
    <font>
      <sz val="11"/>
      <color theme="1"/>
      <name val="宋体"/>
      <family val="2"/>
      <charset val="134"/>
      <scheme val="minor"/>
    </font>
    <font>
      <sz val="10"/>
      <name val="Arial"/>
      <family val="2"/>
    </font>
    <font>
      <sz val="12"/>
      <name val="Arial"/>
      <family val="2"/>
    </font>
    <font>
      <sz val="10"/>
      <name val="宋体"/>
      <family val="3"/>
      <charset val="134"/>
    </font>
    <font>
      <sz val="10"/>
      <color rgb="FFFF00FF"/>
      <name val="Arial"/>
      <family val="2"/>
    </font>
    <font>
      <b/>
      <sz val="10"/>
      <name val="Arial"/>
      <family val="2"/>
    </font>
    <font>
      <b/>
      <sz val="10"/>
      <name val="宋体"/>
      <family val="3"/>
      <charset val="134"/>
    </font>
    <font>
      <sz val="10"/>
      <color theme="1"/>
      <name val="宋体"/>
      <family val="3"/>
      <charset val="134"/>
    </font>
    <font>
      <u/>
      <sz val="10"/>
      <color theme="10"/>
      <name val="宋体"/>
      <family val="3"/>
      <charset val="134"/>
    </font>
    <font>
      <u/>
      <sz val="10"/>
      <color theme="10"/>
      <name val="Arial"/>
      <family val="2"/>
    </font>
    <font>
      <b/>
      <sz val="10"/>
      <color theme="1"/>
      <name val="宋体"/>
      <family val="3"/>
      <charset val="134"/>
    </font>
    <font>
      <sz val="9"/>
      <name val="宋体"/>
      <family val="3"/>
      <charset val="134"/>
    </font>
    <font>
      <sz val="9"/>
      <name val="Arial"/>
      <family val="2"/>
    </font>
    <font>
      <b/>
      <sz val="10"/>
      <color theme="1"/>
      <name val="Arial"/>
      <family val="2"/>
    </font>
    <font>
      <b/>
      <sz val="9"/>
      <name val="宋体"/>
      <family val="3"/>
      <charset val="134"/>
    </font>
    <font>
      <b/>
      <sz val="9"/>
      <color theme="1"/>
      <name val="宋体"/>
      <family val="3"/>
      <charset val="134"/>
    </font>
    <font>
      <sz val="11"/>
      <color theme="1"/>
      <name val="宋体"/>
      <family val="3"/>
      <charset val="134"/>
      <scheme val="minor"/>
    </font>
    <font>
      <sz val="11"/>
      <color indexed="8"/>
      <name val="宋体"/>
      <family val="3"/>
      <charset val="134"/>
    </font>
    <font>
      <sz val="12"/>
      <name val="????"/>
      <family val="1"/>
    </font>
    <font>
      <b/>
      <sz val="13"/>
      <color indexed="56"/>
      <name val="宋体"/>
      <family val="3"/>
      <charset val="134"/>
    </font>
    <font>
      <sz val="11"/>
      <color indexed="9"/>
      <name val="宋体"/>
      <family val="3"/>
      <charset val="134"/>
    </font>
    <font>
      <b/>
      <sz val="18"/>
      <color indexed="56"/>
      <name val="宋体"/>
      <family val="3"/>
      <charset val="134"/>
    </font>
    <font>
      <sz val="12"/>
      <name val="宋体"/>
      <family val="3"/>
      <charset val="134"/>
    </font>
    <font>
      <b/>
      <sz val="11"/>
      <color indexed="56"/>
      <name val="宋体"/>
      <family val="3"/>
      <charset val="134"/>
    </font>
    <font>
      <b/>
      <sz val="15"/>
      <color indexed="56"/>
      <name val="宋体"/>
      <family val="3"/>
      <charset val="134"/>
    </font>
    <font>
      <sz val="10"/>
      <color indexed="8"/>
      <name val="Arial"/>
      <family val="2"/>
    </font>
    <font>
      <sz val="11"/>
      <color indexed="20"/>
      <name val="宋体"/>
      <family val="3"/>
      <charset val="134"/>
    </font>
    <font>
      <sz val="10"/>
      <color theme="1"/>
      <name val="Arial"/>
      <family val="2"/>
    </font>
    <font>
      <i/>
      <sz val="11"/>
      <color indexed="23"/>
      <name val="宋体"/>
      <family val="3"/>
      <charset val="134"/>
    </font>
    <font>
      <b/>
      <sz val="11"/>
      <color indexed="12"/>
      <name val="Arial"/>
      <family val="2"/>
    </font>
    <font>
      <sz val="11"/>
      <color rgb="FF9C0006"/>
      <name val="宋体"/>
      <family val="3"/>
      <charset val="134"/>
      <scheme val="minor"/>
    </font>
    <font>
      <b/>
      <sz val="11"/>
      <color indexed="9"/>
      <name val="宋体"/>
      <family val="3"/>
      <charset val="134"/>
    </font>
    <font>
      <sz val="11"/>
      <color indexed="62"/>
      <name val="宋体"/>
      <family val="3"/>
      <charset val="134"/>
    </font>
    <font>
      <b/>
      <sz val="11"/>
      <color indexed="8"/>
      <name val="宋体"/>
      <family val="3"/>
      <charset val="134"/>
    </font>
    <font>
      <sz val="11"/>
      <color indexed="52"/>
      <name val="宋体"/>
      <family val="3"/>
      <charset val="134"/>
    </font>
    <font>
      <u/>
      <sz val="12"/>
      <color indexed="12"/>
      <name val="宋体"/>
      <family val="3"/>
      <charset val="134"/>
    </font>
    <font>
      <b/>
      <sz val="11"/>
      <color indexed="63"/>
      <name val="宋体"/>
      <family val="3"/>
      <charset val="134"/>
    </font>
    <font>
      <sz val="11"/>
      <color indexed="10"/>
      <name val="宋体"/>
      <family val="3"/>
      <charset val="134"/>
    </font>
    <font>
      <u/>
      <sz val="12"/>
      <color theme="10"/>
      <name val="宋体"/>
      <family val="3"/>
      <charset val="134"/>
    </font>
    <font>
      <sz val="11"/>
      <color indexed="60"/>
      <name val="宋体"/>
      <family val="3"/>
      <charset val="134"/>
    </font>
    <font>
      <u/>
      <sz val="10"/>
      <color indexed="12"/>
      <name val="Arial"/>
      <family val="2"/>
    </font>
    <font>
      <sz val="11"/>
      <color rgb="FF006100"/>
      <name val="宋体"/>
      <family val="3"/>
      <charset val="134"/>
      <scheme val="minor"/>
    </font>
    <font>
      <b/>
      <sz val="11"/>
      <color indexed="52"/>
      <name val="宋体"/>
      <family val="3"/>
      <charset val="134"/>
    </font>
    <font>
      <u/>
      <sz val="12.65"/>
      <color theme="10"/>
      <name val="宋体"/>
      <family val="3"/>
      <charset val="134"/>
    </font>
    <font>
      <u/>
      <sz val="11"/>
      <color theme="10"/>
      <name val="宋体"/>
      <family val="3"/>
      <charset val="134"/>
    </font>
    <font>
      <sz val="11"/>
      <color indexed="17"/>
      <name val="宋体"/>
      <family val="3"/>
      <charset val="134"/>
    </font>
    <font>
      <b/>
      <sz val="18"/>
      <name val="Arial"/>
      <family val="2"/>
    </font>
    <font>
      <sz val="9"/>
      <color indexed="81"/>
      <name val="Tahoma"/>
      <family val="2"/>
    </font>
    <font>
      <b/>
      <sz val="9"/>
      <color indexed="81"/>
      <name val="宋体"/>
      <family val="3"/>
      <charset val="134"/>
    </font>
    <font>
      <b/>
      <sz val="10"/>
      <color theme="0"/>
      <name val="宋体"/>
      <family val="3"/>
      <charset val="134"/>
    </font>
    <font>
      <sz val="9"/>
      <color indexed="8"/>
      <name val="Calibri"/>
      <family val="2"/>
    </font>
    <font>
      <sz val="9"/>
      <color indexed="8"/>
      <name val="宋体"/>
      <family val="3"/>
      <charset val="134"/>
    </font>
    <font>
      <sz val="9"/>
      <color theme="1"/>
      <name val="微软雅黑"/>
      <family val="2"/>
      <charset val="134"/>
    </font>
    <font>
      <sz val="9"/>
      <color indexed="81"/>
      <name val="宋体"/>
      <family val="3"/>
      <charset val="134"/>
    </font>
    <font>
      <sz val="9"/>
      <color indexed="8"/>
      <name val="Calibri"/>
      <family val="3"/>
      <charset val="134"/>
    </font>
  </fonts>
  <fills count="39">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theme="0" tint="-0.249977111117893"/>
        <bgColor indexed="64"/>
      </patternFill>
    </fill>
    <fill>
      <patternFill patternType="solid">
        <fgColor rgb="FFC6EFCE"/>
        <bgColor indexed="64"/>
      </patternFill>
    </fill>
    <fill>
      <patternFill patternType="solid">
        <fgColor theme="4" tint="0.79985961485641044"/>
        <bgColor indexed="64"/>
      </patternFill>
    </fill>
    <fill>
      <patternFill patternType="solid">
        <fgColor theme="0"/>
        <bgColor indexed="64"/>
      </patternFill>
    </fill>
    <fill>
      <patternFill patternType="solid">
        <fgColor rgb="FFCC00FF"/>
        <bgColor indexed="64"/>
      </patternFill>
    </fill>
    <fill>
      <patternFill patternType="solid">
        <fgColor theme="9" tint="0.59999389629810485"/>
        <bgColor indexed="64"/>
      </patternFill>
    </fill>
    <fill>
      <patternFill patternType="solid">
        <fgColor rgb="FFFFFF99"/>
        <bgColor indexed="64"/>
      </patternFill>
    </fill>
    <fill>
      <patternFill patternType="solid">
        <fgColor rgb="FFFFCCFF"/>
        <bgColor indexed="64"/>
      </patternFill>
    </fill>
    <fill>
      <patternFill patternType="solid">
        <fgColor theme="5" tint="0.79985961485641044"/>
        <bgColor indexed="64"/>
      </patternFill>
    </fill>
    <fill>
      <patternFill patternType="solid">
        <fgColor theme="9" tint="0.39985351115451523"/>
        <bgColor indexed="64"/>
      </patternFill>
    </fill>
    <fill>
      <patternFill patternType="solid">
        <fgColor indexed="31"/>
        <bgColor indexed="64"/>
      </patternFill>
    </fill>
    <fill>
      <patternFill patternType="solid">
        <fgColor indexed="46"/>
        <bgColor indexed="64"/>
      </patternFill>
    </fill>
    <fill>
      <patternFill patternType="solid">
        <fgColor indexed="52"/>
        <bgColor indexed="64"/>
      </patternFill>
    </fill>
    <fill>
      <patternFill patternType="solid">
        <fgColor indexed="51"/>
        <bgColor indexed="64"/>
      </patternFill>
    </fill>
    <fill>
      <patternFill patternType="solid">
        <fgColor indexed="29"/>
        <bgColor indexed="64"/>
      </patternFill>
    </fill>
    <fill>
      <patternFill patternType="solid">
        <fgColor indexed="57"/>
        <bgColor indexed="64"/>
      </patternFill>
    </fill>
    <fill>
      <patternFill patternType="solid">
        <fgColor indexed="49"/>
        <bgColor indexed="64"/>
      </patternFill>
    </fill>
    <fill>
      <patternFill patternType="solid">
        <fgColor indexed="42"/>
        <bgColor indexed="64"/>
      </patternFill>
    </fill>
    <fill>
      <patternFill patternType="solid">
        <fgColor indexed="36"/>
        <bgColor indexed="64"/>
      </patternFill>
    </fill>
    <fill>
      <patternFill patternType="solid">
        <fgColor indexed="44"/>
        <bgColor indexed="64"/>
      </patternFill>
    </fill>
    <fill>
      <patternFill patternType="solid">
        <fgColor indexed="11"/>
        <bgColor indexed="64"/>
      </patternFill>
    </fill>
    <fill>
      <patternFill patternType="solid">
        <fgColor indexed="10"/>
        <bgColor indexed="64"/>
      </patternFill>
    </fill>
    <fill>
      <patternFill patternType="solid">
        <fgColor indexed="45"/>
        <bgColor indexed="64"/>
      </patternFill>
    </fill>
    <fill>
      <patternFill patternType="solid">
        <fgColor indexed="27"/>
        <bgColor indexed="64"/>
      </patternFill>
    </fill>
    <fill>
      <patternFill patternType="solid">
        <fgColor indexed="26"/>
        <bgColor indexed="64"/>
      </patternFill>
    </fill>
    <fill>
      <patternFill patternType="solid">
        <fgColor indexed="30"/>
        <bgColor indexed="64"/>
      </patternFill>
    </fill>
    <fill>
      <patternFill patternType="solid">
        <fgColor indexed="47"/>
        <bgColor indexed="64"/>
      </patternFill>
    </fill>
    <fill>
      <patternFill patternType="solid">
        <fgColor rgb="FFFFC7CE"/>
        <bgColor indexed="64"/>
      </patternFill>
    </fill>
    <fill>
      <patternFill patternType="solid">
        <fgColor indexed="53"/>
        <bgColor indexed="64"/>
      </patternFill>
    </fill>
    <fill>
      <patternFill patternType="solid">
        <fgColor indexed="62"/>
        <bgColor indexed="64"/>
      </patternFill>
    </fill>
    <fill>
      <patternFill patternType="solid">
        <fgColor indexed="22"/>
        <bgColor indexed="64"/>
      </patternFill>
    </fill>
    <fill>
      <patternFill patternType="solid">
        <fgColor indexed="43"/>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9" tint="0.79998168889431442"/>
        <bgColor indexed="64"/>
      </patternFill>
    </fill>
  </fills>
  <borders count="9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left>
      <right style="thin">
        <color theme="0"/>
      </right>
      <top/>
      <bottom style="thin">
        <color theme="0"/>
      </bottom>
      <diagonal/>
    </border>
    <border>
      <left/>
      <right style="thin">
        <color auto="1"/>
      </right>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top style="medium">
        <color auto="1"/>
      </top>
      <bottom style="thin">
        <color auto="1"/>
      </bottom>
      <diagonal/>
    </border>
    <border>
      <left style="thin">
        <color auto="1"/>
      </left>
      <right style="thin">
        <color auto="1"/>
      </right>
      <top style="thin">
        <color auto="1"/>
      </top>
      <bottom style="medium">
        <color auto="1"/>
      </bottom>
      <diagonal/>
    </border>
    <border>
      <left/>
      <right style="thin">
        <color auto="1"/>
      </right>
      <top style="medium">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medium">
        <color auto="1"/>
      </top>
      <bottom/>
      <diagonal/>
    </border>
    <border>
      <left/>
      <right style="thin">
        <color auto="1"/>
      </right>
      <top style="thin">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medium">
        <color auto="1"/>
      </right>
      <top style="thin">
        <color auto="1"/>
      </top>
      <bottom style="thin">
        <color auto="1"/>
      </bottom>
      <diagonal/>
    </border>
    <border>
      <left/>
      <right style="thin">
        <color auto="1"/>
      </right>
      <top style="thin">
        <color auto="1"/>
      </top>
      <bottom/>
      <diagonal/>
    </border>
    <border>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medium">
        <color auto="1"/>
      </right>
      <top/>
      <bottom style="medium">
        <color auto="1"/>
      </bottom>
      <diagonal/>
    </border>
    <border>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top/>
      <bottom style="thin">
        <color auto="1"/>
      </bottom>
      <diagonal/>
    </border>
    <border>
      <left style="thin">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right/>
      <top/>
      <bottom style="thick">
        <color indexed="22"/>
      </bottom>
      <diagonal/>
    </border>
    <border>
      <left/>
      <right/>
      <top/>
      <bottom style="medium">
        <color indexed="30"/>
      </bottom>
      <diagonal/>
    </border>
    <border>
      <left/>
      <right/>
      <top/>
      <bottom style="thick">
        <color indexed="62"/>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style="medium">
        <color auto="1"/>
      </right>
      <top style="medium">
        <color auto="1"/>
      </top>
      <bottom/>
      <diagonal/>
    </border>
    <border>
      <left style="thin">
        <color indexed="64"/>
      </left>
      <right style="medium">
        <color indexed="64"/>
      </right>
      <top style="thin">
        <color indexed="64"/>
      </top>
      <bottom style="medium">
        <color indexed="64"/>
      </bottom>
      <diagonal/>
    </border>
    <border>
      <left style="medium">
        <color auto="1"/>
      </left>
      <right/>
      <top style="thin">
        <color auto="1"/>
      </top>
      <bottom/>
      <diagonal/>
    </border>
    <border>
      <left style="medium">
        <color auto="1"/>
      </left>
      <right/>
      <top style="thin">
        <color auto="1"/>
      </top>
      <bottom style="medium">
        <color auto="1"/>
      </bottom>
      <diagonal/>
    </border>
    <border>
      <left style="medium">
        <color auto="1"/>
      </left>
      <right style="thin">
        <color auto="1"/>
      </right>
      <top style="thin">
        <color auto="1"/>
      </top>
      <bottom style="medium">
        <color auto="1"/>
      </bottom>
      <diagonal/>
    </border>
    <border>
      <left/>
      <right style="thin">
        <color auto="1"/>
      </right>
      <top/>
      <bottom style="medium">
        <color auto="1"/>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right/>
      <top style="thin">
        <color auto="1"/>
      </top>
      <bottom style="thin">
        <color auto="1"/>
      </bottom>
      <diagonal/>
    </border>
    <border>
      <left/>
      <right/>
      <top style="thin">
        <color auto="1"/>
      </top>
      <bottom/>
      <diagonal/>
    </border>
    <border>
      <left style="medium">
        <color indexed="64"/>
      </left>
      <right style="medium">
        <color auto="1"/>
      </right>
      <top/>
      <bottom style="medium">
        <color indexed="64"/>
      </bottom>
      <diagonal/>
    </border>
    <border>
      <left style="medium">
        <color auto="1"/>
      </left>
      <right style="thin">
        <color auto="1"/>
      </right>
      <top style="thin">
        <color auto="1"/>
      </top>
      <bottom style="medium">
        <color indexed="64"/>
      </bottom>
      <diagonal/>
    </border>
    <border>
      <left style="thin">
        <color auto="1"/>
      </left>
      <right/>
      <top/>
      <bottom style="medium">
        <color indexed="64"/>
      </bottom>
      <diagonal/>
    </border>
    <border>
      <left style="medium">
        <color indexed="64"/>
      </left>
      <right style="medium">
        <color indexed="64"/>
      </right>
      <top style="thin">
        <color auto="1"/>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diagonal/>
    </border>
    <border>
      <left/>
      <right style="medium">
        <color auto="1"/>
      </right>
      <top style="medium">
        <color auto="1"/>
      </top>
      <bottom style="thin">
        <color auto="1"/>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thin">
        <color auto="1"/>
      </right>
      <top/>
      <bottom style="medium">
        <color indexed="64"/>
      </bottom>
      <diagonal/>
    </border>
    <border>
      <left style="thin">
        <color indexed="8"/>
      </left>
      <right style="thin">
        <color indexed="8"/>
      </right>
      <top style="thin">
        <color indexed="8"/>
      </top>
      <bottom/>
      <diagonal/>
    </border>
    <border>
      <left style="thin">
        <color rgb="FF888888"/>
      </left>
      <right/>
      <top style="thin">
        <color rgb="FF888888"/>
      </top>
      <bottom/>
      <diagonal/>
    </border>
    <border>
      <left style="thin">
        <color rgb="FF888888"/>
      </left>
      <right style="thin">
        <color rgb="FF888888"/>
      </right>
      <top style="thin">
        <color rgb="FF888888"/>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style="thin">
        <color auto="1"/>
      </right>
      <top style="thin">
        <color auto="1"/>
      </top>
      <bottom style="medium">
        <color indexed="64"/>
      </bottom>
      <diagonal/>
    </border>
  </borders>
  <cellStyleXfs count="48929">
    <xf numFmtId="0" fontId="0"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0" borderId="0" applyNumberFormat="0" applyBorder="0" applyAlignment="0" applyProtection="0">
      <alignment vertical="center"/>
    </xf>
    <xf numFmtId="177"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2" fillId="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0" fontId="10" fillId="0" borderId="0" applyNumberFormat="0" applyFill="0" applyBorder="0" applyAlignment="0" applyProtection="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2" fillId="0" borderId="0" applyNumberFormat="0" applyFill="0" applyBorder="0" applyAlignment="0" applyProtection="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20" fillId="0" borderId="57" applyNumberFormat="0" applyFill="0" applyAlignment="0" applyProtection="0">
      <alignment vertical="center"/>
    </xf>
    <xf numFmtId="0" fontId="18" fillId="0" borderId="0">
      <alignment vertical="center"/>
    </xf>
    <xf numFmtId="0" fontId="18" fillId="0" borderId="0">
      <alignment vertical="center"/>
    </xf>
    <xf numFmtId="0" fontId="23" fillId="0" borderId="0"/>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9"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5" fillId="0" borderId="59" applyNumberFormat="0" applyFill="0" applyAlignment="0" applyProtection="0">
      <alignment vertical="center"/>
    </xf>
    <xf numFmtId="0"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8" fillId="15"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23" fillId="0" borderId="0"/>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20" fillId="0" borderId="57" applyNumberFormat="0" applyAlignment="0" applyProtection="0">
      <alignment vertical="center"/>
    </xf>
    <xf numFmtId="177" fontId="17" fillId="0" borderId="0">
      <alignment vertical="center"/>
    </xf>
    <xf numFmtId="177"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8" fillId="18" borderId="0" applyNumberFormat="0" applyBorder="0" applyAlignment="0" applyProtection="0">
      <alignment vertical="center"/>
    </xf>
    <xf numFmtId="177" fontId="17" fillId="0" borderId="0">
      <alignment vertical="center"/>
    </xf>
    <xf numFmtId="177" fontId="17" fillId="0" borderId="0">
      <alignment vertical="center"/>
    </xf>
    <xf numFmtId="177"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177" fontId="17" fillId="0" borderId="0">
      <alignment vertical="center"/>
    </xf>
    <xf numFmtId="0"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8" borderId="0" applyNumberFormat="0" applyBorder="0" applyAlignment="0" applyProtection="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2" fillId="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2" fillId="0" borderId="0" applyNumberFormat="0" applyBorder="0" applyAlignment="0" applyProtection="0">
      <alignment vertical="center"/>
    </xf>
    <xf numFmtId="177" fontId="17" fillId="0" borderId="0">
      <alignment vertical="center"/>
    </xf>
    <xf numFmtId="0"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1" fillId="2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17" fillId="0" borderId="0">
      <alignment vertical="center"/>
    </xf>
    <xf numFmtId="177" fontId="18" fillId="18" borderId="0" applyNumberFormat="0" applyBorder="0" applyAlignment="0" applyProtection="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0" fontId="22" fillId="0" borderId="0" applyNumberFormat="0" applyBorder="0" applyAlignment="0" applyProtection="0">
      <alignment vertical="center"/>
    </xf>
    <xf numFmtId="0" fontId="28" fillId="0" borderId="0"/>
    <xf numFmtId="0" fontId="21" fillId="20"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0" fillId="0" borderId="57"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20" fillId="0" borderId="57"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9" fillId="0" borderId="0"/>
    <xf numFmtId="177" fontId="17" fillId="0" borderId="0">
      <alignment vertical="center"/>
    </xf>
    <xf numFmtId="0" fontId="17" fillId="0" borderId="0">
      <alignment vertical="center"/>
    </xf>
    <xf numFmtId="177" fontId="17" fillId="0" borderId="0">
      <alignment vertical="center"/>
    </xf>
    <xf numFmtId="0" fontId="20" fillId="0" borderId="57" applyNumberFormat="0" applyFill="0" applyAlignment="0" applyProtection="0">
      <alignment vertical="center"/>
    </xf>
    <xf numFmtId="177" fontId="17" fillId="0" borderId="0">
      <alignment vertical="center"/>
    </xf>
    <xf numFmtId="177" fontId="17" fillId="0" borderId="0">
      <alignment vertical="center"/>
    </xf>
    <xf numFmtId="0" fontId="19" fillId="0" borderId="0"/>
    <xf numFmtId="177" fontId="19" fillId="0" borderId="0"/>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8" fillId="14"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177" fontId="18" fillId="18" borderId="0" applyNumberFormat="0" applyBorder="0" applyAlignment="0" applyProtection="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8" fillId="26" borderId="0" applyNumberFormat="0" applyBorder="0" applyAlignment="0" applyProtection="0">
      <alignment vertical="center"/>
    </xf>
    <xf numFmtId="177" fontId="17" fillId="0" borderId="0">
      <alignment vertical="center"/>
    </xf>
    <xf numFmtId="177" fontId="18" fillId="26" borderId="0" applyNumberFormat="0" applyBorder="0" applyAlignment="0" applyProtection="0">
      <alignment vertical="center"/>
    </xf>
    <xf numFmtId="177" fontId="17" fillId="0" borderId="0">
      <alignment vertical="center"/>
    </xf>
    <xf numFmtId="0" fontId="18" fillId="0" borderId="0">
      <alignment vertical="center"/>
    </xf>
    <xf numFmtId="0" fontId="18" fillId="26" borderId="0" applyNumberFormat="0" applyBorder="0" applyAlignment="0" applyProtection="0">
      <alignment vertical="center"/>
    </xf>
    <xf numFmtId="0" fontId="18" fillId="26" borderId="0" applyNumberFormat="0" applyBorder="0" applyAlignment="0" applyProtection="0">
      <alignment vertical="center"/>
    </xf>
    <xf numFmtId="177" fontId="17" fillId="0" borderId="0">
      <alignment vertical="center"/>
    </xf>
    <xf numFmtId="177" fontId="18" fillId="26" borderId="0" applyNumberFormat="0" applyBorder="0" applyAlignment="0" applyProtection="0">
      <alignment vertical="center"/>
    </xf>
    <xf numFmtId="177" fontId="17" fillId="0" borderId="0">
      <alignment vertical="center"/>
    </xf>
    <xf numFmtId="0" fontId="18" fillId="0" borderId="0">
      <alignment vertical="center"/>
    </xf>
    <xf numFmtId="0" fontId="21" fillId="29" borderId="0" applyNumberFormat="0" applyBorder="0" applyAlignment="0" applyProtection="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21" fillId="18"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0" fontId="21" fillId="24"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0" fontId="21" fillId="24"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17" fillId="0" borderId="0">
      <alignment vertical="center"/>
    </xf>
    <xf numFmtId="177" fontId="18" fillId="21" borderId="0" applyNumberFormat="0" applyBorder="0" applyAlignment="0" applyProtection="0">
      <alignment vertical="center"/>
    </xf>
    <xf numFmtId="0" fontId="17" fillId="0" borderId="0">
      <alignment vertical="center"/>
    </xf>
    <xf numFmtId="177" fontId="18" fillId="21" borderId="0" applyNumberFormat="0" applyBorder="0" applyAlignment="0" applyProtection="0">
      <alignment vertical="center"/>
    </xf>
    <xf numFmtId="177" fontId="17" fillId="0" borderId="0">
      <alignment vertical="center"/>
    </xf>
    <xf numFmtId="0" fontId="25" fillId="0" borderId="59" applyNumberFormat="0" applyFill="0" applyAlignment="0" applyProtection="0">
      <alignment vertical="center"/>
    </xf>
    <xf numFmtId="0" fontId="17" fillId="0" borderId="0">
      <alignment vertical="center"/>
    </xf>
    <xf numFmtId="0" fontId="18" fillId="21" borderId="0" applyNumberFormat="0" applyBorder="0" applyAlignment="0" applyProtection="0">
      <alignment vertical="center"/>
    </xf>
    <xf numFmtId="177" fontId="17" fillId="0" borderId="0">
      <alignment vertical="center"/>
    </xf>
    <xf numFmtId="0" fontId="25" fillId="0" borderId="59" applyNumberFormat="0" applyFill="0" applyAlignment="0" applyProtection="0">
      <alignment vertical="center"/>
    </xf>
    <xf numFmtId="0" fontId="17" fillId="0" borderId="0">
      <alignment vertical="center"/>
    </xf>
    <xf numFmtId="0" fontId="18" fillId="21" borderId="0" applyNumberFormat="0" applyBorder="0" applyAlignment="0" applyProtection="0">
      <alignment vertical="center"/>
    </xf>
    <xf numFmtId="0" fontId="17" fillId="0" borderId="0">
      <alignment vertical="center"/>
    </xf>
    <xf numFmtId="177" fontId="17" fillId="0" borderId="0">
      <alignment vertical="center"/>
    </xf>
    <xf numFmtId="177" fontId="18" fillId="21" borderId="0" applyNumberFormat="0" applyBorder="0" applyAlignment="0" applyProtection="0">
      <alignment vertical="center"/>
    </xf>
    <xf numFmtId="0"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0" fontId="17" fillId="0" borderId="0">
      <alignment vertical="center"/>
    </xf>
    <xf numFmtId="0" fontId="18" fillId="27"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21" borderId="0" applyNumberFormat="0" applyBorder="0" applyAlignment="0" applyProtection="0">
      <alignment vertical="center"/>
    </xf>
    <xf numFmtId="177" fontId="21" fillId="29" borderId="0" applyNumberFormat="0" applyBorder="0" applyAlignment="0" applyProtection="0">
      <alignment vertical="center"/>
    </xf>
    <xf numFmtId="0" fontId="23" fillId="0" borderId="0">
      <alignment vertical="center"/>
    </xf>
    <xf numFmtId="177" fontId="17" fillId="0" borderId="0">
      <alignment vertical="center"/>
    </xf>
    <xf numFmtId="0" fontId="18" fillId="21"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8" fillId="15" borderId="0" applyNumberFormat="0" applyBorder="0" applyAlignment="0" applyProtection="0">
      <alignment vertical="center"/>
    </xf>
    <xf numFmtId="177" fontId="18" fillId="15" borderId="0" applyNumberFormat="0" applyBorder="0" applyAlignment="0" applyProtection="0">
      <alignment vertical="center"/>
    </xf>
    <xf numFmtId="0" fontId="17" fillId="0" borderId="0">
      <alignment vertical="center"/>
    </xf>
    <xf numFmtId="177" fontId="23" fillId="0" borderId="0"/>
    <xf numFmtId="0" fontId="20" fillId="0" borderId="57" applyNumberFormat="0" applyFill="0" applyAlignment="0" applyProtection="0">
      <alignment vertical="center"/>
    </xf>
    <xf numFmtId="177" fontId="17" fillId="0" borderId="0">
      <alignment vertical="center"/>
    </xf>
    <xf numFmtId="0"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0" fontId="21" fillId="24" borderId="0" applyNumberFormat="0" applyBorder="0" applyAlignment="0" applyProtection="0">
      <alignment vertical="center"/>
    </xf>
    <xf numFmtId="177" fontId="17" fillId="0" borderId="0">
      <alignment vertical="center"/>
    </xf>
    <xf numFmtId="177" fontId="18" fillId="15" borderId="0" applyNumberFormat="0" applyBorder="0" applyAlignment="0" applyProtection="0">
      <alignment vertical="center"/>
    </xf>
    <xf numFmtId="0" fontId="21" fillId="2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0" fontId="18" fillId="15" borderId="0" applyNumberFormat="0" applyBorder="0" applyAlignment="0" applyProtection="0">
      <alignment vertical="center"/>
    </xf>
    <xf numFmtId="0"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8" fillId="27" borderId="0" applyNumberFormat="0" applyBorder="0" applyAlignment="0" applyProtection="0">
      <alignment vertical="center"/>
    </xf>
    <xf numFmtId="177" fontId="17" fillId="0" borderId="0">
      <alignment vertical="center"/>
    </xf>
    <xf numFmtId="0" fontId="17" fillId="0" borderId="0">
      <alignment vertical="center"/>
    </xf>
    <xf numFmtId="177" fontId="18" fillId="2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8" fillId="27" borderId="0" applyNumberFormat="0" applyBorder="0" applyAlignment="0" applyProtection="0">
      <alignment vertical="center"/>
    </xf>
    <xf numFmtId="0" fontId="17" fillId="0" borderId="0">
      <alignment vertical="center"/>
    </xf>
    <xf numFmtId="0" fontId="18" fillId="27" borderId="0" applyNumberFormat="0" applyBorder="0" applyAlignment="0" applyProtection="0">
      <alignment vertical="center"/>
    </xf>
    <xf numFmtId="177" fontId="17" fillId="0" borderId="0">
      <alignment vertical="center"/>
    </xf>
    <xf numFmtId="0" fontId="23" fillId="0" borderId="0"/>
    <xf numFmtId="177" fontId="17" fillId="0" borderId="0">
      <alignment vertical="center"/>
    </xf>
    <xf numFmtId="177" fontId="18" fillId="27" borderId="0" applyNumberFormat="0" applyBorder="0" applyAlignment="0" applyProtection="0">
      <alignment vertical="center"/>
    </xf>
    <xf numFmtId="177" fontId="17" fillId="0" borderId="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0" fontId="18" fillId="27" borderId="0" applyNumberFormat="0" applyBorder="0" applyAlignment="0" applyProtection="0">
      <alignment vertical="center"/>
    </xf>
    <xf numFmtId="0" fontId="18" fillId="30" borderId="0" applyNumberFormat="0" applyBorder="0" applyAlignment="0" applyProtection="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177" fontId="17" fillId="0" borderId="0">
      <alignment vertical="center"/>
    </xf>
    <xf numFmtId="0" fontId="18" fillId="27" borderId="0" applyNumberFormat="0" applyBorder="0" applyAlignment="0" applyProtection="0">
      <alignment vertical="center"/>
    </xf>
    <xf numFmtId="177" fontId="21" fillId="2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2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Border="0" applyAlignment="0" applyProtection="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8" fillId="30" borderId="0" applyNumberFormat="0" applyBorder="0" applyAlignment="0" applyProtection="0">
      <alignment vertical="center"/>
    </xf>
    <xf numFmtId="0" fontId="18" fillId="15" borderId="0" applyNumberFormat="0" applyBorder="0" applyAlignment="0" applyProtection="0">
      <alignment vertical="center"/>
    </xf>
    <xf numFmtId="177" fontId="17" fillId="0" borderId="0">
      <alignment vertical="center"/>
    </xf>
    <xf numFmtId="177" fontId="18" fillId="30" borderId="0" applyNumberFormat="0" applyBorder="0" applyAlignment="0" applyProtection="0">
      <alignment vertical="center"/>
    </xf>
    <xf numFmtId="177" fontId="17" fillId="0" borderId="0">
      <alignment vertical="center"/>
    </xf>
    <xf numFmtId="0" fontId="18" fillId="30"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177" fontId="17" fillId="0" borderId="0">
      <alignment vertical="center"/>
    </xf>
    <xf numFmtId="0" fontId="23" fillId="0" borderId="0"/>
    <xf numFmtId="177" fontId="17" fillId="0" borderId="0">
      <alignment vertical="center"/>
    </xf>
    <xf numFmtId="177" fontId="18" fillId="3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18" fillId="3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0" fontId="18" fillId="30" borderId="0" applyNumberFormat="0" applyBorder="0" applyAlignment="0" applyProtection="0">
      <alignment vertical="center"/>
    </xf>
    <xf numFmtId="0" fontId="18" fillId="30" borderId="0" applyNumberFormat="0" applyBorder="0" applyAlignment="0" applyProtection="0">
      <alignment vertical="center"/>
    </xf>
    <xf numFmtId="177" fontId="17" fillId="0" borderId="0">
      <alignment vertical="center"/>
    </xf>
    <xf numFmtId="177" fontId="17" fillId="0" borderId="0">
      <alignment vertical="center"/>
    </xf>
    <xf numFmtId="0" fontId="24" fillId="0" borderId="0" applyNumberFormat="0" applyBorder="0" applyAlignment="0" applyProtection="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177" fontId="17" fillId="0" borderId="0">
      <alignment vertical="center"/>
    </xf>
    <xf numFmtId="177" fontId="17" fillId="0" borderId="0">
      <alignment vertical="center"/>
    </xf>
    <xf numFmtId="177"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30" borderId="0" applyNumberFormat="0" applyBorder="0" applyAlignment="0" applyProtection="0">
      <alignment vertical="center"/>
    </xf>
    <xf numFmtId="177" fontId="17" fillId="0" borderId="0">
      <alignment vertical="center"/>
    </xf>
    <xf numFmtId="177"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177" fontId="18" fillId="23" borderId="0" applyNumberFormat="0" applyBorder="0" applyAlignment="0" applyProtection="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0" fontId="18" fillId="23" borderId="0" applyNumberFormat="0" applyBorder="0" applyAlignment="0" applyProtection="0">
      <alignment vertical="center"/>
    </xf>
    <xf numFmtId="177" fontId="18" fillId="23" borderId="0" applyNumberFormat="0" applyBorder="0" applyAlignment="0" applyProtection="0">
      <alignment vertical="center"/>
    </xf>
    <xf numFmtId="0" fontId="18" fillId="23" borderId="0" applyNumberFormat="0" applyBorder="0" applyAlignment="0" applyProtection="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0" fontId="20" fillId="0" borderId="57" applyNumberFormat="0" applyFill="0" applyAlignment="0" applyProtection="0">
      <alignment vertical="center"/>
    </xf>
    <xf numFmtId="0" fontId="23"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0" fillId="0" borderId="57" applyNumberFormat="0" applyFill="0" applyAlignment="0" applyProtection="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177" fontId="21" fillId="2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18" borderId="0" applyNumberFormat="0" applyBorder="0" applyAlignment="0" applyProtection="0">
      <alignment vertical="center"/>
    </xf>
    <xf numFmtId="0" fontId="18" fillId="0" borderId="0">
      <alignment vertical="center"/>
    </xf>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0" fontId="18" fillId="0" borderId="0">
      <alignment vertical="center"/>
    </xf>
    <xf numFmtId="177" fontId="17" fillId="0" borderId="0">
      <alignment vertical="center"/>
    </xf>
    <xf numFmtId="177"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0" fontId="18"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0" fontId="18" fillId="18" borderId="0" applyNumberFormat="0" applyBorder="0" applyAlignment="0" applyProtection="0">
      <alignment vertical="center"/>
    </xf>
    <xf numFmtId="177" fontId="17" fillId="0" borderId="0">
      <alignment vertical="center"/>
    </xf>
    <xf numFmtId="0" fontId="17" fillId="0" borderId="0">
      <alignment vertical="center"/>
    </xf>
    <xf numFmtId="177" fontId="18" fillId="24" borderId="0" applyNumberFormat="0" applyBorder="0" applyAlignment="0" applyProtection="0">
      <alignment vertical="center"/>
    </xf>
    <xf numFmtId="177" fontId="18" fillId="24" borderId="0" applyNumberFormat="0" applyBorder="0" applyAlignment="0" applyProtection="0">
      <alignment vertical="center"/>
    </xf>
    <xf numFmtId="0" fontId="18" fillId="0" borderId="0">
      <alignment vertical="center"/>
    </xf>
    <xf numFmtId="0" fontId="18" fillId="0" borderId="0">
      <alignment vertical="center"/>
    </xf>
    <xf numFmtId="0" fontId="18" fillId="24" borderId="0" applyNumberFormat="0" applyBorder="0" applyAlignment="0" applyProtection="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0" fontId="18" fillId="24"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24" borderId="0" applyNumberFormat="0" applyBorder="0" applyAlignment="0" applyProtection="0">
      <alignment vertical="center"/>
    </xf>
    <xf numFmtId="177" fontId="18" fillId="24" borderId="0" applyNumberFormat="0" applyBorder="0" applyAlignment="0" applyProtection="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5" fillId="0" borderId="59"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0" fontId="18" fillId="24" borderId="0" applyNumberFormat="0" applyBorder="0" applyAlignment="0" applyProtection="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4" borderId="0" applyNumberFormat="0" applyBorder="0" applyAlignment="0" applyProtection="0">
      <alignment vertical="center"/>
    </xf>
    <xf numFmtId="177" fontId="17" fillId="0" borderId="0">
      <alignment vertical="center"/>
    </xf>
    <xf numFmtId="0" fontId="18" fillId="24" borderId="0" applyNumberFormat="0" applyBorder="0" applyAlignment="0" applyProtection="0">
      <alignment vertical="center"/>
    </xf>
    <xf numFmtId="0" fontId="24" fillId="0" borderId="0" applyNumberFormat="0" applyFill="0" applyBorder="0" applyAlignment="0" applyProtection="0">
      <alignment vertical="center"/>
    </xf>
    <xf numFmtId="177" fontId="18" fillId="15" borderId="0" applyNumberFormat="0" applyBorder="0" applyAlignment="0" applyProtection="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15" borderId="0" applyNumberFormat="0" applyBorder="0" applyAlignment="0" applyProtection="0">
      <alignment vertical="center"/>
    </xf>
    <xf numFmtId="177" fontId="18" fillId="15" borderId="0" applyNumberFormat="0" applyBorder="0" applyAlignment="0" applyProtection="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8" fillId="15" borderId="0" applyNumberFormat="0" applyBorder="0" applyAlignment="0" applyProtection="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0" fontId="18" fillId="15" borderId="0" applyNumberFormat="0" applyBorder="0" applyAlignment="0" applyProtection="0">
      <alignment vertical="center"/>
    </xf>
    <xf numFmtId="177" fontId="17" fillId="0" borderId="0">
      <alignment vertical="center"/>
    </xf>
    <xf numFmtId="177" fontId="17" fillId="0" borderId="0">
      <alignment vertical="center"/>
    </xf>
    <xf numFmtId="177" fontId="18" fillId="23" borderId="0" applyNumberFormat="0" applyBorder="0" applyAlignment="0" applyProtection="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8" fillId="23" borderId="0" applyNumberFormat="0" applyBorder="0" applyAlignment="0" applyProtection="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8" fillId="23" borderId="0" applyNumberFormat="0" applyBorder="0" applyAlignment="0" applyProtection="0">
      <alignment vertical="center"/>
    </xf>
    <xf numFmtId="0" fontId="21" fillId="29" borderId="0" applyNumberFormat="0" applyBorder="0" applyAlignment="0" applyProtection="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23" borderId="0" applyNumberFormat="0" applyBorder="0" applyAlignment="0" applyProtection="0">
      <alignment vertical="center"/>
    </xf>
    <xf numFmtId="177" fontId="17" fillId="0" borderId="0">
      <alignment vertical="center"/>
    </xf>
    <xf numFmtId="0" fontId="18"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31" fillId="31"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0" fontId="18" fillId="23"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23" borderId="0" applyNumberFormat="0" applyBorder="0" applyAlignment="0" applyProtection="0">
      <alignment vertical="center"/>
    </xf>
    <xf numFmtId="0" fontId="17" fillId="0" borderId="0">
      <alignment vertical="center"/>
    </xf>
    <xf numFmtId="0" fontId="20" fillId="0" borderId="57" applyNumberFormat="0" applyFill="0" applyAlignment="0" applyProtection="0">
      <alignment vertical="center"/>
    </xf>
    <xf numFmtId="177" fontId="17" fillId="0" borderId="0">
      <alignment vertical="center"/>
    </xf>
    <xf numFmtId="177" fontId="18" fillId="17"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8" fillId="17" borderId="0" applyNumberFormat="0" applyBorder="0" applyAlignment="0" applyProtection="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8" fillId="1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0" fontId="18" fillId="17" borderId="0" applyNumberFormat="0" applyBorder="0" applyAlignment="0" applyProtection="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0" fontId="18" fillId="17" borderId="0" applyNumberFormat="0" applyBorder="0" applyAlignment="0" applyProtection="0">
      <alignment vertical="center"/>
    </xf>
    <xf numFmtId="177" fontId="17" fillId="0" borderId="0">
      <alignment vertical="center"/>
    </xf>
    <xf numFmtId="0" fontId="20" fillId="0" borderId="57" applyNumberFormat="0" applyFill="0" applyAlignment="0" applyProtection="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20" fillId="0" borderId="57" applyNumberFormat="0" applyAlignment="0" applyProtection="0">
      <alignment vertical="center"/>
    </xf>
    <xf numFmtId="177" fontId="17" fillId="0" borderId="0">
      <alignment vertical="center"/>
    </xf>
    <xf numFmtId="177" fontId="17" fillId="0" borderId="0">
      <alignment vertical="center"/>
    </xf>
    <xf numFmtId="177"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17"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21" fillId="29" borderId="0" applyNumberFormat="0" applyBorder="0" applyAlignment="0" applyProtection="0">
      <alignment vertical="center"/>
    </xf>
    <xf numFmtId="0" fontId="17" fillId="0" borderId="0">
      <alignment vertical="center"/>
    </xf>
    <xf numFmtId="0"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1" fillId="29" borderId="0" applyNumberFormat="0" applyBorder="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0" fontId="24" fillId="0" borderId="58" applyNumberFormat="0" applyFill="0" applyAlignment="0" applyProtection="0">
      <alignment vertical="center"/>
    </xf>
    <xf numFmtId="0" fontId="21" fillId="2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58" applyNumberFormat="0" applyAlignment="0" applyProtection="0">
      <alignment vertical="center"/>
    </xf>
    <xf numFmtId="177" fontId="17" fillId="0" borderId="0">
      <alignment vertical="center"/>
    </xf>
    <xf numFmtId="177" fontId="21" fillId="2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1" fillId="29" borderId="0" applyNumberFormat="0" applyBorder="0" applyAlignment="0" applyProtection="0">
      <alignment vertical="center"/>
    </xf>
    <xf numFmtId="0" fontId="21" fillId="2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8"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5" fillId="0" borderId="59" applyNumberFormat="0" applyAlignment="0" applyProtection="0">
      <alignment vertical="center"/>
    </xf>
    <xf numFmtId="0" fontId="17" fillId="0" borderId="0">
      <alignment vertical="center"/>
    </xf>
    <xf numFmtId="177" fontId="17" fillId="0" borderId="0">
      <alignment vertical="center"/>
    </xf>
    <xf numFmtId="177" fontId="21" fillId="2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4"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5" fillId="0" borderId="59" applyNumberFormat="0" applyAlignment="0" applyProtection="0">
      <alignment vertical="center"/>
    </xf>
    <xf numFmtId="0" fontId="17" fillId="0" borderId="0">
      <alignment vertical="center"/>
    </xf>
    <xf numFmtId="0" fontId="17" fillId="0" borderId="0">
      <alignment vertical="center"/>
    </xf>
    <xf numFmtId="177" fontId="17" fillId="0" borderId="0">
      <alignment vertical="center"/>
    </xf>
    <xf numFmtId="177" fontId="21" fillId="2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5" fillId="0" borderId="59" applyNumberFormat="0" applyAlignment="0" applyProtection="0">
      <alignment vertical="center"/>
    </xf>
    <xf numFmtId="0" fontId="17" fillId="0" borderId="0">
      <alignment vertical="center"/>
    </xf>
    <xf numFmtId="0" fontId="21" fillId="24" borderId="0" applyNumberFormat="0" applyBorder="0" applyAlignment="0" applyProtection="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5" fillId="0" borderId="59" applyNumberFormat="0" applyAlignment="0" applyProtection="0">
      <alignment vertical="center"/>
    </xf>
    <xf numFmtId="0" fontId="17" fillId="0" borderId="0">
      <alignment vertical="center"/>
    </xf>
    <xf numFmtId="0" fontId="21" fillId="24" borderId="0" applyNumberFormat="0" applyBorder="0" applyAlignment="0" applyProtection="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4" borderId="0" applyNumberFormat="0" applyBorder="0" applyAlignment="0" applyProtection="0">
      <alignment vertical="center"/>
    </xf>
    <xf numFmtId="177" fontId="17" fillId="0" borderId="0">
      <alignment vertical="center"/>
    </xf>
    <xf numFmtId="0" fontId="21" fillId="24"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5" fillId="0" borderId="59" applyNumberFormat="0" applyFill="0" applyAlignment="0" applyProtection="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25" fillId="0" borderId="59" applyNumberFormat="0" applyFill="0" applyAlignment="0" applyProtection="0">
      <alignment vertical="center"/>
    </xf>
    <xf numFmtId="177" fontId="17" fillId="0" borderId="0">
      <alignment vertical="center"/>
    </xf>
    <xf numFmtId="0" fontId="21" fillId="22" borderId="0" applyNumberFormat="0" applyBorder="0" applyAlignment="0" applyProtection="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0" fontId="20" fillId="0" borderId="57"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0" fontId="20" fillId="0" borderId="57"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2" borderId="0" applyNumberFormat="0" applyBorder="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24" fillId="0" borderId="58" applyNumberFormat="0" applyFill="0" applyAlignment="0" applyProtection="0">
      <alignment vertical="center"/>
    </xf>
    <xf numFmtId="0" fontId="17" fillId="0" borderId="0">
      <alignment vertical="center"/>
    </xf>
    <xf numFmtId="0" fontId="21" fillId="20" borderId="0" applyNumberFormat="0" applyBorder="0" applyAlignment="0" applyProtection="0">
      <alignment vertical="center"/>
    </xf>
    <xf numFmtId="177" fontId="17" fillId="0" borderId="0">
      <alignment vertical="center"/>
    </xf>
    <xf numFmtId="177" fontId="17" fillId="0" borderId="0">
      <alignment vertical="center"/>
    </xf>
    <xf numFmtId="0" fontId="24" fillId="0" borderId="58"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21" fillId="20" borderId="0" applyNumberFormat="0" applyBorder="0" applyAlignment="0" applyProtection="0">
      <alignment vertical="center"/>
    </xf>
    <xf numFmtId="0" fontId="24" fillId="0" borderId="58" applyNumberFormat="0" applyAlignment="0" applyProtection="0">
      <alignment vertical="center"/>
    </xf>
    <xf numFmtId="177" fontId="17" fillId="0" borderId="0">
      <alignment vertical="center"/>
    </xf>
    <xf numFmtId="177" fontId="17" fillId="0" borderId="0">
      <alignment vertical="center"/>
    </xf>
    <xf numFmtId="0" fontId="21" fillId="20" borderId="0" applyNumberFormat="0" applyBorder="0" applyAlignment="0" applyProtection="0">
      <alignment vertical="center"/>
    </xf>
    <xf numFmtId="0" fontId="24" fillId="0" borderId="58" applyNumberFormat="0" applyAlignment="0" applyProtection="0">
      <alignment vertical="center"/>
    </xf>
    <xf numFmtId="177" fontId="17" fillId="0" borderId="0">
      <alignment vertical="center"/>
    </xf>
    <xf numFmtId="177" fontId="24" fillId="0" borderId="0" applyNumberFormat="0" applyFill="0" applyBorder="0" applyAlignment="0" applyProtection="0">
      <alignment vertical="center"/>
    </xf>
    <xf numFmtId="0" fontId="21" fillId="20" borderId="0" applyNumberFormat="0" applyBorder="0" applyAlignment="0" applyProtection="0">
      <alignment vertical="center"/>
    </xf>
    <xf numFmtId="177" fontId="17" fillId="0" borderId="0">
      <alignment vertical="center"/>
    </xf>
    <xf numFmtId="0" fontId="21" fillId="20" borderId="0" applyNumberFormat="0" applyBorder="0" applyAlignment="0" applyProtection="0">
      <alignment vertical="center"/>
    </xf>
    <xf numFmtId="177" fontId="17" fillId="0" borderId="0">
      <alignment vertical="center"/>
    </xf>
    <xf numFmtId="177" fontId="17" fillId="0" borderId="0">
      <alignment vertical="center"/>
    </xf>
    <xf numFmtId="0" fontId="21" fillId="20"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Border="0" applyAlignment="0" applyProtection="0">
      <alignment vertical="center"/>
    </xf>
    <xf numFmtId="177" fontId="17" fillId="0" borderId="0">
      <alignment vertical="center"/>
    </xf>
    <xf numFmtId="177" fontId="17" fillId="0" borderId="0">
      <alignment vertical="center"/>
    </xf>
    <xf numFmtId="177"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1" fillId="16" borderId="0" applyNumberFormat="0" applyBorder="0" applyAlignment="0" applyProtection="0">
      <alignment vertical="center"/>
    </xf>
    <xf numFmtId="0" fontId="18" fillId="0" borderId="0">
      <alignment vertical="center"/>
    </xf>
    <xf numFmtId="0" fontId="18" fillId="0" borderId="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Border="0" applyAlignment="0" applyProtection="0">
      <alignment vertical="center"/>
    </xf>
    <xf numFmtId="177" fontId="17" fillId="0" borderId="0">
      <alignment vertical="center"/>
    </xf>
    <xf numFmtId="177" fontId="21" fillId="16" borderId="0" applyNumberFormat="0" applyBorder="0" applyAlignment="0" applyProtection="0">
      <alignment vertical="center"/>
    </xf>
    <xf numFmtId="177" fontId="17" fillId="0" borderId="0">
      <alignment vertical="center"/>
    </xf>
    <xf numFmtId="0" fontId="18" fillId="0" borderId="0">
      <alignment vertical="center"/>
    </xf>
    <xf numFmtId="177" fontId="17" fillId="0" borderId="0">
      <alignment vertical="center"/>
    </xf>
    <xf numFmtId="0" fontId="21" fillId="1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6" borderId="0" applyNumberFormat="0" applyBorder="0" applyAlignment="0" applyProtection="0">
      <alignment vertical="center"/>
    </xf>
    <xf numFmtId="0" fontId="30" fillId="0" borderId="0">
      <alignment horizontal="left" vertical="center" indent="1"/>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23"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20" fillId="0" borderId="57" applyNumberFormat="0" applyFill="0" applyAlignment="0" applyProtection="0">
      <alignment vertical="center"/>
    </xf>
    <xf numFmtId="0" fontId="18" fillId="0" borderId="0">
      <alignment vertical="center"/>
    </xf>
    <xf numFmtId="0" fontId="23"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28" fillId="0" borderId="0"/>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26"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23" fillId="0" borderId="0">
      <alignment vertical="center"/>
    </xf>
    <xf numFmtId="0" fontId="23" fillId="0" borderId="0">
      <alignment vertical="center"/>
    </xf>
    <xf numFmtId="177" fontId="17" fillId="0" borderId="0">
      <alignment vertical="center"/>
    </xf>
    <xf numFmtId="0" fontId="18" fillId="0" borderId="0">
      <alignment vertical="center"/>
    </xf>
    <xf numFmtId="0" fontId="23" fillId="0" borderId="0">
      <alignment vertical="center"/>
    </xf>
    <xf numFmtId="0" fontId="23" fillId="0" borderId="0">
      <alignment vertical="center"/>
    </xf>
    <xf numFmtId="0" fontId="18" fillId="0" borderId="0">
      <alignment vertical="center"/>
    </xf>
    <xf numFmtId="177" fontId="17" fillId="0" borderId="0">
      <alignment vertical="center"/>
    </xf>
    <xf numFmtId="0" fontId="23" fillId="0" borderId="0">
      <alignment vertical="center"/>
    </xf>
    <xf numFmtId="0" fontId="23" fillId="0" borderId="0">
      <alignment vertical="center"/>
    </xf>
    <xf numFmtId="0" fontId="18" fillId="0" borderId="0">
      <alignment vertical="center"/>
    </xf>
    <xf numFmtId="0" fontId="23" fillId="0" borderId="0">
      <alignment vertical="center"/>
    </xf>
    <xf numFmtId="0" fontId="23" fillId="0" borderId="0">
      <alignment vertical="center"/>
    </xf>
    <xf numFmtId="0" fontId="18"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0" fontId="23" fillId="0" borderId="0"/>
    <xf numFmtId="0" fontId="23" fillId="0" borderId="0"/>
    <xf numFmtId="0" fontId="23" fillId="0" borderId="0"/>
    <xf numFmtId="177" fontId="17" fillId="0" borderId="0">
      <alignment vertical="center"/>
    </xf>
    <xf numFmtId="177"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xf numFmtId="177" fontId="17" fillId="0" borderId="0">
      <alignment vertical="center"/>
    </xf>
    <xf numFmtId="177" fontId="17" fillId="0" borderId="0">
      <alignment vertical="center"/>
    </xf>
    <xf numFmtId="0" fontId="23" fillId="0" borderId="0">
      <alignment vertical="center"/>
    </xf>
    <xf numFmtId="0" fontId="18"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0" fontId="23"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9" fontId="2" fillId="0" borderId="0" applyFill="0" applyBorder="0" applyAlignment="0" applyProtection="0"/>
    <xf numFmtId="177" fontId="17" fillId="0" borderId="0">
      <alignment vertical="center"/>
    </xf>
    <xf numFmtId="177" fontId="17" fillId="0" borderId="0">
      <alignment vertical="center"/>
    </xf>
    <xf numFmtId="177" fontId="17" fillId="0" borderId="0">
      <alignment vertical="center"/>
    </xf>
    <xf numFmtId="9" fontId="17" fillId="0" borderId="0" applyFont="0" applyFill="0" applyBorder="0" applyAlignment="0" applyProtection="0">
      <alignment vertical="center"/>
    </xf>
    <xf numFmtId="177" fontId="17" fillId="0" borderId="0">
      <alignment vertical="center"/>
    </xf>
    <xf numFmtId="177" fontId="25" fillId="0" borderId="59" applyNumberFormat="0" applyFill="0" applyAlignment="0" applyProtection="0">
      <alignment vertical="center"/>
    </xf>
    <xf numFmtId="177" fontId="17" fillId="0" borderId="0">
      <alignment vertical="center"/>
    </xf>
    <xf numFmtId="0" fontId="25" fillId="0" borderId="59" applyNumberFormat="0" applyFill="0" applyAlignment="0" applyProtection="0">
      <alignment vertical="center"/>
    </xf>
    <xf numFmtId="177" fontId="17" fillId="0" borderId="0">
      <alignment vertical="center"/>
    </xf>
    <xf numFmtId="0" fontId="25" fillId="0" borderId="59" applyNumberFormat="0" applyFill="0" applyAlignment="0" applyProtection="0">
      <alignment vertical="center"/>
    </xf>
    <xf numFmtId="177" fontId="17" fillId="0" borderId="0">
      <alignment vertical="center"/>
    </xf>
    <xf numFmtId="0" fontId="25" fillId="0" borderId="59" applyNumberFormat="0" applyFill="0" applyAlignment="0" applyProtection="0">
      <alignment vertical="center"/>
    </xf>
    <xf numFmtId="177" fontId="17" fillId="0" borderId="0">
      <alignment vertical="center"/>
    </xf>
    <xf numFmtId="0" fontId="25" fillId="0" borderId="59"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0" fillId="0" borderId="57"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0" fontId="17" fillId="0" borderId="0">
      <alignment vertical="center"/>
    </xf>
    <xf numFmtId="177" fontId="24" fillId="0" borderId="58" applyNumberFormat="0" applyFill="0" applyAlignment="0" applyProtection="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4" fillId="0" borderId="58" applyNumberFormat="0" applyFill="0" applyAlignment="0" applyProtection="0">
      <alignment vertical="center"/>
    </xf>
    <xf numFmtId="177" fontId="17" fillId="0" borderId="0">
      <alignment vertical="center"/>
    </xf>
    <xf numFmtId="177" fontId="17" fillId="0" borderId="0">
      <alignment vertical="center"/>
    </xf>
    <xf numFmtId="0"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58" applyNumberFormat="0" applyFill="0" applyAlignment="0" applyProtection="0">
      <alignment vertical="center"/>
    </xf>
    <xf numFmtId="0" fontId="24" fillId="0" borderId="58" applyNumberFormat="0" applyFill="0" applyAlignment="0" applyProtection="0">
      <alignment vertical="center"/>
    </xf>
    <xf numFmtId="0" fontId="17" fillId="0" borderId="0">
      <alignment vertical="center"/>
    </xf>
    <xf numFmtId="177" fontId="24" fillId="0" borderId="58"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4" fillId="0" borderId="58" applyNumberFormat="0" applyFill="0" applyAlignment="0" applyProtection="0">
      <alignment vertical="center"/>
    </xf>
    <xf numFmtId="177" fontId="17" fillId="0" borderId="0">
      <alignment vertical="center"/>
    </xf>
    <xf numFmtId="0" fontId="24" fillId="0" borderId="58" applyNumberFormat="0" applyFill="0" applyAlignment="0" applyProtection="0">
      <alignment vertical="center"/>
    </xf>
    <xf numFmtId="177" fontId="17" fillId="0" borderId="0">
      <alignment vertical="center"/>
    </xf>
    <xf numFmtId="0" fontId="17" fillId="0" borderId="0">
      <alignment vertical="center"/>
    </xf>
    <xf numFmtId="0" fontId="24" fillId="0" borderId="58" applyNumberFormat="0" applyFill="0" applyAlignment="0" applyProtection="0">
      <alignment vertical="center"/>
    </xf>
    <xf numFmtId="0" fontId="17" fillId="0" borderId="0">
      <alignment vertical="center"/>
    </xf>
    <xf numFmtId="177"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2"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4"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177" fontId="22" fillId="0" borderId="0" applyNumberFormat="0" applyFill="0" applyBorder="0" applyAlignment="0" applyProtection="0">
      <alignment vertical="center"/>
    </xf>
    <xf numFmtId="0" fontId="17" fillId="0" borderId="0">
      <alignment vertical="center"/>
    </xf>
    <xf numFmtId="0" fontId="22" fillId="0" borderId="0" applyNumberFormat="0" applyFill="0" applyBorder="0" applyAlignment="0" applyProtection="0">
      <alignment vertical="center"/>
    </xf>
    <xf numFmtId="177"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177" fontId="17" fillId="0" borderId="0">
      <alignment vertical="center"/>
    </xf>
    <xf numFmtId="0" fontId="17" fillId="0" borderId="0">
      <alignment vertical="center"/>
    </xf>
    <xf numFmtId="0" fontId="23" fillId="0" borderId="0"/>
    <xf numFmtId="0" fontId="22" fillId="0" borderId="0" applyNumberFormat="0" applyFill="0" applyBorder="0" applyAlignment="0" applyProtection="0">
      <alignment vertical="center"/>
    </xf>
    <xf numFmtId="0" fontId="17" fillId="0" borderId="0">
      <alignment vertical="center"/>
    </xf>
    <xf numFmtId="177" fontId="27" fillId="26" borderId="0" applyNumberFormat="0" applyBorder="0" applyAlignment="0" applyProtection="0">
      <alignment vertical="center"/>
    </xf>
    <xf numFmtId="177" fontId="27" fillId="26" borderId="0" applyNumberFormat="0" applyBorder="0" applyAlignment="0" applyProtection="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6"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177" fontId="27" fillId="26" borderId="0" applyNumberFormat="0" applyBorder="0" applyAlignment="0" applyProtection="0">
      <alignment vertical="center"/>
    </xf>
    <xf numFmtId="177" fontId="17" fillId="0" borderId="0">
      <alignment vertical="center"/>
    </xf>
    <xf numFmtId="177" fontId="17" fillId="0" borderId="0">
      <alignment vertical="center"/>
    </xf>
    <xf numFmtId="0" fontId="27" fillId="26" borderId="0" applyNumberFormat="0" applyBorder="0" applyAlignment="0" applyProtection="0">
      <alignment vertical="center"/>
    </xf>
    <xf numFmtId="177" fontId="17" fillId="0" borderId="0">
      <alignment vertical="center"/>
    </xf>
    <xf numFmtId="177" fontId="17" fillId="0" borderId="0">
      <alignment vertical="center"/>
    </xf>
    <xf numFmtId="0" fontId="31" fillId="31" borderId="0" applyNumberFormat="0" applyBorder="0" applyAlignment="0" applyProtection="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xf numFmtId="177"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0" fontId="23" fillId="0" borderId="0">
      <alignment vertical="center"/>
    </xf>
    <xf numFmtId="177" fontId="17" fillId="0" borderId="0">
      <alignment vertical="center"/>
    </xf>
    <xf numFmtId="0"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8" fillId="0" borderId="0">
      <alignment vertical="center"/>
    </xf>
    <xf numFmtId="0" fontId="17"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18" fillId="0" borderId="0">
      <alignment vertical="center"/>
    </xf>
    <xf numFmtId="0" fontId="17" fillId="0" borderId="0">
      <alignment vertical="center"/>
    </xf>
    <xf numFmtId="177" fontId="17" fillId="0" borderId="0">
      <alignment vertical="center"/>
    </xf>
    <xf numFmtId="0" fontId="18" fillId="0" borderId="0">
      <alignment vertical="center"/>
    </xf>
    <xf numFmtId="0" fontId="23" fillId="0" borderId="0">
      <alignment vertical="center"/>
    </xf>
    <xf numFmtId="0" fontId="18" fillId="0" borderId="0">
      <alignment vertical="center"/>
    </xf>
    <xf numFmtId="0" fontId="18" fillId="0" borderId="0">
      <alignment vertical="center"/>
    </xf>
    <xf numFmtId="0" fontId="17" fillId="0" borderId="0">
      <alignment vertical="center"/>
    </xf>
    <xf numFmtId="0" fontId="23"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xf numFmtId="177"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2" fillId="0" borderId="0" applyProtection="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177" fontId="17" fillId="0" borderId="0">
      <alignment vertical="center"/>
    </xf>
    <xf numFmtId="0" fontId="23" fillId="0" borderId="0">
      <alignment vertical="center"/>
    </xf>
    <xf numFmtId="177" fontId="23" fillId="0" borderId="0"/>
    <xf numFmtId="177" fontId="17" fillId="0" borderId="0">
      <alignment vertical="center"/>
    </xf>
    <xf numFmtId="0" fontId="18"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8"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7" fillId="0" borderId="0">
      <alignment vertical="center"/>
    </xf>
    <xf numFmtId="0" fontId="26" fillId="0" borderId="0">
      <alignment vertical="center"/>
    </xf>
    <xf numFmtId="0" fontId="26" fillId="0" borderId="0">
      <alignment vertical="center"/>
    </xf>
    <xf numFmtId="0" fontId="18" fillId="0" borderId="0">
      <alignment vertical="center"/>
    </xf>
    <xf numFmtId="0" fontId="26"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2" fillId="0" borderId="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26" fillId="0" borderId="0">
      <alignment vertical="center"/>
    </xf>
    <xf numFmtId="177" fontId="17" fillId="0" borderId="0">
      <alignment vertical="center"/>
    </xf>
    <xf numFmtId="0" fontId="26"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8" fillId="0" borderId="0"/>
    <xf numFmtId="177" fontId="17" fillId="0" borderId="0">
      <alignment vertical="center"/>
    </xf>
    <xf numFmtId="0" fontId="28" fillId="0" borderId="0"/>
    <xf numFmtId="177" fontId="17" fillId="0" borderId="0">
      <alignment vertical="center"/>
    </xf>
    <xf numFmtId="177" fontId="17" fillId="0" borderId="0">
      <alignment vertical="center"/>
    </xf>
    <xf numFmtId="0" fontId="28" fillId="0" borderId="0"/>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 fillId="0" borderId="0"/>
    <xf numFmtId="0" fontId="17" fillId="0" borderId="0">
      <alignment vertical="center"/>
    </xf>
    <xf numFmtId="177" fontId="17" fillId="0" borderId="0">
      <alignment vertical="center"/>
    </xf>
    <xf numFmtId="0" fontId="2"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23" fillId="0" borderId="0"/>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23" fillId="0" borderId="0"/>
    <xf numFmtId="0" fontId="17" fillId="0" borderId="0">
      <alignment vertical="center"/>
    </xf>
    <xf numFmtId="0" fontId="23" fillId="0" borderId="0"/>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23" fillId="0" borderId="0"/>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3" fillId="30" borderId="62" applyNumberFormat="0" applyAlignment="0" applyProtection="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23"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0"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0" borderId="0"/>
    <xf numFmtId="177" fontId="17" fillId="0" borderId="0">
      <alignment vertical="center"/>
    </xf>
    <xf numFmtId="177" fontId="17" fillId="0" borderId="0">
      <alignment vertical="center"/>
    </xf>
    <xf numFmtId="177" fontId="17" fillId="0" borderId="0">
      <alignment vertical="center"/>
    </xf>
    <xf numFmtId="0" fontId="2" fillId="0" borderId="0">
      <alignment vertical="center"/>
    </xf>
    <xf numFmtId="177" fontId="17" fillId="0" borderId="0">
      <alignment vertical="center"/>
    </xf>
    <xf numFmtId="177" fontId="17" fillId="0" borderId="0">
      <alignment vertical="center"/>
    </xf>
    <xf numFmtId="0" fontId="2"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1" fillId="3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3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5" fillId="0" borderId="64" applyNumberFormat="0" applyFill="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9" fillId="0" borderId="0"/>
    <xf numFmtId="177" fontId="17" fillId="0" borderId="0">
      <alignment vertical="center"/>
    </xf>
    <xf numFmtId="177" fontId="17" fillId="0" borderId="0">
      <alignment vertical="center"/>
    </xf>
    <xf numFmtId="0" fontId="19"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7" fillId="34" borderId="65"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8"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3" fillId="30" borderId="62"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2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2" fillId="3" borderId="61"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23" fillId="28" borderId="60" applyNumberFormat="0" applyFont="0" applyAlignment="0" applyProtection="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0" fontId="18" fillId="0" borderId="0">
      <alignment vertical="center"/>
    </xf>
    <xf numFmtId="177" fontId="17" fillId="0" borderId="0">
      <alignment vertical="center"/>
    </xf>
    <xf numFmtId="0" fontId="18" fillId="0" borderId="0">
      <alignment vertical="center"/>
    </xf>
    <xf numFmtId="0"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177" fontId="17" fillId="0" borderId="0">
      <alignment vertical="center"/>
    </xf>
    <xf numFmtId="0" fontId="23" fillId="0" borderId="0"/>
    <xf numFmtId="177"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23" fillId="0" borderId="0"/>
    <xf numFmtId="177" fontId="17" fillId="0" borderId="0">
      <alignment vertical="center"/>
    </xf>
    <xf numFmtId="0" fontId="18"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42" fillId="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1" fillId="32" borderId="0" applyNumberFormat="0" applyBorder="0" applyAlignment="0" applyProtection="0">
      <alignment vertical="center"/>
    </xf>
    <xf numFmtId="177" fontId="17" fillId="0" borderId="0">
      <alignment vertical="center"/>
    </xf>
    <xf numFmtId="177" fontId="17" fillId="0" borderId="0">
      <alignment vertical="center"/>
    </xf>
    <xf numFmtId="0" fontId="21" fillId="32"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177" fontId="17" fillId="0" borderId="0">
      <alignment vertical="center"/>
    </xf>
    <xf numFmtId="0" fontId="23" fillId="0" borderId="0"/>
    <xf numFmtId="0" fontId="23" fillId="0" borderId="0">
      <alignment vertical="center"/>
    </xf>
    <xf numFmtId="177" fontId="17" fillId="0" borderId="0">
      <alignment vertical="center"/>
    </xf>
    <xf numFmtId="0" fontId="23"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28" borderId="60" applyNumberFormat="0" applyFon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23" fillId="0" borderId="0"/>
    <xf numFmtId="0" fontId="18" fillId="0" borderId="0">
      <alignment vertical="center"/>
    </xf>
    <xf numFmtId="0" fontId="17" fillId="0" borderId="0">
      <alignment vertical="center"/>
    </xf>
    <xf numFmtId="177" fontId="17" fillId="0" borderId="0">
      <alignment vertical="center"/>
    </xf>
    <xf numFmtId="0" fontId="18"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28" borderId="60" applyNumberFormat="0" applyFont="0" applyAlignment="0" applyProtection="0">
      <alignment vertical="center"/>
    </xf>
    <xf numFmtId="177" fontId="17" fillId="0" borderId="0">
      <alignment vertical="center"/>
    </xf>
    <xf numFmtId="177" fontId="17" fillId="0" borderId="0">
      <alignment vertical="center"/>
    </xf>
    <xf numFmtId="0" fontId="23" fillId="28" borderId="60" applyNumberFormat="0" applyFon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xf numFmtId="0" fontId="17" fillId="0" borderId="0"/>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1" fillId="25"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1" fillId="19" borderId="0" applyNumberFormat="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0" fontId="23" fillId="0" borderId="0">
      <alignment vertical="center"/>
    </xf>
    <xf numFmtId="0" fontId="23"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0" fontId="18"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23" fillId="28" borderId="60" applyNumberFormat="0" applyFont="0" applyAlignment="0" applyProtection="0">
      <alignment vertical="center"/>
    </xf>
    <xf numFmtId="177" fontId="17" fillId="0" borderId="0">
      <alignment vertical="center"/>
    </xf>
    <xf numFmtId="0" fontId="23" fillId="28" borderId="60" applyNumberFormat="0" applyFon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32" fillId="3" borderId="61" applyNumberFormat="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9" fillId="0" borderId="0" applyNumberFormat="0" applyFill="0" applyBorder="0" applyAlignment="0" applyProtection="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7" fillId="0" borderId="0"/>
    <xf numFmtId="0" fontId="23" fillId="0" borderId="0">
      <alignment vertical="center"/>
    </xf>
    <xf numFmtId="0" fontId="17" fillId="0" borderId="0"/>
    <xf numFmtId="0" fontId="17" fillId="0" borderId="0">
      <alignment vertical="center"/>
    </xf>
    <xf numFmtId="0" fontId="23" fillId="0" borderId="0"/>
    <xf numFmtId="0" fontId="23" fillId="0" borderId="0"/>
    <xf numFmtId="177" fontId="23" fillId="0" borderId="0"/>
    <xf numFmtId="0" fontId="17" fillId="0" borderId="0">
      <alignment vertical="center"/>
    </xf>
    <xf numFmtId="0" fontId="23" fillId="0" borderId="0"/>
    <xf numFmtId="0" fontId="23" fillId="0" borderId="0"/>
    <xf numFmtId="177" fontId="23" fillId="0" borderId="0"/>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177" fontId="23" fillId="0" borderId="0"/>
    <xf numFmtId="0" fontId="18" fillId="0" borderId="0">
      <alignment vertical="center"/>
    </xf>
    <xf numFmtId="0" fontId="17" fillId="0" borderId="0">
      <alignment vertical="center"/>
    </xf>
    <xf numFmtId="0" fontId="18" fillId="0" borderId="0">
      <alignment vertical="center"/>
    </xf>
    <xf numFmtId="0" fontId="17" fillId="0" borderId="0"/>
    <xf numFmtId="177" fontId="23" fillId="0" borderId="0"/>
    <xf numFmtId="0" fontId="18" fillId="0" borderId="0">
      <alignment vertical="center"/>
    </xf>
    <xf numFmtId="0" fontId="18" fillId="0" borderId="0">
      <alignment vertical="center"/>
    </xf>
    <xf numFmtId="0" fontId="23" fillId="0" borderId="0"/>
    <xf numFmtId="0" fontId="23" fillId="0" borderId="0"/>
    <xf numFmtId="177" fontId="23" fillId="0" borderId="0"/>
    <xf numFmtId="0" fontId="23" fillId="0" borderId="0">
      <alignment vertical="center"/>
    </xf>
    <xf numFmtId="0" fontId="17" fillId="0" borderId="0">
      <alignment vertical="center"/>
    </xf>
    <xf numFmtId="0" fontId="17" fillId="0" borderId="0">
      <alignment vertical="center"/>
    </xf>
    <xf numFmtId="0" fontId="23"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xf numFmtId="0" fontId="23" fillId="0" borderId="0"/>
    <xf numFmtId="177" fontId="17" fillId="0" borderId="0">
      <alignment vertical="center"/>
    </xf>
    <xf numFmtId="0" fontId="23" fillId="0" borderId="0">
      <alignment vertical="center"/>
    </xf>
    <xf numFmtId="0" fontId="17" fillId="0" borderId="0">
      <alignment vertical="center"/>
    </xf>
    <xf numFmtId="177" fontId="17" fillId="0" borderId="0">
      <alignment vertical="center"/>
    </xf>
    <xf numFmtId="177" fontId="17" fillId="0" borderId="0">
      <alignment vertical="center"/>
    </xf>
    <xf numFmtId="0" fontId="18" fillId="0" borderId="0">
      <alignment vertical="center"/>
    </xf>
    <xf numFmtId="0"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18"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177"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7" fillId="0" borderId="0">
      <alignment vertical="center"/>
    </xf>
    <xf numFmtId="177" fontId="17" fillId="0" borderId="0">
      <alignment vertical="center"/>
    </xf>
    <xf numFmtId="0" fontId="18" fillId="0" borderId="0">
      <alignment vertical="center"/>
    </xf>
    <xf numFmtId="0" fontId="17" fillId="0" borderId="0">
      <alignment vertical="center"/>
    </xf>
    <xf numFmtId="0" fontId="17" fillId="0" borderId="0">
      <alignment vertical="center"/>
    </xf>
    <xf numFmtId="0" fontId="23" fillId="0" borderId="0"/>
    <xf numFmtId="0" fontId="18" fillId="0" borderId="0">
      <alignment vertical="center"/>
    </xf>
    <xf numFmtId="0" fontId="18" fillId="0" borderId="0">
      <alignment vertical="center"/>
    </xf>
    <xf numFmtId="0" fontId="23" fillId="0" borderId="0"/>
    <xf numFmtId="0" fontId="18" fillId="0" borderId="0">
      <alignment vertical="center"/>
    </xf>
    <xf numFmtId="0" fontId="18" fillId="0" borderId="0">
      <alignment vertical="center"/>
    </xf>
    <xf numFmtId="177" fontId="17" fillId="0" borderId="0">
      <alignment vertical="center"/>
    </xf>
    <xf numFmtId="0" fontId="23" fillId="0" borderId="0">
      <alignment vertical="center"/>
    </xf>
    <xf numFmtId="0" fontId="17" fillId="0" borderId="0">
      <alignment vertical="center"/>
    </xf>
    <xf numFmtId="0" fontId="23" fillId="0" borderId="0">
      <alignment vertical="center"/>
    </xf>
    <xf numFmtId="0" fontId="23" fillId="0" borderId="0">
      <alignment vertical="center"/>
    </xf>
    <xf numFmtId="0" fontId="1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 fillId="0" borderId="0"/>
    <xf numFmtId="0" fontId="23" fillId="0" borderId="0"/>
    <xf numFmtId="0" fontId="41" fillId="0" borderId="0" applyNumberFormat="0" applyFill="0" applyBorder="0" applyAlignment="0" applyProtection="0">
      <alignment vertical="top"/>
      <protection locked="0"/>
    </xf>
    <xf numFmtId="177" fontId="36" fillId="0" borderId="0" applyNumberFormat="0" applyFill="0" applyBorder="0" applyAlignment="0" applyProtection="0">
      <alignment vertical="top"/>
      <protection locked="0"/>
    </xf>
    <xf numFmtId="177" fontId="36" fillId="0" borderId="0" applyNumberFormat="0" applyFill="0" applyBorder="0" applyAlignment="0" applyProtection="0">
      <alignment vertical="top"/>
      <protection locked="0"/>
    </xf>
    <xf numFmtId="177" fontId="36" fillId="0" borderId="0" applyNumberFormat="0" applyFill="0" applyBorder="0" applyAlignment="0" applyProtection="0">
      <alignment vertical="top"/>
      <protection locked="0"/>
    </xf>
    <xf numFmtId="177" fontId="39"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177" fontId="36" fillId="0" borderId="0" applyNumberFormat="0" applyFill="0" applyBorder="0" applyAlignment="0" applyProtection="0">
      <alignment vertical="top"/>
      <protection locked="0"/>
    </xf>
    <xf numFmtId="0" fontId="41" fillId="0" borderId="0" applyNumberFormat="0" applyBorder="0" applyAlignment="0" applyProtection="0">
      <alignment vertical="top"/>
      <protection locked="0"/>
    </xf>
    <xf numFmtId="177" fontId="39"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41" fillId="0" borderId="0" applyNumberFormat="0" applyBorder="0" applyAlignment="0" applyProtection="0">
      <alignment vertical="center"/>
    </xf>
    <xf numFmtId="177" fontId="39" fillId="0" borderId="0" applyNumberFormat="0" applyFill="0" applyBorder="0" applyAlignment="0" applyProtection="0">
      <alignment vertical="top"/>
      <protection locked="0"/>
    </xf>
    <xf numFmtId="177" fontId="39" fillId="0" borderId="0" applyNumberFormat="0" applyFill="0" applyBorder="0" applyAlignment="0" applyProtection="0">
      <alignment vertical="top"/>
      <protection locked="0"/>
    </xf>
    <xf numFmtId="177" fontId="44" fillId="0" borderId="0" applyNumberFormat="0" applyFill="0" applyBorder="0" applyAlignment="0" applyProtection="0">
      <alignment vertical="top"/>
      <protection locked="0"/>
    </xf>
    <xf numFmtId="177" fontId="45" fillId="0" borderId="0" applyNumberFormat="0" applyFill="0" applyBorder="0" applyAlignment="0" applyProtection="0">
      <alignment vertical="top"/>
      <protection locked="0"/>
    </xf>
    <xf numFmtId="177" fontId="46" fillId="21" borderId="0" applyNumberFormat="0" applyBorder="0" applyAlignment="0" applyProtection="0">
      <alignment vertical="center"/>
    </xf>
    <xf numFmtId="177"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177"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0" fontId="46" fillId="21" borderId="0" applyNumberFormat="0" applyBorder="0" applyAlignment="0" applyProtection="0">
      <alignment vertical="center"/>
    </xf>
    <xf numFmtId="0" fontId="42" fillId="5" borderId="0" applyNumberFormat="0" applyBorder="0" applyAlignment="0" applyProtection="0">
      <alignment vertical="center"/>
    </xf>
    <xf numFmtId="177" fontId="34" fillId="0" borderId="63" applyNumberFormat="0" applyFill="0" applyAlignment="0" applyProtection="0">
      <alignment vertical="center"/>
    </xf>
    <xf numFmtId="177" fontId="34" fillId="0" borderId="63" applyNumberFormat="0" applyFill="0" applyAlignment="0" applyProtection="0">
      <alignment vertical="center"/>
    </xf>
    <xf numFmtId="0" fontId="34" fillId="0" borderId="63" applyNumberFormat="0" applyFill="0" applyAlignment="0" applyProtection="0">
      <alignment vertical="center"/>
    </xf>
    <xf numFmtId="0" fontId="34" fillId="0" borderId="63" applyNumberFormat="0" applyFill="0" applyAlignment="0" applyProtection="0">
      <alignment vertical="center"/>
    </xf>
    <xf numFmtId="0" fontId="34" fillId="0" borderId="63" applyNumberFormat="0" applyFill="0" applyAlignment="0" applyProtection="0">
      <alignment vertical="center"/>
    </xf>
    <xf numFmtId="0" fontId="34" fillId="0" borderId="63" applyNumberFormat="0" applyFill="0" applyAlignment="0" applyProtection="0">
      <alignment vertical="center"/>
    </xf>
    <xf numFmtId="177" fontId="34" fillId="0" borderId="63" applyNumberFormat="0" applyFill="0" applyAlignment="0" applyProtection="0">
      <alignment vertical="center"/>
    </xf>
    <xf numFmtId="0" fontId="34" fillId="0" borderId="63" applyNumberFormat="0" applyFill="0" applyAlignment="0" applyProtection="0">
      <alignment vertical="center"/>
    </xf>
    <xf numFmtId="0" fontId="34" fillId="0" borderId="63" applyNumberFormat="0" applyFill="0" applyAlignment="0" applyProtection="0">
      <alignment vertical="center"/>
    </xf>
    <xf numFmtId="0" fontId="34" fillId="0" borderId="63" applyNumberFormat="0" applyAlignment="0" applyProtection="0">
      <alignment vertical="center"/>
    </xf>
    <xf numFmtId="0" fontId="34" fillId="0" borderId="63" applyNumberFormat="0" applyAlignment="0" applyProtection="0">
      <alignment vertical="center"/>
    </xf>
    <xf numFmtId="0" fontId="34" fillId="0" borderId="63" applyNumberFormat="0" applyAlignment="0" applyProtection="0">
      <alignment vertical="center"/>
    </xf>
    <xf numFmtId="0" fontId="34" fillId="0" borderId="63" applyNumberFormat="0" applyAlignment="0" applyProtection="0">
      <alignment vertical="center"/>
    </xf>
    <xf numFmtId="0" fontId="34" fillId="0" borderId="63" applyNumberFormat="0" applyFill="0" applyAlignment="0" applyProtection="0">
      <alignment vertical="center"/>
    </xf>
    <xf numFmtId="0" fontId="34" fillId="0" borderId="63" applyNumberFormat="0" applyFill="0" applyAlignment="0" applyProtection="0">
      <alignment vertical="center"/>
    </xf>
    <xf numFmtId="177" fontId="43" fillId="34" borderId="62" applyNumberFormat="0" applyAlignment="0" applyProtection="0">
      <alignment vertical="center"/>
    </xf>
    <xf numFmtId="177"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177"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0" fontId="43" fillId="34" borderId="62" applyNumberFormat="0" applyAlignment="0" applyProtection="0">
      <alignment vertical="center"/>
    </xf>
    <xf numFmtId="177" fontId="32" fillId="3" borderId="61" applyNumberFormat="0" applyAlignment="0" applyProtection="0">
      <alignment vertical="center"/>
    </xf>
    <xf numFmtId="177" fontId="32" fillId="3" borderId="61" applyNumberFormat="0" applyAlignment="0" applyProtection="0">
      <alignment vertical="center"/>
    </xf>
    <xf numFmtId="0" fontId="32" fillId="3" borderId="61" applyNumberFormat="0" applyAlignment="0" applyProtection="0">
      <alignment vertical="center"/>
    </xf>
    <xf numFmtId="0" fontId="32" fillId="3" borderId="61" applyNumberFormat="0" applyAlignment="0" applyProtection="0">
      <alignment vertical="center"/>
    </xf>
    <xf numFmtId="0" fontId="32" fillId="3" borderId="61" applyNumberFormat="0" applyAlignment="0" applyProtection="0">
      <alignment vertical="center"/>
    </xf>
    <xf numFmtId="177" fontId="32" fillId="3" borderId="61" applyNumberFormat="0" applyAlignment="0" applyProtection="0">
      <alignment vertical="center"/>
    </xf>
    <xf numFmtId="0" fontId="32" fillId="3" borderId="61" applyNumberFormat="0" applyAlignment="0" applyProtection="0">
      <alignment vertical="center"/>
    </xf>
    <xf numFmtId="0" fontId="32" fillId="3" borderId="61" applyNumberFormat="0" applyAlignment="0" applyProtection="0">
      <alignment vertical="center"/>
    </xf>
    <xf numFmtId="0" fontId="32" fillId="3" borderId="61" applyNumberFormat="0" applyAlignment="0" applyProtection="0">
      <alignment vertical="center"/>
    </xf>
    <xf numFmtId="177" fontId="29" fillId="0" borderId="0" applyNumberFormat="0" applyFill="0" applyBorder="0" applyAlignment="0" applyProtection="0">
      <alignment vertical="center"/>
    </xf>
    <xf numFmtId="177"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177"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Border="0" applyAlignment="0" applyProtection="0">
      <alignment vertical="center"/>
    </xf>
    <xf numFmtId="0" fontId="29" fillId="0" borderId="0" applyNumberFormat="0" applyBorder="0" applyAlignment="0" applyProtection="0">
      <alignment vertical="center"/>
    </xf>
    <xf numFmtId="0" fontId="29" fillId="0" borderId="0" applyNumberFormat="0" applyBorder="0" applyAlignment="0" applyProtection="0">
      <alignment vertical="center"/>
    </xf>
    <xf numFmtId="0" fontId="29" fillId="0" borderId="0" applyNumberFormat="0" applyBorder="0" applyAlignment="0" applyProtection="0">
      <alignment vertical="center"/>
    </xf>
    <xf numFmtId="0" fontId="29" fillId="0" borderId="0" applyNumberFormat="0" applyFill="0" applyBorder="0" applyAlignment="0" applyProtection="0">
      <alignment vertical="center"/>
    </xf>
    <xf numFmtId="177" fontId="38" fillId="0" borderId="0" applyNumberFormat="0" applyFill="0" applyBorder="0" applyAlignment="0" applyProtection="0">
      <alignment vertical="center"/>
    </xf>
    <xf numFmtId="177"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177"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Border="0" applyAlignment="0" applyProtection="0">
      <alignment vertical="center"/>
    </xf>
    <xf numFmtId="0" fontId="38" fillId="0" borderId="0" applyNumberFormat="0" applyBorder="0" applyAlignment="0" applyProtection="0">
      <alignment vertical="center"/>
    </xf>
    <xf numFmtId="0" fontId="38" fillId="0" borderId="0" applyNumberFormat="0" applyBorder="0" applyAlignment="0" applyProtection="0">
      <alignment vertical="center"/>
    </xf>
    <xf numFmtId="0" fontId="38" fillId="0" borderId="0" applyNumberFormat="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177" fontId="35" fillId="0" borderId="64" applyNumberFormat="0" applyFill="0" applyAlignment="0" applyProtection="0">
      <alignment vertical="center"/>
    </xf>
    <xf numFmtId="177" fontId="35" fillId="0" borderId="64" applyNumberFormat="0" applyFill="0" applyAlignment="0" applyProtection="0">
      <alignment vertical="center"/>
    </xf>
    <xf numFmtId="0" fontId="35" fillId="0" borderId="64" applyNumberFormat="0" applyFill="0" applyAlignment="0" applyProtection="0">
      <alignment vertical="center"/>
    </xf>
    <xf numFmtId="0" fontId="35" fillId="0" borderId="64" applyNumberFormat="0" applyFill="0" applyAlignment="0" applyProtection="0">
      <alignment vertical="center"/>
    </xf>
    <xf numFmtId="0" fontId="35" fillId="0" borderId="64" applyNumberFormat="0" applyFill="0" applyAlignment="0" applyProtection="0">
      <alignment vertical="center"/>
    </xf>
    <xf numFmtId="0" fontId="35" fillId="0" borderId="64" applyNumberFormat="0" applyFill="0" applyAlignment="0" applyProtection="0">
      <alignment vertical="center"/>
    </xf>
    <xf numFmtId="177" fontId="35" fillId="0" borderId="64" applyNumberFormat="0" applyFill="0" applyAlignment="0" applyProtection="0">
      <alignment vertical="center"/>
    </xf>
    <xf numFmtId="0" fontId="35" fillId="0" borderId="64" applyNumberFormat="0" applyFill="0" applyAlignment="0" applyProtection="0">
      <alignment vertical="center"/>
    </xf>
    <xf numFmtId="0" fontId="35" fillId="0" borderId="64" applyNumberFormat="0" applyFill="0" applyAlignment="0" applyProtection="0">
      <alignment vertical="center"/>
    </xf>
    <xf numFmtId="0" fontId="35" fillId="0" borderId="64" applyNumberFormat="0" applyAlignment="0" applyProtection="0">
      <alignment vertical="center"/>
    </xf>
    <xf numFmtId="0" fontId="35" fillId="0" borderId="64" applyNumberFormat="0" applyAlignment="0" applyProtection="0">
      <alignment vertical="center"/>
    </xf>
    <xf numFmtId="0" fontId="35" fillId="0" borderId="64" applyNumberFormat="0" applyAlignment="0" applyProtection="0">
      <alignment vertical="center"/>
    </xf>
    <xf numFmtId="0" fontId="35" fillId="0" borderId="64" applyNumberFormat="0" applyAlignment="0" applyProtection="0">
      <alignment vertical="center"/>
    </xf>
    <xf numFmtId="0" fontId="35" fillId="0" borderId="64" applyNumberFormat="0" applyFill="0" applyAlignment="0" applyProtection="0">
      <alignment vertical="center"/>
    </xf>
    <xf numFmtId="176" fontId="18" fillId="0" borderId="0" applyFont="0" applyBorder="0" applyAlignment="0" applyProtection="0">
      <alignment vertical="center"/>
    </xf>
    <xf numFmtId="177" fontId="21" fillId="33" borderId="0" applyNumberFormat="0" applyBorder="0" applyAlignment="0" applyProtection="0">
      <alignment vertical="center"/>
    </xf>
    <xf numFmtId="177"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177"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0" fontId="21" fillId="33" borderId="0" applyNumberFormat="0" applyBorder="0" applyAlignment="0" applyProtection="0">
      <alignment vertical="center"/>
    </xf>
    <xf numFmtId="177" fontId="21" fillId="25" borderId="0" applyNumberFormat="0" applyBorder="0" applyAlignment="0" applyProtection="0">
      <alignment vertical="center"/>
    </xf>
    <xf numFmtId="0" fontId="21" fillId="25" borderId="0" applyNumberFormat="0" applyBorder="0" applyAlignment="0" applyProtection="0">
      <alignment vertical="center"/>
    </xf>
    <xf numFmtId="0" fontId="21" fillId="25" borderId="0" applyNumberFormat="0" applyBorder="0" applyAlignment="0" applyProtection="0">
      <alignment vertical="center"/>
    </xf>
    <xf numFmtId="0" fontId="21" fillId="25" borderId="0" applyNumberFormat="0" applyBorder="0" applyAlignment="0" applyProtection="0">
      <alignment vertical="center"/>
    </xf>
    <xf numFmtId="177" fontId="21" fillId="25" borderId="0" applyNumberFormat="0" applyBorder="0" applyAlignment="0" applyProtection="0">
      <alignment vertical="center"/>
    </xf>
    <xf numFmtId="0" fontId="21" fillId="25" borderId="0" applyNumberFormat="0" applyBorder="0" applyAlignment="0" applyProtection="0">
      <alignment vertical="center"/>
    </xf>
    <xf numFmtId="0" fontId="21" fillId="25" borderId="0" applyNumberFormat="0" applyBorder="0" applyAlignment="0" applyProtection="0">
      <alignment vertical="center"/>
    </xf>
    <xf numFmtId="0" fontId="21" fillId="25" borderId="0" applyNumberFormat="0" applyBorder="0" applyAlignment="0" applyProtection="0">
      <alignment vertical="center"/>
    </xf>
    <xf numFmtId="0" fontId="21" fillId="25" borderId="0" applyNumberFormat="0" applyBorder="0" applyAlignment="0" applyProtection="0">
      <alignment vertical="center"/>
    </xf>
    <xf numFmtId="177" fontId="21" fillId="19" borderId="0" applyNumberFormat="0" applyBorder="0" applyAlignment="0" applyProtection="0">
      <alignment vertical="center"/>
    </xf>
    <xf numFmtId="177" fontId="21" fillId="19" borderId="0" applyNumberFormat="0" applyBorder="0" applyAlignment="0" applyProtection="0">
      <alignment vertical="center"/>
    </xf>
    <xf numFmtId="0" fontId="21" fillId="19" borderId="0" applyNumberFormat="0" applyBorder="0" applyAlignment="0" applyProtection="0">
      <alignment vertical="center"/>
    </xf>
    <xf numFmtId="0" fontId="21" fillId="19" borderId="0" applyNumberFormat="0" applyBorder="0" applyAlignment="0" applyProtection="0">
      <alignment vertical="center"/>
    </xf>
    <xf numFmtId="0" fontId="21" fillId="19" borderId="0" applyNumberFormat="0" applyBorder="0" applyAlignment="0" applyProtection="0">
      <alignment vertical="center"/>
    </xf>
    <xf numFmtId="177" fontId="21" fillId="19" borderId="0" applyNumberFormat="0" applyBorder="0" applyAlignment="0" applyProtection="0">
      <alignment vertical="center"/>
    </xf>
    <xf numFmtId="0" fontId="21" fillId="19" borderId="0" applyNumberFormat="0" applyBorder="0" applyAlignment="0" applyProtection="0">
      <alignment vertical="center"/>
    </xf>
    <xf numFmtId="0" fontId="21" fillId="19" borderId="0" applyNumberFormat="0" applyBorder="0" applyAlignment="0" applyProtection="0">
      <alignment vertical="center"/>
    </xf>
    <xf numFmtId="0" fontId="21" fillId="19" borderId="0" applyNumberFormat="0" applyBorder="0" applyAlignment="0" applyProtection="0">
      <alignment vertical="center"/>
    </xf>
    <xf numFmtId="0" fontId="21" fillId="19" borderId="0" applyNumberFormat="0" applyBorder="0" applyAlignment="0" applyProtection="0">
      <alignment vertical="center"/>
    </xf>
    <xf numFmtId="177" fontId="21" fillId="22" borderId="0" applyNumberFormat="0" applyBorder="0" applyAlignment="0" applyProtection="0">
      <alignment vertical="center"/>
    </xf>
    <xf numFmtId="177"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177"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0" fontId="21" fillId="22" borderId="0" applyNumberFormat="0" applyBorder="0" applyAlignment="0" applyProtection="0">
      <alignment vertical="center"/>
    </xf>
    <xf numFmtId="177" fontId="21" fillId="20" borderId="0" applyNumberFormat="0" applyBorder="0" applyAlignment="0" applyProtection="0">
      <alignment vertical="center"/>
    </xf>
    <xf numFmtId="177"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177"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20" borderId="0" applyNumberFormat="0" applyBorder="0" applyAlignment="0" applyProtection="0">
      <alignment vertical="center"/>
    </xf>
    <xf numFmtId="0" fontId="21" fillId="32" borderId="0" applyNumberFormat="0" applyBorder="0" applyAlignment="0" applyProtection="0">
      <alignment vertical="center"/>
    </xf>
    <xf numFmtId="0" fontId="21" fillId="32" borderId="0" applyNumberFormat="0" applyBorder="0" applyAlignment="0" applyProtection="0">
      <alignment vertical="center"/>
    </xf>
    <xf numFmtId="0" fontId="21" fillId="32" borderId="0" applyNumberFormat="0" applyBorder="0" applyAlignment="0" applyProtection="0">
      <alignment vertical="center"/>
    </xf>
    <xf numFmtId="0" fontId="21" fillId="32" borderId="0" applyNumberFormat="0" applyBorder="0" applyAlignment="0" applyProtection="0">
      <alignment vertical="center"/>
    </xf>
    <xf numFmtId="177" fontId="21" fillId="32" borderId="0" applyNumberFormat="0" applyBorder="0" applyAlignment="0" applyProtection="0">
      <alignment vertical="center"/>
    </xf>
    <xf numFmtId="0" fontId="21" fillId="32" borderId="0" applyNumberFormat="0" applyBorder="0" applyAlignment="0" applyProtection="0">
      <alignment vertical="center"/>
    </xf>
    <xf numFmtId="0" fontId="21" fillId="32" borderId="0" applyNumberFormat="0" applyBorder="0" applyAlignment="0" applyProtection="0">
      <alignment vertical="center"/>
    </xf>
    <xf numFmtId="177" fontId="40" fillId="35" borderId="0" applyNumberFormat="0" applyBorder="0" applyAlignment="0" applyProtection="0">
      <alignment vertical="center"/>
    </xf>
    <xf numFmtId="177"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177"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0" fontId="40" fillId="35" borderId="0" applyNumberFormat="0" applyBorder="0" applyAlignment="0" applyProtection="0">
      <alignment vertical="center"/>
    </xf>
    <xf numFmtId="177" fontId="37" fillId="34" borderId="65" applyNumberFormat="0" applyAlignment="0" applyProtection="0">
      <alignment vertical="center"/>
    </xf>
    <xf numFmtId="177"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177"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0" fontId="37" fillId="34" borderId="65" applyNumberFormat="0" applyAlignment="0" applyProtection="0">
      <alignment vertical="center"/>
    </xf>
    <xf numFmtId="177" fontId="33" fillId="30" borderId="62" applyNumberFormat="0" applyAlignment="0" applyProtection="0">
      <alignment vertical="center"/>
    </xf>
    <xf numFmtId="177"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177"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0" fontId="33" fillId="30" borderId="62" applyNumberFormat="0" applyAlignment="0" applyProtection="0">
      <alignment vertical="center"/>
    </xf>
    <xf numFmtId="177" fontId="19" fillId="0" borderId="0"/>
    <xf numFmtId="0" fontId="19" fillId="0" borderId="0"/>
    <xf numFmtId="0" fontId="23" fillId="28" borderId="60" applyNumberFormat="0" applyFont="0" applyAlignment="0" applyProtection="0">
      <alignment vertical="center"/>
    </xf>
    <xf numFmtId="0" fontId="23" fillId="28" borderId="60" applyNumberFormat="0" applyFont="0" applyAlignment="0" applyProtection="0">
      <alignment vertical="center"/>
    </xf>
    <xf numFmtId="0" fontId="23" fillId="28" borderId="60" applyNumberFormat="0" applyFont="0" applyAlignment="0" applyProtection="0">
      <alignment vertical="center"/>
    </xf>
    <xf numFmtId="177" fontId="23" fillId="28" borderId="60" applyNumberFormat="0" applyFont="0" applyAlignment="0" applyProtection="0">
      <alignment vertical="center"/>
    </xf>
    <xf numFmtId="0" fontId="23" fillId="28" borderId="60" applyNumberFormat="0" applyFont="0" applyAlignment="0" applyProtection="0">
      <alignment vertical="center"/>
    </xf>
    <xf numFmtId="0" fontId="23" fillId="28" borderId="60" applyNumberFormat="0" applyFont="0" applyAlignment="0" applyProtection="0">
      <alignment vertical="center"/>
    </xf>
    <xf numFmtId="0" fontId="23" fillId="28" borderId="60" applyNumberFormat="0" applyFont="0" applyAlignment="0" applyProtection="0">
      <alignment vertical="center"/>
    </xf>
  </cellStyleXfs>
  <cellXfs count="422">
    <xf numFmtId="0" fontId="0" fillId="0" borderId="0" xfId="0"/>
    <xf numFmtId="0" fontId="0" fillId="0" borderId="5" xfId="2273" applyFont="1" applyBorder="1" applyAlignment="1">
      <alignment vertical="center"/>
    </xf>
    <xf numFmtId="0" fontId="3" fillId="2" borderId="5" xfId="15636" applyFont="1" applyFill="1" applyBorder="1" applyAlignment="1"/>
    <xf numFmtId="0" fontId="3" fillId="2" borderId="5" xfId="15636" applyFont="1" applyFill="1" applyBorder="1" applyAlignment="1">
      <alignment horizontal="center" vertical="center"/>
    </xf>
    <xf numFmtId="14" fontId="3" fillId="2" borderId="5" xfId="15636" applyNumberFormat="1" applyFont="1" applyFill="1" applyBorder="1" applyAlignment="1"/>
    <xf numFmtId="0" fontId="2" fillId="2" borderId="5" xfId="48716" applyFont="1" applyFill="1" applyBorder="1"/>
    <xf numFmtId="0" fontId="2" fillId="2" borderId="5" xfId="48716" applyFont="1" applyFill="1" applyBorder="1" applyAlignment="1">
      <alignment horizontal="center" vertical="center"/>
    </xf>
    <xf numFmtId="0" fontId="3" fillId="2" borderId="5" xfId="15636" applyFont="1" applyFill="1" applyBorder="1"/>
    <xf numFmtId="0" fontId="2" fillId="2" borderId="6" xfId="48716" applyFont="1" applyFill="1" applyBorder="1" applyAlignment="1">
      <alignment horizontal="center"/>
    </xf>
    <xf numFmtId="0" fontId="2" fillId="2" borderId="6" xfId="48716" applyFont="1" applyFill="1" applyBorder="1" applyAlignment="1">
      <alignment horizontal="center" vertical="center"/>
    </xf>
    <xf numFmtId="0" fontId="2" fillId="2" borderId="6" xfId="48716" applyFont="1" applyFill="1" applyBorder="1"/>
    <xf numFmtId="0" fontId="2" fillId="2" borderId="7" xfId="48716" applyFont="1" applyFill="1" applyBorder="1" applyAlignment="1">
      <alignment vertical="center"/>
    </xf>
    <xf numFmtId="0" fontId="6" fillId="4" borderId="1" xfId="48716" applyFont="1" applyFill="1" applyBorder="1" applyAlignment="1">
      <alignment horizontal="center" vertical="center" wrapText="1"/>
    </xf>
    <xf numFmtId="0" fontId="7" fillId="4" borderId="1" xfId="48716" applyFont="1" applyFill="1" applyBorder="1" applyAlignment="1">
      <alignment horizontal="center" vertical="center" wrapText="1"/>
    </xf>
    <xf numFmtId="0" fontId="2" fillId="2" borderId="8" xfId="48716" applyFont="1" applyFill="1" applyBorder="1" applyAlignment="1">
      <alignment vertical="center"/>
    </xf>
    <xf numFmtId="0" fontId="2" fillId="2" borderId="7" xfId="48716" applyFont="1" applyFill="1" applyBorder="1"/>
    <xf numFmtId="14" fontId="4" fillId="2" borderId="1" xfId="48717" applyNumberFormat="1" applyFont="1" applyFill="1" applyBorder="1" applyAlignment="1">
      <alignment horizontal="left" vertical="top" wrapText="1"/>
    </xf>
    <xf numFmtId="0" fontId="2" fillId="2" borderId="1" xfId="48716" applyFont="1" applyFill="1" applyBorder="1" applyAlignment="1">
      <alignment horizontal="center" vertical="center"/>
    </xf>
    <xf numFmtId="0" fontId="2" fillId="2" borderId="8" xfId="48716" applyFont="1" applyFill="1" applyBorder="1"/>
    <xf numFmtId="0" fontId="10" fillId="0" borderId="1" xfId="70" applyBorder="1" applyAlignment="1">
      <alignment horizontal="center" vertical="center"/>
    </xf>
    <xf numFmtId="14" fontId="2" fillId="2" borderId="1" xfId="48717" applyNumberFormat="1" applyFont="1" applyFill="1" applyBorder="1" applyAlignment="1">
      <alignment horizontal="left" vertical="top" wrapText="1"/>
    </xf>
    <xf numFmtId="0" fontId="4" fillId="2" borderId="1" xfId="48716" applyFont="1" applyFill="1" applyBorder="1" applyAlignment="1">
      <alignment horizontal="center" vertical="center"/>
    </xf>
    <xf numFmtId="0" fontId="10" fillId="2" borderId="1" xfId="70" applyFill="1" applyBorder="1" applyAlignment="1">
      <alignment horizontal="center" vertical="center" wrapText="1"/>
    </xf>
    <xf numFmtId="0" fontId="9" fillId="2" borderId="1" xfId="70" applyFont="1" applyFill="1" applyBorder="1" applyAlignment="1">
      <alignment horizontal="center" vertical="center" wrapText="1"/>
    </xf>
    <xf numFmtId="0" fontId="2" fillId="2" borderId="1" xfId="70" applyFont="1" applyFill="1" applyBorder="1" applyAlignment="1">
      <alignment horizontal="center" vertical="center" wrapText="1"/>
    </xf>
    <xf numFmtId="0" fontId="0" fillId="0" borderId="7" xfId="0" applyFont="1" applyBorder="1"/>
    <xf numFmtId="0" fontId="0" fillId="0" borderId="8" xfId="0" applyFont="1" applyBorder="1"/>
    <xf numFmtId="0" fontId="0" fillId="0" borderId="11" xfId="0" applyFont="1" applyBorder="1"/>
    <xf numFmtId="0" fontId="0" fillId="0" borderId="11" xfId="0" applyFon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top"/>
    </xf>
    <xf numFmtId="0" fontId="4" fillId="11" borderId="24" xfId="0" applyFont="1" applyFill="1" applyBorder="1" applyAlignment="1">
      <alignment horizontal="center" vertical="top" wrapText="1"/>
    </xf>
    <xf numFmtId="0" fontId="4" fillId="11" borderId="25" xfId="0" applyFont="1" applyFill="1" applyBorder="1" applyAlignment="1">
      <alignment horizontal="center" vertical="top" wrapText="1"/>
    </xf>
    <xf numFmtId="0" fontId="4" fillId="11" borderId="23" xfId="0" applyFont="1" applyFill="1" applyBorder="1" applyAlignment="1">
      <alignment horizontal="center" vertical="top" wrapText="1"/>
    </xf>
    <xf numFmtId="0" fontId="4" fillId="11" borderId="44" xfId="0" applyFont="1" applyFill="1" applyBorder="1" applyAlignment="1">
      <alignment horizontal="center" vertical="top" wrapText="1"/>
    </xf>
    <xf numFmtId="0" fontId="4" fillId="11" borderId="32" xfId="0" applyFont="1" applyFill="1" applyBorder="1" applyAlignment="1">
      <alignment horizontal="center" vertical="top" wrapText="1"/>
    </xf>
    <xf numFmtId="0" fontId="4" fillId="11" borderId="34" xfId="0" applyFont="1" applyFill="1" applyBorder="1" applyAlignment="1">
      <alignment horizontal="center" vertical="top" wrapText="1"/>
    </xf>
    <xf numFmtId="0" fontId="0" fillId="0" borderId="0" xfId="0" applyAlignment="1">
      <alignment horizontal="center" vertical="center"/>
    </xf>
    <xf numFmtId="0" fontId="0" fillId="0" borderId="0" xfId="0" applyAlignment="1">
      <alignment horizontal="center"/>
    </xf>
    <xf numFmtId="0" fontId="2" fillId="0" borderId="32" xfId="0" applyFont="1" applyBorder="1" applyAlignment="1">
      <alignment vertical="top" wrapText="1"/>
    </xf>
    <xf numFmtId="0" fontId="4" fillId="0" borderId="19" xfId="0" applyFont="1" applyBorder="1" applyAlignment="1">
      <alignment vertical="top" wrapText="1"/>
    </xf>
    <xf numFmtId="0" fontId="6" fillId="13" borderId="0" xfId="0" applyNumberFormat="1" applyFont="1" applyFill="1" applyAlignment="1">
      <alignment horizontal="center" vertical="center"/>
    </xf>
    <xf numFmtId="0" fontId="2" fillId="13" borderId="0" xfId="0" applyNumberFormat="1" applyFont="1" applyFill="1" applyAlignment="1">
      <alignment horizontal="center" vertical="center"/>
    </xf>
    <xf numFmtId="0" fontId="2" fillId="0" borderId="0" xfId="0" applyFont="1"/>
    <xf numFmtId="0" fontId="2" fillId="0" borderId="0" xfId="0" applyFont="1" applyAlignment="1">
      <alignment horizontal="center"/>
    </xf>
    <xf numFmtId="0" fontId="5" fillId="0" borderId="0" xfId="0" applyFont="1"/>
    <xf numFmtId="0" fontId="13" fillId="0" borderId="26" xfId="0" applyFont="1" applyBorder="1" applyAlignment="1">
      <alignment horizontal="center"/>
    </xf>
    <xf numFmtId="0" fontId="4" fillId="0" borderId="32" xfId="0" applyFont="1" applyBorder="1" applyAlignment="1">
      <alignment vertical="top" wrapText="1"/>
    </xf>
    <xf numFmtId="0" fontId="13" fillId="0" borderId="37" xfId="0" applyFont="1" applyBorder="1" applyAlignment="1">
      <alignment horizontal="center"/>
    </xf>
    <xf numFmtId="0" fontId="4" fillId="0" borderId="35" xfId="0" applyFont="1" applyBorder="1" applyAlignment="1">
      <alignment vertical="top" wrapText="1"/>
    </xf>
    <xf numFmtId="1" fontId="2" fillId="10" borderId="10" xfId="0" applyNumberFormat="1" applyFont="1" applyFill="1" applyBorder="1" applyAlignment="1">
      <alignment horizontal="center" vertical="center"/>
    </xf>
    <xf numFmtId="0" fontId="2" fillId="0" borderId="49" xfId="0" applyFont="1" applyBorder="1" applyAlignment="1">
      <alignment horizontal="left" wrapText="1"/>
    </xf>
    <xf numFmtId="0" fontId="2" fillId="0" borderId="0" xfId="0" applyNumberFormat="1" applyFont="1" applyAlignment="1">
      <alignment wrapText="1"/>
    </xf>
    <xf numFmtId="0" fontId="4" fillId="0" borderId="32" xfId="0" applyFont="1" applyFill="1" applyBorder="1" applyAlignment="1">
      <alignment horizontal="center" vertical="top" wrapText="1"/>
    </xf>
    <xf numFmtId="0" fontId="2" fillId="37" borderId="0" xfId="0" applyNumberFormat="1" applyFont="1" applyFill="1" applyAlignment="1">
      <alignment horizontal="center" vertical="center"/>
    </xf>
    <xf numFmtId="0" fontId="2" fillId="2" borderId="1" xfId="48716" applyFont="1" applyFill="1" applyBorder="1" applyAlignment="1">
      <alignment horizontal="center" vertical="center" wrapText="1"/>
    </xf>
    <xf numFmtId="0" fontId="0" fillId="38" borderId="0" xfId="0" applyFill="1" applyAlignment="1">
      <alignment horizontal="center"/>
    </xf>
    <xf numFmtId="0" fontId="0" fillId="0" borderId="28" xfId="0" applyFill="1" applyBorder="1" applyAlignment="1">
      <alignment horizontal="center" vertical="top" wrapText="1"/>
    </xf>
    <xf numFmtId="0" fontId="0" fillId="0" borderId="26" xfId="0" applyFill="1" applyBorder="1" applyAlignment="1">
      <alignment horizontal="left" vertical="top" wrapText="1"/>
    </xf>
    <xf numFmtId="14" fontId="0" fillId="0" borderId="26" xfId="0" applyNumberFormat="1" applyFill="1" applyBorder="1" applyAlignment="1">
      <alignment horizontal="left" vertical="top" wrapText="1"/>
    </xf>
    <xf numFmtId="1" fontId="0" fillId="10" borderId="10" xfId="0" applyNumberFormat="1" applyFill="1" applyBorder="1" applyAlignment="1">
      <alignment horizontal="center" vertical="top"/>
    </xf>
    <xf numFmtId="1" fontId="0" fillId="10" borderId="53" xfId="0" applyNumberFormat="1" applyFill="1" applyBorder="1" applyAlignment="1">
      <alignment horizontal="center" vertical="top"/>
    </xf>
    <xf numFmtId="0" fontId="0" fillId="8" borderId="23" xfId="0" applyFont="1" applyFill="1" applyBorder="1" applyAlignment="1">
      <alignment horizontal="center" vertical="top" wrapText="1"/>
    </xf>
    <xf numFmtId="0" fontId="0" fillId="8" borderId="24" xfId="0" applyFont="1" applyFill="1" applyBorder="1" applyAlignment="1">
      <alignment horizontal="center" vertical="top" wrapText="1"/>
    </xf>
    <xf numFmtId="0" fontId="0" fillId="8" borderId="25" xfId="0" applyFont="1" applyFill="1" applyBorder="1" applyAlignment="1">
      <alignment horizontal="center" vertical="top" wrapText="1"/>
    </xf>
    <xf numFmtId="1" fontId="2" fillId="10" borderId="1" xfId="0" applyNumberFormat="1" applyFont="1" applyFill="1" applyBorder="1" applyAlignment="1">
      <alignment horizontal="center" vertical="center"/>
    </xf>
    <xf numFmtId="0" fontId="0" fillId="0" borderId="0" xfId="0" applyAlignment="1">
      <alignment vertical="center" wrapText="1"/>
    </xf>
    <xf numFmtId="0" fontId="28" fillId="7" borderId="32" xfId="0" applyFont="1" applyFill="1" applyBorder="1" applyAlignment="1">
      <alignment vertical="top" wrapText="1"/>
    </xf>
    <xf numFmtId="1" fontId="0" fillId="10" borderId="12" xfId="0" applyNumberFormat="1" applyFill="1" applyBorder="1" applyAlignment="1">
      <alignment horizontal="center" vertical="top"/>
    </xf>
    <xf numFmtId="0" fontId="0" fillId="8" borderId="44" xfId="0" applyFont="1" applyFill="1" applyBorder="1" applyAlignment="1">
      <alignment horizontal="center" vertical="top" wrapText="1"/>
    </xf>
    <xf numFmtId="0" fontId="0" fillId="6" borderId="54" xfId="0" applyNumberFormat="1" applyFill="1" applyBorder="1" applyAlignment="1">
      <alignment horizontal="center" vertical="top"/>
    </xf>
    <xf numFmtId="0" fontId="0" fillId="6" borderId="10" xfId="0" applyNumberFormat="1" applyFill="1" applyBorder="1" applyAlignment="1">
      <alignment horizontal="center" vertical="top"/>
    </xf>
    <xf numFmtId="1" fontId="0" fillId="6" borderId="10" xfId="0" applyNumberFormat="1" applyFill="1" applyBorder="1" applyAlignment="1">
      <alignment horizontal="center" vertical="top"/>
    </xf>
    <xf numFmtId="1" fontId="0" fillId="6" borderId="53" xfId="0" applyNumberFormat="1" applyFill="1" applyBorder="1" applyAlignment="1">
      <alignment horizontal="center" vertical="top"/>
    </xf>
    <xf numFmtId="0" fontId="0" fillId="6" borderId="54" xfId="0" applyFill="1" applyBorder="1" applyAlignment="1">
      <alignment horizontal="center" vertical="top"/>
    </xf>
    <xf numFmtId="0" fontId="0" fillId="6" borderId="10" xfId="0" applyFill="1" applyBorder="1" applyAlignment="1">
      <alignment horizontal="center" vertical="top"/>
    </xf>
    <xf numFmtId="0" fontId="0" fillId="6" borderId="53" xfId="0" applyFill="1" applyBorder="1" applyAlignment="1">
      <alignment horizontal="center" vertical="top"/>
    </xf>
    <xf numFmtId="0" fontId="0" fillId="8" borderId="13" xfId="0" applyFont="1" applyFill="1" applyBorder="1" applyAlignment="1">
      <alignment horizontal="center" vertical="top" wrapText="1"/>
    </xf>
    <xf numFmtId="0" fontId="0" fillId="0" borderId="52" xfId="0" applyFill="1" applyBorder="1" applyAlignment="1">
      <alignment horizontal="center" vertical="top" wrapText="1"/>
    </xf>
    <xf numFmtId="0" fontId="0" fillId="0" borderId="54" xfId="0" applyFill="1" applyBorder="1" applyAlignment="1">
      <alignment horizontal="left" vertical="top" wrapText="1"/>
    </xf>
    <xf numFmtId="14" fontId="50" fillId="8" borderId="23" xfId="70" applyNumberFormat="1" applyFont="1" applyFill="1" applyBorder="1" applyAlignment="1">
      <alignment horizontal="center" vertical="center" wrapText="1"/>
    </xf>
    <xf numFmtId="14" fontId="9" fillId="8" borderId="25" xfId="70" applyNumberFormat="1" applyFont="1" applyFill="1" applyBorder="1" applyAlignment="1">
      <alignment horizontal="center" vertical="center" wrapText="1"/>
    </xf>
    <xf numFmtId="0" fontId="8" fillId="0" borderId="55" xfId="0" applyFont="1" applyFill="1" applyBorder="1" applyAlignment="1">
      <alignment horizontal="center" vertical="top" wrapText="1"/>
    </xf>
    <xf numFmtId="0" fontId="8" fillId="0" borderId="4" xfId="0" applyFont="1" applyFill="1" applyBorder="1" applyAlignment="1">
      <alignment horizontal="center" vertical="top" wrapText="1"/>
    </xf>
    <xf numFmtId="0" fontId="0" fillId="0" borderId="4" xfId="0" applyFill="1" applyBorder="1" applyAlignment="1">
      <alignment horizontal="center" vertical="top" wrapText="1"/>
    </xf>
    <xf numFmtId="0" fontId="0" fillId="0" borderId="34" xfId="0" applyFill="1" applyBorder="1" applyAlignment="1">
      <alignment horizontal="center" vertical="top" wrapText="1"/>
    </xf>
    <xf numFmtId="0" fontId="8" fillId="7" borderId="32" xfId="0" applyFont="1" applyFill="1" applyBorder="1" applyAlignment="1">
      <alignment vertical="top" wrapText="1"/>
    </xf>
    <xf numFmtId="0" fontId="28" fillId="0" borderId="0" xfId="0" applyFont="1"/>
    <xf numFmtId="9" fontId="2" fillId="37" borderId="0" xfId="0" applyNumberFormat="1" applyFont="1" applyFill="1" applyAlignment="1">
      <alignment horizontal="center" vertical="center"/>
    </xf>
    <xf numFmtId="179" fontId="2" fillId="36" borderId="15" xfId="0" applyNumberFormat="1" applyFont="1" applyFill="1" applyBorder="1" applyAlignment="1">
      <alignment horizontal="center" vertical="center"/>
    </xf>
    <xf numFmtId="179" fontId="2" fillId="36" borderId="18" xfId="0" applyNumberFormat="1" applyFont="1" applyFill="1" applyBorder="1" applyAlignment="1">
      <alignment horizontal="center" vertical="center"/>
    </xf>
    <xf numFmtId="178" fontId="2" fillId="37" borderId="0" xfId="0" applyNumberFormat="1" applyFont="1" applyFill="1" applyAlignment="1">
      <alignment horizontal="center" vertical="center"/>
    </xf>
    <xf numFmtId="0" fontId="11" fillId="6" borderId="20" xfId="0" applyFont="1" applyFill="1" applyBorder="1" applyAlignment="1">
      <alignment horizontal="center" vertical="center" wrapText="1"/>
    </xf>
    <xf numFmtId="0" fontId="11" fillId="6" borderId="2" xfId="0" applyFont="1" applyFill="1" applyBorder="1" applyAlignment="1">
      <alignment horizontal="center" vertical="center" wrapText="1"/>
    </xf>
    <xf numFmtId="10" fontId="28" fillId="6" borderId="1" xfId="0" applyNumberFormat="1" applyFont="1" applyFill="1" applyBorder="1" applyAlignment="1">
      <alignment horizontal="center" vertical="center"/>
    </xf>
    <xf numFmtId="2" fontId="28" fillId="10" borderId="26" xfId="0" applyNumberFormat="1" applyFont="1" applyFill="1" applyBorder="1" applyAlignment="1">
      <alignment horizontal="center" vertical="center"/>
    </xf>
    <xf numFmtId="2" fontId="28" fillId="10" borderId="1" xfId="0" applyNumberFormat="1" applyFont="1" applyFill="1" applyBorder="1" applyAlignment="1">
      <alignment horizontal="center" vertical="center"/>
    </xf>
    <xf numFmtId="178" fontId="2" fillId="13" borderId="0" xfId="0" applyNumberFormat="1" applyFont="1" applyFill="1" applyAlignment="1">
      <alignment horizontal="center" vertical="center"/>
    </xf>
    <xf numFmtId="0" fontId="28" fillId="0" borderId="0" xfId="0" applyFont="1" applyAlignment="1">
      <alignment horizontal="center"/>
    </xf>
    <xf numFmtId="0" fontId="14" fillId="9" borderId="1" xfId="0" applyFont="1" applyFill="1" applyBorder="1" applyAlignment="1">
      <alignment horizontal="center" vertical="center" wrapText="1"/>
    </xf>
    <xf numFmtId="0" fontId="14" fillId="9" borderId="26" xfId="0" applyFont="1" applyFill="1" applyBorder="1" applyAlignment="1">
      <alignment horizontal="center" vertical="center" wrapText="1"/>
    </xf>
    <xf numFmtId="0" fontId="14" fillId="9" borderId="27" xfId="0" applyFont="1" applyFill="1" applyBorder="1" applyAlignment="1">
      <alignment horizontal="center" vertical="center" wrapText="1"/>
    </xf>
    <xf numFmtId="0" fontId="50" fillId="8" borderId="13" xfId="0" applyNumberFormat="1" applyFont="1" applyFill="1" applyBorder="1" applyAlignment="1">
      <alignment horizontal="center" vertical="center" wrapText="1"/>
    </xf>
    <xf numFmtId="179" fontId="2" fillId="36" borderId="33" xfId="0" applyNumberFormat="1" applyFont="1" applyFill="1" applyBorder="1" applyAlignment="1">
      <alignment horizontal="center" vertical="center"/>
    </xf>
    <xf numFmtId="10" fontId="28" fillId="6" borderId="18" xfId="0" applyNumberFormat="1" applyFont="1" applyFill="1" applyBorder="1" applyAlignment="1">
      <alignment horizontal="center" vertical="center"/>
    </xf>
    <xf numFmtId="2" fontId="28" fillId="10" borderId="27" xfId="0" applyNumberFormat="1" applyFont="1" applyFill="1" applyBorder="1" applyAlignment="1">
      <alignment horizontal="center" vertical="center"/>
    </xf>
    <xf numFmtId="0" fontId="4" fillId="11" borderId="70" xfId="0" applyFont="1" applyFill="1" applyBorder="1" applyAlignment="1">
      <alignment horizontal="center" vertical="top" wrapText="1"/>
    </xf>
    <xf numFmtId="14" fontId="9" fillId="8" borderId="23" xfId="70" applyNumberFormat="1" applyFont="1" applyFill="1" applyBorder="1" applyAlignment="1">
      <alignment horizontal="center" vertical="center" wrapText="1"/>
    </xf>
    <xf numFmtId="0" fontId="0" fillId="8" borderId="14" xfId="0" applyFont="1" applyFill="1" applyBorder="1" applyAlignment="1">
      <alignment horizontal="center" vertical="top" wrapText="1"/>
    </xf>
    <xf numFmtId="0" fontId="0" fillId="0" borderId="70" xfId="0" applyFill="1" applyBorder="1" applyAlignment="1">
      <alignment horizontal="left" vertical="top" wrapText="1"/>
    </xf>
    <xf numFmtId="0" fontId="28" fillId="0" borderId="17" xfId="0" applyFont="1" applyBorder="1" applyAlignment="1">
      <alignment horizontal="center"/>
    </xf>
    <xf numFmtId="0" fontId="28" fillId="0" borderId="28" xfId="0" applyFont="1" applyBorder="1" applyAlignment="1">
      <alignment horizontal="center"/>
    </xf>
    <xf numFmtId="0" fontId="28" fillId="0" borderId="69" xfId="0" applyFont="1" applyBorder="1" applyAlignment="1">
      <alignment horizontal="center"/>
    </xf>
    <xf numFmtId="0" fontId="4" fillId="0" borderId="70" xfId="0" applyFont="1" applyBorder="1" applyAlignment="1">
      <alignment vertical="top" wrapText="1"/>
    </xf>
    <xf numFmtId="0" fontId="4" fillId="0" borderId="34" xfId="0" applyFont="1" applyBorder="1" applyAlignment="1">
      <alignment vertical="top" wrapText="1"/>
    </xf>
    <xf numFmtId="1" fontId="2" fillId="36" borderId="1" xfId="0" applyNumberFormat="1" applyFont="1" applyFill="1" applyBorder="1" applyAlignment="1">
      <alignment horizontal="center" vertical="center"/>
    </xf>
    <xf numFmtId="1" fontId="2" fillId="36" borderId="26" xfId="0" applyNumberFormat="1" applyFont="1" applyFill="1" applyBorder="1" applyAlignment="1">
      <alignment horizontal="center" vertical="center"/>
    </xf>
    <xf numFmtId="1" fontId="2" fillId="36" borderId="70" xfId="0" applyNumberFormat="1" applyFont="1" applyFill="1" applyBorder="1" applyAlignment="1">
      <alignment horizontal="center" vertical="center"/>
    </xf>
    <xf numFmtId="1" fontId="2" fillId="36" borderId="4" xfId="0" applyNumberFormat="1" applyFont="1" applyFill="1" applyBorder="1" applyAlignment="1">
      <alignment horizontal="center" vertical="center"/>
    </xf>
    <xf numFmtId="1" fontId="2" fillId="36" borderId="34" xfId="0" applyNumberFormat="1" applyFont="1" applyFill="1" applyBorder="1" applyAlignment="1">
      <alignment horizontal="center" vertical="center"/>
    </xf>
    <xf numFmtId="1" fontId="2" fillId="36" borderId="32" xfId="0" applyNumberFormat="1" applyFont="1" applyFill="1" applyBorder="1" applyAlignment="1">
      <alignment horizontal="center" vertical="center"/>
    </xf>
    <xf numFmtId="1" fontId="2" fillId="36" borderId="54" xfId="0" applyNumberFormat="1" applyFont="1" applyFill="1" applyBorder="1" applyAlignment="1">
      <alignment horizontal="center" vertical="center"/>
    </xf>
    <xf numFmtId="1" fontId="2" fillId="36" borderId="55" xfId="0" applyNumberFormat="1" applyFont="1" applyFill="1" applyBorder="1" applyAlignment="1">
      <alignment horizontal="center" vertical="center"/>
    </xf>
    <xf numFmtId="1" fontId="2" fillId="36" borderId="10" xfId="0" applyNumberFormat="1" applyFont="1" applyFill="1" applyBorder="1" applyAlignment="1">
      <alignment horizontal="center" vertical="center"/>
    </xf>
    <xf numFmtId="14" fontId="8" fillId="7" borderId="32" xfId="0" applyNumberFormat="1" applyFont="1" applyFill="1" applyBorder="1" applyAlignment="1">
      <alignment vertical="top" wrapText="1"/>
    </xf>
    <xf numFmtId="0" fontId="4" fillId="0" borderId="34" xfId="0" applyFont="1" applyFill="1" applyBorder="1" applyAlignment="1">
      <alignment vertical="top" wrapText="1"/>
    </xf>
    <xf numFmtId="0" fontId="2" fillId="0" borderId="26" xfId="0" applyFont="1" applyBorder="1" applyAlignment="1">
      <alignment horizontal="center" vertical="center" wrapText="1"/>
    </xf>
    <xf numFmtId="0" fontId="2" fillId="0" borderId="1" xfId="0" applyFont="1" applyBorder="1" applyAlignment="1">
      <alignment horizontal="center" vertical="center" wrapText="1"/>
    </xf>
    <xf numFmtId="0" fontId="2" fillId="0" borderId="4" xfId="0" applyFont="1" applyBorder="1" applyAlignment="1">
      <alignment horizontal="center" vertical="center" wrapText="1"/>
    </xf>
    <xf numFmtId="0" fontId="2" fillId="0" borderId="27" xfId="0" applyFont="1" applyBorder="1" applyAlignment="1">
      <alignment horizontal="center" vertical="center" wrapText="1"/>
    </xf>
    <xf numFmtId="0" fontId="2" fillId="0" borderId="37" xfId="0" applyFont="1" applyBorder="1" applyAlignment="1">
      <alignment horizontal="center" vertical="center" wrapText="1"/>
    </xf>
    <xf numFmtId="0" fontId="28" fillId="0" borderId="54" xfId="0" applyFont="1" applyBorder="1" applyAlignment="1">
      <alignment horizontal="center" vertical="center"/>
    </xf>
    <xf numFmtId="0" fontId="28" fillId="0" borderId="10" xfId="0" applyFont="1" applyBorder="1" applyAlignment="1">
      <alignment horizontal="center" vertical="center"/>
    </xf>
    <xf numFmtId="0" fontId="28" fillId="0" borderId="26" xfId="0" applyFont="1" applyBorder="1" applyAlignment="1">
      <alignment horizontal="center" vertical="center"/>
    </xf>
    <xf numFmtId="0" fontId="28" fillId="0" borderId="1" xfId="0" applyFont="1" applyBorder="1" applyAlignment="1">
      <alignment horizontal="center" vertical="center"/>
    </xf>
    <xf numFmtId="0" fontId="28" fillId="0" borderId="70" xfId="0" applyFont="1" applyBorder="1" applyAlignment="1">
      <alignment horizontal="center" vertical="center"/>
    </xf>
    <xf numFmtId="0" fontId="28" fillId="0" borderId="32" xfId="0" applyFont="1" applyBorder="1" applyAlignment="1">
      <alignment horizontal="center" vertical="center"/>
    </xf>
    <xf numFmtId="0" fontId="4" fillId="8" borderId="40" xfId="70" applyNumberFormat="1" applyFont="1" applyFill="1" applyBorder="1" applyAlignment="1">
      <alignment horizontal="center" vertical="center" wrapText="1"/>
    </xf>
    <xf numFmtId="0" fontId="28" fillId="7" borderId="55" xfId="0" applyFont="1" applyFill="1" applyBorder="1" applyAlignment="1">
      <alignment horizontal="center" vertical="center"/>
    </xf>
    <xf numFmtId="0" fontId="28" fillId="7" borderId="4" xfId="0" applyFont="1" applyFill="1" applyBorder="1" applyAlignment="1">
      <alignment horizontal="center" vertical="center"/>
    </xf>
    <xf numFmtId="0" fontId="28" fillId="7" borderId="34" xfId="0" applyFont="1" applyFill="1" applyBorder="1" applyAlignment="1">
      <alignment horizontal="center" vertical="center"/>
    </xf>
    <xf numFmtId="14" fontId="50" fillId="8" borderId="14" xfId="70" applyNumberFormat="1" applyFont="1" applyFill="1" applyBorder="1" applyAlignment="1">
      <alignment horizontal="center" vertical="center" wrapText="1"/>
    </xf>
    <xf numFmtId="0" fontId="14" fillId="10" borderId="0" xfId="0" applyFont="1" applyFill="1" applyBorder="1" applyAlignment="1">
      <alignment horizontal="center" vertical="center" wrapText="1"/>
    </xf>
    <xf numFmtId="0" fontId="0" fillId="0" borderId="0" xfId="0" applyBorder="1" applyAlignment="1">
      <alignment horizontal="center"/>
    </xf>
    <xf numFmtId="0" fontId="0" fillId="0" borderId="0" xfId="0" applyBorder="1"/>
    <xf numFmtId="0" fontId="14" fillId="11" borderId="30" xfId="0" applyFont="1" applyFill="1" applyBorder="1" applyAlignment="1">
      <alignment horizontal="center" vertical="center"/>
    </xf>
    <xf numFmtId="0" fontId="14" fillId="11" borderId="66" xfId="0" applyFont="1" applyFill="1" applyBorder="1" applyAlignment="1">
      <alignment horizontal="center" vertical="center"/>
    </xf>
    <xf numFmtId="0" fontId="0" fillId="0" borderId="69" xfId="0" applyFill="1" applyBorder="1" applyAlignment="1">
      <alignment horizontal="center" vertical="top" wrapText="1"/>
    </xf>
    <xf numFmtId="1" fontId="0" fillId="10" borderId="72" xfId="0" applyNumberFormat="1" applyFill="1" applyBorder="1" applyAlignment="1">
      <alignment horizontal="center" vertical="top"/>
    </xf>
    <xf numFmtId="0" fontId="14" fillId="8" borderId="66" xfId="0" applyFont="1" applyFill="1" applyBorder="1" applyAlignment="1">
      <alignment horizontal="center" vertical="center"/>
    </xf>
    <xf numFmtId="0" fontId="0" fillId="0" borderId="39" xfId="0" applyBorder="1" applyAlignment="1">
      <alignment horizontal="left" vertical="top" wrapText="1"/>
    </xf>
    <xf numFmtId="0" fontId="0" fillId="0" borderId="49" xfId="0" applyBorder="1" applyAlignment="1">
      <alignment horizontal="left" vertical="top" wrapText="1"/>
    </xf>
    <xf numFmtId="0" fontId="0" fillId="0" borderId="50" xfId="0" applyBorder="1" applyAlignment="1">
      <alignment horizontal="left" vertical="top" wrapText="1"/>
    </xf>
    <xf numFmtId="0" fontId="11" fillId="7" borderId="0" xfId="0" applyFont="1" applyFill="1" applyBorder="1" applyAlignment="1">
      <alignment horizontal="center" vertical="center" wrapText="1"/>
    </xf>
    <xf numFmtId="0" fontId="14" fillId="7" borderId="0" xfId="0" applyFont="1" applyFill="1" applyBorder="1" applyAlignment="1">
      <alignment horizontal="center" vertical="center" wrapText="1"/>
    </xf>
    <xf numFmtId="0" fontId="0" fillId="0" borderId="66" xfId="0" applyBorder="1"/>
    <xf numFmtId="0" fontId="8" fillId="0" borderId="45" xfId="0" applyFont="1" applyFill="1" applyBorder="1" applyAlignment="1">
      <alignment horizontal="center" vertical="top" wrapText="1"/>
    </xf>
    <xf numFmtId="1" fontId="0" fillId="10" borderId="71" xfId="0" applyNumberFormat="1" applyFill="1" applyBorder="1" applyAlignment="1">
      <alignment horizontal="center" vertical="top"/>
    </xf>
    <xf numFmtId="1" fontId="0" fillId="10" borderId="46" xfId="0" applyNumberFormat="1" applyFill="1" applyBorder="1" applyAlignment="1">
      <alignment horizontal="center" vertical="top"/>
    </xf>
    <xf numFmtId="0" fontId="28" fillId="0" borderId="54" xfId="0" applyFont="1" applyFill="1" applyBorder="1" applyAlignment="1">
      <alignment horizontal="center" vertical="top" wrapText="1"/>
    </xf>
    <xf numFmtId="0" fontId="28" fillId="0" borderId="53" xfId="0" applyFont="1" applyFill="1" applyBorder="1" applyAlignment="1">
      <alignment horizontal="center" vertical="top" wrapText="1"/>
    </xf>
    <xf numFmtId="0" fontId="28" fillId="6" borderId="10" xfId="0" applyNumberFormat="1" applyFont="1" applyFill="1" applyBorder="1" applyAlignment="1">
      <alignment horizontal="center" vertical="top"/>
    </xf>
    <xf numFmtId="0" fontId="28" fillId="6" borderId="53" xfId="0" applyNumberFormat="1" applyFont="1" applyFill="1" applyBorder="1" applyAlignment="1">
      <alignment horizontal="center" vertical="top"/>
    </xf>
    <xf numFmtId="1" fontId="28" fillId="0" borderId="54" xfId="0" applyNumberFormat="1" applyFont="1" applyFill="1" applyBorder="1" applyAlignment="1">
      <alignment horizontal="center" vertical="top"/>
    </xf>
    <xf numFmtId="1" fontId="28" fillId="0" borderId="12" xfId="0" applyNumberFormat="1" applyFont="1" applyFill="1" applyBorder="1" applyAlignment="1">
      <alignment horizontal="center" vertical="top"/>
    </xf>
    <xf numFmtId="0" fontId="28" fillId="0" borderId="26" xfId="0" applyFont="1" applyFill="1" applyBorder="1" applyAlignment="1">
      <alignment horizontal="center" vertical="top" wrapText="1"/>
    </xf>
    <xf numFmtId="0" fontId="28" fillId="0" borderId="27" xfId="0" applyFont="1" applyFill="1" applyBorder="1" applyAlignment="1">
      <alignment horizontal="center" vertical="top" wrapText="1"/>
    </xf>
    <xf numFmtId="14" fontId="28" fillId="0" borderId="26" xfId="0" applyNumberFormat="1" applyFont="1" applyFill="1" applyBorder="1" applyAlignment="1">
      <alignment horizontal="center" vertical="top" wrapText="1"/>
    </xf>
    <xf numFmtId="14" fontId="28" fillId="0" borderId="27" xfId="0" applyNumberFormat="1" applyFont="1" applyFill="1" applyBorder="1" applyAlignment="1">
      <alignment horizontal="center" vertical="top" wrapText="1"/>
    </xf>
    <xf numFmtId="0" fontId="28" fillId="0" borderId="70" xfId="0" applyFont="1" applyFill="1" applyBorder="1" applyAlignment="1">
      <alignment horizontal="center" vertical="top" wrapText="1"/>
    </xf>
    <xf numFmtId="0" fontId="28" fillId="0" borderId="19" xfId="0" applyFont="1" applyFill="1" applyBorder="1" applyAlignment="1">
      <alignment horizontal="center" vertical="top" wrapText="1"/>
    </xf>
    <xf numFmtId="0" fontId="2" fillId="0" borderId="56" xfId="0" applyFont="1" applyBorder="1" applyAlignment="1">
      <alignment horizontal="left" wrapText="1"/>
    </xf>
    <xf numFmtId="0" fontId="2" fillId="0" borderId="41" xfId="0" applyFont="1" applyBorder="1" applyAlignment="1">
      <alignment horizontal="left" wrapText="1"/>
    </xf>
    <xf numFmtId="1" fontId="2" fillId="10" borderId="32" xfId="0" applyNumberFormat="1" applyFont="1" applyFill="1" applyBorder="1" applyAlignment="1">
      <alignment horizontal="center" vertical="center"/>
    </xf>
    <xf numFmtId="1" fontId="2" fillId="6" borderId="53" xfId="0" applyNumberFormat="1" applyFont="1" applyFill="1" applyBorder="1" applyAlignment="1">
      <alignment horizontal="center" vertical="center"/>
    </xf>
    <xf numFmtId="14" fontId="8" fillId="7" borderId="35" xfId="0" applyNumberFormat="1" applyFont="1" applyFill="1" applyBorder="1" applyAlignment="1">
      <alignment vertical="top" wrapText="1"/>
    </xf>
    <xf numFmtId="1" fontId="2" fillId="36" borderId="12" xfId="0" applyNumberFormat="1" applyFont="1" applyFill="1" applyBorder="1" applyAlignment="1">
      <alignment horizontal="center" vertical="center"/>
    </xf>
    <xf numFmtId="1" fontId="2" fillId="36" borderId="37" xfId="0" applyNumberFormat="1" applyFont="1" applyFill="1" applyBorder="1" applyAlignment="1">
      <alignment horizontal="center" vertical="center"/>
    </xf>
    <xf numFmtId="1" fontId="2" fillId="36" borderId="35" xfId="0" applyNumberFormat="1" applyFont="1" applyFill="1" applyBorder="1" applyAlignment="1">
      <alignment horizontal="center" vertical="center"/>
    </xf>
    <xf numFmtId="1" fontId="2" fillId="36" borderId="53" xfId="0" applyNumberFormat="1" applyFont="1" applyFill="1" applyBorder="1" applyAlignment="1">
      <alignment horizontal="center" vertical="center"/>
    </xf>
    <xf numFmtId="1" fontId="2" fillId="36" borderId="27" xfId="0" applyNumberFormat="1" applyFont="1" applyFill="1" applyBorder="1" applyAlignment="1">
      <alignment horizontal="center" vertical="center"/>
    </xf>
    <xf numFmtId="1" fontId="2" fillId="36" borderId="19" xfId="0" applyNumberFormat="1" applyFont="1" applyFill="1" applyBorder="1" applyAlignment="1">
      <alignment horizontal="center" vertical="center"/>
    </xf>
    <xf numFmtId="1" fontId="2" fillId="10" borderId="55" xfId="0" applyNumberFormat="1" applyFont="1" applyFill="1" applyBorder="1" applyAlignment="1">
      <alignment horizontal="center" vertical="center"/>
    </xf>
    <xf numFmtId="1" fontId="2" fillId="10" borderId="4" xfId="0" applyNumberFormat="1" applyFont="1" applyFill="1" applyBorder="1" applyAlignment="1">
      <alignment horizontal="center" vertical="center"/>
    </xf>
    <xf numFmtId="1" fontId="2" fillId="10" borderId="34" xfId="0" applyNumberFormat="1" applyFont="1" applyFill="1" applyBorder="1" applyAlignment="1">
      <alignment horizontal="center" vertical="center"/>
    </xf>
    <xf numFmtId="0" fontId="28" fillId="7" borderId="19" xfId="0" applyFont="1" applyFill="1" applyBorder="1" applyAlignment="1">
      <alignment vertical="top" wrapText="1"/>
    </xf>
    <xf numFmtId="0" fontId="2" fillId="0" borderId="35" xfId="0" applyFont="1" applyBorder="1" applyAlignment="1">
      <alignment vertical="top" wrapText="1"/>
    </xf>
    <xf numFmtId="1" fontId="2" fillId="10" borderId="12" xfId="0" applyNumberFormat="1" applyFont="1" applyFill="1" applyBorder="1" applyAlignment="1">
      <alignment horizontal="center" vertical="center"/>
    </xf>
    <xf numFmtId="1" fontId="2" fillId="10" borderId="37" xfId="0" applyNumberFormat="1" applyFont="1" applyFill="1" applyBorder="1" applyAlignment="1">
      <alignment horizontal="center" vertical="center"/>
    </xf>
    <xf numFmtId="1" fontId="2" fillId="10" borderId="35" xfId="0" applyNumberFormat="1" applyFont="1" applyFill="1" applyBorder="1" applyAlignment="1">
      <alignment horizontal="center" vertical="center"/>
    </xf>
    <xf numFmtId="1" fontId="2" fillId="6" borderId="54" xfId="0" applyNumberFormat="1" applyFont="1" applyFill="1" applyBorder="1" applyAlignment="1">
      <alignment horizontal="center" vertical="center"/>
    </xf>
    <xf numFmtId="0" fontId="7" fillId="13" borderId="0" xfId="0" applyNumberFormat="1" applyFont="1" applyFill="1" applyAlignment="1">
      <alignment horizontal="center" vertical="center"/>
    </xf>
    <xf numFmtId="1" fontId="2" fillId="37" borderId="0" xfId="0" applyNumberFormat="1" applyFont="1" applyFill="1" applyAlignment="1">
      <alignment horizontal="center" vertical="center"/>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42" xfId="0" applyFont="1" applyBorder="1" applyAlignment="1">
      <alignment vertical="top" wrapText="1"/>
    </xf>
    <xf numFmtId="0" fontId="4" fillId="0" borderId="3" xfId="0" applyFont="1" applyBorder="1" applyAlignment="1">
      <alignment vertical="top" wrapText="1"/>
    </xf>
    <xf numFmtId="0" fontId="8" fillId="7" borderId="2" xfId="0" applyFont="1" applyFill="1" applyBorder="1" applyAlignment="1">
      <alignment vertical="top" wrapText="1"/>
    </xf>
    <xf numFmtId="0" fontId="8" fillId="7" borderId="42" xfId="0" applyFont="1" applyFill="1" applyBorder="1" applyAlignment="1">
      <alignment vertical="top" wrapText="1"/>
    </xf>
    <xf numFmtId="0" fontId="4" fillId="0" borderId="2" xfId="0" applyFont="1" applyBorder="1" applyAlignment="1">
      <alignment vertical="top" wrapText="1"/>
    </xf>
    <xf numFmtId="0" fontId="4" fillId="0" borderId="2" xfId="0" applyFont="1" applyFill="1" applyBorder="1" applyAlignment="1">
      <alignment horizontal="center" vertical="top" wrapText="1"/>
    </xf>
    <xf numFmtId="179" fontId="2" fillId="36" borderId="26" xfId="0" applyNumberFormat="1" applyFont="1" applyFill="1" applyBorder="1" applyAlignment="1">
      <alignment horizontal="center" vertical="center"/>
    </xf>
    <xf numFmtId="179" fontId="2" fillId="36" borderId="37" xfId="0" applyNumberFormat="1" applyFont="1" applyFill="1" applyBorder="1" applyAlignment="1">
      <alignment horizontal="center" vertical="center"/>
    </xf>
    <xf numFmtId="179" fontId="2" fillId="36" borderId="1" xfId="0" applyNumberFormat="1" applyFont="1" applyFill="1" applyBorder="1" applyAlignment="1">
      <alignment horizontal="center" vertical="center"/>
    </xf>
    <xf numFmtId="179" fontId="2" fillId="36" borderId="70" xfId="0" applyNumberFormat="1" applyFont="1" applyFill="1" applyBorder="1" applyAlignment="1">
      <alignment horizontal="center" vertical="center"/>
    </xf>
    <xf numFmtId="179" fontId="2" fillId="36" borderId="35" xfId="0" applyNumberFormat="1" applyFont="1" applyFill="1" applyBorder="1" applyAlignment="1">
      <alignment horizontal="center" vertical="center"/>
    </xf>
    <xf numFmtId="179" fontId="2" fillId="36" borderId="32" xfId="0" applyNumberFormat="1" applyFont="1" applyFill="1" applyBorder="1" applyAlignment="1">
      <alignment horizontal="center" vertical="center"/>
    </xf>
    <xf numFmtId="0" fontId="4" fillId="0" borderId="32" xfId="0" applyFont="1" applyBorder="1" applyAlignment="1">
      <alignment horizontal="center" vertical="top" wrapText="1"/>
    </xf>
    <xf numFmtId="0" fontId="4" fillId="0" borderId="19" xfId="0" applyFont="1" applyBorder="1" applyAlignment="1">
      <alignment horizontal="center" vertical="top" wrapText="1"/>
    </xf>
    <xf numFmtId="0" fontId="13" fillId="0" borderId="41" xfId="0" applyFont="1" applyBorder="1" applyAlignment="1">
      <alignment horizontal="center"/>
    </xf>
    <xf numFmtId="0" fontId="13" fillId="0" borderId="74" xfId="0" applyFont="1" applyBorder="1" applyAlignment="1">
      <alignment horizontal="center"/>
    </xf>
    <xf numFmtId="0" fontId="7" fillId="0" borderId="39" xfId="0" applyFont="1" applyBorder="1" applyAlignment="1">
      <alignment horizontal="center" vertical="center" wrapText="1"/>
    </xf>
    <xf numFmtId="0" fontId="13" fillId="0" borderId="49" xfId="0" applyFont="1" applyBorder="1" applyAlignment="1">
      <alignment horizontal="center"/>
    </xf>
    <xf numFmtId="0" fontId="4" fillId="0" borderId="50" xfId="0" applyFont="1" applyFill="1" applyBorder="1" applyAlignment="1">
      <alignment horizontal="center" vertical="top" wrapText="1"/>
    </xf>
    <xf numFmtId="0" fontId="6" fillId="0" borderId="39" xfId="0" applyFont="1" applyBorder="1" applyAlignment="1">
      <alignment horizontal="center" vertical="center" wrapText="1"/>
    </xf>
    <xf numFmtId="0" fontId="4" fillId="0" borderId="50" xfId="0" applyFont="1" applyBorder="1" applyAlignment="1">
      <alignment vertical="top" wrapText="1"/>
    </xf>
    <xf numFmtId="0" fontId="8" fillId="7" borderId="75" xfId="0" applyFont="1" applyFill="1" applyBorder="1" applyAlignment="1">
      <alignment vertical="top" wrapText="1"/>
    </xf>
    <xf numFmtId="0" fontId="4" fillId="0" borderId="21" xfId="0" applyFont="1" applyFill="1" applyBorder="1" applyAlignment="1">
      <alignment horizontal="center" vertical="top" wrapText="1"/>
    </xf>
    <xf numFmtId="0" fontId="28" fillId="0" borderId="17" xfId="0" applyFont="1" applyBorder="1" applyAlignment="1">
      <alignment horizontal="center" vertical="center"/>
    </xf>
    <xf numFmtId="0" fontId="28" fillId="0" borderId="28" xfId="0" applyFont="1" applyBorder="1" applyAlignment="1">
      <alignment horizontal="center" vertical="center"/>
    </xf>
    <xf numFmtId="0" fontId="28" fillId="0" borderId="69" xfId="0" applyFont="1" applyBorder="1" applyAlignment="1">
      <alignment horizontal="center" vertical="center"/>
    </xf>
    <xf numFmtId="10" fontId="28" fillId="6" borderId="15" xfId="0" applyNumberFormat="1" applyFont="1" applyFill="1" applyBorder="1" applyAlignment="1">
      <alignment horizontal="center" vertical="center"/>
    </xf>
    <xf numFmtId="10" fontId="28" fillId="6" borderId="26" xfId="0" applyNumberFormat="1" applyFont="1" applyFill="1" applyBorder="1" applyAlignment="1">
      <alignment horizontal="center" vertical="center"/>
    </xf>
    <xf numFmtId="10" fontId="28" fillId="6" borderId="32" xfId="0" applyNumberFormat="1" applyFont="1" applyFill="1" applyBorder="1" applyAlignment="1">
      <alignment horizontal="center" vertical="center"/>
    </xf>
    <xf numFmtId="2" fontId="28" fillId="10" borderId="32" xfId="0" applyNumberFormat="1" applyFont="1" applyFill="1" applyBorder="1" applyAlignment="1">
      <alignment horizontal="center" vertical="center"/>
    </xf>
    <xf numFmtId="0" fontId="28" fillId="36" borderId="18" xfId="0" applyFont="1" applyFill="1" applyBorder="1" applyAlignment="1">
      <alignment horizontal="center"/>
    </xf>
    <xf numFmtId="0" fontId="28" fillId="36" borderId="10" xfId="0" applyFont="1" applyFill="1" applyBorder="1" applyAlignment="1">
      <alignment horizontal="center"/>
    </xf>
    <xf numFmtId="0" fontId="28" fillId="36" borderId="46" xfId="0" applyFont="1" applyFill="1" applyBorder="1" applyAlignment="1">
      <alignment horizontal="center"/>
    </xf>
    <xf numFmtId="10" fontId="28" fillId="0" borderId="15" xfId="0" applyNumberFormat="1" applyFont="1" applyBorder="1" applyAlignment="1">
      <alignment horizontal="center"/>
    </xf>
    <xf numFmtId="10" fontId="28" fillId="0" borderId="54" xfId="0" applyNumberFormat="1" applyFont="1" applyBorder="1" applyAlignment="1">
      <alignment horizontal="center"/>
    </xf>
    <xf numFmtId="10" fontId="28" fillId="0" borderId="73" xfId="0" applyNumberFormat="1" applyFont="1" applyBorder="1" applyAlignment="1">
      <alignment horizontal="center"/>
    </xf>
    <xf numFmtId="10" fontId="28" fillId="0" borderId="18" xfId="0" applyNumberFormat="1" applyFont="1" applyBorder="1" applyAlignment="1">
      <alignment horizontal="center"/>
    </xf>
    <xf numFmtId="10" fontId="28" fillId="0" borderId="31" xfId="0" applyNumberFormat="1" applyFont="1" applyBorder="1" applyAlignment="1">
      <alignment horizontal="center"/>
    </xf>
    <xf numFmtId="10" fontId="28" fillId="0" borderId="10" xfId="0" applyNumberFormat="1" applyFont="1" applyBorder="1" applyAlignment="1">
      <alignment horizontal="center"/>
    </xf>
    <xf numFmtId="10" fontId="28" fillId="0" borderId="55" xfId="0" applyNumberFormat="1" applyFont="1" applyBorder="1" applyAlignment="1">
      <alignment horizontal="center"/>
    </xf>
    <xf numFmtId="10" fontId="28" fillId="0" borderId="46" xfId="0" applyNumberFormat="1" applyFont="1" applyBorder="1" applyAlignment="1">
      <alignment horizontal="center"/>
    </xf>
    <xf numFmtId="10" fontId="28" fillId="0" borderId="45" xfId="0" applyNumberFormat="1" applyFont="1" applyBorder="1" applyAlignment="1">
      <alignment horizontal="center"/>
    </xf>
    <xf numFmtId="10" fontId="2" fillId="36" borderId="31" xfId="0" applyNumberFormat="1" applyFont="1" applyFill="1" applyBorder="1" applyAlignment="1">
      <alignment horizontal="center" vertical="center"/>
    </xf>
    <xf numFmtId="10" fontId="2" fillId="36" borderId="4" xfId="0" applyNumberFormat="1" applyFont="1" applyFill="1" applyBorder="1" applyAlignment="1">
      <alignment horizontal="center" vertical="center"/>
    </xf>
    <xf numFmtId="10" fontId="2" fillId="36" borderId="34" xfId="0" applyNumberFormat="1" applyFont="1" applyFill="1" applyBorder="1" applyAlignment="1">
      <alignment horizontal="center" vertical="center"/>
    </xf>
    <xf numFmtId="10" fontId="2" fillId="36" borderId="16" xfId="0" applyNumberFormat="1" applyFont="1" applyFill="1" applyBorder="1" applyAlignment="1">
      <alignment horizontal="center" vertical="center"/>
    </xf>
    <xf numFmtId="10" fontId="2" fillId="36" borderId="33" xfId="0" applyNumberFormat="1" applyFont="1" applyFill="1" applyBorder="1" applyAlignment="1">
      <alignment horizontal="center" vertical="center"/>
    </xf>
    <xf numFmtId="10" fontId="2" fillId="36" borderId="27" xfId="0" applyNumberFormat="1" applyFont="1" applyFill="1" applyBorder="1" applyAlignment="1">
      <alignment horizontal="center" vertical="center"/>
    </xf>
    <xf numFmtId="10" fontId="2" fillId="36" borderId="37" xfId="0" applyNumberFormat="1" applyFont="1" applyFill="1" applyBorder="1" applyAlignment="1">
      <alignment horizontal="center" vertical="center"/>
    </xf>
    <xf numFmtId="10" fontId="2" fillId="36" borderId="19" xfId="0" applyNumberFormat="1" applyFont="1" applyFill="1" applyBorder="1" applyAlignment="1">
      <alignment horizontal="center" vertical="center"/>
    </xf>
    <xf numFmtId="10" fontId="2" fillId="36" borderId="35" xfId="0" applyNumberFormat="1" applyFont="1" applyFill="1" applyBorder="1" applyAlignment="1">
      <alignment horizontal="center" vertical="center"/>
    </xf>
    <xf numFmtId="10" fontId="2" fillId="36" borderId="18" xfId="0" applyNumberFormat="1" applyFont="1" applyFill="1" applyBorder="1" applyAlignment="1">
      <alignment horizontal="center" vertical="center"/>
    </xf>
    <xf numFmtId="10" fontId="2" fillId="36" borderId="1" xfId="0" applyNumberFormat="1" applyFont="1" applyFill="1" applyBorder="1" applyAlignment="1">
      <alignment horizontal="center" vertical="center"/>
    </xf>
    <xf numFmtId="10" fontId="2" fillId="36" borderId="32" xfId="0" applyNumberFormat="1" applyFont="1" applyFill="1" applyBorder="1" applyAlignment="1">
      <alignment horizontal="center" vertical="center"/>
    </xf>
    <xf numFmtId="10" fontId="2" fillId="10" borderId="15" xfId="0" applyNumberFormat="1" applyFont="1" applyFill="1" applyBorder="1" applyAlignment="1">
      <alignment horizontal="center" vertical="center"/>
    </xf>
    <xf numFmtId="10" fontId="2" fillId="10" borderId="18" xfId="0" applyNumberFormat="1" applyFont="1" applyFill="1" applyBorder="1" applyAlignment="1">
      <alignment horizontal="center" vertical="center"/>
    </xf>
    <xf numFmtId="10" fontId="2" fillId="10" borderId="16" xfId="0" applyNumberFormat="1" applyFont="1" applyFill="1" applyBorder="1" applyAlignment="1">
      <alignment horizontal="center" vertical="center"/>
    </xf>
    <xf numFmtId="10" fontId="2" fillId="36" borderId="39" xfId="0" applyNumberFormat="1" applyFont="1" applyFill="1" applyBorder="1" applyAlignment="1">
      <alignment horizontal="center" vertical="center"/>
    </xf>
    <xf numFmtId="10" fontId="2" fillId="6" borderId="39" xfId="0" applyNumberFormat="1" applyFont="1" applyFill="1" applyBorder="1" applyAlignment="1">
      <alignment horizontal="center" vertical="center"/>
    </xf>
    <xf numFmtId="10" fontId="2" fillId="10" borderId="26" xfId="0" applyNumberFormat="1" applyFont="1" applyFill="1" applyBorder="1" applyAlignment="1">
      <alignment horizontal="center" vertical="center"/>
    </xf>
    <xf numFmtId="10" fontId="2" fillId="10" borderId="1" xfId="0" applyNumberFormat="1" applyFont="1" applyFill="1" applyBorder="1" applyAlignment="1">
      <alignment horizontal="center" vertical="center"/>
    </xf>
    <xf numFmtId="10" fontId="2" fillId="10" borderId="27" xfId="0" applyNumberFormat="1" applyFont="1" applyFill="1" applyBorder="1" applyAlignment="1">
      <alignment horizontal="center" vertical="center"/>
    </xf>
    <xf numFmtId="10" fontId="2" fillId="36" borderId="51" xfId="0" applyNumberFormat="1" applyFont="1" applyFill="1" applyBorder="1" applyAlignment="1">
      <alignment horizontal="center" vertical="center"/>
    </xf>
    <xf numFmtId="10" fontId="2" fillId="6" borderId="49" xfId="0" applyNumberFormat="1" applyFont="1" applyFill="1" applyBorder="1" applyAlignment="1">
      <alignment horizontal="center" vertical="center"/>
    </xf>
    <xf numFmtId="10" fontId="2" fillId="10" borderId="70" xfId="0" applyNumberFormat="1" applyFont="1" applyFill="1" applyBorder="1" applyAlignment="1">
      <alignment horizontal="center" vertical="center"/>
    </xf>
    <xf numFmtId="10" fontId="2" fillId="10" borderId="32" xfId="0" applyNumberFormat="1" applyFont="1" applyFill="1" applyBorder="1" applyAlignment="1">
      <alignment horizontal="center" vertical="center"/>
    </xf>
    <xf numFmtId="10" fontId="2" fillId="10" borderId="19" xfId="0" applyNumberFormat="1" applyFont="1" applyFill="1" applyBorder="1" applyAlignment="1">
      <alignment horizontal="center" vertical="center"/>
    </xf>
    <xf numFmtId="10" fontId="2" fillId="36" borderId="76" xfId="0" applyNumberFormat="1" applyFont="1" applyFill="1" applyBorder="1" applyAlignment="1">
      <alignment horizontal="center" vertical="center"/>
    </xf>
    <xf numFmtId="10" fontId="2" fillId="6" borderId="50" xfId="0" applyNumberFormat="1" applyFont="1" applyFill="1" applyBorder="1" applyAlignment="1">
      <alignment horizontal="center" vertical="center"/>
    </xf>
    <xf numFmtId="0" fontId="15" fillId="12" borderId="1" xfId="0" applyFont="1" applyFill="1" applyBorder="1" applyAlignment="1">
      <alignment horizontal="center" vertical="center" wrapText="1"/>
    </xf>
    <xf numFmtId="0" fontId="14" fillId="12" borderId="1" xfId="0" applyFont="1" applyFill="1" applyBorder="1" applyAlignment="1">
      <alignment horizontal="center" vertical="center"/>
    </xf>
    <xf numFmtId="14" fontId="11" fillId="12" borderId="1" xfId="0" applyNumberFormat="1" applyFont="1" applyFill="1" applyBorder="1" applyAlignment="1">
      <alignment horizontal="center" vertical="center"/>
    </xf>
    <xf numFmtId="0" fontId="11" fillId="12" borderId="1" xfId="0" applyFont="1" applyFill="1" applyBorder="1" applyAlignment="1">
      <alignment horizontal="center" vertical="center"/>
    </xf>
    <xf numFmtId="1" fontId="2" fillId="6" borderId="15" xfId="0" applyNumberFormat="1" applyFont="1" applyFill="1" applyBorder="1" applyAlignment="1">
      <alignment horizontal="center" vertical="center"/>
    </xf>
    <xf numFmtId="1" fontId="2" fillId="6" borderId="16" xfId="0" applyNumberFormat="1" applyFont="1" applyFill="1" applyBorder="1" applyAlignment="1">
      <alignment horizontal="center" vertical="center"/>
    </xf>
    <xf numFmtId="1" fontId="2" fillId="6" borderId="73" xfId="0" applyNumberFormat="1" applyFont="1" applyFill="1" applyBorder="1" applyAlignment="1">
      <alignment horizontal="center" vertical="center"/>
    </xf>
    <xf numFmtId="1" fontId="2" fillId="6" borderId="72" xfId="0" applyNumberFormat="1" applyFont="1" applyFill="1" applyBorder="1" applyAlignment="1">
      <alignment horizontal="center" vertical="center"/>
    </xf>
    <xf numFmtId="0" fontId="28" fillId="6" borderId="0" xfId="0" applyFont="1" applyFill="1" applyBorder="1" applyAlignment="1">
      <alignment vertical="center"/>
    </xf>
    <xf numFmtId="0" fontId="0" fillId="6" borderId="0" xfId="0" applyFill="1" applyBorder="1" applyAlignment="1">
      <alignment horizontal="center" vertical="center"/>
    </xf>
    <xf numFmtId="14" fontId="8" fillId="6" borderId="77" xfId="0" applyNumberFormat="1" applyFont="1" applyFill="1" applyBorder="1" applyAlignment="1">
      <alignment vertical="top" wrapText="1"/>
    </xf>
    <xf numFmtId="14" fontId="8" fillId="6" borderId="67" xfId="0" applyNumberFormat="1" applyFont="1" applyFill="1" applyBorder="1" applyAlignment="1">
      <alignment vertical="top" wrapText="1"/>
    </xf>
    <xf numFmtId="0" fontId="2" fillId="0" borderId="39" xfId="0" applyFont="1" applyBorder="1" applyAlignment="1">
      <alignment horizontal="left" wrapText="1"/>
    </xf>
    <xf numFmtId="0" fontId="2" fillId="0" borderId="79" xfId="0" applyFont="1" applyBorder="1" applyAlignment="1">
      <alignment horizontal="left" wrapText="1"/>
    </xf>
    <xf numFmtId="0" fontId="7" fillId="0" borderId="80" xfId="0" applyFont="1" applyBorder="1" applyAlignment="1">
      <alignment vertical="center" wrapText="1"/>
    </xf>
    <xf numFmtId="0" fontId="7" fillId="0" borderId="81" xfId="0" applyFont="1" applyBorder="1" applyAlignment="1">
      <alignment vertical="center" wrapText="1"/>
    </xf>
    <xf numFmtId="0" fontId="7" fillId="0" borderId="76" xfId="0" applyFont="1" applyBorder="1" applyAlignment="1">
      <alignment vertical="center" wrapText="1"/>
    </xf>
    <xf numFmtId="0" fontId="4" fillId="0" borderId="35" xfId="0" applyFont="1" applyBorder="1" applyAlignment="1">
      <alignment horizontal="center" vertical="top" wrapText="1"/>
    </xf>
    <xf numFmtId="0" fontId="28" fillId="0" borderId="52" xfId="0" applyFont="1" applyBorder="1" applyAlignment="1">
      <alignment horizontal="center"/>
    </xf>
    <xf numFmtId="0" fontId="53" fillId="7" borderId="0" xfId="0" applyFont="1" applyFill="1"/>
    <xf numFmtId="0" fontId="11" fillId="6" borderId="1" xfId="0" applyFont="1" applyFill="1" applyBorder="1" applyAlignment="1">
      <alignment horizontal="center" vertical="center" wrapText="1"/>
    </xf>
    <xf numFmtId="0" fontId="11" fillId="6" borderId="77" xfId="0" applyFont="1" applyFill="1" applyBorder="1" applyAlignment="1">
      <alignment horizontal="center" vertical="center" wrapText="1"/>
    </xf>
    <xf numFmtId="0" fontId="11" fillId="6" borderId="32" xfId="0" applyFont="1" applyFill="1" applyBorder="1" applyAlignment="1">
      <alignment horizontal="center" vertical="center" wrapText="1"/>
    </xf>
    <xf numFmtId="10" fontId="28" fillId="6" borderId="77" xfId="0" applyNumberFormat="1" applyFont="1" applyFill="1" applyBorder="1" applyAlignment="1">
      <alignment horizontal="center" vertical="center"/>
    </xf>
    <xf numFmtId="0" fontId="14" fillId="9" borderId="4" xfId="0" applyFont="1" applyFill="1" applyBorder="1" applyAlignment="1">
      <alignment horizontal="center" vertical="center" wrapText="1"/>
    </xf>
    <xf numFmtId="0" fontId="28" fillId="0" borderId="82" xfId="0" applyNumberFormat="1" applyFont="1" applyFill="1" applyBorder="1" applyAlignment="1">
      <alignment horizontal="center" vertical="center"/>
    </xf>
    <xf numFmtId="0" fontId="28" fillId="0" borderId="41" xfId="0" applyNumberFormat="1" applyFont="1" applyFill="1" applyBorder="1" applyAlignment="1">
      <alignment horizontal="center" vertical="center"/>
    </xf>
    <xf numFmtId="0" fontId="28" fillId="0" borderId="83" xfId="0" applyNumberFormat="1" applyFont="1" applyFill="1" applyBorder="1" applyAlignment="1">
      <alignment horizontal="center" vertical="center"/>
    </xf>
    <xf numFmtId="2" fontId="28" fillId="10" borderId="10" xfId="0" applyNumberFormat="1" applyFont="1" applyFill="1" applyBorder="1" applyAlignment="1">
      <alignment horizontal="center" vertical="center"/>
    </xf>
    <xf numFmtId="0" fontId="28" fillId="6" borderId="15" xfId="0" applyNumberFormat="1" applyFont="1" applyFill="1" applyBorder="1" applyAlignment="1">
      <alignment horizontal="center" vertical="top"/>
    </xf>
    <xf numFmtId="0" fontId="28" fillId="6" borderId="18" xfId="0" applyNumberFormat="1" applyFont="1" applyFill="1" applyBorder="1" applyAlignment="1">
      <alignment horizontal="center" vertical="top"/>
    </xf>
    <xf numFmtId="0" fontId="28" fillId="6" borderId="16" xfId="0" applyNumberFormat="1" applyFont="1" applyFill="1" applyBorder="1" applyAlignment="1">
      <alignment horizontal="center" vertical="top"/>
    </xf>
    <xf numFmtId="1" fontId="28" fillId="0" borderId="15" xfId="0" applyNumberFormat="1" applyFont="1" applyFill="1" applyBorder="1" applyAlignment="1">
      <alignment horizontal="center" vertical="top"/>
    </xf>
    <xf numFmtId="1" fontId="28" fillId="0" borderId="33" xfId="0" applyNumberFormat="1" applyFont="1" applyFill="1" applyBorder="1" applyAlignment="1">
      <alignment horizontal="center" vertical="top"/>
    </xf>
    <xf numFmtId="1" fontId="0" fillId="6" borderId="18" xfId="0" applyNumberFormat="1" applyFill="1" applyBorder="1" applyAlignment="1">
      <alignment horizontal="center" vertical="top"/>
    </xf>
    <xf numFmtId="1" fontId="0" fillId="6" borderId="16" xfId="0" applyNumberFormat="1" applyFill="1" applyBorder="1" applyAlignment="1">
      <alignment horizontal="center" vertical="top"/>
    </xf>
    <xf numFmtId="0" fontId="0" fillId="6" borderId="15" xfId="0" applyFill="1" applyBorder="1" applyAlignment="1">
      <alignment horizontal="center" vertical="top"/>
    </xf>
    <xf numFmtId="0" fontId="0" fillId="6" borderId="18" xfId="0" applyFill="1" applyBorder="1" applyAlignment="1">
      <alignment horizontal="center" vertical="top"/>
    </xf>
    <xf numFmtId="0" fontId="0" fillId="6" borderId="16" xfId="0" applyFill="1" applyBorder="1" applyAlignment="1">
      <alignment horizontal="center" vertical="top"/>
    </xf>
    <xf numFmtId="0" fontId="0" fillId="6" borderId="15" xfId="0" applyNumberFormat="1" applyFill="1" applyBorder="1" applyAlignment="1">
      <alignment horizontal="center" vertical="top"/>
    </xf>
    <xf numFmtId="0" fontId="0" fillId="6" borderId="18" xfId="0" applyNumberFormat="1" applyFill="1" applyBorder="1" applyAlignment="1">
      <alignment horizontal="center" vertical="top"/>
    </xf>
    <xf numFmtId="0" fontId="28" fillId="6" borderId="26" xfId="0" applyNumberFormat="1" applyFont="1" applyFill="1" applyBorder="1" applyAlignment="1">
      <alignment horizontal="center" vertical="top"/>
    </xf>
    <xf numFmtId="0" fontId="28" fillId="6" borderId="77" xfId="0" applyNumberFormat="1" applyFont="1" applyFill="1" applyBorder="1" applyAlignment="1">
      <alignment horizontal="center" vertical="top"/>
    </xf>
    <xf numFmtId="0" fontId="28" fillId="6" borderId="84" xfId="0" applyNumberFormat="1" applyFont="1" applyFill="1" applyBorder="1" applyAlignment="1">
      <alignment horizontal="center" vertical="top"/>
    </xf>
    <xf numFmtId="0" fontId="28" fillId="6" borderId="72" xfId="0" applyNumberFormat="1" applyFont="1" applyFill="1" applyBorder="1" applyAlignment="1">
      <alignment horizontal="center" vertical="top"/>
    </xf>
    <xf numFmtId="1" fontId="28" fillId="0" borderId="73" xfId="0" applyNumberFormat="1" applyFont="1" applyFill="1" applyBorder="1" applyAlignment="1">
      <alignment horizontal="center" vertical="top"/>
    </xf>
    <xf numFmtId="1" fontId="28" fillId="0" borderId="85" xfId="0" applyNumberFormat="1" applyFont="1" applyFill="1" applyBorder="1" applyAlignment="1">
      <alignment horizontal="center" vertical="top"/>
    </xf>
    <xf numFmtId="1" fontId="0" fillId="6" borderId="84" xfId="0" applyNumberFormat="1" applyFill="1" applyBorder="1" applyAlignment="1">
      <alignment horizontal="center" vertical="top"/>
    </xf>
    <xf numFmtId="1" fontId="0" fillId="6" borderId="72" xfId="0" applyNumberFormat="1" applyFill="1" applyBorder="1" applyAlignment="1">
      <alignment horizontal="center" vertical="top"/>
    </xf>
    <xf numFmtId="0" fontId="0" fillId="6" borderId="73" xfId="0" applyFill="1" applyBorder="1" applyAlignment="1">
      <alignment horizontal="center" vertical="top"/>
    </xf>
    <xf numFmtId="0" fontId="0" fillId="6" borderId="84" xfId="0" applyFill="1" applyBorder="1" applyAlignment="1">
      <alignment horizontal="center" vertical="top"/>
    </xf>
    <xf numFmtId="0" fontId="0" fillId="6" borderId="72" xfId="0" applyFill="1" applyBorder="1" applyAlignment="1">
      <alignment horizontal="center" vertical="top"/>
    </xf>
    <xf numFmtId="0" fontId="0" fillId="6" borderId="73" xfId="0" applyNumberFormat="1" applyFill="1" applyBorder="1" applyAlignment="1">
      <alignment horizontal="center" vertical="top"/>
    </xf>
    <xf numFmtId="0" fontId="0" fillId="6" borderId="84" xfId="0" applyNumberFormat="1" applyFill="1" applyBorder="1" applyAlignment="1">
      <alignment horizontal="center" vertical="top"/>
    </xf>
    <xf numFmtId="0" fontId="4" fillId="0" borderId="55" xfId="0" applyFont="1" applyFill="1" applyBorder="1" applyAlignment="1">
      <alignment horizontal="center" vertical="top" wrapText="1"/>
    </xf>
    <xf numFmtId="0" fontId="28" fillId="0" borderId="54" xfId="0" applyNumberFormat="1" applyFont="1" applyFill="1" applyBorder="1" applyAlignment="1">
      <alignment horizontal="center" vertical="top" wrapText="1"/>
    </xf>
    <xf numFmtId="0" fontId="28" fillId="0" borderId="53" xfId="0" applyNumberFormat="1" applyFont="1" applyFill="1" applyBorder="1" applyAlignment="1">
      <alignment horizontal="center" vertical="top" wrapText="1"/>
    </xf>
    <xf numFmtId="0" fontId="4" fillId="0" borderId="4" xfId="0" applyFont="1" applyFill="1" applyBorder="1" applyAlignment="1">
      <alignment horizontal="center" vertical="top" wrapText="1"/>
    </xf>
    <xf numFmtId="0" fontId="28" fillId="0" borderId="26" xfId="0" applyNumberFormat="1" applyFont="1" applyFill="1" applyBorder="1" applyAlignment="1">
      <alignment horizontal="center" vertical="top" wrapText="1"/>
    </xf>
    <xf numFmtId="0" fontId="28" fillId="0" borderId="27" xfId="0" applyNumberFormat="1" applyFont="1" applyFill="1" applyBorder="1" applyAlignment="1">
      <alignment horizontal="center" vertical="top" wrapText="1"/>
    </xf>
    <xf numFmtId="0" fontId="2" fillId="0" borderId="4" xfId="0" applyFont="1" applyFill="1" applyBorder="1" applyAlignment="1">
      <alignment horizontal="center" vertical="top" wrapText="1"/>
    </xf>
    <xf numFmtId="0" fontId="28" fillId="0" borderId="26" xfId="0" applyFont="1" applyFill="1" applyBorder="1" applyAlignment="1">
      <alignment horizontal="left" vertical="top" wrapText="1"/>
    </xf>
    <xf numFmtId="0" fontId="12" fillId="38" borderId="86" xfId="0" applyFont="1" applyFill="1" applyBorder="1" applyAlignment="1">
      <alignment horizontal="center" vertical="center" wrapText="1"/>
    </xf>
    <xf numFmtId="0" fontId="14" fillId="38" borderId="87" xfId="0" applyFont="1" applyFill="1" applyBorder="1" applyAlignment="1">
      <alignment horizontal="center" vertical="center"/>
    </xf>
    <xf numFmtId="14" fontId="14" fillId="38" borderId="87" xfId="0" applyNumberFormat="1" applyFont="1" applyFill="1" applyBorder="1" applyAlignment="1">
      <alignment horizontal="center" vertical="center"/>
    </xf>
    <xf numFmtId="0" fontId="15" fillId="38" borderId="86" xfId="0" applyFont="1" applyFill="1" applyBorder="1" applyAlignment="1">
      <alignment horizontal="center" vertical="center"/>
    </xf>
    <xf numFmtId="14" fontId="14" fillId="10" borderId="87" xfId="0" applyNumberFormat="1" applyFont="1" applyFill="1" applyBorder="1" applyAlignment="1">
      <alignment horizontal="center" vertical="center"/>
    </xf>
    <xf numFmtId="0" fontId="14" fillId="38" borderId="88" xfId="0" applyFont="1" applyFill="1" applyBorder="1" applyAlignment="1">
      <alignment horizontal="center" vertical="center"/>
    </xf>
    <xf numFmtId="0" fontId="11" fillId="38" borderId="86" xfId="0" applyFont="1" applyFill="1" applyBorder="1" applyAlignment="1">
      <alignment horizontal="center" vertical="center"/>
    </xf>
    <xf numFmtId="0" fontId="11" fillId="38" borderId="88" xfId="0" applyFont="1" applyFill="1" applyBorder="1" applyAlignment="1">
      <alignment horizontal="center" vertical="center"/>
    </xf>
    <xf numFmtId="0" fontId="51" fillId="0" borderId="0" xfId="0" applyFont="1" applyFill="1" applyBorder="1" applyAlignment="1" applyProtection="1">
      <alignment vertical="center" wrapText="1"/>
    </xf>
    <xf numFmtId="0" fontId="52" fillId="0" borderId="0" xfId="0" applyFont="1" applyFill="1" applyBorder="1" applyAlignment="1" applyProtection="1">
      <alignment vertical="center" wrapText="1"/>
    </xf>
    <xf numFmtId="0" fontId="52" fillId="0" borderId="0" xfId="0" applyFont="1" applyFill="1" applyBorder="1" applyAlignment="1" applyProtection="1">
      <alignment horizontal="center" vertical="center"/>
    </xf>
    <xf numFmtId="0" fontId="51" fillId="0" borderId="0" xfId="0" applyFont="1" applyFill="1" applyBorder="1" applyAlignment="1" applyProtection="1">
      <alignment horizontal="center" vertical="center"/>
    </xf>
    <xf numFmtId="49" fontId="51" fillId="0" borderId="0" xfId="0" applyNumberFormat="1" applyFont="1" applyFill="1" applyBorder="1" applyAlignment="1" applyProtection="1">
      <alignment vertical="center" wrapText="1"/>
    </xf>
    <xf numFmtId="0" fontId="0" fillId="0" borderId="0" xfId="0" applyFill="1" applyBorder="1"/>
    <xf numFmtId="2" fontId="28" fillId="10" borderId="15" xfId="0" applyNumberFormat="1" applyFont="1" applyFill="1" applyBorder="1" applyAlignment="1">
      <alignment horizontal="center" vertical="center"/>
    </xf>
    <xf numFmtId="2" fontId="28" fillId="10" borderId="18" xfId="0" applyNumberFormat="1" applyFont="1" applyFill="1" applyBorder="1" applyAlignment="1">
      <alignment horizontal="center" vertical="center"/>
    </xf>
    <xf numFmtId="2" fontId="28" fillId="10" borderId="16" xfId="0" applyNumberFormat="1" applyFont="1" applyFill="1" applyBorder="1" applyAlignment="1">
      <alignment horizontal="center" vertical="center"/>
    </xf>
    <xf numFmtId="2" fontId="28" fillId="10" borderId="84" xfId="0" applyNumberFormat="1" applyFont="1" applyFill="1" applyBorder="1" applyAlignment="1">
      <alignment horizontal="center" vertical="center"/>
    </xf>
    <xf numFmtId="2" fontId="28" fillId="10" borderId="67" xfId="0" applyNumberFormat="1" applyFont="1" applyFill="1" applyBorder="1" applyAlignment="1">
      <alignment horizontal="center" vertical="center"/>
    </xf>
    <xf numFmtId="0" fontId="11" fillId="6" borderId="21" xfId="0" applyFont="1" applyFill="1" applyBorder="1" applyAlignment="1">
      <alignment horizontal="center" vertical="center" wrapText="1"/>
    </xf>
    <xf numFmtId="0" fontId="0" fillId="0" borderId="52" xfId="0" applyNumberFormat="1" applyFill="1" applyBorder="1" applyAlignment="1">
      <alignment horizontal="center" vertical="top" wrapText="1"/>
    </xf>
    <xf numFmtId="0" fontId="0" fillId="0" borderId="28" xfId="0" applyNumberFormat="1" applyFill="1" applyBorder="1" applyAlignment="1">
      <alignment horizontal="center" vertical="top" wrapText="1"/>
    </xf>
    <xf numFmtId="0" fontId="8" fillId="0" borderId="0" xfId="0" applyFont="1" applyFill="1" applyBorder="1" applyAlignment="1">
      <alignment horizontal="center"/>
    </xf>
    <xf numFmtId="0" fontId="8" fillId="0" borderId="0" xfId="0" applyFont="1"/>
    <xf numFmtId="0" fontId="0" fillId="8" borderId="89" xfId="0" applyFont="1" applyFill="1" applyBorder="1" applyAlignment="1">
      <alignment horizontal="center" vertical="top" wrapText="1"/>
    </xf>
    <xf numFmtId="0" fontId="0" fillId="8" borderId="90" xfId="0" applyFont="1" applyFill="1" applyBorder="1" applyAlignment="1">
      <alignment horizontal="center" vertical="top" wrapText="1"/>
    </xf>
    <xf numFmtId="0" fontId="0" fillId="8" borderId="29" xfId="0" applyFont="1" applyFill="1" applyBorder="1" applyAlignment="1">
      <alignment horizontal="center" vertical="top" wrapText="1"/>
    </xf>
    <xf numFmtId="0" fontId="0" fillId="8" borderId="30" xfId="0" applyFont="1" applyFill="1" applyBorder="1" applyAlignment="1">
      <alignment horizontal="center" vertical="top" wrapText="1"/>
    </xf>
    <xf numFmtId="1" fontId="0" fillId="6" borderId="1" xfId="0" applyNumberFormat="1" applyFill="1" applyBorder="1" applyAlignment="1">
      <alignment horizontal="center" vertical="top"/>
    </xf>
    <xf numFmtId="1" fontId="0" fillId="6" borderId="32" xfId="0" applyNumberFormat="1" applyFill="1" applyBorder="1" applyAlignment="1">
      <alignment horizontal="center" vertical="top"/>
    </xf>
    <xf numFmtId="0" fontId="8" fillId="0" borderId="0" xfId="0" applyFont="1" applyAlignment="1">
      <alignment horizontal="center" vertical="center"/>
    </xf>
    <xf numFmtId="0" fontId="28" fillId="0" borderId="0" xfId="0" applyFont="1" applyAlignment="1">
      <alignment horizontal="center" vertical="center"/>
    </xf>
    <xf numFmtId="0" fontId="8" fillId="36" borderId="10" xfId="0" applyFont="1" applyFill="1" applyBorder="1" applyAlignment="1">
      <alignment horizontal="center"/>
    </xf>
    <xf numFmtId="0" fontId="11" fillId="6" borderId="3" xfId="0" applyFont="1" applyFill="1" applyBorder="1" applyAlignment="1">
      <alignment horizontal="center" vertical="center" wrapText="1"/>
    </xf>
    <xf numFmtId="2" fontId="28" fillId="10" borderId="91" xfId="0" applyNumberFormat="1" applyFont="1" applyFill="1" applyBorder="1" applyAlignment="1">
      <alignment horizontal="center" vertical="center"/>
    </xf>
    <xf numFmtId="0" fontId="11" fillId="6" borderId="17" xfId="0" applyFont="1" applyFill="1" applyBorder="1" applyAlignment="1">
      <alignment horizontal="center" vertical="center" wrapText="1"/>
    </xf>
    <xf numFmtId="0" fontId="14" fillId="6" borderId="28" xfId="0" applyFont="1" applyFill="1" applyBorder="1" applyAlignment="1">
      <alignment horizontal="center" vertical="center" wrapText="1"/>
    </xf>
    <xf numFmtId="0" fontId="14" fillId="6" borderId="68" xfId="0" applyFont="1" applyFill="1" applyBorder="1" applyAlignment="1">
      <alignment horizontal="center" vertical="center" wrapText="1"/>
    </xf>
    <xf numFmtId="0" fontId="11" fillId="0" borderId="15" xfId="0" applyFont="1" applyFill="1" applyBorder="1" applyAlignment="1">
      <alignment horizontal="center" vertical="center"/>
    </xf>
    <xf numFmtId="0" fontId="11" fillId="0" borderId="18" xfId="0" applyFont="1" applyFill="1" applyBorder="1" applyAlignment="1">
      <alignment horizontal="center" vertical="center"/>
    </xf>
    <xf numFmtId="0" fontId="11" fillId="0" borderId="31" xfId="0" applyFont="1" applyFill="1" applyBorder="1" applyAlignment="1">
      <alignment horizontal="center" vertical="center"/>
    </xf>
    <xf numFmtId="0" fontId="11" fillId="0" borderId="16" xfId="0" applyFont="1" applyFill="1" applyBorder="1" applyAlignment="1">
      <alignment horizontal="center" vertical="center"/>
    </xf>
    <xf numFmtId="0" fontId="11" fillId="0" borderId="17" xfId="0" applyFont="1" applyBorder="1" applyAlignment="1">
      <alignment horizontal="center" vertical="center"/>
    </xf>
    <xf numFmtId="0" fontId="11" fillId="0" borderId="38" xfId="0" applyFont="1" applyBorder="1" applyAlignment="1">
      <alignment horizontal="center" vertical="center"/>
    </xf>
    <xf numFmtId="0" fontId="11" fillId="0" borderId="82" xfId="0" applyFont="1" applyBorder="1" applyAlignment="1">
      <alignment horizontal="center" vertical="center"/>
    </xf>
    <xf numFmtId="0" fontId="11" fillId="6" borderId="21" xfId="0" applyFont="1" applyFill="1" applyBorder="1" applyAlignment="1">
      <alignment horizontal="center" vertical="center" wrapText="1"/>
    </xf>
    <xf numFmtId="0" fontId="11" fillId="6" borderId="72" xfId="0" applyFont="1" applyFill="1" applyBorder="1" applyAlignment="1">
      <alignment horizontal="center" vertical="center" wrapText="1"/>
    </xf>
    <xf numFmtId="0" fontId="7" fillId="0" borderId="33" xfId="0" applyFont="1" applyBorder="1" applyAlignment="1">
      <alignment horizontal="center" vertical="center" wrapText="1"/>
    </xf>
    <xf numFmtId="0" fontId="7" fillId="0" borderId="18" xfId="0" applyFont="1" applyBorder="1" applyAlignment="1">
      <alignment horizontal="center" vertical="center" wrapText="1"/>
    </xf>
    <xf numFmtId="0" fontId="7" fillId="0" borderId="16" xfId="0" applyFont="1" applyBorder="1" applyAlignment="1">
      <alignment horizontal="center" vertical="center" wrapText="1"/>
    </xf>
    <xf numFmtId="0" fontId="7" fillId="0" borderId="15"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6" xfId="0" applyFont="1" applyBorder="1" applyAlignment="1">
      <alignment horizontal="center" vertical="center" wrapText="1"/>
    </xf>
    <xf numFmtId="0" fontId="2" fillId="0" borderId="66" xfId="0" applyFont="1" applyBorder="1" applyAlignment="1">
      <alignment horizontal="center" vertical="center" wrapText="1"/>
    </xf>
    <xf numFmtId="0" fontId="2" fillId="0" borderId="48" xfId="0" applyFont="1" applyBorder="1" applyAlignment="1">
      <alignment horizontal="center" vertical="center" wrapText="1"/>
    </xf>
    <xf numFmtId="0" fontId="2" fillId="0" borderId="47" xfId="0" applyFont="1" applyBorder="1" applyAlignment="1">
      <alignment horizontal="center" vertical="center" wrapText="1"/>
    </xf>
    <xf numFmtId="0" fontId="7" fillId="0" borderId="38" xfId="0" applyFont="1" applyBorder="1" applyAlignment="1">
      <alignment horizontal="center" vertical="center" wrapText="1"/>
    </xf>
    <xf numFmtId="0" fontId="6" fillId="0" borderId="31"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29" xfId="0" applyFont="1" applyBorder="1" applyAlignment="1">
      <alignment horizontal="center" vertical="center" wrapText="1"/>
    </xf>
    <xf numFmtId="0" fontId="7" fillId="0" borderId="22" xfId="0" applyFont="1" applyBorder="1" applyAlignment="1">
      <alignment horizontal="center" vertical="center" wrapText="1"/>
    </xf>
    <xf numFmtId="0" fontId="6" fillId="0" borderId="15" xfId="0" applyFont="1" applyBorder="1" applyAlignment="1">
      <alignment horizontal="center" vertical="center" wrapText="1"/>
    </xf>
    <xf numFmtId="0" fontId="0" fillId="0" borderId="0" xfId="0" applyAlignment="1">
      <alignment horizontal="center" vertical="center"/>
    </xf>
    <xf numFmtId="0" fontId="0" fillId="0" borderId="75" xfId="0" applyBorder="1" applyAlignment="1">
      <alignment horizontal="center" vertical="center"/>
    </xf>
    <xf numFmtId="0" fontId="16" fillId="11" borderId="29" xfId="0" applyFont="1" applyFill="1" applyBorder="1" applyAlignment="1">
      <alignment horizontal="center" vertical="center" wrapText="1"/>
    </xf>
    <xf numFmtId="0" fontId="16" fillId="11" borderId="30" xfId="0" applyFont="1" applyFill="1" applyBorder="1" applyAlignment="1">
      <alignment horizontal="center" vertical="center" wrapText="1"/>
    </xf>
    <xf numFmtId="0" fontId="16" fillId="11" borderId="66" xfId="0" applyFont="1" applyFill="1" applyBorder="1" applyAlignment="1">
      <alignment horizontal="center" vertical="center" wrapText="1"/>
    </xf>
    <xf numFmtId="0" fontId="11" fillId="0" borderId="66" xfId="0" applyFont="1" applyBorder="1" applyAlignment="1">
      <alignment horizontal="center" vertical="center"/>
    </xf>
    <xf numFmtId="0" fontId="11" fillId="0" borderId="47" xfId="0" applyFont="1" applyBorder="1" applyAlignment="1">
      <alignment horizontal="center" vertical="center"/>
    </xf>
    <xf numFmtId="0" fontId="7" fillId="11" borderId="17" xfId="0" applyFont="1" applyFill="1" applyBorder="1" applyAlignment="1">
      <alignment horizontal="center" vertical="center" wrapText="1"/>
    </xf>
    <xf numFmtId="0" fontId="7" fillId="11" borderId="38" xfId="0" applyFont="1" applyFill="1" applyBorder="1" applyAlignment="1">
      <alignment horizontal="center" vertical="center" wrapText="1"/>
    </xf>
    <xf numFmtId="0" fontId="11" fillId="9" borderId="22" xfId="0" applyFont="1" applyFill="1" applyBorder="1" applyAlignment="1">
      <alignment horizontal="center" vertical="center" wrapText="1"/>
    </xf>
    <xf numFmtId="0" fontId="11" fillId="9" borderId="0" xfId="0" applyFont="1" applyFill="1" applyBorder="1" applyAlignment="1">
      <alignment horizontal="center" vertical="center" wrapText="1"/>
    </xf>
    <xf numFmtId="49" fontId="11" fillId="6" borderId="17" xfId="0" applyNumberFormat="1" applyFont="1" applyFill="1" applyBorder="1" applyAlignment="1">
      <alignment horizontal="center" vertical="center" wrapText="1"/>
    </xf>
    <xf numFmtId="49" fontId="11" fillId="6" borderId="69" xfId="0" applyNumberFormat="1" applyFont="1" applyFill="1" applyBorder="1" applyAlignment="1">
      <alignment horizontal="center" vertical="center" wrapText="1"/>
    </xf>
    <xf numFmtId="14" fontId="11" fillId="6" borderId="31" xfId="0" applyNumberFormat="1" applyFont="1" applyFill="1" applyBorder="1" applyAlignment="1">
      <alignment horizontal="center" vertical="center" wrapText="1"/>
    </xf>
    <xf numFmtId="14" fontId="11" fillId="6" borderId="34" xfId="0" applyNumberFormat="1" applyFont="1" applyFill="1" applyBorder="1" applyAlignment="1">
      <alignment horizontal="center" vertical="center" wrapText="1"/>
    </xf>
    <xf numFmtId="0" fontId="16" fillId="11" borderId="14" xfId="0" applyFont="1" applyFill="1" applyBorder="1" applyAlignment="1">
      <alignment horizontal="center" vertical="center" wrapText="1"/>
    </xf>
    <xf numFmtId="0" fontId="11" fillId="11" borderId="13" xfId="0" applyFont="1" applyFill="1" applyBorder="1" applyAlignment="1">
      <alignment horizontal="center" vertical="center" wrapText="1"/>
    </xf>
    <xf numFmtId="0" fontId="11" fillId="11" borderId="14" xfId="0" applyFont="1" applyFill="1" applyBorder="1" applyAlignment="1">
      <alignment horizontal="center" vertical="center" wrapText="1"/>
    </xf>
    <xf numFmtId="0" fontId="11" fillId="11" borderId="43" xfId="0" applyFont="1" applyFill="1" applyBorder="1" applyAlignment="1">
      <alignment horizontal="center" vertical="center" wrapText="1"/>
    </xf>
    <xf numFmtId="0" fontId="14" fillId="11" borderId="14" xfId="0" applyFont="1" applyFill="1" applyBorder="1" applyAlignment="1">
      <alignment horizontal="center" vertical="center"/>
    </xf>
    <xf numFmtId="14" fontId="11" fillId="6" borderId="15" xfId="0" applyNumberFormat="1" applyFont="1" applyFill="1" applyBorder="1" applyAlignment="1">
      <alignment horizontal="center" vertical="center" wrapText="1"/>
    </xf>
    <xf numFmtId="14" fontId="11" fillId="6" borderId="16" xfId="0" applyNumberFormat="1" applyFont="1" applyFill="1" applyBorder="1" applyAlignment="1">
      <alignment horizontal="center" vertical="center" wrapText="1"/>
    </xf>
    <xf numFmtId="14" fontId="11" fillId="6" borderId="36" xfId="0" applyNumberFormat="1" applyFont="1" applyFill="1" applyBorder="1" applyAlignment="1">
      <alignment horizontal="center" vertical="center" wrapText="1"/>
    </xf>
    <xf numFmtId="14" fontId="11" fillId="6" borderId="78" xfId="0" applyNumberFormat="1" applyFont="1" applyFill="1" applyBorder="1" applyAlignment="1">
      <alignment horizontal="center" vertical="center" wrapText="1"/>
    </xf>
    <xf numFmtId="14" fontId="11" fillId="6" borderId="77" xfId="0" applyNumberFormat="1" applyFont="1" applyFill="1" applyBorder="1" applyAlignment="1">
      <alignment horizontal="center" vertical="center" wrapText="1"/>
    </xf>
    <xf numFmtId="0" fontId="15" fillId="11" borderId="17" xfId="0" applyFont="1" applyFill="1" applyBorder="1" applyAlignment="1">
      <alignment horizontal="center" vertical="center" wrapText="1"/>
    </xf>
    <xf numFmtId="0" fontId="15" fillId="11" borderId="38" xfId="0" applyFont="1" applyFill="1" applyBorder="1" applyAlignment="1">
      <alignment horizontal="center" vertical="center" wrapText="1"/>
    </xf>
    <xf numFmtId="0" fontId="0" fillId="0" borderId="2" xfId="0" applyFont="1" applyBorder="1" applyAlignment="1">
      <alignment horizontal="center" vertical="center" wrapText="1"/>
    </xf>
    <xf numFmtId="0" fontId="0" fillId="0" borderId="9" xfId="0" applyFont="1" applyBorder="1" applyAlignment="1">
      <alignment horizontal="center" vertical="center" wrapText="1"/>
    </xf>
    <xf numFmtId="0" fontId="0" fillId="0" borderId="10" xfId="0" applyFont="1" applyBorder="1" applyAlignment="1">
      <alignment horizontal="center" vertical="center" wrapText="1"/>
    </xf>
    <xf numFmtId="0" fontId="2" fillId="2" borderId="2" xfId="48716" applyFont="1" applyFill="1" applyBorder="1" applyAlignment="1">
      <alignment horizontal="center" vertical="center" wrapText="1"/>
    </xf>
    <xf numFmtId="0" fontId="2" fillId="2" borderId="9" xfId="48716" applyFont="1" applyFill="1" applyBorder="1" applyAlignment="1">
      <alignment horizontal="center" vertical="center" wrapText="1"/>
    </xf>
    <xf numFmtId="0" fontId="2" fillId="2" borderId="10" xfId="48716" applyFont="1" applyFill="1" applyBorder="1" applyAlignment="1">
      <alignment horizontal="center" vertical="center" wrapText="1"/>
    </xf>
    <xf numFmtId="0" fontId="55" fillId="0" borderId="0" xfId="0" applyFont="1" applyFill="1" applyBorder="1" applyAlignment="1" applyProtection="1">
      <alignment horizontal="center" vertical="center"/>
    </xf>
  </cellXfs>
  <cellStyles count="48929">
    <cellStyle name="0,0_x000d__x000a_NA_x000d__x000a_" xfId="151"/>
    <cellStyle name="0,0_x000d__x000a_NA_x000d__x000a_ 2" xfId="371"/>
    <cellStyle name="0,0_x000d__x000a_NA_x000d__x000a_ 2 2" xfId="182"/>
    <cellStyle name="0,0_x000d__x000a_NA_x000d__x000a_ 3" xfId="382"/>
    <cellStyle name="0,0_x000d__x000a_NA_x000d__x000a_ 4" xfId="389"/>
    <cellStyle name="0,0_x000d__x000a_NA_x000d__x000a_ 5" xfId="390"/>
    <cellStyle name="0,0_x000d__x000a_NA_x000d__x000a_ 6" xfId="391"/>
    <cellStyle name="20% - 强调文字颜色 1 2" xfId="6"/>
    <cellStyle name="20% - 强调文字颜色 1 2 2" xfId="395"/>
    <cellStyle name="20% - 强调文字颜色 1 2 2 2" xfId="67"/>
    <cellStyle name="20% - 强调文字颜色 1 2 2 3" xfId="171"/>
    <cellStyle name="20% - 强调文字颜色 1 2 3" xfId="252"/>
    <cellStyle name="20% - 强调文字颜色 1 2 3 2" xfId="351"/>
    <cellStyle name="20% - 强调文字颜色 1 2 3 3" xfId="402"/>
    <cellStyle name="20% - 强调文字颜色 1 2 4" xfId="418"/>
    <cellStyle name="20% - 强调文字颜色 1 2 4 2" xfId="325"/>
    <cellStyle name="20% - 强调文字颜色 1 2 4_副本EBMP-信息科技部应用开发项目程序投产需求清单-20130425-01" xfId="423"/>
    <cellStyle name="20% - 强调文字颜色 1 2 5" xfId="440"/>
    <cellStyle name="20% - 强调文字颜色 1 2 6" xfId="445"/>
    <cellStyle name="20% - 强调文字颜色 1 3" xfId="451"/>
    <cellStyle name="20% - 强调文字颜色 1 4" xfId="457"/>
    <cellStyle name="20% - 强调文字颜色 2 2" xfId="465"/>
    <cellStyle name="20% - 强调文字颜色 2 2 2" xfId="467"/>
    <cellStyle name="20% - 强调文字颜色 2 2 2 2" xfId="470"/>
    <cellStyle name="20% - 强调文字颜色 2 2 2 3" xfId="471"/>
    <cellStyle name="20% - 强调文字颜色 2 2 3" xfId="473"/>
    <cellStyle name="20% - 强调文字颜色 2 2 3 2" xfId="478"/>
    <cellStyle name="20% - 强调文字颜色 2 2 3 3" xfId="480"/>
    <cellStyle name="20% - 强调文字颜色 2 2 4" xfId="483"/>
    <cellStyle name="20% - 强调文字颜色 2 2 4 2" xfId="492"/>
    <cellStyle name="20% - 强调文字颜色 2 2 4_副本EBMP-信息科技部应用开发项目程序投产需求清单-20130425-01" xfId="297"/>
    <cellStyle name="20% - 强调文字颜色 2 2 5" xfId="496"/>
    <cellStyle name="20% - 强调文字颜色 2 2 6" xfId="501"/>
    <cellStyle name="20% - 强调文字颜色 2 3" xfId="519"/>
    <cellStyle name="20% - 强调文字颜色 2 4" xfId="528"/>
    <cellStyle name="20% - 强调文字颜色 3 2" xfId="540"/>
    <cellStyle name="20% - 强调文字颜色 3 2 2" xfId="542"/>
    <cellStyle name="20% - 强调文字颜色 3 2 2 2" xfId="546"/>
    <cellStyle name="20% - 强调文字颜色 3 2 2 3" xfId="550"/>
    <cellStyle name="20% - 强调文字颜色 3 2 3" xfId="553"/>
    <cellStyle name="20% - 强调文字颜色 3 2 3 2" xfId="556"/>
    <cellStyle name="20% - 强调文字颜色 3 2 3 3" xfId="24"/>
    <cellStyle name="20% - 强调文字颜色 3 2 4" xfId="564"/>
    <cellStyle name="20% - 强调文字颜色 3 2 4 2" xfId="566"/>
    <cellStyle name="20% - 强调文字颜色 3 2 4_副本EBMP-信息科技部应用开发项目程序投产需求清单-20130425-01" xfId="575"/>
    <cellStyle name="20% - 强调文字颜色 3 2 5" xfId="581"/>
    <cellStyle name="20% - 强调文字颜色 3 2 6" xfId="586"/>
    <cellStyle name="20% - 强调文字颜色 3 3" xfId="265"/>
    <cellStyle name="20% - 强调文字颜色 3 4" xfId="590"/>
    <cellStyle name="20% - 强调文字颜色 4 2" xfId="599"/>
    <cellStyle name="20% - 强调文字颜色 4 2 2" xfId="600"/>
    <cellStyle name="20% - 强调文字颜色 4 2 2 2" xfId="606"/>
    <cellStyle name="20% - 强调文字颜色 4 2 2 3" xfId="612"/>
    <cellStyle name="20% - 强调文字颜色 4 2 3" xfId="617"/>
    <cellStyle name="20% - 强调文字颜色 4 2 3 2" xfId="626"/>
    <cellStyle name="20% - 强调文字颜色 4 2 3 3" xfId="642"/>
    <cellStyle name="20% - 强调文字颜色 4 2 4" xfId="644"/>
    <cellStyle name="20% - 强调文字颜色 4 2 4 2" xfId="647"/>
    <cellStyle name="20% - 强调文字颜色 4 2 4_副本EBMP-信息科技部应用开发项目程序投产需求清单-20130425-01" xfId="656"/>
    <cellStyle name="20% - 强调文字颜色 4 2 5" xfId="660"/>
    <cellStyle name="20% - 强调文字颜色 4 2 6" xfId="662"/>
    <cellStyle name="20% - 强调文字颜色 4 3" xfId="666"/>
    <cellStyle name="20% - 强调文字颜色 4 4" xfId="671"/>
    <cellStyle name="20% - 强调文字颜色 5 2" xfId="672"/>
    <cellStyle name="20% - 强调文字颜色 5 2 2" xfId="675"/>
    <cellStyle name="20% - 强调文字颜色 5 2 2 2" xfId="681"/>
    <cellStyle name="20% - 强调文字颜色 5 2 2 3" xfId="683"/>
    <cellStyle name="20% - 强调文字颜色 5 2 3" xfId="687"/>
    <cellStyle name="20% - 强调文字颜色 5 2 3 2" xfId="690"/>
    <cellStyle name="20% - 强调文字颜色 5 2 3 3" xfId="157"/>
    <cellStyle name="20% - 强调文字颜色 5 2 4" xfId="697"/>
    <cellStyle name="20% - 强调文字颜色 5 2 4 2" xfId="700"/>
    <cellStyle name="20% - 强调文字颜色 5 2 4_副本EBMP-信息科技部应用开发项目程序投产需求清单-20130425-01" xfId="559"/>
    <cellStyle name="20% - 强调文字颜色 5 2 5" xfId="702"/>
    <cellStyle name="20% - 强调文字颜色 5 2 6" xfId="704"/>
    <cellStyle name="20% - 强调文字颜色 5 3" xfId="707"/>
    <cellStyle name="20% - 强调文字颜色 5 4" xfId="712"/>
    <cellStyle name="20% - 强调文字颜色 6 2" xfId="722"/>
    <cellStyle name="20% - 强调文字颜色 6 2 2" xfId="725"/>
    <cellStyle name="20% - 强调文字颜色 6 2 2 2" xfId="727"/>
    <cellStyle name="20% - 强调文字颜色 6 2 2 3" xfId="731"/>
    <cellStyle name="20% - 强调文字颜色 6 2 3" xfId="735"/>
    <cellStyle name="20% - 强调文字颜色 6 2 3 2" xfId="739"/>
    <cellStyle name="20% - 强调文字颜色 6 2 3 3" xfId="748"/>
    <cellStyle name="20% - 强调文字颜色 6 2 4" xfId="753"/>
    <cellStyle name="20% - 强调文字颜色 6 2 4 2" xfId="759"/>
    <cellStyle name="20% - 强调文字颜色 6 2 4_副本EBMP-信息科技部应用开发项目程序投产需求清单-20130425-01" xfId="760"/>
    <cellStyle name="20% - 强调文字颜色 6 2 5" xfId="698"/>
    <cellStyle name="20% - 强调文字颜色 6 2 6" xfId="761"/>
    <cellStyle name="20% - 强调文字颜色 6 3" xfId="770"/>
    <cellStyle name="20% - 强调文字颜色 6 4" xfId="777"/>
    <cellStyle name="40% - 强调文字颜色 1 2" xfId="779"/>
    <cellStyle name="40% - 强调文字颜色 1 2 2" xfId="793"/>
    <cellStyle name="40% - 强调文字颜色 1 2 2 2" xfId="794"/>
    <cellStyle name="40% - 强调文字颜色 1 2 2 3" xfId="798"/>
    <cellStyle name="40% - 强调文字颜色 1 2 3" xfId="799"/>
    <cellStyle name="40% - 强调文字颜色 1 2 3 2" xfId="497"/>
    <cellStyle name="40% - 强调文字颜色 1 2 3 3" xfId="800"/>
    <cellStyle name="40% - 强调文字颜色 1 2 4" xfId="802"/>
    <cellStyle name="40% - 强调文字颜色 1 2 4 2" xfId="27"/>
    <cellStyle name="40% - 强调文字颜色 1 2 4_副本EBMP-信息科技部应用开发项目程序投产需求清单-20130425-01" xfId="810"/>
    <cellStyle name="40% - 强调文字颜色 1 2 5" xfId="814"/>
    <cellStyle name="40% - 强调文字颜色 1 2 6" xfId="819"/>
    <cellStyle name="40% - 强调文字颜色 1 3" xfId="822"/>
    <cellStyle name="40% - 强调文字颜色 1 4" xfId="827"/>
    <cellStyle name="40% - 强调文字颜色 2 2" xfId="249"/>
    <cellStyle name="40% - 强调文字颜色 2 2 2" xfId="348"/>
    <cellStyle name="40% - 强调文字颜色 2 2 2 2" xfId="833"/>
    <cellStyle name="40% - 强调文字颜色 2 2 2 3" xfId="844"/>
    <cellStyle name="40% - 强调文字颜色 2 2 3" xfId="399"/>
    <cellStyle name="40% - 强调文字颜色 2 2 3 2" xfId="848"/>
    <cellStyle name="40% - 强调文字颜色 2 2 3 3" xfId="857"/>
    <cellStyle name="40% - 强调文字颜色 2 2 4" xfId="861"/>
    <cellStyle name="40% - 强调文字颜色 2 2 4 2" xfId="866"/>
    <cellStyle name="40% - 强调文字颜色 2 2 4_副本EBMP-信息科技部应用开发项目程序投产需求清单-20130425-01" xfId="868"/>
    <cellStyle name="40% - 强调文字颜色 2 2 5" xfId="875"/>
    <cellStyle name="40% - 强调文字颜色 2 2 6" xfId="881"/>
    <cellStyle name="40% - 强调文字颜色 2 3" xfId="412"/>
    <cellStyle name="40% - 强调文字颜色 2 4" xfId="435"/>
    <cellStyle name="40% - 强调文字颜色 3 2" xfId="884"/>
    <cellStyle name="40% - 强调文字颜色 3 2 2" xfId="885"/>
    <cellStyle name="40% - 强调文字颜色 3 2 2 2" xfId="897"/>
    <cellStyle name="40% - 强调文字颜色 3 2 2 3" xfId="903"/>
    <cellStyle name="40% - 强调文字颜色 3 2 3" xfId="904"/>
    <cellStyle name="40% - 强调文字颜色 3 2 3 2" xfId="652"/>
    <cellStyle name="40% - 强调文字颜色 3 2 3 3" xfId="917"/>
    <cellStyle name="40% - 强调文字颜色 3 2 4" xfId="891"/>
    <cellStyle name="40% - 强调文字颜色 3 2 4 2" xfId="930"/>
    <cellStyle name="40% - 强调文字颜色 3 2 4_副本EBMP-信息科技部应用开发项目程序投产需求清单-20130425-01" xfId="888"/>
    <cellStyle name="40% - 强调文字颜色 3 2 5" xfId="898"/>
    <cellStyle name="40% - 强调文字颜色 3 2 6" xfId="931"/>
    <cellStyle name="40% - 强调文字颜色 3 3" xfId="937"/>
    <cellStyle name="40% - 强调文字颜色 3 4" xfId="939"/>
    <cellStyle name="40% - 强调文字颜色 4 2" xfId="191"/>
    <cellStyle name="40% - 强调文字颜色 4 2 2" xfId="941"/>
    <cellStyle name="40% - 强调文字颜色 4 2 2 2" xfId="951"/>
    <cellStyle name="40% - 强调文字颜色 4 2 2 3" xfId="959"/>
    <cellStyle name="40% - 强调文字颜色 4 2 3" xfId="960"/>
    <cellStyle name="40% - 强调文字颜色 4 2 3 2" xfId="282"/>
    <cellStyle name="40% - 强调文字颜色 4 2 3 3" xfId="217"/>
    <cellStyle name="40% - 强调文字颜色 4 2 4" xfId="961"/>
    <cellStyle name="40% - 强调文字颜色 4 2 4 2" xfId="971"/>
    <cellStyle name="40% - 强调文字颜色 4 2 4_副本EBMP-信息科技部应用开发项目程序投产需求清单-20130425-01" xfId="972"/>
    <cellStyle name="40% - 强调文字颜色 4 2 5" xfId="977"/>
    <cellStyle name="40% - 强调文字颜色 4 2 6" xfId="980"/>
    <cellStyle name="40% - 强调文字颜色 4 3" xfId="982"/>
    <cellStyle name="40% - 强调文字颜色 4 4" xfId="723"/>
    <cellStyle name="40% - 强调文字颜色 5 2" xfId="985"/>
    <cellStyle name="40% - 强调文字颜色 5 2 2" xfId="990"/>
    <cellStyle name="40% - 强调文字颜色 5 2 2 2" xfId="993"/>
    <cellStyle name="40% - 强调文字颜色 5 2 2 3" xfId="997"/>
    <cellStyle name="40% - 强调文字颜色 5 2 3" xfId="1006"/>
    <cellStyle name="40% - 强调文字颜色 5 2 3 2" xfId="1015"/>
    <cellStyle name="40% - 强调文字颜色 5 2 3 3" xfId="1017"/>
    <cellStyle name="40% - 强调文字颜色 5 2 4" xfId="1034"/>
    <cellStyle name="40% - 强调文字颜色 5 2 4 2" xfId="1042"/>
    <cellStyle name="40% - 强调文字颜色 5 2 4_副本EBMP-信息科技部应用开发项目程序投产需求清单-20130425-01" xfId="1045"/>
    <cellStyle name="40% - 强调文字颜色 5 2 5" xfId="1053"/>
    <cellStyle name="40% - 强调文字颜色 5 2 6" xfId="1064"/>
    <cellStyle name="40% - 强调文字颜色 5 3" xfId="1066"/>
    <cellStyle name="40% - 强调文字颜色 5 4" xfId="1072"/>
    <cellStyle name="40% - 强调文字颜色 6 2" xfId="1076"/>
    <cellStyle name="40% - 强调文字颜色 6 2 2" xfId="1082"/>
    <cellStyle name="40% - 强调文字颜色 6 2 2 2" xfId="1085"/>
    <cellStyle name="40% - 强调文字颜色 6 2 2 3" xfId="790"/>
    <cellStyle name="40% - 强调文字颜色 6 2 3" xfId="1087"/>
    <cellStyle name="40% - 强调文字颜色 6 2 3 2" xfId="1092"/>
    <cellStyle name="40% - 强调文字颜色 6 2 3 3" xfId="1095"/>
    <cellStyle name="40% - 强调文字颜色 6 2 4" xfId="1099"/>
    <cellStyle name="40% - 强调文字颜色 6 2 4 2" xfId="1101"/>
    <cellStyle name="40% - 强调文字颜色 6 2 4_副本EBMP-信息科技部应用开发项目程序投产需求清单-20130425-01" xfId="1102"/>
    <cellStyle name="40% - 强调文字颜色 6 2 5" xfId="1107"/>
    <cellStyle name="40% - 强调文字颜色 6 2 6" xfId="1108"/>
    <cellStyle name="40% - 强调文字颜色 6 3" xfId="1113"/>
    <cellStyle name="40% - 强调文字颜色 6 4" xfId="1127"/>
    <cellStyle name="60% - 强调文字颜色 1 2" xfId="587"/>
    <cellStyle name="60% - 强调文字颜色 1 2 2" xfId="1134"/>
    <cellStyle name="60% - 强调文字颜色 1 2 2 2" xfId="1140"/>
    <cellStyle name="60% - 强调文字颜色 1 2 2 3" xfId="1145"/>
    <cellStyle name="60% - 强调文字颜色 1 2 2 4" xfId="1161"/>
    <cellStyle name="60% - 强调文字颜色 1 2 2_副本EBMP-信息科技部应用开发项目程序投产需求清单-20130425-01" xfId="1016"/>
    <cellStyle name="60% - 强调文字颜色 1 2 3" xfId="1167"/>
    <cellStyle name="60% - 强调文字颜色 1 2 4" xfId="618"/>
    <cellStyle name="60% - 强调文字颜色 1 2 5" xfId="636"/>
    <cellStyle name="60% - 强调文字颜色 1 3" xfId="1168"/>
    <cellStyle name="60% - 强调文字颜色 1 4" xfId="476"/>
    <cellStyle name="60% - 强调文字颜色 2 2" xfId="667"/>
    <cellStyle name="60% - 强调文字颜色 2 2 2" xfId="120"/>
    <cellStyle name="60% - 强调文字颜色 2 2 2 2" xfId="141"/>
    <cellStyle name="60% - 强调文字颜色 2 2 2 3" xfId="161"/>
    <cellStyle name="60% - 强调文字颜色 2 2 2 4" xfId="104"/>
    <cellStyle name="60% - 强调文字颜色 2 2 2_副本EBMP-信息科技部应用开发项目程序投产需求清单-20130425-01" xfId="305"/>
    <cellStyle name="60% - 强调文字颜色 2 2 3" xfId="1172"/>
    <cellStyle name="60% - 强调文字颜色 2 2 4" xfId="1179"/>
    <cellStyle name="60% - 强调文字颜色 2 2 5" xfId="1187"/>
    <cellStyle name="60% - 强调文字颜色 2 3" xfId="90"/>
    <cellStyle name="60% - 强调文字颜色 2 4" xfId="487"/>
    <cellStyle name="60% - 强调文字颜色 3 2" xfId="708"/>
    <cellStyle name="60% - 强调文字颜色 3 2 2" xfId="1197"/>
    <cellStyle name="60% - 强调文字颜色 3 2 2 2" xfId="502"/>
    <cellStyle name="60% - 强调文字颜色 3 2 2 3" xfId="521"/>
    <cellStyle name="60% - 强调文字颜色 3 2 2 4" xfId="1202"/>
    <cellStyle name="60% - 强调文字颜色 3 2 2_副本EBMP-信息科技部应用开发项目程序投产需求清单-20130425-01" xfId="615"/>
    <cellStyle name="60% - 强调文字颜色 3 2 3" xfId="1218"/>
    <cellStyle name="60% - 强调文字颜色 3 2 4" xfId="1226"/>
    <cellStyle name="60% - 强调文字颜色 3 2 5" xfId="1239"/>
    <cellStyle name="60% - 强调文字颜色 3 3" xfId="1246"/>
    <cellStyle name="60% - 强调文字颜色 3 4" xfId="1248"/>
    <cellStyle name="60% - 强调文字颜色 4 2" xfId="773"/>
    <cellStyle name="60% - 强调文字颜色 4 2 2" xfId="1122"/>
    <cellStyle name="60% - 强调文字颜色 4 2 2 2" xfId="76"/>
    <cellStyle name="60% - 强调文字颜色 4 2 2 3" xfId="1259"/>
    <cellStyle name="60% - 强调文字颜色 4 2 2 4" xfId="1264"/>
    <cellStyle name="60% - 强调文字颜色 4 2 2_副本EBMP-信息科技部应用开发项目程序投产需求清单-20130425-01" xfId="1275"/>
    <cellStyle name="60% - 强调文字颜色 4 2 3" xfId="226"/>
    <cellStyle name="60% - 强调文字颜色 4 2 4" xfId="1282"/>
    <cellStyle name="60% - 强调文字颜色 4 2 5" xfId="1294"/>
    <cellStyle name="60% - 强调文字颜色 4 3" xfId="987"/>
    <cellStyle name="60% - 强调文字颜色 4 4" xfId="999"/>
    <cellStyle name="60% - 强调文字颜色 5 2" xfId="836"/>
    <cellStyle name="60% - 强调文字颜色 5 2 2" xfId="1153"/>
    <cellStyle name="60% - 强调文字颜色 5 2 2 2" xfId="338"/>
    <cellStyle name="60% - 强调文字颜色 5 2 2 3" xfId="355"/>
    <cellStyle name="60% - 强调文字颜色 5 2 2 4" xfId="1302"/>
    <cellStyle name="60% - 强调文字颜色 5 2 2_副本EBMP-信息科技部应用开发项目程序投产需求清单-20130425-01" xfId="21"/>
    <cellStyle name="60% - 强调文字颜色 5 2 3" xfId="1317"/>
    <cellStyle name="60% - 强调文字颜色 5 2 4" xfId="1321"/>
    <cellStyle name="60% - 强调文字颜色 5 2 5" xfId="1325"/>
    <cellStyle name="60% - 强调文字颜色 5 3" xfId="1327"/>
    <cellStyle name="60% - 强调文字颜色 5 4" xfId="1330"/>
    <cellStyle name="60% - 强调文字颜色 6 2" xfId="851"/>
    <cellStyle name="60% - 强调文字颜色 6 2 2" xfId="1349"/>
    <cellStyle name="60% - 强调文字颜色 6 2 2 2" xfId="432"/>
    <cellStyle name="60% - 强调文字颜色 6 2 2 3" xfId="441"/>
    <cellStyle name="60% - 强调文字颜色 6 2 2 4" xfId="1355"/>
    <cellStyle name="60% - 强调文字颜色 6 2 2_副本EBMP-信息科技部应用开发项目程序投产需求清单-20130425-01" xfId="1358"/>
    <cellStyle name="60% - 强调文字颜色 6 2 3" xfId="1364"/>
    <cellStyle name="60% - 强调文字颜色 6 2 4" xfId="717"/>
    <cellStyle name="60% - 强调文字颜色 6 2 5" xfId="765"/>
    <cellStyle name="60% - 强调文字颜色 6 3" xfId="1368"/>
    <cellStyle name="60% - 强调文字颜色 6 4" xfId="1375"/>
    <cellStyle name="ContentsHyperlink" xfId="1376"/>
    <cellStyle name="Normal 10" xfId="1381"/>
    <cellStyle name="Normal 11" xfId="1390"/>
    <cellStyle name="Normal 12" xfId="1398"/>
    <cellStyle name="Normal 13" xfId="179"/>
    <cellStyle name="Normal 14" xfId="1406"/>
    <cellStyle name="Normal 15" xfId="1079"/>
    <cellStyle name="Normal 16" xfId="1116"/>
    <cellStyle name="Normal 17" xfId="1130"/>
    <cellStyle name="Normal 18" xfId="230"/>
    <cellStyle name="Normal 19" xfId="1286"/>
    <cellStyle name="Normal 2" xfId="1417"/>
    <cellStyle name="Normal 2 2" xfId="1419"/>
    <cellStyle name="Normal 2 2 2" xfId="1425"/>
    <cellStyle name="Normal 2 3" xfId="1429"/>
    <cellStyle name="Normal 2 4" xfId="1435"/>
    <cellStyle name="Normal 20" xfId="1080"/>
    <cellStyle name="Normal 21" xfId="1117"/>
    <cellStyle name="Normal 22" xfId="1131"/>
    <cellStyle name="Normal 23" xfId="231"/>
    <cellStyle name="Normal 24" xfId="1287"/>
    <cellStyle name="Normal 25" xfId="1297"/>
    <cellStyle name="Normal 26" xfId="1356"/>
    <cellStyle name="Normal 27" xfId="886"/>
    <cellStyle name="Normal 28" xfId="905"/>
    <cellStyle name="Normal 29" xfId="893"/>
    <cellStyle name="Normal 3" xfId="1439"/>
    <cellStyle name="Normal 30" xfId="1298"/>
    <cellStyle name="Normal 31" xfId="1357"/>
    <cellStyle name="Normal 32" xfId="887"/>
    <cellStyle name="Normal 33" xfId="906"/>
    <cellStyle name="Normal 34" xfId="894"/>
    <cellStyle name="Normal 35" xfId="901"/>
    <cellStyle name="Normal 36" xfId="933"/>
    <cellStyle name="Normal 37" xfId="469"/>
    <cellStyle name="Normal 38" xfId="475"/>
    <cellStyle name="Normal 39" xfId="486"/>
    <cellStyle name="Normal 4" xfId="1442"/>
    <cellStyle name="Normal 40" xfId="902"/>
    <cellStyle name="Normal 5" xfId="1446"/>
    <cellStyle name="Normal 6" xfId="1449"/>
    <cellStyle name="Normal 7" xfId="845"/>
    <cellStyle name="Normal 8" xfId="849"/>
    <cellStyle name="Normal 9" xfId="1366"/>
    <cellStyle name="s]_x000d__x000a_load=_x000d__x000a_run=_x000d__x000a_NullPort=None_x000d__x000a_device=HP LaserJet 4 Plus,HPPCL5MS,LPT1:_x000d__x000a__x000d__x000a_[Desktop]_x000d__x000a_Wallpaper=(无)_x000d__x000a_TileWallpaper=0_x000d_" xfId="1451"/>
    <cellStyle name="s]_x000d__x000a_load=_x000d__x000a_run=_x000d__x000a_NullPort=None_x000d__x000a_device=HP LaserJet 4 Plus,HPPCL5MS,LPT1:_x000d__x000a__x000d__x000a_[Desktop]_x000d__x000a_Wallpaper=(无)_x000d__x000a_TileWallpaper=0_x000d_ 2" xfId="1455"/>
    <cellStyle name="s]_x000d__x000a_load=_x000d__x000a_run=_x000d__x000a_NullPort=None_x000d__x000a_device=HP LaserJet 4 Plus,HPPCL5MS,LPT1:_x000d__x000a__x000d__x000a_[Desktop]_x000d__x000a_Wallpaper=(无)_x000d__x000a_TileWallpaper=0_x000d_ 2 2" xfId="1384"/>
    <cellStyle name="s]_x000d__x000a_load=_x000d__x000a_run=_x000d__x000a_NullPort=None_x000d__x000a_device=HP LaserJet 4 Plus,HPPCL5MS,LPT1:_x000d__x000a__x000d__x000a_[Desktop]_x000d__x000a_Wallpaper=(无)_x000d__x000a_TileWallpaper=0_x000d_ 2 2 2" xfId="1456"/>
    <cellStyle name="s]_x000d__x000a_load=_x000d__x000a_run=_x000d__x000a_NullPort=None_x000d__x000a_device=HP LaserJet 4 Plus,HPPCL5MS,LPT1:_x000d__x000a__x000d__x000a_[Desktop]_x000d__x000a_Wallpaper=(无)_x000d__x000a_TileWallpaper=0_x000d_ 2 2 2 2" xfId="685"/>
    <cellStyle name="s]_x000d__x000a_load=_x000d__x000a_run=_x000d__x000a_NullPort=None_x000d__x000a_device=HP LaserJet 4 Plus,HPPCL5MS,LPT1:_x000d__x000a__x000d__x000a_[Desktop]_x000d__x000a_Wallpaper=(无)_x000d__x000a_TileWallpaper=0_x000d_ 2 2 2 3" xfId="695"/>
    <cellStyle name="s]_x000d__x000a_load=_x000d__x000a_run=_x000d__x000a_NullPort=None_x000d__x000a_device=HP LaserJet 4 Plus,HPPCL5MS,LPT1:_x000d__x000a__x000d__x000a_[Desktop]_x000d__x000a_Wallpaper=(无)_x000d__x000a_TileWallpaper=0_x000d_ 2 2 3" xfId="1457"/>
    <cellStyle name="s]_x000d__x000a_load=_x000d__x000a_run=_x000d__x000a_NullPort=None_x000d__x000a_device=HP LaserJet 4 Plus,HPPCL5MS,LPT1:_x000d__x000a__x000d__x000a_[Desktop]_x000d__x000a_Wallpaper=(无)_x000d__x000a_TileWallpaper=0_x000d_ 2 2 3 2" xfId="130"/>
    <cellStyle name="s]_x000d__x000a_load=_x000d__x000a_run=_x000d__x000a_NullPort=None_x000d__x000a_device=HP LaserJet 4 Plus,HPPCL5MS,LPT1:_x000d__x000a__x000d__x000a_[Desktop]_x000d__x000a_Wallpaper=(无)_x000d__x000a_TileWallpaper=0_x000d_ 2 2 3 3" xfId="140"/>
    <cellStyle name="s]_x000d__x000a_load=_x000d__x000a_run=_x000d__x000a_NullPort=None_x000d__x000a_device=HP LaserJet 4 Plus,HPPCL5MS,LPT1:_x000d__x000a__x000d__x000a_[Desktop]_x000d__x000a_Wallpaper=(无)_x000d__x000a_TileWallpaper=0_x000d_ 2 2 4" xfId="1423"/>
    <cellStyle name="s]_x000d__x000a_load=_x000d__x000a_run=_x000d__x000a_NullPort=None_x000d__x000a_device=HP LaserJet 4 Plus,HPPCL5MS,LPT1:_x000d__x000a__x000d__x000a_[Desktop]_x000d__x000a_Wallpaper=(无)_x000d__x000a_TileWallpaper=0_x000d_ 2 2 5" xfId="1460"/>
    <cellStyle name="s]_x000d__x000a_load=_x000d__x000a_run=_x000d__x000a_NullPort=None_x000d__x000a_device=HP LaserJet 4 Plus,HPPCL5MS,LPT1:_x000d__x000a__x000d__x000a_[Desktop]_x000d__x000a_Wallpaper=(无)_x000d__x000a_TileWallpaper=0_x000d_ 2 2_Sheet2" xfId="1468"/>
    <cellStyle name="s]_x000d__x000a_load=_x000d__x000a_run=_x000d__x000a_NullPort=None_x000d__x000a_device=HP LaserJet 4 Plus,HPPCL5MS,LPT1:_x000d__x000a__x000d__x000a_[Desktop]_x000d__x000a_Wallpaper=(无)_x000d__x000a_TileWallpaper=0_x000d_ 2 3" xfId="1395"/>
    <cellStyle name="s]_x000d__x000a_load=_x000d__x000a_run=_x000d__x000a_NullPort=None_x000d__x000a_device=HP LaserJet 4 Plus,HPPCL5MS,LPT1:_x000d__x000a__x000d__x000a_[Desktop]_x000d__x000a_Wallpaper=(无)_x000d__x000a_TileWallpaper=0_x000d_ 2 3 2" xfId="1476"/>
    <cellStyle name="s]_x000d__x000a_load=_x000d__x000a_run=_x000d__x000a_NullPort=None_x000d__x000a_device=HP LaserJet 4 Plus,HPPCL5MS,LPT1:_x000d__x000a__x000d__x000a_[Desktop]_x000d__x000a_Wallpaper=(无)_x000d__x000a_TileWallpaper=0_x000d_ 2 3 2 2" xfId="733"/>
    <cellStyle name="s]_x000d__x000a_load=_x000d__x000a_run=_x000d__x000a_NullPort=None_x000d__x000a_device=HP LaserJet 4 Plus,HPPCL5MS,LPT1:_x000d__x000a__x000d__x000a_[Desktop]_x000d__x000a_Wallpaper=(无)_x000d__x000a_TileWallpaper=0_x000d_ 2 3 2 3" xfId="752"/>
    <cellStyle name="s]_x000d__x000a_load=_x000d__x000a_run=_x000d__x000a_NullPort=None_x000d__x000a_device=HP LaserJet 4 Plus,HPPCL5MS,LPT1:_x000d__x000a__x000d__x000a_[Desktop]_x000d__x000a_Wallpaper=(无)_x000d__x000a_TileWallpaper=0_x000d_ 2 3 3" xfId="1481"/>
    <cellStyle name="s]_x000d__x000a_load=_x000d__x000a_run=_x000d__x000a_NullPort=None_x000d__x000a_device=HP LaserJet 4 Plus,HPPCL5MS,LPT1:_x000d__x000a__x000d__x000a_[Desktop]_x000d__x000a_Wallpaper=(无)_x000d__x000a_TileWallpaper=0_x000d_ 2 3 3 2" xfId="1485"/>
    <cellStyle name="s]_x000d__x000a_load=_x000d__x000a_run=_x000d__x000a_NullPort=None_x000d__x000a_device=HP LaserJet 4 Plus,HPPCL5MS,LPT1:_x000d__x000a__x000d__x000a_[Desktop]_x000d__x000a_Wallpaper=(无)_x000d__x000a_TileWallpaper=0_x000d_ 2 3 3 3" xfId="1492"/>
    <cellStyle name="s]_x000d__x000a_load=_x000d__x000a_run=_x000d__x000a_NullPort=None_x000d__x000a_device=HP LaserJet 4 Plus,HPPCL5MS,LPT1:_x000d__x000a__x000d__x000a_[Desktop]_x000d__x000a_Wallpaper=(无)_x000d__x000a_TileWallpaper=0_x000d_ 2 3 4" xfId="1501"/>
    <cellStyle name="s]_x000d__x000a_load=_x000d__x000a_run=_x000d__x000a_NullPort=None_x000d__x000a_device=HP LaserJet 4 Plus,HPPCL5MS,LPT1:_x000d__x000a__x000d__x000a_[Desktop]_x000d__x000a_Wallpaper=(无)_x000d__x000a_TileWallpaper=0_x000d_ 2 3 5" xfId="949"/>
    <cellStyle name="s]_x000d__x000a_load=_x000d__x000a_run=_x000d__x000a_NullPort=None_x000d__x000a_device=HP LaserJet 4 Plus,HPPCL5MS,LPT1:_x000d__x000a__x000d__x000a_[Desktop]_x000d__x000a_Wallpaper=(无)_x000d__x000a_TileWallpaper=0_x000d_ 2 4" xfId="177"/>
    <cellStyle name="s]_x000d__x000a_load=_x000d__x000a_run=_x000d__x000a_NullPort=None_x000d__x000a_device=HP LaserJet 4 Plus,HPPCL5MS,LPT1:_x000d__x000a__x000d__x000a_[Desktop]_x000d__x000a_Wallpaper=(无)_x000d__x000a_TileWallpaper=0_x000d_ 2 4 2" xfId="813"/>
    <cellStyle name="s]_x000d__x000a_load=_x000d__x000a_run=_x000d__x000a_NullPort=None_x000d__x000a_device=HP LaserJet 4 Plus,HPPCL5MS,LPT1:_x000d__x000a__x000d__x000a_[Desktop]_x000d__x000a_Wallpaper=(无)_x000d__x000a_TileWallpaper=0_x000d_ 2 4_Sheet2" xfId="1503"/>
    <cellStyle name="s]_x000d__x000a_load=_x000d__x000a_run=_x000d__x000a_NullPort=None_x000d__x000a_device=HP LaserJet 4 Plus,HPPCL5MS,LPT1:_x000d__x000a__x000d__x000a_[Desktop]_x000d__x000a_Wallpaper=(无)_x000d__x000a_TileWallpaper=0_x000d_ 2 5" xfId="1403"/>
    <cellStyle name="s]_x000d__x000a_load=_x000d__x000a_run=_x000d__x000a_NullPort=None_x000d__x000a_device=HP LaserJet 4 Plus,HPPCL5MS,LPT1:_x000d__x000a__x000d__x000a_[Desktop]_x000d__x000a_Wallpaper=(无)_x000d__x000a_TileWallpaper=0_x000d_ 3" xfId="1505"/>
    <cellStyle name="s]_x000d__x000a_load=_x000d__x000a_run=_x000d__x000a_NullPort=None_x000d__x000a_device=HP LaserJet 4 Plus,HPPCL5MS,LPT1:_x000d__x000a__x000d__x000a_[Desktop]_x000d__x000a_Wallpaper=(无)_x000d__x000a_TileWallpaper=0_x000d_ 4" xfId="1510"/>
    <cellStyle name="百分比 2" xfId="1515"/>
    <cellStyle name="百分比 3" xfId="1519"/>
    <cellStyle name="标题 1 2" xfId="1521"/>
    <cellStyle name="标题 1 2 2" xfId="1257"/>
    <cellStyle name="标题 1 2 2 2" xfId="1523"/>
    <cellStyle name="标题 1 2 2 3" xfId="1525"/>
    <cellStyle name="标题 1 2 2 4" xfId="187"/>
    <cellStyle name="标题 1 2 2_副本EBMP-信息科技部应用开发项目程序投产需求清单-20130425-01" xfId="924"/>
    <cellStyle name="标题 1 2 3" xfId="1262"/>
    <cellStyle name="标题 1 2 4" xfId="544"/>
    <cellStyle name="标题 1 2 5" xfId="548"/>
    <cellStyle name="标题 1 2 6" xfId="1194"/>
    <cellStyle name="标题 1 2 7" xfId="1214"/>
    <cellStyle name="标题 1 2 8" xfId="1224"/>
    <cellStyle name="标题 1 2 9" xfId="1237"/>
    <cellStyle name="标题 1 3" xfId="1527"/>
    <cellStyle name="标题 1 4" xfId="1529"/>
    <cellStyle name="标题 2 2" xfId="361"/>
    <cellStyle name="标题 2 2 2" xfId="174"/>
    <cellStyle name="标题 2 2 2 2" xfId="812"/>
    <cellStyle name="标题 2 2 2 3" xfId="818"/>
    <cellStyle name="标题 2 2 2 4" xfId="1533"/>
    <cellStyle name="标题 2 2 2_副本EBMP-信息科技部应用开发项目程序投产需求清单-20130425-01" xfId="603"/>
    <cellStyle name="标题 2 2 3" xfId="1401"/>
    <cellStyle name="标题 2 2 4" xfId="1074"/>
    <cellStyle name="标题 2 2 5" xfId="1110"/>
    <cellStyle name="标题 2 2 6" xfId="1119"/>
    <cellStyle name="标题 2 2 7" xfId="224"/>
    <cellStyle name="标题 2 2 8" xfId="1278"/>
    <cellStyle name="标题 2 2 9" xfId="1288"/>
    <cellStyle name="标题 2 3" xfId="373"/>
    <cellStyle name="标题 2 4" xfId="386"/>
    <cellStyle name="标题 3 2" xfId="1538"/>
    <cellStyle name="标题 3 2 2" xfId="1541"/>
    <cellStyle name="标题 3 2 2 2" xfId="1548"/>
    <cellStyle name="标题 3 2 2 2 2" xfId="911"/>
    <cellStyle name="标题 3 2 2 2 2 2" xfId="1551"/>
    <cellStyle name="标题 3 2 2 2 2 2 2" xfId="1300"/>
    <cellStyle name="标题 3 2 2 2 2 2 2 2" xfId="1554"/>
    <cellStyle name="标题 3 2 2 2 3" xfId="1558"/>
    <cellStyle name="标题 3 2 2 2 4" xfId="1561"/>
    <cellStyle name="标题 3 2 2 3" xfId="1571"/>
    <cellStyle name="标题 3 2 2 4" xfId="1579"/>
    <cellStyle name="标题 3 2 2_副本EBMP-信息科技部应用开发项目程序投产需求清单-20130425-01" xfId="1580"/>
    <cellStyle name="标题 3 2 3" xfId="1582"/>
    <cellStyle name="标题 3 2 3 2" xfId="1590"/>
    <cellStyle name="标题 3 2 3 2 2" xfId="314"/>
    <cellStyle name="标题 3 2 3 2 2 2" xfId="190"/>
    <cellStyle name="标题 3 2 4" xfId="1136"/>
    <cellStyle name="标题 3 2 5" xfId="1144"/>
    <cellStyle name="标题 3 2 6" xfId="1151"/>
    <cellStyle name="标题 3 2 7" xfId="1305"/>
    <cellStyle name="标题 3 2 8" xfId="1318"/>
    <cellStyle name="标题 3 2 9" xfId="1322"/>
    <cellStyle name="标题 3 3" xfId="1592"/>
    <cellStyle name="标题 3 4" xfId="1595"/>
    <cellStyle name="标题 4 2" xfId="1324"/>
    <cellStyle name="标题 4 2 2" xfId="1597"/>
    <cellStyle name="标题 4 2 2 2" xfId="1604"/>
    <cellStyle name="标题 4 2 2 3" xfId="1612"/>
    <cellStyle name="标题 4 2 2 4" xfId="115"/>
    <cellStyle name="标题 4 2 2_副本EBMP-信息科技部应用开发项目程序投产需求清单-20130425-01" xfId="1624"/>
    <cellStyle name="标题 4 2 3" xfId="1630"/>
    <cellStyle name="标题 4 2 4" xfId="1638"/>
    <cellStyle name="标题 4 2 5" xfId="1647"/>
    <cellStyle name="标题 4 2 6" xfId="1346"/>
    <cellStyle name="标题 4 2 7" xfId="1362"/>
    <cellStyle name="标题 4 2 8" xfId="716"/>
    <cellStyle name="标题 4 2 9" xfId="764"/>
    <cellStyle name="标题 4 3" xfId="1648"/>
    <cellStyle name="标题 4 4" xfId="940"/>
    <cellStyle name="标题 5" xfId="63"/>
    <cellStyle name="标题 5 2" xfId="1649"/>
    <cellStyle name="标题 5 2 2" xfId="1651"/>
    <cellStyle name="标题 5 2 3" xfId="1620"/>
    <cellStyle name="标题 5 2 4" xfId="58"/>
    <cellStyle name="标题 5 2_副本EBMP-信息科技部应用开发项目程序投产需求清单-20130425-01" xfId="331"/>
    <cellStyle name="标题 5 3" xfId="1652"/>
    <cellStyle name="标题 5 4" xfId="286"/>
    <cellStyle name="标题 5 5" xfId="300"/>
    <cellStyle name="标题 5 6" xfId="40"/>
    <cellStyle name="标题 5 7" xfId="318"/>
    <cellStyle name="标题 5 8" xfId="329"/>
    <cellStyle name="标题 5 9" xfId="353"/>
    <cellStyle name="标题 6" xfId="170"/>
    <cellStyle name="标题 7" xfId="1653"/>
    <cellStyle name="标题 8" xfId="1657"/>
    <cellStyle name="差 2" xfId="1659"/>
    <cellStyle name="差 2 2" xfId="1660"/>
    <cellStyle name="差 2 2 2" xfId="1666"/>
    <cellStyle name="差 2 2 3" xfId="1673"/>
    <cellStyle name="差 2 2 4" xfId="1688"/>
    <cellStyle name="差 2 2_副本EBMP-信息科技部应用开发项目程序投产需求清单-20130425-01" xfId="1691"/>
    <cellStyle name="差 2 3" xfId="1694"/>
    <cellStyle name="差 2 4" xfId="1662"/>
    <cellStyle name="差 2 5" xfId="1668"/>
    <cellStyle name="差 3" xfId="1697"/>
    <cellStyle name="差 4" xfId="1512"/>
    <cellStyle name="差_Sheet2" xfId="1059"/>
    <cellStyle name="差_过程问题再现统计表" xfId="1700"/>
    <cellStyle name="常规" xfId="0" builtinId="0"/>
    <cellStyle name="常规 10" xfId="1701"/>
    <cellStyle name="常规 10 2" xfId="1656"/>
    <cellStyle name="常规 10 2 2" xfId="1706"/>
    <cellStyle name="常规 10 2_Sheet2" xfId="1707"/>
    <cellStyle name="常规 10 3" xfId="1708"/>
    <cellStyle name="常规 10 3 2" xfId="1710"/>
    <cellStyle name="常规 10 3_Sheet2" xfId="221"/>
    <cellStyle name="常规 10 4" xfId="1712"/>
    <cellStyle name="常规 100" xfId="1715"/>
    <cellStyle name="常规 101" xfId="420"/>
    <cellStyle name="常规 102" xfId="1717"/>
    <cellStyle name="常规 103" xfId="1720"/>
    <cellStyle name="常规 104" xfId="1724"/>
    <cellStyle name="常规 105" xfId="1474"/>
    <cellStyle name="常规 106" xfId="1479"/>
    <cellStyle name="常规 107" xfId="1495"/>
    <cellStyle name="常规 108" xfId="944"/>
    <cellStyle name="常规 109" xfId="954"/>
    <cellStyle name="常规 11" xfId="1731"/>
    <cellStyle name="常规 11 2" xfId="872"/>
    <cellStyle name="常规 11 2 2" xfId="1733"/>
    <cellStyle name="常规 11 2 2 2" xfId="1736"/>
    <cellStyle name="常规 11 2 2_Sheet2" xfId="1211"/>
    <cellStyle name="常规 11 2 3" xfId="1265"/>
    <cellStyle name="常规 11 2 4" xfId="804"/>
    <cellStyle name="常规 11 2_Sheet2" xfId="918"/>
    <cellStyle name="常规 11 3" xfId="879"/>
    <cellStyle name="常规 11 3 2" xfId="1738"/>
    <cellStyle name="常规 11 3_Sheet2" xfId="291"/>
    <cellStyle name="常规 11 4" xfId="392"/>
    <cellStyle name="常规 11 5" xfId="247"/>
    <cellStyle name="常规 11 6" xfId="405"/>
    <cellStyle name="常规 11_Sheet2" xfId="1742"/>
    <cellStyle name="常规 110" xfId="1475"/>
    <cellStyle name="常规 111" xfId="1480"/>
    <cellStyle name="常规 112" xfId="1496"/>
    <cellStyle name="常规 113" xfId="945"/>
    <cellStyle name="常规 114" xfId="955"/>
    <cellStyle name="常规 115" xfId="1413"/>
    <cellStyle name="常规 116" xfId="1437"/>
    <cellStyle name="常规 117" xfId="1441"/>
    <cellStyle name="常规 118" xfId="1445"/>
    <cellStyle name="常规 119" xfId="1448"/>
    <cellStyle name="常规 12" xfId="1744"/>
    <cellStyle name="常规 12 2" xfId="1747"/>
    <cellStyle name="常规 12 2 2" xfId="101"/>
    <cellStyle name="常规 12 2_Sheet2" xfId="1354"/>
    <cellStyle name="常规 12 3" xfId="1750"/>
    <cellStyle name="常规 12 4" xfId="1757"/>
    <cellStyle name="常规 12 5" xfId="883"/>
    <cellStyle name="常规 12_Sheet2" xfId="1758"/>
    <cellStyle name="常规 120" xfId="1412"/>
    <cellStyle name="常规 121" xfId="1436"/>
    <cellStyle name="常规 122" xfId="1440"/>
    <cellStyle name="常规 123" xfId="1444"/>
    <cellStyle name="常规 124" xfId="1447"/>
    <cellStyle name="常规 125" xfId="1763"/>
    <cellStyle name="常规 126" xfId="1768"/>
    <cellStyle name="常规 127" xfId="1774"/>
    <cellStyle name="常规 128" xfId="1778"/>
    <cellStyle name="常规 129" xfId="1782"/>
    <cellStyle name="常规 13" xfId="1787"/>
    <cellStyle name="常规 13 2" xfId="1683"/>
    <cellStyle name="常规 13 2 2" xfId="1790"/>
    <cellStyle name="常规 13 2_Sheet2" xfId="1794"/>
    <cellStyle name="常规 13 3" xfId="1802"/>
    <cellStyle name="常规 13 4" xfId="1809"/>
    <cellStyle name="常规 13 5" xfId="192"/>
    <cellStyle name="常规 13_Sheet2" xfId="1813"/>
    <cellStyle name="常规 130" xfId="1762"/>
    <cellStyle name="常规 131" xfId="1767"/>
    <cellStyle name="常规 132" xfId="1773"/>
    <cellStyle name="常规 133" xfId="1777"/>
    <cellStyle name="常规 134" xfId="1781"/>
    <cellStyle name="常规 135" xfId="1815"/>
    <cellStyle name="常规 136" xfId="1819"/>
    <cellStyle name="常规 137" xfId="1821"/>
    <cellStyle name="常规 138" xfId="1823"/>
    <cellStyle name="常规 14" xfId="1828"/>
    <cellStyle name="常规 14 2" xfId="1832"/>
    <cellStyle name="常规 14 2 2" xfId="1834"/>
    <cellStyle name="常规 14 2_Sheet2" xfId="1836"/>
    <cellStyle name="常规 14 3" xfId="1843"/>
    <cellStyle name="常规 14 3 2" xfId="1844"/>
    <cellStyle name="常规 14 3_Sheet2" xfId="1847"/>
    <cellStyle name="常规 14 4" xfId="1848"/>
    <cellStyle name="常规 14 4 2" xfId="1849"/>
    <cellStyle name="常规 14 4_Sheet2" xfId="1850"/>
    <cellStyle name="常规 14 5" xfId="1851"/>
    <cellStyle name="常规 14 6" xfId="1852"/>
    <cellStyle name="常规 14 7" xfId="1853"/>
    <cellStyle name="常规 14_Sheet2" xfId="1854"/>
    <cellStyle name="常规 15" xfId="1870"/>
    <cellStyle name="常规 15 2" xfId="1394"/>
    <cellStyle name="常规 15 3" xfId="176"/>
    <cellStyle name="常规 15 4" xfId="1402"/>
    <cellStyle name="常规 15 5" xfId="1871"/>
    <cellStyle name="常规 15_Sheet2" xfId="1875"/>
    <cellStyle name="常规 16" xfId="1881"/>
    <cellStyle name="常规 16 2" xfId="1882"/>
    <cellStyle name="常规 16 2 2" xfId="1658"/>
    <cellStyle name="常规 16 2_Sheet2" xfId="1885"/>
    <cellStyle name="常规 16 3" xfId="1886"/>
    <cellStyle name="常规 16 4" xfId="1887"/>
    <cellStyle name="常规 16 5" xfId="1888"/>
    <cellStyle name="常规 16 6" xfId="1889"/>
    <cellStyle name="常规 16 7" xfId="1890"/>
    <cellStyle name="常规 16_Sheet2" xfId="1900"/>
    <cellStyle name="常规 17" xfId="1909"/>
    <cellStyle name="常规 17 2" xfId="1911"/>
    <cellStyle name="常规 17 2 2" xfId="1912"/>
    <cellStyle name="常规 17 2_Sheet2" xfId="1915"/>
    <cellStyle name="常规 17 3" xfId="1917"/>
    <cellStyle name="常规 17 4" xfId="1919"/>
    <cellStyle name="常规 17 5" xfId="1922"/>
    <cellStyle name="常规 17_Sheet2" xfId="1924"/>
    <cellStyle name="常规 18" xfId="1928"/>
    <cellStyle name="常规 18 2" xfId="1931"/>
    <cellStyle name="常规 18 3" xfId="1936"/>
    <cellStyle name="常规 18_Sheet2" xfId="1943"/>
    <cellStyle name="常规 19" xfId="1950"/>
    <cellStyle name="常规 19 2" xfId="1955"/>
    <cellStyle name="常规 19 3" xfId="1962"/>
    <cellStyle name="常规 19_Sheet2" xfId="1964"/>
    <cellStyle name="常规 2" xfId="1967"/>
    <cellStyle name="常规 2 2" xfId="1975"/>
    <cellStyle name="常规 2 2 2" xfId="1979"/>
    <cellStyle name="常规 2 2 2 2" xfId="1988"/>
    <cellStyle name="常规 2 2 2 2 2" xfId="1997"/>
    <cellStyle name="常规 2 2 2 2 3" xfId="2004"/>
    <cellStyle name="常规 2 2 2 2 4" xfId="2011"/>
    <cellStyle name="常规 2 2 2 3" xfId="2021"/>
    <cellStyle name="常规 2 2 2 3 2" xfId="2029"/>
    <cellStyle name="常规 2 2 2 3 2 2" xfId="2034"/>
    <cellStyle name="常规 2 2 2 3 2_Sheet2" xfId="2040"/>
    <cellStyle name="常规 2 2 2 3 3" xfId="2047"/>
    <cellStyle name="常规 2 2 2 4" xfId="281"/>
    <cellStyle name="常规 2 2 2 5" xfId="215"/>
    <cellStyle name="常规 2 2 2 6" xfId="306"/>
    <cellStyle name="常规 2 2 3" xfId="2056"/>
    <cellStyle name="常规 2 2 3 2" xfId="2067"/>
    <cellStyle name="常规 2 2 3 2 2" xfId="2076"/>
    <cellStyle name="常规 2 2 3 2 3" xfId="2083"/>
    <cellStyle name="常规 2 2 3 3" xfId="2096"/>
    <cellStyle name="常规 2 2 3 3 2" xfId="2098"/>
    <cellStyle name="常规 2 2 3 4" xfId="970"/>
    <cellStyle name="常规 2 2 3 5" xfId="2105"/>
    <cellStyle name="常规 2 2 3 6" xfId="2106"/>
    <cellStyle name="常规 2 2 3_Sheet2" xfId="2109"/>
    <cellStyle name="常规 2 2 4" xfId="2113"/>
    <cellStyle name="常规 2 2 4 2" xfId="2124"/>
    <cellStyle name="常规 2 2 4_副本EBMP-信息科技部应用开发项目程序投产需求清单-20130425-01" xfId="2128"/>
    <cellStyle name="常规 2 2 5" xfId="2133"/>
    <cellStyle name="常规 2 2 6" xfId="2151"/>
    <cellStyle name="常规 2 2 7" xfId="2156"/>
    <cellStyle name="常规 2 2 8" xfId="2158"/>
    <cellStyle name="常规 2 3" xfId="2159"/>
    <cellStyle name="常规 2 3 10" xfId="2161"/>
    <cellStyle name="常规 2 3 2" xfId="2163"/>
    <cellStyle name="常规 2 3 2 2" xfId="2170"/>
    <cellStyle name="常规 2 3 2_Sheet2" xfId="354"/>
    <cellStyle name="常规 2 3 3" xfId="2175"/>
    <cellStyle name="常规 2 3 4" xfId="2180"/>
    <cellStyle name="常规 2 3 5" xfId="2189"/>
    <cellStyle name="常规 2 3 6" xfId="2195"/>
    <cellStyle name="常规 2 3 7" xfId="2198"/>
    <cellStyle name="常规 2 3 8" xfId="2199"/>
    <cellStyle name="常规 2 3 9" xfId="2200"/>
    <cellStyle name="常规 2 3_Sheet2" xfId="2201"/>
    <cellStyle name="常规 2 4" xfId="2204"/>
    <cellStyle name="常规 2 4 2" xfId="2207"/>
    <cellStyle name="常规 2 4 3" xfId="2214"/>
    <cellStyle name="常规 2 4_Sheet2" xfId="2216"/>
    <cellStyle name="常规 2 5" xfId="2219"/>
    <cellStyle name="常规 2 6" xfId="2223"/>
    <cellStyle name="常规 2 7" xfId="2227"/>
    <cellStyle name="常规 2 8" xfId="2232"/>
    <cellStyle name="常规 2 9" xfId="2234"/>
    <cellStyle name="常规 2_Sheet2" xfId="2237"/>
    <cellStyle name="常规 20" xfId="1869"/>
    <cellStyle name="常规 20 2" xfId="1393"/>
    <cellStyle name="常规 20 3" xfId="175"/>
    <cellStyle name="常规 20_Sheet2" xfId="1874"/>
    <cellStyle name="常规 21" xfId="1880"/>
    <cellStyle name="常规 22" xfId="1908"/>
    <cellStyle name="常规 23" xfId="1927"/>
    <cellStyle name="常规 24" xfId="1949"/>
    <cellStyle name="常规 25" xfId="2241"/>
    <cellStyle name="常规 26" xfId="2245"/>
    <cellStyle name="常规 27" xfId="2249"/>
    <cellStyle name="常规 28" xfId="2255"/>
    <cellStyle name="常规 29" xfId="2262"/>
    <cellStyle name="常规 3" xfId="2273"/>
    <cellStyle name="常规 3 10" xfId="2274"/>
    <cellStyle name="常规 3 11" xfId="2276"/>
    <cellStyle name="常规 3 2" xfId="2282"/>
    <cellStyle name="常规 3 2 10" xfId="2285"/>
    <cellStyle name="常规 3 2 10 2" xfId="2288"/>
    <cellStyle name="常规 3 2 10 2 2" xfId="2292"/>
    <cellStyle name="常规 3 2 10 2 3" xfId="2299"/>
    <cellStyle name="常规 3 2 10 2_Sheet2" xfId="2300"/>
    <cellStyle name="常规 3 2 10 3" xfId="2304"/>
    <cellStyle name="常规 3 2 10 3 2" xfId="2311"/>
    <cellStyle name="常规 3 2 10 3_Sheet2" xfId="2315"/>
    <cellStyle name="常规 3 2 10 4" xfId="2318"/>
    <cellStyle name="常规 3 2 10 5" xfId="2330"/>
    <cellStyle name="常规 3 2 10_Sheet2" xfId="2331"/>
    <cellStyle name="常规 3 2 11" xfId="2335"/>
    <cellStyle name="常规 3 2 11 2" xfId="2343"/>
    <cellStyle name="常规 3 2 11 2 2" xfId="2349"/>
    <cellStyle name="常规 3 2 11 2 3" xfId="2354"/>
    <cellStyle name="常规 3 2 11 2_Sheet2" xfId="2358"/>
    <cellStyle name="常规 3 2 11 3" xfId="2362"/>
    <cellStyle name="常规 3 2 11 3 2" xfId="2368"/>
    <cellStyle name="常规 3 2 11 3_Sheet2" xfId="2369"/>
    <cellStyle name="常规 3 2 11 4" xfId="2375"/>
    <cellStyle name="常规 3 2 11 5" xfId="2381"/>
    <cellStyle name="常规 3 2 11_Sheet2" xfId="2382"/>
    <cellStyle name="常规 3 2 12" xfId="1195"/>
    <cellStyle name="常规 3 2 12 2" xfId="503"/>
    <cellStyle name="常规 3 2 12 2 2" xfId="2384"/>
    <cellStyle name="常规 3 2 12 2 3" xfId="2390"/>
    <cellStyle name="常规 3 2 12 2_Sheet2" xfId="2395"/>
    <cellStyle name="常规 3 2 12 3" xfId="522"/>
    <cellStyle name="常规 3 2 12 3 2" xfId="2400"/>
    <cellStyle name="常规 3 2 12 3_Sheet2" xfId="2401"/>
    <cellStyle name="常规 3 2 12 4" xfId="1203"/>
    <cellStyle name="常规 3 2 12 5" xfId="2403"/>
    <cellStyle name="常规 3 2 12_Sheet2" xfId="2404"/>
    <cellStyle name="常规 3 2 13" xfId="1216"/>
    <cellStyle name="常规 3 2 13 2" xfId="1937"/>
    <cellStyle name="常规 3 2 13 2 2" xfId="2408"/>
    <cellStyle name="常规 3 2 13 2 3" xfId="1301"/>
    <cellStyle name="常规 3 2 13 2_Sheet2" xfId="2409"/>
    <cellStyle name="常规 3 2 13 3" xfId="2411"/>
    <cellStyle name="常规 3 2 13 3 2" xfId="2418"/>
    <cellStyle name="常规 3 2 13 3_Sheet2" xfId="2420"/>
    <cellStyle name="常规 3 2 13 4" xfId="2422"/>
    <cellStyle name="常规 3 2 13 5" xfId="2424"/>
    <cellStyle name="常规 3 2 13_Sheet2" xfId="1073"/>
    <cellStyle name="常规 3 2 14" xfId="1227"/>
    <cellStyle name="常规 3 2 14 2" xfId="2425"/>
    <cellStyle name="常规 3 2 14 2 2" xfId="2428"/>
    <cellStyle name="常规 3 2 14 2 3" xfId="2430"/>
    <cellStyle name="常规 3 2 14 2_Sheet2" xfId="2431"/>
    <cellStyle name="常规 3 2 14 3" xfId="2434"/>
    <cellStyle name="常规 3 2 14 3 2" xfId="2441"/>
    <cellStyle name="常规 3 2 14 3_Sheet2" xfId="2449"/>
    <cellStyle name="常规 3 2 14 4" xfId="2451"/>
    <cellStyle name="常规 3 2 14 5" xfId="2453"/>
    <cellStyle name="常规 3 2 14_Sheet2" xfId="2455"/>
    <cellStyle name="常规 3 2 15" xfId="1241"/>
    <cellStyle name="常规 3 2 15 2" xfId="2456"/>
    <cellStyle name="常规 3 2 15 2 2" xfId="2458"/>
    <cellStyle name="常规 3 2 15 2 3" xfId="2461"/>
    <cellStyle name="常规 3 2 15 2_Sheet2" xfId="2463"/>
    <cellStyle name="常规 3 2 15 3" xfId="2464"/>
    <cellStyle name="常规 3 2 15 3 2" xfId="2466"/>
    <cellStyle name="常规 3 2 15 3_Sheet2" xfId="2470"/>
    <cellStyle name="常规 3 2 15 4" xfId="2471"/>
    <cellStyle name="常规 3 2 15 5" xfId="2473"/>
    <cellStyle name="常规 3 2 15_Sheet2" xfId="2475"/>
    <cellStyle name="常规 3 2 16" xfId="2477"/>
    <cellStyle name="常规 3 2 16 2" xfId="2481"/>
    <cellStyle name="常规 3 2 16 2 2" xfId="2485"/>
    <cellStyle name="常规 3 2 16 2 3" xfId="2487"/>
    <cellStyle name="常规 3 2 16 2_Sheet2" xfId="2491"/>
    <cellStyle name="常规 3 2 16 3" xfId="2496"/>
    <cellStyle name="常规 3 2 16 3 2" xfId="2499"/>
    <cellStyle name="常规 3 2 16 3_Sheet2" xfId="2501"/>
    <cellStyle name="常规 3 2 16 4" xfId="2507"/>
    <cellStyle name="常规 3 2 16 5" xfId="2511"/>
    <cellStyle name="常规 3 2 16_Sheet2" xfId="2512"/>
    <cellStyle name="常规 3 2 17" xfId="347"/>
    <cellStyle name="常规 3 2 17 2" xfId="832"/>
    <cellStyle name="常规 3 2 17 3" xfId="843"/>
    <cellStyle name="常规 3 2 17_Sheet2" xfId="2517"/>
    <cellStyle name="常规 3 2 18" xfId="398"/>
    <cellStyle name="常规 3 2 19" xfId="859"/>
    <cellStyle name="常规 3 2 2" xfId="602"/>
    <cellStyle name="常规 3 2 2 10" xfId="1192"/>
    <cellStyle name="常规 3 2 2 10 2" xfId="2519"/>
    <cellStyle name="常规 3 2 2 10 2 2" xfId="2520"/>
    <cellStyle name="常规 3 2 2 10 2 3" xfId="2521"/>
    <cellStyle name="常规 3 2 2 10 2_Sheet2" xfId="2527"/>
    <cellStyle name="常规 3 2 2 10 3" xfId="2529"/>
    <cellStyle name="常规 3 2 2 10 3 2" xfId="2531"/>
    <cellStyle name="常规 3 2 2 10 3_Sheet2" xfId="2537"/>
    <cellStyle name="常规 3 2 2 10 4" xfId="2538"/>
    <cellStyle name="常规 3 2 2 10 5" xfId="2540"/>
    <cellStyle name="常规 3 2 2 10_Sheet2" xfId="2551"/>
    <cellStyle name="常规 3 2 2 11" xfId="1215"/>
    <cellStyle name="常规 3 2 2 11 2" xfId="2560"/>
    <cellStyle name="常规 3 2 2 11 2 2" xfId="2563"/>
    <cellStyle name="常规 3 2 2 11 2 3" xfId="2564"/>
    <cellStyle name="常规 3 2 2 11 2_Sheet2" xfId="2571"/>
    <cellStyle name="常规 3 2 2 11 3" xfId="2578"/>
    <cellStyle name="常规 3 2 2 11 3 2" xfId="2579"/>
    <cellStyle name="常规 3 2 2 11 3_Sheet2" xfId="2582"/>
    <cellStyle name="常规 3 2 2 11 4" xfId="2585"/>
    <cellStyle name="常规 3 2 2 11 5" xfId="2586"/>
    <cellStyle name="常规 3 2 2 11_Sheet2" xfId="2591"/>
    <cellStyle name="常规 3 2 2 12" xfId="1225"/>
    <cellStyle name="常规 3 2 2 12 2" xfId="2599"/>
    <cellStyle name="常规 3 2 2 12 2 2" xfId="2600"/>
    <cellStyle name="常规 3 2 2 12 2 3" xfId="2602"/>
    <cellStyle name="常规 3 2 2 12 2_Sheet2" xfId="1978"/>
    <cellStyle name="常规 3 2 2 12 3" xfId="2603"/>
    <cellStyle name="常规 3 2 2 12 3 2" xfId="1820"/>
    <cellStyle name="常规 3 2 2 12 3_Sheet2" xfId="2611"/>
    <cellStyle name="常规 3 2 2 12 4" xfId="2612"/>
    <cellStyle name="常规 3 2 2 12 5" xfId="2613"/>
    <cellStyle name="常规 3 2 2 12_Sheet2" xfId="2615"/>
    <cellStyle name="常规 3 2 2 13" xfId="1238"/>
    <cellStyle name="常规 3 2 2 13 2" xfId="2617"/>
    <cellStyle name="常规 3 2 2 13 2 2" xfId="2620"/>
    <cellStyle name="常规 3 2 2 13 2 3" xfId="2621"/>
    <cellStyle name="常规 3 2 2 13 2_Sheet2" xfId="83"/>
    <cellStyle name="常规 3 2 2 13 3" xfId="2623"/>
    <cellStyle name="常规 3 2 2 13 3 2" xfId="2624"/>
    <cellStyle name="常规 3 2 2 13 3_Sheet2" xfId="2625"/>
    <cellStyle name="常规 3 2 2 13 4" xfId="2627"/>
    <cellStyle name="常规 3 2 2 13 5" xfId="2628"/>
    <cellStyle name="常规 3 2 2 13_Sheet2" xfId="2212"/>
    <cellStyle name="常规 3 2 2 14" xfId="2632"/>
    <cellStyle name="常规 3 2 2 14 2" xfId="2635"/>
    <cellStyle name="常规 3 2 2 14 2 2" xfId="2638"/>
    <cellStyle name="常规 3 2 2 14 2 3" xfId="2642"/>
    <cellStyle name="常规 3 2 2 14 2_Sheet2" xfId="658"/>
    <cellStyle name="常规 3 2 2 14 3" xfId="2645"/>
    <cellStyle name="常规 3 2 2 14 3 2" xfId="2648"/>
    <cellStyle name="常规 3 2 2 14 3_Sheet2" xfId="2650"/>
    <cellStyle name="常规 3 2 2 14 4" xfId="2653"/>
    <cellStyle name="常规 3 2 2 14 5" xfId="2659"/>
    <cellStyle name="常规 3 2 2 14_Sheet2" xfId="2661"/>
    <cellStyle name="常规 3 2 2 15" xfId="2662"/>
    <cellStyle name="常规 3 2 2 15 2" xfId="2666"/>
    <cellStyle name="常规 3 2 2 15 3" xfId="2673"/>
    <cellStyle name="常规 3 2 2 15_Sheet2" xfId="598"/>
    <cellStyle name="常规 3 2 2 16" xfId="1845"/>
    <cellStyle name="常规 3 2 2 16 2" xfId="2675"/>
    <cellStyle name="常规 3 2 2 16 3" xfId="2679"/>
    <cellStyle name="常规 3 2 2 16_Sheet2" xfId="2686"/>
    <cellStyle name="常规 3 2 2 17" xfId="2688"/>
    <cellStyle name="常规 3 2 2 18" xfId="871"/>
    <cellStyle name="常规 3 2 2 19" xfId="878"/>
    <cellStyle name="常规 3 2 2 2" xfId="2694"/>
    <cellStyle name="常规 3 2 2 2 10" xfId="2695"/>
    <cellStyle name="常规 3 2 2 2 10 2" xfId="2696"/>
    <cellStyle name="常规 3 2 2 2 10 2 2" xfId="2698"/>
    <cellStyle name="常规 3 2 2 2 10 2 3" xfId="2699"/>
    <cellStyle name="常规 3 2 2 2 10 2_Sheet2" xfId="2701"/>
    <cellStyle name="常规 3 2 2 2 10 3" xfId="2702"/>
    <cellStyle name="常规 3 2 2 2 10 3 2" xfId="2707"/>
    <cellStyle name="常规 3 2 2 2 10 3_Sheet2" xfId="2190"/>
    <cellStyle name="常规 3 2 2 2 10 4" xfId="2709"/>
    <cellStyle name="常规 3 2 2 2 10 5" xfId="2711"/>
    <cellStyle name="常规 3 2 2 2 10_Sheet2" xfId="415"/>
    <cellStyle name="常规 3 2 2 2 11" xfId="2713"/>
    <cellStyle name="常规 3 2 2 2 11 2" xfId="2715"/>
    <cellStyle name="常规 3 2 2 2 11 2 2" xfId="2716"/>
    <cellStyle name="常规 3 2 2 2 11 2 3" xfId="2717"/>
    <cellStyle name="常规 3 2 2 2 11 2_Sheet2" xfId="2719"/>
    <cellStyle name="常规 3 2 2 2 11 3" xfId="2723"/>
    <cellStyle name="常规 3 2 2 2 11 3 2" xfId="2726"/>
    <cellStyle name="常规 3 2 2 2 11 3_Sheet2" xfId="2727"/>
    <cellStyle name="常规 3 2 2 2 11 4" xfId="2730"/>
    <cellStyle name="常规 3 2 2 2 11 5" xfId="2731"/>
    <cellStyle name="常规 3 2 2 2 11_Sheet2" xfId="2734"/>
    <cellStyle name="常规 3 2 2 2 12" xfId="2737"/>
    <cellStyle name="常规 3 2 2 2 12 2" xfId="2739"/>
    <cellStyle name="常规 3 2 2 2 12 3" xfId="2742"/>
    <cellStyle name="常规 3 2 2 2 12_Sheet2" xfId="2745"/>
    <cellStyle name="常规 3 2 2 2 13" xfId="2749"/>
    <cellStyle name="常规 3 2 2 2 13 2" xfId="2751"/>
    <cellStyle name="常规 3 2 2 2 13 3" xfId="2753"/>
    <cellStyle name="常规 3 2 2 2 13_Sheet2" xfId="2755"/>
    <cellStyle name="常规 3 2 2 2 14" xfId="2759"/>
    <cellStyle name="常规 3 2 2 2 15" xfId="2765"/>
    <cellStyle name="常规 3 2 2 2 16" xfId="2770"/>
    <cellStyle name="常规 3 2 2 2 2" xfId="2773"/>
    <cellStyle name="常规 3 2 2 2 2 2" xfId="2775"/>
    <cellStyle name="常规 3 2 2 2 2 2 2" xfId="2776"/>
    <cellStyle name="常规 3 2 2 2 2 2 3" xfId="682"/>
    <cellStyle name="常规 3 2 2 2 2 2_Sheet2" xfId="2781"/>
    <cellStyle name="常规 3 2 2 2 2 3" xfId="2783"/>
    <cellStyle name="常规 3 2 2 2 2 3 2" xfId="2785"/>
    <cellStyle name="常规 3 2 2 2 2 3_Sheet2" xfId="2670"/>
    <cellStyle name="常规 3 2 2 2 2 4" xfId="2788"/>
    <cellStyle name="常规 3 2 2 2 2 5" xfId="2796"/>
    <cellStyle name="常规 3 2 2 2 2_Sheet2" xfId="2798"/>
    <cellStyle name="常规 3 2 2 2 3" xfId="2800"/>
    <cellStyle name="常规 3 2 2 2 3 2" xfId="2802"/>
    <cellStyle name="常规 3 2 2 2 3 2 2" xfId="2803"/>
    <cellStyle name="常规 3 2 2 2 3 2 3" xfId="2805"/>
    <cellStyle name="常规 3 2 2 2 3 2_Sheet2" xfId="2812"/>
    <cellStyle name="常规 3 2 2 2 3 3" xfId="2815"/>
    <cellStyle name="常规 3 2 2 2 3 3 2" xfId="2818"/>
    <cellStyle name="常规 3 2 2 2 3 3_Sheet2" xfId="2819"/>
    <cellStyle name="常规 3 2 2 2 3 4" xfId="2822"/>
    <cellStyle name="常规 3 2 2 2 3 5" xfId="2831"/>
    <cellStyle name="常规 3 2 2 2 3_Sheet2" xfId="2836"/>
    <cellStyle name="常规 3 2 2 2 4" xfId="2398"/>
    <cellStyle name="常规 3 2 2 2 4 2" xfId="295"/>
    <cellStyle name="常规 3 2 2 2 4 2 2" xfId="2838"/>
    <cellStyle name="常规 3 2 2 2 4 2 3" xfId="2840"/>
    <cellStyle name="常规 3 2 2 2 4 2_Sheet2" xfId="2844"/>
    <cellStyle name="常规 3 2 2 2 4 3" xfId="2847"/>
    <cellStyle name="常规 3 2 2 2 4 3 2" xfId="2852"/>
    <cellStyle name="常规 3 2 2 2 4 3_Sheet2" xfId="2857"/>
    <cellStyle name="常规 3 2 2 2 4 4" xfId="2860"/>
    <cellStyle name="常规 3 2 2 2 4 5" xfId="2868"/>
    <cellStyle name="常规 3 2 2 2 4_Sheet2" xfId="2872"/>
    <cellStyle name="常规 3 2 2 2 5" xfId="2876"/>
    <cellStyle name="常规 3 2 2 2 5 2" xfId="2879"/>
    <cellStyle name="常规 3 2 2 2 5 2 2" xfId="2883"/>
    <cellStyle name="常规 3 2 2 2 5 2 3" xfId="2886"/>
    <cellStyle name="常规 3 2 2 2 5 2_Sheet2" xfId="238"/>
    <cellStyle name="常规 3 2 2 2 5 3" xfId="2893"/>
    <cellStyle name="常规 3 2 2 2 5 3 2" xfId="2897"/>
    <cellStyle name="常规 3 2 2 2 5 3_Sheet2" xfId="2898"/>
    <cellStyle name="常规 3 2 2 2 5 4" xfId="2902"/>
    <cellStyle name="常规 3 2 2 2 5 5" xfId="2905"/>
    <cellStyle name="常规 3 2 2 2 5_Sheet2" xfId="2907"/>
    <cellStyle name="常规 3 2 2 2 6" xfId="2909"/>
    <cellStyle name="常规 3 2 2 2 6 2" xfId="2913"/>
    <cellStyle name="常规 3 2 2 2 6 2 2" xfId="2915"/>
    <cellStyle name="常规 3 2 2 2 6 2 3" xfId="2917"/>
    <cellStyle name="常规 3 2 2 2 6 2_Sheet2" xfId="294"/>
    <cellStyle name="常规 3 2 2 2 6 3" xfId="2921"/>
    <cellStyle name="常规 3 2 2 2 6 3 2" xfId="2925"/>
    <cellStyle name="常规 3 2 2 2 6 3_Sheet2" xfId="2928"/>
    <cellStyle name="常规 3 2 2 2 6 4" xfId="2932"/>
    <cellStyle name="常规 3 2 2 2 6 5" xfId="2936"/>
    <cellStyle name="常规 3 2 2 2 6_Sheet2" xfId="2937"/>
    <cellStyle name="常规 3 2 2 2 7" xfId="2938"/>
    <cellStyle name="常规 3 2 2 2 7 2" xfId="2940"/>
    <cellStyle name="常规 3 2 2 2 7 2 2" xfId="2943"/>
    <cellStyle name="常规 3 2 2 2 7 2 3" xfId="2946"/>
    <cellStyle name="常规 3 2 2 2 7 2_Sheet2" xfId="2950"/>
    <cellStyle name="常规 3 2 2 2 7 3" xfId="2348"/>
    <cellStyle name="常规 3 2 2 2 7 3 2" xfId="2955"/>
    <cellStyle name="常规 3 2 2 2 7 3_Sheet2" xfId="2960"/>
    <cellStyle name="常规 3 2 2 2 7 4" xfId="2353"/>
    <cellStyle name="常规 3 2 2 2 7 5" xfId="2963"/>
    <cellStyle name="常规 3 2 2 2 7_Sheet2" xfId="2971"/>
    <cellStyle name="常规 3 2 2 2 8" xfId="2972"/>
    <cellStyle name="常规 3 2 2 2 8 2" xfId="2974"/>
    <cellStyle name="常规 3 2 2 2 8 2 2" xfId="384"/>
    <cellStyle name="常规 3 2 2 2 8 2 3" xfId="2976"/>
    <cellStyle name="常规 3 2 2 2 8 2_Sheet2" xfId="2977"/>
    <cellStyle name="常规 3 2 2 2 8 3" xfId="2365"/>
    <cellStyle name="常规 3 2 2 2 8 3 2" xfId="1594"/>
    <cellStyle name="常规 3 2 2 2 8 3_Sheet2" xfId="674"/>
    <cellStyle name="常规 3 2 2 2 8 4" xfId="2980"/>
    <cellStyle name="常规 3 2 2 2 8 5" xfId="2983"/>
    <cellStyle name="常规 3 2 2 2 8_Sheet2" xfId="2985"/>
    <cellStyle name="常规 3 2 2 2 9" xfId="2986"/>
    <cellStyle name="常规 3 2 2 2 9 2" xfId="2988"/>
    <cellStyle name="常规 3 2 2 2 9 2 2" xfId="2990"/>
    <cellStyle name="常规 3 2 2 2 9 2 3" xfId="2993"/>
    <cellStyle name="常规 3 2 2 2 9 2_Sheet2" xfId="2994"/>
    <cellStyle name="常规 3 2 2 2 9 3" xfId="2998"/>
    <cellStyle name="常规 3 2 2 2 9 3 2" xfId="3001"/>
    <cellStyle name="常规 3 2 2 2 9 3_Sheet2" xfId="3003"/>
    <cellStyle name="常规 3 2 2 2 9 4" xfId="3007"/>
    <cellStyle name="常规 3 2 2 2 9 5" xfId="3010"/>
    <cellStyle name="常规 3 2 2 2 9_Sheet2" xfId="3011"/>
    <cellStyle name="常规 3 2 2 2_Sheet2" xfId="3012"/>
    <cellStyle name="常规 3 2 2 3" xfId="3020"/>
    <cellStyle name="常规 3 2 2 3 10" xfId="3021"/>
    <cellStyle name="常规 3 2 2 3 10 2" xfId="3023"/>
    <cellStyle name="常规 3 2 2 3 10 3" xfId="3025"/>
    <cellStyle name="常规 3 2 2 3 10_Sheet2" xfId="2407"/>
    <cellStyle name="常规 3 2 2 3 11" xfId="3027"/>
    <cellStyle name="常规 3 2 2 3 11 2" xfId="3036"/>
    <cellStyle name="常规 3 2 2 3 11_Sheet2" xfId="3041"/>
    <cellStyle name="常规 3 2 2 3 12" xfId="3043"/>
    <cellStyle name="常规 3 2 2 3 13" xfId="3045"/>
    <cellStyle name="常规 3 2 2 3 14" xfId="3046"/>
    <cellStyle name="常规 3 2 2 3 2" xfId="3048"/>
    <cellStyle name="常规 3 2 2 3 2 2" xfId="2126"/>
    <cellStyle name="常规 3 2 2 3 2 2 2" xfId="3050"/>
    <cellStyle name="常规 3 2 2 3 2 2 3" xfId="728"/>
    <cellStyle name="常规 3 2 2 3 2 2_Sheet2" xfId="3051"/>
    <cellStyle name="常规 3 2 2 3 2 3" xfId="3053"/>
    <cellStyle name="常规 3 2 2 3 2 3 2" xfId="2569"/>
    <cellStyle name="常规 3 2 2 3 2 3_Sheet2" xfId="3056"/>
    <cellStyle name="常规 3 2 2 3 2 4" xfId="3059"/>
    <cellStyle name="常规 3 2 2 3 2 5" xfId="3064"/>
    <cellStyle name="常规 3 2 2 3 2_Sheet2" xfId="3066"/>
    <cellStyle name="常规 3 2 2 3 3" xfId="3070"/>
    <cellStyle name="常规 3 2 2 3 3 2" xfId="3072"/>
    <cellStyle name="常规 3 2 2 3 3 2 2" xfId="1766"/>
    <cellStyle name="常规 3 2 2 3 3 2 3" xfId="1771"/>
    <cellStyle name="常规 3 2 2 3 3 2_Sheet2" xfId="3073"/>
    <cellStyle name="常规 3 2 2 3 3 3" xfId="3074"/>
    <cellStyle name="常规 3 2 2 3 3 3 2" xfId="3082"/>
    <cellStyle name="常规 3 2 2 3 3 3_Sheet2" xfId="3086"/>
    <cellStyle name="常规 3 2 2 3 3 4" xfId="3090"/>
    <cellStyle name="常规 3 2 2 3 3 5" xfId="3101"/>
    <cellStyle name="常规 3 2 2 3 3_Sheet2" xfId="1311"/>
    <cellStyle name="常规 3 2 2 3 4" xfId="3108"/>
    <cellStyle name="常规 3 2 2 3 4 2" xfId="3110"/>
    <cellStyle name="常规 3 2 2 3 4 2 2" xfId="3115"/>
    <cellStyle name="常规 3 2 2 3 4 2 3" xfId="89"/>
    <cellStyle name="常规 3 2 2 3 4 2_Sheet2" xfId="3120"/>
    <cellStyle name="常规 3 2 2 3 4 3" xfId="3121"/>
    <cellStyle name="常规 3 2 2 3 4 3 2" xfId="3128"/>
    <cellStyle name="常规 3 2 2 3 4 3_Sheet2" xfId="3134"/>
    <cellStyle name="常规 3 2 2 3 4 4" xfId="3135"/>
    <cellStyle name="常规 3 2 2 3 4 5" xfId="3144"/>
    <cellStyle name="常规 3 2 2 3 4_Sheet2" xfId="680"/>
    <cellStyle name="常规 3 2 2 3 5" xfId="3151"/>
    <cellStyle name="常规 3 2 2 3 5 2" xfId="3154"/>
    <cellStyle name="常规 3 2 2 3 5 2 2" xfId="3158"/>
    <cellStyle name="常规 3 2 2 3 5 2 3" xfId="3161"/>
    <cellStyle name="常规 3 2 2 3 5 2_Sheet2" xfId="3162"/>
    <cellStyle name="常规 3 2 2 3 5 3" xfId="3167"/>
    <cellStyle name="常规 3 2 2 3 5 3 2" xfId="3176"/>
    <cellStyle name="常规 3 2 2 3 5 3_Sheet2" xfId="3183"/>
    <cellStyle name="常规 3 2 2 3 5 4" xfId="3190"/>
    <cellStyle name="常规 3 2 2 3 5 5" xfId="3196"/>
    <cellStyle name="常规 3 2 2 3 5_Sheet2" xfId="3198"/>
    <cellStyle name="常规 3 2 2 3 6" xfId="3200"/>
    <cellStyle name="常规 3 2 2 3 6 2" xfId="3201"/>
    <cellStyle name="常规 3 2 2 3 6 2 2" xfId="3203"/>
    <cellStyle name="常规 3 2 2 3 6 2 3" xfId="3204"/>
    <cellStyle name="常规 3 2 2 3 6 2_Sheet2" xfId="2197"/>
    <cellStyle name="常规 3 2 2 3 6 3" xfId="3206"/>
    <cellStyle name="常规 3 2 2 3 6 3 2" xfId="2539"/>
    <cellStyle name="常规 3 2 2 3 6 3_Sheet2" xfId="3210"/>
    <cellStyle name="常规 3 2 2 3 6 4" xfId="3178"/>
    <cellStyle name="常规 3 2 2 3 6 5" xfId="3212"/>
    <cellStyle name="常规 3 2 2 3 6_Sheet2" xfId="3213"/>
    <cellStyle name="常规 3 2 2 3 7" xfId="2474"/>
    <cellStyle name="常规 3 2 2 3 7 2" xfId="3214"/>
    <cellStyle name="常规 3 2 2 3 7 2 2" xfId="3217"/>
    <cellStyle name="常规 3 2 2 3 7 2 3" xfId="3218"/>
    <cellStyle name="常规 3 2 2 3 7 2_Sheet2" xfId="3220"/>
    <cellStyle name="常规 3 2 2 3 7 3" xfId="2386"/>
    <cellStyle name="常规 3 2 2 3 7 3 2" xfId="3221"/>
    <cellStyle name="常规 3 2 2 3 7 3_Sheet2" xfId="3228"/>
    <cellStyle name="常规 3 2 2 3 7 4" xfId="2389"/>
    <cellStyle name="常规 3 2 2 3 7 5" xfId="2432"/>
    <cellStyle name="常规 3 2 2 3 7_Sheet2" xfId="3229"/>
    <cellStyle name="常规 3 2 2 3 8" xfId="3230"/>
    <cellStyle name="常规 3 2 2 3 8 2" xfId="2799"/>
    <cellStyle name="常规 3 2 2 3 8 2 2" xfId="2801"/>
    <cellStyle name="常规 3 2 2 3 8 2 3" xfId="2813"/>
    <cellStyle name="常规 3 2 2 3 8 2_Sheet2" xfId="2833"/>
    <cellStyle name="常规 3 2 2 3 8 3" xfId="2397"/>
    <cellStyle name="常规 3 2 2 3 8 3 2" xfId="293"/>
    <cellStyle name="常规 3 2 2 3 8 3_Sheet2" xfId="2870"/>
    <cellStyle name="常规 3 2 2 3 8 4" xfId="2874"/>
    <cellStyle name="常规 3 2 2 3 8 5" xfId="2908"/>
    <cellStyle name="常规 3 2 2 3 8_Sheet2" xfId="3232"/>
    <cellStyle name="常规 3 2 2 3 9" xfId="3234"/>
    <cellStyle name="常规 3 2 2 3 9 2" xfId="3069"/>
    <cellStyle name="常规 3 2 2 3 9 2 2" xfId="3071"/>
    <cellStyle name="常规 3 2 2 3 9 2 3" xfId="3076"/>
    <cellStyle name="常规 3 2 2 3 9 2_Sheet2" xfId="1315"/>
    <cellStyle name="常规 3 2 2 3 9 3" xfId="3106"/>
    <cellStyle name="常规 3 2 2 3 9 3 2" xfId="3109"/>
    <cellStyle name="常规 3 2 2 3 9 3_Sheet2" xfId="679"/>
    <cellStyle name="常规 3 2 2 3 9 4" xfId="3150"/>
    <cellStyle name="常规 3 2 2 3 9 5" xfId="3199"/>
    <cellStyle name="常规 3 2 2 3 9_Sheet2" xfId="1711"/>
    <cellStyle name="常规 3 2 2 3_Sheet2" xfId="3236"/>
    <cellStyle name="常规 3 2 2 4" xfId="1014"/>
    <cellStyle name="常规 3 2 2 4 2" xfId="3239"/>
    <cellStyle name="常规 3 2 2 4 2 2" xfId="1743"/>
    <cellStyle name="常规 3 2 2 4 2 3" xfId="1786"/>
    <cellStyle name="常规 3 2 2 4 2_Sheet2" xfId="3244"/>
    <cellStyle name="常规 3 2 2 4 3" xfId="1540"/>
    <cellStyle name="常规 3 2 2 4 3 2" xfId="1543"/>
    <cellStyle name="常规 3 2 2 4 3_Sheet2" xfId="3248"/>
    <cellStyle name="常规 3 2 2 4 4" xfId="1581"/>
    <cellStyle name="常规 3 2 2 4 5" xfId="1135"/>
    <cellStyle name="常规 3 2 2 4 6" xfId="1142"/>
    <cellStyle name="常规 3 2 2 4_Sheet2" xfId="3250"/>
    <cellStyle name="常规 3 2 2 5" xfId="1024"/>
    <cellStyle name="常规 3 2 2 5 2" xfId="3252"/>
    <cellStyle name="常规 3 2 2 5 2 2" xfId="3254"/>
    <cellStyle name="常规 3 2 2 5 2 3" xfId="3258"/>
    <cellStyle name="常规 3 2 2 5 2_Sheet2" xfId="3259"/>
    <cellStyle name="常规 3 2 2 5 3" xfId="3261"/>
    <cellStyle name="常规 3 2 2 5 3 2" xfId="3263"/>
    <cellStyle name="常规 3 2 2 5 3_Sheet2" xfId="3265"/>
    <cellStyle name="常规 3 2 2 5 4" xfId="3267"/>
    <cellStyle name="常规 3 2 2 5 5" xfId="3269"/>
    <cellStyle name="常规 3 2 2 5_Sheet2" xfId="3270"/>
    <cellStyle name="常规 3 2 2 6" xfId="3277"/>
    <cellStyle name="常规 3 2 2 6 2" xfId="3282"/>
    <cellStyle name="常规 3 2 2 6 2 2" xfId="3285"/>
    <cellStyle name="常规 3 2 2 6 2 3" xfId="3290"/>
    <cellStyle name="常规 3 2 2 6 2_Sheet2" xfId="3292"/>
    <cellStyle name="常规 3 2 2 6 3" xfId="3295"/>
    <cellStyle name="常规 3 2 2 6 3 2" xfId="958"/>
    <cellStyle name="常规 3 2 2 6 3_Sheet2" xfId="3300"/>
    <cellStyle name="常规 3 2 2 6 4" xfId="3305"/>
    <cellStyle name="常规 3 2 2 6 5" xfId="3311"/>
    <cellStyle name="常规 3 2 2 6_Sheet2" xfId="3315"/>
    <cellStyle name="常规 3 2 2 7" xfId="3319"/>
    <cellStyle name="常规 3 2 2 7 2" xfId="3322"/>
    <cellStyle name="常规 3 2 2 7 2 2" xfId="3325"/>
    <cellStyle name="常规 3 2 2 7 2 3" xfId="3330"/>
    <cellStyle name="常规 3 2 2 7 2_Sheet2" xfId="3331"/>
    <cellStyle name="常规 3 2 2 7 3" xfId="3333"/>
    <cellStyle name="常规 3 2 2 7 3 2" xfId="3334"/>
    <cellStyle name="常规 3 2 2 7 3_Sheet2" xfId="3337"/>
    <cellStyle name="常规 3 2 2 7 4" xfId="3341"/>
    <cellStyle name="常规 3 2 2 7 5" xfId="3344"/>
    <cellStyle name="常规 3 2 2 7_Sheet2" xfId="3348"/>
    <cellStyle name="常规 3 2 2 8" xfId="3352"/>
    <cellStyle name="常规 3 2 2 8 2" xfId="3354"/>
    <cellStyle name="常规 3 2 2 8 2 2" xfId="3356"/>
    <cellStyle name="常规 3 2 2 8 2 3" xfId="3361"/>
    <cellStyle name="常规 3 2 2 8 2_Sheet2" xfId="3365"/>
    <cellStyle name="常规 3 2 2 8 3" xfId="3366"/>
    <cellStyle name="常规 3 2 2 8 3 2" xfId="3367"/>
    <cellStyle name="常规 3 2 2 8 3_Sheet2" xfId="3369"/>
    <cellStyle name="常规 3 2 2 8 4" xfId="3370"/>
    <cellStyle name="常规 3 2 2 8 5" xfId="1972"/>
    <cellStyle name="常规 3 2 2 8_Sheet2" xfId="3372"/>
    <cellStyle name="常规 3 2 2 9" xfId="3375"/>
    <cellStyle name="常规 3 2 2 9 2" xfId="3377"/>
    <cellStyle name="常规 3 2 2 9 2 2" xfId="3380"/>
    <cellStyle name="常规 3 2 2 9 2 3" xfId="3386"/>
    <cellStyle name="常规 3 2 2 9 2_Sheet2" xfId="3388"/>
    <cellStyle name="常规 3 2 2 9 3" xfId="3389"/>
    <cellStyle name="常规 3 2 2 9 3 2" xfId="3393"/>
    <cellStyle name="常规 3 2 2 9 3_Sheet2" xfId="3402"/>
    <cellStyle name="常规 3 2 2 9 4" xfId="1054"/>
    <cellStyle name="常规 3 2 2 9 5" xfId="2278"/>
    <cellStyle name="常规 3 2 2 9_Sheet2" xfId="3406"/>
    <cellStyle name="常规 3 2 2_Sheet2" xfId="3410"/>
    <cellStyle name="常规 3 2 20" xfId="1240"/>
    <cellStyle name="常规 3 2 21" xfId="2476"/>
    <cellStyle name="常规 3 2 22" xfId="346"/>
    <cellStyle name="常规 3 2 3" xfId="3417"/>
    <cellStyle name="常规 3 2 3 10" xfId="3418"/>
    <cellStyle name="常规 3 2 3 10 2" xfId="489"/>
    <cellStyle name="常规 3 2 3 10 2 2" xfId="2830"/>
    <cellStyle name="常规 3 2 3 10 2 3" xfId="3424"/>
    <cellStyle name="常规 3 2 3 10 2_Sheet2" xfId="3428"/>
    <cellStyle name="常规 3 2 3 10 3" xfId="3432"/>
    <cellStyle name="常规 3 2 3 10 3 2" xfId="2867"/>
    <cellStyle name="常规 3 2 3 10 3_Sheet2" xfId="3444"/>
    <cellStyle name="常规 3 2 3 10 4" xfId="3448"/>
    <cellStyle name="常规 3 2 3 10 5" xfId="3453"/>
    <cellStyle name="常规 3 2 3 10_Sheet2" xfId="1798"/>
    <cellStyle name="常规 3 2 3 11" xfId="3457"/>
    <cellStyle name="常规 3 2 3 11 2" xfId="1253"/>
    <cellStyle name="常规 3 2 3 11 2 2" xfId="3105"/>
    <cellStyle name="常规 3 2 3 11 2 3" xfId="3469"/>
    <cellStyle name="常规 3 2 3 11 2_Sheet2" xfId="3473"/>
    <cellStyle name="常规 3 2 3 11 3" xfId="3400"/>
    <cellStyle name="常规 3 2 3 11 3 2" xfId="3149"/>
    <cellStyle name="常规 3 2 3 11 3_Sheet2" xfId="3478"/>
    <cellStyle name="常规 3 2 3 11 4" xfId="3486"/>
    <cellStyle name="常规 3 2 3 11 5" xfId="3490"/>
    <cellStyle name="常规 3 2 3 11_Sheet2" xfId="3495"/>
    <cellStyle name="常规 3 2 3 12" xfId="3501"/>
    <cellStyle name="常规 3 2 3 12 2" xfId="1004"/>
    <cellStyle name="常规 3 2 3 12 3" xfId="3508"/>
    <cellStyle name="常规 3 2 3 12_Sheet2" xfId="3510"/>
    <cellStyle name="常规 3 2 3 13" xfId="3514"/>
    <cellStyle name="常规 3 2 3 13 2" xfId="1338"/>
    <cellStyle name="常规 3 2 3 13 3" xfId="3515"/>
    <cellStyle name="常规 3 2 3 13_Sheet2" xfId="3519"/>
    <cellStyle name="常规 3 2 3 14" xfId="3524"/>
    <cellStyle name="常规 3 2 3 15" xfId="3531"/>
    <cellStyle name="常规 3 2 3 16" xfId="3535"/>
    <cellStyle name="常规 3 2 3 2" xfId="3543"/>
    <cellStyle name="常规 3 2 3 2 2" xfId="3549"/>
    <cellStyle name="常规 3 2 3 2 2 2" xfId="3554"/>
    <cellStyle name="常规 3 2 3 2 2 3" xfId="3477"/>
    <cellStyle name="常规 3 2 3 2 2_Sheet2" xfId="3555"/>
    <cellStyle name="常规 3 2 3 2 3" xfId="3557"/>
    <cellStyle name="常规 3 2 3 2 3 2" xfId="3558"/>
    <cellStyle name="常规 3 2 3 2 3_Sheet2" xfId="3560"/>
    <cellStyle name="常规 3 2 3 2 4" xfId="2417"/>
    <cellStyle name="常规 3 2 3 2 5" xfId="3566"/>
    <cellStyle name="常规 3 2 3 2 6" xfId="3569"/>
    <cellStyle name="常规 3 2 3 2_Sheet2" xfId="3576"/>
    <cellStyle name="常规 3 2 3 3" xfId="3581"/>
    <cellStyle name="常规 3 2 3 3 2" xfId="3582"/>
    <cellStyle name="常规 3 2 3 3 2 2" xfId="3585"/>
    <cellStyle name="常规 3 2 3 3 2 3" xfId="3589"/>
    <cellStyle name="常规 3 2 3 3 2_Sheet2" xfId="2264"/>
    <cellStyle name="常规 3 2 3 3 3" xfId="3590"/>
    <cellStyle name="常规 3 2 3 3 3 2" xfId="3593"/>
    <cellStyle name="常规 3 2 3 3 3_Sheet2" xfId="3594"/>
    <cellStyle name="常规 3 2 3 3 4" xfId="3600"/>
    <cellStyle name="常规 3 2 3 3 5" xfId="3607"/>
    <cellStyle name="常规 3 2 3 3 6" xfId="3614"/>
    <cellStyle name="常规 3 2 3 3_Sheet2" xfId="3618"/>
    <cellStyle name="常规 3 2 3 4" xfId="1041"/>
    <cellStyle name="常规 3 2 3 4 2" xfId="3619"/>
    <cellStyle name="常规 3 2 3 4 2 2" xfId="3622"/>
    <cellStyle name="常规 3 2 3 4 2 3" xfId="3631"/>
    <cellStyle name="常规 3 2 3 4 2_Sheet2" xfId="3634"/>
    <cellStyle name="常规 3 2 3 4 3" xfId="1596"/>
    <cellStyle name="常规 3 2 3 4 3 2" xfId="1600"/>
    <cellStyle name="常规 3 2 3 4 3_Sheet2" xfId="3635"/>
    <cellStyle name="常规 3 2 3 4 4" xfId="1629"/>
    <cellStyle name="常规 3 2 3 4 5" xfId="1637"/>
    <cellStyle name="常规 3 2 3 4_Sheet2" xfId="3637"/>
    <cellStyle name="常规 3 2 3 5" xfId="3640"/>
    <cellStyle name="常规 3 2 3 5 2" xfId="1424"/>
    <cellStyle name="常规 3 2 3 5 2 2" xfId="3645"/>
    <cellStyle name="常规 3 2 3 5 2 3" xfId="3653"/>
    <cellStyle name="常规 3 2 3 5 2_Sheet2" xfId="3654"/>
    <cellStyle name="常规 3 2 3 5 3" xfId="1461"/>
    <cellStyle name="常规 3 2 3 5 3 2" xfId="3659"/>
    <cellStyle name="常规 3 2 3 5 3_Sheet2" xfId="3661"/>
    <cellStyle name="常规 3 2 3 5 4" xfId="3667"/>
    <cellStyle name="常规 3 2 3 5 5" xfId="3679"/>
    <cellStyle name="常规 3 2 3 5_Sheet2" xfId="3682"/>
    <cellStyle name="常规 3 2 3 6" xfId="3686"/>
    <cellStyle name="常规 3 2 3 6 2" xfId="1502"/>
    <cellStyle name="常规 3 2 3 6 2 2" xfId="3695"/>
    <cellStyle name="常规 3 2 3 6 2 3" xfId="3703"/>
    <cellStyle name="常规 3 2 3 6 2_Sheet2" xfId="3706"/>
    <cellStyle name="常规 3 2 3 6 3" xfId="950"/>
    <cellStyle name="常规 3 2 3 6 3 2" xfId="995"/>
    <cellStyle name="常规 3 2 3 6 3_Sheet2" xfId="1655"/>
    <cellStyle name="常规 3 2 3 6 4" xfId="3714"/>
    <cellStyle name="常规 3 2 3 6 5" xfId="3721"/>
    <cellStyle name="常规 3 2 3 6_Sheet2" xfId="3724"/>
    <cellStyle name="常规 3 2 3 7" xfId="3728"/>
    <cellStyle name="常规 3 2 3 7 2" xfId="3732"/>
    <cellStyle name="常规 3 2 3 7 2 2" xfId="3733"/>
    <cellStyle name="常规 3 2 3 7 2 3" xfId="3737"/>
    <cellStyle name="常规 3 2 3 7 2_Sheet2" xfId="3738"/>
    <cellStyle name="常规 3 2 3 7 3" xfId="3739"/>
    <cellStyle name="常规 3 2 3 7 3 2" xfId="3741"/>
    <cellStyle name="常规 3 2 3 7 3_Sheet2" xfId="3745"/>
    <cellStyle name="常规 3 2 3 7 4" xfId="3754"/>
    <cellStyle name="常规 3 2 3 7 5" xfId="3761"/>
    <cellStyle name="常规 3 2 3 7_Sheet2" xfId="3762"/>
    <cellStyle name="常规 3 2 3 8" xfId="3766"/>
    <cellStyle name="常规 3 2 3 8 2" xfId="3767"/>
    <cellStyle name="常规 3 2 3 8 2 2" xfId="3742"/>
    <cellStyle name="常规 3 2 3 8 2 3" xfId="3771"/>
    <cellStyle name="常规 3 2 3 8 2_Sheet2" xfId="3776"/>
    <cellStyle name="常规 3 2 3 8 3" xfId="3777"/>
    <cellStyle name="常规 3 2 3 8 3 2" xfId="3778"/>
    <cellStyle name="常规 3 2 3 8 3_Sheet2" xfId="3782"/>
    <cellStyle name="常规 3 2 3 8 4" xfId="3785"/>
    <cellStyle name="常规 3 2 3 8 5" xfId="3787"/>
    <cellStyle name="常规 3 2 3 8_Sheet2" xfId="3793"/>
    <cellStyle name="常规 3 2 3 9" xfId="3796"/>
    <cellStyle name="常规 3 2 3 9 2" xfId="3798"/>
    <cellStyle name="常规 3 2 3 9 2 2" xfId="3801"/>
    <cellStyle name="常规 3 2 3 9 2 3" xfId="3804"/>
    <cellStyle name="常规 3 2 3 9 2_Sheet2" xfId="3810"/>
    <cellStyle name="常规 3 2 3 9 3" xfId="3811"/>
    <cellStyle name="常规 3 2 3 9 3 2" xfId="1923"/>
    <cellStyle name="常规 3 2 3 9 3_Sheet2" xfId="3812"/>
    <cellStyle name="常规 3 2 3 9 4" xfId="3815"/>
    <cellStyle name="常规 3 2 3 9 5" xfId="3817"/>
    <cellStyle name="常规 3 2 3 9_Sheet2" xfId="357"/>
    <cellStyle name="常规 3 2 3_Sheet2" xfId="3821"/>
    <cellStyle name="常规 3 2 4" xfId="3826"/>
    <cellStyle name="常规 3 2 4 10" xfId="3828"/>
    <cellStyle name="常规 3 2 4 10 2" xfId="1058"/>
    <cellStyle name="常规 3 2 4 10 2 2" xfId="558"/>
    <cellStyle name="常规 3 2 4 10 2 3" xfId="3833"/>
    <cellStyle name="常规 3 2 4 10 2_Sheet2" xfId="3836"/>
    <cellStyle name="常规 3 2 4 10 3" xfId="2277"/>
    <cellStyle name="常规 3 2 4 10 3 2" xfId="601"/>
    <cellStyle name="常规 3 2 4 10 3_Sheet2" xfId="212"/>
    <cellStyle name="常规 3 2 4 10 4" xfId="3839"/>
    <cellStyle name="常规 3 2 4 10 5" xfId="3841"/>
    <cellStyle name="常规 3 2 4 10_Sheet2" xfId="3848"/>
    <cellStyle name="常规 3 2 4 11" xfId="3851"/>
    <cellStyle name="常规 3 2 4 11 2" xfId="3853"/>
    <cellStyle name="常规 3 2 4 11 3" xfId="2601"/>
    <cellStyle name="常规 3 2 4 11_Sheet2" xfId="3157"/>
    <cellStyle name="常规 3 2 4 12" xfId="3856"/>
    <cellStyle name="常规 3 2 4 12 2" xfId="1817"/>
    <cellStyle name="常规 3 2 4 12_Sheet2" xfId="1816"/>
    <cellStyle name="常规 3 2 4 13" xfId="3859"/>
    <cellStyle name="常规 3 2 4 14" xfId="3860"/>
    <cellStyle name="常规 3 2 4 15" xfId="3861"/>
    <cellStyle name="常规 3 2 4 2" xfId="3864"/>
    <cellStyle name="常规 3 2 4 2 2" xfId="3865"/>
    <cellStyle name="常规 3 2 4 2 2 2" xfId="3866"/>
    <cellStyle name="常规 3 2 4 2 2 3" xfId="3869"/>
    <cellStyle name="常规 3 2 4 2 2_Sheet2" xfId="3873"/>
    <cellStyle name="常规 3 2 4 2 3" xfId="3876"/>
    <cellStyle name="常规 3 2 4 2 3 2" xfId="3877"/>
    <cellStyle name="常规 3 2 4 2 3_Sheet2" xfId="3880"/>
    <cellStyle name="常规 3 2 4 2 4" xfId="2437"/>
    <cellStyle name="常规 3 2 4 2 5" xfId="3883"/>
    <cellStyle name="常规 3 2 4 2 6" xfId="3889"/>
    <cellStyle name="常规 3 2 4 2_Sheet2" xfId="2658"/>
    <cellStyle name="常规 3 2 4 3" xfId="3892"/>
    <cellStyle name="常规 3 2 4 3 2" xfId="3893"/>
    <cellStyle name="常规 3 2 4 3 2 2" xfId="3895"/>
    <cellStyle name="常规 3 2 4 3 2 3" xfId="2038"/>
    <cellStyle name="常规 3 2 4 3 2_Sheet2" xfId="3896"/>
    <cellStyle name="常规 3 2 4 3 3" xfId="3897"/>
    <cellStyle name="常规 3 2 4 3 3 2" xfId="3899"/>
    <cellStyle name="常规 3 2 4 3 3_Sheet2" xfId="3900"/>
    <cellStyle name="常规 3 2 4 3 4" xfId="2809"/>
    <cellStyle name="常规 3 2 4 3 5" xfId="3908"/>
    <cellStyle name="常规 3 2 4 3_Sheet2" xfId="3912"/>
    <cellStyle name="常规 3 2 4 4" xfId="3913"/>
    <cellStyle name="常规 3 2 4 4 2" xfId="3914"/>
    <cellStyle name="常规 3 2 4 4 2 2" xfId="2132"/>
    <cellStyle name="常规 3 2 4 4 2 3" xfId="2147"/>
    <cellStyle name="常规 3 2 4 4 2_Sheet2" xfId="3394"/>
    <cellStyle name="常规 3 2 4 4 3" xfId="1650"/>
    <cellStyle name="常规 3 2 4 4 3 2" xfId="2185"/>
    <cellStyle name="常规 3 2 4 4 3_Sheet2" xfId="1234"/>
    <cellStyle name="常规 3 2 4 4 4" xfId="1617"/>
    <cellStyle name="常规 3 2 4 4 5" xfId="56"/>
    <cellStyle name="常规 3 2 4 4_Sheet2" xfId="2298"/>
    <cellStyle name="常规 3 2 4 5" xfId="3916"/>
    <cellStyle name="常规 3 2 4 5 2" xfId="12"/>
    <cellStyle name="常规 3 2 4 5 2 2" xfId="539"/>
    <cellStyle name="常规 3 2 4 5 2 3" xfId="264"/>
    <cellStyle name="常规 3 2 4 5 2_Sheet2" xfId="1682"/>
    <cellStyle name="常规 3 2 4 5 3" xfId="312"/>
    <cellStyle name="常规 3 2 4 5 3 2" xfId="594"/>
    <cellStyle name="常规 3 2 4 5 3_Sheet2" xfId="3919"/>
    <cellStyle name="常规 3 2 4 5 4" xfId="269"/>
    <cellStyle name="常规 3 2 4 5 5" xfId="202"/>
    <cellStyle name="常规 3 2 4 5_Sheet2" xfId="3923"/>
    <cellStyle name="常规 3 2 4 6" xfId="3926"/>
    <cellStyle name="常规 3 2 4 6 2" xfId="3931"/>
    <cellStyle name="常规 3 2 4 6 2 2" xfId="1719"/>
    <cellStyle name="常规 3 2 4 6 2 3" xfId="1723"/>
    <cellStyle name="常规 3 2 4 6 2_Sheet2" xfId="3932"/>
    <cellStyle name="常规 3 2 4 6 3" xfId="3936"/>
    <cellStyle name="常规 3 2 4 6 3 2" xfId="788"/>
    <cellStyle name="常规 3 2 4 6 3_Sheet2" xfId="2008"/>
    <cellStyle name="常规 3 2 4 6 4" xfId="3938"/>
    <cellStyle name="常规 3 2 4 6 5" xfId="3943"/>
    <cellStyle name="常规 3 2 4 6_Sheet2" xfId="3944"/>
    <cellStyle name="常规 3 2 4 7" xfId="3947"/>
    <cellStyle name="常规 3 2 4 7 2" xfId="3024"/>
    <cellStyle name="常规 3 2 4 7 2 2" xfId="3948"/>
    <cellStyle name="常规 3 2 4 7 2 3" xfId="3951"/>
    <cellStyle name="常规 3 2 4 7 2_Sheet2" xfId="335"/>
    <cellStyle name="常规 3 2 4 7 3" xfId="3953"/>
    <cellStyle name="常规 3 2 4 7 3 2" xfId="3954"/>
    <cellStyle name="常规 3 2 4 7 3_Sheet2" xfId="3956"/>
    <cellStyle name="常规 3 2 4 7 4" xfId="3957"/>
    <cellStyle name="常规 3 2 4 7 5" xfId="3960"/>
    <cellStyle name="常规 3 2 4 7_Sheet2" xfId="36"/>
    <cellStyle name="常规 3 2 4 8" xfId="3964"/>
    <cellStyle name="常规 3 2 4 8 2" xfId="3968"/>
    <cellStyle name="常规 3 2 4 8 2 2" xfId="3969"/>
    <cellStyle name="常规 3 2 4 8 2 3" xfId="3974"/>
    <cellStyle name="常规 3 2 4 8 2_Sheet2" xfId="3975"/>
    <cellStyle name="常规 3 2 4 8 3" xfId="3981"/>
    <cellStyle name="常规 3 2 4 8 3 2" xfId="3983"/>
    <cellStyle name="常规 3 2 4 8 3_Sheet2" xfId="3988"/>
    <cellStyle name="常规 3 2 4 8 4" xfId="3989"/>
    <cellStyle name="常规 3 2 4 8 5" xfId="3990"/>
    <cellStyle name="常规 3 2 4 8_Sheet2" xfId="797"/>
    <cellStyle name="常规 3 2 4 9" xfId="3994"/>
    <cellStyle name="常规 3 2 4 9 2" xfId="3998"/>
    <cellStyle name="常规 3 2 4 9 2 2" xfId="4001"/>
    <cellStyle name="常规 3 2 4 9 2 3" xfId="4004"/>
    <cellStyle name="常规 3 2 4 9 2_Sheet2" xfId="4007"/>
    <cellStyle name="常规 3 2 4 9 3" xfId="188"/>
    <cellStyle name="常规 3 2 4 9 3 2" xfId="4008"/>
    <cellStyle name="常规 3 2 4 9 3_Sheet2" xfId="4011"/>
    <cellStyle name="常规 3 2 4 9 4" xfId="4012"/>
    <cellStyle name="常规 3 2 4 9 5" xfId="4014"/>
    <cellStyle name="常规 3 2 4 9_Sheet2" xfId="785"/>
    <cellStyle name="常规 3 2 4_Sheet2" xfId="4019"/>
    <cellStyle name="常规 3 2 5" xfId="537"/>
    <cellStyle name="常规 3 2 5 2" xfId="541"/>
    <cellStyle name="常规 3 2 5 2 2" xfId="545"/>
    <cellStyle name="常规 3 2 5 2 3" xfId="549"/>
    <cellStyle name="常规 3 2 5 2_Sheet2" xfId="4021"/>
    <cellStyle name="常规 3 2 5 3" xfId="551"/>
    <cellStyle name="常规 3 2 5 3 2" xfId="554"/>
    <cellStyle name="常规 3 2 5 3_Sheet2" xfId="4023"/>
    <cellStyle name="常规 3 2 5 4" xfId="561"/>
    <cellStyle name="常规 3 2 5 5" xfId="579"/>
    <cellStyle name="常规 3 2 5 6" xfId="584"/>
    <cellStyle name="常规 3 2 5_Sheet2" xfId="2631"/>
    <cellStyle name="常规 3 2 6" xfId="259"/>
    <cellStyle name="常规 3 2 6 2" xfId="4025"/>
    <cellStyle name="常规 3 2 6 2 2" xfId="2588"/>
    <cellStyle name="常规 3 2 6 2 3" xfId="4027"/>
    <cellStyle name="常规 3 2 6 2_Sheet2" xfId="4028"/>
    <cellStyle name="常规 3 2 6 3" xfId="4030"/>
    <cellStyle name="常规 3 2 6 3 2" xfId="4031"/>
    <cellStyle name="常规 3 2 6 3_Sheet2" xfId="4038"/>
    <cellStyle name="常规 3 2 6 4" xfId="605"/>
    <cellStyle name="常规 3 2 6 5" xfId="611"/>
    <cellStyle name="常规 3 2 6 6" xfId="4039"/>
    <cellStyle name="常规 3 2 6_Sheet2" xfId="4045"/>
    <cellStyle name="常规 3 2 7" xfId="588"/>
    <cellStyle name="常规 3 2 7 2" xfId="4047"/>
    <cellStyle name="常规 3 2 7 2 2" xfId="3921"/>
    <cellStyle name="常规 3 2 7 2 3" xfId="4050"/>
    <cellStyle name="常规 3 2 7 2_Sheet2" xfId="1759"/>
    <cellStyle name="常规 3 2 7 3" xfId="4052"/>
    <cellStyle name="常规 3 2 7 3 2" xfId="4054"/>
    <cellStyle name="常规 3 2 7 3_Sheet2" xfId="4056"/>
    <cellStyle name="常规 3 2 7 4" xfId="624"/>
    <cellStyle name="常规 3 2 7 5" xfId="640"/>
    <cellStyle name="常规 3 2 7 6" xfId="4058"/>
    <cellStyle name="常规 3 2 7_Sheet2" xfId="4059"/>
    <cellStyle name="常规 3 2 8" xfId="4061"/>
    <cellStyle name="常规 3 2 8 2" xfId="4063"/>
    <cellStyle name="常规 3 2 8 2 2" xfId="4064"/>
    <cellStyle name="常规 3 2 8 2 3" xfId="4071"/>
    <cellStyle name="常规 3 2 8 2_Sheet2" xfId="4074"/>
    <cellStyle name="常规 3 2 8 3" xfId="3878"/>
    <cellStyle name="常规 3 2 8 3 2" xfId="4075"/>
    <cellStyle name="常规 3 2 8 3_Sheet2" xfId="4078"/>
    <cellStyle name="常规 3 2 8 4" xfId="645"/>
    <cellStyle name="常规 3 2 8 5" xfId="4080"/>
    <cellStyle name="常规 3 2 8 6" xfId="4082"/>
    <cellStyle name="常规 3 2 8_Sheet2" xfId="4083"/>
    <cellStyle name="常规 3 2 9" xfId="4084"/>
    <cellStyle name="常规 3 2 9 2" xfId="4035"/>
    <cellStyle name="常规 3 2 9 2 2" xfId="4086"/>
    <cellStyle name="常规 3 2 9 2 3" xfId="2445"/>
    <cellStyle name="常规 3 2 9 2_Sheet2" xfId="4091"/>
    <cellStyle name="常规 3 2 9 3" xfId="4093"/>
    <cellStyle name="常规 3 2 9 3 2" xfId="4095"/>
    <cellStyle name="常规 3 2 9 3_Sheet2" xfId="4097"/>
    <cellStyle name="常规 3 2 9 4" xfId="4100"/>
    <cellStyle name="常规 3 2 9 5" xfId="4101"/>
    <cellStyle name="常规 3 2 9_Sheet2" xfId="4103"/>
    <cellStyle name="常规 3 2_Sheet2" xfId="208"/>
    <cellStyle name="常规 3 3" xfId="3838"/>
    <cellStyle name="常规 3 3 2" xfId="4104"/>
    <cellStyle name="常规 3 3 3" xfId="4109"/>
    <cellStyle name="常规 3 3 4" xfId="4112"/>
    <cellStyle name="常规 3 3_Sheet2" xfId="4113"/>
    <cellStyle name="常规 3 4" xfId="3840"/>
    <cellStyle name="常规 3 4 2" xfId="4120"/>
    <cellStyle name="常规 3 4_Sheet2" xfId="4124"/>
    <cellStyle name="常规 3 5" xfId="4127"/>
    <cellStyle name="常规 3 6" xfId="4132"/>
    <cellStyle name="常规 3 7" xfId="4138"/>
    <cellStyle name="常规 3 8" xfId="4142"/>
    <cellStyle name="常规 3 9" xfId="4145"/>
    <cellStyle name="常规 3_Sheet2" xfId="4146"/>
    <cellStyle name="常规 30" xfId="2240"/>
    <cellStyle name="常规 31" xfId="2244"/>
    <cellStyle name="常规 32" xfId="2248"/>
    <cellStyle name="常规 33" xfId="2254"/>
    <cellStyle name="常规 34" xfId="2261"/>
    <cellStyle name="常规 35" xfId="4153"/>
    <cellStyle name="常规 36" xfId="4155"/>
    <cellStyle name="常规 37" xfId="4157"/>
    <cellStyle name="常规 38" xfId="4163"/>
    <cellStyle name="常规 39" xfId="32"/>
    <cellStyle name="常规 4" xfId="2598"/>
    <cellStyle name="常规 4 10" xfId="4165"/>
    <cellStyle name="常规 4 11" xfId="4166"/>
    <cellStyle name="常规 4 11 10" xfId="4167"/>
    <cellStyle name="常规 4 11 10 2" xfId="4168"/>
    <cellStyle name="常规 4 11 10 2 2" xfId="4170"/>
    <cellStyle name="常规 4 11 10 3" xfId="4173"/>
    <cellStyle name="常规 4 11 10 4" xfId="4175"/>
    <cellStyle name="常规 4 11 11" xfId="4178"/>
    <cellStyle name="常规 4 11 11 2" xfId="4180"/>
    <cellStyle name="常规 4 11 12" xfId="4182"/>
    <cellStyle name="常规 4 11 13" xfId="4187"/>
    <cellStyle name="常规 4 11 2" xfId="2410"/>
    <cellStyle name="常规 4 11 2 10" xfId="4194"/>
    <cellStyle name="常规 4 11 2 10 2" xfId="4197"/>
    <cellStyle name="常规 4 11 2 11" xfId="3694"/>
    <cellStyle name="常规 4 11 2 12" xfId="3699"/>
    <cellStyle name="常规 4 11 2 2" xfId="2415"/>
    <cellStyle name="常规 4 11 2 2 10" xfId="4207"/>
    <cellStyle name="常规 4 11 2 2 11" xfId="2952"/>
    <cellStyle name="常规 4 11 2 2 2" xfId="4209"/>
    <cellStyle name="常规 4 11 2 2 2 2" xfId="4210"/>
    <cellStyle name="常规 4 11 2 2 2 2 2" xfId="1793"/>
    <cellStyle name="常规 4 11 2 2 2 2 2 2" xfId="4211"/>
    <cellStyle name="常规 4 11 2 2 2 2 2 2 2" xfId="4116"/>
    <cellStyle name="常规 4 11 2 2 2 2 2 2 2 2" xfId="4213"/>
    <cellStyle name="常规 4 11 2 2 2 2 2 2 2 2 2" xfId="4214"/>
    <cellStyle name="常规 4 11 2 2 2 2 2 2 2 2 2 2" xfId="1404"/>
    <cellStyle name="常规 4 11 2 2 2 2 2 2 2 2 3" xfId="3237"/>
    <cellStyle name="常规 4 11 2 2 2 2 2 2 2 2 4" xfId="1539"/>
    <cellStyle name="常规 4 11 2 2 2 2 2 2 2 3" xfId="4216"/>
    <cellStyle name="常规 4 11 2 2 2 2 2 2 2 3 2" xfId="4217"/>
    <cellStyle name="常规 4 11 2 2 2 2 2 2 2 4" xfId="4222"/>
    <cellStyle name="常规 4 11 2 2 2 2 2 2 2 5" xfId="3412"/>
    <cellStyle name="常规 4 11 2 2 2 2 2 2 3" xfId="4226"/>
    <cellStyle name="常规 4 11 2 2 2 2 2 2 3 2" xfId="4232"/>
    <cellStyle name="常规 4 11 2 2 2 2 2 2 3 2 2" xfId="4234"/>
    <cellStyle name="常规 4 11 2 2 2 2 2 2 3 3" xfId="4238"/>
    <cellStyle name="常规 4 11 2 2 2 2 2 2 3 4" xfId="4240"/>
    <cellStyle name="常规 4 11 2 2 2 2 2 2 4" xfId="4245"/>
    <cellStyle name="常规 4 11 2 2 2 2 2 2 4 2" xfId="4250"/>
    <cellStyle name="常规 4 11 2 2 2 2 2 2 5" xfId="4255"/>
    <cellStyle name="常规 4 11 2 2 2 2 2 2 6" xfId="4256"/>
    <cellStyle name="常规 4 11 2 2 2 2 2 3" xfId="4260"/>
    <cellStyle name="常规 4 11 2 2 2 2 2 3 2" xfId="4264"/>
    <cellStyle name="常规 4 11 2 2 2 2 2 3 2 2" xfId="4267"/>
    <cellStyle name="常规 4 11 2 2 2 2 2 3 2 2 2" xfId="4271"/>
    <cellStyle name="常规 4 11 2 2 2 2 2 3 2 3" xfId="4274"/>
    <cellStyle name="常规 4 11 2 2 2 2 2 3 2 4" xfId="4278"/>
    <cellStyle name="常规 4 11 2 2 2 2 2 3 3" xfId="4280"/>
    <cellStyle name="常规 4 11 2 2 2 2 2 3 3 2" xfId="4284"/>
    <cellStyle name="常规 4 11 2 2 2 2 2 3 4" xfId="4291"/>
    <cellStyle name="常规 4 11 2 2 2 2 2 3 5" xfId="4294"/>
    <cellStyle name="常规 4 11 2 2 2 2 2 4" xfId="4300"/>
    <cellStyle name="常规 4 11 2 2 2 2 2 4 2" xfId="4307"/>
    <cellStyle name="常规 4 11 2 2 2 2 2 4 2 2" xfId="4313"/>
    <cellStyle name="常规 4 11 2 2 2 2 2 4 3" xfId="4319"/>
    <cellStyle name="常规 4 11 2 2 2 2 2 4 4" xfId="4321"/>
    <cellStyle name="常规 4 11 2 2 2 2 2 5" xfId="4330"/>
    <cellStyle name="常规 4 11 2 2 2 2 2 5 2" xfId="4337"/>
    <cellStyle name="常规 4 11 2 2 2 2 2 6" xfId="3436"/>
    <cellStyle name="常规 4 11 2 2 2 2 2 7" xfId="4345"/>
    <cellStyle name="常规 4 11 2 2 2 2 3" xfId="4347"/>
    <cellStyle name="常规 4 11 2 2 2 2 3 2" xfId="2984"/>
    <cellStyle name="常规 4 11 2 2 2 2 3 2 2" xfId="4351"/>
    <cellStyle name="常规 4 11 2 2 2 2 3 2 2 2" xfId="4353"/>
    <cellStyle name="常规 4 11 2 2 2 2 3 2 2 2 2" xfId="4355"/>
    <cellStyle name="常规 4 11 2 2 2 2 3 2 2 3" xfId="4356"/>
    <cellStyle name="常规 4 11 2 2 2 2 3 2 2 4" xfId="4357"/>
    <cellStyle name="常规 4 11 2 2 2 2 3 2 3" xfId="4361"/>
    <cellStyle name="常规 4 11 2 2 2 2 3 2 3 2" xfId="4365"/>
    <cellStyle name="常规 4 11 2 2 2 2 3 2 4" xfId="4204"/>
    <cellStyle name="常规 4 11 2 2 2 2 3 2 5" xfId="2948"/>
    <cellStyle name="常规 4 11 2 2 2 2 3 3" xfId="4366"/>
    <cellStyle name="常规 4 11 2 2 2 2 3 3 2" xfId="4369"/>
    <cellStyle name="常规 4 11 2 2 2 2 3 3 2 2" xfId="4371"/>
    <cellStyle name="常规 4 11 2 2 2 2 3 3 3" xfId="4149"/>
    <cellStyle name="常规 4 11 2 2 2 2 3 3 4" xfId="4373"/>
    <cellStyle name="常规 4 11 2 2 2 2 3 4" xfId="4379"/>
    <cellStyle name="常规 4 11 2 2 2 2 3 4 2" xfId="4383"/>
    <cellStyle name="常规 4 11 2 2 2 2 3 5" xfId="4389"/>
    <cellStyle name="常规 4 11 2 2 2 2 3 6" xfId="4396"/>
    <cellStyle name="常规 4 11 2 2 2 2 4" xfId="4401"/>
    <cellStyle name="常规 4 11 2 2 2 2 4 2" xfId="4410"/>
    <cellStyle name="常规 4 11 2 2 2 2 4 2 2" xfId="4420"/>
    <cellStyle name="常规 4 11 2 2 2 2 4 2 2 2" xfId="1906"/>
    <cellStyle name="常规 4 11 2 2 2 2 4 2 3" xfId="4425"/>
    <cellStyle name="常规 4 11 2 2 2 2 4 2 4" xfId="4426"/>
    <cellStyle name="常规 4 11 2 2 2 2 4 3" xfId="4437"/>
    <cellStyle name="常规 4 11 2 2 2 2 4 3 2" xfId="2610"/>
    <cellStyle name="常规 4 11 2 2 2 2 4 4" xfId="424"/>
    <cellStyle name="常规 4 11 2 2 2 2 4 5" xfId="4445"/>
    <cellStyle name="常规 4 11 2 2 2 2 5" xfId="4450"/>
    <cellStyle name="常规 4 11 2 2 2 2 5 2" xfId="1185"/>
    <cellStyle name="常规 4 11 2 2 2 2 5 2 2" xfId="4454"/>
    <cellStyle name="常规 4 11 2 2 2 2 5 3" xfId="1190"/>
    <cellStyle name="常规 4 11 2 2 2 2 5 4" xfId="4458"/>
    <cellStyle name="常规 4 11 2 2 2 2 6" xfId="4411"/>
    <cellStyle name="常规 4 11 2 2 2 2 6 2" xfId="4417"/>
    <cellStyle name="常规 4 11 2 2 2 2 7" xfId="4438"/>
    <cellStyle name="常规 4 11 2 2 2 2 8" xfId="425"/>
    <cellStyle name="常规 4 11 2 2 2 3" xfId="4459"/>
    <cellStyle name="常规 4 11 2 2 2 3 2" xfId="4460"/>
    <cellStyle name="常规 4 11 2 2 2 3 2 2" xfId="4461"/>
    <cellStyle name="常规 4 11 2 2 2 3 2 2 2" xfId="4464"/>
    <cellStyle name="常规 4 11 2 2 2 3 2 2 2 2" xfId="4466"/>
    <cellStyle name="常规 4 11 2 2 2 3 2 2 2 2 2" xfId="4468"/>
    <cellStyle name="常规 4 11 2 2 2 3 2 2 2 3" xfId="4469"/>
    <cellStyle name="常规 4 11 2 2 2 3 2 2 2 4" xfId="2956"/>
    <cellStyle name="常规 4 11 2 2 2 3 2 2 3" xfId="4472"/>
    <cellStyle name="常规 4 11 2 2 2 3 2 2 3 2" xfId="1292"/>
    <cellStyle name="常规 4 11 2 2 2 3 2 2 4" xfId="4476"/>
    <cellStyle name="常规 4 11 2 2 2 3 2 2 5" xfId="4478"/>
    <cellStyle name="常规 4 11 2 2 2 3 2 3" xfId="1"/>
    <cellStyle name="常规 4 11 2 2 2 3 2 3 2" xfId="169"/>
    <cellStyle name="常规 4 11 2 2 2 3 2 3 2 2" xfId="1536"/>
    <cellStyle name="常规 4 11 2 2 2 3 2 3 3" xfId="112"/>
    <cellStyle name="常规 4 11 2 2 2 3 2 3 4" xfId="62"/>
    <cellStyle name="常规 4 11 2 2 2 3 2 4" xfId="4484"/>
    <cellStyle name="常规 4 11 2 2 2 3 2 4 2" xfId="4490"/>
    <cellStyle name="常规 4 11 2 2 2 3 2 5" xfId="4496"/>
    <cellStyle name="常规 4 11 2 2 2 3 2 6" xfId="4504"/>
    <cellStyle name="常规 4 11 2 2 2 3 3" xfId="4506"/>
    <cellStyle name="常规 4 11 2 2 2 3 3 2" xfId="4508"/>
    <cellStyle name="常规 4 11 2 2 2 3 3 2 2" xfId="4514"/>
    <cellStyle name="常规 4 11 2 2 2 3 3 2 2 2" xfId="4515"/>
    <cellStyle name="常规 4 11 2 2 2 3 3 2 3" xfId="2777"/>
    <cellStyle name="常规 4 11 2 2 2 3 3 2 4" xfId="4516"/>
    <cellStyle name="常规 4 11 2 2 2 3 3 3" xfId="4518"/>
    <cellStyle name="常规 4 11 2 2 2 3 3 3 2" xfId="4520"/>
    <cellStyle name="常规 4 11 2 2 2 3 3 4" xfId="4525"/>
    <cellStyle name="常规 4 11 2 2 2 3 3 5" xfId="4528"/>
    <cellStyle name="常规 4 11 2 2 2 3 4" xfId="125"/>
    <cellStyle name="常规 4 11 2 2 2 3 4 2" xfId="149"/>
    <cellStyle name="常规 4 11 2 2 2 3 4 2 2" xfId="368"/>
    <cellStyle name="常规 4 11 2 2 2 3 4 3" xfId="164"/>
    <cellStyle name="常规 4 11 2 2 2 3 4 4" xfId="109"/>
    <cellStyle name="常规 4 11 2 2 2 3 5" xfId="1176"/>
    <cellStyle name="常规 4 11 2 2 2 3 5 2" xfId="1230"/>
    <cellStyle name="常规 4 11 2 2 2 3 6" xfId="1186"/>
    <cellStyle name="常规 4 11 2 2 2 3 7" xfId="1191"/>
    <cellStyle name="常规 4 11 2 2 2 4" xfId="4532"/>
    <cellStyle name="常规 4 11 2 2 2 4 2" xfId="2782"/>
    <cellStyle name="常规 4 11 2 2 2 4 2 2" xfId="2784"/>
    <cellStyle name="常规 4 11 2 2 2 4 2 2 2" xfId="4535"/>
    <cellStyle name="常规 4 11 2 2 2 4 2 2 2 2" xfId="4536"/>
    <cellStyle name="常规 4 11 2 2 2 4 2 2 3" xfId="4538"/>
    <cellStyle name="常规 4 11 2 2 2 4 2 2 4" xfId="4540"/>
    <cellStyle name="常规 4 11 2 2 2 4 2 3" xfId="688"/>
    <cellStyle name="常规 4 11 2 2 2 4 2 3 2" xfId="4545"/>
    <cellStyle name="常规 4 11 2 2 2 4 2 4" xfId="156"/>
    <cellStyle name="常规 4 11 2 2 2 4 2 5" xfId="4548"/>
    <cellStyle name="常规 4 11 2 2 2 4 3" xfId="2787"/>
    <cellStyle name="常规 4 11 2 2 2 4 3 2" xfId="4550"/>
    <cellStyle name="常规 4 11 2 2 2 4 3 2 2" xfId="4551"/>
    <cellStyle name="常规 4 11 2 2 2 4 3 3" xfId="699"/>
    <cellStyle name="常规 4 11 2 2 2 4 3 4" xfId="4553"/>
    <cellStyle name="常规 4 11 2 2 2 4 4" xfId="2795"/>
    <cellStyle name="常规 4 11 2 2 2 4 4 2" xfId="4558"/>
    <cellStyle name="常规 4 11 2 2 2 4 5" xfId="4564"/>
    <cellStyle name="常规 4 11 2 2 2 4 6" xfId="4421"/>
    <cellStyle name="常规 4 11 2 2 2 5" xfId="4565"/>
    <cellStyle name="常规 4 11 2 2 2 5 2" xfId="2814"/>
    <cellStyle name="常规 4 11 2 2 2 5 2 2" xfId="2816"/>
    <cellStyle name="常规 4 11 2 2 2 5 2 2 2" xfId="4566"/>
    <cellStyle name="常规 4 11 2 2 2 5 2 3" xfId="4568"/>
    <cellStyle name="常规 4 11 2 2 2 5 2 4" xfId="4573"/>
    <cellStyle name="常规 4 11 2 2 2 5 3" xfId="2821"/>
    <cellStyle name="常规 4 11 2 2 2 5 3 2" xfId="4575"/>
    <cellStyle name="常规 4 11 2 2 2 5 4" xfId="2827"/>
    <cellStyle name="常规 4 11 2 2 2 5 5" xfId="3422"/>
    <cellStyle name="常规 4 11 2 2 2 6" xfId="4577"/>
    <cellStyle name="常规 4 11 2 2 2 6 2" xfId="2846"/>
    <cellStyle name="常规 4 11 2 2 2 6 2 2" xfId="2849"/>
    <cellStyle name="常规 4 11 2 2 2 6 3" xfId="2859"/>
    <cellStyle name="常规 4 11 2 2 2 6 4" xfId="2863"/>
    <cellStyle name="常规 4 11 2 2 2 7" xfId="4580"/>
    <cellStyle name="常规 4 11 2 2 2 7 2" xfId="2889"/>
    <cellStyle name="常规 4 11 2 2 2 8" xfId="4584"/>
    <cellStyle name="常规 4 11 2 2 2 9" xfId="2342"/>
    <cellStyle name="常规 4 11 2 2 3" xfId="4588"/>
    <cellStyle name="常规 4 11 2 2 3 2" xfId="4589"/>
    <cellStyle name="常规 4 11 2 2 3 2 2" xfId="1695"/>
    <cellStyle name="常规 4 11 2 2 3 2 2 2" xfId="4590"/>
    <cellStyle name="常规 4 11 2 2 3 2 2 2 2" xfId="4593"/>
    <cellStyle name="常规 4 11 2 2 3 2 2 2 2 2" xfId="4596"/>
    <cellStyle name="常规 4 11 2 2 3 2 2 2 2 2 2" xfId="4600"/>
    <cellStyle name="常规 4 11 2 2 3 2 2 2 2 2 2 2" xfId="4606"/>
    <cellStyle name="常规 4 11 2 2 3 2 2 2 2 2 3" xfId="4611"/>
    <cellStyle name="常规 4 11 2 2 3 2 2 2 2 2 4" xfId="4617"/>
    <cellStyle name="常规 4 11 2 2 3 2 2 2 2 3" xfId="4619"/>
    <cellStyle name="常规 4 11 2 2 3 2 2 2 2 3 2" xfId="3225"/>
    <cellStyle name="常规 4 11 2 2 3 2 2 2 2 4" xfId="4622"/>
    <cellStyle name="常规 4 11 2 2 3 2 2 2 2 5" xfId="4625"/>
    <cellStyle name="常规 4 11 2 2 3 2 2 2 3" xfId="921"/>
    <cellStyle name="常规 4 11 2 2 3 2 2 2 3 2" xfId="4626"/>
    <cellStyle name="常规 4 11 2 2 3 2 2 2 3 2 2" xfId="4631"/>
    <cellStyle name="常规 4 11 2 2 3 2 2 2 3 3" xfId="4632"/>
    <cellStyle name="常规 4 11 2 2 3 2 2 2 3 4" xfId="4633"/>
    <cellStyle name="常规 4 11 2 2 3 2 2 2 4" xfId="4638"/>
    <cellStyle name="常规 4 11 2 2 3 2 2 2 4 2" xfId="4639"/>
    <cellStyle name="常规 4 11 2 2 3 2 2 2 5" xfId="4640"/>
    <cellStyle name="常规 4 11 2 2 3 2 2 2 6" xfId="4641"/>
    <cellStyle name="常规 4 11 2 2 3 2 2 3" xfId="4642"/>
    <cellStyle name="常规 4 11 2 2 3 2 2 3 2" xfId="4648"/>
    <cellStyle name="常规 4 11 2 2 3 2 2 3 2 2" xfId="4649"/>
    <cellStyle name="常规 4 11 2 2 3 2 2 3 2 2 2" xfId="2758"/>
    <cellStyle name="常规 4 11 2 2 3 2 2 3 2 3" xfId="4268"/>
    <cellStyle name="常规 4 11 2 2 3 2 2 3 2 4" xfId="4650"/>
    <cellStyle name="常规 4 11 2 2 3 2 2 3 3" xfId="4653"/>
    <cellStyle name="常规 4 11 2 2 3 2 2 3 3 2" xfId="4655"/>
    <cellStyle name="常规 4 11 2 2 3 2 2 3 4" xfId="4657"/>
    <cellStyle name="常规 4 11 2 2 3 2 2 3 5" xfId="4659"/>
    <cellStyle name="常规 4 11 2 2 3 2 2 4" xfId="4667"/>
    <cellStyle name="常规 4 11 2 2 3 2 2 4 2" xfId="4676"/>
    <cellStyle name="常规 4 11 2 2 3 2 2 4 2 2" xfId="4678"/>
    <cellStyle name="常规 4 11 2 2 3 2 2 4 3" xfId="4682"/>
    <cellStyle name="常规 4 11 2 2 3 2 2 4 4" xfId="4687"/>
    <cellStyle name="常规 4 11 2 2 3 2 2 5" xfId="4695"/>
    <cellStyle name="常规 4 11 2 2 3 2 2 5 2" xfId="4700"/>
    <cellStyle name="常规 4 11 2 2 3 2 2 6" xfId="4709"/>
    <cellStyle name="常规 4 11 2 2 3 2 2 7" xfId="4713"/>
    <cellStyle name="常规 4 11 2 2 3 2 3" xfId="1511"/>
    <cellStyle name="常规 4 11 2 2 3 2 3 2" xfId="4715"/>
    <cellStyle name="常规 4 11 2 2 3 2 3 2 2" xfId="4720"/>
    <cellStyle name="常规 4 11 2 2 3 2 3 2 2 2" xfId="4220"/>
    <cellStyle name="常规 4 11 2 2 3 2 3 2 2 2 2" xfId="4721"/>
    <cellStyle name="常规 4 11 2 2 3 2 3 2 2 3" xfId="3409"/>
    <cellStyle name="常规 4 11 2 2 3 2 3 2 2 4" xfId="4724"/>
    <cellStyle name="常规 4 11 2 2 3 2 3 2 3" xfId="3241"/>
    <cellStyle name="常规 4 11 2 2 3 2 3 2 3 2" xfId="4239"/>
    <cellStyle name="常规 4 11 2 2 3 2 3 2 4" xfId="4726"/>
    <cellStyle name="常规 4 11 2 2 3 2 3 2 5" xfId="4727"/>
    <cellStyle name="常规 4 11 2 2 3 2 3 3" xfId="4729"/>
    <cellStyle name="常规 4 11 2 2 3 2 3 3 2" xfId="4732"/>
    <cellStyle name="常规 4 11 2 2 3 2 3 3 2 2" xfId="4276"/>
    <cellStyle name="常规 4 11 2 2 3 2 3 3 3" xfId="4734"/>
    <cellStyle name="常规 4 11 2 2 3 2 3 3 4" xfId="4736"/>
    <cellStyle name="常规 4 11 2 2 3 2 3 4" xfId="4743"/>
    <cellStyle name="常规 4 11 2 2 3 2 3 4 2" xfId="4745"/>
    <cellStyle name="常规 4 11 2 2 3 2 3 5" xfId="4751"/>
    <cellStyle name="常规 4 11 2 2 3 2 3 6" xfId="4754"/>
    <cellStyle name="常规 4 11 2 2 3 2 4" xfId="4759"/>
    <cellStyle name="常规 4 11 2 2 3 2 4 2" xfId="4766"/>
    <cellStyle name="常规 4 11 2 2 3 2 4 2 2" xfId="4771"/>
    <cellStyle name="常规 4 11 2 2 3 2 4 2 2 2" xfId="4359"/>
    <cellStyle name="常规 4 11 2 2 3 2 4 2 3" xfId="4773"/>
    <cellStyle name="常规 4 11 2 2 3 2 4 2 4" xfId="4775"/>
    <cellStyle name="常规 4 11 2 2 3 2 4 3" xfId="4781"/>
    <cellStyle name="常规 4 11 2 2 3 2 4 3 2" xfId="4784"/>
    <cellStyle name="常规 4 11 2 2 3 2 4 4" xfId="4793"/>
    <cellStyle name="常规 4 11 2 2 3 2 4 5" xfId="4801"/>
    <cellStyle name="常规 4 11 2 2 3 2 5" xfId="4805"/>
    <cellStyle name="常规 4 11 2 2 3 2 5 2" xfId="4811"/>
    <cellStyle name="常规 4 11 2 2 3 2 5 2 2" xfId="4814"/>
    <cellStyle name="常规 4 11 2 2 3 2 5 3" xfId="4818"/>
    <cellStyle name="常规 4 11 2 2 3 2 5 4" xfId="4822"/>
    <cellStyle name="常规 4 11 2 2 3 2 6" xfId="150"/>
    <cellStyle name="常规 4 11 2 2 3 2 6 2" xfId="370"/>
    <cellStyle name="常规 4 11 2 2 3 2 7" xfId="165"/>
    <cellStyle name="常规 4 11 2 2 3 2 8" xfId="110"/>
    <cellStyle name="常规 4 11 2 2 3 3" xfId="4823"/>
    <cellStyle name="常规 4 11 2 2 3 3 2" xfId="2283"/>
    <cellStyle name="常规 4 11 2 2 3 3 2 2" xfId="2287"/>
    <cellStyle name="常规 4 11 2 2 3 3 2 2 2" xfId="2291"/>
    <cellStyle name="常规 4 11 2 2 3 3 2 2 2 2" xfId="4824"/>
    <cellStyle name="常规 4 11 2 2 3 3 2 2 2 2 2" xfId="4826"/>
    <cellStyle name="常规 4 11 2 2 3 3 2 2 2 3" xfId="4828"/>
    <cellStyle name="常规 4 11 2 2 3 3 2 2 2 4" xfId="4829"/>
    <cellStyle name="常规 4 11 2 2 3 3 2 2 3" xfId="2296"/>
    <cellStyle name="常规 4 11 2 2 3 3 2 2 3 2" xfId="4831"/>
    <cellStyle name="常规 4 11 2 2 3 3 2 2 4" xfId="4833"/>
    <cellStyle name="常规 4 11 2 2 3 3 2 2 5" xfId="4835"/>
    <cellStyle name="常规 4 11 2 2 3 3 2 3" xfId="2302"/>
    <cellStyle name="常规 4 11 2 2 3 3 2 3 2" xfId="2307"/>
    <cellStyle name="常规 4 11 2 2 3 3 2 3 2 2" xfId="4836"/>
    <cellStyle name="常规 4 11 2 2 3 3 2 3 3" xfId="4839"/>
    <cellStyle name="常规 4 11 2 2 3 3 2 3 4" xfId="4841"/>
    <cellStyle name="常规 4 11 2 2 3 3 2 4" xfId="2323"/>
    <cellStyle name="常规 4 11 2 2 3 3 2 4 2" xfId="4844"/>
    <cellStyle name="常规 4 11 2 2 3 3 2 5" xfId="2327"/>
    <cellStyle name="常规 4 11 2 2 3 3 2 6" xfId="4847"/>
    <cellStyle name="常规 4 11 2 2 3 3 3" xfId="2333"/>
    <cellStyle name="常规 4 11 2 2 3 3 3 2" xfId="2339"/>
    <cellStyle name="常规 4 11 2 2 3 3 3 2 2" xfId="2346"/>
    <cellStyle name="常规 4 11 2 2 3 3 3 2 2 2" xfId="2953"/>
    <cellStyle name="常规 4 11 2 2 3 3 3 2 3" xfId="2351"/>
    <cellStyle name="常规 4 11 2 2 3 3 3 2 4" xfId="2961"/>
    <cellStyle name="常规 4 11 2 2 3 3 3 3" xfId="2360"/>
    <cellStyle name="常规 4 11 2 2 3 3 3 3 2" xfId="2363"/>
    <cellStyle name="常规 4 11 2 2 3 3 3 4" xfId="2373"/>
    <cellStyle name="常规 4 11 2 2 3 3 3 5" xfId="2379"/>
    <cellStyle name="常规 4 11 2 2 3 3 4" xfId="1201"/>
    <cellStyle name="常规 4 11 2 2 3 3 4 2" xfId="508"/>
    <cellStyle name="常规 4 11 2 2 3 3 4 2 2" xfId="2388"/>
    <cellStyle name="常规 4 11 2 2 3 3 4 3" xfId="526"/>
    <cellStyle name="常规 4 11 2 2 3 3 4 4" xfId="1209"/>
    <cellStyle name="常规 4 11 2 2 3 3 5" xfId="1221"/>
    <cellStyle name="常规 4 11 2 2 3 3 5 2" xfId="1941"/>
    <cellStyle name="常规 4 11 2 2 3 3 6" xfId="1231"/>
    <cellStyle name="常规 4 11 2 2 3 3 7" xfId="1245"/>
    <cellStyle name="常规 4 11 2 2 3 4" xfId="4848"/>
    <cellStyle name="常规 4 11 2 2 3 4 2" xfId="3052"/>
    <cellStyle name="常规 4 11 2 2 3 4 2 2" xfId="2567"/>
    <cellStyle name="常规 4 11 2 2 3 4 2 2 2" xfId="4852"/>
    <cellStyle name="常规 4 11 2 2 3 4 2 2 2 2" xfId="4853"/>
    <cellStyle name="常规 4 11 2 2 3 4 2 2 3" xfId="4855"/>
    <cellStyle name="常规 4 11 2 2 3 4 2 2 4" xfId="4857"/>
    <cellStyle name="常规 4 11 2 2 3 4 2 3" xfId="738"/>
    <cellStyle name="常规 4 11 2 2 3 4 2 3 2" xfId="4859"/>
    <cellStyle name="常规 4 11 2 2 3 4 2 4" xfId="747"/>
    <cellStyle name="常规 4 11 2 2 3 4 2 5" xfId="3846"/>
    <cellStyle name="常规 4 11 2 2 3 4 3" xfId="3058"/>
    <cellStyle name="常规 4 11 2 2 3 4 3 2" xfId="4863"/>
    <cellStyle name="常规 4 11 2 2 3 4 3 2 2" xfId="4867"/>
    <cellStyle name="常规 4 11 2 2 3 4 3 3" xfId="758"/>
    <cellStyle name="常规 4 11 2 2 3 4 3 4" xfId="4871"/>
    <cellStyle name="常规 4 11 2 2 3 4 4" xfId="3063"/>
    <cellStyle name="常规 4 11 2 2 3 4 4 2" xfId="4878"/>
    <cellStyle name="常规 4 11 2 2 3 4 5" xfId="4077"/>
    <cellStyle name="常规 4 11 2 2 3 4 6" xfId="4455"/>
    <cellStyle name="常规 4 11 2 2 3 5" xfId="4880"/>
    <cellStyle name="常规 4 11 2 2 3 5 2" xfId="3077"/>
    <cellStyle name="常规 4 11 2 2 3 5 2 2" xfId="3084"/>
    <cellStyle name="常规 4 11 2 2 3 5 2 2 2" xfId="4883"/>
    <cellStyle name="常规 4 11 2 2 3 5 2 3" xfId="4889"/>
    <cellStyle name="常规 4 11 2 2 3 5 2 4" xfId="4896"/>
    <cellStyle name="常规 4 11 2 2 3 5 3" xfId="3092"/>
    <cellStyle name="常规 4 11 2 2 3 5 3 2" xfId="4902"/>
    <cellStyle name="常规 4 11 2 2 3 5 4" xfId="3103"/>
    <cellStyle name="常规 4 11 2 2 3 5 5" xfId="3467"/>
    <cellStyle name="常规 4 11 2 2 3 6" xfId="4905"/>
    <cellStyle name="常规 4 11 2 2 3 6 2" xfId="3125"/>
    <cellStyle name="常规 4 11 2 2 3 6 2 2" xfId="3131"/>
    <cellStyle name="常规 4 11 2 2 3 6 3" xfId="3138"/>
    <cellStyle name="常规 4 11 2 2 3 6 4" xfId="3147"/>
    <cellStyle name="常规 4 11 2 2 3 7" xfId="4911"/>
    <cellStyle name="常规 4 11 2 2 3 7 2" xfId="3172"/>
    <cellStyle name="常规 4 11 2 2 3 8" xfId="4917"/>
    <cellStyle name="常规 4 11 2 2 3 9" xfId="512"/>
    <cellStyle name="常规 4 11 2 2 4" xfId="4918"/>
    <cellStyle name="常规 4 11 2 2 4 2" xfId="339"/>
    <cellStyle name="常规 4 11 2 2 4 2 2" xfId="983"/>
    <cellStyle name="常规 4 11 2 2 4 2 2 2" xfId="989"/>
    <cellStyle name="常规 4 11 2 2 4 2 2 2 2" xfId="992"/>
    <cellStyle name="常规 4 11 2 2 4 2 2 2 2 2" xfId="4919"/>
    <cellStyle name="常规 4 11 2 2 4 2 2 2 2 2 2" xfId="4920"/>
    <cellStyle name="常规 4 11 2 2 4 2 2 2 2 3" xfId="172"/>
    <cellStyle name="常规 4 11 2 2 4 2 2 2 2 4" xfId="1399"/>
    <cellStyle name="常规 4 11 2 2 4 2 2 2 3" xfId="994"/>
    <cellStyle name="常规 4 11 2 2 4 2 2 2 3 2" xfId="4921"/>
    <cellStyle name="常规 4 11 2 2 4 2 2 2 4" xfId="4922"/>
    <cellStyle name="常规 4 11 2 2 4 2 2 2 5" xfId="4924"/>
    <cellStyle name="常规 4 11 2 2 4 2 2 3" xfId="1005"/>
    <cellStyle name="常规 4 11 2 2 4 2 2 3 2" xfId="1012"/>
    <cellStyle name="常规 4 11 2 2 4 2 2 3 2 2" xfId="3238"/>
    <cellStyle name="常规 4 11 2 2 4 2 2 3 3" xfId="1021"/>
    <cellStyle name="常规 4 11 2 2 4 2 2 3 4" xfId="3275"/>
    <cellStyle name="常规 4 11 2 2 4 2 2 4" xfId="1033"/>
    <cellStyle name="常规 4 11 2 2 4 2 2 4 2" xfId="1036"/>
    <cellStyle name="常规 4 11 2 2 4 2 2 5" xfId="1050"/>
    <cellStyle name="常规 4 11 2 2 4 2 2 6" xfId="1062"/>
    <cellStyle name="常规 4 11 2 2 4 2 3" xfId="1065"/>
    <cellStyle name="常规 4 11 2 2 4 2 3 2" xfId="4926"/>
    <cellStyle name="常规 4 11 2 2 4 2 3 2 2" xfId="4928"/>
    <cellStyle name="常规 4 11 2 2 4 2 3 2 2 2" xfId="4621"/>
    <cellStyle name="常规 4 11 2 2 4 2 3 2 3" xfId="3740"/>
    <cellStyle name="常规 4 11 2 2 4 2 3 2 4" xfId="4931"/>
    <cellStyle name="常规 4 11 2 2 4 2 3 3" xfId="4934"/>
    <cellStyle name="常规 4 11 2 2 4 2 3 3 2" xfId="4936"/>
    <cellStyle name="常规 4 11 2 2 4 2 3 4" xfId="4941"/>
    <cellStyle name="常规 4 11 2 2 4 2 3 5" xfId="4945"/>
    <cellStyle name="常规 4 11 2 2 4 2 4" xfId="1071"/>
    <cellStyle name="常规 4 11 2 2 4 2 4 2" xfId="4953"/>
    <cellStyle name="常规 4 11 2 2 4 2 4 2 2" xfId="4958"/>
    <cellStyle name="常规 4 11 2 2 4 2 4 3" xfId="4964"/>
    <cellStyle name="常规 4 11 2 2 4 2 4 4" xfId="4973"/>
    <cellStyle name="常规 4 11 2 2 4 2 5" xfId="4977"/>
    <cellStyle name="常规 4 11 2 2 4 2 5 2" xfId="4983"/>
    <cellStyle name="常规 4 11 2 2 4 2 6" xfId="4559"/>
    <cellStyle name="常规 4 11 2 2 4 2 7" xfId="4988"/>
    <cellStyle name="常规 4 11 2 2 4 3" xfId="356"/>
    <cellStyle name="常规 4 11 2 2 4 3 2" xfId="1075"/>
    <cellStyle name="常规 4 11 2 2 4 3 2 2" xfId="1081"/>
    <cellStyle name="常规 4 11 2 2 4 3 2 2 2" xfId="1083"/>
    <cellStyle name="常规 4 11 2 2 4 3 2 2 2 2" xfId="4989"/>
    <cellStyle name="常规 4 11 2 2 4 3 2 2 3" xfId="784"/>
    <cellStyle name="常规 4 11 2 2 4 3 2 2 4" xfId="4991"/>
    <cellStyle name="常规 4 11 2 2 4 3 2 3" xfId="1086"/>
    <cellStyle name="常规 4 11 2 2 4 3 2 3 2" xfId="1089"/>
    <cellStyle name="常规 4 11 2 2 4 3 2 4" xfId="1098"/>
    <cellStyle name="常规 4 11 2 2 4 3 2 5" xfId="1105"/>
    <cellStyle name="常规 4 11 2 2 4 3 3" xfId="1112"/>
    <cellStyle name="常规 4 11 2 2 4 3 3 2" xfId="4993"/>
    <cellStyle name="常规 4 11 2 2 4 3 3 2 2" xfId="4994"/>
    <cellStyle name="常规 4 11 2 2 4 3 3 3" xfId="4996"/>
    <cellStyle name="常规 4 11 2 2 4 3 3 4" xfId="4999"/>
    <cellStyle name="常规 4 11 2 2 4 3 4" xfId="1124"/>
    <cellStyle name="常规 4 11 2 2 4 3 4 2" xfId="80"/>
    <cellStyle name="常规 4 11 2 2 4 3 5" xfId="228"/>
    <cellStyle name="常规 4 11 2 2 4 3 6" xfId="1284"/>
    <cellStyle name="常规 4 11 2 2 4 4" xfId="5000"/>
    <cellStyle name="常规 4 11 2 2 4 4 2" xfId="1785"/>
    <cellStyle name="常规 4 11 2 2 4 4 2 2" xfId="1678"/>
    <cellStyle name="常规 4 11 2 2 4 4 2 2 2" xfId="1789"/>
    <cellStyle name="常规 4 11 2 2 4 4 2 3" xfId="1801"/>
    <cellStyle name="常规 4 11 2 2 4 4 2 4" xfId="1808"/>
    <cellStyle name="常规 4 11 2 2 4 4 3" xfId="1827"/>
    <cellStyle name="常规 4 11 2 2 4 4 3 2" xfId="1831"/>
    <cellStyle name="常规 4 11 2 2 4 4 4" xfId="1866"/>
    <cellStyle name="常规 4 11 2 2 4 4 5" xfId="1877"/>
    <cellStyle name="常规 4 11 2 2 4 5" xfId="5002"/>
    <cellStyle name="常规 4 11 2 2 4 5 2" xfId="1564"/>
    <cellStyle name="常规 4 11 2 2 4 5 2 2" xfId="4637"/>
    <cellStyle name="常规 4 11 2 2 4 5 3" xfId="1574"/>
    <cellStyle name="常规 4 11 2 2 4 5 4" xfId="5011"/>
    <cellStyle name="常规 4 11 2 2 4 6" xfId="5017"/>
    <cellStyle name="常规 4 11 2 2 4 6 2" xfId="5022"/>
    <cellStyle name="常规 4 11 2 2 4 7" xfId="5028"/>
    <cellStyle name="常规 4 11 2 2 4 8" xfId="5032"/>
    <cellStyle name="常规 4 11 2 2 5" xfId="2027"/>
    <cellStyle name="常规 4 11 2 2 5 2" xfId="2032"/>
    <cellStyle name="常规 4 11 2 2 5 2 2" xfId="5033"/>
    <cellStyle name="常规 4 11 2 2 5 2 2 2" xfId="5034"/>
    <cellStyle name="常规 4 11 2 2 5 2 2 2 2" xfId="4746"/>
    <cellStyle name="常规 4 11 2 2 5 2 2 2 2 2" xfId="5035"/>
    <cellStyle name="常规 4 11 2 2 5 2 2 2 3" xfId="4752"/>
    <cellStyle name="常规 4 11 2 2 5 2 2 2 4" xfId="5036"/>
    <cellStyle name="常规 4 11 2 2 5 2 2 3" xfId="5037"/>
    <cellStyle name="常规 4 11 2 2 5 2 2 3 2" xfId="4797"/>
    <cellStyle name="常规 4 11 2 2 5 2 2 4" xfId="5039"/>
    <cellStyle name="常规 4 11 2 2 5 2 2 5" xfId="5042"/>
    <cellStyle name="常规 4 11 2 2 5 2 3" xfId="5043"/>
    <cellStyle name="常规 4 11 2 2 5 2 3 2" xfId="5046"/>
    <cellStyle name="常规 4 11 2 2 5 2 3 2 2" xfId="2376"/>
    <cellStyle name="常规 4 11 2 2 5 2 3 3" xfId="5049"/>
    <cellStyle name="常规 4 11 2 2 5 2 3 4" xfId="5053"/>
    <cellStyle name="常规 4 11 2 2 5 2 4" xfId="5058"/>
    <cellStyle name="常规 4 11 2 2 5 2 4 2" xfId="5065"/>
    <cellStyle name="常规 4 11 2 2 5 2 5" xfId="5072"/>
    <cellStyle name="常规 4 11 2 2 5 2 6" xfId="5082"/>
    <cellStyle name="常规 4 11 2 2 5 3" xfId="5086"/>
    <cellStyle name="常规 4 11 2 2 5 3 2" xfId="5087"/>
    <cellStyle name="常规 4 11 2 2 5 3 2 2" xfId="5088"/>
    <cellStyle name="常规 4 11 2 2 5 3 2 2 2" xfId="4943"/>
    <cellStyle name="常规 4 11 2 2 5 3 2 3" xfId="5089"/>
    <cellStyle name="常规 4 11 2 2 5 3 2 4" xfId="5092"/>
    <cellStyle name="常规 4 11 2 2 5 3 3" xfId="5093"/>
    <cellStyle name="常规 4 11 2 2 5 3 3 2" xfId="5095"/>
    <cellStyle name="常规 4 11 2 2 5 3 4" xfId="1155"/>
    <cellStyle name="常规 4 11 2 2 5 3 5" xfId="1312"/>
    <cellStyle name="常规 4 11 2 2 5 4" xfId="3584"/>
    <cellStyle name="常规 4 11 2 2 5 4 2" xfId="3257"/>
    <cellStyle name="常规 4 11 2 2 5 4 2 2" xfId="5099"/>
    <cellStyle name="常规 4 11 2 2 5 4 3" xfId="5107"/>
    <cellStyle name="常规 4 11 2 2 5 4 4" xfId="5110"/>
    <cellStyle name="常规 4 11 2 2 5 5" xfId="3587"/>
    <cellStyle name="常规 4 11 2 2 5 5 2" xfId="5114"/>
    <cellStyle name="常规 4 11 2 2 5 6" xfId="3617"/>
    <cellStyle name="常规 4 11 2 2 5 7" xfId="5120"/>
    <cellStyle name="常规 4 11 2 2 6" xfId="2045"/>
    <cellStyle name="常规 4 11 2 2 6 2" xfId="5121"/>
    <cellStyle name="常规 4 11 2 2 6 2 2" xfId="5122"/>
    <cellStyle name="常规 4 11 2 2 6 2 2 2" xfId="5123"/>
    <cellStyle name="常规 4 11 2 2 6 2 2 2 2" xfId="5125"/>
    <cellStyle name="常规 4 11 2 2 6 2 2 3" xfId="5126"/>
    <cellStyle name="常规 4 11 2 2 6 2 2 4" xfId="69"/>
    <cellStyle name="常规 4 11 2 2 6 2 3" xfId="5127"/>
    <cellStyle name="常规 4 11 2 2 6 2 3 2" xfId="1411"/>
    <cellStyle name="常规 4 11 2 2 6 2 4" xfId="5130"/>
    <cellStyle name="常规 4 11 2 2 6 2 5" xfId="5134"/>
    <cellStyle name="常规 4 11 2 2 6 3" xfId="5135"/>
    <cellStyle name="常规 4 11 2 2 6 3 2" xfId="5137"/>
    <cellStyle name="常规 4 11 2 2 6 3 2 2" xfId="5138"/>
    <cellStyle name="常规 4 11 2 2 6 3 3" xfId="5140"/>
    <cellStyle name="常规 4 11 2 2 6 3 4" xfId="1347"/>
    <cellStyle name="常规 4 11 2 2 6 4" xfId="3592"/>
    <cellStyle name="常规 4 11 2 2 6 4 2" xfId="3289"/>
    <cellStyle name="常规 4 11 2 2 6 5" xfId="5146"/>
    <cellStyle name="常规 4 11 2 2 6 6" xfId="5152"/>
    <cellStyle name="常规 4 11 2 2 7" xfId="5153"/>
    <cellStyle name="常规 4 11 2 2 7 2" xfId="5155"/>
    <cellStyle name="常规 4 11 2 2 7 2 2" xfId="5157"/>
    <cellStyle name="常规 4 11 2 2 7 2 2 2" xfId="1279"/>
    <cellStyle name="常规 4 11 2 2 7 2 3" xfId="3820"/>
    <cellStyle name="常规 4 11 2 2 7 2 4" xfId="5159"/>
    <cellStyle name="常规 4 11 2 2 7 3" xfId="5161"/>
    <cellStyle name="常规 4 11 2 2 7 3 2" xfId="60"/>
    <cellStyle name="常规 4 11 2 2 7 4" xfId="5165"/>
    <cellStyle name="常规 4 11 2 2 7 5" xfId="5173"/>
    <cellStyle name="常规 4 11 2 2 8" xfId="5174"/>
    <cellStyle name="常规 4 11 2 2 8 2" xfId="3493"/>
    <cellStyle name="常规 4 11 2 2 8 2 2" xfId="5182"/>
    <cellStyle name="常规 4 11 2 2 8 3" xfId="5188"/>
    <cellStyle name="常规 4 11 2 2 8 4" xfId="5189"/>
    <cellStyle name="常规 4 11 2 2 9" xfId="5198"/>
    <cellStyle name="常规 4 11 2 2 9 2" xfId="5204"/>
    <cellStyle name="常规 4 11 2 3" xfId="3565"/>
    <cellStyle name="常规 4 11 2 3 2" xfId="5205"/>
    <cellStyle name="常规 4 11 2 3 2 2" xfId="5206"/>
    <cellStyle name="常规 4 11 2 3 2 2 2" xfId="5207"/>
    <cellStyle name="常规 4 11 2 3 2 2 2 2" xfId="2991"/>
    <cellStyle name="常规 4 11 2 3 2 2 2 2 2" xfId="5217"/>
    <cellStyle name="常规 4 11 2 3 2 2 2 2 2 2" xfId="5223"/>
    <cellStyle name="常规 4 11 2 3 2 2 2 2 2 2 2" xfId="5225"/>
    <cellStyle name="常规 4 11 2 3 2 2 2 2 2 3" xfId="5227"/>
    <cellStyle name="常规 4 11 2 3 2 2 2 2 2 4" xfId="5230"/>
    <cellStyle name="常规 4 11 2 3 2 2 2 2 3" xfId="5235"/>
    <cellStyle name="常规 4 11 2 3 2 2 2 2 3 2" xfId="5236"/>
    <cellStyle name="常规 4 11 2 3 2 2 2 2 4" xfId="5242"/>
    <cellStyle name="常规 4 11 2 3 2 2 2 2 5" xfId="5244"/>
    <cellStyle name="常规 4 11 2 3 2 2 2 3" xfId="5245"/>
    <cellStyle name="常规 4 11 2 3 2 2 2 3 2" xfId="5250"/>
    <cellStyle name="常规 4 11 2 3 2 2 2 3 2 2" xfId="5251"/>
    <cellStyle name="常规 4 11 2 3 2 2 2 3 3" xfId="5255"/>
    <cellStyle name="常规 4 11 2 3 2 2 2 3 4" xfId="5257"/>
    <cellStyle name="常规 4 11 2 3 2 2 2 4" xfId="5262"/>
    <cellStyle name="常规 4 11 2 3 2 2 2 4 2" xfId="5269"/>
    <cellStyle name="常规 4 11 2 3 2 2 2 5" xfId="5274"/>
    <cellStyle name="常规 4 11 2 3 2 2 2 6" xfId="5281"/>
    <cellStyle name="常规 4 11 2 3 2 2 3" xfId="5283"/>
    <cellStyle name="常规 4 11 2 3 2 2 3 2" xfId="5285"/>
    <cellStyle name="常规 4 11 2 3 2 2 3 2 2" xfId="5290"/>
    <cellStyle name="常规 4 11 2 3 2 2 3 2 2 2" xfId="5292"/>
    <cellStyle name="常规 4 11 2 3 2 2 3 2 3" xfId="5297"/>
    <cellStyle name="常规 4 11 2 3 2 2 3 2 4" xfId="574"/>
    <cellStyle name="常规 4 11 2 3 2 2 3 3" xfId="5299"/>
    <cellStyle name="常规 4 11 2 3 2 2 3 3 2" xfId="5303"/>
    <cellStyle name="常规 4 11 2 3 2 2 3 4" xfId="5306"/>
    <cellStyle name="常规 4 11 2 3 2 2 3 5" xfId="3314"/>
    <cellStyle name="常规 4 11 2 3 2 2 4" xfId="5309"/>
    <cellStyle name="常规 4 11 2 3 2 2 4 2" xfId="5315"/>
    <cellStyle name="常规 4 11 2 3 2 2 4 2 2" xfId="5321"/>
    <cellStyle name="常规 4 11 2 3 2 2 4 3" xfId="5327"/>
    <cellStyle name="常规 4 11 2 3 2 2 4 4" xfId="5333"/>
    <cellStyle name="常规 4 11 2 3 2 2 5" xfId="5336"/>
    <cellStyle name="常规 4 11 2 3 2 2 5 2" xfId="5343"/>
    <cellStyle name="常规 4 11 2 3 2 2 6" xfId="4767"/>
    <cellStyle name="常规 4 11 2 3 2 2 7" xfId="4782"/>
    <cellStyle name="常规 4 11 2 3 2 3" xfId="5345"/>
    <cellStyle name="常规 4 11 2 3 2 3 2" xfId="5346"/>
    <cellStyle name="常规 4 11 2 3 2 3 2 2" xfId="816"/>
    <cellStyle name="常规 4 11 2 3 2 3 2 2 2" xfId="4244"/>
    <cellStyle name="常规 4 11 2 3 2 3 2 2 2 2" xfId="4249"/>
    <cellStyle name="常规 4 11 2 3 2 3 2 2 3" xfId="4252"/>
    <cellStyle name="常规 4 11 2 3 2 3 2 2 4" xfId="4258"/>
    <cellStyle name="常规 4 11 2 3 2 3 2 3" xfId="1531"/>
    <cellStyle name="常规 4 11 2 3 2 3 2 3 2" xfId="4289"/>
    <cellStyle name="常规 4 11 2 3 2 3 2 4" xfId="5350"/>
    <cellStyle name="常规 4 11 2 3 2 3 2 5" xfId="5354"/>
    <cellStyle name="常规 4 11 2 3 2 3 3" xfId="5356"/>
    <cellStyle name="常规 4 11 2 3 2 3 3 2" xfId="5359"/>
    <cellStyle name="常规 4 11 2 3 2 3 3 2 2" xfId="4203"/>
    <cellStyle name="常规 4 11 2 3 2 3 3 3" xfId="3089"/>
    <cellStyle name="常规 4 11 2 3 2 3 3 4" xfId="5365"/>
    <cellStyle name="常规 4 11 2 3 2 3 4" xfId="5369"/>
    <cellStyle name="常规 4 11 2 3 2 3 4 2" xfId="5376"/>
    <cellStyle name="常规 4 11 2 3 2 3 5" xfId="5381"/>
    <cellStyle name="常规 4 11 2 3 2 3 6" xfId="4812"/>
    <cellStyle name="常规 4 11 2 3 2 4" xfId="5382"/>
    <cellStyle name="常规 4 11 2 3 2 4 2" xfId="3475"/>
    <cellStyle name="常规 4 11 2 3 2 4 2 2" xfId="5386"/>
    <cellStyle name="常规 4 11 2 3 2 4 2 2 2" xfId="4475"/>
    <cellStyle name="常规 4 11 2 3 2 4 2 3" xfId="5388"/>
    <cellStyle name="常规 4 11 2 3 2 4 2 4" xfId="5392"/>
    <cellStyle name="常规 4 11 2 3 2 4 3" xfId="5394"/>
    <cellStyle name="常规 4 11 2 3 2 4 3 2" xfId="5397"/>
    <cellStyle name="常规 4 11 2 3 2 4 4" xfId="1898"/>
    <cellStyle name="常规 4 11 2 3 2 4 5" xfId="5402"/>
    <cellStyle name="常规 4 11 2 3 2 5" xfId="5404"/>
    <cellStyle name="常规 4 11 2 3 2 5 2" xfId="5405"/>
    <cellStyle name="常规 4 11 2 3 2 5 2 2" xfId="5406"/>
    <cellStyle name="常规 4 11 2 3 2 5 3" xfId="5408"/>
    <cellStyle name="常规 4 11 2 3 2 5 4" xfId="1993"/>
    <cellStyle name="常规 4 11 2 3 2 6" xfId="5410"/>
    <cellStyle name="常规 4 11 2 3 2 6 2" xfId="4587"/>
    <cellStyle name="常规 4 11 2 3 2 7" xfId="5413"/>
    <cellStyle name="常规 4 11 2 3 2 8" xfId="5417"/>
    <cellStyle name="常规 4 11 2 3 3" xfId="5418"/>
    <cellStyle name="常规 4 11 2 3 3 2" xfId="5419"/>
    <cellStyle name="常规 4 11 2 3 3 2 2" xfId="4879"/>
    <cellStyle name="常规 4 11 2 3 3 2 2 2" xfId="3075"/>
    <cellStyle name="常规 4 11 2 3 3 2 2 2 2" xfId="3083"/>
    <cellStyle name="常规 4 11 2 3 3 2 2 2 2 2" xfId="4881"/>
    <cellStyle name="常规 4 11 2 3 3 2 2 2 3" xfId="4888"/>
    <cellStyle name="常规 4 11 2 3 3 2 2 2 4" xfId="4891"/>
    <cellStyle name="常规 4 11 2 3 3 2 2 3" xfId="3091"/>
    <cellStyle name="常规 4 11 2 3 3 2 2 3 2" xfId="4899"/>
    <cellStyle name="常规 4 11 2 3 3 2 2 4" xfId="3102"/>
    <cellStyle name="常规 4 11 2 3 3 2 2 5" xfId="3466"/>
    <cellStyle name="常规 4 11 2 3 3 2 3" xfId="4903"/>
    <cellStyle name="常规 4 11 2 3 3 2 3 2" xfId="3123"/>
    <cellStyle name="常规 4 11 2 3 3 2 3 2 2" xfId="3130"/>
    <cellStyle name="常规 4 11 2 3 3 2 3 3" xfId="3137"/>
    <cellStyle name="常规 4 11 2 3 3 2 3 4" xfId="3146"/>
    <cellStyle name="常规 4 11 2 3 3 2 4" xfId="4908"/>
    <cellStyle name="常规 4 11 2 3 3 2 4 2" xfId="3169"/>
    <cellStyle name="常规 4 11 2 3 3 2 5" xfId="4914"/>
    <cellStyle name="常规 4 11 2 3 3 2 6" xfId="509"/>
    <cellStyle name="常规 4 11 2 3 3 3" xfId="5420"/>
    <cellStyle name="常规 4 11 2 3 3 3 2" xfId="5001"/>
    <cellStyle name="常规 4 11 2 3 3 3 2 2" xfId="1562"/>
    <cellStyle name="常规 4 11 2 3 3 3 2 2 2" xfId="4635"/>
    <cellStyle name="常规 4 11 2 3 3 3 2 3" xfId="1572"/>
    <cellStyle name="常规 4 11 2 3 3 3 2 4" xfId="5009"/>
    <cellStyle name="常规 4 11 2 3 3 3 3" xfId="5015"/>
    <cellStyle name="常规 4 11 2 3 3 3 3 2" xfId="5020"/>
    <cellStyle name="常规 4 11 2 3 3 3 4" xfId="5026"/>
    <cellStyle name="常规 4 11 2 3 3 3 5" xfId="5031"/>
    <cellStyle name="常规 4 11 2 3 3 4" xfId="5421"/>
    <cellStyle name="常规 4 11 2 3 3 4 2" xfId="3586"/>
    <cellStyle name="常规 4 11 2 3 3 4 2 2" xfId="5112"/>
    <cellStyle name="常规 4 11 2 3 3 4 3" xfId="3616"/>
    <cellStyle name="常规 4 11 2 3 3 4 4" xfId="5118"/>
    <cellStyle name="常规 4 11 2 3 3 5" xfId="5425"/>
    <cellStyle name="常规 4 11 2 3 3 5 2" xfId="5144"/>
    <cellStyle name="常规 4 11 2 3 3 6" xfId="5430"/>
    <cellStyle name="常规 4 11 2 3 3 7" xfId="5438"/>
    <cellStyle name="常规 4 11 2 3 4" xfId="5440"/>
    <cellStyle name="常规 4 11 2 3 4 2" xfId="5442"/>
    <cellStyle name="常规 4 11 2 3 4 2 2" xfId="5424"/>
    <cellStyle name="常规 4 11 2 3 4 2 2 2" xfId="5143"/>
    <cellStyle name="常规 4 11 2 3 4 2 2 2 2" xfId="5447"/>
    <cellStyle name="常规 4 11 2 3 4 2 2 3" xfId="5150"/>
    <cellStyle name="常规 4 11 2 3 4 2 2 4" xfId="2080"/>
    <cellStyle name="常规 4 11 2 3 4 2 3" xfId="5428"/>
    <cellStyle name="常规 4 11 2 3 4 2 3 2" xfId="5172"/>
    <cellStyle name="常规 4 11 2 3 4 2 4" xfId="5436"/>
    <cellStyle name="常规 4 11 2 3 4 2 5" xfId="5453"/>
    <cellStyle name="常规 4 11 2 3 4 3" xfId="5456"/>
    <cellStyle name="常规 4 11 2 3 4 3 2" xfId="5463"/>
    <cellStyle name="常规 4 11 2 3 4 3 2 2" xfId="1607"/>
    <cellStyle name="常规 4 11 2 3 4 3 3" xfId="5470"/>
    <cellStyle name="常规 4 11 2 3 4 3 4" xfId="5475"/>
    <cellStyle name="常规 4 11 2 3 4 4" xfId="5479"/>
    <cellStyle name="常规 4 11 2 3 4 4 2" xfId="3629"/>
    <cellStyle name="常规 4 11 2 3 4 5" xfId="5459"/>
    <cellStyle name="常规 4 11 2 3 4 6" xfId="5466"/>
    <cellStyle name="常规 4 11 2 3 5" xfId="5481"/>
    <cellStyle name="常规 4 11 2 3 5 2" xfId="5484"/>
    <cellStyle name="常规 4 11 2 3 5 2 2" xfId="694"/>
    <cellStyle name="常规 4 11 2 3 5 2 2 2" xfId="5488"/>
    <cellStyle name="常规 4 11 2 3 5 2 3" xfId="5492"/>
    <cellStyle name="常规 4 11 2 3 5 2 4" xfId="5498"/>
    <cellStyle name="常规 4 11 2 3 5 3" xfId="5501"/>
    <cellStyle name="常规 4 11 2 3 5 3 2" xfId="136"/>
    <cellStyle name="常规 4 11 2 3 5 4" xfId="3621"/>
    <cellStyle name="常规 4 11 2 3 5 5" xfId="3624"/>
    <cellStyle name="常规 4 11 2 3 6" xfId="5503"/>
    <cellStyle name="常规 4 11 2 3 6 2" xfId="5505"/>
    <cellStyle name="常规 4 11 2 3 6 2 2" xfId="751"/>
    <cellStyle name="常规 4 11 2 3 6 3" xfId="5507"/>
    <cellStyle name="常规 4 11 2 3 6 4" xfId="1599"/>
    <cellStyle name="常规 4 11 2 3 7" xfId="5509"/>
    <cellStyle name="常规 4 11 2 3 7 2" xfId="5514"/>
    <cellStyle name="常规 4 11 2 3 8" xfId="5516"/>
    <cellStyle name="常规 4 11 2 3 9" xfId="5520"/>
    <cellStyle name="常规 4 11 2 4" xfId="3568"/>
    <cellStyle name="常规 4 11 2 4 2" xfId="5521"/>
    <cellStyle name="常规 4 11 2 4 2 2" xfId="5524"/>
    <cellStyle name="常规 4 11 2 4 2 2 2" xfId="5525"/>
    <cellStyle name="常规 4 11 2 4 2 2 2 2" xfId="5528"/>
    <cellStyle name="常规 4 11 2 4 2 2 2 2 2" xfId="5532"/>
    <cellStyle name="常规 4 11 2 4 2 2 2 2 2 2" xfId="5534"/>
    <cellStyle name="常规 4 11 2 4 2 2 2 2 2 2 2" xfId="5536"/>
    <cellStyle name="常规 4 11 2 4 2 2 2 2 2 3" xfId="2031"/>
    <cellStyle name="常规 4 11 2 4 2 2 2 2 2 4" xfId="5085"/>
    <cellStyle name="常规 4 11 2 4 2 2 2 2 3" xfId="4171"/>
    <cellStyle name="常规 4 11 2 4 2 2 2 2 3 2" xfId="5538"/>
    <cellStyle name="常规 4 11 2 4 2 2 2 2 4" xfId="3382"/>
    <cellStyle name="常规 4 11 2 4 2 2 2 2 5" xfId="3385"/>
    <cellStyle name="常规 4 11 2 4 2 2 2 3" xfId="5540"/>
    <cellStyle name="常规 4 11 2 4 2 2 2 3 2" xfId="5542"/>
    <cellStyle name="常规 4 11 2 4 2 2 2 3 2 2" xfId="5545"/>
    <cellStyle name="常规 4 11 2 4 2 2 2 3 3" xfId="5547"/>
    <cellStyle name="常规 4 11 2 4 2 2 2 3 4" xfId="3392"/>
    <cellStyle name="常规 4 11 2 4 2 2 2 4" xfId="5552"/>
    <cellStyle name="常规 4 11 2 4 2 2 2 4 2" xfId="5557"/>
    <cellStyle name="常规 4 11 2 4 2 2 2 5" xfId="2559"/>
    <cellStyle name="常规 4 11 2 4 2 2 2 6" xfId="2577"/>
    <cellStyle name="常规 4 11 2 4 2 2 3" xfId="5558"/>
    <cellStyle name="常规 4 11 2 4 2 2 3 2" xfId="5561"/>
    <cellStyle name="常规 4 11 2 4 2 2 3 2 2" xfId="3342"/>
    <cellStyle name="常规 4 11 2 4 2 2 3 2 2 2" xfId="5562"/>
    <cellStyle name="常规 4 11 2 4 2 2 3 2 3" xfId="5566"/>
    <cellStyle name="常规 4 11 2 4 2 2 3 2 4" xfId="5567"/>
    <cellStyle name="常规 4 11 2 4 2 2 3 3" xfId="1969"/>
    <cellStyle name="常规 4 11 2 4 2 2 3 3 2" xfId="1970"/>
    <cellStyle name="常规 4 11 2 4 2 2 3 4" xfId="2272"/>
    <cellStyle name="常规 4 11 2 4 2 2 3 5" xfId="2597"/>
    <cellStyle name="常规 4 11 2 4 2 2 4" xfId="5572"/>
    <cellStyle name="常规 4 11 2 4 2 2 4 2" xfId="5581"/>
    <cellStyle name="常规 4 11 2 4 2 2 4 2 2" xfId="3760"/>
    <cellStyle name="常规 4 11 2 4 2 2 4 3" xfId="5589"/>
    <cellStyle name="常规 4 11 2 4 2 2 4 4" xfId="5593"/>
    <cellStyle name="常规 4 11 2 4 2 2 5" xfId="5598"/>
    <cellStyle name="常规 4 11 2 4 2 2 5 2" xfId="5604"/>
    <cellStyle name="常规 4 11 2 4 2 2 6" xfId="4954"/>
    <cellStyle name="常规 4 11 2 4 2 2 7" xfId="4965"/>
    <cellStyle name="常规 4 11 2 4 2 3" xfId="5606"/>
    <cellStyle name="常规 4 11 2 4 2 3 2" xfId="342"/>
    <cellStyle name="常规 4 11 2 4 2 3 2 2" xfId="5612"/>
    <cellStyle name="常规 4 11 2 4 2 3 2 2 2" xfId="5237"/>
    <cellStyle name="常规 4 11 2 4 2 3 2 2 2 2" xfId="5614"/>
    <cellStyle name="常规 4 11 2 4 2 3 2 2 3" xfId="5243"/>
    <cellStyle name="常规 4 11 2 4 2 3 2 2 4" xfId="3800"/>
    <cellStyle name="常规 4 11 2 4 2 3 2 3" xfId="5617"/>
    <cellStyle name="常规 4 11 2 4 2 3 2 3 2" xfId="5256"/>
    <cellStyle name="常规 4 11 2 4 2 3 2 4" xfId="5622"/>
    <cellStyle name="常规 4 11 2 4 2 3 2 5" xfId="5628"/>
    <cellStyle name="常规 4 11 2 4 2 3 3" xfId="5630"/>
    <cellStyle name="常规 4 11 2 4 2 3 3 2" xfId="5632"/>
    <cellStyle name="常规 4 11 2 4 2 3 3 2 2" xfId="569"/>
    <cellStyle name="常规 4 11 2 4 2 3 3 3" xfId="5633"/>
    <cellStyle name="常规 4 11 2 4 2 3 3 4" xfId="5635"/>
    <cellStyle name="常规 4 11 2 4 2 3 4" xfId="5641"/>
    <cellStyle name="常规 4 11 2 4 2 3 4 2" xfId="5647"/>
    <cellStyle name="常规 4 11 2 4 2 3 5" xfId="5652"/>
    <cellStyle name="常规 4 11 2 4 2 3 6" xfId="4984"/>
    <cellStyle name="常规 4 11 2 4 2 4" xfId="5654"/>
    <cellStyle name="常规 4 11 2 4 2 4 2" xfId="3867"/>
    <cellStyle name="常规 4 11 2 4 2 4 2 2" xfId="5655"/>
    <cellStyle name="常规 4 11 2 4 2 4 2 2 2" xfId="4257"/>
    <cellStyle name="常规 4 11 2 4 2 4 2 3" xfId="5656"/>
    <cellStyle name="常规 4 11 2 4 2 4 2 4" xfId="65"/>
    <cellStyle name="常规 4 11 2 4 2 4 3" xfId="5659"/>
    <cellStyle name="常规 4 11 2 4 2 4 3 2" xfId="5660"/>
    <cellStyle name="常规 4 11 2 4 2 4 4" xfId="5666"/>
    <cellStyle name="常规 4 11 2 4 2 4 5" xfId="5668"/>
    <cellStyle name="常规 4 11 2 4 2 5" xfId="5673"/>
    <cellStyle name="常规 4 11 2 4 2 5 2" xfId="5674"/>
    <cellStyle name="常规 4 11 2 4 2 5 2 2" xfId="5677"/>
    <cellStyle name="常规 4 11 2 4 2 5 3" xfId="5678"/>
    <cellStyle name="常规 4 11 2 4 2 5 4" xfId="5679"/>
    <cellStyle name="常规 4 11 2 4 2 6" xfId="5683"/>
    <cellStyle name="常规 4 11 2 4 2 6 2" xfId="5686"/>
    <cellStyle name="常规 4 11 2 4 2 7" xfId="5688"/>
    <cellStyle name="常规 4 11 2 4 2 8" xfId="5692"/>
    <cellStyle name="常规 4 11 2 4 3" xfId="5698"/>
    <cellStyle name="常规 4 11 2 4 3 2" xfId="5700"/>
    <cellStyle name="常规 4 11 2 4 3 2 2" xfId="5703"/>
    <cellStyle name="常规 4 11 2 4 3 2 2 2" xfId="5706"/>
    <cellStyle name="常规 4 11 2 4 3 2 2 2 2" xfId="4569"/>
    <cellStyle name="常规 4 11 2 4 3 2 2 2 2 2" xfId="5707"/>
    <cellStyle name="常规 4 11 2 4 3 2 2 2 3" xfId="5708"/>
    <cellStyle name="常规 4 11 2 4 3 2 2 2 4" xfId="5709"/>
    <cellStyle name="常规 4 11 2 4 3 2 2 3" xfId="5712"/>
    <cellStyle name="常规 4 11 2 4 3 2 2 3 2" xfId="5717"/>
    <cellStyle name="常规 4 11 2 4 3 2 2 4" xfId="5725"/>
    <cellStyle name="常规 4 11 2 4 3 2 2 5" xfId="5731"/>
    <cellStyle name="常规 4 11 2 4 3 2 3" xfId="5734"/>
    <cellStyle name="常规 4 11 2 4 3 2 3 2" xfId="5735"/>
    <cellStyle name="常规 4 11 2 4 3 2 3 2 2" xfId="5736"/>
    <cellStyle name="常规 4 11 2 4 3 2 3 3" xfId="5739"/>
    <cellStyle name="常规 4 11 2 4 3 2 3 4" xfId="5744"/>
    <cellStyle name="常规 4 11 2 4 3 2 4" xfId="5752"/>
    <cellStyle name="常规 4 11 2 4 3 2 4 2" xfId="5759"/>
    <cellStyle name="常规 4 11 2 4 3 2 5" xfId="5764"/>
    <cellStyle name="常规 4 11 2 4 3 2 6" xfId="81"/>
    <cellStyle name="常规 4 11 2 4 3 3" xfId="4005"/>
    <cellStyle name="常规 4 11 2 4 3 3 2" xfId="5766"/>
    <cellStyle name="常规 4 11 2 4 3 3 2 2" xfId="5767"/>
    <cellStyle name="常规 4 11 2 4 3 3 2 2 2" xfId="4890"/>
    <cellStyle name="常规 4 11 2 4 3 3 2 3" xfId="5769"/>
    <cellStyle name="常规 4 11 2 4 3 3 2 4" xfId="5775"/>
    <cellStyle name="常规 4 11 2 4 3 3 3" xfId="5778"/>
    <cellStyle name="常规 4 11 2 4 3 3 3 2" xfId="5779"/>
    <cellStyle name="常规 4 11 2 4 3 3 4" xfId="5783"/>
    <cellStyle name="常规 4 11 2 4 3 3 5" xfId="5784"/>
    <cellStyle name="常规 4 11 2 4 3 4" xfId="684"/>
    <cellStyle name="常规 4 11 2 4 3 4 2" xfId="2036"/>
    <cellStyle name="常规 4 11 2 4 3 4 2 2" xfId="5785"/>
    <cellStyle name="常规 4 11 2 4 3 4 3" xfId="5786"/>
    <cellStyle name="常规 4 11 2 4 3 4 4" xfId="5787"/>
    <cellStyle name="常规 4 11 2 4 3 5" xfId="691"/>
    <cellStyle name="常规 4 11 2 4 3 5 2" xfId="5485"/>
    <cellStyle name="常规 4 11 2 4 3 6" xfId="5489"/>
    <cellStyle name="常规 4 11 2 4 3 7" xfId="5495"/>
    <cellStyle name="常规 4 11 2 4 4" xfId="73"/>
    <cellStyle name="常规 4 11 2 4 4 2" xfId="1514"/>
    <cellStyle name="常规 4 11 2 4 4 2 2" xfId="5791"/>
    <cellStyle name="常规 4 11 2 4 4 2 2 2" xfId="5797"/>
    <cellStyle name="常规 4 11 2 4 4 2 2 2 2" xfId="5803"/>
    <cellStyle name="常规 4 11 2 4 4 2 2 3" xfId="5809"/>
    <cellStyle name="常规 4 11 2 4 4 2 2 4" xfId="3553"/>
    <cellStyle name="常规 4 11 2 4 4 2 3" xfId="2959"/>
    <cellStyle name="常规 4 11 2 4 4 2 3 2" xfId="5814"/>
    <cellStyle name="常规 4 11 2 4 4 2 4" xfId="5824"/>
    <cellStyle name="常规 4 11 2 4 4 2 5" xfId="1383"/>
    <cellStyle name="常规 4 11 2 4 4 3" xfId="1518"/>
    <cellStyle name="常规 4 11 2 4 4 3 2" xfId="3525"/>
    <cellStyle name="常规 4 11 2 4 4 3 2 2" xfId="1373"/>
    <cellStyle name="常规 4 11 2 4 4 3 3" xfId="3532"/>
    <cellStyle name="常规 4 11 2 4 4 3 4" xfId="3536"/>
    <cellStyle name="常规 4 11 2 4 4 4" xfId="129"/>
    <cellStyle name="常规 4 11 2 4 4 4 2" xfId="2145"/>
    <cellStyle name="常规 4 11 2 4 4 5" xfId="133"/>
    <cellStyle name="常规 4 11 2 4 4 6" xfId="3119"/>
    <cellStyle name="常规 4 11 2 4 5" xfId="5827"/>
    <cellStyle name="常规 4 11 2 4 5 2" xfId="5829"/>
    <cellStyle name="常规 4 11 2 4 5 2 2" xfId="448"/>
    <cellStyle name="常规 4 11 2 4 5 2 2 2" xfId="5833"/>
    <cellStyle name="常规 4 11 2 4 5 2 3" xfId="455"/>
    <cellStyle name="常规 4 11 2 4 5 2 4" xfId="4673"/>
    <cellStyle name="常规 4 11 2 4 5 3" xfId="5835"/>
    <cellStyle name="常规 4 11 2 4 5 3 2" xfId="518"/>
    <cellStyle name="常规 4 11 2 4 5 4" xfId="3643"/>
    <cellStyle name="常规 4 11 2 4 5 5" xfId="3648"/>
    <cellStyle name="常规 4 11 2 4 6" xfId="5837"/>
    <cellStyle name="常规 4 11 2 4 6 2" xfId="26"/>
    <cellStyle name="常规 4 11 2 4 6 2 2" xfId="2230"/>
    <cellStyle name="常规 4 11 2 4 6 3" xfId="5839"/>
    <cellStyle name="常规 4 11 2 4 6 4" xfId="3657"/>
    <cellStyle name="常规 4 11 2 4 7" xfId="5841"/>
    <cellStyle name="常规 4 11 2 4 7 2" xfId="5845"/>
    <cellStyle name="常规 4 11 2 4 8" xfId="5847"/>
    <cellStyle name="常规 4 11 2 4 9" xfId="5850"/>
    <cellStyle name="常规 4 11 2 5" xfId="5851"/>
    <cellStyle name="常规 4 11 2 5 2" xfId="5852"/>
    <cellStyle name="常规 4 11 2 5 2 2" xfId="5853"/>
    <cellStyle name="常规 4 11 2 5 2 2 2" xfId="5856"/>
    <cellStyle name="常规 4 11 2 5 2 2 2 2" xfId="5858"/>
    <cellStyle name="常规 4 11 2 5 2 2 2 2 2" xfId="5863"/>
    <cellStyle name="常规 4 11 2 5 2 2 2 2 2 2" xfId="5864"/>
    <cellStyle name="常规 4 11 2 5 2 2 2 2 3" xfId="5523"/>
    <cellStyle name="常规 4 11 2 5 2 2 2 2 4" xfId="5605"/>
    <cellStyle name="常规 4 11 2 5 2 2 2 3" xfId="5869"/>
    <cellStyle name="常规 4 11 2 5 2 2 2 3 2" xfId="2525"/>
    <cellStyle name="常规 4 11 2 5 2 2 2 4" xfId="5873"/>
    <cellStyle name="常规 4 11 2 5 2 2 2 5" xfId="5556"/>
    <cellStyle name="常规 4 11 2 5 2 2 3" xfId="5874"/>
    <cellStyle name="常规 4 11 2 5 2 2 3 2" xfId="5875"/>
    <cellStyle name="常规 4 11 2 5 2 2 3 2 2" xfId="5879"/>
    <cellStyle name="常规 4 11 2 5 2 2 3 3" xfId="5881"/>
    <cellStyle name="常规 4 11 2 5 2 2 3 4" xfId="2927"/>
    <cellStyle name="常规 4 11 2 5 2 2 4" xfId="5886"/>
    <cellStyle name="常规 4 11 2 5 2 2 4 2" xfId="5893"/>
    <cellStyle name="常规 4 11 2 5 2 2 5" xfId="5901"/>
    <cellStyle name="常规 4 11 2 5 2 2 6" xfId="5066"/>
    <cellStyle name="常规 4 11 2 5 2 3" xfId="5902"/>
    <cellStyle name="常规 4 11 2 5 2 3 2" xfId="3376"/>
    <cellStyle name="常规 4 11 2 5 2 3 2 2" xfId="3378"/>
    <cellStyle name="常规 4 11 2 5 2 3 2 2 2" xfId="3381"/>
    <cellStyle name="常规 4 11 2 5 2 3 2 3" xfId="3391"/>
    <cellStyle name="常规 4 11 2 5 2 3 2 4" xfId="1056"/>
    <cellStyle name="常规 4 11 2 5 2 3 3" xfId="5906"/>
    <cellStyle name="常规 4 11 2 5 2 3 3 2" xfId="5907"/>
    <cellStyle name="常规 4 11 2 5 2 3 4" xfId="5911"/>
    <cellStyle name="常规 4 11 2 5 2 3 5" xfId="5914"/>
    <cellStyle name="常规 4 11 2 5 2 4" xfId="5915"/>
    <cellStyle name="常规 4 11 2 5 2 4 2" xfId="3797"/>
    <cellStyle name="常规 4 11 2 5 2 4 2 2" xfId="3799"/>
    <cellStyle name="常规 4 11 2 5 2 4 3" xfId="5916"/>
    <cellStyle name="常规 4 11 2 5 2 4 4" xfId="5917"/>
    <cellStyle name="常规 4 11 2 5 2 5" xfId="5919"/>
    <cellStyle name="常规 4 11 2 5 2 5 2" xfId="3995"/>
    <cellStyle name="常规 4 11 2 5 2 6" xfId="5920"/>
    <cellStyle name="常规 4 11 2 5 2 7" xfId="158"/>
    <cellStyle name="常规 4 11 2 5 3" xfId="4865"/>
    <cellStyle name="常规 4 11 2 5 3 2" xfId="5921"/>
    <cellStyle name="常规 4 11 2 5 3 2 2" xfId="5923"/>
    <cellStyle name="常规 4 11 2 5 3 2 2 2" xfId="5924"/>
    <cellStyle name="常规 4 11 2 5 3 2 2 2 2" xfId="5926"/>
    <cellStyle name="常规 4 11 2 5 3 2 2 3" xfId="5266"/>
    <cellStyle name="常规 4 11 2 5 3 2 2 4" xfId="3574"/>
    <cellStyle name="常规 4 11 2 5 3 2 3" xfId="5929"/>
    <cellStyle name="常规 4 11 2 5 3 2 3 2" xfId="246"/>
    <cellStyle name="常规 4 11 2 5 3 2 4" xfId="5934"/>
    <cellStyle name="常规 4 11 2 5 3 2 5" xfId="5935"/>
    <cellStyle name="常规 4 11 2 5 3 3" xfId="5936"/>
    <cellStyle name="常规 4 11 2 5 3 3 2" xfId="5939"/>
    <cellStyle name="常规 4 11 2 5 3 3 2 2" xfId="5940"/>
    <cellStyle name="常规 4 11 2 5 3 3 3" xfId="5941"/>
    <cellStyle name="常规 4 11 2 5 3 3 4" xfId="5942"/>
    <cellStyle name="常规 4 11 2 5 3 4" xfId="732"/>
    <cellStyle name="常规 4 11 2 5 3 4 2" xfId="5944"/>
    <cellStyle name="常规 4 11 2 5 3 5" xfId="749"/>
    <cellStyle name="常规 4 11 2 5 3 6" xfId="5945"/>
    <cellStyle name="常规 4 11 2 5 4" xfId="4598"/>
    <cellStyle name="常规 4 11 2 5 4 2" xfId="4602"/>
    <cellStyle name="常规 4 11 2 5 4 2 2" xfId="5949"/>
    <cellStyle name="常规 4 11 2 5 4 2 2 2" xfId="4317"/>
    <cellStyle name="常规 4 11 2 5 4 2 3" xfId="5951"/>
    <cellStyle name="常规 4 11 2 5 4 2 4" xfId="5956"/>
    <cellStyle name="常规 4 11 2 5 4 3" xfId="5958"/>
    <cellStyle name="常规 4 11 2 5 4 3 2" xfId="5960"/>
    <cellStyle name="常规 4 11 2 5 4 4" xfId="1484"/>
    <cellStyle name="常规 4 11 2 5 4 5" xfId="1488"/>
    <cellStyle name="常规 4 11 2 5 5" xfId="4608"/>
    <cellStyle name="常规 4 11 2 5 5 2" xfId="3346"/>
    <cellStyle name="常规 4 11 2 5 5 2 2" xfId="5962"/>
    <cellStyle name="常规 4 11 2 5 5 3" xfId="4189"/>
    <cellStyle name="常规 4 11 2 5 5 4" xfId="3689"/>
    <cellStyle name="常规 4 11 2 5 6" xfId="4613"/>
    <cellStyle name="常规 4 11 2 5 6 2" xfId="5964"/>
    <cellStyle name="常规 4 11 2 5 7" xfId="5968"/>
    <cellStyle name="常规 4 11 2 5 8" xfId="5973"/>
    <cellStyle name="常规 4 11 2 6" xfId="5974"/>
    <cellStyle name="常规 4 11 2 6 2" xfId="5975"/>
    <cellStyle name="常规 4 11 2 6 2 2" xfId="5980"/>
    <cellStyle name="常规 4 11 2 6 2 2 2" xfId="5983"/>
    <cellStyle name="常规 4 11 2 6 2 2 2 2" xfId="5071"/>
    <cellStyle name="常规 4 11 2 6 2 2 2 2 2" xfId="5987"/>
    <cellStyle name="常规 4 11 2 6 2 2 2 3" xfId="5080"/>
    <cellStyle name="常规 4 11 2 6 2 2 2 4" xfId="5990"/>
    <cellStyle name="常规 4 11 2 6 2 2 3" xfId="5994"/>
    <cellStyle name="常规 4 11 2 6 2 2 3 2" xfId="1310"/>
    <cellStyle name="常规 4 11 2 6 2 2 4" xfId="6002"/>
    <cellStyle name="常规 4 11 2 6 2 2 5" xfId="6008"/>
    <cellStyle name="常规 4 11 2 6 2 3" xfId="6009"/>
    <cellStyle name="常规 4 11 2 6 2 3 2" xfId="6012"/>
    <cellStyle name="常规 4 11 2 6 2 3 2 2" xfId="5133"/>
    <cellStyle name="常规 4 11 2 6 2 3 3" xfId="6016"/>
    <cellStyle name="常规 4 11 2 6 2 3 4" xfId="5860"/>
    <cellStyle name="常规 4 11 2 6 2 4" xfId="6017"/>
    <cellStyle name="常规 4 11 2 6 2 4 2" xfId="6019"/>
    <cellStyle name="常规 4 11 2 6 2 5" xfId="6021"/>
    <cellStyle name="常规 4 11 2 6 2 6" xfId="6022"/>
    <cellStyle name="常规 4 11 2 6 3" xfId="6023"/>
    <cellStyle name="常规 4 11 2 6 3 2" xfId="3363"/>
    <cellStyle name="常规 4 11 2 6 3 2 2" xfId="6026"/>
    <cellStyle name="常规 4 11 2 6 3 2 2 2" xfId="6029"/>
    <cellStyle name="常规 4 11 2 6 3 2 3" xfId="6034"/>
    <cellStyle name="常规 4 11 2 6 3 2 4" xfId="3871"/>
    <cellStyle name="常规 4 11 2 6 3 3" xfId="6037"/>
    <cellStyle name="常规 4 11 2 6 3 3 2" xfId="6040"/>
    <cellStyle name="常规 4 11 2 6 3 4" xfId="6042"/>
    <cellStyle name="常规 4 11 2 6 3 5" xfId="6043"/>
    <cellStyle name="常规 4 11 2 6 4" xfId="3223"/>
    <cellStyle name="常规 4 11 2 6 4 2" xfId="6046"/>
    <cellStyle name="常规 4 11 2 6 4 2 2" xfId="6050"/>
    <cellStyle name="常规 4 11 2 6 4 3" xfId="6053"/>
    <cellStyle name="常规 4 11 2 6 4 4" xfId="3405"/>
    <cellStyle name="常规 4 11 2 6 5" xfId="6056"/>
    <cellStyle name="常规 4 11 2 6 5 2" xfId="6059"/>
    <cellStyle name="常规 4 11 2 6 6" xfId="6062"/>
    <cellStyle name="常规 4 11 2 6 7" xfId="6065"/>
    <cellStyle name="常规 4 11 2 7" xfId="2515"/>
    <cellStyle name="常规 4 11 2 7 2" xfId="6070"/>
    <cellStyle name="常规 4 11 2 7 2 2" xfId="6071"/>
    <cellStyle name="常规 4 11 2 7 2 2 2" xfId="6074"/>
    <cellStyle name="常规 4 11 2 7 2 2 2 2" xfId="6076"/>
    <cellStyle name="常规 4 11 2 7 2 2 3" xfId="6084"/>
    <cellStyle name="常规 4 11 2 7 2 2 4" xfId="6086"/>
    <cellStyle name="常规 4 11 2 7 2 3" xfId="5527"/>
    <cellStyle name="常规 4 11 2 7 2 3 2" xfId="5531"/>
    <cellStyle name="常规 4 11 2 7 2 4" xfId="5539"/>
    <cellStyle name="常规 4 11 2 7 2 5" xfId="5551"/>
    <cellStyle name="常规 4 11 2 7 3" xfId="6087"/>
    <cellStyle name="常规 4 11 2 7 3 2" xfId="6088"/>
    <cellStyle name="常规 4 11 2 7 3 2 2" xfId="3309"/>
    <cellStyle name="常规 4 11 2 7 3 3" xfId="5560"/>
    <cellStyle name="常规 4 11 2 7 3 4" xfId="1968"/>
    <cellStyle name="常规 4 11 2 7 4" xfId="6090"/>
    <cellStyle name="常规 4 11 2 7 4 2" xfId="6096"/>
    <cellStyle name="常规 4 11 2 7 5" xfId="2492"/>
    <cellStyle name="常规 4 11 2 7 6" xfId="6101"/>
    <cellStyle name="常规 4 11 2 8" xfId="6102"/>
    <cellStyle name="常规 4 11 2 8 2" xfId="4624"/>
    <cellStyle name="常规 4 11 2 8 2 2" xfId="6105"/>
    <cellStyle name="常规 4 11 2 8 2 2 2" xfId="6106"/>
    <cellStyle name="常规 4 11 2 8 2 3" xfId="5611"/>
    <cellStyle name="常规 4 11 2 8 2 4" xfId="5616"/>
    <cellStyle name="常规 4 11 2 8 3" xfId="6108"/>
    <cellStyle name="常规 4 11 2 8 3 2" xfId="6110"/>
    <cellStyle name="常规 4 11 2 8 4" xfId="6104"/>
    <cellStyle name="常规 4 11 2 8 5" xfId="5609"/>
    <cellStyle name="常规 4 11 2 9" xfId="6112"/>
    <cellStyle name="常规 4 11 2 9 2" xfId="6113"/>
    <cellStyle name="常规 4 11 2 9 2 2" xfId="6116"/>
    <cellStyle name="常规 4 11 2 9 3" xfId="6117"/>
    <cellStyle name="常规 4 11 2 9 4" xfId="6109"/>
    <cellStyle name="常规 4 11 3" xfId="2421"/>
    <cellStyle name="常规 4 11 3 10" xfId="560"/>
    <cellStyle name="常规 4 11 3 11" xfId="577"/>
    <cellStyle name="常规 4 11 3 2" xfId="3599"/>
    <cellStyle name="常规 4 11 3 2 2" xfId="5163"/>
    <cellStyle name="常规 4 11 3 2 2 2" xfId="3329"/>
    <cellStyle name="常规 4 11 3 2 2 2 2" xfId="715"/>
    <cellStyle name="常规 4 11 3 2 2 2 2 2" xfId="6120"/>
    <cellStyle name="常规 4 11 3 2 2 2 2 2 2" xfId="6124"/>
    <cellStyle name="常规 4 11 3 2 2 2 2 2 2 2" xfId="6128"/>
    <cellStyle name="常规 4 11 3 2 2 2 2 2 2 2 2" xfId="6131"/>
    <cellStyle name="常规 4 11 3 2 2 2 2 2 2 3" xfId="6133"/>
    <cellStyle name="常规 4 11 3 2 2 2 2 2 2 4" xfId="6135"/>
    <cellStyle name="常规 4 11 3 2 2 2 2 2 3" xfId="5795"/>
    <cellStyle name="常规 4 11 3 2 2 2 2 2 3 2" xfId="5799"/>
    <cellStyle name="常规 4 11 3 2 2 2 2 2 4" xfId="5807"/>
    <cellStyle name="常规 4 11 3 2 2 2 2 2 5" xfId="3548"/>
    <cellStyle name="常规 4 11 3 2 2 2 2 3" xfId="6137"/>
    <cellStyle name="常规 4 11 3 2 2 2 2 3 2" xfId="6140"/>
    <cellStyle name="常规 4 11 3 2 2 2 2 3 2 2" xfId="4531"/>
    <cellStyle name="常规 4 11 3 2 2 2 2 3 3" xfId="5811"/>
    <cellStyle name="常规 4 11 3 2 2 2 2 3 4" xfId="6145"/>
    <cellStyle name="常规 4 11 3 2 2 2 2 4" xfId="6150"/>
    <cellStyle name="常规 4 11 3 2 2 2 2 4 2" xfId="6158"/>
    <cellStyle name="常规 4 11 3 2 2 2 2 5" xfId="6165"/>
    <cellStyle name="常规 4 11 3 2 2 2 2 6" xfId="6170"/>
    <cellStyle name="常规 4 11 3 2 2 2 3" xfId="763"/>
    <cellStyle name="常规 4 11 3 2 2 2 3 2" xfId="6176"/>
    <cellStyle name="常规 4 11 3 2 2 2 3 2 2" xfId="1370"/>
    <cellStyle name="常规 4 11 3 2 2 2 3 2 2 2" xfId="6179"/>
    <cellStyle name="常规 4 11 3 2 2 2 3 2 3" xfId="1371"/>
    <cellStyle name="常规 4 11 3 2 2 2 3 2 4" xfId="3775"/>
    <cellStyle name="常规 4 11 3 2 2 2 3 3" xfId="6181"/>
    <cellStyle name="常规 4 11 3 2 2 2 3 3 2" xfId="1884"/>
    <cellStyle name="常规 4 11 3 2 2 2 3 4" xfId="6186"/>
    <cellStyle name="常规 4 11 3 2 2 2 3 5" xfId="5676"/>
    <cellStyle name="常规 4 11 3 2 2 2 4" xfId="6190"/>
    <cellStyle name="常规 4 11 3 2 2 2 4 2" xfId="6197"/>
    <cellStyle name="常规 4 11 3 2 2 2 4 2 2" xfId="6205"/>
    <cellStyle name="常规 4 11 3 2 2 2 4 3" xfId="236"/>
    <cellStyle name="常规 4 11 3 2 2 2 4 4" xfId="6212"/>
    <cellStyle name="常规 4 11 3 2 2 2 5" xfId="6215"/>
    <cellStyle name="常规 4 11 3 2 2 2 5 2" xfId="6219"/>
    <cellStyle name="常规 4 11 3 2 2 2 6" xfId="5316"/>
    <cellStyle name="常规 4 11 3 2 2 2 7" xfId="5328"/>
    <cellStyle name="常规 4 11 3 2 2 3" xfId="6223"/>
    <cellStyle name="常规 4 11 3 2 2 3 2" xfId="6225"/>
    <cellStyle name="常规 4 11 3 2 2 3 2 2" xfId="6230"/>
    <cellStyle name="常规 4 11 3 2 2 3 2 2 2" xfId="6232"/>
    <cellStyle name="常规 4 11 3 2 2 3 2 2 2 2" xfId="6235"/>
    <cellStyle name="常规 4 11 3 2 2 3 2 2 3" xfId="5830"/>
    <cellStyle name="常规 4 11 3 2 2 3 2 2 4" xfId="6239"/>
    <cellStyle name="常规 4 11 3 2 2 3 2 3" xfId="6241"/>
    <cellStyle name="常规 4 11 3 2 2 3 2 3 2" xfId="6244"/>
    <cellStyle name="常规 4 11 3 2 2 3 2 4" xfId="6249"/>
    <cellStyle name="常规 4 11 3 2 2 3 2 5" xfId="6252"/>
    <cellStyle name="常规 4 11 3 2 2 3 3" xfId="6256"/>
    <cellStyle name="常规 4 11 3 2 2 3 3 2" xfId="6258"/>
    <cellStyle name="常规 4 11 3 2 2 3 3 2 2" xfId="2256"/>
    <cellStyle name="常规 4 11 3 2 2 3 3 3" xfId="6261"/>
    <cellStyle name="常规 4 11 3 2 2 3 3 4" xfId="5220"/>
    <cellStyle name="常规 4 11 3 2 2 3 4" xfId="6267"/>
    <cellStyle name="常规 4 11 3 2 2 3 4 2" xfId="1162"/>
    <cellStyle name="常规 4 11 3 2 2 3 5" xfId="6273"/>
    <cellStyle name="常规 4 11 3 2 2 3 6" xfId="5344"/>
    <cellStyle name="常规 4 11 3 2 2 4" xfId="6274"/>
    <cellStyle name="常规 4 11 3 2 2 4 2" xfId="6276"/>
    <cellStyle name="常规 4 11 3 2 2 4 2 2" xfId="638"/>
    <cellStyle name="常规 4 11 3 2 2 4 2 2 2" xfId="6277"/>
    <cellStyle name="常规 4 11 3 2 2 4 2 3" xfId="4057"/>
    <cellStyle name="常规 4 11 3 2 2 4 2 4" xfId="6281"/>
    <cellStyle name="常规 4 11 3 2 2 4 3" xfId="6284"/>
    <cellStyle name="常规 4 11 3 2 2 4 3 2" xfId="4079"/>
    <cellStyle name="常规 4 11 3 2 2 4 4" xfId="6290"/>
    <cellStyle name="常规 4 11 3 2 2 4 5" xfId="6291"/>
    <cellStyle name="常规 4 11 3 2 2 5" xfId="6292"/>
    <cellStyle name="常规 4 11 3 2 2 5 2" xfId="6295"/>
    <cellStyle name="常规 4 11 3 2 2 5 2 2" xfId="6298"/>
    <cellStyle name="常规 4 11 3 2 2 5 3" xfId="6300"/>
    <cellStyle name="常规 4 11 3 2 2 5 4" xfId="6302"/>
    <cellStyle name="常规 4 11 3 2 2 6" xfId="6305"/>
    <cellStyle name="常规 4 11 3 2 2 6 2" xfId="6308"/>
    <cellStyle name="常规 4 11 3 2 2 7" xfId="6312"/>
    <cellStyle name="常规 4 11 3 2 2 8" xfId="6316"/>
    <cellStyle name="常规 4 11 3 2 3" xfId="5168"/>
    <cellStyle name="常规 4 11 3 2 3 2" xfId="6318"/>
    <cellStyle name="常规 4 11 3 2 3 2 2" xfId="6320"/>
    <cellStyle name="常规 4 11 3 2 3 2 2 2" xfId="4297"/>
    <cellStyle name="常规 4 11 3 2 3 2 2 2 2" xfId="4303"/>
    <cellStyle name="常规 4 11 3 2 3 2 2 2 2 2" xfId="4311"/>
    <cellStyle name="常规 4 11 3 2 3 2 2 2 3" xfId="4315"/>
    <cellStyle name="常规 4 11 3 2 3 2 2 2 4" xfId="4323"/>
    <cellStyle name="常规 4 11 3 2 3 2 2 3" xfId="4326"/>
    <cellStyle name="常规 4 11 3 2 3 2 2 3 2" xfId="4333"/>
    <cellStyle name="常规 4 11 3 2 3 2 2 4" xfId="3440"/>
    <cellStyle name="常规 4 11 3 2 3 2 2 5" xfId="4342"/>
    <cellStyle name="常规 4 11 3 2 3 2 3" xfId="6322"/>
    <cellStyle name="常规 4 11 3 2 3 2 3 2" xfId="4376"/>
    <cellStyle name="常规 4 11 3 2 3 2 3 2 2" xfId="4381"/>
    <cellStyle name="常规 4 11 3 2 3 2 3 3" xfId="4385"/>
    <cellStyle name="常规 4 11 3 2 3 2 3 4" xfId="4393"/>
    <cellStyle name="常规 4 11 3 2 3 2 4" xfId="6326"/>
    <cellStyle name="常规 4 11 3 2 3 2 4 2" xfId="427"/>
    <cellStyle name="常规 4 11 3 2 3 2 5" xfId="6329"/>
    <cellStyle name="常规 4 11 3 2 3 2 6" xfId="5377"/>
    <cellStyle name="常规 4 11 3 2 3 3" xfId="4122"/>
    <cellStyle name="常规 4 11 3 2 3 3 2" xfId="6331"/>
    <cellStyle name="常规 4 11 3 2 3 3 2 2" xfId="4481"/>
    <cellStyle name="常规 4 11 3 2 3 3 2 2 2" xfId="4486"/>
    <cellStyle name="常规 4 11 3 2 3 3 2 3" xfId="4492"/>
    <cellStyle name="常规 4 11 3 2 3 3 2 4" xfId="4500"/>
    <cellStyle name="常规 4 11 3 2 3 3 3" xfId="6333"/>
    <cellStyle name="常规 4 11 3 2 3 3 3 2" xfId="4521"/>
    <cellStyle name="常规 4 11 3 2 3 3 4" xfId="6337"/>
    <cellStyle name="常规 4 11 3 2 3 3 5" xfId="6338"/>
    <cellStyle name="常规 4 11 3 2 3 4" xfId="6340"/>
    <cellStyle name="常规 4 11 3 2 3 4 2" xfId="6341"/>
    <cellStyle name="常规 4 11 3 2 3 4 2 2" xfId="153"/>
    <cellStyle name="常规 4 11 3 2 3 4 3" xfId="6342"/>
    <cellStyle name="常规 4 11 3 2 3 4 4" xfId="6343"/>
    <cellStyle name="常规 4 11 3 2 3 5" xfId="5702"/>
    <cellStyle name="常规 4 11 3 2 3 5 2" xfId="5705"/>
    <cellStyle name="常规 4 11 3 2 3 6" xfId="5733"/>
    <cellStyle name="常规 4 11 3 2 3 7" xfId="5750"/>
    <cellStyle name="常规 4 11 3 2 4" xfId="6345"/>
    <cellStyle name="常规 4 11 3 2 4 2" xfId="6347"/>
    <cellStyle name="常规 4 11 3 2 4 2 2" xfId="2764"/>
    <cellStyle name="常规 4 11 3 2 4 2 2 2" xfId="4663"/>
    <cellStyle name="常规 4 11 3 2 4 2 2 2 2" xfId="4671"/>
    <cellStyle name="常规 4 11 3 2 4 2 2 3" xfId="4689"/>
    <cellStyle name="常规 4 11 3 2 4 2 2 4" xfId="4705"/>
    <cellStyle name="常规 4 11 3 2 4 2 3" xfId="2769"/>
    <cellStyle name="常规 4 11 3 2 4 2 3 2" xfId="4738"/>
    <cellStyle name="常规 4 11 3 2 4 2 4" xfId="6356"/>
    <cellStyle name="常规 4 11 3 2 4 2 5" xfId="6359"/>
    <cellStyle name="常规 4 11 3 2 4 3" xfId="6361"/>
    <cellStyle name="常规 4 11 3 2 4 3 2" xfId="6368"/>
    <cellStyle name="常规 4 11 3 2 4 3 2 2" xfId="2317"/>
    <cellStyle name="常规 4 11 3 2 4 3 3" xfId="6375"/>
    <cellStyle name="常规 4 11 3 2 4 3 4" xfId="6378"/>
    <cellStyle name="常规 4 11 3 2 4 4" xfId="6380"/>
    <cellStyle name="常规 4 11 3 2 4 4 2" xfId="6388"/>
    <cellStyle name="常规 4 11 3 2 4 5" xfId="5765"/>
    <cellStyle name="常规 4 11 3 2 4 6" xfId="5776"/>
    <cellStyle name="常规 4 11 3 2 5" xfId="2097"/>
    <cellStyle name="常规 4 11 3 2 5 2" xfId="6390"/>
    <cellStyle name="常规 4 11 3 2 5 2 2" xfId="6394"/>
    <cellStyle name="常规 4 11 3 2 5 2 2 2" xfId="1027"/>
    <cellStyle name="常规 4 11 3 2 5 2 3" xfId="6399"/>
    <cellStyle name="常规 4 11 3 2 5 2 4" xfId="929"/>
    <cellStyle name="常规 4 11 3 2 5 3" xfId="6402"/>
    <cellStyle name="常规 4 11 3 2 5 3 2" xfId="6404"/>
    <cellStyle name="常规 4 11 3 2 5 4" xfId="3894"/>
    <cellStyle name="常规 4 11 3 2 5 5" xfId="2035"/>
    <cellStyle name="常规 4 11 3 2 6" xfId="6405"/>
    <cellStyle name="常规 4 11 3 2 6 2" xfId="6407"/>
    <cellStyle name="常规 4 11 3 2 6 2 2" xfId="6408"/>
    <cellStyle name="常规 4 11 3 2 6 3" xfId="6411"/>
    <cellStyle name="常规 4 11 3 2 6 4" xfId="3898"/>
    <cellStyle name="常规 4 11 3 2 7" xfId="2480"/>
    <cellStyle name="常规 4 11 3 2 7 2" xfId="2483"/>
    <cellStyle name="常规 4 11 3 2 8" xfId="2494"/>
    <cellStyle name="常规 4 11 3 2 9" xfId="2505"/>
    <cellStyle name="常规 4 11 3 3" xfId="3606"/>
    <cellStyle name="常规 4 11 3 3 2" xfId="5195"/>
    <cellStyle name="常规 4 11 3 3 2 2" xfId="3360"/>
    <cellStyle name="常规 4 11 3 3 2 2 2" xfId="2581"/>
    <cellStyle name="常规 4 11 3 3 2 2 2 2" xfId="6412"/>
    <cellStyle name="常规 4 11 3 3 2 2 2 2 2" xfId="5711"/>
    <cellStyle name="常规 4 11 3 3 2 2 2 2 2 2" xfId="5714"/>
    <cellStyle name="常规 4 11 3 3 2 2 2 2 2 2 2" xfId="1730"/>
    <cellStyle name="常规 4 11 3 3 2 2 2 2 2 3" xfId="6415"/>
    <cellStyle name="常规 4 11 3 3 2 2 2 2 2 4" xfId="6417"/>
    <cellStyle name="常规 4 11 3 3 2 2 2 2 3" xfId="5722"/>
    <cellStyle name="常规 4 11 3 3 2 2 2 2 3 2" xfId="6418"/>
    <cellStyle name="常规 4 11 3 3 2 2 2 2 4" xfId="5728"/>
    <cellStyle name="常规 4 11 3 3 2 2 2 2 5" xfId="6419"/>
    <cellStyle name="常规 4 11 3 3 2 2 2 3" xfId="6420"/>
    <cellStyle name="常规 4 11 3 3 2 2 2 3 2" xfId="5738"/>
    <cellStyle name="常规 4 11 3 3 2 2 2 3 2 2" xfId="6421"/>
    <cellStyle name="常规 4 11 3 3 2 2 2 3 3" xfId="5740"/>
    <cellStyle name="常规 4 11 3 3 2 2 2 3 4" xfId="6423"/>
    <cellStyle name="常规 4 11 3 3 2 2 2 4" xfId="3035"/>
    <cellStyle name="常规 4 11 3 3 2 2 2 4 2" xfId="6426"/>
    <cellStyle name="常规 4 11 3 3 2 2 2 5" xfId="3967"/>
    <cellStyle name="常规 4 11 3 3 2 2 2 6" xfId="3979"/>
    <cellStyle name="常规 4 11 3 3 2 2 3" xfId="6427"/>
    <cellStyle name="常规 4 11 3 3 2 2 3 2" xfId="6428"/>
    <cellStyle name="常规 4 11 3 3 2 2 3 2 2" xfId="5768"/>
    <cellStyle name="常规 4 11 3 3 2 2 3 2 2 2" xfId="6429"/>
    <cellStyle name="常规 4 11 3 3 2 2 3 2 3" xfId="5771"/>
    <cellStyle name="常规 4 11 3 3 2 2 3 2 4" xfId="6430"/>
    <cellStyle name="常规 4 11 3 3 2 2 3 3" xfId="6431"/>
    <cellStyle name="常规 4 11 3 3 2 2 3 3 2" xfId="6433"/>
    <cellStyle name="常规 4 11 3 3 2 2 3 4" xfId="6436"/>
    <cellStyle name="常规 4 11 3 3 2 2 3 5" xfId="3997"/>
    <cellStyle name="常规 4 11 3 3 2 2 4" xfId="6439"/>
    <cellStyle name="常规 4 11 3 3 2 2 4 2" xfId="6445"/>
    <cellStyle name="常规 4 11 3 3 2 2 4 2 2" xfId="6447"/>
    <cellStyle name="常规 4 11 3 3 2 2 4 3" xfId="6449"/>
    <cellStyle name="常规 4 11 3 3 2 2 4 4" xfId="6451"/>
    <cellStyle name="常规 4 11 3 3 2 2 5" xfId="3155"/>
    <cellStyle name="常规 4 11 3 3 2 2 5 2" xfId="3159"/>
    <cellStyle name="常规 4 11 3 3 2 2 6" xfId="3170"/>
    <cellStyle name="常规 4 11 3 3 2 2 7" xfId="3191"/>
    <cellStyle name="常规 4 11 3 3 2 3" xfId="6453"/>
    <cellStyle name="常规 4 11 3 3 2 3 2" xfId="6454"/>
    <cellStyle name="常规 4 11 3 3 2 3 2 2" xfId="6455"/>
    <cellStyle name="常规 4 11 3 3 2 3 2 2 2" xfId="5804"/>
    <cellStyle name="常规 4 11 3 3 2 3 2 2 2 2" xfId="6456"/>
    <cellStyle name="常规 4 11 3 3 2 3 2 2 3" xfId="3544"/>
    <cellStyle name="常规 4 11 3 3 2 3 2 2 4" xfId="3556"/>
    <cellStyle name="常规 4 11 3 3 2 3 2 3" xfId="6457"/>
    <cellStyle name="常规 4 11 3 3 2 3 2 3 2" xfId="6141"/>
    <cellStyle name="常规 4 11 3 3 2 3 2 4" xfId="4230"/>
    <cellStyle name="常规 4 11 3 3 2 3 2 5" xfId="4237"/>
    <cellStyle name="常规 4 11 3 3 2 3 3" xfId="6459"/>
    <cellStyle name="常规 4 11 3 3 2 3 3 2" xfId="6460"/>
    <cellStyle name="常规 4 11 3 3 2 3 3 2 2" xfId="3772"/>
    <cellStyle name="常规 4 11 3 3 2 3 3 3" xfId="2871"/>
    <cellStyle name="常规 4 11 3 3 2 3 3 4" xfId="4248"/>
    <cellStyle name="常规 4 11 3 3 2 3 4" xfId="6464"/>
    <cellStyle name="常规 4 11 3 3 2 3 4 2" xfId="6465"/>
    <cellStyle name="常规 4 11 3 3 2 3 5" xfId="3202"/>
    <cellStyle name="常规 4 11 3 3 2 3 6" xfId="3207"/>
    <cellStyle name="常规 4 11 3 3 2 4" xfId="6467"/>
    <cellStyle name="常规 4 11 3 3 2 4 2" xfId="6468"/>
    <cellStyle name="常规 4 11 3 3 2 4 2 2" xfId="2301"/>
    <cellStyle name="常规 4 11 3 3 2 4 2 2 2" xfId="6236"/>
    <cellStyle name="常规 4 11 3 3 2 4 2 3" xfId="6469"/>
    <cellStyle name="常规 4 11 3 3 2 4 2 4" xfId="4282"/>
    <cellStyle name="常规 4 11 3 3 2 4 3" xfId="6470"/>
    <cellStyle name="常规 4 11 3 3 2 4 3 2" xfId="6471"/>
    <cellStyle name="常规 4 11 3 3 2 4 4" xfId="6472"/>
    <cellStyle name="常规 4 11 3 3 2 4 5" xfId="3215"/>
    <cellStyle name="常规 4 11 3 3 2 5" xfId="6474"/>
    <cellStyle name="常规 4 11 3 3 2 5 2" xfId="6475"/>
    <cellStyle name="常规 4 11 3 3 2 5 2 2" xfId="6478"/>
    <cellStyle name="常规 4 11 3 3 2 5 3" xfId="6479"/>
    <cellStyle name="常规 4 11 3 3 2 5 4" xfId="2771"/>
    <cellStyle name="常规 4 11 3 3 2 6" xfId="6481"/>
    <cellStyle name="常规 4 11 3 3 2 6 2" xfId="46"/>
    <cellStyle name="常规 4 11 3 3 2 7" xfId="244"/>
    <cellStyle name="常规 4 11 3 3 2 8" xfId="4090"/>
    <cellStyle name="常规 4 11 3 3 3" xfId="6491"/>
    <cellStyle name="常规 4 11 3 3 3 2" xfId="6494"/>
    <cellStyle name="常规 4 11 3 3 3 2 2" xfId="6497"/>
    <cellStyle name="常规 4 11 3 3 3 2 2 2" xfId="5261"/>
    <cellStyle name="常规 4 11 3 3 3 2 2 2 2" xfId="5264"/>
    <cellStyle name="常规 4 11 3 3 3 2 2 2 2 2" xfId="6499"/>
    <cellStyle name="常规 4 11 3 3 3 2 2 2 3" xfId="3570"/>
    <cellStyle name="常规 4 11 3 3 3 2 2 2 4" xfId="6500"/>
    <cellStyle name="常规 4 11 3 3 3 2 2 3" xfId="5271"/>
    <cellStyle name="常规 4 11 3 3 3 2 2 3 2" xfId="403"/>
    <cellStyle name="常规 4 11 3 3 3 2 2 4" xfId="5278"/>
    <cellStyle name="常规 4 11 3 3 3 2 2 5" xfId="6501"/>
    <cellStyle name="常规 4 11 3 3 3 2 3" xfId="6504"/>
    <cellStyle name="常规 4 11 3 3 3 2 3 2" xfId="5304"/>
    <cellStyle name="常规 4 11 3 3 3 2 3 2 2" xfId="6505"/>
    <cellStyle name="常规 4 11 3 3 3 2 3 3" xfId="3312"/>
    <cellStyle name="常规 4 11 3 3 3 2 3 4" xfId="6506"/>
    <cellStyle name="常规 4 11 3 3 3 2 4" xfId="6511"/>
    <cellStyle name="常规 4 11 3 3 3 2 4 2" xfId="5329"/>
    <cellStyle name="常规 4 11 3 3 3 2 5" xfId="6512"/>
    <cellStyle name="常规 4 11 3 3 3 2 6" xfId="6514"/>
    <cellStyle name="常规 4 11 3 3 3 3" xfId="6516"/>
    <cellStyle name="常规 4 11 3 3 3 3 2" xfId="6518"/>
    <cellStyle name="常规 4 11 3 3 3 3 2 2" xfId="5347"/>
    <cellStyle name="常规 4 11 3 3 3 3 2 2 2" xfId="4322"/>
    <cellStyle name="常规 4 11 3 3 3 3 2 3" xfId="5351"/>
    <cellStyle name="常规 4 11 3 3 3 3 2 4" xfId="4363"/>
    <cellStyle name="常规 4 11 3 3 3 3 3" xfId="6520"/>
    <cellStyle name="常规 4 11 3 3 3 3 3 2" xfId="5360"/>
    <cellStyle name="常规 4 11 3 3 3 3 4" xfId="6521"/>
    <cellStyle name="常规 4 11 3 3 3 3 5" xfId="6522"/>
    <cellStyle name="常规 4 11 3 3 3 4" xfId="6524"/>
    <cellStyle name="常规 4 11 3 3 3 4 2" xfId="6527"/>
    <cellStyle name="常规 4 11 3 3 3 4 2 2" xfId="5389"/>
    <cellStyle name="常规 4 11 3 3 3 4 3" xfId="3790"/>
    <cellStyle name="常规 4 11 3 3 3 4 4" xfId="6528"/>
    <cellStyle name="常规 4 11 3 3 3 5" xfId="5789"/>
    <cellStyle name="常规 4 11 3 3 3 5 2" xfId="5793"/>
    <cellStyle name="常规 4 11 3 3 3 6" xfId="2957"/>
    <cellStyle name="常规 4 11 3 3 3 7" xfId="5822"/>
    <cellStyle name="常规 4 11 3 3 4" xfId="6537"/>
    <cellStyle name="常规 4 11 3 3 4 2" xfId="3456"/>
    <cellStyle name="常规 4 11 3 3 4 2 2" xfId="1252"/>
    <cellStyle name="常规 4 11 3 3 4 2 2 2" xfId="3099"/>
    <cellStyle name="常规 4 11 3 3 4 2 2 2 2" xfId="6540"/>
    <cellStyle name="常规 4 11 3 3 4 2 2 3" xfId="3461"/>
    <cellStyle name="常规 4 11 3 3 4 2 2 4" xfId="6546"/>
    <cellStyle name="常规 4 11 3 3 4 2 3" xfId="3398"/>
    <cellStyle name="常规 4 11 3 3 4 2 3 2" xfId="3142"/>
    <cellStyle name="常规 4 11 3 3 4 2 4" xfId="3485"/>
    <cellStyle name="常规 4 11 3 3 4 2 5" xfId="3489"/>
    <cellStyle name="常规 4 11 3 3 4 3" xfId="3499"/>
    <cellStyle name="常规 4 11 3 3 4 3 2" xfId="1003"/>
    <cellStyle name="常规 4 11 3 3 4 3 2 2" xfId="5006"/>
    <cellStyle name="常规 4 11 3 3 4 3 3" xfId="3507"/>
    <cellStyle name="常规 4 11 3 3 4 3 4" xfId="6549"/>
    <cellStyle name="常规 4 11 3 3 4 4" xfId="3513"/>
    <cellStyle name="常规 4 11 3 3 4 4 2" xfId="1337"/>
    <cellStyle name="常规 4 11 3 3 4 5" xfId="3522"/>
    <cellStyle name="常规 4 11 3 3 4 6" xfId="3529"/>
    <cellStyle name="常规 4 11 3 3 5" xfId="6553"/>
    <cellStyle name="常规 4 11 3 3 5 2" xfId="2053"/>
    <cellStyle name="常规 4 11 3 3 5 2 2" xfId="2065"/>
    <cellStyle name="常规 4 11 3 3 5 2 2 2" xfId="2074"/>
    <cellStyle name="常规 4 11 3 3 5 2 3" xfId="2094"/>
    <cellStyle name="常规 4 11 3 3 5 2 4" xfId="967"/>
    <cellStyle name="常规 4 11 3 3 5 3" xfId="2111"/>
    <cellStyle name="常规 4 11 3 3 5 3 2" xfId="2122"/>
    <cellStyle name="常规 4 11 3 3 5 4" xfId="2131"/>
    <cellStyle name="常规 4 11 3 3 5 5" xfId="2140"/>
    <cellStyle name="常规 4 11 3 3 6" xfId="6556"/>
    <cellStyle name="常规 4 11 3 3 6 2" xfId="2173"/>
    <cellStyle name="常规 4 11 3 3 6 2 2" xfId="6562"/>
    <cellStyle name="常规 4 11 3 3 6 3" xfId="2178"/>
    <cellStyle name="常规 4 11 3 3 6 4" xfId="2184"/>
    <cellStyle name="常规 4 11 3 3 7" xfId="830"/>
    <cellStyle name="常规 4 11 3 3 7 2" xfId="2211"/>
    <cellStyle name="常规 4 11 3 3 8" xfId="841"/>
    <cellStyle name="常规 4 11 3 3 9" xfId="6568"/>
    <cellStyle name="常规 4 11 3 4" xfId="3613"/>
    <cellStyle name="常规 4 11 3 4 2" xfId="6579"/>
    <cellStyle name="常规 4 11 3 4 2 2" xfId="3384"/>
    <cellStyle name="常规 4 11 3 4 2 2 2" xfId="3917"/>
    <cellStyle name="常规 4 11 3 4 2 2 2 2" xfId="1212"/>
    <cellStyle name="常规 4 11 3 4 2 2 2 2 2" xfId="2556"/>
    <cellStyle name="常规 4 11 3 4 2 2 2 2 2 2" xfId="2562"/>
    <cellStyle name="常规 4 11 3 4 2 2 2 2 3" xfId="2574"/>
    <cellStyle name="常规 4 11 3 4 2 2 2 2 4" xfId="2584"/>
    <cellStyle name="常规 4 11 3 4 2 2 2 3" xfId="1222"/>
    <cellStyle name="常规 4 11 3 4 2 2 2 3 2" xfId="2595"/>
    <cellStyle name="常规 4 11 3 4 2 2 2 4" xfId="1235"/>
    <cellStyle name="常规 4 11 3 4 2 2 2 5" xfId="2630"/>
    <cellStyle name="常规 4 11 3 4 2 2 3" xfId="3491"/>
    <cellStyle name="常规 4 11 3 4 2 2 3 2" xfId="5176"/>
    <cellStyle name="常规 4 11 3 4 2 2 3 2 2" xfId="5625"/>
    <cellStyle name="常规 4 11 3 4 2 2 3 3" xfId="6580"/>
    <cellStyle name="常规 4 11 3 4 2 2 3 4" xfId="6584"/>
    <cellStyle name="常规 4 11 3 4 2 2 4" xfId="5186"/>
    <cellStyle name="常规 4 11 3 4 2 2 4 2" xfId="6585"/>
    <cellStyle name="常规 4 11 3 4 2 2 5" xfId="5191"/>
    <cellStyle name="常规 4 11 3 4 2 2 6" xfId="6488"/>
    <cellStyle name="常规 4 11 3 4 2 3" xfId="6591"/>
    <cellStyle name="常规 4 11 3 4 2 3 2" xfId="6592"/>
    <cellStyle name="常规 4 11 3 4 2 3 2 2" xfId="222"/>
    <cellStyle name="常规 4 11 3 4 2 3 2 2 2" xfId="5727"/>
    <cellStyle name="常规 4 11 3 4 2 3 2 3" xfId="1276"/>
    <cellStyle name="常规 4 11 3 4 2 3 2 4" xfId="1291"/>
    <cellStyle name="常规 4 11 3 4 2 3 3" xfId="5199"/>
    <cellStyle name="常规 4 11 3 4 2 3 3 2" xfId="6593"/>
    <cellStyle name="常规 4 11 3 4 2 3 4" xfId="6597"/>
    <cellStyle name="常规 4 11 3 4 2 3 5" xfId="6573"/>
    <cellStyle name="常规 4 11 3 4 2 4" xfId="6598"/>
    <cellStyle name="常规 4 11 3 4 2 4 2" xfId="6599"/>
    <cellStyle name="常规 4 11 3 4 2 4 2 2" xfId="1303"/>
    <cellStyle name="常规 4 11 3 4 2 4 3" xfId="6600"/>
    <cellStyle name="常规 4 11 3 4 2 4 4" xfId="6601"/>
    <cellStyle name="常规 4 11 3 4 2 5" xfId="6603"/>
    <cellStyle name="常规 4 11 3 4 2 5 2" xfId="6604"/>
    <cellStyle name="常规 4 11 3 4 2 6" xfId="6605"/>
    <cellStyle name="常规 4 11 3 4 2 7" xfId="4645"/>
    <cellStyle name="常规 4 11 3 4 3" xfId="6611"/>
    <cellStyle name="常规 4 11 3 4 3 2" xfId="6613"/>
    <cellStyle name="常规 4 11 3 4 3 2 2" xfId="6615"/>
    <cellStyle name="常规 4 11 3 4 3 2 2 2" xfId="5549"/>
    <cellStyle name="常规 4 11 3 4 3 2 2 2 2" xfId="5553"/>
    <cellStyle name="常规 4 11 3 4 3 2 2 3" xfId="2553"/>
    <cellStyle name="常规 4 11 3 4 3 2 2 4" xfId="2572"/>
    <cellStyle name="常规 4 11 3 4 3 2 3" xfId="6617"/>
    <cellStyle name="常规 4 11 3 4 3 2 3 2" xfId="2265"/>
    <cellStyle name="常规 4 11 3 4 3 2 4" xfId="6618"/>
    <cellStyle name="常规 4 11 3 4 3 2 5" xfId="6623"/>
    <cellStyle name="常规 4 11 3 4 3 3" xfId="6625"/>
    <cellStyle name="常规 4 11 3 4 3 3 2" xfId="6627"/>
    <cellStyle name="常规 4 11 3 4 3 3 2 2" xfId="5619"/>
    <cellStyle name="常规 4 11 3 4 3 3 3" xfId="6628"/>
    <cellStyle name="常规 4 11 3 4 3 3 4" xfId="6629"/>
    <cellStyle name="常规 4 11 3 4 3 4" xfId="2"/>
    <cellStyle name="常规 4 11 3 4 3 4 2" xfId="393"/>
    <cellStyle name="常规 4 11 3 4 3 5" xfId="446"/>
    <cellStyle name="常规 4 11 3 4 3 6" xfId="453"/>
    <cellStyle name="常规 4 11 3 4 4" xfId="6632"/>
    <cellStyle name="常规 4 11 3 4 4 2" xfId="3834"/>
    <cellStyle name="常规 4 11 3 4 4 2 2" xfId="6636"/>
    <cellStyle name="常规 4 11 3 4 4 2 2 2" xfId="5718"/>
    <cellStyle name="常规 4 11 3 4 4 2 3" xfId="6639"/>
    <cellStyle name="常规 4 11 3 4 4 2 4" xfId="6642"/>
    <cellStyle name="常规 4 11 3 4 4 3" xfId="6644"/>
    <cellStyle name="常规 4 11 3 4 4 3 2" xfId="6647"/>
    <cellStyle name="常规 4 11 3 4 4 4" xfId="462"/>
    <cellStyle name="常规 4 11 3 4 4 5" xfId="516"/>
    <cellStyle name="常规 4 11 3 4 5" xfId="6650"/>
    <cellStyle name="常规 4 11 3 4 5 2" xfId="3414"/>
    <cellStyle name="常规 4 11 3 4 5 2 2" xfId="3540"/>
    <cellStyle name="常规 4 11 3 4 5 3" xfId="3823"/>
    <cellStyle name="常规 4 11 3 4 5 4" xfId="532"/>
    <cellStyle name="常规 4 11 3 4 6" xfId="6652"/>
    <cellStyle name="常规 4 11 3 4 6 2" xfId="4106"/>
    <cellStyle name="常规 4 11 3 4 7" xfId="847"/>
    <cellStyle name="常规 4 11 3 4 8" xfId="855"/>
    <cellStyle name="常规 4 11 3 5" xfId="6658"/>
    <cellStyle name="常规 4 11 3 5 2" xfId="6664"/>
    <cellStyle name="常规 4 11 3 5 2 2" xfId="6666"/>
    <cellStyle name="常规 4 11 3 5 2 2 2" xfId="4026"/>
    <cellStyle name="常规 4 11 3 5 2 2 2 2" xfId="6667"/>
    <cellStyle name="常规 4 11 3 5 2 2 2 2 2" xfId="2629"/>
    <cellStyle name="常规 4 11 3 5 2 2 2 3" xfId="6670"/>
    <cellStyle name="常规 4 11 3 5 2 2 2 4" xfId="6673"/>
    <cellStyle name="常规 4 11 3 5 2 2 3" xfId="2497"/>
    <cellStyle name="常规 4 11 3 5 2 2 3 2" xfId="6674"/>
    <cellStyle name="常规 4 11 3 5 2 2 4" xfId="6678"/>
    <cellStyle name="常规 4 11 3 5 2 2 5" xfId="6687"/>
    <cellStyle name="常规 4 11 3 5 2 3" xfId="6688"/>
    <cellStyle name="常规 4 11 3 5 2 3 2" xfId="6689"/>
    <cellStyle name="常规 4 11 3 5 2 3 2 2" xfId="6690"/>
    <cellStyle name="常规 4 11 3 5 2 3 3" xfId="6693"/>
    <cellStyle name="常规 4 11 3 5 2 3 4" xfId="6695"/>
    <cellStyle name="常规 4 11 3 5 2 4" xfId="6696"/>
    <cellStyle name="常规 4 11 3 5 2 4 2" xfId="6697"/>
    <cellStyle name="常规 4 11 3 5 2 5" xfId="6698"/>
    <cellStyle name="常规 4 11 3 5 2 6" xfId="6699"/>
    <cellStyle name="常规 4 11 3 5 3" xfId="6700"/>
    <cellStyle name="常规 4 11 3 5 3 2" xfId="2218"/>
    <cellStyle name="常规 4 11 3 5 3 2 2" xfId="4049"/>
    <cellStyle name="常规 4 11 3 5 3 2 2 2" xfId="5870"/>
    <cellStyle name="常规 4 11 3 5 3 2 3" xfId="6702"/>
    <cellStyle name="常规 4 11 3 5 3 2 4" xfId="6703"/>
    <cellStyle name="常规 4 11 3 5 3 3" xfId="2220"/>
    <cellStyle name="常规 4 11 3 5 3 3 2" xfId="3830"/>
    <cellStyle name="常规 4 11 3 5 3 4" xfId="2224"/>
    <cellStyle name="常规 4 11 3 5 3 5" xfId="2228"/>
    <cellStyle name="常规 4 11 3 5 4" xfId="4628"/>
    <cellStyle name="常规 4 11 3 5 4 2" xfId="4126"/>
    <cellStyle name="常规 4 11 3 5 4 2 2" xfId="4068"/>
    <cellStyle name="常规 4 11 3 5 4 3" xfId="4130"/>
    <cellStyle name="常规 4 11 3 5 4 4" xfId="4136"/>
    <cellStyle name="常规 4 11 3 5 5" xfId="6705"/>
    <cellStyle name="常规 4 11 3 5 5 2" xfId="1714"/>
    <cellStyle name="常规 4 11 3 5 6" xfId="6707"/>
    <cellStyle name="常规 4 11 3 5 7" xfId="865"/>
    <cellStyle name="常规 4 11 3 6" xfId="6712"/>
    <cellStyle name="常规 4 11 3 6 2" xfId="6715"/>
    <cellStyle name="常规 4 11 3 6 2 2" xfId="6717"/>
    <cellStyle name="常规 4 11 3 6 2 2 2" xfId="6718"/>
    <cellStyle name="常规 4 11 3 6 2 2 2 2" xfId="6719"/>
    <cellStyle name="常规 4 11 3 6 2 2 3" xfId="6723"/>
    <cellStyle name="常规 4 11 3 6 2 2 4" xfId="6724"/>
    <cellStyle name="常规 4 11 3 6 2 3" xfId="6294"/>
    <cellStyle name="常规 4 11 3 6 2 3 2" xfId="6296"/>
    <cellStyle name="常规 4 11 3 6 2 4" xfId="6299"/>
    <cellStyle name="常规 4 11 3 6 2 5" xfId="6301"/>
    <cellStyle name="常规 4 11 3 6 3" xfId="6725"/>
    <cellStyle name="常规 4 11 3 6 3 2" xfId="6727"/>
    <cellStyle name="常规 4 11 3 6 3 2 2" xfId="6728"/>
    <cellStyle name="常规 4 11 3 6 3 3" xfId="6306"/>
    <cellStyle name="常规 4 11 3 6 3 4" xfId="6730"/>
    <cellStyle name="常规 4 11 3 6 4" xfId="6732"/>
    <cellStyle name="常规 4 11 3 6 4 2" xfId="6734"/>
    <cellStyle name="常规 4 11 3 6 5" xfId="6737"/>
    <cellStyle name="常规 4 11 3 6 6" xfId="6740"/>
    <cellStyle name="常规 4 11 3 7" xfId="6742"/>
    <cellStyle name="常规 4 11 3 7 2" xfId="6745"/>
    <cellStyle name="常规 4 11 3 7 2 2" xfId="676"/>
    <cellStyle name="常规 4 11 3 7 2 2 2" xfId="6746"/>
    <cellStyle name="常规 4 11 3 7 2 3" xfId="5704"/>
    <cellStyle name="常规 4 11 3 7 2 4" xfId="5710"/>
    <cellStyle name="常规 4 11 3 7 3" xfId="6747"/>
    <cellStyle name="常规 4 11 3 7 3 2" xfId="6748"/>
    <cellStyle name="常规 4 11 3 7 4" xfId="6750"/>
    <cellStyle name="常规 4 11 3 7 5" xfId="6754"/>
    <cellStyle name="常规 4 11 3 8" xfId="6755"/>
    <cellStyle name="常规 4 11 3 8 2" xfId="6756"/>
    <cellStyle name="常规 4 11 3 8 2 2" xfId="6760"/>
    <cellStyle name="常规 4 11 3 8 3" xfId="6761"/>
    <cellStyle name="常规 4 11 3 8 4" xfId="6115"/>
    <cellStyle name="常规 4 11 3 9" xfId="6762"/>
    <cellStyle name="常规 4 11 3 9 2" xfId="6766"/>
    <cellStyle name="常规 4 11 4" xfId="2423"/>
    <cellStyle name="常规 4 11 4 2" xfId="1628"/>
    <cellStyle name="常规 4 11 4 2 2" xfId="3517"/>
    <cellStyle name="常规 4 11 4 2 2 2" xfId="3735"/>
    <cellStyle name="常规 4 11 4 2 2 2 2" xfId="6767"/>
    <cellStyle name="常规 4 11 4 2 2 2 2 2" xfId="3601"/>
    <cellStyle name="常规 4 11 4 2 2 2 2 2 2" xfId="5190"/>
    <cellStyle name="常规 4 11 4 2 2 2 2 2 2 2" xfId="3357"/>
    <cellStyle name="常规 4 11 4 2 2 2 2 2 3" xfId="6485"/>
    <cellStyle name="常规 4 11 4 2 2 2 2 2 4" xfId="6533"/>
    <cellStyle name="常规 4 11 4 2 2 2 2 3" xfId="3608"/>
    <cellStyle name="常规 4 11 4 2 2 2 2 3 2" xfId="6572"/>
    <cellStyle name="常规 4 11 4 2 2 2 2 4" xfId="6661"/>
    <cellStyle name="常规 4 11 4 2 2 2 2 5" xfId="6714"/>
    <cellStyle name="常规 4 11 4 2 2 2 3" xfId="6768"/>
    <cellStyle name="常规 4 11 4 2 2 2 3 2" xfId="1635"/>
    <cellStyle name="常规 4 11 4 2 2 2 3 2 2" xfId="6622"/>
    <cellStyle name="常规 4 11 4 2 2 2 3 3" xfId="1644"/>
    <cellStyle name="常规 4 11 4 2 2 2 3 4" xfId="1344"/>
    <cellStyle name="常规 4 11 4 2 2 2 4" xfId="6773"/>
    <cellStyle name="常规 4 11 4 2 2 2 4 2" xfId="3677"/>
    <cellStyle name="常规 4 11 4 2 2 2 5" xfId="6094"/>
    <cellStyle name="常规 4 11 4 2 2 2 6" xfId="5583"/>
    <cellStyle name="常规 4 11 4 2 2 3" xfId="6775"/>
    <cellStyle name="常规 4 11 4 2 2 3 2" xfId="6776"/>
    <cellStyle name="常规 4 11 4 2 2 3 2 2" xfId="3907"/>
    <cellStyle name="常规 4 11 4 2 2 3 2 2 2" xfId="6685"/>
    <cellStyle name="常规 4 11 4 2 2 3 2 3" xfId="6783"/>
    <cellStyle name="常规 4 11 4 2 2 3 2 4" xfId="6789"/>
    <cellStyle name="常规 4 11 4 2 2 3 3" xfId="6793"/>
    <cellStyle name="常规 4 11 4 2 2 3 3 2" xfId="54"/>
    <cellStyle name="常规 4 11 4 2 2 3 4" xfId="6798"/>
    <cellStyle name="常规 4 11 4 2 2 3 5" xfId="6803"/>
    <cellStyle name="常规 4 11 4 2 2 4" xfId="6804"/>
    <cellStyle name="常规 4 11 4 2 2 4 2" xfId="6805"/>
    <cellStyle name="常规 4 11 4 2 2 4 2 2" xfId="6806"/>
    <cellStyle name="常规 4 11 4 2 2 4 3" xfId="6808"/>
    <cellStyle name="常规 4 11 4 2 2 4 4" xfId="6813"/>
    <cellStyle name="常规 4 11 4 2 2 5" xfId="6814"/>
    <cellStyle name="常规 4 11 4 2 2 5 2" xfId="6815"/>
    <cellStyle name="常规 4 11 4 2 2 6" xfId="6817"/>
    <cellStyle name="常规 4 11 4 2 2 7" xfId="6820"/>
    <cellStyle name="常规 4 11 4 2 3" xfId="6821"/>
    <cellStyle name="常规 4 11 4 2 3 2" xfId="4930"/>
    <cellStyle name="常规 4 11 4 2 3 2 2" xfId="6824"/>
    <cellStyle name="常规 4 11 4 2 3 2 2 2" xfId="6147"/>
    <cellStyle name="常规 4 11 4 2 3 2 2 2 2" xfId="6154"/>
    <cellStyle name="常规 4 11 4 2 3 2 2 3" xfId="6160"/>
    <cellStyle name="常规 4 11 4 2 3 2 2 4" xfId="6173"/>
    <cellStyle name="常规 4 11 4 2 3 2 3" xfId="6825"/>
    <cellStyle name="常规 4 11 4 2 3 2 3 2" xfId="6183"/>
    <cellStyle name="常规 4 11 4 2 3 2 4" xfId="6826"/>
    <cellStyle name="常规 4 11 4 2 3 2 5" xfId="6107"/>
    <cellStyle name="常规 4 11 4 2 3 3" xfId="6828"/>
    <cellStyle name="常规 4 11 4 2 3 3 2" xfId="6829"/>
    <cellStyle name="常规 4 11 4 2 3 3 2 2" xfId="6245"/>
    <cellStyle name="常规 4 11 4 2 3 3 3" xfId="5210"/>
    <cellStyle name="常规 4 11 4 2 3 3 4" xfId="5231"/>
    <cellStyle name="常规 4 11 4 2 3 4" xfId="6831"/>
    <cellStyle name="常规 4 11 4 2 3 4 2" xfId="6832"/>
    <cellStyle name="常规 4 11 4 2 3 5" xfId="5922"/>
    <cellStyle name="常规 4 11 4 2 3 6" xfId="5927"/>
    <cellStyle name="常规 4 11 4 2 4" xfId="6833"/>
    <cellStyle name="常规 4 11 4 2 4 2" xfId="6837"/>
    <cellStyle name="常规 4 11 4 2 4 2 2" xfId="19"/>
    <cellStyle name="常规 4 11 4 2 4 2 2 2" xfId="3437"/>
    <cellStyle name="常规 4 11 4 2 4 2 3" xfId="6842"/>
    <cellStyle name="常规 4 11 4 2 4 2 4" xfId="6846"/>
    <cellStyle name="常规 4 11 4 2 4 3" xfId="6850"/>
    <cellStyle name="常规 4 11 4 2 4 3 2" xfId="6855"/>
    <cellStyle name="常规 4 11 4 2 4 4" xfId="6858"/>
    <cellStyle name="常规 4 11 4 2 4 5" xfId="5938"/>
    <cellStyle name="常规 4 11 4 2 5" xfId="6859"/>
    <cellStyle name="常规 4 11 4 2 5 2" xfId="6864"/>
    <cellStyle name="常规 4 11 4 2 5 2 2" xfId="6872"/>
    <cellStyle name="常规 4 11 4 2 5 3" xfId="6875"/>
    <cellStyle name="常规 4 11 4 2 5 4" xfId="6878"/>
    <cellStyle name="常规 4 11 4 2 6" xfId="6879"/>
    <cellStyle name="常规 4 11 4 2 6 2" xfId="6881"/>
    <cellStyle name="常规 4 11 4 2 7" xfId="6882"/>
    <cellStyle name="常规 4 11 4 2 8" xfId="6883"/>
    <cellStyle name="常规 4 11 4 3" xfId="1634"/>
    <cellStyle name="常规 4 11 4 3 2" xfId="6621"/>
    <cellStyle name="常规 4 11 4 3 2 2" xfId="3769"/>
    <cellStyle name="常规 4 11 4 3 2 2 2" xfId="4013"/>
    <cellStyle name="常规 4 11 4 3 2 2 2 2" xfId="6884"/>
    <cellStyle name="常规 4 11 4 3 2 2 2 2 2" xfId="3189"/>
    <cellStyle name="常规 4 11 4 3 2 2 2 3" xfId="6885"/>
    <cellStyle name="常规 4 11 4 3 2 2 2 4" xfId="6892"/>
    <cellStyle name="常规 4 11 4 3 2 2 3" xfId="6893"/>
    <cellStyle name="常规 4 11 4 3 2 2 3 2" xfId="6894"/>
    <cellStyle name="常规 4 11 4 3 2 2 4" xfId="6895"/>
    <cellStyle name="常规 4 11 4 3 2 2 5" xfId="6896"/>
    <cellStyle name="常规 4 11 4 3 2 3" xfId="2633"/>
    <cellStyle name="常规 4 11 4 3 2 3 2" xfId="2636"/>
    <cellStyle name="常规 4 11 4 3 2 3 2 2" xfId="6897"/>
    <cellStyle name="常规 4 11 4 3 2 3 3" xfId="2640"/>
    <cellStyle name="常规 4 11 4 3 2 3 4" xfId="6899"/>
    <cellStyle name="常规 4 11 4 3 2 4" xfId="2643"/>
    <cellStyle name="常规 4 11 4 3 2 4 2" xfId="2646"/>
    <cellStyle name="常规 4 11 4 3 2 5" xfId="2652"/>
    <cellStyle name="常规 4 11 4 3 2 6" xfId="2655"/>
    <cellStyle name="常规 4 11 4 3 3" xfId="1690"/>
    <cellStyle name="常规 4 11 4 3 3 2" xfId="6902"/>
    <cellStyle name="常规 4 11 4 3 3 2 2" xfId="3026"/>
    <cellStyle name="常规 4 11 4 3 3 2 2 2" xfId="3031"/>
    <cellStyle name="常规 4 11 4 3 3 2 3" xfId="3042"/>
    <cellStyle name="常规 4 11 4 3 3 2 4" xfId="3044"/>
    <cellStyle name="常规 4 11 4 3 3 3" xfId="2664"/>
    <cellStyle name="常规 4 11 4 3 3 3 2" xfId="4223"/>
    <cellStyle name="常规 4 11 4 3 3 4" xfId="2667"/>
    <cellStyle name="常规 4 11 4 3 3 5" xfId="5947"/>
    <cellStyle name="常规 4 11 4 3 4" xfId="6905"/>
    <cellStyle name="常规 4 11 4 3 4 2" xfId="6910"/>
    <cellStyle name="常规 4 11 4 3 4 2 2" xfId="632"/>
    <cellStyle name="常规 4 11 4 3 4 3" xfId="2677"/>
    <cellStyle name="常规 4 11 4 3 4 4" xfId="2682"/>
    <cellStyle name="常规 4 11 4 3 5" xfId="6913"/>
    <cellStyle name="常规 4 11 4 3 5 2" xfId="6916"/>
    <cellStyle name="常规 4 11 4 3 6" xfId="6918"/>
    <cellStyle name="常规 4 11 4 3 7" xfId="6920"/>
    <cellStyle name="常规 4 11 4 4" xfId="1643"/>
    <cellStyle name="常规 4 11 4 4 2" xfId="6923"/>
    <cellStyle name="常规 4 11 4 4 2 2" xfId="3802"/>
    <cellStyle name="常规 4 11 4 4 2 2 2" xfId="6924"/>
    <cellStyle name="常规 4 11 4 4 2 2 2 2" xfId="6925"/>
    <cellStyle name="常规 4 11 4 4 2 2 3" xfId="6926"/>
    <cellStyle name="常规 4 11 4 4 2 2 4" xfId="6927"/>
    <cellStyle name="常规 4 11 4 4 2 3" xfId="6928"/>
    <cellStyle name="常规 4 11 4 4 2 3 2" xfId="6929"/>
    <cellStyle name="常规 4 11 4 4 2 4" xfId="6930"/>
    <cellStyle name="常规 4 11 4 4 2 5" xfId="6933"/>
    <cellStyle name="常规 4 11 4 4 3" xfId="6934"/>
    <cellStyle name="常规 4 11 4 4 3 2" xfId="6937"/>
    <cellStyle name="常规 4 11 4 4 3 2 2" xfId="6938"/>
    <cellStyle name="常规 4 11 4 4 3 3" xfId="6940"/>
    <cellStyle name="常规 4 11 4 4 3 4" xfId="6941"/>
    <cellStyle name="常规 4 11 4 4 4" xfId="6943"/>
    <cellStyle name="常规 4 11 4 4 4 2" xfId="6946"/>
    <cellStyle name="常规 4 11 4 4 5" xfId="6948"/>
    <cellStyle name="常规 4 11 4 4 6" xfId="3633"/>
    <cellStyle name="常规 4 11 4 5" xfId="1342"/>
    <cellStyle name="常规 4 11 4 5 2" xfId="436"/>
    <cellStyle name="常规 4 11 4 5 2 2" xfId="6949"/>
    <cellStyle name="常规 4 11 4 5 2 2 2" xfId="6950"/>
    <cellStyle name="常规 4 11 4 5 2 3" xfId="1963"/>
    <cellStyle name="常规 4 11 4 5 2 4" xfId="6951"/>
    <cellStyle name="常规 4 11 4 5 3" xfId="442"/>
    <cellStyle name="常规 4 11 4 5 3 2" xfId="6952"/>
    <cellStyle name="常规 4 11 4 5 4" xfId="1352"/>
    <cellStyle name="常规 4 11 4 5 5" xfId="6955"/>
    <cellStyle name="常规 4 11 4 6" xfId="1360"/>
    <cellStyle name="常规 4 11 4 6 2" xfId="6956"/>
    <cellStyle name="常规 4 11 4 6 2 2" xfId="3722"/>
    <cellStyle name="常规 4 11 4 6 3" xfId="6957"/>
    <cellStyle name="常规 4 11 4 6 4" xfId="6960"/>
    <cellStyle name="常规 4 11 4 7" xfId="713"/>
    <cellStyle name="常规 4 11 4 7 2" xfId="6118"/>
    <cellStyle name="常规 4 11 4 8" xfId="762"/>
    <cellStyle name="常规 4 11 4 9" xfId="6188"/>
    <cellStyle name="常规 4 11 5" xfId="6961"/>
    <cellStyle name="常规 4 11 5 2" xfId="3665"/>
    <cellStyle name="常规 4 11 5 2 2" xfId="6962"/>
    <cellStyle name="常规 4 11 5 2 2 2" xfId="3949"/>
    <cellStyle name="常规 4 11 5 2 2 2 2" xfId="6964"/>
    <cellStyle name="常规 4 11 5 2 2 2 2 2" xfId="6966"/>
    <cellStyle name="常规 4 11 5 2 2 2 2 2 2" xfId="5670"/>
    <cellStyle name="常规 4 11 5 2 2 2 2 2 2 2" xfId="6970"/>
    <cellStyle name="常规 4 11 5 2 2 2 2 2 3" xfId="808"/>
    <cellStyle name="常规 4 11 5 2 2 2 2 2 4" xfId="6972"/>
    <cellStyle name="常规 4 11 5 2 2 2 2 3" xfId="6974"/>
    <cellStyle name="常规 4 11 5 2 2 2 2 3 2" xfId="6980"/>
    <cellStyle name="常规 4 11 5 2 2 2 2 4" xfId="6984"/>
    <cellStyle name="常规 4 11 5 2 2 2 2 5" xfId="6987"/>
    <cellStyle name="常规 4 11 5 2 2 2 3" xfId="3049"/>
    <cellStyle name="常规 4 11 5 2 2 2 3 2" xfId="6988"/>
    <cellStyle name="常规 4 11 5 2 2 2 3 2 2" xfId="6991"/>
    <cellStyle name="常规 4 11 5 2 2 2 3 3" xfId="6992"/>
    <cellStyle name="常规 4 11 5 2 2 2 3 4" xfId="6995"/>
    <cellStyle name="常规 4 11 5 2 2 2 4" xfId="726"/>
    <cellStyle name="常规 4 11 5 2 2 2 4 2" xfId="1506"/>
    <cellStyle name="常规 4 11 5 2 2 2 5" xfId="730"/>
    <cellStyle name="常规 4 11 5 2 2 2 6" xfId="5895"/>
    <cellStyle name="常规 4 11 5 2 2 3" xfId="6996"/>
    <cellStyle name="常规 4 11 5 2 2 3 2" xfId="6997"/>
    <cellStyle name="常规 4 11 5 2 2 3 2 2" xfId="6998"/>
    <cellStyle name="常规 4 11 5 2 2 3 2 2 2" xfId="7002"/>
    <cellStyle name="常规 4 11 5 2 2 3 2 3" xfId="7003"/>
    <cellStyle name="常规 4 11 5 2 2 3 2 4" xfId="7007"/>
    <cellStyle name="常规 4 11 5 2 2 3 3" xfId="2566"/>
    <cellStyle name="常规 4 11 5 2 2 3 3 2" xfId="4849"/>
    <cellStyle name="常规 4 11 5 2 2 3 4" xfId="737"/>
    <cellStyle name="常规 4 11 5 2 2 3 5" xfId="742"/>
    <cellStyle name="常规 4 11 5 2 2 4" xfId="7008"/>
    <cellStyle name="常规 4 11 5 2 2 4 2" xfId="5414"/>
    <cellStyle name="常规 4 11 5 2 2 4 2 2" xfId="5693"/>
    <cellStyle name="常规 4 11 5 2 2 4 3" xfId="4860"/>
    <cellStyle name="常规 4 11 5 2 2 4 4" xfId="755"/>
    <cellStyle name="常规 4 11 5 2 2 5" xfId="7009"/>
    <cellStyle name="常规 4 11 5 2 2 5 2" xfId="5450"/>
    <cellStyle name="常规 4 11 5 2 2 6" xfId="7010"/>
    <cellStyle name="常规 4 11 5 2 2 7" xfId="7013"/>
    <cellStyle name="常规 4 11 5 2 3" xfId="7014"/>
    <cellStyle name="常规 4 11 5 2 3 2" xfId="7016"/>
    <cellStyle name="常规 4 11 5 2 3 2 2" xfId="1760"/>
    <cellStyle name="常规 4 11 5 2 3 2 2 2" xfId="6655"/>
    <cellStyle name="常规 4 11 5 2 3 2 2 2 2" xfId="6665"/>
    <cellStyle name="常规 4 11 5 2 3 2 2 3" xfId="6710"/>
    <cellStyle name="常规 4 11 5 2 3 2 2 4" xfId="6744"/>
    <cellStyle name="常规 4 11 5 2 3 2 3" xfId="1764"/>
    <cellStyle name="常规 4 11 5 2 3 2 3 2" xfId="1339"/>
    <cellStyle name="常规 4 11 5 2 3 2 4" xfId="1769"/>
    <cellStyle name="常规 4 11 5 2 3 2 5" xfId="1776"/>
    <cellStyle name="常规 4 11 5 2 3 3" xfId="7017"/>
    <cellStyle name="常规 4 11 5 2 3 3 2" xfId="7018"/>
    <cellStyle name="常规 4 11 5 2 3 3 2 2" xfId="6784"/>
    <cellStyle name="常规 4 11 5 2 3 3 3" xfId="3078"/>
    <cellStyle name="常规 4 11 5 2 3 3 4" xfId="4885"/>
    <cellStyle name="常规 4 11 5 2 3 4" xfId="7019"/>
    <cellStyle name="常规 4 11 5 2 3 4 2" xfId="5689"/>
    <cellStyle name="常规 4 11 5 2 3 5" xfId="6024"/>
    <cellStyle name="常规 4 11 5 2 3 6" xfId="6031"/>
    <cellStyle name="常规 4 11 5 2 4" xfId="7020"/>
    <cellStyle name="常规 4 11 5 2 4 2" xfId="7021"/>
    <cellStyle name="常规 4 11 5 2 4 2 2" xfId="7023"/>
    <cellStyle name="常规 4 11 5 2 4 2 2 2" xfId="6166"/>
    <cellStyle name="常规 4 11 5 2 4 2 3" xfId="3112"/>
    <cellStyle name="常规 4 11 5 2 4 2 4" xfId="86"/>
    <cellStyle name="常规 4 11 5 2 4 3" xfId="7024"/>
    <cellStyle name="常规 4 11 5 2 4 3 2" xfId="7026"/>
    <cellStyle name="常规 4 11 5 2 4 4" xfId="7027"/>
    <cellStyle name="常规 4 11 5 2 4 5" xfId="6038"/>
    <cellStyle name="常规 4 11 5 2 5" xfId="7028"/>
    <cellStyle name="常规 4 11 5 2 5 2" xfId="7029"/>
    <cellStyle name="常规 4 11 5 2 5 2 2" xfId="7033"/>
    <cellStyle name="常规 4 11 5 2 5 3" xfId="7035"/>
    <cellStyle name="常规 4 11 5 2 5 4" xfId="2855"/>
    <cellStyle name="常规 4 11 5 2 6" xfId="7036"/>
    <cellStyle name="常规 4 11 5 2 6 2" xfId="7037"/>
    <cellStyle name="常规 4 11 5 2 7" xfId="7038"/>
    <cellStyle name="常规 4 11 5 2 8" xfId="7039"/>
    <cellStyle name="常规 4 11 5 3" xfId="3672"/>
    <cellStyle name="常规 4 11 5 3 2" xfId="7042"/>
    <cellStyle name="常规 4 11 5 3 2 2" xfId="3972"/>
    <cellStyle name="常规 4 11 5 3 2 2 2" xfId="7045"/>
    <cellStyle name="常规 4 11 5 3 2 2 2 2" xfId="7046"/>
    <cellStyle name="常规 4 11 5 3 2 2 2 2 2" xfId="379"/>
    <cellStyle name="常规 4 11 5 3 2 2 2 3" xfId="7049"/>
    <cellStyle name="常规 4 11 5 3 2 2 2 4" xfId="7053"/>
    <cellStyle name="常规 4 11 5 3 2 2 3" xfId="1746"/>
    <cellStyle name="常规 4 11 5 3 2 2 3 2" xfId="97"/>
    <cellStyle name="常规 4 11 5 3 2 2 4" xfId="1749"/>
    <cellStyle name="常规 4 11 5 3 2 2 5" xfId="1756"/>
    <cellStyle name="常规 4 11 5 3 2 3" xfId="7054"/>
    <cellStyle name="常规 4 11 5 3 2 3 2" xfId="1670"/>
    <cellStyle name="常规 4 11 5 3 2 3 2 2" xfId="7055"/>
    <cellStyle name="常规 4 11 5 3 2 3 3" xfId="1676"/>
    <cellStyle name="常规 4 11 5 3 2 3 4" xfId="1799"/>
    <cellStyle name="常规 4 11 5 3 2 4" xfId="7058"/>
    <cellStyle name="常规 4 11 5 3 2 4 2" xfId="4087"/>
    <cellStyle name="常规 4 11 5 3 2 5" xfId="1453"/>
    <cellStyle name="常规 4 11 5 3 2 6" xfId="1504"/>
    <cellStyle name="常规 4 11 5 3 3" xfId="7060"/>
    <cellStyle name="常规 4 11 5 3 3 2" xfId="7061"/>
    <cellStyle name="常规 4 11 5 3 3 2 2" xfId="653"/>
    <cellStyle name="常规 4 11 5 3 3 2 2 2" xfId="6886"/>
    <cellStyle name="常规 4 11 5 3 3 2 3" xfId="908"/>
    <cellStyle name="常规 4 11 5 3 3 2 4" xfId="1556"/>
    <cellStyle name="常规 4 11 5 3 3 3" xfId="7062"/>
    <cellStyle name="常规 4 11 5 3 3 3 2" xfId="919"/>
    <cellStyle name="常规 4 11 5 3 3 4" xfId="7063"/>
    <cellStyle name="常规 4 11 5 3 3 5" xfId="6047"/>
    <cellStyle name="常规 4 11 5 3 4" xfId="7066"/>
    <cellStyle name="常规 4 11 5 3 4 2" xfId="7068"/>
    <cellStyle name="常规 4 11 5 3 4 2 2" xfId="39"/>
    <cellStyle name="常规 4 11 5 3 4 3" xfId="7070"/>
    <cellStyle name="常规 4 11 5 3 4 4" xfId="7073"/>
    <cellStyle name="常规 4 11 5 3 5" xfId="7075"/>
    <cellStyle name="常规 4 11 5 3 5 2" xfId="7077"/>
    <cellStyle name="常规 4 11 5 3 6" xfId="7079"/>
    <cellStyle name="常规 4 11 5 3 7" xfId="7081"/>
    <cellStyle name="常规 4 11 5 4" xfId="7084"/>
    <cellStyle name="常规 4 11 5 4 2" xfId="7090"/>
    <cellStyle name="常规 4 11 5 4 2 2" xfId="4002"/>
    <cellStyle name="常规 4 11 5 4 2 2 2" xfId="7093"/>
    <cellStyle name="常规 4 11 5 4 2 2 2 2" xfId="820"/>
    <cellStyle name="常规 4 11 5 4 2 2 3" xfId="7100"/>
    <cellStyle name="常规 4 11 5 4 2 2 4" xfId="7107"/>
    <cellStyle name="常规 4 11 5 4 2 3" xfId="7108"/>
    <cellStyle name="常规 4 11 5 4 2 3 2" xfId="2545"/>
    <cellStyle name="常规 4 11 5 4 2 4" xfId="7109"/>
    <cellStyle name="常规 4 11 5 4 2 5" xfId="7111"/>
    <cellStyle name="常规 4 11 5 4 3" xfId="2744"/>
    <cellStyle name="常规 4 11 5 4 3 2" xfId="7112"/>
    <cellStyle name="常规 4 11 5 4 3 2 2" xfId="7113"/>
    <cellStyle name="常规 4 11 5 4 3 3" xfId="7114"/>
    <cellStyle name="常规 4 11 5 4 3 4" xfId="7116"/>
    <cellStyle name="常规 4 11 5 4 4" xfId="7119"/>
    <cellStyle name="常规 4 11 5 4 4 2" xfId="7121"/>
    <cellStyle name="常规 4 11 5 4 5" xfId="7123"/>
    <cellStyle name="常规 4 11 5 4 6" xfId="7125"/>
    <cellStyle name="常规 4 11 5 5" xfId="7128"/>
    <cellStyle name="常规 4 11 5 5 2" xfId="493"/>
    <cellStyle name="常规 4 11 5 5 2 2" xfId="7131"/>
    <cellStyle name="常规 4 11 5 5 2 2 2" xfId="6973"/>
    <cellStyle name="常规 4 11 5 5 2 3" xfId="7132"/>
    <cellStyle name="常规 4 11 5 5 2 4" xfId="7133"/>
    <cellStyle name="常规 4 11 5 5 3" xfId="498"/>
    <cellStyle name="常规 4 11 5 5 3 2" xfId="7134"/>
    <cellStyle name="常规 4 11 5 5 4" xfId="7137"/>
    <cellStyle name="常规 4 11 5 5 5" xfId="7140"/>
    <cellStyle name="常规 4 11 5 6" xfId="7142"/>
    <cellStyle name="常规 4 11 5 6 2" xfId="4161"/>
    <cellStyle name="常规 4 11 5 6 2 2" xfId="7144"/>
    <cellStyle name="常规 4 11 5 6 3" xfId="30"/>
    <cellStyle name="常规 4 11 5 6 4" xfId="7150"/>
    <cellStyle name="常规 4 11 5 7" xfId="6224"/>
    <cellStyle name="常规 4 11 5 7 2" xfId="6227"/>
    <cellStyle name="常规 4 11 5 8" xfId="6254"/>
    <cellStyle name="常规 4 11 5 9" xfId="6263"/>
    <cellStyle name="常规 4 11 6" xfId="7154"/>
    <cellStyle name="常规 4 11 6 2" xfId="3712"/>
    <cellStyle name="常规 4 11 6 2 2" xfId="1018"/>
    <cellStyle name="常规 4 11 6 2 2 2" xfId="3251"/>
    <cellStyle name="常规 4 11 6 2 2 2 2" xfId="3253"/>
    <cellStyle name="常规 4 11 6 2 2 2 2 2" xfId="7094"/>
    <cellStyle name="常规 4 11 6 2 2 2 2 2 2" xfId="408"/>
    <cellStyle name="常规 4 11 6 2 2 2 2 3" xfId="7101"/>
    <cellStyle name="常规 4 11 6 2 2 2 2 4" xfId="7156"/>
    <cellStyle name="常规 4 11 6 2 2 2 3" xfId="3255"/>
    <cellStyle name="常规 4 11 6 2 2 2 3 2" xfId="5096"/>
    <cellStyle name="常规 4 11 6 2 2 2 4" xfId="5105"/>
    <cellStyle name="常规 4 11 6 2 2 2 5" xfId="5108"/>
    <cellStyle name="常规 4 11 6 2 2 3" xfId="3260"/>
    <cellStyle name="常规 4 11 6 2 2 3 2" xfId="3262"/>
    <cellStyle name="常规 4 11 6 2 2 3 2 2" xfId="7157"/>
    <cellStyle name="常规 4 11 6 2 2 3 3" xfId="5111"/>
    <cellStyle name="常规 4 11 6 2 2 3 4" xfId="7162"/>
    <cellStyle name="常规 4 11 6 2 2 4" xfId="3266"/>
    <cellStyle name="常规 4 11 6 2 2 4 2" xfId="3451"/>
    <cellStyle name="常规 4 11 6 2 2 5" xfId="3268"/>
    <cellStyle name="常规 4 11 6 2 2 6" xfId="7163"/>
    <cellStyle name="常规 4 11 6 2 3" xfId="3272"/>
    <cellStyle name="常规 4 11 6 2 3 2" xfId="3280"/>
    <cellStyle name="常规 4 11 6 2 3 2 2" xfId="3284"/>
    <cellStyle name="常规 4 11 6 2 3 2 2 2" xfId="6981"/>
    <cellStyle name="常规 4 11 6 2 3 2 3" xfId="3286"/>
    <cellStyle name="常规 4 11 6 2 3 2 4" xfId="7164"/>
    <cellStyle name="常规 4 11 6 2 3 3" xfId="3294"/>
    <cellStyle name="常规 4 11 6 2 3 3 2" xfId="957"/>
    <cellStyle name="常规 4 11 6 2 3 4" xfId="3304"/>
    <cellStyle name="常规 4 11 6 2 3 5" xfId="3308"/>
    <cellStyle name="常规 4 11 6 2 4" xfId="3317"/>
    <cellStyle name="常规 4 11 6 2 4 2" xfId="3321"/>
    <cellStyle name="常规 4 11 6 2 4 2 2" xfId="3324"/>
    <cellStyle name="常规 4 11 6 2 4 3" xfId="3332"/>
    <cellStyle name="常规 4 11 6 2 4 4" xfId="3340"/>
    <cellStyle name="常规 4 11 6 2 5" xfId="3350"/>
    <cellStyle name="常规 4 11 6 2 5 2" xfId="3353"/>
    <cellStyle name="常规 4 11 6 2 6" xfId="3374"/>
    <cellStyle name="常规 4 11 6 2 7" xfId="5904"/>
    <cellStyle name="常规 4 11 6 3" xfId="3717"/>
    <cellStyle name="常规 4 11 6 3 2" xfId="3639"/>
    <cellStyle name="常规 4 11 6 3 2 2" xfId="1422"/>
    <cellStyle name="常规 4 11 6 3 2 2 2" xfId="3644"/>
    <cellStyle name="常规 4 11 6 3 2 2 2 2" xfId="253"/>
    <cellStyle name="常规 4 11 6 3 2 2 3" xfId="3649"/>
    <cellStyle name="常规 4 11 6 3 2 2 4" xfId="7166"/>
    <cellStyle name="常规 4 11 6 3 2 3" xfId="1459"/>
    <cellStyle name="常规 4 11 6 3 2 3 2" xfId="3658"/>
    <cellStyle name="常规 4 11 6 3 2 4" xfId="3663"/>
    <cellStyle name="常规 4 11 6 3 2 5" xfId="3678"/>
    <cellStyle name="常规 4 11 6 3 3" xfId="3684"/>
    <cellStyle name="常规 4 11 6 3 3 2" xfId="1500"/>
    <cellStyle name="常规 4 11 6 3 3 2 2" xfId="3690"/>
    <cellStyle name="常规 4 11 6 3 3 3" xfId="948"/>
    <cellStyle name="常规 4 11 6 3 3 4" xfId="3710"/>
    <cellStyle name="常规 4 11 6 3 4" xfId="3727"/>
    <cellStyle name="常规 4 11 6 3 4 2" xfId="3731"/>
    <cellStyle name="常规 4 11 6 3 5" xfId="3765"/>
    <cellStyle name="常规 4 11 6 3 6" xfId="3795"/>
    <cellStyle name="常规 4 11 6 4" xfId="7168"/>
    <cellStyle name="常规 4 11 6 4 2" xfId="3915"/>
    <cellStyle name="常规 4 11 6 4 2 2" xfId="10"/>
    <cellStyle name="常规 4 11 6 4 2 2 2" xfId="533"/>
    <cellStyle name="常规 4 11 6 4 2 3" xfId="309"/>
    <cellStyle name="常规 4 11 6 4 2 4" xfId="268"/>
    <cellStyle name="常规 4 11 6 4 3" xfId="3925"/>
    <cellStyle name="常规 4 11 6 4 3 2" xfId="3929"/>
    <cellStyle name="常规 4 11 6 4 4" xfId="3946"/>
    <cellStyle name="常规 4 11 6 4 5" xfId="3963"/>
    <cellStyle name="常规 4 11 6 5" xfId="7170"/>
    <cellStyle name="常规 4 11 6 5 2" xfId="576"/>
    <cellStyle name="常规 4 11 6 5 2 2" xfId="7173"/>
    <cellStyle name="常规 4 11 6 5 3" xfId="582"/>
    <cellStyle name="常规 4 11 6 5 4" xfId="7176"/>
    <cellStyle name="常规 4 11 6 6" xfId="7177"/>
    <cellStyle name="常规 4 11 6 6 2" xfId="608"/>
    <cellStyle name="常规 4 11 6 7" xfId="6275"/>
    <cellStyle name="常规 4 11 6 8" xfId="6282"/>
    <cellStyle name="常规 4 11 7" xfId="7183"/>
    <cellStyle name="常规 4 11 7 2" xfId="3753"/>
    <cellStyle name="常规 4 11 7 2 2" xfId="7186"/>
    <cellStyle name="常规 4 11 7 2 2 2" xfId="7189"/>
    <cellStyle name="常规 4 11 7 2 2 2 2" xfId="1835"/>
    <cellStyle name="常规 4 11 7 2 2 2 2 2" xfId="1751"/>
    <cellStyle name="常规 4 11 7 2 2 2 3" xfId="7190"/>
    <cellStyle name="常规 4 11 7 2 2 2 4" xfId="7191"/>
    <cellStyle name="常规 4 11 7 2 2 3" xfId="6765"/>
    <cellStyle name="常规 4 11 7 2 2 3 2" xfId="7192"/>
    <cellStyle name="常规 4 11 7 2 2 4" xfId="7194"/>
    <cellStyle name="常规 4 11 7 2 2 5" xfId="7195"/>
    <cellStyle name="常规 4 11 7 2 3" xfId="6835"/>
    <cellStyle name="常规 4 11 7 2 3 2" xfId="17"/>
    <cellStyle name="常规 4 11 7 2 3 2 2" xfId="3433"/>
    <cellStyle name="常规 4 11 7 2 3 3" xfId="6840"/>
    <cellStyle name="常规 4 11 7 2 3 4" xfId="6843"/>
    <cellStyle name="常规 4 11 7 2 4" xfId="6848"/>
    <cellStyle name="常规 4 11 7 2 4 2" xfId="6853"/>
    <cellStyle name="常规 4 11 7 2 5" xfId="6857"/>
    <cellStyle name="常规 4 11 7 2 6" xfId="5937"/>
    <cellStyle name="常规 4 11 7 3" xfId="3757"/>
    <cellStyle name="常规 4 11 7 3 2" xfId="7197"/>
    <cellStyle name="常规 4 11 7 3 2 2" xfId="7205"/>
    <cellStyle name="常规 4 11 7 3 2 2 2" xfId="7208"/>
    <cellStyle name="常规 4 11 7 3 2 3" xfId="6194"/>
    <cellStyle name="常规 4 11 7 3 2 4" xfId="233"/>
    <cellStyle name="常规 4 11 7 3 3" xfId="6862"/>
    <cellStyle name="常规 4 11 7 3 3 2" xfId="6870"/>
    <cellStyle name="常规 4 11 7 3 4" xfId="6874"/>
    <cellStyle name="常规 4 11 7 3 5" xfId="6877"/>
    <cellStyle name="常规 4 11 7 4" xfId="7213"/>
    <cellStyle name="常规 4 11 7 4 2" xfId="7215"/>
    <cellStyle name="常规 4 11 7 4 2 2" xfId="1149"/>
    <cellStyle name="常规 4 11 7 4 3" xfId="6880"/>
    <cellStyle name="常规 4 11 7 4 4" xfId="1703"/>
    <cellStyle name="常规 4 11 7 5" xfId="7216"/>
    <cellStyle name="常规 4 11 7 5 2" xfId="657"/>
    <cellStyle name="常规 4 11 7 6" xfId="6716"/>
    <cellStyle name="常规 4 11 7 7" xfId="6293"/>
    <cellStyle name="常规 4 11 8" xfId="3299"/>
    <cellStyle name="常规 4 11 8 2" xfId="3784"/>
    <cellStyle name="常规 4 11 8 2 2" xfId="7217"/>
    <cellStyle name="常规 4 11 8 2 2 2" xfId="7219"/>
    <cellStyle name="常规 4 11 8 2 2 2 2" xfId="7223"/>
    <cellStyle name="常规 4 11 8 2 2 3" xfId="7226"/>
    <cellStyle name="常规 4 11 8 2 2 4" xfId="7228"/>
    <cellStyle name="常规 4 11 8 2 3" xfId="6907"/>
    <cellStyle name="常规 4 11 8 2 3 2" xfId="629"/>
    <cellStyle name="常规 4 11 8 2 4" xfId="2674"/>
    <cellStyle name="常规 4 11 8 2 5" xfId="2678"/>
    <cellStyle name="常规 4 11 8 3" xfId="3786"/>
    <cellStyle name="常规 4 11 8 3 2" xfId="3934"/>
    <cellStyle name="常规 4 11 8 3 2 2" xfId="4439"/>
    <cellStyle name="常规 4 11 8 3 3" xfId="6914"/>
    <cellStyle name="常规 4 11 8 3 4" xfId="7230"/>
    <cellStyle name="常规 4 11 8 4" xfId="3065"/>
    <cellStyle name="常规 4 11 8 4 2" xfId="7231"/>
    <cellStyle name="常规 4 11 8 5" xfId="7232"/>
    <cellStyle name="常规 4 11 8 6" xfId="6726"/>
    <cellStyle name="常规 4 11 9" xfId="7235"/>
    <cellStyle name="常规 4 11 9 2" xfId="3814"/>
    <cellStyle name="常规 4 11 9 2 2" xfId="7236"/>
    <cellStyle name="常规 4 11 9 2 2 2" xfId="7238"/>
    <cellStyle name="常规 4 11 9 2 3" xfId="6944"/>
    <cellStyle name="常规 4 11 9 2 4" xfId="7239"/>
    <cellStyle name="常规 4 11 9 3" xfId="3816"/>
    <cellStyle name="常规 4 11 9 3 2" xfId="7240"/>
    <cellStyle name="常规 4 11 9 4" xfId="7241"/>
    <cellStyle name="常规 4 11 9 5" xfId="7242"/>
    <cellStyle name="常规 4 12" xfId="95"/>
    <cellStyle name="常规 4 12 10" xfId="7245"/>
    <cellStyle name="常规 4 12 10 2" xfId="7248"/>
    <cellStyle name="常规 4 12 11" xfId="7250"/>
    <cellStyle name="常规 4 12 12" xfId="5976"/>
    <cellStyle name="常规 4 12 2" xfId="2433"/>
    <cellStyle name="常规 4 12 2 10" xfId="7252"/>
    <cellStyle name="常规 4 12 2 11" xfId="7255"/>
    <cellStyle name="常规 4 12 2 2" xfId="2436"/>
    <cellStyle name="常规 4 12 2 2 2" xfId="7258"/>
    <cellStyle name="常规 4 12 2 2 2 2" xfId="6253"/>
    <cellStyle name="常规 4 12 2 2 2 2 2" xfId="7261"/>
    <cellStyle name="常规 4 12 2 2 2 2 2 2" xfId="7268"/>
    <cellStyle name="常规 4 12 2 2 2 2 2 2 2" xfId="1899"/>
    <cellStyle name="常规 4 12 2 2 2 2 2 2 2 2" xfId="7274"/>
    <cellStyle name="常规 4 12 2 2 2 2 2 2 2 2 2" xfId="387"/>
    <cellStyle name="常规 4 12 2 2 2 2 2 2 2 3" xfId="7277"/>
    <cellStyle name="常规 4 12 2 2 2 2 2 2 2 4" xfId="7278"/>
    <cellStyle name="常规 4 12 2 2 2 2 2 2 3" xfId="5403"/>
    <cellStyle name="常规 4 12 2 2 2 2 2 2 3 2" xfId="7279"/>
    <cellStyle name="常规 4 12 2 2 2 2 2 2 4" xfId="367"/>
    <cellStyle name="常规 4 12 2 2 2 2 2 2 5" xfId="375"/>
    <cellStyle name="常规 4 12 2 2 2 2 2 3" xfId="1987"/>
    <cellStyle name="常规 4 12 2 2 2 2 2 3 2" xfId="1995"/>
    <cellStyle name="常规 4 12 2 2 2 2 2 3 2 2" xfId="7282"/>
    <cellStyle name="常规 4 12 2 2 2 2 2 3 3" xfId="1999"/>
    <cellStyle name="常规 4 12 2 2 2 2 2 3 4" xfId="2007"/>
    <cellStyle name="常规 4 12 2 2 2 2 2 4" xfId="2020"/>
    <cellStyle name="常规 4 12 2 2 2 2 2 4 2" xfId="2026"/>
    <cellStyle name="常规 4 12 2 2 2 2 2 5" xfId="280"/>
    <cellStyle name="常规 4 12 2 2 2 2 2 6" xfId="210"/>
    <cellStyle name="常规 4 12 2 2 2 2 3" xfId="7284"/>
    <cellStyle name="常规 4 12 2 2 2 2 3 2" xfId="7291"/>
    <cellStyle name="常规 4 12 2 2 2 2 3 2 2" xfId="5119"/>
    <cellStyle name="常规 4 12 2 2 2 2 3 2 2 2" xfId="7294"/>
    <cellStyle name="常规 4 12 2 2 2 2 3 2 3" xfId="7295"/>
    <cellStyle name="常规 4 12 2 2 2 2 3 2 4" xfId="2427"/>
    <cellStyle name="常规 4 12 2 2 2 2 3 3" xfId="2062"/>
    <cellStyle name="常规 4 12 2 2 2 2 3 3 2" xfId="2069"/>
    <cellStyle name="常规 4 12 2 2 2 2 3 4" xfId="2091"/>
    <cellStyle name="常规 4 12 2 2 2 2 3 5" xfId="964"/>
    <cellStyle name="常规 4 12 2 2 2 2 4" xfId="7299"/>
    <cellStyle name="常规 4 12 2 2 2 2 4 2" xfId="7310"/>
    <cellStyle name="常规 4 12 2 2 2 2 4 2 2" xfId="7315"/>
    <cellStyle name="常规 4 12 2 2 2 2 4 3" xfId="2119"/>
    <cellStyle name="常规 4 12 2 2 2 2 4 4" xfId="7319"/>
    <cellStyle name="常规 4 12 2 2 2 2 5" xfId="7201"/>
    <cellStyle name="常规 4 12 2 2 2 2 5 2" xfId="7210"/>
    <cellStyle name="常规 4 12 2 2 2 2 6" xfId="6200"/>
    <cellStyle name="常规 4 12 2 2 2 2 7" xfId="237"/>
    <cellStyle name="常规 4 12 2 2 2 3" xfId="7321"/>
    <cellStyle name="常规 4 12 2 2 2 3 2" xfId="7324"/>
    <cellStyle name="常规 4 12 2 2 2 3 2 2" xfId="7331"/>
    <cellStyle name="常规 4 12 2 2 2 3 2 2 2" xfId="5667"/>
    <cellStyle name="常规 4 12 2 2 2 3 2 2 2 2" xfId="7332"/>
    <cellStyle name="常规 4 12 2 2 2 3 2 2 3" xfId="5669"/>
    <cellStyle name="常规 4 12 2 2 2 3 2 2 4" xfId="807"/>
    <cellStyle name="常规 4 12 2 2 2 3 2 3" xfId="2169"/>
    <cellStyle name="常规 4 12 2 2 2 3 2 3 2" xfId="5681"/>
    <cellStyle name="常规 4 12 2 2 2 3 2 4" xfId="7340"/>
    <cellStyle name="常规 4 12 2 2 2 3 2 5" xfId="7344"/>
    <cellStyle name="常规 4 12 2 2 2 3 3" xfId="7347"/>
    <cellStyle name="常规 4 12 2 2 2 3 3 2" xfId="7353"/>
    <cellStyle name="常规 4 12 2 2 2 3 3 2 2" xfId="5788"/>
    <cellStyle name="常规 4 12 2 2 2 3 3 3" xfId="6559"/>
    <cellStyle name="常规 4 12 2 2 2 3 3 4" xfId="7355"/>
    <cellStyle name="常规 4 12 2 2 2 3 4" xfId="7360"/>
    <cellStyle name="常规 4 12 2 2 2 3 4 2" xfId="7364"/>
    <cellStyle name="常规 4 12 2 2 2 3 5" xfId="6866"/>
    <cellStyle name="常规 4 12 2 2 2 3 6" xfId="6220"/>
    <cellStyle name="常规 4 12 2 2 2 4" xfId="4055"/>
    <cellStyle name="常规 4 12 2 2 2 4 2" xfId="7366"/>
    <cellStyle name="常规 4 12 2 2 2 4 2 2" xfId="7371"/>
    <cellStyle name="常规 4 12 2 2 2 4 2 2 2" xfId="5918"/>
    <cellStyle name="常规 4 12 2 2 2 4 2 3" xfId="7375"/>
    <cellStyle name="常规 4 12 2 2 2 4 2 4" xfId="7377"/>
    <cellStyle name="常规 4 12 2 2 2 4 3" xfId="7380"/>
    <cellStyle name="常规 4 12 2 2 2 4 3 2" xfId="7382"/>
    <cellStyle name="常规 4 12 2 2 2 4 4" xfId="7385"/>
    <cellStyle name="常规 4 12 2 2 2 4 5" xfId="7388"/>
    <cellStyle name="常规 4 12 2 2 2 5" xfId="7389"/>
    <cellStyle name="常规 4 12 2 2 2 5 2" xfId="4102"/>
    <cellStyle name="常规 4 12 2 2 2 5 2 2" xfId="5867"/>
    <cellStyle name="常规 4 12 2 2 2 5 3" xfId="7390"/>
    <cellStyle name="常规 4 12 2 2 2 5 4" xfId="7220"/>
    <cellStyle name="常规 4 12 2 2 2 6" xfId="7392"/>
    <cellStyle name="常规 4 12 2 2 2 6 2" xfId="7394"/>
    <cellStyle name="常规 4 12 2 2 2 7" xfId="7397"/>
    <cellStyle name="常规 4 12 2 2 2 8" xfId="1585"/>
    <cellStyle name="常规 4 12 2 2 3" xfId="5685"/>
    <cellStyle name="常规 4 12 2 2 3 2" xfId="5226"/>
    <cellStyle name="常规 4 12 2 2 3 2 2" xfId="7399"/>
    <cellStyle name="常规 4 12 2 2 3 2 2 2" xfId="7407"/>
    <cellStyle name="常规 4 12 2 2 3 2 2 2 2" xfId="6473"/>
    <cellStyle name="常规 4 12 2 2 3 2 2 2 2 2" xfId="7408"/>
    <cellStyle name="常规 4 12 2 2 3 2 2 2 3" xfId="3216"/>
    <cellStyle name="常规 4 12 2 2 3 2 2 2 4" xfId="2387"/>
    <cellStyle name="常规 4 12 2 2 3 2 2 3" xfId="2693"/>
    <cellStyle name="常规 4 12 2 2 3 2 2 3 2" xfId="2772"/>
    <cellStyle name="常规 4 12 2 2 3 2 2 4" xfId="3018"/>
    <cellStyle name="常规 4 12 2 2 3 2 2 5" xfId="1009"/>
    <cellStyle name="常规 4 12 2 2 3 2 3" xfId="7411"/>
    <cellStyle name="常规 4 12 2 2 3 2 3 2" xfId="7415"/>
    <cellStyle name="常规 4 12 2 2 3 2 3 2 2" xfId="6529"/>
    <cellStyle name="常规 4 12 2 2 3 2 3 3" xfId="3537"/>
    <cellStyle name="常规 4 12 2 2 3 2 3 4" xfId="3578"/>
    <cellStyle name="常规 4 12 2 2 3 2 4" xfId="1141"/>
    <cellStyle name="常规 4 12 2 2 3 2 4 2" xfId="7418"/>
    <cellStyle name="常规 4 12 2 2 3 2 5" xfId="1146"/>
    <cellStyle name="常规 4 12 2 2 3 2 6" xfId="1163"/>
    <cellStyle name="常规 4 12 2 2 3 3" xfId="5228"/>
    <cellStyle name="常规 4 12 2 2 3 3 2" xfId="7420"/>
    <cellStyle name="常规 4 12 2 2 3 3 2 2" xfId="1465"/>
    <cellStyle name="常规 4 12 2 2 3 3 2 2 2" xfId="6602"/>
    <cellStyle name="常规 4 12 2 2 3 3 2 3" xfId="7421"/>
    <cellStyle name="常规 4 12 2 2 3 3 2 4" xfId="7425"/>
    <cellStyle name="常规 4 12 2 2 3 3 3" xfId="7428"/>
    <cellStyle name="常规 4 12 2 2 3 3 3 2" xfId="1810"/>
    <cellStyle name="常规 4 12 2 2 3 3 4" xfId="2534"/>
    <cellStyle name="常规 4 12 2 2 3 3 5" xfId="1699"/>
    <cellStyle name="常规 4 12 2 2 3 4" xfId="7429"/>
    <cellStyle name="常规 4 12 2 2 3 4 2" xfId="7430"/>
    <cellStyle name="常规 4 12 2 2 3 4 2 2" xfId="3471"/>
    <cellStyle name="常规 4 12 2 2 3 4 3" xfId="7431"/>
    <cellStyle name="常规 4 12 2 2 3 4 4" xfId="7433"/>
    <cellStyle name="常规 4 12 2 2 3 5" xfId="6495"/>
    <cellStyle name="常规 4 12 2 2 3 5 2" xfId="5258"/>
    <cellStyle name="常规 4 12 2 2 3 6" xfId="6503"/>
    <cellStyle name="常规 4 12 2 2 3 7" xfId="6509"/>
    <cellStyle name="常规 4 12 2 2 4" xfId="4022"/>
    <cellStyle name="常规 4 12 2 2 4 2" xfId="7434"/>
    <cellStyle name="常规 4 12 2 2 4 2 2" xfId="7436"/>
    <cellStyle name="常规 4 12 2 2 4 2 2 2" xfId="7437"/>
    <cellStyle name="常规 4 12 2 2 4 2 2 2 2" xfId="7439"/>
    <cellStyle name="常规 4 12 2 2 4 2 2 3" xfId="7441"/>
    <cellStyle name="常规 4 12 2 2 4 2 2 4" xfId="117"/>
    <cellStyle name="常规 4 12 2 2 4 2 3" xfId="4032"/>
    <cellStyle name="常规 4 12 2 2 4 2 3 2" xfId="4085"/>
    <cellStyle name="常规 4 12 2 2 4 2 4" xfId="4092"/>
    <cellStyle name="常规 4 12 2 2 4 2 5" xfId="4098"/>
    <cellStyle name="常规 4 12 2 2 4 3" xfId="7443"/>
    <cellStyle name="常规 4 12 2 2 4 3 2" xfId="7444"/>
    <cellStyle name="常规 4 12 2 2 4 3 2 2" xfId="7445"/>
    <cellStyle name="常规 4 12 2 2 4 3 3" xfId="7446"/>
    <cellStyle name="常规 4 12 2 2 4 3 4" xfId="7447"/>
    <cellStyle name="常规 4 12 2 2 4 4" xfId="7448"/>
    <cellStyle name="常规 4 12 2 2 4 4 2" xfId="7450"/>
    <cellStyle name="常规 4 12 2 2 4 5" xfId="6517"/>
    <cellStyle name="常规 4 12 2 2 4 6" xfId="6519"/>
    <cellStyle name="常规 4 12 2 2 5" xfId="7452"/>
    <cellStyle name="常规 4 12 2 2 5 2" xfId="7453"/>
    <cellStyle name="常规 4 12 2 2 5 2 2" xfId="7454"/>
    <cellStyle name="常规 4 12 2 2 5 2 2 2" xfId="7456"/>
    <cellStyle name="常规 4 12 2 2 5 2 3" xfId="7457"/>
    <cellStyle name="常规 4 12 2 2 5 2 4" xfId="7458"/>
    <cellStyle name="常规 4 12 2 2 5 3" xfId="7463"/>
    <cellStyle name="常规 4 12 2 2 5 3 2" xfId="7465"/>
    <cellStyle name="常规 4 12 2 2 5 4" xfId="7467"/>
    <cellStyle name="常规 4 12 2 2 5 5" xfId="6526"/>
    <cellStyle name="常规 4 12 2 2 6" xfId="7469"/>
    <cellStyle name="常规 4 12 2 2 6 2" xfId="3132"/>
    <cellStyle name="常规 4 12 2 2 6 2 2" xfId="7470"/>
    <cellStyle name="常规 4 12 2 2 6 3" xfId="7472"/>
    <cellStyle name="常规 4 12 2 2 6 4" xfId="6122"/>
    <cellStyle name="常规 4 12 2 2 7" xfId="7473"/>
    <cellStyle name="常规 4 12 2 2 7 2" xfId="7474"/>
    <cellStyle name="常规 4 12 2 2 8" xfId="7476"/>
    <cellStyle name="常规 4 12 2 2 9" xfId="7479"/>
    <cellStyle name="常规 4 12 2 3" xfId="3882"/>
    <cellStyle name="常规 4 12 2 3 2" xfId="7481"/>
    <cellStyle name="常规 4 12 2 3 2 2" xfId="7482"/>
    <cellStyle name="常规 4 12 2 3 2 2 2" xfId="4399"/>
    <cellStyle name="常规 4 12 2 3 2 2 2 2" xfId="4406"/>
    <cellStyle name="常规 4 12 2 3 2 2 2 2 2" xfId="4414"/>
    <cellStyle name="常规 4 12 2 3 2 2 2 2 2 2" xfId="1904"/>
    <cellStyle name="常规 4 12 2 3 2 2 2 2 2 2 2" xfId="1910"/>
    <cellStyle name="常规 4 12 2 3 2 2 2 2 2 3" xfId="1925"/>
    <cellStyle name="常规 4 12 2 3 2 2 2 2 2 4" xfId="1946"/>
    <cellStyle name="常规 4 12 2 3 2 2 2 2 3" xfId="4422"/>
    <cellStyle name="常规 4 12 2 3 2 2 2 2 3 2" xfId="7484"/>
    <cellStyle name="常规 4 12 2 3 2 2 2 2 4" xfId="4428"/>
    <cellStyle name="常规 4 12 2 3 2 2 2 2 5" xfId="7485"/>
    <cellStyle name="常规 4 12 2 3 2 2 2 3" xfId="4433"/>
    <cellStyle name="常规 4 12 2 3 2 2 2 3 2" xfId="2605"/>
    <cellStyle name="常规 4 12 2 3 2 2 2 3 2 2" xfId="7487"/>
    <cellStyle name="常规 4 12 2 3 2 2 2 3 3" xfId="7489"/>
    <cellStyle name="常规 4 12 2 3 2 2 2 3 4" xfId="7491"/>
    <cellStyle name="常规 4 12 2 3 2 2 2 4" xfId="429"/>
    <cellStyle name="常规 4 12 2 3 2 2 2 4 2" xfId="7493"/>
    <cellStyle name="常规 4 12 2 3 2 2 2 5" xfId="4442"/>
    <cellStyle name="常规 4 12 2 3 2 2 2 6" xfId="7498"/>
    <cellStyle name="常规 4 12 2 3 2 2 3" xfId="4448"/>
    <cellStyle name="常规 4 12 2 3 2 2 3 2" xfId="1180"/>
    <cellStyle name="常规 4 12 2 3 2 2 3 2 2" xfId="4451"/>
    <cellStyle name="常规 4 12 2 3 2 2 3 2 2 2" xfId="7499"/>
    <cellStyle name="常规 4 12 2 3 2 2 3 2 3" xfId="1735"/>
    <cellStyle name="常规 4 12 2 3 2 2 3 2 4" xfId="7500"/>
    <cellStyle name="常规 4 12 2 3 2 2 3 3" xfId="1188"/>
    <cellStyle name="常规 4 12 2 3 2 2 3 3 2" xfId="6542"/>
    <cellStyle name="常规 4 12 2 3 2 2 3 4" xfId="4456"/>
    <cellStyle name="常规 4 12 2 3 2 2 3 5" xfId="792"/>
    <cellStyle name="常规 4 12 2 3 2 2 4" xfId="4407"/>
    <cellStyle name="常规 4 12 2 3 2 2 4 2" xfId="4415"/>
    <cellStyle name="常规 4 12 2 3 2 2 4 2 2" xfId="1905"/>
    <cellStyle name="常规 4 12 2 3 2 2 4 3" xfId="4423"/>
    <cellStyle name="常规 4 12 2 3 2 2 4 4" xfId="4429"/>
    <cellStyle name="常规 4 12 2 3 2 2 5" xfId="4434"/>
    <cellStyle name="常规 4 12 2 3 2 2 5 2" xfId="2606"/>
    <cellStyle name="常规 4 12 2 3 2 2 6" xfId="431"/>
    <cellStyle name="常规 4 12 2 3 2 2 7" xfId="4443"/>
    <cellStyle name="常规 4 12 2 3 2 3" xfId="668"/>
    <cellStyle name="常规 4 12 2 3 2 3 2" xfId="121"/>
    <cellStyle name="常规 4 12 2 3 2 3 2 2" xfId="144"/>
    <cellStyle name="常规 4 12 2 3 2 3 2 2 2" xfId="364"/>
    <cellStyle name="常规 4 12 2 3 2 3 2 2 2 2" xfId="181"/>
    <cellStyle name="常规 4 12 2 3 2 3 2 2 3" xfId="374"/>
    <cellStyle name="常规 4 12 2 3 2 3 2 2 4" xfId="388"/>
    <cellStyle name="常规 4 12 2 3 2 3 2 3" xfId="162"/>
    <cellStyle name="常规 4 12 2 3 2 3 2 3 2" xfId="2005"/>
    <cellStyle name="常规 4 12 2 3 2 3 2 4" xfId="106"/>
    <cellStyle name="常规 4 12 2 3 2 3 2 5" xfId="7503"/>
    <cellStyle name="常规 4 12 2 3 2 3 3" xfId="1173"/>
    <cellStyle name="常规 4 12 2 3 2 3 3 2" xfId="1228"/>
    <cellStyle name="常规 4 12 2 3 2 3 3 2 2" xfId="2426"/>
    <cellStyle name="常规 4 12 2 3 2 3 3 3" xfId="1242"/>
    <cellStyle name="常规 4 12 2 3 2 3 3 4" xfId="2479"/>
    <cellStyle name="常规 4 12 2 3 2 3 4" xfId="1181"/>
    <cellStyle name="常规 4 12 2 3 2 3 4 2" xfId="4452"/>
    <cellStyle name="常规 4 12 2 3 2 3 5" xfId="1189"/>
    <cellStyle name="常规 4 12 2 3 2 3 6" xfId="4457"/>
    <cellStyle name="常规 4 12 2 3 2 4" xfId="91"/>
    <cellStyle name="常规 4 12 2 3 2 4 2" xfId="2791"/>
    <cellStyle name="常规 4 12 2 3 2 4 2 2" xfId="4554"/>
    <cellStyle name="常规 4 12 2 3 2 4 2 2 2" xfId="805"/>
    <cellStyle name="常规 4 12 2 3 2 4 2 3" xfId="4985"/>
    <cellStyle name="常规 4 12 2 3 2 4 2 4" xfId="7505"/>
    <cellStyle name="常规 4 12 2 3 2 4 3" xfId="4561"/>
    <cellStyle name="常规 4 12 2 3 2 4 3 2" xfId="1280"/>
    <cellStyle name="常规 4 12 2 3 2 4 4" xfId="4416"/>
    <cellStyle name="常规 4 12 2 3 2 4 5" xfId="4424"/>
    <cellStyle name="常规 4 12 2 3 2 5" xfId="488"/>
    <cellStyle name="常规 4 12 2 3 2 5 2" xfId="2826"/>
    <cellStyle name="常规 4 12 2 3 2 5 2 2" xfId="5075"/>
    <cellStyle name="常规 4 12 2 3 2 5 3" xfId="3421"/>
    <cellStyle name="常规 4 12 2 3 2 5 4" xfId="2607"/>
    <cellStyle name="常规 4 12 2 3 2 6" xfId="3430"/>
    <cellStyle name="常规 4 12 2 3 2 6 2" xfId="2862"/>
    <cellStyle name="常规 4 12 2 3 2 7" xfId="3446"/>
    <cellStyle name="常规 4 12 2 3 2 8" xfId="3450"/>
    <cellStyle name="常规 4 12 2 3 3" xfId="7507"/>
    <cellStyle name="常规 4 12 2 3 3 2" xfId="7508"/>
    <cellStyle name="常规 4 12 2 3 3 2 2" xfId="4757"/>
    <cellStyle name="常规 4 12 2 3 3 2 2 2" xfId="4761"/>
    <cellStyle name="常规 4 12 2 3 3 2 2 2 2" xfId="4768"/>
    <cellStyle name="常规 4 12 2 3 3 2 2 2 2 2" xfId="4358"/>
    <cellStyle name="常规 4 12 2 3 3 2 2 2 3" xfId="4772"/>
    <cellStyle name="常规 4 12 2 3 3 2 2 2 4" xfId="4774"/>
    <cellStyle name="常规 4 12 2 3 3 2 2 3" xfId="4777"/>
    <cellStyle name="常规 4 12 2 3 3 2 2 3 2" xfId="4783"/>
    <cellStyle name="常规 4 12 2 3 3 2 2 4" xfId="4788"/>
    <cellStyle name="常规 4 12 2 3 3 2 2 5" xfId="4795"/>
    <cellStyle name="常规 4 12 2 3 3 2 3" xfId="4803"/>
    <cellStyle name="常规 4 12 2 3 3 2 3 2" xfId="4806"/>
    <cellStyle name="常规 4 12 2 3 3 2 3 2 2" xfId="4813"/>
    <cellStyle name="常规 4 12 2 3 3 2 3 3" xfId="4815"/>
    <cellStyle name="常规 4 12 2 3 3 2 3 4" xfId="4819"/>
    <cellStyle name="常规 4 12 2 3 3 2 4" xfId="145"/>
    <cellStyle name="常规 4 12 2 3 3 2 4 2" xfId="365"/>
    <cellStyle name="常规 4 12 2 3 3 2 5" xfId="163"/>
    <cellStyle name="常规 4 12 2 3 3 2 6" xfId="107"/>
    <cellStyle name="常规 4 12 2 3 3 3" xfId="709"/>
    <cellStyle name="常规 4 12 2 3 3 3 2" xfId="1198"/>
    <cellStyle name="常规 4 12 2 3 3 3 2 2" xfId="504"/>
    <cellStyle name="常规 4 12 2 3 3 3 2 2 2" xfId="2385"/>
    <cellStyle name="常规 4 12 2 3 3 3 2 3" xfId="523"/>
    <cellStyle name="常规 4 12 2 3 3 3 2 4" xfId="1205"/>
    <cellStyle name="常规 4 12 2 3 3 3 3" xfId="1219"/>
    <cellStyle name="常规 4 12 2 3 3 3 3 2" xfId="1938"/>
    <cellStyle name="常规 4 12 2 3 3 3 4" xfId="1229"/>
    <cellStyle name="常规 4 12 2 3 3 3 5" xfId="1243"/>
    <cellStyle name="常规 4 12 2 3 3 4" xfId="1247"/>
    <cellStyle name="常规 4 12 2 3 3 4 2" xfId="3061"/>
    <cellStyle name="常规 4 12 2 3 3 4 2 2" xfId="4872"/>
    <cellStyle name="常规 4 12 2 3 3 4 3" xfId="4076"/>
    <cellStyle name="常规 4 12 2 3 3 4 4" xfId="4453"/>
    <cellStyle name="常规 4 12 2 3 3 5" xfId="1249"/>
    <cellStyle name="常规 4 12 2 3 3 5 2" xfId="3094"/>
    <cellStyle name="常规 4 12 2 3 3 6" xfId="3395"/>
    <cellStyle name="常规 4 12 2 3 3 7" xfId="3480"/>
    <cellStyle name="常规 4 12 2 3 4" xfId="7510"/>
    <cellStyle name="常规 4 12 2 3 4 2" xfId="7512"/>
    <cellStyle name="常规 4 12 2 3 4 2 2" xfId="1069"/>
    <cellStyle name="常规 4 12 2 3 4 2 2 2" xfId="4949"/>
    <cellStyle name="常规 4 12 2 3 4 2 2 2 2" xfId="4957"/>
    <cellStyle name="常规 4 12 2 3 4 2 2 3" xfId="4961"/>
    <cellStyle name="常规 4 12 2 3 4 2 2 4" xfId="4969"/>
    <cellStyle name="常规 4 12 2 3 4 2 3" xfId="4976"/>
    <cellStyle name="常规 4 12 2 3 4 2 3 2" xfId="4980"/>
    <cellStyle name="常规 4 12 2 3 4 2 4" xfId="4556"/>
    <cellStyle name="常规 4 12 2 3 4 2 5" xfId="4987"/>
    <cellStyle name="常规 4 12 2 3 4 3" xfId="774"/>
    <cellStyle name="常规 4 12 2 3 4 3 2" xfId="1123"/>
    <cellStyle name="常规 4 12 2 3 4 3 2 2" xfId="77"/>
    <cellStyle name="常规 4 12 2 3 4 3 3" xfId="227"/>
    <cellStyle name="常规 4 12 2 3 4 3 4" xfId="1283"/>
    <cellStyle name="常规 4 12 2 3 4 4" xfId="988"/>
    <cellStyle name="常规 4 12 2 3 4 4 2" xfId="1862"/>
    <cellStyle name="常规 4 12 2 3 4 5" xfId="1000"/>
    <cellStyle name="常规 4 12 2 3 4 6" xfId="3504"/>
    <cellStyle name="常规 4 12 2 3 5" xfId="7514"/>
    <cellStyle name="常规 4 12 2 3 5 2" xfId="7516"/>
    <cellStyle name="常规 4 12 2 3 5 2 2" xfId="5056"/>
    <cellStyle name="常规 4 12 2 3 5 2 2 2" xfId="5062"/>
    <cellStyle name="常规 4 12 2 3 5 2 3" xfId="5068"/>
    <cellStyle name="常规 4 12 2 3 5 2 4" xfId="5073"/>
    <cellStyle name="常规 4 12 2 3 5 3" xfId="837"/>
    <cellStyle name="常规 4 12 2 3 5 3 2" xfId="1154"/>
    <cellStyle name="常规 4 12 2 3 5 4" xfId="1328"/>
    <cellStyle name="常规 4 12 2 3 5 5" xfId="1331"/>
    <cellStyle name="常规 4 12 2 3 6" xfId="7518"/>
    <cellStyle name="常规 4 12 2 3 6 2" xfId="7520"/>
    <cellStyle name="常规 4 12 2 3 6 2 2" xfId="5129"/>
    <cellStyle name="常规 4 12 2 3 6 3" xfId="852"/>
    <cellStyle name="常规 4 12 2 3 6 4" xfId="1369"/>
    <cellStyle name="常规 4 12 2 3 7" xfId="7522"/>
    <cellStyle name="常规 4 12 2 3 7 2" xfId="7523"/>
    <cellStyle name="常规 4 12 2 3 8" xfId="7528"/>
    <cellStyle name="常规 4 12 2 3 9" xfId="5385"/>
    <cellStyle name="常规 4 12 2 4" xfId="3887"/>
    <cellStyle name="常规 4 12 2 4 2" xfId="7529"/>
    <cellStyle name="常规 4 12 2 4 2 2" xfId="7531"/>
    <cellStyle name="常规 4 12 2 4 2 2 2" xfId="5307"/>
    <cellStyle name="常规 4 12 2 4 2 2 2 2" xfId="5310"/>
    <cellStyle name="常规 4 12 2 4 2 2 2 2 2" xfId="5317"/>
    <cellStyle name="常规 4 12 2 4 2 2 2 2 2 2" xfId="7532"/>
    <cellStyle name="常规 4 12 2 4 2 2 2 2 3" xfId="7534"/>
    <cellStyle name="常规 4 12 2 4 2 2 2 2 4" xfId="7535"/>
    <cellStyle name="常规 4 12 2 4 2 2 2 3" xfId="5322"/>
    <cellStyle name="常规 4 12 2 4 2 2 2 3 2" xfId="7536"/>
    <cellStyle name="常规 4 12 2 4 2 2 2 4" xfId="5330"/>
    <cellStyle name="常规 4 12 2 4 2 2 2 5" xfId="7538"/>
    <cellStyle name="常规 4 12 2 4 2 2 3" xfId="5334"/>
    <cellStyle name="常规 4 12 2 4 2 2 3 2" xfId="5337"/>
    <cellStyle name="常规 4 12 2 4 2 2 3 2 2" xfId="7539"/>
    <cellStyle name="常规 4 12 2 4 2 2 3 3" xfId="7540"/>
    <cellStyle name="常规 4 12 2 4 2 2 3 4" xfId="7541"/>
    <cellStyle name="常规 4 12 2 4 2 2 4" xfId="4762"/>
    <cellStyle name="常规 4 12 2 4 2 2 4 2" xfId="4769"/>
    <cellStyle name="常规 4 12 2 4 2 2 5" xfId="4778"/>
    <cellStyle name="常规 4 12 2 4 2 2 6" xfId="4789"/>
    <cellStyle name="常规 4 12 2 4 2 3" xfId="7542"/>
    <cellStyle name="常规 4 12 2 4 2 3 2" xfId="5366"/>
    <cellStyle name="常规 4 12 2 4 2 3 2 2" xfId="5370"/>
    <cellStyle name="常规 4 12 2 4 2 3 2 2 2" xfId="4427"/>
    <cellStyle name="常规 4 12 2 4 2 3 2 3" xfId="7544"/>
    <cellStyle name="常规 4 12 2 4 2 3 2 4" xfId="2393"/>
    <cellStyle name="常规 4 12 2 4 2 3 3" xfId="5378"/>
    <cellStyle name="常规 4 12 2 4 2 3 3 2" xfId="7545"/>
    <cellStyle name="常规 4 12 2 4 2 3 4" xfId="4807"/>
    <cellStyle name="常规 4 12 2 4 2 3 5" xfId="4816"/>
    <cellStyle name="常规 4 12 2 4 2 4" xfId="7264"/>
    <cellStyle name="常规 4 12 2 4 2 4 2" xfId="1893"/>
    <cellStyle name="常规 4 12 2 4 2 4 2 2" xfId="7269"/>
    <cellStyle name="常规 4 12 2 4 2 4 3" xfId="5400"/>
    <cellStyle name="常规 4 12 2 4 2 4 4" xfId="366"/>
    <cellStyle name="常规 4 12 2 4 2 5" xfId="1982"/>
    <cellStyle name="常规 4 12 2 4 2 5 2" xfId="1992"/>
    <cellStyle name="常规 4 12 2 4 2 6" xfId="2015"/>
    <cellStyle name="常规 4 12 2 4 2 7" xfId="277"/>
    <cellStyle name="常规 4 12 2 4 3" xfId="7547"/>
    <cellStyle name="常规 4 12 2 4 3 2" xfId="7548"/>
    <cellStyle name="常规 4 12 2 4 3 2 2" xfId="4906"/>
    <cellStyle name="常规 4 12 2 4 3 2 2 2" xfId="3163"/>
    <cellStyle name="常规 4 12 2 4 3 2 2 2 2" xfId="3175"/>
    <cellStyle name="常规 4 12 2 4 3 2 2 3" xfId="3185"/>
    <cellStyle name="常规 4 12 2 4 3 2 2 4" xfId="3193"/>
    <cellStyle name="常规 4 12 2 4 3 2 3" xfId="4912"/>
    <cellStyle name="常规 4 12 2 4 3 2 3 2" xfId="3205"/>
    <cellStyle name="常规 4 12 2 4 3 2 4" xfId="505"/>
    <cellStyle name="常规 4 12 2 4 3 2 5" xfId="524"/>
    <cellStyle name="常规 4 12 2 4 3 3" xfId="7549"/>
    <cellStyle name="常规 4 12 2 4 3 3 2" xfId="5023"/>
    <cellStyle name="常规 4 12 2 4 3 3 2 2" xfId="6513"/>
    <cellStyle name="常规 4 12 2 4 3 3 3" xfId="5029"/>
    <cellStyle name="常规 4 12 2 4 3 3 4" xfId="1939"/>
    <cellStyle name="常规 4 12 2 4 3 4" xfId="7287"/>
    <cellStyle name="常规 4 12 2 4 3 4 2" xfId="5117"/>
    <cellStyle name="常规 4 12 2 4 3 5" xfId="2059"/>
    <cellStyle name="常规 4 12 2 4 3 6" xfId="2089"/>
    <cellStyle name="常规 4 12 2 4 4" xfId="7551"/>
    <cellStyle name="常规 4 12 2 4 4 2" xfId="7553"/>
    <cellStyle name="常规 4 12 2 4 4 2 2" xfId="5432"/>
    <cellStyle name="常规 4 12 2 4 4 2 2 2" xfId="6484"/>
    <cellStyle name="常规 4 12 2 4 4 2 3" xfId="5449"/>
    <cellStyle name="常规 4 12 2 4 4 2 4" xfId="4874"/>
    <cellStyle name="常规 4 12 2 4 4 3" xfId="7555"/>
    <cellStyle name="常规 4 12 2 4 4 3 2" xfId="5472"/>
    <cellStyle name="常规 4 12 2 4 4 4" xfId="7304"/>
    <cellStyle name="常规 4 12 2 4 4 5" xfId="2116"/>
    <cellStyle name="常规 4 12 2 4 5" xfId="7557"/>
    <cellStyle name="常规 4 12 2 4 5 2" xfId="7559"/>
    <cellStyle name="常规 4 12 2 4 5 2 2" xfId="5494"/>
    <cellStyle name="常规 4 12 2 4 5 3" xfId="7561"/>
    <cellStyle name="常规 4 12 2 4 5 4" xfId="7209"/>
    <cellStyle name="常规 4 12 2 4 6" xfId="7563"/>
    <cellStyle name="常规 4 12 2 4 6 2" xfId="7565"/>
    <cellStyle name="常规 4 12 2 4 7" xfId="7567"/>
    <cellStyle name="常规 4 12 2 4 8" xfId="7569"/>
    <cellStyle name="常规 4 12 2 5" xfId="7570"/>
    <cellStyle name="常规 4 12 2 5 2" xfId="2735"/>
    <cellStyle name="常规 4 12 2 5 2 2" xfId="2738"/>
    <cellStyle name="常规 4 12 2 5 2 2 2" xfId="5570"/>
    <cellStyle name="常规 4 12 2 5 2 2 2 2" xfId="5578"/>
    <cellStyle name="常规 4 12 2 5 2 2 2 2 2" xfId="3759"/>
    <cellStyle name="常规 4 12 2 5 2 2 2 3" xfId="5587"/>
    <cellStyle name="常规 4 12 2 5 2 2 2 4" xfId="5592"/>
    <cellStyle name="常规 4 12 2 5 2 2 3" xfId="5596"/>
    <cellStyle name="常规 4 12 2 5 2 2 3 2" xfId="5602"/>
    <cellStyle name="常规 4 12 2 5 2 2 4" xfId="4950"/>
    <cellStyle name="常规 4 12 2 5 2 2 5" xfId="4962"/>
    <cellStyle name="常规 4 12 2 5 2 3" xfId="2740"/>
    <cellStyle name="常规 4 12 2 5 2 3 2" xfId="5638"/>
    <cellStyle name="常规 4 12 2 5 2 3 2 2" xfId="5646"/>
    <cellStyle name="常规 4 12 2 5 2 3 3" xfId="5650"/>
    <cellStyle name="常规 4 12 2 5 2 3 4" xfId="4981"/>
    <cellStyle name="常规 4 12 2 5 2 4" xfId="7327"/>
    <cellStyle name="常规 4 12 2 5 2 4 2" xfId="5665"/>
    <cellStyle name="常规 4 12 2 5 2 5" xfId="2166"/>
    <cellStyle name="常规 4 12 2 5 2 6" xfId="7337"/>
    <cellStyle name="常规 4 12 2 5 3" xfId="2747"/>
    <cellStyle name="常规 4 12 2 5 3 2" xfId="2750"/>
    <cellStyle name="常规 4 12 2 5 3 2 2" xfId="5747"/>
    <cellStyle name="常规 4 12 2 5 3 2 2 2" xfId="5758"/>
    <cellStyle name="常规 4 12 2 5 3 2 3" xfId="5762"/>
    <cellStyle name="常规 4 12 2 5 3 2 4" xfId="78"/>
    <cellStyle name="常规 4 12 2 5 3 3" xfId="2752"/>
    <cellStyle name="常规 4 12 2 5 3 3 2" xfId="5782"/>
    <cellStyle name="常规 4 12 2 5 3 4" xfId="7350"/>
    <cellStyle name="常规 4 12 2 5 3 5" xfId="6557"/>
    <cellStyle name="常规 4 12 2 5 4" xfId="2757"/>
    <cellStyle name="常规 4 12 2 5 4 2" xfId="1663"/>
    <cellStyle name="常规 4 12 2 5 4 2 2" xfId="5819"/>
    <cellStyle name="常规 4 12 2 5 4 3" xfId="1669"/>
    <cellStyle name="常规 4 12 2 5 4 4" xfId="7363"/>
    <cellStyle name="常规 4 12 2 5 5" xfId="2761"/>
    <cellStyle name="常规 4 12 2 5 5 2" xfId="4661"/>
    <cellStyle name="常规 4 12 2 5 6" xfId="2767"/>
    <cellStyle name="常规 4 12 2 5 7" xfId="6352"/>
    <cellStyle name="常规 4 12 2 6" xfId="7571"/>
    <cellStyle name="常规 4 12 2 6 2" xfId="3054"/>
    <cellStyle name="常规 4 12 2 6 2 2" xfId="7572"/>
    <cellStyle name="常规 4 12 2 6 2 2 2" xfId="5884"/>
    <cellStyle name="常规 4 12 2 6 2 2 2 2" xfId="5891"/>
    <cellStyle name="常规 4 12 2 6 2 2 3" xfId="5899"/>
    <cellStyle name="常规 4 12 2 6 2 2 4" xfId="5063"/>
    <cellStyle name="常规 4 12 2 6 2 3" xfId="7573"/>
    <cellStyle name="常规 4 12 2 6 2 3 2" xfId="5910"/>
    <cellStyle name="常规 4 12 2 6 2 4" xfId="7369"/>
    <cellStyle name="常规 4 12 2 6 2 5" xfId="7373"/>
    <cellStyle name="常规 4 12 2 6 3" xfId="7574"/>
    <cellStyle name="常规 4 12 2 6 3 2" xfId="2215"/>
    <cellStyle name="常规 4 12 2 6 3 2 2" xfId="5932"/>
    <cellStyle name="常规 4 12 2 6 3 3" xfId="7575"/>
    <cellStyle name="常规 4 12 2 6 3 4" xfId="7381"/>
    <cellStyle name="常规 4 12 2 6 4" xfId="7579"/>
    <cellStyle name="常规 4 12 2 6 4 2" xfId="7582"/>
    <cellStyle name="常规 4 12 2 6 5" xfId="6366"/>
    <cellStyle name="常规 4 12 2 6 6" xfId="6373"/>
    <cellStyle name="常规 4 12 2 7" xfId="7586"/>
    <cellStyle name="常规 4 12 2 7 2" xfId="7587"/>
    <cellStyle name="常规 4 12 2 7 2 2" xfId="7588"/>
    <cellStyle name="常规 4 12 2 7 2 2 2" xfId="5996"/>
    <cellStyle name="常规 4 12 2 7 2 3" xfId="5857"/>
    <cellStyle name="常规 4 12 2 7 2 4" xfId="5866"/>
    <cellStyle name="常规 4 12 2 7 3" xfId="2355"/>
    <cellStyle name="常规 4 12 2 7 3 2" xfId="7589"/>
    <cellStyle name="常规 4 12 2 7 4" xfId="7593"/>
    <cellStyle name="常规 4 12 2 7 5" xfId="6385"/>
    <cellStyle name="常规 4 12 2 8" xfId="7594"/>
    <cellStyle name="常规 4 12 2 8 2" xfId="7595"/>
    <cellStyle name="常规 4 12 2 8 2 2" xfId="7596"/>
    <cellStyle name="常规 4 12 2 8 3" xfId="7597"/>
    <cellStyle name="常规 4 12 2 8 4" xfId="6759"/>
    <cellStyle name="常规 4 12 2 9" xfId="3987"/>
    <cellStyle name="常规 4 12 2 9 2" xfId="7599"/>
    <cellStyle name="常规 4 12 3" xfId="2450"/>
    <cellStyle name="常规 4 12 3 2" xfId="2808"/>
    <cellStyle name="常规 4 12 3 2 2" xfId="7602"/>
    <cellStyle name="常规 4 12 3 2 2 2" xfId="3235"/>
    <cellStyle name="常规 4 12 3 2 2 2 2" xfId="7603"/>
    <cellStyle name="常规 4 12 3 2 2 2 2 2" xfId="7607"/>
    <cellStyle name="常规 4 12 3 2 2 2 2 2 2" xfId="7611"/>
    <cellStyle name="常规 4 12 3 2 2 2 2 2 2 2" xfId="7615"/>
    <cellStyle name="常规 4 12 3 2 2 2 2 2 3" xfId="7616"/>
    <cellStyle name="常规 4 12 3 2 2 2 2 2 4" xfId="330"/>
    <cellStyle name="常规 4 12 3 2 2 2 2 3" xfId="650"/>
    <cellStyle name="常规 4 12 3 2 2 2 2 3 2" xfId="7617"/>
    <cellStyle name="常规 4 12 3 2 2 2 2 4" xfId="915"/>
    <cellStyle name="常规 4 12 3 2 2 2 2 5" xfId="7619"/>
    <cellStyle name="常规 4 12 3 2 2 2 3" xfId="7620"/>
    <cellStyle name="常规 4 12 3 2 2 2 3 2" xfId="6396"/>
    <cellStyle name="常规 4 12 3 2 2 2 3 2 2" xfId="4938"/>
    <cellStyle name="常规 4 12 3 2 2 2 3 3" xfId="926"/>
    <cellStyle name="常规 4 12 3 2 2 2 3 4" xfId="6077"/>
    <cellStyle name="常规 4 12 3 2 2 2 4" xfId="7621"/>
    <cellStyle name="常规 4 12 3 2 2 2 4 2" xfId="3705"/>
    <cellStyle name="常规 4 12 3 2 2 2 5" xfId="2797"/>
    <cellStyle name="常规 4 12 3 2 2 2 6" xfId="6446"/>
    <cellStyle name="常规 4 12 3 2 2 3" xfId="7622"/>
    <cellStyle name="常规 4 12 3 2 2 3 2" xfId="7623"/>
    <cellStyle name="常规 4 12 3 2 2 3 2 2" xfId="302"/>
    <cellStyle name="常规 4 12 3 2 2 3 2 2 2" xfId="248"/>
    <cellStyle name="常规 4 12 3 2 2 3 2 3" xfId="42"/>
    <cellStyle name="常规 4 12 3 2 2 3 2 4" xfId="322"/>
    <cellStyle name="常规 4 12 3 2 2 3 3" xfId="7625"/>
    <cellStyle name="常规 4 12 3 2 2 3 3 2" xfId="7628"/>
    <cellStyle name="常规 4 12 3 2 2 3 4" xfId="7631"/>
    <cellStyle name="常规 4 12 3 2 2 3 5" xfId="7031"/>
    <cellStyle name="常规 4 12 3 2 2 4" xfId="7632"/>
    <cellStyle name="常规 4 12 3 2 2 4 2" xfId="7633"/>
    <cellStyle name="常规 4 12 3 2 2 4 2 2" xfId="7635"/>
    <cellStyle name="常规 4 12 3 2 2 4 3" xfId="7638"/>
    <cellStyle name="常规 4 12 3 2 2 4 4" xfId="7640"/>
    <cellStyle name="常规 4 12 3 2 2 5" xfId="7641"/>
    <cellStyle name="常规 4 12 3 2 2 5 2" xfId="6020"/>
    <cellStyle name="常规 4 12 3 2 2 6" xfId="5511"/>
    <cellStyle name="常规 4 12 3 2 2 7" xfId="1625"/>
    <cellStyle name="常规 4 12 3 2 3" xfId="7643"/>
    <cellStyle name="常规 4 12 3 2 3 2" xfId="7645"/>
    <cellStyle name="常规 4 12 3 2 3 2 2" xfId="7647"/>
    <cellStyle name="常规 4 12 3 2 3 2 2 2" xfId="2013"/>
    <cellStyle name="常规 4 12 3 2 3 2 2 2 2" xfId="2024"/>
    <cellStyle name="常规 4 12 3 2 3 2 2 3" xfId="275"/>
    <cellStyle name="常规 4 12 3 2 3 2 2 4" xfId="214"/>
    <cellStyle name="常规 4 12 3 2 3 2 3" xfId="7648"/>
    <cellStyle name="常规 4 12 3 2 3 2 3 2" xfId="2087"/>
    <cellStyle name="常规 4 12 3 2 3 2 4" xfId="7649"/>
    <cellStyle name="常规 4 12 3 2 3 2 5" xfId="7650"/>
    <cellStyle name="常规 4 12 3 2 3 3" xfId="7652"/>
    <cellStyle name="常规 4 12 3 2 3 3 2" xfId="7653"/>
    <cellStyle name="常规 4 12 3 2 3 3 2 2" xfId="7335"/>
    <cellStyle name="常规 4 12 3 2 3 3 3" xfId="7655"/>
    <cellStyle name="常规 4 12 3 2 3 3 4" xfId="7656"/>
    <cellStyle name="常规 4 12 3 2 3 4" xfId="7658"/>
    <cellStyle name="常规 4 12 3 2 3 4 2" xfId="7659"/>
    <cellStyle name="常规 4 12 3 2 3 5" xfId="6614"/>
    <cellStyle name="常规 4 12 3 2 3 6" xfId="6616"/>
    <cellStyle name="常规 4 12 3 2 4" xfId="7660"/>
    <cellStyle name="常规 4 12 3 2 4 2" xfId="7662"/>
    <cellStyle name="常规 4 12 3 2 4 2 2" xfId="5966"/>
    <cellStyle name="常规 4 12 3 2 4 2 2 2" xfId="3015"/>
    <cellStyle name="常规 4 12 3 2 4 2 3" xfId="5970"/>
    <cellStyle name="常规 4 12 3 2 4 2 4" xfId="7665"/>
    <cellStyle name="常规 4 12 3 2 4 3" xfId="7667"/>
    <cellStyle name="常规 4 12 3 2 4 3 2" xfId="6064"/>
    <cellStyle name="常规 4 12 3 2 4 4" xfId="7668"/>
    <cellStyle name="常规 4 12 3 2 4 5" xfId="6626"/>
    <cellStyle name="常规 4 12 3 2 5" xfId="7670"/>
    <cellStyle name="常规 4 12 3 2 5 2" xfId="860"/>
    <cellStyle name="常规 4 12 3 2 5 2 2" xfId="863"/>
    <cellStyle name="常规 4 12 3 2 5 3" xfId="874"/>
    <cellStyle name="常规 4 12 3 2 5 4" xfId="880"/>
    <cellStyle name="常规 4 12 3 2 6" xfId="7671"/>
    <cellStyle name="常规 4 12 3 2 6 2" xfId="7672"/>
    <cellStyle name="常规 4 12 3 2 7" xfId="7673"/>
    <cellStyle name="常规 4 12 3 2 8" xfId="7674"/>
    <cellStyle name="常规 4 12 3 3" xfId="3906"/>
    <cellStyle name="常规 4 12 3 3 2" xfId="6683"/>
    <cellStyle name="常规 4 12 3 3 2 2" xfId="7676"/>
    <cellStyle name="常规 4 12 3 3 2 2 2" xfId="6187"/>
    <cellStyle name="常规 4 12 3 3 2 2 2 2" xfId="6195"/>
    <cellStyle name="常规 4 12 3 3 2 2 2 2 2" xfId="6202"/>
    <cellStyle name="常规 4 12 3 3 2 2 2 3" xfId="234"/>
    <cellStyle name="常规 4 12 3 3 2 2 2 4" xfId="6206"/>
    <cellStyle name="常规 4 12 3 3 2 2 3" xfId="6213"/>
    <cellStyle name="常规 4 12 3 3 2 2 3 2" xfId="6217"/>
    <cellStyle name="常规 4 12 3 3 2 2 4" xfId="5311"/>
    <cellStyle name="常规 4 12 3 3 2 2 5" xfId="5323"/>
    <cellStyle name="常规 4 12 3 3 2 3" xfId="7677"/>
    <cellStyle name="常规 4 12 3 3 2 3 2" xfId="6262"/>
    <cellStyle name="常规 4 12 3 3 2 3 2 2" xfId="1158"/>
    <cellStyle name="常规 4 12 3 3 2 3 3" xfId="6269"/>
    <cellStyle name="常规 4 12 3 3 2 3 4" xfId="5338"/>
    <cellStyle name="常规 4 12 3 3 2 4" xfId="7678"/>
    <cellStyle name="常规 4 12 3 3 2 4 2" xfId="6285"/>
    <cellStyle name="常规 4 12 3 3 2 5" xfId="7679"/>
    <cellStyle name="常规 4 12 3 3 2 6" xfId="5842"/>
    <cellStyle name="常规 4 12 3 3 3" xfId="7681"/>
    <cellStyle name="常规 4 12 3 3 3 2" xfId="7684"/>
    <cellStyle name="常规 4 12 3 3 3 2 2" xfId="6323"/>
    <cellStyle name="常规 4 12 3 3 3 2 2 2" xfId="426"/>
    <cellStyle name="常规 4 12 3 3 3 2 3" xfId="6327"/>
    <cellStyle name="常规 4 12 3 3 3 2 4" xfId="5371"/>
    <cellStyle name="常规 4 12 3 3 3 3" xfId="7686"/>
    <cellStyle name="常规 4 12 3 3 3 3 2" xfId="6334"/>
    <cellStyle name="常规 4 12 3 3 3 4" xfId="3245"/>
    <cellStyle name="常规 4 12 3 3 3 5" xfId="6633"/>
    <cellStyle name="常规 4 12 3 3 4" xfId="7689"/>
    <cellStyle name="常规 4 12 3 3 4 2" xfId="7692"/>
    <cellStyle name="常规 4 12 3 3 4 2 2" xfId="6350"/>
    <cellStyle name="常规 4 12 3 3 4 3" xfId="7694"/>
    <cellStyle name="常规 4 12 3 3 4 4" xfId="7697"/>
    <cellStyle name="常规 4 12 3 3 5" xfId="7700"/>
    <cellStyle name="常规 4 12 3 3 5 2" xfId="890"/>
    <cellStyle name="常规 4 12 3 3 6" xfId="3336"/>
    <cellStyle name="常规 4 12 3 3 7" xfId="896"/>
    <cellStyle name="常规 4 12 3 4" xfId="6782"/>
    <cellStyle name="常规 4 12 3 4 2" xfId="7703"/>
    <cellStyle name="常规 4 12 3 4 2 2" xfId="7705"/>
    <cellStyle name="常规 4 12 3 4 2 2 2" xfId="6437"/>
    <cellStyle name="常规 4 12 3 4 2 2 2 2" xfId="6443"/>
    <cellStyle name="常规 4 12 3 4 2 2 3" xfId="3152"/>
    <cellStyle name="常规 4 12 3 4 2 2 4" xfId="3164"/>
    <cellStyle name="常规 4 12 3 4 2 3" xfId="7707"/>
    <cellStyle name="常规 4 12 3 4 2 3 2" xfId="6461"/>
    <cellStyle name="常规 4 12 3 4 2 4" xfId="7402"/>
    <cellStyle name="常规 4 12 3 4 2 5" xfId="2689"/>
    <cellStyle name="常规 4 12 3 4 3" xfId="7708"/>
    <cellStyle name="常规 4 12 3 4 3 2" xfId="7710"/>
    <cellStyle name="常规 4 12 3 4 3 2 2" xfId="6507"/>
    <cellStyle name="常规 4 12 3 4 3 3" xfId="7711"/>
    <cellStyle name="常规 4 12 3 4 3 4" xfId="7412"/>
    <cellStyle name="常规 4 12 3 4 4" xfId="7713"/>
    <cellStyle name="常规 4 12 3 4 4 2" xfId="1740"/>
    <cellStyle name="常规 4 12 3 4 5" xfId="7715"/>
    <cellStyle name="常规 4 12 3 4 6" xfId="7605"/>
    <cellStyle name="常规 4 12 3 5" xfId="6787"/>
    <cellStyle name="常规 4 12 3 5 2" xfId="7716"/>
    <cellStyle name="常规 4 12 3 5 2 2" xfId="7717"/>
    <cellStyle name="常规 4 12 3 5 2 2 2" xfId="5184"/>
    <cellStyle name="常规 4 12 3 5 2 3" xfId="7718"/>
    <cellStyle name="常规 4 12 3 5 2 4" xfId="1462"/>
    <cellStyle name="常规 4 12 3 5 3" xfId="7719"/>
    <cellStyle name="常规 4 12 3 5 3 2" xfId="7720"/>
    <cellStyle name="常规 4 12 3 5 4" xfId="7722"/>
    <cellStyle name="常规 4 12 3 5 5" xfId="6392"/>
    <cellStyle name="常规 4 12 3 6" xfId="7724"/>
    <cellStyle name="常规 4 12 3 6 2" xfId="7725"/>
    <cellStyle name="常规 4 12 3 6 2 2" xfId="7726"/>
    <cellStyle name="常规 4 12 3 6 3" xfId="7727"/>
    <cellStyle name="常规 4 12 3 6 4" xfId="7731"/>
    <cellStyle name="常规 4 12 3 7" xfId="7732"/>
    <cellStyle name="常规 4 12 3 7 2" xfId="4018"/>
    <cellStyle name="常规 4 12 3 8" xfId="7733"/>
    <cellStyle name="常规 4 12 3 9" xfId="7735"/>
    <cellStyle name="常规 4 12 4" xfId="2452"/>
    <cellStyle name="常规 4 12 4 2" xfId="1616"/>
    <cellStyle name="常规 4 12 4 2 2" xfId="7737"/>
    <cellStyle name="常规 4 12 4 2 2 2" xfId="7739"/>
    <cellStyle name="常规 4 12 4 2 2 2 2" xfId="2314"/>
    <cellStyle name="常规 4 12 4 2 2 2 2 2" xfId="856"/>
    <cellStyle name="常规 4 12 4 2 2 2 2 2 2" xfId="7741"/>
    <cellStyle name="常规 4 12 4 2 2 2 2 2 2 2" xfId="7743"/>
    <cellStyle name="常规 4 12 4 2 2 2 2 2 3" xfId="7745"/>
    <cellStyle name="常规 4 12 4 2 2 2 2 2 4" xfId="719"/>
    <cellStyle name="常规 4 12 4 2 2 2 2 3" xfId="7748"/>
    <cellStyle name="常规 4 12 4 2 2 2 2 3 2" xfId="7753"/>
    <cellStyle name="常规 4 12 4 2 2 2 2 4" xfId="7755"/>
    <cellStyle name="常规 4 12 4 2 2 2 2 5" xfId="7758"/>
    <cellStyle name="常规 4 12 4 2 2 2 3" xfId="7762"/>
    <cellStyle name="常规 4 12 4 2 2 2 3 2" xfId="7766"/>
    <cellStyle name="常规 4 12 4 2 2 2 3 2 2" xfId="7769"/>
    <cellStyle name="常规 4 12 4 2 2 2 3 3" xfId="7771"/>
    <cellStyle name="常规 4 12 4 2 2 2 3 4" xfId="7773"/>
    <cellStyle name="常规 4 12 4 2 2 2 4" xfId="7780"/>
    <cellStyle name="常规 4 12 4 2 2 2 4 2" xfId="1272"/>
    <cellStyle name="常规 4 12 4 2 2 2 5" xfId="2970"/>
    <cellStyle name="常规 4 12 4 2 2 2 6" xfId="6590"/>
    <cellStyle name="常规 4 12 4 2 2 3" xfId="7782"/>
    <cellStyle name="常规 4 12 4 2 2 3 2" xfId="7783"/>
    <cellStyle name="常规 4 12 4 2 2 3 2 2" xfId="7785"/>
    <cellStyle name="常规 4 12 4 2 2 3 2 2 2" xfId="7787"/>
    <cellStyle name="常规 4 12 4 2 2 3 2 3" xfId="7788"/>
    <cellStyle name="常规 4 12 4 2 2 3 2 4" xfId="7790"/>
    <cellStyle name="常规 4 12 4 2 2 3 3" xfId="7793"/>
    <cellStyle name="常规 4 12 4 2 2 3 3 2" xfId="7794"/>
    <cellStyle name="常规 4 12 4 2 2 3 4" xfId="7798"/>
    <cellStyle name="常规 4 12 4 2 2 3 5" xfId="3355"/>
    <cellStyle name="常规 4 12 4 2 2 4" xfId="7799"/>
    <cellStyle name="常规 4 12 4 2 2 4 2" xfId="7800"/>
    <cellStyle name="常规 4 12 4 2 2 4 2 2" xfId="1385"/>
    <cellStyle name="常规 4 12 4 2 2 4 3" xfId="7801"/>
    <cellStyle name="常规 4 12 4 2 2 4 4" xfId="7802"/>
    <cellStyle name="常规 4 12 4 2 2 5" xfId="2206"/>
    <cellStyle name="常规 4 12 4 2 2 5 2" xfId="7372"/>
    <cellStyle name="常规 4 12 4 2 2 6" xfId="2208"/>
    <cellStyle name="常规 4 12 4 2 2 7" xfId="7805"/>
    <cellStyle name="常规 4 12 4 2 3" xfId="7806"/>
    <cellStyle name="常规 4 12 4 2 3 2" xfId="7808"/>
    <cellStyle name="常规 4 12 4 2 3 2 2" xfId="7809"/>
    <cellStyle name="常规 4 12 4 2 3 2 2 2" xfId="913"/>
    <cellStyle name="常规 4 12 4 2 3 2 2 2 2" xfId="7811"/>
    <cellStyle name="常规 4 12 4 2 3 2 2 3" xfId="7618"/>
    <cellStyle name="常规 4 12 4 2 3 2 2 4" xfId="7813"/>
    <cellStyle name="常规 4 12 4 2 3 2 3" xfId="6073"/>
    <cellStyle name="常规 4 12 4 2 3 2 3 2" xfId="6075"/>
    <cellStyle name="常规 4 12 4 2 3 2 4" xfId="6081"/>
    <cellStyle name="常规 4 12 4 2 3 2 5" xfId="6085"/>
    <cellStyle name="常规 4 12 4 2 3 3" xfId="7814"/>
    <cellStyle name="常规 4 12 4 2 3 3 2" xfId="7815"/>
    <cellStyle name="常规 4 12 4 2 3 3 2 2" xfId="319"/>
    <cellStyle name="常规 4 12 4 2 3 3 3" xfId="5529"/>
    <cellStyle name="常规 4 12 4 2 3 3 4" xfId="4169"/>
    <cellStyle name="常规 4 12 4 2 3 4" xfId="3920"/>
    <cellStyle name="常规 4 12 4 2 3 4 2" xfId="7816"/>
    <cellStyle name="常规 4 12 4 2 3 5" xfId="4048"/>
    <cellStyle name="常规 4 12 4 2 3 6" xfId="6701"/>
    <cellStyle name="常规 4 12 4 2 4" xfId="7817"/>
    <cellStyle name="常规 4 12 4 2 4 2" xfId="7818"/>
    <cellStyle name="常规 4 12 4 2 4 2 2" xfId="3302"/>
    <cellStyle name="常规 4 12 4 2 4 2 2 2" xfId="205"/>
    <cellStyle name="常规 4 12 4 2 4 2 3" xfId="3307"/>
    <cellStyle name="常规 4 12 4 2 4 2 4" xfId="7822"/>
    <cellStyle name="常规 4 12 4 2 4 3" xfId="7823"/>
    <cellStyle name="常规 4 12 4 2 4 3 2" xfId="3339"/>
    <cellStyle name="常规 4 12 4 2 4 4" xfId="4053"/>
    <cellStyle name="常规 4 12 4 2 4 5" xfId="3829"/>
    <cellStyle name="常规 4 12 4 2 5" xfId="7824"/>
    <cellStyle name="常规 4 12 4 2 5 2" xfId="7151"/>
    <cellStyle name="常规 4 12 4 2 5 2 2" xfId="3708"/>
    <cellStyle name="常规 4 12 4 2 5 3" xfId="7178"/>
    <cellStyle name="常规 4 12 4 2 5 4" xfId="3296"/>
    <cellStyle name="常规 4 12 4 2 6" xfId="7825"/>
    <cellStyle name="常规 4 12 4 2 6 2" xfId="7826"/>
    <cellStyle name="常规 4 12 4 2 7" xfId="1951"/>
    <cellStyle name="常规 4 12 4 2 8" xfId="1956"/>
    <cellStyle name="常规 4 12 4 3" xfId="52"/>
    <cellStyle name="常规 4 12 4 3 2" xfId="7828"/>
    <cellStyle name="常规 4 12 4 3 2 2" xfId="7829"/>
    <cellStyle name="常规 4 12 4 3 2 2 2" xfId="6771"/>
    <cellStyle name="常规 4 12 4 3 2 2 2 2" xfId="3675"/>
    <cellStyle name="常规 4 12 4 3 2 2 2 2 2" xfId="7044"/>
    <cellStyle name="常规 4 12 4 3 2 2 2 3" xfId="7087"/>
    <cellStyle name="常规 4 12 4 3 2 2 2 4" xfId="7130"/>
    <cellStyle name="常规 4 12 4 3 2 2 3" xfId="6093"/>
    <cellStyle name="常规 4 12 4 3 2 2 3 2" xfId="3720"/>
    <cellStyle name="常规 4 12 4 3 2 2 4" xfId="5579"/>
    <cellStyle name="常规 4 12 4 3 2 2 5" xfId="5588"/>
    <cellStyle name="常规 4 12 4 3 2 3" xfId="7830"/>
    <cellStyle name="常规 4 12 4 3 2 3 2" xfId="6796"/>
    <cellStyle name="常规 4 12 4 3 2 3 2 2" xfId="200"/>
    <cellStyle name="常规 4 12 4 3 2 3 3" xfId="6801"/>
    <cellStyle name="常规 4 12 4 3 2 3 4" xfId="5603"/>
    <cellStyle name="常规 4 12 4 3 2 4" xfId="7831"/>
    <cellStyle name="常规 4 12 4 3 2 4 2" xfId="6812"/>
    <cellStyle name="常规 4 12 4 3 2 5" xfId="4119"/>
    <cellStyle name="常规 4 12 4 3 2 6" xfId="35"/>
    <cellStyle name="常规 4 12 4 3 3" xfId="7832"/>
    <cellStyle name="常规 4 12 4 3 3 2" xfId="7833"/>
    <cellStyle name="常规 4 12 4 3 3 2 2" xfId="7836"/>
    <cellStyle name="常规 4 12 4 3 3 2 2 2" xfId="6211"/>
    <cellStyle name="常规 4 12 4 3 3 2 3" xfId="7839"/>
    <cellStyle name="常规 4 12 4 3 3 2 4" xfId="5645"/>
    <cellStyle name="常规 4 12 4 3 3 3" xfId="7840"/>
    <cellStyle name="常规 4 12 4 3 3 3 2" xfId="7843"/>
    <cellStyle name="常规 4 12 4 3 3 4" xfId="7844"/>
    <cellStyle name="常规 4 12 4 3 3 5" xfId="7845"/>
    <cellStyle name="常规 4 12 4 3 4" xfId="7847"/>
    <cellStyle name="常规 4 12 4 3 4 2" xfId="7849"/>
    <cellStyle name="常规 4 12 4 3 4 2 2" xfId="7854"/>
    <cellStyle name="常规 4 12 4 3 4 3" xfId="7856"/>
    <cellStyle name="常规 4 12 4 3 4 4" xfId="7860"/>
    <cellStyle name="常规 4 12 4 3 5" xfId="7862"/>
    <cellStyle name="常规 4 12 4 3 5 2" xfId="7864"/>
    <cellStyle name="常规 4 12 4 3 6" xfId="7866"/>
    <cellStyle name="常规 4 12 4 3 7" xfId="7868"/>
    <cellStyle name="常规 4 12 4 4" xfId="7870"/>
    <cellStyle name="常规 4 12 4 4 2" xfId="7871"/>
    <cellStyle name="常规 4 12 4 4 2 2" xfId="7872"/>
    <cellStyle name="常规 4 12 4 4 2 2 2" xfId="7876"/>
    <cellStyle name="常规 4 12 4 4 2 2 2 2" xfId="7883"/>
    <cellStyle name="常规 4 12 4 4 2 2 3" xfId="7887"/>
    <cellStyle name="常规 4 12 4 4 2 2 4" xfId="5757"/>
    <cellStyle name="常规 4 12 4 4 2 3" xfId="7888"/>
    <cellStyle name="常规 4 12 4 4 2 3 2" xfId="7892"/>
    <cellStyle name="常规 4 12 4 4 2 4" xfId="7893"/>
    <cellStyle name="常规 4 12 4 4 2 5" xfId="7895"/>
    <cellStyle name="常规 4 12 4 4 3" xfId="7896"/>
    <cellStyle name="常规 4 12 4 4 3 2" xfId="7897"/>
    <cellStyle name="常规 4 12 4 4 3 2 2" xfId="7901"/>
    <cellStyle name="常规 4 12 4 4 3 3" xfId="7902"/>
    <cellStyle name="常规 4 12 4 4 3 4" xfId="7903"/>
    <cellStyle name="常规 4 12 4 4 4" xfId="7905"/>
    <cellStyle name="常规 4 12 4 4 4 2" xfId="7907"/>
    <cellStyle name="常规 4 12 4 4 5" xfId="7909"/>
    <cellStyle name="常规 4 12 4 4 6" xfId="7911"/>
    <cellStyle name="常规 4 12 4 5" xfId="7913"/>
    <cellStyle name="常规 4 12 4 5 2" xfId="7914"/>
    <cellStyle name="常规 4 12 4 5 2 2" xfId="7915"/>
    <cellStyle name="常规 4 12 4 5 2 2 2" xfId="7919"/>
    <cellStyle name="常规 4 12 4 5 2 3" xfId="7921"/>
    <cellStyle name="常规 4 12 4 5 2 4" xfId="7923"/>
    <cellStyle name="常规 4 12 4 5 3" xfId="7924"/>
    <cellStyle name="常规 4 12 4 5 3 2" xfId="7925"/>
    <cellStyle name="常规 4 12 4 5 4" xfId="7928"/>
    <cellStyle name="常规 4 12 4 5 5" xfId="7931"/>
    <cellStyle name="常规 4 12 4 6" xfId="7932"/>
    <cellStyle name="常规 4 12 4 6 2" xfId="7933"/>
    <cellStyle name="常规 4 12 4 6 2 2" xfId="7934"/>
    <cellStyle name="常规 4 12 4 6 3" xfId="7935"/>
    <cellStyle name="常规 4 12 4 6 4" xfId="4043"/>
    <cellStyle name="常规 4 12 4 7" xfId="7936"/>
    <cellStyle name="常规 4 12 4 7 2" xfId="7937"/>
    <cellStyle name="常规 4 12 4 8" xfId="7938"/>
    <cellStyle name="常规 4 12 4 9" xfId="7940"/>
    <cellStyle name="常规 4 12 5" xfId="7941"/>
    <cellStyle name="常规 4 12 5 2" xfId="7943"/>
    <cellStyle name="常规 4 12 5 2 2" xfId="7945"/>
    <cellStyle name="常规 4 12 5 2 2 2" xfId="7946"/>
    <cellStyle name="常规 4 12 5 2 2 2 2" xfId="7947"/>
    <cellStyle name="常规 4 12 5 2 2 2 2 2" xfId="7951"/>
    <cellStyle name="常规 4 12 5 2 2 2 2 2 2" xfId="7952"/>
    <cellStyle name="常规 4 12 5 2 2 2 2 3" xfId="7953"/>
    <cellStyle name="常规 4 12 5 2 2 2 2 4" xfId="7954"/>
    <cellStyle name="常规 4 12 5 2 2 2 3" xfId="7955"/>
    <cellStyle name="常规 4 12 5 2 2 2 3 2" xfId="7956"/>
    <cellStyle name="常规 4 12 5 2 2 2 4" xfId="7960"/>
    <cellStyle name="常规 4 12 5 2 2 2 5" xfId="7963"/>
    <cellStyle name="常规 4 12 5 2 2 3" xfId="7964"/>
    <cellStyle name="常规 4 12 5 2 2 3 2" xfId="7965"/>
    <cellStyle name="常规 4 12 5 2 2 3 2 2" xfId="7966"/>
    <cellStyle name="常规 4 12 5 2 2 3 3" xfId="7967"/>
    <cellStyle name="常规 4 12 5 2 2 3 4" xfId="7971"/>
    <cellStyle name="常规 4 12 5 2 2 4" xfId="7972"/>
    <cellStyle name="常规 4 12 5 2 2 4 2" xfId="7973"/>
    <cellStyle name="常规 4 12 5 2 2 5" xfId="7974"/>
    <cellStyle name="常规 4 12 5 2 2 6" xfId="7975"/>
    <cellStyle name="常规 4 12 5 2 3" xfId="7976"/>
    <cellStyle name="常规 4 12 5 2 3 2" xfId="7978"/>
    <cellStyle name="常规 4 12 5 2 3 2 2" xfId="7979"/>
    <cellStyle name="常规 4 12 5 2 3 2 2 2" xfId="7980"/>
    <cellStyle name="常规 4 12 5 2 3 2 3" xfId="7981"/>
    <cellStyle name="常规 4 12 5 2 3 2 4" xfId="7984"/>
    <cellStyle name="常规 4 12 5 2 3 3" xfId="7985"/>
    <cellStyle name="常规 4 12 5 2 3 3 2" xfId="7986"/>
    <cellStyle name="常规 4 12 5 2 3 4" xfId="7987"/>
    <cellStyle name="常规 4 12 5 2 3 5" xfId="7988"/>
    <cellStyle name="常规 4 12 5 2 4" xfId="7989"/>
    <cellStyle name="常规 4 12 5 2 4 2" xfId="7990"/>
    <cellStyle name="常规 4 12 5 2 4 2 2" xfId="7992"/>
    <cellStyle name="常规 4 12 5 2 4 3" xfId="7993"/>
    <cellStyle name="常规 4 12 5 2 4 4" xfId="7994"/>
    <cellStyle name="常规 4 12 5 2 5" xfId="7995"/>
    <cellStyle name="常规 4 12 5 2 5 2" xfId="7996"/>
    <cellStyle name="常规 4 12 5 2 6" xfId="7997"/>
    <cellStyle name="常规 4 12 5 2 7" xfId="7998"/>
    <cellStyle name="常规 4 12 5 3" xfId="197"/>
    <cellStyle name="常规 4 12 5 3 2" xfId="8000"/>
    <cellStyle name="常规 4 12 5 3 2 2" xfId="8001"/>
    <cellStyle name="常规 4 12 5 3 2 2 2" xfId="8004"/>
    <cellStyle name="常规 4 12 5 3 2 2 2 2" xfId="8006"/>
    <cellStyle name="常规 4 12 5 3 2 2 3" xfId="8009"/>
    <cellStyle name="常规 4 12 5 3 2 2 4" xfId="5890"/>
    <cellStyle name="常规 4 12 5 3 2 3" xfId="8010"/>
    <cellStyle name="常规 4 12 5 3 2 3 2" xfId="8013"/>
    <cellStyle name="常规 4 12 5 3 2 4" xfId="8016"/>
    <cellStyle name="常规 4 12 5 3 2 5" xfId="8019"/>
    <cellStyle name="常规 4 12 5 3 3" xfId="8020"/>
    <cellStyle name="常规 4 12 5 3 3 2" xfId="8021"/>
    <cellStyle name="常规 4 12 5 3 3 2 2" xfId="8024"/>
    <cellStyle name="常规 4 12 5 3 3 3" xfId="8025"/>
    <cellStyle name="常规 4 12 5 3 3 4" xfId="8028"/>
    <cellStyle name="常规 4 12 5 3 4" xfId="8030"/>
    <cellStyle name="常规 4 12 5 3 4 2" xfId="8032"/>
    <cellStyle name="常规 4 12 5 3 5" xfId="8034"/>
    <cellStyle name="常规 4 12 5 3 6" xfId="8036"/>
    <cellStyle name="常规 4 12 5 4" xfId="8038"/>
    <cellStyle name="常规 4 12 5 4 2" xfId="8039"/>
    <cellStyle name="常规 4 12 5 4 2 2" xfId="8040"/>
    <cellStyle name="常规 4 12 5 4 2 2 2" xfId="8044"/>
    <cellStyle name="常规 4 12 5 4 2 3" xfId="8045"/>
    <cellStyle name="常规 4 12 5 4 2 4" xfId="8048"/>
    <cellStyle name="常规 4 12 5 4 3" xfId="8049"/>
    <cellStyle name="常规 4 12 5 4 3 2" xfId="8050"/>
    <cellStyle name="常规 4 12 5 4 4" xfId="8052"/>
    <cellStyle name="常规 4 12 5 4 5" xfId="8054"/>
    <cellStyle name="常规 4 12 5 5" xfId="8056"/>
    <cellStyle name="常规 4 12 5 5 2" xfId="8058"/>
    <cellStyle name="常规 4 12 5 5 2 2" xfId="8060"/>
    <cellStyle name="常规 4 12 5 5 3" xfId="8062"/>
    <cellStyle name="常规 4 12 5 5 4" xfId="8066"/>
    <cellStyle name="常规 4 12 5 6" xfId="8067"/>
    <cellStyle name="常规 4 12 5 6 2" xfId="8069"/>
    <cellStyle name="常规 4 12 5 7" xfId="8071"/>
    <cellStyle name="常规 4 12 5 8" xfId="8072"/>
    <cellStyle name="常规 4 12 6" xfId="8073"/>
    <cellStyle name="常规 4 12 6 2" xfId="8074"/>
    <cellStyle name="常规 4 12 6 2 2" xfId="1094"/>
    <cellStyle name="常规 4 12 6 2 2 2" xfId="8076"/>
    <cellStyle name="常规 4 12 6 2 2 2 2" xfId="8077"/>
    <cellStyle name="常规 4 12 6 2 2 2 2 2" xfId="8078"/>
    <cellStyle name="常规 4 12 6 2 2 2 3" xfId="8080"/>
    <cellStyle name="常规 4 12 6 2 2 2 4" xfId="8082"/>
    <cellStyle name="常规 4 12 6 2 2 3" xfId="8084"/>
    <cellStyle name="常规 4 12 6 2 2 3 2" xfId="8085"/>
    <cellStyle name="常规 4 12 6 2 2 4" xfId="8086"/>
    <cellStyle name="常规 4 12 6 2 2 5" xfId="8087"/>
    <cellStyle name="常规 4 12 6 2 3" xfId="8090"/>
    <cellStyle name="常规 4 12 6 2 3 2" xfId="8094"/>
    <cellStyle name="常规 4 12 6 2 3 2 2" xfId="8095"/>
    <cellStyle name="常规 4 12 6 2 3 3" xfId="8097"/>
    <cellStyle name="常规 4 12 6 2 3 4" xfId="8098"/>
    <cellStyle name="常规 4 12 6 2 4" xfId="8101"/>
    <cellStyle name="常规 4 12 6 2 4 2" xfId="8102"/>
    <cellStyle name="常规 4 12 6 2 5" xfId="8105"/>
    <cellStyle name="常规 4 12 6 2 6" xfId="8106"/>
    <cellStyle name="常规 4 12 6 3" xfId="8108"/>
    <cellStyle name="常规 4 12 6 3 2" xfId="8110"/>
    <cellStyle name="常规 4 12 6 3 2 2" xfId="8112"/>
    <cellStyle name="常规 4 12 6 3 2 2 2" xfId="8116"/>
    <cellStyle name="常规 4 12 6 3 2 3" xfId="8118"/>
    <cellStyle name="常规 4 12 6 3 2 4" xfId="8122"/>
    <cellStyle name="常规 4 12 6 3 3" xfId="8125"/>
    <cellStyle name="常规 4 12 6 3 3 2" xfId="8127"/>
    <cellStyle name="常规 4 12 6 3 4" xfId="8130"/>
    <cellStyle name="常规 4 12 6 3 5" xfId="8132"/>
    <cellStyle name="常规 4 12 6 4" xfId="8134"/>
    <cellStyle name="常规 4 12 6 4 2" xfId="8136"/>
    <cellStyle name="常规 4 12 6 4 2 2" xfId="8139"/>
    <cellStyle name="常规 4 12 6 4 3" xfId="8142"/>
    <cellStyle name="常规 4 12 6 4 4" xfId="8145"/>
    <cellStyle name="常规 4 12 6 5" xfId="8147"/>
    <cellStyle name="常规 4 12 6 5 2" xfId="8149"/>
    <cellStyle name="常规 4 12 6 6" xfId="8151"/>
    <cellStyle name="常规 4 12 6 7" xfId="8153"/>
    <cellStyle name="常规 4 12 7" xfId="8156"/>
    <cellStyle name="常规 4 12 7 2" xfId="8159"/>
    <cellStyle name="常规 4 12 7 2 2" xfId="8161"/>
    <cellStyle name="常规 4 12 7 2 2 2" xfId="8163"/>
    <cellStyle name="常规 4 12 7 2 2 2 2" xfId="8167"/>
    <cellStyle name="常规 4 12 7 2 2 3" xfId="8169"/>
    <cellStyle name="常规 4 12 7 2 2 4" xfId="8173"/>
    <cellStyle name="常规 4 12 7 2 3" xfId="8176"/>
    <cellStyle name="常规 4 12 7 2 3 2" xfId="8178"/>
    <cellStyle name="常规 4 12 7 2 4" xfId="8180"/>
    <cellStyle name="常规 4 12 7 2 5" xfId="8182"/>
    <cellStyle name="常规 4 12 7 3" xfId="8184"/>
    <cellStyle name="常规 4 12 7 3 2" xfId="8187"/>
    <cellStyle name="常规 4 12 7 3 2 2" xfId="8190"/>
    <cellStyle name="常规 4 12 7 3 3" xfId="8192"/>
    <cellStyle name="常规 4 12 7 3 4" xfId="8195"/>
    <cellStyle name="常规 4 12 7 4" xfId="8196"/>
    <cellStyle name="常规 4 12 7 4 2" xfId="8198"/>
    <cellStyle name="常规 4 12 7 5" xfId="8201"/>
    <cellStyle name="常规 4 12 7 6" xfId="678"/>
    <cellStyle name="常规 4 12 8" xfId="8203"/>
    <cellStyle name="常规 4 12 8 2" xfId="8205"/>
    <cellStyle name="常规 4 12 8 2 2" xfId="8206"/>
    <cellStyle name="常规 4 12 8 2 2 2" xfId="8208"/>
    <cellStyle name="常规 4 12 8 2 3" xfId="8209"/>
    <cellStyle name="常规 4 12 8 2 4" xfId="8210"/>
    <cellStyle name="常规 4 12 8 3" xfId="8211"/>
    <cellStyle name="常规 4 12 8 3 2" xfId="8212"/>
    <cellStyle name="常规 4 12 8 4" xfId="8213"/>
    <cellStyle name="常规 4 12 8 5" xfId="8215"/>
    <cellStyle name="常规 4 12 9" xfId="8217"/>
    <cellStyle name="常规 4 12 9 2" xfId="8218"/>
    <cellStyle name="常规 4 12 9 2 2" xfId="8219"/>
    <cellStyle name="常规 4 12 9 3" xfId="8220"/>
    <cellStyle name="常规 4 12 9 4" xfId="8221"/>
    <cellStyle name="常规 4 13" xfId="8223"/>
    <cellStyle name="常规 4 13 10" xfId="8225"/>
    <cellStyle name="常规 4 13 11" xfId="8227"/>
    <cellStyle name="常规 4 13 2" xfId="8228"/>
    <cellStyle name="常规 4 13 2 2" xfId="8230"/>
    <cellStyle name="常规 4 13 2 2 2" xfId="8232"/>
    <cellStyle name="常规 4 13 2 2 2 2" xfId="4235"/>
    <cellStyle name="常规 4 13 2 2 2 2 2" xfId="8233"/>
    <cellStyle name="常规 4 13 2 2 2 2 2 2" xfId="128"/>
    <cellStyle name="常规 4 13 2 2 2 2 2 2 2" xfId="2144"/>
    <cellStyle name="常规 4 13 2 2 2 2 2 2 2 2" xfId="8235"/>
    <cellStyle name="常规 4 13 2 2 2 2 2 2 3" xfId="8238"/>
    <cellStyle name="常规 4 13 2 2 2 2 2 2 4" xfId="8239"/>
    <cellStyle name="常规 4 13 2 2 2 2 2 3" xfId="132"/>
    <cellStyle name="常规 4 13 2 2 2 2 2 3 2" xfId="8242"/>
    <cellStyle name="常规 4 13 2 2 2 2 2 4" xfId="3118"/>
    <cellStyle name="常规 4 13 2 2 2 2 2 5" xfId="8243"/>
    <cellStyle name="常规 4 13 2 2 2 2 3" xfId="1421"/>
    <cellStyle name="常规 4 13 2 2 2 2 3 2" xfId="3642"/>
    <cellStyle name="常规 4 13 2 2 2 2 3 2 2" xfId="256"/>
    <cellStyle name="常规 4 13 2 2 2 2 3 3" xfId="3647"/>
    <cellStyle name="常规 4 13 2 2 2 2 3 4" xfId="7165"/>
    <cellStyle name="常规 4 13 2 2 2 2 4" xfId="1458"/>
    <cellStyle name="常规 4 13 2 2 2 2 4 2" xfId="3656"/>
    <cellStyle name="常规 4 13 2 2 2 2 5" xfId="3662"/>
    <cellStyle name="常规 4 13 2 2 2 2 6" xfId="3676"/>
    <cellStyle name="常规 4 13 2 2 2 3" xfId="8244"/>
    <cellStyle name="常规 4 13 2 2 2 3 2" xfId="8245"/>
    <cellStyle name="常规 4 13 2 2 2 3 2 2" xfId="1483"/>
    <cellStyle name="常规 4 13 2 2 2 3 2 2 2" xfId="8249"/>
    <cellStyle name="常规 4 13 2 2 2 3 2 3" xfId="1487"/>
    <cellStyle name="常规 4 13 2 2 2 3 2 4" xfId="8251"/>
    <cellStyle name="常规 4 13 2 2 2 3 3" xfId="1499"/>
    <cellStyle name="常规 4 13 2 2 2 3 3 2" xfId="3688"/>
    <cellStyle name="常规 4 13 2 2 2 3 4" xfId="947"/>
    <cellStyle name="常规 4 13 2 2 2 3 5" xfId="3709"/>
    <cellStyle name="常规 4 13 2 2 2 4" xfId="8252"/>
    <cellStyle name="常规 4 13 2 2 2 4 2" xfId="8253"/>
    <cellStyle name="常规 4 13 2 2 2 4 2 2" xfId="3404"/>
    <cellStyle name="常规 4 13 2 2 2 4 3" xfId="3730"/>
    <cellStyle name="常规 4 13 2 2 2 4 4" xfId="8255"/>
    <cellStyle name="常规 4 13 2 2 2 5" xfId="8256"/>
    <cellStyle name="常规 4 13 2 2 2 5 2" xfId="8257"/>
    <cellStyle name="常规 4 13 2 2 2 6" xfId="8259"/>
    <cellStyle name="常规 4 13 2 2 2 7" xfId="8262"/>
    <cellStyle name="常规 4 13 2 2 3" xfId="8263"/>
    <cellStyle name="常规 4 13 2 2 3 2" xfId="8266"/>
    <cellStyle name="常规 4 13 2 2 3 2 2" xfId="8268"/>
    <cellStyle name="常规 4 13 2 2 3 2 2 2" xfId="461"/>
    <cellStyle name="常规 4 13 2 2 3 2 2 2 2" xfId="8273"/>
    <cellStyle name="常规 4 13 2 2 3 2 2 3" xfId="515"/>
    <cellStyle name="常规 4 13 2 2 3 2 2 4" xfId="8278"/>
    <cellStyle name="常规 4 13 2 2 3 2 3" xfId="9"/>
    <cellStyle name="常规 4 13 2 2 3 2 3 2" xfId="531"/>
    <cellStyle name="常规 4 13 2 2 3 2 4" xfId="308"/>
    <cellStyle name="常规 4 13 2 2 3 2 5" xfId="267"/>
    <cellStyle name="常规 4 13 2 2 3 3" xfId="8281"/>
    <cellStyle name="常规 4 13 2 2 3 3 2" xfId="8283"/>
    <cellStyle name="常规 4 13 2 2 3 3 2 2" xfId="4135"/>
    <cellStyle name="常规 4 13 2 2 3 3 3" xfId="3928"/>
    <cellStyle name="常规 4 13 2 2 3 3 4" xfId="8286"/>
    <cellStyle name="常规 4 13 2 2 3 4" xfId="8288"/>
    <cellStyle name="常规 4 13 2 2 3 4 2" xfId="8290"/>
    <cellStyle name="常规 4 13 2 2 3 5" xfId="8293"/>
    <cellStyle name="常规 4 13 2 2 3 6" xfId="8295"/>
    <cellStyle name="常规 4 13 2 2 4" xfId="8296"/>
    <cellStyle name="常规 4 13 2 2 4 2" xfId="8298"/>
    <cellStyle name="常规 4 13 2 2 4 2 2" xfId="8300"/>
    <cellStyle name="常规 4 13 2 2 4 2 2 2" xfId="8303"/>
    <cellStyle name="常规 4 13 2 2 4 2 3" xfId="7172"/>
    <cellStyle name="常规 4 13 2 2 4 2 4" xfId="8305"/>
    <cellStyle name="常规 4 13 2 2 4 3" xfId="8307"/>
    <cellStyle name="常规 4 13 2 2 4 3 2" xfId="8309"/>
    <cellStyle name="常规 4 13 2 2 4 4" xfId="4115"/>
    <cellStyle name="常规 4 13 2 2 4 5" xfId="4225"/>
    <cellStyle name="常规 4 13 2 2 5" xfId="8311"/>
    <cellStyle name="常规 4 13 2 2 5 2" xfId="8314"/>
    <cellStyle name="常规 4 13 2 2 5 2 2" xfId="8317"/>
    <cellStyle name="常规 4 13 2 2 5 3" xfId="8321"/>
    <cellStyle name="常规 4 13 2 2 5 4" xfId="4263"/>
    <cellStyle name="常规 4 13 2 2 6" xfId="8324"/>
    <cellStyle name="常规 4 13 2 2 6 2" xfId="8328"/>
    <cellStyle name="常规 4 13 2 2 7" xfId="8331"/>
    <cellStyle name="常规 4 13 2 2 8" xfId="8334"/>
    <cellStyle name="常规 4 13 2 3" xfId="8336"/>
    <cellStyle name="常规 4 13 2 3 2" xfId="8337"/>
    <cellStyle name="常规 4 13 2 3 2 2" xfId="8338"/>
    <cellStyle name="常规 4 13 2 3 2 2 2" xfId="8341"/>
    <cellStyle name="常规 4 13 2 3 2 2 2 2" xfId="7303"/>
    <cellStyle name="常规 4 13 2 3 2 2 2 2 2" xfId="8345"/>
    <cellStyle name="常规 4 13 2 3 2 2 2 3" xfId="2115"/>
    <cellStyle name="常规 4 13 2 3 2 2 2 4" xfId="8348"/>
    <cellStyle name="常规 4 13 2 3 2 2 3" xfId="7204"/>
    <cellStyle name="常规 4 13 2 3 2 2 3 2" xfId="7207"/>
    <cellStyle name="常规 4 13 2 3 2 2 4" xfId="6193"/>
    <cellStyle name="常规 4 13 2 3 2 2 5" xfId="232"/>
    <cellStyle name="常规 4 13 2 3 2 3" xfId="8349"/>
    <cellStyle name="常规 4 13 2 3 2 3 2" xfId="8352"/>
    <cellStyle name="常规 4 13 2 3 2 3 2 2" xfId="7362"/>
    <cellStyle name="常规 4 13 2 3 2 3 3" xfId="6869"/>
    <cellStyle name="常规 4 13 2 3 2 3 4" xfId="6216"/>
    <cellStyle name="常规 4 13 2 3 2 4" xfId="8353"/>
    <cellStyle name="常规 4 13 2 3 2 4 2" xfId="8356"/>
    <cellStyle name="常规 4 13 2 3 2 5" xfId="7218"/>
    <cellStyle name="常规 4 13 2 3 2 6" xfId="7225"/>
    <cellStyle name="常规 4 13 2 3 3" xfId="8357"/>
    <cellStyle name="常规 4 13 2 3 3 2" xfId="8359"/>
    <cellStyle name="常规 4 13 2 3 3 2 2" xfId="8363"/>
    <cellStyle name="常规 4 13 2 3 3 2 2 2" xfId="8366"/>
    <cellStyle name="常规 4 13 2 3 3 2 3" xfId="1148"/>
    <cellStyle name="常规 4 13 2 3 3 2 4" xfId="1157"/>
    <cellStyle name="常规 4 13 2 3 3 3" xfId="8368"/>
    <cellStyle name="常规 4 13 2 3 3 3 2" xfId="8370"/>
    <cellStyle name="常规 4 13 2 3 3 4" xfId="8372"/>
    <cellStyle name="常规 4 13 2 3 3 5" xfId="628"/>
    <cellStyle name="常规 4 13 2 3 4" xfId="8374"/>
    <cellStyle name="常规 4 13 2 3 4 2" xfId="8377"/>
    <cellStyle name="常规 4 13 2 3 4 2 2" xfId="8380"/>
    <cellStyle name="常规 4 13 2 3 4 3" xfId="8383"/>
    <cellStyle name="常规 4 13 2 3 4 4" xfId="4350"/>
    <cellStyle name="常规 4 13 2 3 5" xfId="8386"/>
    <cellStyle name="常规 4 13 2 3 5 2" xfId="8390"/>
    <cellStyle name="常规 4 13 2 3 6" xfId="8394"/>
    <cellStyle name="常规 4 13 2 3 7" xfId="8399"/>
    <cellStyle name="常规 4 13 2 4" xfId="8400"/>
    <cellStyle name="常规 4 13 2 4 2" xfId="8401"/>
    <cellStyle name="常规 4 13 2 4 2 2" xfId="4400"/>
    <cellStyle name="常规 4 13 2 4 2 2 2" xfId="4409"/>
    <cellStyle name="常规 4 13 2 4 2 2 2 2" xfId="4419"/>
    <cellStyle name="常规 4 13 2 4 2 2 3" xfId="4436"/>
    <cellStyle name="常规 4 13 2 4 2 2 4" xfId="422"/>
    <cellStyle name="常规 4 13 2 4 2 3" xfId="4449"/>
    <cellStyle name="常规 4 13 2 4 2 3 2" xfId="1182"/>
    <cellStyle name="常规 4 13 2 4 2 4" xfId="4408"/>
    <cellStyle name="常规 4 13 2 4 2 5" xfId="4435"/>
    <cellStyle name="常规 4 13 2 4 3" xfId="8403"/>
    <cellStyle name="常规 4 13 2 4 3 2" xfId="124"/>
    <cellStyle name="常规 4 13 2 4 3 2 2" xfId="148"/>
    <cellStyle name="常规 4 13 2 4 3 3" xfId="1175"/>
    <cellStyle name="常规 4 13 2 4 3 4" xfId="1184"/>
    <cellStyle name="常规 4 13 2 4 4" xfId="8406"/>
    <cellStyle name="常规 4 13 2 4 4 2" xfId="2794"/>
    <cellStyle name="常规 4 13 2 4 5" xfId="8410"/>
    <cellStyle name="常规 4 13 2 4 6" xfId="8414"/>
    <cellStyle name="常规 4 13 2 5" xfId="8415"/>
    <cellStyle name="常规 4 13 2 5 2" xfId="8416"/>
    <cellStyle name="常规 4 13 2 5 2 2" xfId="4758"/>
    <cellStyle name="常规 4 13 2 5 2 2 2" xfId="4764"/>
    <cellStyle name="常规 4 13 2 5 2 3" xfId="4804"/>
    <cellStyle name="常规 4 13 2 5 2 4" xfId="147"/>
    <cellStyle name="常规 4 13 2 5 3" xfId="8418"/>
    <cellStyle name="常规 4 13 2 5 3 2" xfId="1200"/>
    <cellStyle name="常规 4 13 2 5 4" xfId="8420"/>
    <cellStyle name="常规 4 13 2 5 5" xfId="8423"/>
    <cellStyle name="常规 4 13 2 6" xfId="8424"/>
    <cellStyle name="常规 4 13 2 6 2" xfId="8425"/>
    <cellStyle name="常规 4 13 2 6 2 2" xfId="1070"/>
    <cellStyle name="常规 4 13 2 6 3" xfId="8426"/>
    <cellStyle name="常规 4 13 2 6 4" xfId="8430"/>
    <cellStyle name="常规 4 13 2 7" xfId="8431"/>
    <cellStyle name="常规 4 13 2 7 2" xfId="8433"/>
    <cellStyle name="常规 4 13 2 8" xfId="8434"/>
    <cellStyle name="常规 4 13 2 9" xfId="8436"/>
    <cellStyle name="常规 4 13 3" xfId="8437"/>
    <cellStyle name="常规 4 13 3 2" xfId="8440"/>
    <cellStyle name="常规 4 13 3 2 2" xfId="8441"/>
    <cellStyle name="常规 4 13 3 2 2 2" xfId="8442"/>
    <cellStyle name="常规 4 13 3 2 2 2 2" xfId="8443"/>
    <cellStyle name="常规 4 13 3 2 2 2 2 2" xfId="8445"/>
    <cellStyle name="常规 4 13 3 2 2 2 2 2 2" xfId="8448"/>
    <cellStyle name="常规 4 13 3 2 2 2 2 2 2 2" xfId="8449"/>
    <cellStyle name="常规 4 13 3 2 2 2 2 2 3" xfId="8450"/>
    <cellStyle name="常规 4 13 3 2 2 2 2 2 4" xfId="8451"/>
    <cellStyle name="常规 4 13 3 2 2 2 2 3" xfId="8453"/>
    <cellStyle name="常规 4 13 3 2 2 2 2 3 2" xfId="8456"/>
    <cellStyle name="常规 4 13 3 2 2 2 2 4" xfId="1314"/>
    <cellStyle name="常规 4 13 3 2 2 2 2 5" xfId="8458"/>
    <cellStyle name="常规 4 13 3 2 2 2 3" xfId="8111"/>
    <cellStyle name="常规 4 13 3 2 2 2 3 2" xfId="8114"/>
    <cellStyle name="常规 4 13 3 2 2 2 3 2 2" xfId="8460"/>
    <cellStyle name="常规 4 13 3 2 2 2 3 3" xfId="8461"/>
    <cellStyle name="常规 4 13 3 2 2 2 3 4" xfId="8463"/>
    <cellStyle name="常规 4 13 3 2 2 2 4" xfId="8117"/>
    <cellStyle name="常规 4 13 3 2 2 2 4 2" xfId="8464"/>
    <cellStyle name="常规 4 13 3 2 2 2 5" xfId="8121"/>
    <cellStyle name="常规 4 13 3 2 2 2 6" xfId="8465"/>
    <cellStyle name="常规 4 13 3 2 2 3" xfId="8466"/>
    <cellStyle name="常规 4 13 3 2 2 3 2" xfId="8467"/>
    <cellStyle name="常规 4 13 3 2 2 3 2 2" xfId="8469"/>
    <cellStyle name="常规 4 13 3 2 2 3 2 2 2" xfId="8471"/>
    <cellStyle name="常规 4 13 3 2 2 3 2 3" xfId="8472"/>
    <cellStyle name="常规 4 13 3 2 2 3 2 4" xfId="8475"/>
    <cellStyle name="常规 4 13 3 2 2 3 3" xfId="8126"/>
    <cellStyle name="常规 4 13 3 2 2 3 3 2" xfId="8476"/>
    <cellStyle name="常规 4 13 3 2 2 3 4" xfId="8477"/>
    <cellStyle name="常规 4 13 3 2 2 3 5" xfId="8478"/>
    <cellStyle name="常规 4 13 3 2 2 4" xfId="8479"/>
    <cellStyle name="常规 4 13 3 2 2 4 2" xfId="8480"/>
    <cellStyle name="常规 4 13 3 2 2 4 2 2" xfId="8481"/>
    <cellStyle name="常规 4 13 3 2 2 4 3" xfId="8483"/>
    <cellStyle name="常规 4 13 3 2 2 4 4" xfId="8484"/>
    <cellStyle name="常规 4 13 3 2 2 5" xfId="8485"/>
    <cellStyle name="常规 4 13 3 2 2 5 2" xfId="8486"/>
    <cellStyle name="常规 4 13 3 2 2 6" xfId="8487"/>
    <cellStyle name="常规 4 13 3 2 2 7" xfId="8491"/>
    <cellStyle name="常规 4 13 3 2 3" xfId="8492"/>
    <cellStyle name="常规 4 13 3 2 3 2" xfId="8495"/>
    <cellStyle name="常规 4 13 3 2 3 2 2" xfId="8497"/>
    <cellStyle name="常规 4 13 3 2 3 2 2 2" xfId="8501"/>
    <cellStyle name="常规 4 13 3 2 3 2 2 2 2" xfId="8504"/>
    <cellStyle name="常规 4 13 3 2 3 2 2 3" xfId="8510"/>
    <cellStyle name="常规 4 13 3 2 3 2 2 4" xfId="8516"/>
    <cellStyle name="常规 4 13 3 2 3 2 3" xfId="8138"/>
    <cellStyle name="常规 4 13 3 2 3 2 3 2" xfId="8518"/>
    <cellStyle name="常规 4 13 3 2 3 2 4" xfId="8522"/>
    <cellStyle name="常规 4 13 3 2 3 2 5" xfId="8524"/>
    <cellStyle name="常规 4 13 3 2 3 3" xfId="8526"/>
    <cellStyle name="常规 4 13 3 2 3 3 2" xfId="8528"/>
    <cellStyle name="常规 4 13 3 2 3 3 2 2" xfId="8530"/>
    <cellStyle name="常规 4 13 3 2 3 3 3" xfId="8534"/>
    <cellStyle name="常规 4 13 3 2 3 3 4" xfId="8536"/>
    <cellStyle name="常规 4 13 3 2 3 4" xfId="8538"/>
    <cellStyle name="常规 4 13 3 2 3 4 2" xfId="8540"/>
    <cellStyle name="常规 4 13 3 2 3 5" xfId="8542"/>
    <cellStyle name="常规 4 13 3 2 3 6" xfId="8544"/>
    <cellStyle name="常规 4 13 3 2 4" xfId="8546"/>
    <cellStyle name="常规 4 13 3 2 4 2" xfId="8548"/>
    <cellStyle name="常规 4 13 3 2 4 2 2" xfId="8551"/>
    <cellStyle name="常规 4 13 3 2 4 2 2 2" xfId="8553"/>
    <cellStyle name="常规 4 13 3 2 4 2 3" xfId="8563"/>
    <cellStyle name="常规 4 13 3 2 4 2 4" xfId="8566"/>
    <cellStyle name="常规 4 13 3 2 4 3" xfId="8568"/>
    <cellStyle name="常规 4 13 3 2 4 3 2" xfId="8571"/>
    <cellStyle name="常规 4 13 3 2 4 4" xfId="4463"/>
    <cellStyle name="常规 4 13 3 2 4 5" xfId="4471"/>
    <cellStyle name="常规 4 13 3 2 5" xfId="8573"/>
    <cellStyle name="常规 4 13 3 2 5 2" xfId="8576"/>
    <cellStyle name="常规 4 13 3 2 5 2 2" xfId="8580"/>
    <cellStyle name="常规 4 13 3 2 5 3" xfId="8583"/>
    <cellStyle name="常规 4 13 3 2 5 4" xfId="168"/>
    <cellStyle name="常规 4 13 3 2 6" xfId="8586"/>
    <cellStyle name="常规 4 13 3 2 6 2" xfId="8591"/>
    <cellStyle name="常规 4 13 3 2 7" xfId="8594"/>
    <cellStyle name="常规 4 13 3 2 8" xfId="8598"/>
    <cellStyle name="常规 4 13 3 3" xfId="8603"/>
    <cellStyle name="常规 4 13 3 3 2" xfId="8605"/>
    <cellStyle name="常规 4 13 3 3 2 2" xfId="8606"/>
    <cellStyle name="常规 4 13 3 3 2 2 2" xfId="8607"/>
    <cellStyle name="常规 4 13 3 3 2 2 2 2" xfId="8608"/>
    <cellStyle name="常规 4 13 3 3 2 2 2 2 2" xfId="8612"/>
    <cellStyle name="常规 4 13 3 3 2 2 2 3" xfId="8614"/>
    <cellStyle name="常规 4 13 3 3 2 2 2 4" xfId="8615"/>
    <cellStyle name="常规 4 13 3 3 2 2 3" xfId="8189"/>
    <cellStyle name="常规 4 13 3 3 2 2 3 2" xfId="8617"/>
    <cellStyle name="常规 4 13 3 3 2 2 4" xfId="6441"/>
    <cellStyle name="常规 4 13 3 3 2 2 5" xfId="8620"/>
    <cellStyle name="常规 4 13 3 3 2 3" xfId="8621"/>
    <cellStyle name="常规 4 13 3 3 2 3 2" xfId="8622"/>
    <cellStyle name="常规 4 13 3 3 2 3 2 2" xfId="8623"/>
    <cellStyle name="常规 4 13 3 3 2 3 3" xfId="8625"/>
    <cellStyle name="常规 4 13 3 3 2 3 4" xfId="8628"/>
    <cellStyle name="常规 4 13 3 3 2 4" xfId="8629"/>
    <cellStyle name="常规 4 13 3 3 2 4 2" xfId="8630"/>
    <cellStyle name="常规 4 13 3 3 2 5" xfId="7237"/>
    <cellStyle name="常规 4 13 3 3 2 6" xfId="8631"/>
    <cellStyle name="常规 4 13 3 3 3" xfId="8632"/>
    <cellStyle name="常规 4 13 3 3 3 2" xfId="8634"/>
    <cellStyle name="常规 4 13 3 3 3 2 2" xfId="8636"/>
    <cellStyle name="常规 4 13 3 3 3 2 2 2" xfId="7318"/>
    <cellStyle name="常规 4 13 3 3 3 2 3" xfId="8639"/>
    <cellStyle name="常规 4 13 3 3 3 2 4" xfId="8643"/>
    <cellStyle name="常规 4 13 3 3 3 3" xfId="8645"/>
    <cellStyle name="常规 4 13 3 3 3 3 2" xfId="8647"/>
    <cellStyle name="常规 4 13 3 3 3 4" xfId="8649"/>
    <cellStyle name="常规 4 13 3 3 3 5" xfId="8651"/>
    <cellStyle name="常规 4 13 3 3 4" xfId="2835"/>
    <cellStyle name="常规 4 13 3 3 4 2" xfId="8655"/>
    <cellStyle name="常规 4 13 3 3 4 2 2" xfId="8660"/>
    <cellStyle name="常规 4 13 3 3 4 3" xfId="8664"/>
    <cellStyle name="常规 4 13 3 3 4 4" xfId="4513"/>
    <cellStyle name="常规 4 13 3 3 5" xfId="8668"/>
    <cellStyle name="常规 4 13 3 3 5 2" xfId="8673"/>
    <cellStyle name="常规 4 13 3 3 6" xfId="8678"/>
    <cellStyle name="常规 4 13 3 3 7" xfId="8683"/>
    <cellStyle name="常规 4 13 3 4" xfId="8685"/>
    <cellStyle name="常规 4 13 3 4 2" xfId="8686"/>
    <cellStyle name="常规 4 13 3 4 2 2" xfId="5308"/>
    <cellStyle name="常规 4 13 3 4 2 2 2" xfId="5313"/>
    <cellStyle name="常规 4 13 3 4 2 2 2 2" xfId="5318"/>
    <cellStyle name="常规 4 13 3 4 2 2 3" xfId="5325"/>
    <cellStyle name="常规 4 13 3 4 2 2 4" xfId="5331"/>
    <cellStyle name="常规 4 13 3 4 2 3" xfId="5335"/>
    <cellStyle name="常规 4 13 3 4 2 3 2" xfId="5341"/>
    <cellStyle name="常规 4 13 3 4 2 4" xfId="4763"/>
    <cellStyle name="常规 4 13 3 4 2 5" xfId="4779"/>
    <cellStyle name="常规 4 13 3 4 3" xfId="8689"/>
    <cellStyle name="常规 4 13 3 4 3 2" xfId="5368"/>
    <cellStyle name="常规 4 13 3 4 3 2 2" xfId="5374"/>
    <cellStyle name="常规 4 13 3 4 3 3" xfId="5380"/>
    <cellStyle name="常规 4 13 3 4 3 4" xfId="4809"/>
    <cellStyle name="常规 4 13 3 4 4" xfId="7267"/>
    <cellStyle name="常规 4 13 3 4 4 2" xfId="1897"/>
    <cellStyle name="常规 4 13 3 4 5" xfId="1986"/>
    <cellStyle name="常规 4 13 3 4 6" xfId="2019"/>
    <cellStyle name="常规 4 13 3 5" xfId="8691"/>
    <cellStyle name="常规 4 13 3 5 2" xfId="8692"/>
    <cellStyle name="常规 4 13 3 5 2 2" xfId="4907"/>
    <cellStyle name="常规 4 13 3 5 2 2 2" xfId="3166"/>
    <cellStyle name="常规 4 13 3 5 2 3" xfId="4913"/>
    <cellStyle name="常规 4 13 3 5 2 4" xfId="506"/>
    <cellStyle name="常规 4 13 3 5 3" xfId="8693"/>
    <cellStyle name="常规 4 13 3 5 3 2" xfId="5025"/>
    <cellStyle name="常规 4 13 3 5 4" xfId="7290"/>
    <cellStyle name="常规 4 13 3 5 5" xfId="2061"/>
    <cellStyle name="常规 4 13 3 6" xfId="8694"/>
    <cellStyle name="常规 4 13 3 6 2" xfId="8695"/>
    <cellStyle name="常规 4 13 3 6 2 2" xfId="5433"/>
    <cellStyle name="常规 4 13 3 6 3" xfId="8696"/>
    <cellStyle name="常规 4 13 3 6 4" xfId="7309"/>
    <cellStyle name="常规 4 13 3 7" xfId="8699"/>
    <cellStyle name="常规 4 13 3 7 2" xfId="8701"/>
    <cellStyle name="常规 4 13 3 8" xfId="8702"/>
    <cellStyle name="常规 4 13 3 9" xfId="8704"/>
    <cellStyle name="常规 4 13 4" xfId="8705"/>
    <cellStyle name="常规 4 13 4 2" xfId="8707"/>
    <cellStyle name="常规 4 13 4 2 2" xfId="8708"/>
    <cellStyle name="常规 4 13 4 2 2 2" xfId="8709"/>
    <cellStyle name="常规 4 13 4 2 2 2 2" xfId="8711"/>
    <cellStyle name="常规 4 13 4 2 2 2 2 2" xfId="8713"/>
    <cellStyle name="常规 4 13 4 2 2 2 2 2 2" xfId="8717"/>
    <cellStyle name="常规 4 13 4 2 2 2 2 3" xfId="8719"/>
    <cellStyle name="常规 4 13 4 2 2 2 2 4" xfId="8721"/>
    <cellStyle name="常规 4 13 4 2 2 2 3" xfId="8725"/>
    <cellStyle name="常规 4 13 4 2 2 2 3 2" xfId="8728"/>
    <cellStyle name="常规 4 13 4 2 2 2 4" xfId="8733"/>
    <cellStyle name="常规 4 13 4 2 2 2 5" xfId="8738"/>
    <cellStyle name="常规 4 13 4 2 2 3" xfId="8741"/>
    <cellStyle name="常规 4 13 4 2 2 3 2" xfId="8745"/>
    <cellStyle name="常规 4 13 4 2 2 3 2 2" xfId="8747"/>
    <cellStyle name="常规 4 13 4 2 2 3 3" xfId="8750"/>
    <cellStyle name="常规 4 13 4 2 2 3 4" xfId="8754"/>
    <cellStyle name="常规 4 13 4 2 2 4" xfId="8757"/>
    <cellStyle name="常规 4 13 4 2 2 4 2" xfId="8759"/>
    <cellStyle name="常规 4 13 4 2 2 5" xfId="8762"/>
    <cellStyle name="常规 4 13 4 2 2 6" xfId="8763"/>
    <cellStyle name="常规 4 13 4 2 3" xfId="8764"/>
    <cellStyle name="常规 4 13 4 2 3 2" xfId="8766"/>
    <cellStyle name="常规 4 13 4 2 3 2 2" xfId="5993"/>
    <cellStyle name="常规 4 13 4 2 3 2 2 2" xfId="1308"/>
    <cellStyle name="常规 4 13 4 2 3 2 3" xfId="6001"/>
    <cellStyle name="常规 4 13 4 2 3 2 4" xfId="6007"/>
    <cellStyle name="常规 4 13 4 2 3 3" xfId="8770"/>
    <cellStyle name="常规 4 13 4 2 3 3 2" xfId="6015"/>
    <cellStyle name="常规 4 13 4 2 3 4" xfId="8772"/>
    <cellStyle name="常规 4 13 4 2 3 5" xfId="8775"/>
    <cellStyle name="常规 4 13 4 2 4" xfId="8777"/>
    <cellStyle name="常规 4 13 4 2 4 2" xfId="8779"/>
    <cellStyle name="常规 4 13 4 2 4 2 2" xfId="6036"/>
    <cellStyle name="常规 4 13 4 2 4 3" xfId="8781"/>
    <cellStyle name="常规 4 13 4 2 4 4" xfId="4534"/>
    <cellStyle name="常规 4 13 4 2 5" xfId="8783"/>
    <cellStyle name="常规 4 13 4 2 5 2" xfId="8786"/>
    <cellStyle name="常规 4 13 4 2 6" xfId="8789"/>
    <cellStyle name="常规 4 13 4 2 7" xfId="8791"/>
    <cellStyle name="常规 4 13 4 3" xfId="8793"/>
    <cellStyle name="常规 4 13 4 3 2" xfId="8794"/>
    <cellStyle name="常规 4 13 4 3 2 2" xfId="8795"/>
    <cellStyle name="常规 4 13 4 3 2 2 2" xfId="8796"/>
    <cellStyle name="常规 4 13 4 3 2 2 2 2" xfId="1273"/>
    <cellStyle name="常规 4 13 4 3 2 2 3" xfId="8797"/>
    <cellStyle name="常规 4 13 4 3 2 2 4" xfId="8800"/>
    <cellStyle name="常规 4 13 4 3 2 3" xfId="8803"/>
    <cellStyle name="常规 4 13 4 3 2 3 2" xfId="8804"/>
    <cellStyle name="常规 4 13 4 3 2 4" xfId="8805"/>
    <cellStyle name="常规 4 13 4 3 2 5" xfId="8806"/>
    <cellStyle name="常规 4 13 4 3 3" xfId="8807"/>
    <cellStyle name="常规 4 13 4 3 3 2" xfId="8809"/>
    <cellStyle name="常规 4 13 4 3 3 2 2" xfId="6083"/>
    <cellStyle name="常规 4 13 4 3 3 3" xfId="8811"/>
    <cellStyle name="常规 4 13 4 3 3 4" xfId="8813"/>
    <cellStyle name="常规 4 13 4 3 4" xfId="8816"/>
    <cellStyle name="常规 4 13 4 3 4 2" xfId="8820"/>
    <cellStyle name="常规 4 13 4 3 5" xfId="8824"/>
    <cellStyle name="常规 4 13 4 3 6" xfId="8828"/>
    <cellStyle name="常规 4 13 4 4" xfId="8829"/>
    <cellStyle name="常规 4 13 4 4 2" xfId="8830"/>
    <cellStyle name="常规 4 13 4 4 2 2" xfId="5571"/>
    <cellStyle name="常规 4 13 4 4 2 2 2" xfId="5580"/>
    <cellStyle name="常规 4 13 4 4 2 3" xfId="5597"/>
    <cellStyle name="常规 4 13 4 4 2 4" xfId="4951"/>
    <cellStyle name="常规 4 13 4 4 3" xfId="8831"/>
    <cellStyle name="常规 4 13 4 4 3 2" xfId="5640"/>
    <cellStyle name="常规 4 13 4 4 4" xfId="7330"/>
    <cellStyle name="常规 4 13 4 4 5" xfId="2168"/>
    <cellStyle name="常规 4 13 4 5" xfId="8832"/>
    <cellStyle name="常规 4 13 4 5 2" xfId="8833"/>
    <cellStyle name="常规 4 13 4 5 2 2" xfId="5751"/>
    <cellStyle name="常规 4 13 4 5 3" xfId="8834"/>
    <cellStyle name="常规 4 13 4 5 4" xfId="7352"/>
    <cellStyle name="常规 4 13 4 6" xfId="8835"/>
    <cellStyle name="常规 4 13 4 6 2" xfId="8836"/>
    <cellStyle name="常规 4 13 4 7" xfId="8837"/>
    <cellStyle name="常规 4 13 4 8" xfId="8838"/>
    <cellStyle name="常规 4 13 5" xfId="8839"/>
    <cellStyle name="常规 4 13 5 2" xfId="8840"/>
    <cellStyle name="常规 4 13 5 2 2" xfId="8841"/>
    <cellStyle name="常规 4 13 5 2 2 2" xfId="8842"/>
    <cellStyle name="常规 4 13 5 2 2 2 2" xfId="8843"/>
    <cellStyle name="常规 4 13 5 2 2 2 2 2" xfId="8846"/>
    <cellStyle name="常规 4 13 5 2 2 2 3" xfId="8849"/>
    <cellStyle name="常规 4 13 5 2 2 2 4" xfId="8850"/>
    <cellStyle name="常规 4 13 5 2 2 3" xfId="8852"/>
    <cellStyle name="常规 4 13 5 2 2 3 2" xfId="8854"/>
    <cellStyle name="常规 4 13 5 2 2 4" xfId="8856"/>
    <cellStyle name="常规 4 13 5 2 2 5" xfId="8858"/>
    <cellStyle name="常规 4 13 5 2 3" xfId="8859"/>
    <cellStyle name="常规 4 13 5 2 3 2" xfId="8861"/>
    <cellStyle name="常规 4 13 5 2 3 2 2" xfId="6722"/>
    <cellStyle name="常规 4 13 5 2 3 3" xfId="8864"/>
    <cellStyle name="常规 4 13 5 2 3 4" xfId="8868"/>
    <cellStyle name="常规 4 13 5 2 4" xfId="8869"/>
    <cellStyle name="常规 4 13 5 2 4 2" xfId="8871"/>
    <cellStyle name="常规 4 13 5 2 5" xfId="8873"/>
    <cellStyle name="常规 4 13 5 2 6" xfId="8875"/>
    <cellStyle name="常规 4 13 5 3" xfId="8877"/>
    <cellStyle name="常规 4 13 5 3 2" xfId="8878"/>
    <cellStyle name="常规 4 13 5 3 2 2" xfId="8879"/>
    <cellStyle name="常规 4 13 5 3 2 2 2" xfId="8880"/>
    <cellStyle name="常规 4 13 5 3 2 3" xfId="8882"/>
    <cellStyle name="常规 4 13 5 3 2 4" xfId="8886"/>
    <cellStyle name="常规 4 13 5 3 3" xfId="8887"/>
    <cellStyle name="常规 4 13 5 3 3 2" xfId="8889"/>
    <cellStyle name="常规 4 13 5 3 4" xfId="8892"/>
    <cellStyle name="常规 4 13 5 3 5" xfId="8894"/>
    <cellStyle name="常规 4 13 5 4" xfId="8895"/>
    <cellStyle name="常规 4 13 5 4 2" xfId="8896"/>
    <cellStyle name="常规 4 13 5 4 2 2" xfId="5885"/>
    <cellStyle name="常规 4 13 5 4 3" xfId="8897"/>
    <cellStyle name="常规 4 13 5 4 4" xfId="7370"/>
    <cellStyle name="常规 4 13 5 5" xfId="8898"/>
    <cellStyle name="常规 4 13 5 5 2" xfId="8899"/>
    <cellStyle name="常规 4 13 5 6" xfId="8900"/>
    <cellStyle name="常规 4 13 5 7" xfId="8901"/>
    <cellStyle name="常规 4 13 6" xfId="8902"/>
    <cellStyle name="常规 4 13 6 2" xfId="8903"/>
    <cellStyle name="常规 4 13 6 2 2" xfId="8904"/>
    <cellStyle name="常规 4 13 6 2 2 2" xfId="1934"/>
    <cellStyle name="常规 4 13 6 2 2 2 2" xfId="8907"/>
    <cellStyle name="常规 4 13 6 2 2 3" xfId="8911"/>
    <cellStyle name="常规 4 13 6 2 2 4" xfId="8915"/>
    <cellStyle name="常规 4 13 6 2 3" xfId="8917"/>
    <cellStyle name="常规 4 13 6 2 3 2" xfId="1960"/>
    <cellStyle name="常规 4 13 6 2 4" xfId="8918"/>
    <cellStyle name="常规 4 13 6 2 5" xfId="8920"/>
    <cellStyle name="常规 4 13 6 3" xfId="8921"/>
    <cellStyle name="常规 4 13 6 3 2" xfId="8922"/>
    <cellStyle name="常规 4 13 6 3 2 2" xfId="8724"/>
    <cellStyle name="常规 4 13 6 3 3" xfId="8923"/>
    <cellStyle name="常规 4 13 6 3 4" xfId="8924"/>
    <cellStyle name="常规 4 13 6 4" xfId="8925"/>
    <cellStyle name="常规 4 13 6 4 2" xfId="8926"/>
    <cellStyle name="常规 4 13 6 5" xfId="2357"/>
    <cellStyle name="常规 4 13 6 6" xfId="8928"/>
    <cellStyle name="常规 4 13 7" xfId="8930"/>
    <cellStyle name="常规 4 13 7 2" xfId="3408"/>
    <cellStyle name="常规 4 13 7 2 2" xfId="8931"/>
    <cellStyle name="常规 4 13 7 2 2 2" xfId="8932"/>
    <cellStyle name="常规 4 13 7 2 3" xfId="8933"/>
    <cellStyle name="常规 4 13 7 2 4" xfId="8934"/>
    <cellStyle name="常规 4 13 7 3" xfId="4723"/>
    <cellStyle name="常规 4 13 7 3 2" xfId="8935"/>
    <cellStyle name="常规 4 13 7 4" xfId="8936"/>
    <cellStyle name="常规 4 13 7 5" xfId="8938"/>
    <cellStyle name="常规 4 13 8" xfId="8939"/>
    <cellStyle name="常规 4 13 8 2" xfId="8940"/>
    <cellStyle name="常规 4 13 8 2 2" xfId="8941"/>
    <cellStyle name="常规 4 13 8 3" xfId="8942"/>
    <cellStyle name="常规 4 13 8 4" xfId="8943"/>
    <cellStyle name="常规 4 13 9" xfId="8944"/>
    <cellStyle name="常规 4 13 9 2" xfId="8945"/>
    <cellStyle name="常规 4 14" xfId="8946"/>
    <cellStyle name="常规 4 14 10" xfId="8948"/>
    <cellStyle name="常规 4 14 2" xfId="2493"/>
    <cellStyle name="常规 4 14 2 2" xfId="8951"/>
    <cellStyle name="常规 4 14 2 2 2" xfId="8956"/>
    <cellStyle name="常规 4 14 2 2 2 2" xfId="8957"/>
    <cellStyle name="常规 4 14 2 2 2 2 2" xfId="8960"/>
    <cellStyle name="常规 4 14 2 2 2 2 2 2" xfId="8964"/>
    <cellStyle name="常规 4 14 2 2 2 2 2 2 2" xfId="8966"/>
    <cellStyle name="常规 4 14 2 2 2 2 2 2 2 2" xfId="6971"/>
    <cellStyle name="常规 4 14 2 2 2 2 2 2 3" xfId="8968"/>
    <cellStyle name="常规 4 14 2 2 2 2 2 2 4" xfId="8969"/>
    <cellStyle name="常规 4 14 2 2 2 2 2 3" xfId="8970"/>
    <cellStyle name="常规 4 14 2 2 2 2 2 3 2" xfId="8972"/>
    <cellStyle name="常规 4 14 2 2 2 2 2 4" xfId="8973"/>
    <cellStyle name="常规 4 14 2 2 2 2 2 5" xfId="8974"/>
    <cellStyle name="常规 4 14 2 2 2 2 3" xfId="8977"/>
    <cellStyle name="常规 4 14 2 2 2 2 3 2" xfId="8978"/>
    <cellStyle name="常规 4 14 2 2 2 2 3 2 2" xfId="8979"/>
    <cellStyle name="常规 4 14 2 2 2 2 3 3" xfId="8980"/>
    <cellStyle name="常规 4 14 2 2 2 2 3 4" xfId="8981"/>
    <cellStyle name="常规 4 14 2 2 2 2 4" xfId="8986"/>
    <cellStyle name="常规 4 14 2 2 2 2 4 2" xfId="8989"/>
    <cellStyle name="常规 4 14 2 2 2 2 5" xfId="8992"/>
    <cellStyle name="常规 4 14 2 2 2 2 6" xfId="1509"/>
    <cellStyle name="常规 4 14 2 2 2 3" xfId="8993"/>
    <cellStyle name="常规 4 14 2 2 2 3 2" xfId="8996"/>
    <cellStyle name="常规 4 14 2 2 2 3 2 2" xfId="8997"/>
    <cellStyle name="常规 4 14 2 2 2 3 2 2 2" xfId="9000"/>
    <cellStyle name="常规 4 14 2 2 2 3 2 3" xfId="9002"/>
    <cellStyle name="常规 4 14 2 2 2 3 2 4" xfId="9005"/>
    <cellStyle name="常规 4 14 2 2 2 3 3" xfId="9011"/>
    <cellStyle name="常规 4 14 2 2 2 3 3 2" xfId="9012"/>
    <cellStyle name="常规 4 14 2 2 2 3 4" xfId="9015"/>
    <cellStyle name="常规 4 14 2 2 2 3 5" xfId="9016"/>
    <cellStyle name="常规 4 14 2 2 2 4" xfId="9017"/>
    <cellStyle name="常规 4 14 2 2 2 4 2" xfId="9021"/>
    <cellStyle name="常规 4 14 2 2 2 4 2 2" xfId="9024"/>
    <cellStyle name="常规 4 14 2 2 2 4 3" xfId="9029"/>
    <cellStyle name="常规 4 14 2 2 2 4 4" xfId="9032"/>
    <cellStyle name="常规 4 14 2 2 2 5" xfId="9036"/>
    <cellStyle name="常规 4 14 2 2 2 5 2" xfId="9038"/>
    <cellStyle name="常规 4 14 2 2 2 6" xfId="9039"/>
    <cellStyle name="常规 4 14 2 2 2 7" xfId="9042"/>
    <cellStyle name="常规 4 14 2 2 3" xfId="9046"/>
    <cellStyle name="常规 4 14 2 2 3 2" xfId="9048"/>
    <cellStyle name="常规 4 14 2 2 3 2 2" xfId="9052"/>
    <cellStyle name="常规 4 14 2 2 3 2 2 2" xfId="2550"/>
    <cellStyle name="常规 4 14 2 2 3 2 2 2 2" xfId="5041"/>
    <cellStyle name="常规 4 14 2 2 3 2 2 3" xfId="9055"/>
    <cellStyle name="常规 4 14 2 2 3 2 2 4" xfId="9057"/>
    <cellStyle name="常规 4 14 2 2 3 2 3" xfId="9060"/>
    <cellStyle name="常规 4 14 2 2 3 2 3 2" xfId="9063"/>
    <cellStyle name="常规 4 14 2 2 3 2 4" xfId="9068"/>
    <cellStyle name="常规 4 14 2 2 3 2 5" xfId="974"/>
    <cellStyle name="常规 4 14 2 2 3 3" xfId="9070"/>
    <cellStyle name="常规 4 14 2 2 3 3 2" xfId="9073"/>
    <cellStyle name="常规 4 14 2 2 3 3 2 2" xfId="9076"/>
    <cellStyle name="常规 4 14 2 2 3 3 3" xfId="9078"/>
    <cellStyle name="常规 4 14 2 2 3 3 4" xfId="9079"/>
    <cellStyle name="常规 4 14 2 2 3 4" xfId="9081"/>
    <cellStyle name="常规 4 14 2 2 3 4 2" xfId="9085"/>
    <cellStyle name="常规 4 14 2 2 3 5" xfId="655"/>
    <cellStyle name="常规 4 14 2 2 3 6" xfId="9086"/>
    <cellStyle name="常规 4 14 2 2 4" xfId="9087"/>
    <cellStyle name="常规 4 14 2 2 4 2" xfId="9089"/>
    <cellStyle name="常规 4 14 2 2 4 2 2" xfId="9093"/>
    <cellStyle name="常规 4 14 2 2 4 2 2 2" xfId="9098"/>
    <cellStyle name="常规 4 14 2 2 4 2 3" xfId="9100"/>
    <cellStyle name="常规 4 14 2 2 4 2 4" xfId="9101"/>
    <cellStyle name="常规 4 14 2 2 4 3" xfId="9103"/>
    <cellStyle name="常规 4 14 2 2 4 3 2" xfId="9105"/>
    <cellStyle name="常规 4 14 2 2 4 4" xfId="4592"/>
    <cellStyle name="常规 4 14 2 2 4 5" xfId="920"/>
    <cellStyle name="常规 4 14 2 2 5" xfId="9107"/>
    <cellStyle name="常规 4 14 2 2 5 2" xfId="9110"/>
    <cellStyle name="常规 4 14 2 2 5 2 2" xfId="9114"/>
    <cellStyle name="常规 4 14 2 2 5 3" xfId="9117"/>
    <cellStyle name="常规 4 14 2 2 5 4" xfId="4647"/>
    <cellStyle name="常规 4 14 2 2 6" xfId="9120"/>
    <cellStyle name="常规 4 14 2 2 6 2" xfId="9123"/>
    <cellStyle name="常规 4 14 2 2 7" xfId="9126"/>
    <cellStyle name="常规 4 14 2 2 8" xfId="9129"/>
    <cellStyle name="常规 4 14 2 3" xfId="9130"/>
    <cellStyle name="常规 4 14 2 3 2" xfId="9132"/>
    <cellStyle name="常规 4 14 2 3 2 2" xfId="9133"/>
    <cellStyle name="常规 4 14 2 3 2 2 2" xfId="9136"/>
    <cellStyle name="常规 4 14 2 3 2 2 2 2" xfId="9139"/>
    <cellStyle name="常规 4 14 2 3 2 2 2 2 2" xfId="9141"/>
    <cellStyle name="常规 4 14 2 3 2 2 2 3" xfId="9142"/>
    <cellStyle name="常规 4 14 2 3 2 2 2 4" xfId="9143"/>
    <cellStyle name="常规 4 14 2 3 2 2 3" xfId="3666"/>
    <cellStyle name="常规 4 14 2 3 2 2 3 2" xfId="6963"/>
    <cellStyle name="常规 4 14 2 3 2 2 4" xfId="3673"/>
    <cellStyle name="常规 4 14 2 3 2 2 5" xfId="7085"/>
    <cellStyle name="常规 4 14 2 3 2 3" xfId="9145"/>
    <cellStyle name="常规 4 14 2 3 2 3 2" xfId="9147"/>
    <cellStyle name="常规 4 14 2 3 2 3 2 2" xfId="996"/>
    <cellStyle name="常规 4 14 2 3 2 3 3" xfId="3713"/>
    <cellStyle name="常规 4 14 2 3 2 3 4" xfId="3718"/>
    <cellStyle name="常规 4 14 2 3 2 4" xfId="9148"/>
    <cellStyle name="常规 4 14 2 3 2 4 2" xfId="9151"/>
    <cellStyle name="常规 4 14 2 3 2 5" xfId="8207"/>
    <cellStyle name="常规 4 14 2 3 2 6" xfId="9152"/>
    <cellStyle name="常规 4 14 2 3 3" xfId="9153"/>
    <cellStyle name="常规 4 14 2 3 3 2" xfId="9155"/>
    <cellStyle name="常规 4 14 2 3 3 2 2" xfId="9159"/>
    <cellStyle name="常规 4 14 2 3 3 2 2 2" xfId="597"/>
    <cellStyle name="常规 4 14 2 3 3 2 3" xfId="7944"/>
    <cellStyle name="常规 4 14 2 3 3 2 4" xfId="198"/>
    <cellStyle name="常规 4 14 2 3 3 3" xfId="9161"/>
    <cellStyle name="常规 4 14 2 3 3 3 2" xfId="9165"/>
    <cellStyle name="常规 4 14 2 3 3 4" xfId="9167"/>
    <cellStyle name="常规 4 14 2 3 3 5" xfId="9168"/>
    <cellStyle name="常规 4 14 2 3 4" xfId="9171"/>
    <cellStyle name="常规 4 14 2 3 4 2" xfId="9175"/>
    <cellStyle name="常规 4 14 2 3 4 2 2" xfId="9179"/>
    <cellStyle name="常规 4 14 2 3 4 3" xfId="9183"/>
    <cellStyle name="常规 4 14 2 3 4 4" xfId="4718"/>
    <cellStyle name="常规 4 14 2 3 5" xfId="9187"/>
    <cellStyle name="常规 4 14 2 3 5 2" xfId="9191"/>
    <cellStyle name="常规 4 14 2 3 6" xfId="9196"/>
    <cellStyle name="常规 4 14 2 3 7" xfId="9201"/>
    <cellStyle name="常规 4 14 2 4" xfId="6684"/>
    <cellStyle name="常规 4 14 2 4 2" xfId="9202"/>
    <cellStyle name="常规 4 14 2 4 2 2" xfId="6189"/>
    <cellStyle name="常规 4 14 2 4 2 2 2" xfId="6199"/>
    <cellStyle name="常规 4 14 2 4 2 2 2 2" xfId="6203"/>
    <cellStyle name="常规 4 14 2 4 2 2 3" xfId="235"/>
    <cellStyle name="常规 4 14 2 4 2 2 4" xfId="6209"/>
    <cellStyle name="常规 4 14 2 4 2 3" xfId="6214"/>
    <cellStyle name="常规 4 14 2 4 2 3 2" xfId="6218"/>
    <cellStyle name="常规 4 14 2 4 2 4" xfId="5312"/>
    <cellStyle name="常规 4 14 2 4 2 5" xfId="5324"/>
    <cellStyle name="常规 4 14 2 4 3" xfId="9205"/>
    <cellStyle name="常规 4 14 2 4 3 2" xfId="6266"/>
    <cellStyle name="常规 4 14 2 4 3 2 2" xfId="1160"/>
    <cellStyle name="常规 4 14 2 4 3 3" xfId="6272"/>
    <cellStyle name="常规 4 14 2 4 3 4" xfId="5340"/>
    <cellStyle name="常规 4 14 2 4 4" xfId="9209"/>
    <cellStyle name="常规 4 14 2 4 4 2" xfId="6289"/>
    <cellStyle name="常规 4 14 2 4 5" xfId="9214"/>
    <cellStyle name="常规 4 14 2 4 6" xfId="9219"/>
    <cellStyle name="常规 4 14 2 5" xfId="9220"/>
    <cellStyle name="常规 4 14 2 5 2" xfId="9221"/>
    <cellStyle name="常规 4 14 2 5 2 2" xfId="6324"/>
    <cellStyle name="常规 4 14 2 5 2 2 2" xfId="430"/>
    <cellStyle name="常规 4 14 2 5 2 3" xfId="6328"/>
    <cellStyle name="常规 4 14 2 5 2 4" xfId="5373"/>
    <cellStyle name="常规 4 14 2 5 3" xfId="9223"/>
    <cellStyle name="常规 4 14 2 5 3 2" xfId="6336"/>
    <cellStyle name="常规 4 14 2 5 4" xfId="9227"/>
    <cellStyle name="常规 4 14 2 5 5" xfId="9231"/>
    <cellStyle name="常规 4 14 2 6" xfId="9233"/>
    <cellStyle name="常规 4 14 2 6 2" xfId="9235"/>
    <cellStyle name="常规 4 14 2 6 2 2" xfId="6355"/>
    <cellStyle name="常规 4 14 2 6 3" xfId="9238"/>
    <cellStyle name="常规 4 14 2 6 4" xfId="9244"/>
    <cellStyle name="常规 4 14 2 7" xfId="9246"/>
    <cellStyle name="常规 4 14 2 7 2" xfId="9249"/>
    <cellStyle name="常规 4 14 2 8" xfId="9251"/>
    <cellStyle name="常规 4 14 2 9" xfId="9254"/>
    <cellStyle name="常规 4 14 3" xfId="2504"/>
    <cellStyle name="常规 4 14 3 2" xfId="9258"/>
    <cellStyle name="常规 4 14 3 2 2" xfId="9261"/>
    <cellStyle name="常规 4 14 3 2 2 2" xfId="9262"/>
    <cellStyle name="常规 4 14 3 2 2 2 2" xfId="9263"/>
    <cellStyle name="常规 4 14 3 2 2 2 2 2" xfId="736"/>
    <cellStyle name="常规 4 14 3 2 2 2 2 2 2" xfId="9264"/>
    <cellStyle name="常规 4 14 3 2 2 2 2 3" xfId="741"/>
    <cellStyle name="常规 4 14 3 2 2 2 2 4" xfId="9266"/>
    <cellStyle name="常规 4 14 3 2 2 2 3" xfId="9267"/>
    <cellStyle name="常规 4 14 3 2 2 2 3 2" xfId="754"/>
    <cellStyle name="常规 4 14 3 2 2 2 4" xfId="9270"/>
    <cellStyle name="常规 4 14 3 2 2 2 5" xfId="9272"/>
    <cellStyle name="常规 4 14 3 2 2 3" xfId="9273"/>
    <cellStyle name="常规 4 14 3 2 2 3 2" xfId="9274"/>
    <cellStyle name="常规 4 14 3 2 2 3 2 2" xfId="4884"/>
    <cellStyle name="常规 4 14 3 2 2 3 3" xfId="9275"/>
    <cellStyle name="常规 4 14 3 2 2 3 4" xfId="9277"/>
    <cellStyle name="常规 4 14 3 2 2 4" xfId="9278"/>
    <cellStyle name="常规 4 14 3 2 2 4 2" xfId="9280"/>
    <cellStyle name="常规 4 14 3 2 2 5" xfId="9281"/>
    <cellStyle name="常规 4 14 3 2 2 6" xfId="9282"/>
    <cellStyle name="常规 4 14 3 2 3" xfId="9283"/>
    <cellStyle name="常规 4 14 3 2 3 2" xfId="9285"/>
    <cellStyle name="常规 4 14 3 2 3 2 2" xfId="9287"/>
    <cellStyle name="常规 4 14 3 2 3 2 2 2" xfId="1796"/>
    <cellStyle name="常规 4 14 3 2 3 2 3" xfId="7455"/>
    <cellStyle name="常规 4 14 3 2 3 2 4" xfId="9289"/>
    <cellStyle name="常规 4 14 3 2 3 3" xfId="9291"/>
    <cellStyle name="常规 4 14 3 2 3 3 2" xfId="9292"/>
    <cellStyle name="常规 4 14 3 2 3 4" xfId="9294"/>
    <cellStyle name="常规 4 14 3 2 3 5" xfId="9296"/>
    <cellStyle name="常规 4 14 3 2 4" xfId="9297"/>
    <cellStyle name="常规 4 14 3 2 4 2" xfId="9299"/>
    <cellStyle name="常规 4 14 3 2 4 2 2" xfId="9301"/>
    <cellStyle name="常规 4 14 3 2 4 3" xfId="9303"/>
    <cellStyle name="常规 4 14 3 2 4 4" xfId="2290"/>
    <cellStyle name="常规 4 14 3 2 5" xfId="9305"/>
    <cellStyle name="常规 4 14 3 2 5 2" xfId="9307"/>
    <cellStyle name="常规 4 14 3 2 6" xfId="9310"/>
    <cellStyle name="常规 4 14 3 2 7" xfId="9312"/>
    <cellStyle name="常规 4 14 3 3" xfId="9313"/>
    <cellStyle name="常规 4 14 3 3 2" xfId="9319"/>
    <cellStyle name="常规 4 14 3 3 2 2" xfId="9321"/>
    <cellStyle name="常规 4 14 3 3 2 2 2" xfId="9323"/>
    <cellStyle name="常规 4 14 3 3 2 2 2 2" xfId="7161"/>
    <cellStyle name="常规 4 14 3 3 2 2 3" xfId="9325"/>
    <cellStyle name="常规 4 14 3 3 2 2 4" xfId="7881"/>
    <cellStyle name="常规 4 14 3 3 2 3" xfId="2878"/>
    <cellStyle name="常规 4 14 3 3 2 3 2" xfId="2881"/>
    <cellStyle name="常规 4 14 3 3 2 4" xfId="2892"/>
    <cellStyle name="常规 4 14 3 3 2 5" xfId="2901"/>
    <cellStyle name="常规 4 14 3 3 3" xfId="9326"/>
    <cellStyle name="常规 4 14 3 3 3 2" xfId="9329"/>
    <cellStyle name="常规 4 14 3 3 3 2 2" xfId="9331"/>
    <cellStyle name="常规 4 14 3 3 3 3" xfId="2912"/>
    <cellStyle name="常规 4 14 3 3 3 4" xfId="2920"/>
    <cellStyle name="常规 4 14 3 3 4" xfId="9334"/>
    <cellStyle name="常规 4 14 3 3 4 2" xfId="9338"/>
    <cellStyle name="常规 4 14 3 3 5" xfId="9342"/>
    <cellStyle name="常规 4 14 3 3 6" xfId="9346"/>
    <cellStyle name="常规 4 14 3 4" xfId="9349"/>
    <cellStyle name="常规 4 14 3 4 2" xfId="9350"/>
    <cellStyle name="常规 4 14 3 4 2 2" xfId="6438"/>
    <cellStyle name="常规 4 14 3 4 2 2 2" xfId="6444"/>
    <cellStyle name="常规 4 14 3 4 2 3" xfId="3153"/>
    <cellStyle name="常规 4 14 3 4 2 4" xfId="3165"/>
    <cellStyle name="常规 4 14 3 4 3" xfId="9352"/>
    <cellStyle name="常规 4 14 3 4 3 2" xfId="6463"/>
    <cellStyle name="常规 4 14 3 4 4" xfId="7406"/>
    <cellStyle name="常规 4 14 3 4 5" xfId="2692"/>
    <cellStyle name="常规 4 14 3 5" xfId="9354"/>
    <cellStyle name="常规 4 14 3 5 2" xfId="9355"/>
    <cellStyle name="常规 4 14 3 5 2 2" xfId="6510"/>
    <cellStyle name="常规 4 14 3 5 3" xfId="9357"/>
    <cellStyle name="常规 4 14 3 5 4" xfId="7414"/>
    <cellStyle name="常规 4 14 3 6" xfId="9360"/>
    <cellStyle name="常规 4 14 3 6 2" xfId="9363"/>
    <cellStyle name="常规 4 14 3 7" xfId="9366"/>
    <cellStyle name="常规 4 14 3 8" xfId="7609"/>
    <cellStyle name="常规 4 14 4" xfId="9368"/>
    <cellStyle name="常规 4 14 4 2" xfId="9371"/>
    <cellStyle name="常规 4 14 4 2 2" xfId="9372"/>
    <cellStyle name="常规 4 14 4 2 2 2" xfId="9373"/>
    <cellStyle name="常规 4 14 4 2 2 2 2" xfId="9376"/>
    <cellStyle name="常规 4 14 4 2 2 2 2 2" xfId="7970"/>
    <cellStyle name="常规 4 14 4 2 2 2 3" xfId="9379"/>
    <cellStyle name="常规 4 14 4 2 2 2 4" xfId="9381"/>
    <cellStyle name="常规 4 14 4 2 2 3" xfId="9382"/>
    <cellStyle name="常规 4 14 4 2 2 3 2" xfId="9385"/>
    <cellStyle name="常规 4 14 4 2 2 4" xfId="9386"/>
    <cellStyle name="常规 4 14 4 2 2 5" xfId="9387"/>
    <cellStyle name="常规 4 14 4 2 3" xfId="9388"/>
    <cellStyle name="常规 4 14 4 2 3 2" xfId="9390"/>
    <cellStyle name="常规 4 14 4 2 3 2 2" xfId="5898"/>
    <cellStyle name="常规 4 14 4 2 3 3" xfId="9392"/>
    <cellStyle name="常规 4 14 4 2 3 4" xfId="9393"/>
    <cellStyle name="常规 4 14 4 2 4" xfId="9394"/>
    <cellStyle name="常规 4 14 4 2 4 2" xfId="9395"/>
    <cellStyle name="常规 4 14 4 2 5" xfId="9397"/>
    <cellStyle name="常规 4 14 4 2 6" xfId="9399"/>
    <cellStyle name="常规 4 14 4 3" xfId="9402"/>
    <cellStyle name="常规 4 14 4 3 2" xfId="9403"/>
    <cellStyle name="常规 4 14 4 3 2 2" xfId="9404"/>
    <cellStyle name="常规 4 14 4 3 2 2 2" xfId="9408"/>
    <cellStyle name="常规 4 14 4 3 2 3" xfId="9409"/>
    <cellStyle name="常规 4 14 4 3 2 4" xfId="9411"/>
    <cellStyle name="常规 4 14 4 3 3" xfId="9412"/>
    <cellStyle name="常规 4 14 4 3 3 2" xfId="9413"/>
    <cellStyle name="常规 4 14 4 3 4" xfId="9416"/>
    <cellStyle name="常规 4 14 4 3 5" xfId="9418"/>
    <cellStyle name="常规 4 14 4 4" xfId="9421"/>
    <cellStyle name="常规 4 14 4 4 2" xfId="9422"/>
    <cellStyle name="常规 4 14 4 4 2 2" xfId="5185"/>
    <cellStyle name="常规 4 14 4 4 3" xfId="9424"/>
    <cellStyle name="常规 4 14 4 4 4" xfId="1464"/>
    <cellStyle name="常规 4 14 4 5" xfId="9425"/>
    <cellStyle name="常规 4 14 4 5 2" xfId="9426"/>
    <cellStyle name="常规 4 14 4 6" xfId="9429"/>
    <cellStyle name="常规 4 14 4 7" xfId="9432"/>
    <cellStyle name="常规 4 14 5" xfId="9434"/>
    <cellStyle name="常规 4 14 5 2" xfId="9436"/>
    <cellStyle name="常规 4 14 5 2 2" xfId="9437"/>
    <cellStyle name="常规 4 14 5 2 2 2" xfId="9438"/>
    <cellStyle name="常规 4 14 5 2 2 2 2" xfId="9440"/>
    <cellStyle name="常规 4 14 5 2 2 3" xfId="9443"/>
    <cellStyle name="常规 4 14 5 2 2 4" xfId="9446"/>
    <cellStyle name="常规 4 14 5 2 3" xfId="9447"/>
    <cellStyle name="常规 4 14 5 2 3 2" xfId="9449"/>
    <cellStyle name="常规 4 14 5 2 4" xfId="9450"/>
    <cellStyle name="常规 4 14 5 2 5" xfId="9452"/>
    <cellStyle name="常规 4 14 5 3" xfId="9453"/>
    <cellStyle name="常规 4 14 5 3 2" xfId="9454"/>
    <cellStyle name="常规 4 14 5 3 2 2" xfId="9455"/>
    <cellStyle name="常规 4 14 5 3 3" xfId="9456"/>
    <cellStyle name="常规 4 14 5 3 4" xfId="9457"/>
    <cellStyle name="常规 4 14 5 4" xfId="9458"/>
    <cellStyle name="常规 4 14 5 4 2" xfId="9459"/>
    <cellStyle name="常规 4 14 5 5" xfId="9460"/>
    <cellStyle name="常规 4 14 5 6" xfId="9463"/>
    <cellStyle name="常规 4 14 6" xfId="9465"/>
    <cellStyle name="常规 4 14 6 2" xfId="9467"/>
    <cellStyle name="常规 4 14 6 2 2" xfId="9468"/>
    <cellStyle name="常规 4 14 6 2 2 2" xfId="9469"/>
    <cellStyle name="常规 4 14 6 2 3" xfId="9470"/>
    <cellStyle name="常规 4 14 6 2 4" xfId="9471"/>
    <cellStyle name="常规 4 14 6 3" xfId="9472"/>
    <cellStyle name="常规 4 14 6 3 2" xfId="9473"/>
    <cellStyle name="常规 4 14 6 4" xfId="9474"/>
    <cellStyle name="常规 4 14 6 5" xfId="9476"/>
    <cellStyle name="常规 4 14 7" xfId="4310"/>
    <cellStyle name="常规 4 14 7 2" xfId="9477"/>
    <cellStyle name="常规 4 14 7 2 2" xfId="9478"/>
    <cellStyle name="常规 4 14 7 3" xfId="9479"/>
    <cellStyle name="常规 4 14 7 4" xfId="9480"/>
    <cellStyle name="常规 4 14 8" xfId="9482"/>
    <cellStyle name="常规 4 14 8 2" xfId="9484"/>
    <cellStyle name="常规 4 14 9" xfId="9486"/>
    <cellStyle name="常规 4 15" xfId="9487"/>
    <cellStyle name="常规 4 15 2" xfId="838"/>
    <cellStyle name="常规 4 15 2 2" xfId="9490"/>
    <cellStyle name="常规 4 15 2 2 2" xfId="9491"/>
    <cellStyle name="常规 4 15 2 2 2 2" xfId="9492"/>
    <cellStyle name="常规 4 15 2 2 2 2 2" xfId="2651"/>
    <cellStyle name="常规 4 15 2 2 2 2 2 2" xfId="9494"/>
    <cellStyle name="常规 4 15 2 2 2 2 3" xfId="2654"/>
    <cellStyle name="常规 4 15 2 2 2 2 4" xfId="9497"/>
    <cellStyle name="常规 4 15 2 2 2 3" xfId="9498"/>
    <cellStyle name="常规 4 15 2 2 2 3 2" xfId="5946"/>
    <cellStyle name="常规 4 15 2 2 2 4" xfId="9499"/>
    <cellStyle name="常规 4 15 2 2 2 5" xfId="9501"/>
    <cellStyle name="常规 4 15 2 2 3" xfId="9502"/>
    <cellStyle name="常规 4 15 2 2 3 2" xfId="9504"/>
    <cellStyle name="常规 4 15 2 2 3 2 2" xfId="6932"/>
    <cellStyle name="常规 4 15 2 2 3 3" xfId="9506"/>
    <cellStyle name="常规 4 15 2 2 3 4" xfId="9508"/>
    <cellStyle name="常规 4 15 2 2 4" xfId="9509"/>
    <cellStyle name="常规 4 15 2 2 4 2" xfId="9511"/>
    <cellStyle name="常规 4 15 2 2 5" xfId="9514"/>
    <cellStyle name="常规 4 15 2 2 6" xfId="9518"/>
    <cellStyle name="常规 4 15 2 3" xfId="9519"/>
    <cellStyle name="常规 4 15 2 3 2" xfId="9520"/>
    <cellStyle name="常规 4 15 2 3 2 2" xfId="9521"/>
    <cellStyle name="常规 4 15 2 3 2 2 2" xfId="1452"/>
    <cellStyle name="常规 4 15 2 3 2 3" xfId="9522"/>
    <cellStyle name="常规 4 15 2 3 2 4" xfId="9523"/>
    <cellStyle name="常规 4 15 2 3 3" xfId="9524"/>
    <cellStyle name="常规 4 15 2 3 3 2" xfId="9526"/>
    <cellStyle name="常规 4 15 2 3 4" xfId="9528"/>
    <cellStyle name="常规 4 15 2 3 5" xfId="9532"/>
    <cellStyle name="常规 4 15 2 4" xfId="9533"/>
    <cellStyle name="常规 4 15 2 4 2" xfId="9534"/>
    <cellStyle name="常规 4 15 2 4 2 2" xfId="6772"/>
    <cellStyle name="常规 4 15 2 4 3" xfId="9536"/>
    <cellStyle name="常规 4 15 2 4 4" xfId="9539"/>
    <cellStyle name="常规 4 15 2 5" xfId="9540"/>
    <cellStyle name="常规 4 15 2 5 2" xfId="9541"/>
    <cellStyle name="常规 4 15 2 6" xfId="9543"/>
    <cellStyle name="常规 4 15 2 7" xfId="9545"/>
    <cellStyle name="常规 4 15 3" xfId="6567"/>
    <cellStyle name="常规 4 15 3 2" xfId="9547"/>
    <cellStyle name="常规 4 15 3 2 2" xfId="9549"/>
    <cellStyle name="常规 4 15 3 2 2 2" xfId="9551"/>
    <cellStyle name="常规 4 15 3 2 2 2 2" xfId="4118"/>
    <cellStyle name="常规 4 15 3 2 2 3" xfId="9552"/>
    <cellStyle name="常规 4 15 3 2 2 4" xfId="9553"/>
    <cellStyle name="常规 4 15 3 2 3" xfId="9555"/>
    <cellStyle name="常规 4 15 3 2 3 2" xfId="9557"/>
    <cellStyle name="常规 4 15 3 2 4" xfId="9559"/>
    <cellStyle name="常规 4 15 3 2 5" xfId="9562"/>
    <cellStyle name="常规 4 15 3 3" xfId="9565"/>
    <cellStyle name="常规 4 15 3 3 2" xfId="9567"/>
    <cellStyle name="常规 4 15 3 3 2 2" xfId="9568"/>
    <cellStyle name="常规 4 15 3 3 3" xfId="9570"/>
    <cellStyle name="常规 4 15 3 3 4" xfId="9572"/>
    <cellStyle name="常规 4 15 3 4" xfId="9573"/>
    <cellStyle name="常规 4 15 3 4 2" xfId="9575"/>
    <cellStyle name="常规 4 15 3 5" xfId="9576"/>
    <cellStyle name="常规 4 15 3 6" xfId="9579"/>
    <cellStyle name="常规 4 15 4" xfId="9581"/>
    <cellStyle name="常规 4 15 4 2" xfId="9583"/>
    <cellStyle name="常规 4 15 4 2 2" xfId="9585"/>
    <cellStyle name="常规 4 15 4 2 2 2" xfId="9586"/>
    <cellStyle name="常规 4 15 4 2 3" xfId="9588"/>
    <cellStyle name="常规 4 15 4 2 4" xfId="9589"/>
    <cellStyle name="常规 4 15 4 3" xfId="9590"/>
    <cellStyle name="常规 4 15 4 3 2" xfId="9592"/>
    <cellStyle name="常规 4 15 4 4" xfId="9593"/>
    <cellStyle name="常规 4 15 4 5" xfId="9594"/>
    <cellStyle name="常规 4 15 5" xfId="9595"/>
    <cellStyle name="常规 4 15 5 2" xfId="9596"/>
    <cellStyle name="常规 4 15 5 2 2" xfId="9598"/>
    <cellStyle name="常规 4 15 5 3" xfId="9599"/>
    <cellStyle name="常规 4 15 5 4" xfId="9600"/>
    <cellStyle name="常规 4 15 6" xfId="9602"/>
    <cellStyle name="常规 4 15 6 2" xfId="9603"/>
    <cellStyle name="常规 4 15 7" xfId="9604"/>
    <cellStyle name="常规 4 15 8" xfId="9605"/>
    <cellStyle name="常规 4 16" xfId="2312"/>
    <cellStyle name="常规 4 16 2" xfId="854"/>
    <cellStyle name="常规 4 16 2 2" xfId="7740"/>
    <cellStyle name="常规 4 16 2 2 2" xfId="7742"/>
    <cellStyle name="常规 4 16 2 2 2 2" xfId="9606"/>
    <cellStyle name="常规 4 16 2 2 2 2 2" xfId="9609"/>
    <cellStyle name="常规 4 16 2 2 2 3" xfId="9610"/>
    <cellStyle name="常规 4 16 2 2 2 4" xfId="9611"/>
    <cellStyle name="常规 4 16 2 2 3" xfId="9612"/>
    <cellStyle name="常规 4 16 2 2 3 2" xfId="9614"/>
    <cellStyle name="常规 4 16 2 2 4" xfId="9615"/>
    <cellStyle name="常规 4 16 2 2 5" xfId="9618"/>
    <cellStyle name="常规 4 16 2 3" xfId="7744"/>
    <cellStyle name="常规 4 16 2 3 2" xfId="9619"/>
    <cellStyle name="常规 4 16 2 3 2 2" xfId="9620"/>
    <cellStyle name="常规 4 16 2 3 3" xfId="9621"/>
    <cellStyle name="常规 4 16 2 3 4" xfId="9623"/>
    <cellStyle name="常规 4 16 2 4" xfId="718"/>
    <cellStyle name="常规 4 16 2 4 2" xfId="9624"/>
    <cellStyle name="常规 4 16 2 5" xfId="9625"/>
    <cellStyle name="常规 4 16 2 6" xfId="9627"/>
    <cellStyle name="常规 4 16 3" xfId="7747"/>
    <cellStyle name="常规 4 16 3 2" xfId="7749"/>
    <cellStyle name="常规 4 16 3 2 2" xfId="9629"/>
    <cellStyle name="常规 4 16 3 2 2 2" xfId="9632"/>
    <cellStyle name="常规 4 16 3 2 3" xfId="9634"/>
    <cellStyle name="常规 4 16 3 2 4" xfId="9636"/>
    <cellStyle name="常规 4 16 3 3" xfId="9637"/>
    <cellStyle name="常规 4 16 3 3 2" xfId="9641"/>
    <cellStyle name="常规 4 16 3 4" xfId="9642"/>
    <cellStyle name="常规 4 16 3 5" xfId="9643"/>
    <cellStyle name="常规 4 16 4" xfId="7754"/>
    <cellStyle name="常规 4 16 4 2" xfId="9644"/>
    <cellStyle name="常规 4 16 4 2 2" xfId="9646"/>
    <cellStyle name="常规 4 16 4 3" xfId="9647"/>
    <cellStyle name="常规 4 16 4 4" xfId="9648"/>
    <cellStyle name="常规 4 16 5" xfId="7757"/>
    <cellStyle name="常规 4 16 5 2" xfId="9652"/>
    <cellStyle name="常规 4 16 6" xfId="9653"/>
    <cellStyle name="常规 4 16 7" xfId="9654"/>
    <cellStyle name="常规 4 17" xfId="7759"/>
    <cellStyle name="常规 4 17 2" xfId="7763"/>
    <cellStyle name="常规 4 17 2 2" xfId="7768"/>
    <cellStyle name="常规 4 17 2 2 2" xfId="9655"/>
    <cellStyle name="常规 4 17 2 2 2 2" xfId="9656"/>
    <cellStyle name="常规 4 17 2 2 3" xfId="9658"/>
    <cellStyle name="常规 4 17 2 2 4" xfId="9660"/>
    <cellStyle name="常规 4 17 2 3" xfId="9663"/>
    <cellStyle name="常规 4 17 2 3 2" xfId="9664"/>
    <cellStyle name="常规 4 17 2 4" xfId="9665"/>
    <cellStyle name="常规 4 17 2 5" xfId="9666"/>
    <cellStyle name="常规 4 17 3" xfId="7770"/>
    <cellStyle name="常规 4 17 3 2" xfId="9668"/>
    <cellStyle name="常规 4 17 3 2 2" xfId="9670"/>
    <cellStyle name="常规 4 17 3 3" xfId="9672"/>
    <cellStyle name="常规 4 17 3 4" xfId="9674"/>
    <cellStyle name="常规 4 17 4" xfId="7772"/>
    <cellStyle name="常规 4 17 4 2" xfId="2514"/>
    <cellStyle name="常规 4 17 5" xfId="9675"/>
    <cellStyle name="常规 4 17 6" xfId="9676"/>
    <cellStyle name="常规 4 18" xfId="7774"/>
    <cellStyle name="常规 4 18 2" xfId="1270"/>
    <cellStyle name="常规 4 18 2 2" xfId="9679"/>
    <cellStyle name="常规 4 18 2 2 2" xfId="9680"/>
    <cellStyle name="常规 4 18 2 3" xfId="9681"/>
    <cellStyle name="常规 4 18 2 4" xfId="9682"/>
    <cellStyle name="常规 4 18 3" xfId="9683"/>
    <cellStyle name="常规 4 18 3 2" xfId="9684"/>
    <cellStyle name="常规 4 18 4" xfId="9685"/>
    <cellStyle name="常规 4 18 5" xfId="9686"/>
    <cellStyle name="常规 4 19" xfId="2964"/>
    <cellStyle name="常规 4 19 2" xfId="9688"/>
    <cellStyle name="常规 4 19 2 2" xfId="9693"/>
    <cellStyle name="常规 4 19 3" xfId="9695"/>
    <cellStyle name="常规 4 19 4" xfId="9697"/>
    <cellStyle name="常规 4 2" xfId="9698"/>
    <cellStyle name="常规 4 2 10" xfId="9699"/>
    <cellStyle name="常规 4 2 10 10" xfId="9701"/>
    <cellStyle name="常规 4 2 10 10 2" xfId="9702"/>
    <cellStyle name="常规 4 2 10 10 2 2" xfId="9703"/>
    <cellStyle name="常规 4 2 10 10 3" xfId="9704"/>
    <cellStyle name="常规 4 2 10 10 4" xfId="9705"/>
    <cellStyle name="常规 4 2 10 11" xfId="9706"/>
    <cellStyle name="常规 4 2 10 11 2" xfId="9707"/>
    <cellStyle name="常规 4 2 10 12" xfId="9708"/>
    <cellStyle name="常规 4 2 10 13" xfId="9709"/>
    <cellStyle name="常规 4 2 10 2" xfId="9710"/>
    <cellStyle name="常规 4 2 10 2 10" xfId="9711"/>
    <cellStyle name="常规 4 2 10 2 10 2" xfId="9714"/>
    <cellStyle name="常规 4 2 10 2 11" xfId="9717"/>
    <cellStyle name="常规 4 2 10 2 12" xfId="9719"/>
    <cellStyle name="常规 4 2 10 2 2" xfId="9657"/>
    <cellStyle name="常规 4 2 10 2 2 10" xfId="9722"/>
    <cellStyle name="常规 4 2 10 2 2 11" xfId="9724"/>
    <cellStyle name="常规 4 2 10 2 2 2" xfId="9726"/>
    <cellStyle name="常规 4 2 10 2 2 2 2" xfId="9731"/>
    <cellStyle name="常规 4 2 10 2 2 2 2 2" xfId="9732"/>
    <cellStyle name="常规 4 2 10 2 2 2 2 2 2" xfId="9736"/>
    <cellStyle name="常规 4 2 10 2 2 2 2 2 2 2" xfId="9738"/>
    <cellStyle name="常规 4 2 10 2 2 2 2 2 2 2 2" xfId="9739"/>
    <cellStyle name="常规 4 2 10 2 2 2 2 2 2 2 2 2" xfId="9740"/>
    <cellStyle name="常规 4 2 10 2 2 2 2 2 2 2 2 2 2" xfId="6401"/>
    <cellStyle name="常规 4 2 10 2 2 2 2 2 2 2 2 3" xfId="9742"/>
    <cellStyle name="常规 4 2 10 2 2 2 2 2 2 2 2 4" xfId="9743"/>
    <cellStyle name="常规 4 2 10 2 2 2 2 2 2 2 3" xfId="9744"/>
    <cellStyle name="常规 4 2 10 2 2 2 2 2 2 2 3 2" xfId="9745"/>
    <cellStyle name="常规 4 2 10 2 2 2 2 2 2 2 4" xfId="9747"/>
    <cellStyle name="常规 4 2 10 2 2 2 2 2 2 2 5" xfId="9748"/>
    <cellStyle name="常规 4 2 10 2 2 2 2 2 2 3" xfId="9749"/>
    <cellStyle name="常规 4 2 10 2 2 2 2 2 2 3 2" xfId="9750"/>
    <cellStyle name="常规 4 2 10 2 2 2 2 2 2 3 2 2" xfId="9751"/>
    <cellStyle name="常规 4 2 10 2 2 2 2 2 2 3 3" xfId="9752"/>
    <cellStyle name="常规 4 2 10 2 2 2 2 2 2 3 4" xfId="9753"/>
    <cellStyle name="常规 4 2 10 2 2 2 2 2 2 4" xfId="82"/>
    <cellStyle name="常规 4 2 10 2 2 2 2 2 2 4 2" xfId="9755"/>
    <cellStyle name="常规 4 2 10 2 2 2 2 2 2 5" xfId="9756"/>
    <cellStyle name="常规 4 2 10 2 2 2 2 2 2 6" xfId="9759"/>
    <cellStyle name="常规 4 2 10 2 2 2 2 2 3" xfId="9760"/>
    <cellStyle name="常规 4 2 10 2 2 2 2 2 3 2" xfId="9762"/>
    <cellStyle name="常规 4 2 10 2 2 2 2 2 3 2 2" xfId="9764"/>
    <cellStyle name="常规 4 2 10 2 2 2 2 2 3 2 2 2" xfId="9766"/>
    <cellStyle name="常规 4 2 10 2 2 2 2 2 3 2 3" xfId="9768"/>
    <cellStyle name="常规 4 2 10 2 2 2 2 2 3 2 4" xfId="9770"/>
    <cellStyle name="常规 4 2 10 2 2 2 2 2 3 3" xfId="9772"/>
    <cellStyle name="常规 4 2 10 2 2 2 2 2 3 3 2" xfId="9777"/>
    <cellStyle name="常规 4 2 10 2 2 2 2 2 3 4" xfId="9779"/>
    <cellStyle name="常规 4 2 10 2 2 2 2 2 3 5" xfId="9782"/>
    <cellStyle name="常规 4 2 10 2 2 2 2 2 4" xfId="9784"/>
    <cellStyle name="常规 4 2 10 2 2 2 2 2 4 2" xfId="9785"/>
    <cellStyle name="常规 4 2 10 2 2 2 2 2 4 2 2" xfId="9787"/>
    <cellStyle name="常规 4 2 10 2 2 2 2 2 4 3" xfId="9790"/>
    <cellStyle name="常规 4 2 10 2 2 2 2 2 4 4" xfId="9794"/>
    <cellStyle name="常规 4 2 10 2 2 2 2 2 5" xfId="9798"/>
    <cellStyle name="常规 4 2 10 2 2 2 2 2 5 2" xfId="9799"/>
    <cellStyle name="常规 4 2 10 2 2 2 2 2 6" xfId="9805"/>
    <cellStyle name="常规 4 2 10 2 2 2 2 2 7" xfId="9807"/>
    <cellStyle name="常规 4 2 10 2 2 2 2 3" xfId="9808"/>
    <cellStyle name="常规 4 2 10 2 2 2 2 3 2" xfId="9809"/>
    <cellStyle name="常规 4 2 10 2 2 2 2 3 2 2" xfId="9811"/>
    <cellStyle name="常规 4 2 10 2 2 2 2 3 2 2 2" xfId="9812"/>
    <cellStyle name="常规 4 2 10 2 2 2 2 3 2 2 2 2" xfId="9814"/>
    <cellStyle name="常规 4 2 10 2 2 2 2 3 2 2 3" xfId="4233"/>
    <cellStyle name="常规 4 2 10 2 2 2 2 3 2 2 4" xfId="9816"/>
    <cellStyle name="常规 4 2 10 2 2 2 2 3 2 3" xfId="9817"/>
    <cellStyle name="常规 4 2 10 2 2 2 2 3 2 3 2" xfId="9818"/>
    <cellStyle name="常规 4 2 10 2 2 2 2 3 2 4" xfId="9819"/>
    <cellStyle name="常规 4 2 10 2 2 2 2 3 2 5" xfId="9820"/>
    <cellStyle name="常规 4 2 10 2 2 2 2 3 3" xfId="9821"/>
    <cellStyle name="常规 4 2 10 2 2 2 2 3 3 2" xfId="9822"/>
    <cellStyle name="常规 4 2 10 2 2 2 2 3 3 2 2" xfId="9824"/>
    <cellStyle name="常规 4 2 10 2 2 2 2 3 3 3" xfId="9827"/>
    <cellStyle name="常规 4 2 10 2 2 2 2 3 3 4" xfId="9829"/>
    <cellStyle name="常规 4 2 10 2 2 2 2 3 4" xfId="9832"/>
    <cellStyle name="常规 4 2 10 2 2 2 2 3 4 2" xfId="9833"/>
    <cellStyle name="常规 4 2 10 2 2 2 2 3 5" xfId="9836"/>
    <cellStyle name="常规 4 2 10 2 2 2 2 3 6" xfId="9839"/>
    <cellStyle name="常规 4 2 10 2 2 2 2 4" xfId="2763"/>
    <cellStyle name="常规 4 2 10 2 2 2 2 4 2" xfId="4665"/>
    <cellStyle name="常规 4 2 10 2 2 2 2 4 2 2" xfId="4670"/>
    <cellStyle name="常规 4 2 10 2 2 2 2 4 2 2 2" xfId="9840"/>
    <cellStyle name="常规 4 2 10 2 2 2 2 4 2 3" xfId="9841"/>
    <cellStyle name="常规 4 2 10 2 2 2 2 4 2 4" xfId="9843"/>
    <cellStyle name="常规 4 2 10 2 2 2 2 4 3" xfId="4691"/>
    <cellStyle name="常规 4 2 10 2 2 2 2 4 3 2" xfId="9844"/>
    <cellStyle name="常规 4 2 10 2 2 2 2 4 4" xfId="4704"/>
    <cellStyle name="常规 4 2 10 2 2 2 2 4 5" xfId="9848"/>
    <cellStyle name="常规 4 2 10 2 2 2 2 5" xfId="2768"/>
    <cellStyle name="常规 4 2 10 2 2 2 2 5 2" xfId="4740"/>
    <cellStyle name="常规 4 2 10 2 2 2 2 5 2 2" xfId="9849"/>
    <cellStyle name="常规 4 2 10 2 2 2 2 5 3" xfId="9853"/>
    <cellStyle name="常规 4 2 10 2 2 2 2 5 4" xfId="9855"/>
    <cellStyle name="常规 4 2 10 2 2 2 2 6" xfId="6354"/>
    <cellStyle name="常规 4 2 10 2 2 2 2 6 2" xfId="4787"/>
    <cellStyle name="常规 4 2 10 2 2 2 2 7" xfId="6358"/>
    <cellStyle name="常规 4 2 10 2 2 2 2 8" xfId="7276"/>
    <cellStyle name="常规 4 2 10 2 2 2 3" xfId="9859"/>
    <cellStyle name="常规 4 2 10 2 2 2 3 2" xfId="9860"/>
    <cellStyle name="常规 4 2 10 2 2 2 3 2 2" xfId="9861"/>
    <cellStyle name="常规 4 2 10 2 2 2 3 2 2 2" xfId="9863"/>
    <cellStyle name="常规 4 2 10 2 2 2 3 2 2 2 2" xfId="9864"/>
    <cellStyle name="常规 4 2 10 2 2 2 3 2 2 2 2 2" xfId="9865"/>
    <cellStyle name="常规 4 2 10 2 2 2 3 2 2 2 3" xfId="9866"/>
    <cellStyle name="常规 4 2 10 2 2 2 3 2 2 2 4" xfId="9867"/>
    <cellStyle name="常规 4 2 10 2 2 2 3 2 2 3" xfId="9869"/>
    <cellStyle name="常规 4 2 10 2 2 2 3 2 2 3 2" xfId="9871"/>
    <cellStyle name="常规 4 2 10 2 2 2 3 2 2 4" xfId="9873"/>
    <cellStyle name="常规 4 2 10 2 2 2 3 2 2 5" xfId="9875"/>
    <cellStyle name="常规 4 2 10 2 2 2 3 2 3" xfId="9876"/>
    <cellStyle name="常规 4 2 10 2 2 2 3 2 3 2" xfId="9877"/>
    <cellStyle name="常规 4 2 10 2 2 2 3 2 3 2 2" xfId="9878"/>
    <cellStyle name="常规 4 2 10 2 2 2 3 2 3 3" xfId="9880"/>
    <cellStyle name="常规 4 2 10 2 2 2 3 2 3 4" xfId="9881"/>
    <cellStyle name="常规 4 2 10 2 2 2 3 2 4" xfId="9882"/>
    <cellStyle name="常规 4 2 10 2 2 2 3 2 4 2" xfId="9883"/>
    <cellStyle name="常规 4 2 10 2 2 2 3 2 5" xfId="9885"/>
    <cellStyle name="常规 4 2 10 2 2 2 3 2 6" xfId="9886"/>
    <cellStyle name="常规 4 2 10 2 2 2 3 3" xfId="9887"/>
    <cellStyle name="常规 4 2 10 2 2 2 3 3 2" xfId="9888"/>
    <cellStyle name="常规 4 2 10 2 2 2 3 3 2 2" xfId="9889"/>
    <cellStyle name="常规 4 2 10 2 2 2 3 3 2 2 2" xfId="9890"/>
    <cellStyle name="常规 4 2 10 2 2 2 3 3 2 3" xfId="9891"/>
    <cellStyle name="常规 4 2 10 2 2 2 3 3 2 4" xfId="9892"/>
    <cellStyle name="常规 4 2 10 2 2 2 3 3 3" xfId="9893"/>
    <cellStyle name="常规 4 2 10 2 2 2 3 3 3 2" xfId="9894"/>
    <cellStyle name="常规 4 2 10 2 2 2 3 3 4" xfId="9895"/>
    <cellStyle name="常规 4 2 10 2 2 2 3 3 5" xfId="9896"/>
    <cellStyle name="常规 4 2 10 2 2 2 3 4" xfId="6367"/>
    <cellStyle name="常规 4 2 10 2 2 2 3 4 2" xfId="2320"/>
    <cellStyle name="常规 4 2 10 2 2 2 3 4 2 2" xfId="9899"/>
    <cellStyle name="常规 4 2 10 2 2 2 3 4 3" xfId="2329"/>
    <cellStyle name="常规 4 2 10 2 2 2 3 4 4" xfId="9901"/>
    <cellStyle name="常规 4 2 10 2 2 2 3 5" xfId="6374"/>
    <cellStyle name="常规 4 2 10 2 2 2 3 5 2" xfId="2374"/>
    <cellStyle name="常规 4 2 10 2 2 2 3 6" xfId="6377"/>
    <cellStyle name="常规 4 2 10 2 2 2 3 7" xfId="9902"/>
    <cellStyle name="常规 4 2 10 2 2 2 4" xfId="9906"/>
    <cellStyle name="常规 4 2 10 2 2 2 4 2" xfId="9908"/>
    <cellStyle name="常规 4 2 10 2 2 2 4 2 2" xfId="9910"/>
    <cellStyle name="常规 4 2 10 2 2 2 4 2 2 2" xfId="3875"/>
    <cellStyle name="常规 4 2 10 2 2 2 4 2 2 2 2" xfId="9912"/>
    <cellStyle name="常规 4 2 10 2 2 2 4 2 2 3" xfId="9913"/>
    <cellStyle name="常规 4 2 10 2 2 2 4 2 2 4" xfId="9916"/>
    <cellStyle name="常规 4 2 10 2 2 2 4 2 3" xfId="9918"/>
    <cellStyle name="常规 4 2 10 2 2 2 4 2 3 2" xfId="9919"/>
    <cellStyle name="常规 4 2 10 2 2 2 4 2 4" xfId="9921"/>
    <cellStyle name="常规 4 2 10 2 2 2 4 2 5" xfId="9922"/>
    <cellStyle name="常规 4 2 10 2 2 2 4 3" xfId="9924"/>
    <cellStyle name="常规 4 2 10 2 2 2 4 3 2" xfId="9927"/>
    <cellStyle name="常规 4 2 10 2 2 2 4 3 2 2" xfId="9928"/>
    <cellStyle name="常规 4 2 10 2 2 2 4 3 3" xfId="9929"/>
    <cellStyle name="常规 4 2 10 2 2 2 4 3 4" xfId="9932"/>
    <cellStyle name="常规 4 2 10 2 2 2 4 4" xfId="6387"/>
    <cellStyle name="常规 4 2 10 2 2 2 4 4 2" xfId="9933"/>
    <cellStyle name="常规 4 2 10 2 2 2 4 5" xfId="9935"/>
    <cellStyle name="常规 4 2 10 2 2 2 4 6" xfId="9936"/>
    <cellStyle name="常规 4 2 10 2 2 2 5" xfId="9938"/>
    <cellStyle name="常规 4 2 10 2 2 2 5 2" xfId="9940"/>
    <cellStyle name="常规 4 2 10 2 2 2 5 2 2" xfId="9942"/>
    <cellStyle name="常规 4 2 10 2 2 2 5 2 2 2" xfId="9943"/>
    <cellStyle name="常规 4 2 10 2 2 2 5 2 3" xfId="9944"/>
    <cellStyle name="常规 4 2 10 2 2 2 5 2 4" xfId="9945"/>
    <cellStyle name="常规 4 2 10 2 2 2 5 3" xfId="9947"/>
    <cellStyle name="常规 4 2 10 2 2 2 5 3 2" xfId="9948"/>
    <cellStyle name="常规 4 2 10 2 2 2 5 4" xfId="9950"/>
    <cellStyle name="常规 4 2 10 2 2 2 5 5" xfId="9951"/>
    <cellStyle name="常规 4 2 10 2 2 2 6" xfId="9953"/>
    <cellStyle name="常规 4 2 10 2 2 2 6 2" xfId="8261"/>
    <cellStyle name="常规 4 2 10 2 2 2 6 2 2" xfId="9954"/>
    <cellStyle name="常规 4 2 10 2 2 2 6 3" xfId="9955"/>
    <cellStyle name="常规 4 2 10 2 2 2 6 4" xfId="9956"/>
    <cellStyle name="常规 4 2 10 2 2 2 7" xfId="9958"/>
    <cellStyle name="常规 4 2 10 2 2 2 7 2" xfId="9959"/>
    <cellStyle name="常规 4 2 10 2 2 2 8" xfId="9961"/>
    <cellStyle name="常规 4 2 10 2 2 2 9" xfId="9963"/>
    <cellStyle name="常规 4 2 10 2 2 3" xfId="9964"/>
    <cellStyle name="常规 4 2 10 2 2 3 2" xfId="9968"/>
    <cellStyle name="常规 4 2 10 2 2 3 2 2" xfId="9969"/>
    <cellStyle name="常规 4 2 10 2 2 3 2 2 2" xfId="9970"/>
    <cellStyle name="常规 4 2 10 2 2 3 2 2 2 2" xfId="9971"/>
    <cellStyle name="常规 4 2 10 2 2 3 2 2 2 2 2" xfId="9973"/>
    <cellStyle name="常规 4 2 10 2 2 3 2 2 2 2 2 2" xfId="9975"/>
    <cellStyle name="常规 4 2 10 2 2 3 2 2 2 2 2 2 2" xfId="9976"/>
    <cellStyle name="常规 4 2 10 2 2 3 2 2 2 2 2 3" xfId="9979"/>
    <cellStyle name="常规 4 2 10 2 2 3 2 2 2 2 2 4" xfId="9980"/>
    <cellStyle name="常规 4 2 10 2 2 3 2 2 2 2 3" xfId="2616"/>
    <cellStyle name="常规 4 2 10 2 2 3 2 2 2 2 3 2" xfId="2619"/>
    <cellStyle name="常规 4 2 10 2 2 3 2 2 2 2 4" xfId="2622"/>
    <cellStyle name="常规 4 2 10 2 2 3 2 2 2 2 5" xfId="2626"/>
    <cellStyle name="常规 4 2 10 2 2 3 2 2 2 3" xfId="9981"/>
    <cellStyle name="常规 4 2 10 2 2 3 2 2 2 3 2" xfId="9982"/>
    <cellStyle name="常规 4 2 10 2 2 3 2 2 2 3 2 2" xfId="9984"/>
    <cellStyle name="常规 4 2 10 2 2 3 2 2 2 3 3" xfId="2634"/>
    <cellStyle name="常规 4 2 10 2 2 3 2 2 2 3 4" xfId="2644"/>
    <cellStyle name="常规 4 2 10 2 2 3 2 2 2 4" xfId="9986"/>
    <cellStyle name="常规 4 2 10 2 2 3 2 2 2 4 2" xfId="9988"/>
    <cellStyle name="常规 4 2 10 2 2 3 2 2 2 5" xfId="9991"/>
    <cellStyle name="常规 4 2 10 2 2 3 2 2 2 6" xfId="9993"/>
    <cellStyle name="常规 4 2 10 2 2 3 2 2 3" xfId="9994"/>
    <cellStyle name="常规 4 2 10 2 2 3 2 2 3 2" xfId="9995"/>
    <cellStyle name="常规 4 2 10 2 2 3 2 2 3 2 2" xfId="9996"/>
    <cellStyle name="常规 4 2 10 2 2 3 2 2 3 2 2 2" xfId="9998"/>
    <cellStyle name="常规 4 2 10 2 2 3 2 2 3 2 3" xfId="9999"/>
    <cellStyle name="常规 4 2 10 2 2 3 2 2 3 2 4" xfId="10000"/>
    <cellStyle name="常规 4 2 10 2 2 3 2 2 3 3" xfId="10001"/>
    <cellStyle name="常规 4 2 10 2 2 3 2 2 3 3 2" xfId="10002"/>
    <cellStyle name="常规 4 2 10 2 2 3 2 2 3 4" xfId="10004"/>
    <cellStyle name="常规 4 2 10 2 2 3 2 2 3 5" xfId="10006"/>
    <cellStyle name="常规 4 2 10 2 2 3 2 2 4" xfId="10007"/>
    <cellStyle name="常规 4 2 10 2 2 3 2 2 4 2" xfId="10009"/>
    <cellStyle name="常规 4 2 10 2 2 3 2 2 4 2 2" xfId="10011"/>
    <cellStyle name="常规 4 2 10 2 2 3 2 2 4 3" xfId="10013"/>
    <cellStyle name="常规 4 2 10 2 2 3 2 2 4 4" xfId="10016"/>
    <cellStyle name="常规 4 2 10 2 2 3 2 2 5" xfId="10019"/>
    <cellStyle name="常规 4 2 10 2 2 3 2 2 5 2" xfId="10021"/>
    <cellStyle name="常规 4 2 10 2 2 3 2 2 6" xfId="10022"/>
    <cellStyle name="常规 4 2 10 2 2 3 2 2 7" xfId="10023"/>
    <cellStyle name="常规 4 2 10 2 2 3 2 3" xfId="10024"/>
    <cellStyle name="常规 4 2 10 2 2 3 2 3 2" xfId="10025"/>
    <cellStyle name="常规 4 2 10 2 2 3 2 3 2 2" xfId="10026"/>
    <cellStyle name="常规 4 2 10 2 2 3 2 3 2 2 2" xfId="10027"/>
    <cellStyle name="常规 4 2 10 2 2 3 2 3 2 2 2 2" xfId="10029"/>
    <cellStyle name="常规 4 2 10 2 2 3 2 3 2 2 3" xfId="10030"/>
    <cellStyle name="常规 4 2 10 2 2 3 2 3 2 2 4" xfId="10031"/>
    <cellStyle name="常规 4 2 10 2 2 3 2 3 2 3" xfId="10032"/>
    <cellStyle name="常规 4 2 10 2 2 3 2 3 2 3 2" xfId="10033"/>
    <cellStyle name="常规 4 2 10 2 2 3 2 3 2 4" xfId="10035"/>
    <cellStyle name="常规 4 2 10 2 2 3 2 3 2 5" xfId="10037"/>
    <cellStyle name="常规 4 2 10 2 2 3 2 3 3" xfId="10038"/>
    <cellStyle name="常规 4 2 10 2 2 3 2 3 3 2" xfId="10039"/>
    <cellStyle name="常规 4 2 10 2 2 3 2 3 3 2 2" xfId="10040"/>
    <cellStyle name="常规 4 2 10 2 2 3 2 3 3 3" xfId="10041"/>
    <cellStyle name="常规 4 2 10 2 2 3 2 3 3 4" xfId="10042"/>
    <cellStyle name="常规 4 2 10 2 2 3 2 3 4" xfId="10045"/>
    <cellStyle name="常规 4 2 10 2 2 3 2 3 4 2" xfId="485"/>
    <cellStyle name="常规 4 2 10 2 2 3 2 3 5" xfId="10046"/>
    <cellStyle name="常规 4 2 10 2 2 3 2 3 6" xfId="10049"/>
    <cellStyle name="常规 4 2 10 2 2 3 2 4" xfId="6393"/>
    <cellStyle name="常规 4 2 10 2 2 3 2 4 2" xfId="1030"/>
    <cellStyle name="常规 4 2 10 2 2 3 2 4 2 2" xfId="10051"/>
    <cellStyle name="常规 4 2 10 2 2 3 2 4 2 2 2" xfId="10052"/>
    <cellStyle name="常规 4 2 10 2 2 3 2 4 2 3" xfId="10053"/>
    <cellStyle name="常规 4 2 10 2 2 3 2 4 2 4" xfId="10055"/>
    <cellStyle name="常规 4 2 10 2 2 3 2 4 3" xfId="10059"/>
    <cellStyle name="常规 4 2 10 2 2 3 2 4 3 2" xfId="10060"/>
    <cellStyle name="常规 4 2 10 2 2 3 2 4 4" xfId="10061"/>
    <cellStyle name="常规 4 2 10 2 2 3 2 4 5" xfId="10062"/>
    <cellStyle name="常规 4 2 10 2 2 3 2 5" xfId="6398"/>
    <cellStyle name="常规 4 2 10 2 2 3 2 5 2" xfId="10064"/>
    <cellStyle name="常规 4 2 10 2 2 3 2 5 2 2" xfId="10065"/>
    <cellStyle name="常规 4 2 10 2 2 3 2 5 3" xfId="10067"/>
    <cellStyle name="常规 4 2 10 2 2 3 2 5 4" xfId="10069"/>
    <cellStyle name="常规 4 2 10 2 2 3 2 6" xfId="928"/>
    <cellStyle name="常规 4 2 10 2 2 3 2 6 2" xfId="4968"/>
    <cellStyle name="常规 4 2 10 2 2 3 2 7" xfId="10070"/>
    <cellStyle name="常规 4 2 10 2 2 3 2 8" xfId="7281"/>
    <cellStyle name="常规 4 2 10 2 2 3 3" xfId="10072"/>
    <cellStyle name="常规 4 2 10 2 2 3 3 2" xfId="10073"/>
    <cellStyle name="常规 4 2 10 2 2 3 3 2 2" xfId="10076"/>
    <cellStyle name="常规 4 2 10 2 2 3 3 2 2 2" xfId="10077"/>
    <cellStyle name="常规 4 2 10 2 2 3 3 2 2 2 2" xfId="10078"/>
    <cellStyle name="常规 4 2 10 2 2 3 3 2 2 2 2 2" xfId="10080"/>
    <cellStyle name="常规 4 2 10 2 2 3 3 2 2 2 3" xfId="10081"/>
    <cellStyle name="常规 4 2 10 2 2 3 3 2 2 2 4" xfId="10082"/>
    <cellStyle name="常规 4 2 10 2 2 3 3 2 2 3" xfId="10083"/>
    <cellStyle name="常规 4 2 10 2 2 3 3 2 2 3 2" xfId="10084"/>
    <cellStyle name="常规 4 2 10 2 2 3 3 2 2 4" xfId="10086"/>
    <cellStyle name="常规 4 2 10 2 2 3 3 2 2 5" xfId="10088"/>
    <cellStyle name="常规 4 2 10 2 2 3 3 2 3" xfId="10089"/>
    <cellStyle name="常规 4 2 10 2 2 3 3 2 3 2" xfId="10090"/>
    <cellStyle name="常规 4 2 10 2 2 3 3 2 3 2 2" xfId="10091"/>
    <cellStyle name="常规 4 2 10 2 2 3 3 2 3 3" xfId="10092"/>
    <cellStyle name="常规 4 2 10 2 2 3 3 2 3 4" xfId="10094"/>
    <cellStyle name="常规 4 2 10 2 2 3 3 2 4" xfId="10095"/>
    <cellStyle name="常规 4 2 10 2 2 3 3 2 4 2" xfId="10097"/>
    <cellStyle name="常规 4 2 10 2 2 3 3 2 5" xfId="10098"/>
    <cellStyle name="常规 4 2 10 2 2 3 3 2 6" xfId="10100"/>
    <cellStyle name="常规 4 2 10 2 2 3 3 3" xfId="10101"/>
    <cellStyle name="常规 4 2 10 2 2 3 3 3 2" xfId="10102"/>
    <cellStyle name="常规 4 2 10 2 2 3 3 3 2 2" xfId="10104"/>
    <cellStyle name="常规 4 2 10 2 2 3 3 3 2 2 2" xfId="10106"/>
    <cellStyle name="常规 4 2 10 2 2 3 3 3 2 3" xfId="721"/>
    <cellStyle name="常规 4 2 10 2 2 3 3 3 2 4" xfId="768"/>
    <cellStyle name="常规 4 2 10 2 2 3 3 3 3" xfId="10107"/>
    <cellStyle name="常规 4 2 10 2 2 3 3 3 3 2" xfId="10108"/>
    <cellStyle name="常规 4 2 10 2 2 3 3 3 4" xfId="10109"/>
    <cellStyle name="常规 4 2 10 2 2 3 3 3 5" xfId="10110"/>
    <cellStyle name="常规 4 2 10 2 2 3 3 4" xfId="6403"/>
    <cellStyle name="常规 4 2 10 2 2 3 3 4 2" xfId="10112"/>
    <cellStyle name="常规 4 2 10 2 2 3 3 4 2 2" xfId="10115"/>
    <cellStyle name="常规 4 2 10 2 2 3 3 4 3" xfId="10117"/>
    <cellStyle name="常规 4 2 10 2 2 3 3 4 4" xfId="10118"/>
    <cellStyle name="常规 4 2 10 2 2 3 3 5" xfId="10119"/>
    <cellStyle name="常规 4 2 10 2 2 3 3 5 2" xfId="10120"/>
    <cellStyle name="常规 4 2 10 2 2 3 3 6" xfId="10121"/>
    <cellStyle name="常规 4 2 10 2 2 3 3 7" xfId="3231"/>
    <cellStyle name="常规 4 2 10 2 2 3 4" xfId="10127"/>
    <cellStyle name="常规 4 2 10 2 2 3 4 2" xfId="10129"/>
    <cellStyle name="常规 4 2 10 2 2 3 4 2 2" xfId="10134"/>
    <cellStyle name="常规 4 2 10 2 2 3 4 2 2 2" xfId="10135"/>
    <cellStyle name="常规 4 2 10 2 2 3 4 2 2 2 2" xfId="10136"/>
    <cellStyle name="常规 4 2 10 2 2 3 4 2 2 3" xfId="10138"/>
    <cellStyle name="常规 4 2 10 2 2 3 4 2 2 4" xfId="10141"/>
    <cellStyle name="常规 4 2 10 2 2 3 4 2 3" xfId="10143"/>
    <cellStyle name="常规 4 2 10 2 2 3 4 2 3 2" xfId="10144"/>
    <cellStyle name="常规 4 2 10 2 2 3 4 2 4" xfId="404"/>
    <cellStyle name="常规 4 2 10 2 2 3 4 2 5" xfId="10145"/>
    <cellStyle name="常规 4 2 10 2 2 3 4 3" xfId="10147"/>
    <cellStyle name="常规 4 2 10 2 2 3 4 3 2" xfId="10149"/>
    <cellStyle name="常规 4 2 10 2 2 3 4 3 2 2" xfId="10150"/>
    <cellStyle name="常规 4 2 10 2 2 3 4 3 3" xfId="10151"/>
    <cellStyle name="常规 4 2 10 2 2 3 4 3 4" xfId="10152"/>
    <cellStyle name="常规 4 2 10 2 2 3 4 4" xfId="10154"/>
    <cellStyle name="常规 4 2 10 2 2 3 4 4 2" xfId="10157"/>
    <cellStyle name="常规 4 2 10 2 2 3 4 5" xfId="10159"/>
    <cellStyle name="常规 4 2 10 2 2 3 4 6" xfId="10160"/>
    <cellStyle name="常规 4 2 10 2 2 3 5" xfId="10162"/>
    <cellStyle name="常规 4 2 10 2 2 3 5 2" xfId="10164"/>
    <cellStyle name="常规 4 2 10 2 2 3 5 2 2" xfId="10167"/>
    <cellStyle name="常规 4 2 10 2 2 3 5 2 2 2" xfId="10169"/>
    <cellStyle name="常规 4 2 10 2 2 3 5 2 3" xfId="10171"/>
    <cellStyle name="常规 4 2 10 2 2 3 5 2 4" xfId="10173"/>
    <cellStyle name="常规 4 2 10 2 2 3 5 3" xfId="10174"/>
    <cellStyle name="常规 4 2 10 2 2 3 5 3 2" xfId="1560"/>
    <cellStyle name="常规 4 2 10 2 2 3 5 4" xfId="10175"/>
    <cellStyle name="常规 4 2 10 2 2 3 5 5" xfId="10176"/>
    <cellStyle name="常规 4 2 10 2 2 3 6" xfId="10178"/>
    <cellStyle name="常规 4 2 10 2 2 3 6 2" xfId="7227"/>
    <cellStyle name="常规 4 2 10 2 2 3 6 2 2" xfId="10180"/>
    <cellStyle name="常规 4 2 10 2 2 3 6 3" xfId="10181"/>
    <cellStyle name="常规 4 2 10 2 2 3 6 4" xfId="10182"/>
    <cellStyle name="常规 4 2 10 2 2 3 7" xfId="10185"/>
    <cellStyle name="常规 4 2 10 2 2 3 7 2" xfId="10186"/>
    <cellStyle name="常规 4 2 10 2 2 3 8" xfId="10189"/>
    <cellStyle name="常规 4 2 10 2 2 3 9" xfId="10192"/>
    <cellStyle name="常规 4 2 10 2 2 4" xfId="10193"/>
    <cellStyle name="常规 4 2 10 2 2 4 2" xfId="10194"/>
    <cellStyle name="常规 4 2 10 2 2 4 2 2" xfId="10195"/>
    <cellStyle name="常规 4 2 10 2 2 4 2 2 2" xfId="10196"/>
    <cellStyle name="常规 4 2 10 2 2 4 2 2 2 2" xfId="10197"/>
    <cellStyle name="常规 4 2 10 2 2 4 2 2 2 2 2" xfId="10198"/>
    <cellStyle name="常规 4 2 10 2 2 4 2 2 2 2 2 2" xfId="10199"/>
    <cellStyle name="常规 4 2 10 2 2 4 2 2 2 2 3" xfId="10202"/>
    <cellStyle name="常规 4 2 10 2 2 4 2 2 2 2 4" xfId="10203"/>
    <cellStyle name="常规 4 2 10 2 2 4 2 2 2 3" xfId="10204"/>
    <cellStyle name="常规 4 2 10 2 2 4 2 2 2 3 2" xfId="10205"/>
    <cellStyle name="常规 4 2 10 2 2 4 2 2 2 4" xfId="9826"/>
    <cellStyle name="常规 4 2 10 2 2 4 2 2 2 5" xfId="10207"/>
    <cellStyle name="常规 4 2 10 2 2 4 2 2 3" xfId="10208"/>
    <cellStyle name="常规 4 2 10 2 2 4 2 2 3 2" xfId="10209"/>
    <cellStyle name="常规 4 2 10 2 2 4 2 2 3 2 2" xfId="10210"/>
    <cellStyle name="常规 4 2 10 2 2 4 2 2 3 3" xfId="10211"/>
    <cellStyle name="常规 4 2 10 2 2 4 2 2 3 4" xfId="284"/>
    <cellStyle name="常规 4 2 10 2 2 4 2 2 4" xfId="10212"/>
    <cellStyle name="常规 4 2 10 2 2 4 2 2 4 2" xfId="10213"/>
    <cellStyle name="常规 4 2 10 2 2 4 2 2 5" xfId="10215"/>
    <cellStyle name="常规 4 2 10 2 2 4 2 2 6" xfId="10217"/>
    <cellStyle name="常规 4 2 10 2 2 4 2 3" xfId="10219"/>
    <cellStyle name="常规 4 2 10 2 2 4 2 3 2" xfId="10221"/>
    <cellStyle name="常规 4 2 10 2 2 4 2 3 2 2" xfId="10223"/>
    <cellStyle name="常规 4 2 10 2 2 4 2 3 2 2 2" xfId="10225"/>
    <cellStyle name="常规 4 2 10 2 2 4 2 3 2 3" xfId="10227"/>
    <cellStyle name="常规 4 2 10 2 2 4 2 3 2 4" xfId="10230"/>
    <cellStyle name="常规 4 2 10 2 2 4 2 3 3" xfId="10233"/>
    <cellStyle name="常规 4 2 10 2 2 4 2 3 3 2" xfId="10237"/>
    <cellStyle name="常规 4 2 10 2 2 4 2 3 4" xfId="10240"/>
    <cellStyle name="常规 4 2 10 2 2 4 2 3 5" xfId="10244"/>
    <cellStyle name="常规 4 2 10 2 2 4 2 4" xfId="6410"/>
    <cellStyle name="常规 4 2 10 2 2 4 2 4 2" xfId="10247"/>
    <cellStyle name="常规 4 2 10 2 2 4 2 4 2 2" xfId="10249"/>
    <cellStyle name="常规 4 2 10 2 2 4 2 4 3" xfId="10252"/>
    <cellStyle name="常规 4 2 10 2 2 4 2 4 4" xfId="10255"/>
    <cellStyle name="常规 4 2 10 2 2 4 2 5" xfId="10257"/>
    <cellStyle name="常规 4 2 10 2 2 4 2 5 2" xfId="10259"/>
    <cellStyle name="常规 4 2 10 2 2 4 2 6" xfId="10261"/>
    <cellStyle name="常规 4 2 10 2 2 4 2 7" xfId="10264"/>
    <cellStyle name="常规 4 2 10 2 2 4 3" xfId="10265"/>
    <cellStyle name="常规 4 2 10 2 2 4 3 2" xfId="10266"/>
    <cellStyle name="常规 4 2 10 2 2 4 3 2 2" xfId="10267"/>
    <cellStyle name="常规 4 2 10 2 2 4 3 2 2 2" xfId="10268"/>
    <cellStyle name="常规 4 2 10 2 2 4 3 2 2 2 2" xfId="10269"/>
    <cellStyle name="常规 4 2 10 2 2 4 3 2 2 3" xfId="5224"/>
    <cellStyle name="常规 4 2 10 2 2 4 3 2 2 4" xfId="10271"/>
    <cellStyle name="常规 4 2 10 2 2 4 3 2 3" xfId="10272"/>
    <cellStyle name="常规 4 2 10 2 2 4 3 2 3 2" xfId="10273"/>
    <cellStyle name="常规 4 2 10 2 2 4 3 2 4" xfId="10274"/>
    <cellStyle name="常规 4 2 10 2 2 4 3 2 5" xfId="10276"/>
    <cellStyle name="常规 4 2 10 2 2 4 3 3" xfId="10278"/>
    <cellStyle name="常规 4 2 10 2 2 4 3 3 2" xfId="10280"/>
    <cellStyle name="常规 4 2 10 2 2 4 3 3 2 2" xfId="10282"/>
    <cellStyle name="常规 4 2 10 2 2 4 3 3 3" xfId="10285"/>
    <cellStyle name="常规 4 2 10 2 2 4 3 3 4" xfId="10288"/>
    <cellStyle name="常规 4 2 10 2 2 4 3 4" xfId="10290"/>
    <cellStyle name="常规 4 2 10 2 2 4 3 4 2" xfId="10292"/>
    <cellStyle name="常规 4 2 10 2 2 4 3 5" xfId="10294"/>
    <cellStyle name="常规 4 2 10 2 2 4 3 6" xfId="10296"/>
    <cellStyle name="常规 4 2 10 2 2 4 4" xfId="10298"/>
    <cellStyle name="常规 4 2 10 2 2 4 4 2" xfId="4329"/>
    <cellStyle name="常规 4 2 10 2 2 4 4 2 2" xfId="4336"/>
    <cellStyle name="常规 4 2 10 2 2 4 4 2 2 2" xfId="10299"/>
    <cellStyle name="常规 4 2 10 2 2 4 4 2 3" xfId="10301"/>
    <cellStyle name="常规 4 2 10 2 2 4 4 2 4" xfId="10302"/>
    <cellStyle name="常规 4 2 10 2 2 4 4 3" xfId="3435"/>
    <cellStyle name="常规 4 2 10 2 2 4 4 3 2" xfId="10305"/>
    <cellStyle name="常规 4 2 10 2 2 4 4 4" xfId="4344"/>
    <cellStyle name="常规 4 2 10 2 2 4 4 5" xfId="10308"/>
    <cellStyle name="常规 4 2 10 2 2 4 5" xfId="10310"/>
    <cellStyle name="常规 4 2 10 2 2 4 5 2" xfId="4388"/>
    <cellStyle name="常规 4 2 10 2 2 4 5 2 2" xfId="10313"/>
    <cellStyle name="常规 4 2 10 2 2 4 5 3" xfId="4395"/>
    <cellStyle name="常规 4 2 10 2 2 4 5 4" xfId="10314"/>
    <cellStyle name="常规 4 2 10 2 2 4 6" xfId="10316"/>
    <cellStyle name="常规 4 2 10 2 2 4 6 2" xfId="4444"/>
    <cellStyle name="常规 4 2 10 2 2 4 7" xfId="10317"/>
    <cellStyle name="常规 4 2 10 2 2 4 8" xfId="10319"/>
    <cellStyle name="常规 4 2 10 2 2 5" xfId="10320"/>
    <cellStyle name="常规 4 2 10 2 2 5 2" xfId="10321"/>
    <cellStyle name="常规 4 2 10 2 2 5 2 2" xfId="10322"/>
    <cellStyle name="常规 4 2 10 2 2 5 2 2 2" xfId="10323"/>
    <cellStyle name="常规 4 2 10 2 2 5 2 2 2 2" xfId="10325"/>
    <cellStyle name="常规 4 2 10 2 2 5 2 2 2 2 2" xfId="10326"/>
    <cellStyle name="常规 4 2 10 2 2 5 2 2 2 3" xfId="10327"/>
    <cellStyle name="常规 4 2 10 2 2 5 2 2 2 4" xfId="10328"/>
    <cellStyle name="常规 4 2 10 2 2 5 2 2 3" xfId="10329"/>
    <cellStyle name="常规 4 2 10 2 2 5 2 2 3 2" xfId="10330"/>
    <cellStyle name="常规 4 2 10 2 2 5 2 2 4" xfId="10331"/>
    <cellStyle name="常规 4 2 10 2 2 5 2 2 5" xfId="10332"/>
    <cellStyle name="常规 4 2 10 2 2 5 2 3" xfId="10334"/>
    <cellStyle name="常规 4 2 10 2 2 5 2 3 2" xfId="10336"/>
    <cellStyle name="常规 4 2 10 2 2 5 2 3 2 2" xfId="10338"/>
    <cellStyle name="常规 4 2 10 2 2 5 2 3 3" xfId="10340"/>
    <cellStyle name="常规 4 2 10 2 2 5 2 3 4" xfId="10342"/>
    <cellStyle name="常规 4 2 10 2 2 5 2 4" xfId="10344"/>
    <cellStyle name="常规 4 2 10 2 2 5 2 4 2" xfId="10346"/>
    <cellStyle name="常规 4 2 10 2 2 5 2 5" xfId="10348"/>
    <cellStyle name="常规 4 2 10 2 2 5 2 6" xfId="10350"/>
    <cellStyle name="常规 4 2 10 2 2 5 3" xfId="10351"/>
    <cellStyle name="常规 4 2 10 2 2 5 3 2" xfId="10352"/>
    <cellStyle name="常规 4 2 10 2 2 5 3 2 2" xfId="10353"/>
    <cellStyle name="常规 4 2 10 2 2 5 3 2 2 2" xfId="10354"/>
    <cellStyle name="常规 4 2 10 2 2 5 3 2 3" xfId="10355"/>
    <cellStyle name="常规 4 2 10 2 2 5 3 2 4" xfId="10356"/>
    <cellStyle name="常规 4 2 10 2 2 5 3 3" xfId="10358"/>
    <cellStyle name="常规 4 2 10 2 2 5 3 3 2" xfId="10360"/>
    <cellStyle name="常规 4 2 10 2 2 5 3 4" xfId="10362"/>
    <cellStyle name="常规 4 2 10 2 2 5 3 5" xfId="10364"/>
    <cellStyle name="常规 4 2 10 2 2 5 4" xfId="10366"/>
    <cellStyle name="常规 4 2 10 2 2 5 4 2" xfId="4494"/>
    <cellStyle name="常规 4 2 10 2 2 5 4 2 2" xfId="10368"/>
    <cellStyle name="常规 4 2 10 2 2 5 4 3" xfId="4502"/>
    <cellStyle name="常规 4 2 10 2 2 5 4 4" xfId="10369"/>
    <cellStyle name="常规 4 2 10 2 2 5 5" xfId="10370"/>
    <cellStyle name="常规 4 2 10 2 2 5 5 2" xfId="4526"/>
    <cellStyle name="常规 4 2 10 2 2 5 6" xfId="10371"/>
    <cellStyle name="常规 4 2 10 2 2 5 7" xfId="10373"/>
    <cellStyle name="常规 4 2 10 2 2 6" xfId="10374"/>
    <cellStyle name="常规 4 2 10 2 2 6 2" xfId="10375"/>
    <cellStyle name="常规 4 2 10 2 2 6 2 2" xfId="10377"/>
    <cellStyle name="常规 4 2 10 2 2 6 2 2 2" xfId="10379"/>
    <cellStyle name="常规 4 2 10 2 2 6 2 2 2 2" xfId="10381"/>
    <cellStyle name="常规 4 2 10 2 2 6 2 2 3" xfId="10382"/>
    <cellStyle name="常规 4 2 10 2 2 6 2 2 4" xfId="10385"/>
    <cellStyle name="常规 4 2 10 2 2 6 2 3" xfId="10386"/>
    <cellStyle name="常规 4 2 10 2 2 6 2 3 2" xfId="10390"/>
    <cellStyle name="常规 4 2 10 2 2 6 2 4" xfId="8952"/>
    <cellStyle name="常规 4 2 10 2 2 6 2 5" xfId="9043"/>
    <cellStyle name="常规 4 2 10 2 2 6 3" xfId="10393"/>
    <cellStyle name="常规 4 2 10 2 2 6 3 2" xfId="10395"/>
    <cellStyle name="常规 4 2 10 2 2 6 3 2 2" xfId="10397"/>
    <cellStyle name="常规 4 2 10 2 2 6 3 3" xfId="10398"/>
    <cellStyle name="常规 4 2 10 2 2 6 3 4" xfId="9131"/>
    <cellStyle name="常规 4 2 10 2 2 6 4" xfId="10401"/>
    <cellStyle name="常规 4 2 10 2 2 6 4 2" xfId="4546"/>
    <cellStyle name="常规 4 2 10 2 2 6 5" xfId="10403"/>
    <cellStyle name="常规 4 2 10 2 2 6 6" xfId="10405"/>
    <cellStyle name="常规 4 2 10 2 2 7" xfId="10406"/>
    <cellStyle name="常规 4 2 10 2 2 7 2" xfId="10407"/>
    <cellStyle name="常规 4 2 10 2 2 7 2 2" xfId="10409"/>
    <cellStyle name="常规 4 2 10 2 2 7 2 2 2" xfId="10411"/>
    <cellStyle name="常规 4 2 10 2 2 7 2 3" xfId="10412"/>
    <cellStyle name="常规 4 2 10 2 2 7 2 4" xfId="9260"/>
    <cellStyle name="常规 4 2 10 2 2 7 3" xfId="10415"/>
    <cellStyle name="常规 4 2 10 2 2 7 3 2" xfId="10417"/>
    <cellStyle name="常规 4 2 10 2 2 7 4" xfId="10418"/>
    <cellStyle name="常规 4 2 10 2 2 7 5" xfId="10421"/>
    <cellStyle name="常规 4 2 10 2 2 8" xfId="10422"/>
    <cellStyle name="常规 4 2 10 2 2 8 2" xfId="10423"/>
    <cellStyle name="常规 4 2 10 2 2 8 2 2" xfId="10425"/>
    <cellStyle name="常规 4 2 10 2 2 8 3" xfId="10426"/>
    <cellStyle name="常规 4 2 10 2 2 8 4" xfId="10428"/>
    <cellStyle name="常规 4 2 10 2 2 9" xfId="10429"/>
    <cellStyle name="常规 4 2 10 2 2 9 2" xfId="10431"/>
    <cellStyle name="常规 4 2 10 2 3" xfId="9659"/>
    <cellStyle name="常规 4 2 10 2 3 2" xfId="10433"/>
    <cellStyle name="常规 4 2 10 2 3 2 2" xfId="10436"/>
    <cellStyle name="常规 4 2 10 2 3 2 2 2" xfId="10437"/>
    <cellStyle name="常规 4 2 10 2 3 2 2 2 2" xfId="10439"/>
    <cellStyle name="常规 4 2 10 2 3 2 2 2 2 2" xfId="10441"/>
    <cellStyle name="常规 4 2 10 2 3 2 2 2 2 2 2" xfId="10443"/>
    <cellStyle name="常规 4 2 10 2 3 2 2 2 2 2 2 2" xfId="10444"/>
    <cellStyle name="常规 4 2 10 2 3 2 2 2 2 2 3" xfId="10446"/>
    <cellStyle name="常规 4 2 10 2 3 2 2 2 2 2 4" xfId="10449"/>
    <cellStyle name="常规 4 2 10 2 3 2 2 2 2 3" xfId="10451"/>
    <cellStyle name="常规 4 2 10 2 3 2 2 2 2 3 2" xfId="10452"/>
    <cellStyle name="常规 4 2 10 2 3 2 2 2 2 4" xfId="10454"/>
    <cellStyle name="常规 4 2 10 2 3 2 2 2 2 5" xfId="10455"/>
    <cellStyle name="常规 4 2 10 2 3 2 2 2 3" xfId="10457"/>
    <cellStyle name="常规 4 2 10 2 3 2 2 2 3 2" xfId="10460"/>
    <cellStyle name="常规 4 2 10 2 3 2 2 2 3 2 2" xfId="10462"/>
    <cellStyle name="常规 4 2 10 2 3 2 2 2 3 3" xfId="10464"/>
    <cellStyle name="常规 4 2 10 2 3 2 2 2 3 4" xfId="10465"/>
    <cellStyle name="常规 4 2 10 2 3 2 2 2 4" xfId="1233"/>
    <cellStyle name="常规 4 2 10 2 3 2 2 2 4 2" xfId="10467"/>
    <cellStyle name="常规 4 2 10 2 3 2 2 2 5" xfId="10469"/>
    <cellStyle name="常规 4 2 10 2 3 2 2 2 6" xfId="10470"/>
    <cellStyle name="常规 4 2 10 2 3 2 2 3" xfId="10471"/>
    <cellStyle name="常规 4 2 10 2 3 2 2 3 2" xfId="10474"/>
    <cellStyle name="常规 4 2 10 2 3 2 2 3 2 2" xfId="10476"/>
    <cellStyle name="常规 4 2 10 2 3 2 2 3 2 2 2" xfId="10478"/>
    <cellStyle name="常规 4 2 10 2 3 2 2 3 2 3" xfId="10480"/>
    <cellStyle name="常规 4 2 10 2 3 2 2 3 2 4" xfId="10482"/>
    <cellStyle name="常规 4 2 10 2 3 2 2 3 3" xfId="10485"/>
    <cellStyle name="常规 4 2 10 2 3 2 2 3 3 2" xfId="10487"/>
    <cellStyle name="常规 4 2 10 2 3 2 2 3 4" xfId="10489"/>
    <cellStyle name="常规 4 2 10 2 3 2 2 3 5" xfId="1737"/>
    <cellStyle name="常规 4 2 10 2 3 2 2 4" xfId="1251"/>
    <cellStyle name="常规 4 2 10 2 3 2 2 4 2" xfId="3098"/>
    <cellStyle name="常规 4 2 10 2 3 2 2 4 2 2" xfId="6539"/>
    <cellStyle name="常规 4 2 10 2 3 2 2 4 3" xfId="3460"/>
    <cellStyle name="常规 4 2 10 2 3 2 2 4 4" xfId="6545"/>
    <cellStyle name="常规 4 2 10 2 3 2 2 5" xfId="3397"/>
    <cellStyle name="常规 4 2 10 2 3 2 2 5 2" xfId="3141"/>
    <cellStyle name="常规 4 2 10 2 3 2 2 6" xfId="3484"/>
    <cellStyle name="常规 4 2 10 2 3 2 2 7" xfId="3488"/>
    <cellStyle name="常规 4 2 10 2 3 2 3" xfId="10491"/>
    <cellStyle name="常规 4 2 10 2 3 2 3 2" xfId="10492"/>
    <cellStyle name="常规 4 2 10 2 3 2 3 2 2" xfId="1126"/>
    <cellStyle name="常规 4 2 10 2 3 2 3 2 2 2" xfId="10495"/>
    <cellStyle name="常规 4 2 10 2 3 2 3 2 2 2 2" xfId="10496"/>
    <cellStyle name="常规 4 2 10 2 3 2 3 2 2 3" xfId="10497"/>
    <cellStyle name="常规 4 2 10 2 3 2 3 2 2 4" xfId="10498"/>
    <cellStyle name="常规 4 2 10 2 3 2 3 2 3" xfId="10500"/>
    <cellStyle name="常规 4 2 10 2 3 2 3 2 3 2" xfId="10502"/>
    <cellStyle name="常规 4 2 10 2 3 2 3 2 4" xfId="10504"/>
    <cellStyle name="常规 4 2 10 2 3 2 3 2 5" xfId="10505"/>
    <cellStyle name="常规 4 2 10 2 3 2 3 3" xfId="10506"/>
    <cellStyle name="常规 4 2 10 2 3 2 3 3 2" xfId="1868"/>
    <cellStyle name="常规 4 2 10 2 3 2 3 3 2 2" xfId="1392"/>
    <cellStyle name="常规 4 2 10 2 3 2 3 3 3" xfId="1879"/>
    <cellStyle name="常规 4 2 10 2 3 2 3 3 4" xfId="1907"/>
    <cellStyle name="常规 4 2 10 2 3 2 3 4" xfId="1002"/>
    <cellStyle name="常规 4 2 10 2 3 2 3 4 2" xfId="5005"/>
    <cellStyle name="常规 4 2 10 2 3 2 3 5" xfId="3506"/>
    <cellStyle name="常规 4 2 10 2 3 2 3 6" xfId="6548"/>
    <cellStyle name="常规 4 2 10 2 3 2 4" xfId="10508"/>
    <cellStyle name="常规 4 2 10 2 3 2 4 2" xfId="10511"/>
    <cellStyle name="常规 4 2 10 2 3 2 4 2 2" xfId="10515"/>
    <cellStyle name="常规 4 2 10 2 3 2 4 2 2 2" xfId="333"/>
    <cellStyle name="常规 4 2 10 2 3 2 4 2 3" xfId="10518"/>
    <cellStyle name="常规 4 2 10 2 3 2 4 2 4" xfId="10520"/>
    <cellStyle name="常规 4 2 10 2 3 2 4 3" xfId="10523"/>
    <cellStyle name="常规 4 2 10 2 3 2 4 3 2" xfId="10526"/>
    <cellStyle name="常规 4 2 10 2 3 2 4 4" xfId="1333"/>
    <cellStyle name="常规 4 2 10 2 3 2 4 5" xfId="10528"/>
    <cellStyle name="常规 4 2 10 2 3 2 5" xfId="10533"/>
    <cellStyle name="常规 4 2 10 2 3 2 5 2" xfId="10537"/>
    <cellStyle name="常规 4 2 10 2 3 2 5 2 2" xfId="10542"/>
    <cellStyle name="常规 4 2 10 2 3 2 5 3" xfId="10545"/>
    <cellStyle name="常规 4 2 10 2 3 2 5 4" xfId="10548"/>
    <cellStyle name="常规 4 2 10 2 3 2 6" xfId="10554"/>
    <cellStyle name="常规 4 2 10 2 3 2 6 2" xfId="8488"/>
    <cellStyle name="常规 4 2 10 2 3 2 7" xfId="10559"/>
    <cellStyle name="常规 4 2 10 2 3 2 8" xfId="3037"/>
    <cellStyle name="常规 4 2 10 2 3 3" xfId="10562"/>
    <cellStyle name="常规 4 2 10 2 3 3 2" xfId="10563"/>
    <cellStyle name="常规 4 2 10 2 3 3 2 2" xfId="10564"/>
    <cellStyle name="常规 4 2 10 2 3 3 2 2 2" xfId="10565"/>
    <cellStyle name="常规 4 2 10 2 3 3 2 2 2 2" xfId="10567"/>
    <cellStyle name="常规 4 2 10 2 3 3 2 2 2 2 2" xfId="10569"/>
    <cellStyle name="常规 4 2 10 2 3 3 2 2 2 3" xfId="10571"/>
    <cellStyle name="常规 4 2 10 2 3 3 2 2 2 4" xfId="10573"/>
    <cellStyle name="常规 4 2 10 2 3 3 2 2 3" xfId="10574"/>
    <cellStyle name="常规 4 2 10 2 3 3 2 2 3 2" xfId="10578"/>
    <cellStyle name="常规 4 2 10 2 3 3 2 2 4" xfId="10458"/>
    <cellStyle name="常规 4 2 10 2 3 3 2 2 5" xfId="10463"/>
    <cellStyle name="常规 4 2 10 2 3 3 2 3" xfId="10579"/>
    <cellStyle name="常规 4 2 10 2 3 3 2 3 2" xfId="10580"/>
    <cellStyle name="常规 4 2 10 2 3 3 2 3 2 2" xfId="10582"/>
    <cellStyle name="常规 4 2 10 2 3 3 2 3 3" xfId="10583"/>
    <cellStyle name="常规 4 2 10 2 3 3 2 3 4" xfId="10466"/>
    <cellStyle name="常规 4 2 10 2 3 3 2 4" xfId="2064"/>
    <cellStyle name="常规 4 2 10 2 3 3 2 4 2" xfId="2073"/>
    <cellStyle name="常规 4 2 10 2 3 3 2 5" xfId="2093"/>
    <cellStyle name="常规 4 2 10 2 3 3 2 6" xfId="966"/>
    <cellStyle name="常规 4 2 10 2 3 3 3" xfId="10584"/>
    <cellStyle name="常规 4 2 10 2 3 3 3 2" xfId="10585"/>
    <cellStyle name="常规 4 2 10 2 3 3 3 2 2" xfId="10586"/>
    <cellStyle name="常规 4 2 10 2 3 3 3 2 2 2" xfId="10587"/>
    <cellStyle name="常规 4 2 10 2 3 3 3 2 3" xfId="10588"/>
    <cellStyle name="常规 4 2 10 2 3 3 3 2 4" xfId="10486"/>
    <cellStyle name="常规 4 2 10 2 3 3 3 3" xfId="10589"/>
    <cellStyle name="常规 4 2 10 2 3 3 3 3 2" xfId="10590"/>
    <cellStyle name="常规 4 2 10 2 3 3 3 4" xfId="2121"/>
    <cellStyle name="常规 4 2 10 2 3 3 3 5" xfId="10592"/>
    <cellStyle name="常规 4 2 10 2 3 3 4" xfId="10594"/>
    <cellStyle name="常规 4 2 10 2 3 3 4 2" xfId="10597"/>
    <cellStyle name="常规 4 2 10 2 3 3 4 2 2" xfId="10600"/>
    <cellStyle name="常规 4 2 10 2 3 3 4 3" xfId="10602"/>
    <cellStyle name="常规 4 2 10 2 3 3 4 4" xfId="10604"/>
    <cellStyle name="常规 4 2 10 2 3 3 5" xfId="10609"/>
    <cellStyle name="常规 4 2 10 2 3 3 5 2" xfId="10612"/>
    <cellStyle name="常规 4 2 10 2 3 3 6" xfId="10616"/>
    <cellStyle name="常规 4 2 10 2 3 3 7" xfId="10619"/>
    <cellStyle name="常规 4 2 10 2 3 4" xfId="5124"/>
    <cellStyle name="常规 4 2 10 2 3 4 2" xfId="2419"/>
    <cellStyle name="常规 4 2 10 2 3 4 2 2" xfId="10622"/>
    <cellStyle name="常规 4 2 10 2 3 4 2 2 2" xfId="10623"/>
    <cellStyle name="常规 4 2 10 2 3 4 2 2 2 2" xfId="10624"/>
    <cellStyle name="常规 4 2 10 2 3 4 2 2 3" xfId="10625"/>
    <cellStyle name="常规 4 2 10 2 3 4 2 2 4" xfId="10501"/>
    <cellStyle name="常规 4 2 10 2 3 4 2 3" xfId="10627"/>
    <cellStyle name="常规 4 2 10 2 3 4 2 3 2" xfId="10629"/>
    <cellStyle name="常规 4 2 10 2 3 4 2 4" xfId="6564"/>
    <cellStyle name="常规 4 2 10 2 3 4 2 5" xfId="10633"/>
    <cellStyle name="常规 4 2 10 2 3 4 3" xfId="10634"/>
    <cellStyle name="常规 4 2 10 2 3 4 3 2" xfId="10635"/>
    <cellStyle name="常规 4 2 10 2 3 4 3 2 2" xfId="10636"/>
    <cellStyle name="常规 4 2 10 2 3 4 3 3" xfId="10638"/>
    <cellStyle name="常规 4 2 10 2 3 4 3 4" xfId="10642"/>
    <cellStyle name="常规 4 2 10 2 3 4 4" xfId="10644"/>
    <cellStyle name="常规 4 2 10 2 3 4 4 2" xfId="4692"/>
    <cellStyle name="常规 4 2 10 2 3 4 5" xfId="10646"/>
    <cellStyle name="常规 4 2 10 2 3 4 6" xfId="10649"/>
    <cellStyle name="常规 4 2 10 2 3 5" xfId="10652"/>
    <cellStyle name="常规 4 2 10 2 3 5 2" xfId="10653"/>
    <cellStyle name="常规 4 2 10 2 3 5 2 2" xfId="10654"/>
    <cellStyle name="常规 4 2 10 2 3 5 2 2 2" xfId="10655"/>
    <cellStyle name="常规 4 2 10 2 3 5 2 3" xfId="10657"/>
    <cellStyle name="常规 4 2 10 2 3 5 2 4" xfId="10660"/>
    <cellStyle name="常规 4 2 10 2 3 5 3" xfId="10661"/>
    <cellStyle name="常规 4 2 10 2 3 5 3 2" xfId="10662"/>
    <cellStyle name="常规 4 2 10 2 3 5 4" xfId="10663"/>
    <cellStyle name="常规 4 2 10 2 3 5 5" xfId="10665"/>
    <cellStyle name="常规 4 2 10 2 3 6" xfId="10668"/>
    <cellStyle name="常规 4 2 10 2 3 6 2" xfId="10670"/>
    <cellStyle name="常规 4 2 10 2 3 6 2 2" xfId="10673"/>
    <cellStyle name="常规 4 2 10 2 3 6 3" xfId="10676"/>
    <cellStyle name="常规 4 2 10 2 3 6 4" xfId="10679"/>
    <cellStyle name="常规 4 2 10 2 3 7" xfId="10683"/>
    <cellStyle name="常规 4 2 10 2 3 7 2" xfId="10685"/>
    <cellStyle name="常规 4 2 10 2 3 8" xfId="10687"/>
    <cellStyle name="常规 4 2 10 2 3 9" xfId="10689"/>
    <cellStyle name="常规 4 2 10 2 4" xfId="10693"/>
    <cellStyle name="常规 4 2 10 2 4 2" xfId="10697"/>
    <cellStyle name="常规 4 2 10 2 4 2 2" xfId="10700"/>
    <cellStyle name="常规 4 2 10 2 4 2 2 2" xfId="10701"/>
    <cellStyle name="常规 4 2 10 2 4 2 2 2 2" xfId="10702"/>
    <cellStyle name="常规 4 2 10 2 4 2 2 2 2 2" xfId="10703"/>
    <cellStyle name="常规 4 2 10 2 4 2 2 2 2 2 2" xfId="10706"/>
    <cellStyle name="常规 4 2 10 2 4 2 2 2 2 2 2 2" xfId="10710"/>
    <cellStyle name="常规 4 2 10 2 4 2 2 2 2 2 3" xfId="10713"/>
    <cellStyle name="常规 4 2 10 2 4 2 2 2 2 2 4" xfId="10716"/>
    <cellStyle name="常规 4 2 10 2 4 2 2 2 2 3" xfId="10717"/>
    <cellStyle name="常规 4 2 10 2 4 2 2 2 2 3 2" xfId="10720"/>
    <cellStyle name="常规 4 2 10 2 4 2 2 2 2 4" xfId="10721"/>
    <cellStyle name="常规 4 2 10 2 4 2 2 2 2 5" xfId="10722"/>
    <cellStyle name="常规 4 2 10 2 4 2 2 2 3" xfId="10723"/>
    <cellStyle name="常规 4 2 10 2 4 2 2 2 3 2" xfId="10724"/>
    <cellStyle name="常规 4 2 10 2 4 2 2 2 3 2 2" xfId="10730"/>
    <cellStyle name="常规 4 2 10 2 4 2 2 2 3 3" xfId="10732"/>
    <cellStyle name="常规 4 2 10 2 4 2 2 2 3 4" xfId="10733"/>
    <cellStyle name="常规 4 2 10 2 4 2 2 2 4" xfId="10734"/>
    <cellStyle name="常规 4 2 10 2 4 2 2 2 4 2" xfId="10738"/>
    <cellStyle name="常规 4 2 10 2 4 2 2 2 5" xfId="10739"/>
    <cellStyle name="常规 4 2 10 2 4 2 2 2 6" xfId="10740"/>
    <cellStyle name="常规 4 2 10 2 4 2 2 3" xfId="10741"/>
    <cellStyle name="常规 4 2 10 2 4 2 2 3 2" xfId="10742"/>
    <cellStyle name="常规 4 2 10 2 4 2 2 3 2 2" xfId="10743"/>
    <cellStyle name="常规 4 2 10 2 4 2 2 3 2 2 2" xfId="10746"/>
    <cellStyle name="常规 4 2 10 2 4 2 2 3 2 3" xfId="10747"/>
    <cellStyle name="常规 4 2 10 2 4 2 2 3 2 4" xfId="10748"/>
    <cellStyle name="常规 4 2 10 2 4 2 2 3 3" xfId="10749"/>
    <cellStyle name="常规 4 2 10 2 4 2 2 3 3 2" xfId="10752"/>
    <cellStyle name="常规 4 2 10 2 4 2 2 3 4" xfId="10753"/>
    <cellStyle name="常规 4 2 10 2 4 2 2 3 5" xfId="10754"/>
    <cellStyle name="常规 4 2 10 2 4 2 2 4" xfId="6635"/>
    <cellStyle name="常规 4 2 10 2 4 2 2 4 2" xfId="5721"/>
    <cellStyle name="常规 4 2 10 2 4 2 2 4 2 2" xfId="10756"/>
    <cellStyle name="常规 4 2 10 2 4 2 2 4 3" xfId="10760"/>
    <cellStyle name="常规 4 2 10 2 4 2 2 4 4" xfId="10764"/>
    <cellStyle name="常规 4 2 10 2 4 2 2 5" xfId="6638"/>
    <cellStyle name="常规 4 2 10 2 4 2 2 5 2" xfId="10768"/>
    <cellStyle name="常规 4 2 10 2 4 2 2 6" xfId="6641"/>
    <cellStyle name="常规 4 2 10 2 4 2 2 7" xfId="10770"/>
    <cellStyle name="常规 4 2 10 2 4 2 3" xfId="10771"/>
    <cellStyle name="常规 4 2 10 2 4 2 3 2" xfId="10772"/>
    <cellStyle name="常规 4 2 10 2 4 2 3 2 2" xfId="10773"/>
    <cellStyle name="常规 4 2 10 2 4 2 3 2 2 2" xfId="10774"/>
    <cellStyle name="常规 4 2 10 2 4 2 3 2 2 2 2" xfId="3107"/>
    <cellStyle name="常规 4 2 10 2 4 2 3 2 2 3" xfId="10775"/>
    <cellStyle name="常规 4 2 10 2 4 2 3 2 2 4" xfId="10776"/>
    <cellStyle name="常规 4 2 10 2 4 2 3 2 3" xfId="10777"/>
    <cellStyle name="常规 4 2 10 2 4 2 3 2 3 2" xfId="10780"/>
    <cellStyle name="常规 4 2 10 2 4 2 3 2 4" xfId="10781"/>
    <cellStyle name="常规 4 2 10 2 4 2 3 2 5" xfId="10782"/>
    <cellStyle name="常规 4 2 10 2 4 2 3 3" xfId="10783"/>
    <cellStyle name="常规 4 2 10 2 4 2 3 3 2" xfId="10784"/>
    <cellStyle name="常规 4 2 10 2 4 2 3 3 2 2" xfId="10785"/>
    <cellStyle name="常规 4 2 10 2 4 2 3 3 3" xfId="10786"/>
    <cellStyle name="常规 4 2 10 2 4 2 3 3 4" xfId="10787"/>
    <cellStyle name="常规 4 2 10 2 4 2 3 4" xfId="6646"/>
    <cellStyle name="常规 4 2 10 2 4 2 3 4 2" xfId="10789"/>
    <cellStyle name="常规 4 2 10 2 4 2 3 5" xfId="10791"/>
    <cellStyle name="常规 4 2 10 2 4 2 3 6" xfId="10793"/>
    <cellStyle name="常规 4 2 10 2 4 2 4" xfId="10795"/>
    <cellStyle name="常规 4 2 10 2 4 2 4 2" xfId="10798"/>
    <cellStyle name="常规 4 2 10 2 4 2 4 2 2" xfId="10800"/>
    <cellStyle name="常规 4 2 10 2 4 2 4 2 2 2" xfId="9757"/>
    <cellStyle name="常规 4 2 10 2 4 2 4 2 3" xfId="10803"/>
    <cellStyle name="常规 4 2 10 2 4 2 4 2 4" xfId="10806"/>
    <cellStyle name="常规 4 2 10 2 4 2 4 3" xfId="10808"/>
    <cellStyle name="常规 4 2 10 2 4 2 4 3 2" xfId="10810"/>
    <cellStyle name="常规 4 2 10 2 4 2 4 4" xfId="8269"/>
    <cellStyle name="常规 4 2 10 2 4 2 4 5" xfId="10813"/>
    <cellStyle name="常规 4 2 10 2 4 2 5" xfId="10816"/>
    <cellStyle name="常规 4 2 10 2 4 2 5 2" xfId="2250"/>
    <cellStyle name="常规 4 2 10 2 4 2 5 2 2" xfId="10819"/>
    <cellStyle name="常规 4 2 10 2 4 2 5 3" xfId="2257"/>
    <cellStyle name="常规 4 2 10 2 4 2 5 4" xfId="4150"/>
    <cellStyle name="常规 4 2 10 2 4 2 6" xfId="10824"/>
    <cellStyle name="常规 4 2 10 2 4 2 6 2" xfId="10827"/>
    <cellStyle name="常规 4 2 10 2 4 2 7" xfId="10830"/>
    <cellStyle name="常规 4 2 10 2 4 2 8" xfId="10833"/>
    <cellStyle name="常规 4 2 10 2 4 3" xfId="10839"/>
    <cellStyle name="常规 4 2 10 2 4 3 2" xfId="10840"/>
    <cellStyle name="常规 4 2 10 2 4 3 2 2" xfId="10842"/>
    <cellStyle name="常规 4 2 10 2 4 3 2 2 2" xfId="10844"/>
    <cellStyle name="常规 4 2 10 2 4 3 2 2 2 2" xfId="10847"/>
    <cellStyle name="常规 4 2 10 2 4 3 2 2 2 2 2" xfId="10850"/>
    <cellStyle name="常规 4 2 10 2 4 3 2 2 2 3" xfId="10853"/>
    <cellStyle name="常规 4 2 10 2 4 3 2 2 2 4" xfId="10854"/>
    <cellStyle name="常规 4 2 10 2 4 3 2 2 3" xfId="10859"/>
    <cellStyle name="常规 4 2 10 2 4 3 2 2 3 2" xfId="10863"/>
    <cellStyle name="常规 4 2 10 2 4 3 2 2 4" xfId="10577"/>
    <cellStyle name="常规 4 2 10 2 4 3 2 2 5" xfId="10865"/>
    <cellStyle name="常规 4 2 10 2 4 3 2 3" xfId="10866"/>
    <cellStyle name="常规 4 2 10 2 4 3 2 3 2" xfId="10867"/>
    <cellStyle name="常规 4 2 10 2 4 3 2 3 2 2" xfId="10869"/>
    <cellStyle name="常规 4 2 10 2 4 3 2 3 3" xfId="10870"/>
    <cellStyle name="常规 4 2 10 2 4 3 2 3 4" xfId="10461"/>
    <cellStyle name="常规 4 2 10 2 4 3 2 4" xfId="3539"/>
    <cellStyle name="常规 4 2 10 2 4 3 2 4 2" xfId="10872"/>
    <cellStyle name="常规 4 2 10 2 4 3 2 5" xfId="10874"/>
    <cellStyle name="常规 4 2 10 2 4 3 2 6" xfId="10876"/>
    <cellStyle name="常规 4 2 10 2 4 3 3" xfId="10877"/>
    <cellStyle name="常规 4 2 10 2 4 3 3 2" xfId="10879"/>
    <cellStyle name="常规 4 2 10 2 4 3 3 2 2" xfId="10881"/>
    <cellStyle name="常规 4 2 10 2 4 3 3 2 2 2" xfId="10884"/>
    <cellStyle name="常规 4 2 10 2 4 3 3 2 3" xfId="10886"/>
    <cellStyle name="常规 4 2 10 2 4 3 3 2 4" xfId="10888"/>
    <cellStyle name="常规 4 2 10 2 4 3 3 3" xfId="10889"/>
    <cellStyle name="常规 4 2 10 2 4 3 3 3 2" xfId="10890"/>
    <cellStyle name="常规 4 2 10 2 4 3 3 4" xfId="10892"/>
    <cellStyle name="常规 4 2 10 2 4 3 3 5" xfId="10893"/>
    <cellStyle name="常规 4 2 10 2 4 3 4" xfId="10895"/>
    <cellStyle name="常规 4 2 10 2 4 3 4 2" xfId="10897"/>
    <cellStyle name="常规 4 2 10 2 4 3 4 2 2" xfId="10900"/>
    <cellStyle name="常规 4 2 10 2 4 3 4 3" xfId="10903"/>
    <cellStyle name="常规 4 2 10 2 4 3 4 4" xfId="10905"/>
    <cellStyle name="常规 4 2 10 2 4 3 5" xfId="3779"/>
    <cellStyle name="常规 4 2 10 2 4 3 5 2" xfId="10908"/>
    <cellStyle name="常规 4 2 10 2 4 3 6" xfId="10911"/>
    <cellStyle name="常规 4 2 10 2 4 3 7" xfId="10914"/>
    <cellStyle name="常规 4 2 10 2 4 4" xfId="10919"/>
    <cellStyle name="常规 4 2 10 2 4 4 2" xfId="10920"/>
    <cellStyle name="常规 4 2 10 2 4 4 2 2" xfId="10922"/>
    <cellStyle name="常规 4 2 10 2 4 4 2 2 2" xfId="10923"/>
    <cellStyle name="常规 4 2 10 2 4 4 2 2 2 2" xfId="10925"/>
    <cellStyle name="常规 4 2 10 2 4 4 2 2 3" xfId="10926"/>
    <cellStyle name="常规 4 2 10 2 4 4 2 2 4" xfId="10927"/>
    <cellStyle name="常规 4 2 10 2 4 4 2 3" xfId="1814"/>
    <cellStyle name="常规 4 2 10 2 4 4 2 3 2" xfId="414"/>
    <cellStyle name="常规 4 2 10 2 4 4 2 4" xfId="10930"/>
    <cellStyle name="常规 4 2 10 2 4 4 2 5" xfId="10932"/>
    <cellStyle name="常规 4 2 10 2 4 4 3" xfId="10933"/>
    <cellStyle name="常规 4 2 10 2 4 4 3 2" xfId="10935"/>
    <cellStyle name="常规 4 2 10 2 4 4 3 2 2" xfId="10936"/>
    <cellStyle name="常规 4 2 10 2 4 4 3 3" xfId="10940"/>
    <cellStyle name="常规 4 2 10 2 4 4 3 4" xfId="10942"/>
    <cellStyle name="常规 4 2 10 2 4 4 4" xfId="10943"/>
    <cellStyle name="常规 4 2 10 2 4 4 4 2" xfId="1046"/>
    <cellStyle name="常规 4 2 10 2 4 4 5" xfId="10946"/>
    <cellStyle name="常规 4 2 10 2 4 4 6" xfId="10950"/>
    <cellStyle name="常规 4 2 10 2 4 5" xfId="10953"/>
    <cellStyle name="常规 4 2 10 2 4 5 2" xfId="10955"/>
    <cellStyle name="常规 4 2 10 2 4 5 2 2" xfId="10956"/>
    <cellStyle name="常规 4 2 10 2 4 5 2 2 2" xfId="10957"/>
    <cellStyle name="常规 4 2 10 2 4 5 2 3" xfId="10959"/>
    <cellStyle name="常规 4 2 10 2 4 5 2 4" xfId="10960"/>
    <cellStyle name="常规 4 2 10 2 4 5 3" xfId="10961"/>
    <cellStyle name="常规 4 2 10 2 4 5 3 2" xfId="10962"/>
    <cellStyle name="常规 4 2 10 2 4 5 4" xfId="10963"/>
    <cellStyle name="常规 4 2 10 2 4 5 5" xfId="10966"/>
    <cellStyle name="常规 4 2 10 2 4 6" xfId="10967"/>
    <cellStyle name="常规 4 2 10 2 4 6 2" xfId="10969"/>
    <cellStyle name="常规 4 2 10 2 4 6 2 2" xfId="10972"/>
    <cellStyle name="常规 4 2 10 2 4 6 3" xfId="10973"/>
    <cellStyle name="常规 4 2 10 2 4 6 4" xfId="10977"/>
    <cellStyle name="常规 4 2 10 2 4 7" xfId="10978"/>
    <cellStyle name="常规 4 2 10 2 4 7 2" xfId="10979"/>
    <cellStyle name="常规 4 2 10 2 4 8" xfId="10981"/>
    <cellStyle name="常规 4 2 10 2 4 9" xfId="10983"/>
    <cellStyle name="常规 4 2 10 2 5" xfId="10989"/>
    <cellStyle name="常规 4 2 10 2 5 2" xfId="10996"/>
    <cellStyle name="常规 4 2 10 2 5 2 2" xfId="10998"/>
    <cellStyle name="常规 4 2 10 2 5 2 2 2" xfId="11000"/>
    <cellStyle name="常规 4 2 10 2 5 2 2 2 2" xfId="11002"/>
    <cellStyle name="常规 4 2 10 2 5 2 2 2 2 2" xfId="11004"/>
    <cellStyle name="常规 4 2 10 2 5 2 2 2 2 2 2" xfId="11007"/>
    <cellStyle name="常规 4 2 10 2 5 2 2 2 2 3" xfId="11009"/>
    <cellStyle name="常规 4 2 10 2 5 2 2 2 2 4" xfId="11011"/>
    <cellStyle name="常规 4 2 10 2 5 2 2 2 3" xfId="11013"/>
    <cellStyle name="常规 4 2 10 2 5 2 2 2 3 2" xfId="11015"/>
    <cellStyle name="常规 4 2 10 2 5 2 2 2 4" xfId="11017"/>
    <cellStyle name="常规 4 2 10 2 5 2 2 2 5" xfId="11019"/>
    <cellStyle name="常规 4 2 10 2 5 2 2 3" xfId="11021"/>
    <cellStyle name="常规 4 2 10 2 5 2 2 3 2" xfId="11023"/>
    <cellStyle name="常规 4 2 10 2 5 2 2 3 2 2" xfId="11025"/>
    <cellStyle name="常规 4 2 10 2 5 2 2 3 3" xfId="11027"/>
    <cellStyle name="常规 4 2 10 2 5 2 2 3 4" xfId="11029"/>
    <cellStyle name="常规 4 2 10 2 5 2 2 4" xfId="4067"/>
    <cellStyle name="常规 4 2 10 2 5 2 2 4 2" xfId="11032"/>
    <cellStyle name="常规 4 2 10 2 5 2 2 5" xfId="11035"/>
    <cellStyle name="常规 4 2 10 2 5 2 2 6" xfId="11038"/>
    <cellStyle name="常规 4 2 10 2 5 2 3" xfId="11041"/>
    <cellStyle name="常规 4 2 10 2 5 2 3 2" xfId="11043"/>
    <cellStyle name="常规 4 2 10 2 5 2 3 2 2" xfId="11045"/>
    <cellStyle name="常规 4 2 10 2 5 2 3 2 2 2" xfId="11047"/>
    <cellStyle name="常规 4 2 10 2 5 2 3 2 3" xfId="11049"/>
    <cellStyle name="常规 4 2 10 2 5 2 3 2 4" xfId="11051"/>
    <cellStyle name="常规 4 2 10 2 5 2 3 3" xfId="11053"/>
    <cellStyle name="常规 4 2 10 2 5 2 3 3 2" xfId="11055"/>
    <cellStyle name="常规 4 2 10 2 5 2 3 4" xfId="11058"/>
    <cellStyle name="常规 4 2 10 2 5 2 3 5" xfId="11061"/>
    <cellStyle name="常规 4 2 10 2 5 2 4" xfId="11064"/>
    <cellStyle name="常规 4 2 10 2 5 2 4 2" xfId="11067"/>
    <cellStyle name="常规 4 2 10 2 5 2 4 2 2" xfId="11070"/>
    <cellStyle name="常规 4 2 10 2 5 2 4 3" xfId="11073"/>
    <cellStyle name="常规 4 2 10 2 5 2 4 4" xfId="11076"/>
    <cellStyle name="常规 4 2 10 2 5 2 5" xfId="11079"/>
    <cellStyle name="常规 4 2 10 2 5 2 5 2" xfId="11083"/>
    <cellStyle name="常规 4 2 10 2 5 2 6" xfId="11088"/>
    <cellStyle name="常规 4 2 10 2 5 2 7" xfId="11092"/>
    <cellStyle name="常规 4 2 10 2 5 3" xfId="11096"/>
    <cellStyle name="常规 4 2 10 2 5 3 2" xfId="11100"/>
    <cellStyle name="常规 4 2 10 2 5 3 2 2" xfId="11102"/>
    <cellStyle name="常规 4 2 10 2 5 3 2 2 2" xfId="11104"/>
    <cellStyle name="常规 4 2 10 2 5 3 2 2 2 2" xfId="11106"/>
    <cellStyle name="常规 4 2 10 2 5 3 2 2 3" xfId="11108"/>
    <cellStyle name="常规 4 2 10 2 5 3 2 2 4" xfId="11110"/>
    <cellStyle name="常规 4 2 10 2 5 3 2 3" xfId="11112"/>
    <cellStyle name="常规 4 2 10 2 5 3 2 3 2" xfId="11114"/>
    <cellStyle name="常规 4 2 10 2 5 3 2 4" xfId="11117"/>
    <cellStyle name="常规 4 2 10 2 5 3 2 5" xfId="11119"/>
    <cellStyle name="常规 4 2 10 2 5 3 3" xfId="11121"/>
    <cellStyle name="常规 4 2 10 2 5 3 3 2" xfId="11123"/>
    <cellStyle name="常规 4 2 10 2 5 3 3 2 2" xfId="11125"/>
    <cellStyle name="常规 4 2 10 2 5 3 3 3" xfId="11127"/>
    <cellStyle name="常规 4 2 10 2 5 3 3 4" xfId="11129"/>
    <cellStyle name="常规 4 2 10 2 5 3 4" xfId="11131"/>
    <cellStyle name="常规 4 2 10 2 5 3 4 2" xfId="11134"/>
    <cellStyle name="常规 4 2 10 2 5 3 5" xfId="11137"/>
    <cellStyle name="常规 4 2 10 2 5 3 6" xfId="11141"/>
    <cellStyle name="常规 4 2 10 2 5 4" xfId="11145"/>
    <cellStyle name="常规 4 2 10 2 5 4 2" xfId="11147"/>
    <cellStyle name="常规 4 2 10 2 5 4 2 2" xfId="11149"/>
    <cellStyle name="常规 4 2 10 2 5 4 2 2 2" xfId="11152"/>
    <cellStyle name="常规 4 2 10 2 5 4 2 3" xfId="11155"/>
    <cellStyle name="常规 4 2 10 2 5 4 2 4" xfId="11157"/>
    <cellStyle name="常规 4 2 10 2 5 4 3" xfId="11159"/>
    <cellStyle name="常规 4 2 10 2 5 4 3 2" xfId="11161"/>
    <cellStyle name="常规 4 2 10 2 5 4 4" xfId="2547"/>
    <cellStyle name="常规 4 2 10 2 5 4 5" xfId="9054"/>
    <cellStyle name="常规 4 2 10 2 5 5" xfId="11164"/>
    <cellStyle name="常规 4 2 10 2 5 5 2" xfId="11166"/>
    <cellStyle name="常规 4 2 10 2 5 5 2 2" xfId="11168"/>
    <cellStyle name="常规 4 2 10 2 5 5 3" xfId="11170"/>
    <cellStyle name="常规 4 2 10 2 5 5 4" xfId="9062"/>
    <cellStyle name="常规 4 2 10 2 5 6" xfId="11172"/>
    <cellStyle name="常规 4 2 10 2 5 6 2" xfId="11174"/>
    <cellStyle name="常规 4 2 10 2 5 7" xfId="11177"/>
    <cellStyle name="常规 4 2 10 2 5 8" xfId="7950"/>
    <cellStyle name="常规 4 2 10 2 6" xfId="6891"/>
    <cellStyle name="常规 4 2 10 2 6 2" xfId="11181"/>
    <cellStyle name="常规 4 2 10 2 6 2 2" xfId="11184"/>
    <cellStyle name="常规 4 2 10 2 6 2 2 2" xfId="11186"/>
    <cellStyle name="常规 4 2 10 2 6 2 2 2 2" xfId="11189"/>
    <cellStyle name="常规 4 2 10 2 6 2 2 2 2 2" xfId="11191"/>
    <cellStyle name="常规 4 2 10 2 6 2 2 2 3" xfId="11193"/>
    <cellStyle name="常规 4 2 10 2 6 2 2 2 4" xfId="11195"/>
    <cellStyle name="常规 4 2 10 2 6 2 2 3" xfId="11198"/>
    <cellStyle name="常规 4 2 10 2 6 2 2 3 2" xfId="11201"/>
    <cellStyle name="常规 4 2 10 2 6 2 2 4" xfId="11205"/>
    <cellStyle name="常规 4 2 10 2 6 2 2 5" xfId="11207"/>
    <cellStyle name="常规 4 2 10 2 6 2 3" xfId="11211"/>
    <cellStyle name="常规 4 2 10 2 6 2 3 2" xfId="11213"/>
    <cellStyle name="常规 4 2 10 2 6 2 3 2 2" xfId="11215"/>
    <cellStyle name="常规 4 2 10 2 6 2 3 3" xfId="11218"/>
    <cellStyle name="常规 4 2 10 2 6 2 3 4" xfId="11220"/>
    <cellStyle name="常规 4 2 10 2 6 2 4" xfId="11222"/>
    <cellStyle name="常规 4 2 10 2 6 2 4 2" xfId="11225"/>
    <cellStyle name="常规 4 2 10 2 6 2 5" xfId="11228"/>
    <cellStyle name="常规 4 2 10 2 6 2 6" xfId="11232"/>
    <cellStyle name="常规 4 2 10 2 6 3" xfId="11235"/>
    <cellStyle name="常规 4 2 10 2 6 3 2" xfId="11237"/>
    <cellStyle name="常规 4 2 10 2 6 3 2 2" xfId="11239"/>
    <cellStyle name="常规 4 2 10 2 6 3 2 2 2" xfId="11241"/>
    <cellStyle name="常规 4 2 10 2 6 3 2 3" xfId="11244"/>
    <cellStyle name="常规 4 2 10 2 6 3 2 4" xfId="11247"/>
    <cellStyle name="常规 4 2 10 2 6 3 3" xfId="11249"/>
    <cellStyle name="常规 4 2 10 2 6 3 3 2" xfId="11251"/>
    <cellStyle name="常规 4 2 10 2 6 3 4" xfId="11253"/>
    <cellStyle name="常规 4 2 10 2 6 3 5" xfId="11256"/>
    <cellStyle name="常规 4 2 10 2 6 4" xfId="11258"/>
    <cellStyle name="常规 4 2 10 2 6 4 2" xfId="11260"/>
    <cellStyle name="常规 4 2 10 2 6 4 2 2" xfId="11262"/>
    <cellStyle name="常规 4 2 10 2 6 4 3" xfId="11264"/>
    <cellStyle name="常规 4 2 10 2 6 4 4" xfId="9075"/>
    <cellStyle name="常规 4 2 10 2 6 5" xfId="11266"/>
    <cellStyle name="常规 4 2 10 2 6 5 2" xfId="11268"/>
    <cellStyle name="常规 4 2 10 2 6 6" xfId="11270"/>
    <cellStyle name="常规 4 2 10 2 6 7" xfId="11272"/>
    <cellStyle name="常规 4 2 10 2 7" xfId="11276"/>
    <cellStyle name="常规 4 2 10 2 7 2" xfId="11278"/>
    <cellStyle name="常规 4 2 10 2 7 2 2" xfId="11281"/>
    <cellStyle name="常规 4 2 10 2 7 2 2 2" xfId="11283"/>
    <cellStyle name="常规 4 2 10 2 7 2 2 2 2" xfId="11287"/>
    <cellStyle name="常规 4 2 10 2 7 2 2 3" xfId="11290"/>
    <cellStyle name="常规 4 2 10 2 7 2 2 4" xfId="11292"/>
    <cellStyle name="常规 4 2 10 2 7 2 3" xfId="11294"/>
    <cellStyle name="常规 4 2 10 2 7 2 3 2" xfId="11297"/>
    <cellStyle name="常规 4 2 10 2 7 2 4" xfId="11299"/>
    <cellStyle name="常规 4 2 10 2 7 2 5" xfId="11302"/>
    <cellStyle name="常规 4 2 10 2 7 3" xfId="11304"/>
    <cellStyle name="常规 4 2 10 2 7 3 2" xfId="11306"/>
    <cellStyle name="常规 4 2 10 2 7 3 2 2" xfId="11308"/>
    <cellStyle name="常规 4 2 10 2 7 3 3" xfId="11310"/>
    <cellStyle name="常规 4 2 10 2 7 3 4" xfId="11313"/>
    <cellStyle name="常规 4 2 10 2 7 4" xfId="11316"/>
    <cellStyle name="常规 4 2 10 2 7 4 2" xfId="11318"/>
    <cellStyle name="常规 4 2 10 2 7 5" xfId="11320"/>
    <cellStyle name="常规 4 2 10 2 7 6" xfId="11322"/>
    <cellStyle name="常规 4 2 10 2 8" xfId="11324"/>
    <cellStyle name="常规 4 2 10 2 8 2" xfId="11326"/>
    <cellStyle name="常规 4 2 10 2 8 2 2" xfId="11328"/>
    <cellStyle name="常规 4 2 10 2 8 2 2 2" xfId="11331"/>
    <cellStyle name="常规 4 2 10 2 8 2 3" xfId="11333"/>
    <cellStyle name="常规 4 2 10 2 8 2 4" xfId="11335"/>
    <cellStyle name="常规 4 2 10 2 8 3" xfId="11337"/>
    <cellStyle name="常规 4 2 10 2 8 3 2" xfId="11339"/>
    <cellStyle name="常规 4 2 10 2 8 4" xfId="11341"/>
    <cellStyle name="常规 4 2 10 2 8 5" xfId="11344"/>
    <cellStyle name="常规 4 2 10 2 9" xfId="11346"/>
    <cellStyle name="常规 4 2 10 2 9 2" xfId="11348"/>
    <cellStyle name="常规 4 2 10 2 9 2 2" xfId="11351"/>
    <cellStyle name="常规 4 2 10 2 9 3" xfId="11353"/>
    <cellStyle name="常规 4 2 10 2 9 4" xfId="11355"/>
    <cellStyle name="常规 4 2 10 3" xfId="11356"/>
    <cellStyle name="常规 4 2 10 3 10" xfId="11358"/>
    <cellStyle name="常规 4 2 10 3 11" xfId="11361"/>
    <cellStyle name="常规 4 2 10 3 2" xfId="11362"/>
    <cellStyle name="常规 4 2 10 3 2 2" xfId="11363"/>
    <cellStyle name="常规 4 2 10 3 2 2 2" xfId="11366"/>
    <cellStyle name="常规 4 2 10 3 2 2 2 2" xfId="11367"/>
    <cellStyle name="常规 4 2 10 3 2 2 2 2 2" xfId="10218"/>
    <cellStyle name="常规 4 2 10 3 2 2 2 2 2 2" xfId="10220"/>
    <cellStyle name="常规 4 2 10 3 2 2 2 2 2 2 2" xfId="10222"/>
    <cellStyle name="常规 4 2 10 3 2 2 2 2 2 2 2 2" xfId="10224"/>
    <cellStyle name="常规 4 2 10 3 2 2 2 2 2 2 3" xfId="10226"/>
    <cellStyle name="常规 4 2 10 3 2 2 2 2 2 2 4" xfId="10228"/>
    <cellStyle name="常规 4 2 10 3 2 2 2 2 2 3" xfId="10232"/>
    <cellStyle name="常规 4 2 10 3 2 2 2 2 2 3 2" xfId="10236"/>
    <cellStyle name="常规 4 2 10 3 2 2 2 2 2 4" xfId="10239"/>
    <cellStyle name="常规 4 2 10 3 2 2 2 2 2 5" xfId="10243"/>
    <cellStyle name="常规 4 2 10 3 2 2 2 2 3" xfId="6409"/>
    <cellStyle name="常规 4 2 10 3 2 2 2 2 3 2" xfId="10246"/>
    <cellStyle name="常规 4 2 10 3 2 2 2 2 3 2 2" xfId="10248"/>
    <cellStyle name="常规 4 2 10 3 2 2 2 2 3 3" xfId="10251"/>
    <cellStyle name="常规 4 2 10 3 2 2 2 2 3 4" xfId="10254"/>
    <cellStyle name="常规 4 2 10 3 2 2 2 2 4" xfId="10256"/>
    <cellStyle name="常规 4 2 10 3 2 2 2 2 4 2" xfId="10258"/>
    <cellStyle name="常规 4 2 10 3 2 2 2 2 5" xfId="10260"/>
    <cellStyle name="常规 4 2 10 3 2 2 2 2 6" xfId="10263"/>
    <cellStyle name="常规 4 2 10 3 2 2 2 3" xfId="11368"/>
    <cellStyle name="常规 4 2 10 3 2 2 2 3 2" xfId="10277"/>
    <cellStyle name="常规 4 2 10 3 2 2 2 3 2 2" xfId="10279"/>
    <cellStyle name="常规 4 2 10 3 2 2 2 3 2 2 2" xfId="10281"/>
    <cellStyle name="常规 4 2 10 3 2 2 2 3 2 3" xfId="10284"/>
    <cellStyle name="常规 4 2 10 3 2 2 2 3 2 4" xfId="10287"/>
    <cellStyle name="常规 4 2 10 3 2 2 2 3 3" xfId="10289"/>
    <cellStyle name="常规 4 2 10 3 2 2 2 3 3 2" xfId="10291"/>
    <cellStyle name="常规 4 2 10 3 2 2 2 3 4" xfId="10293"/>
    <cellStyle name="常规 4 2 10 3 2 2 2 3 5" xfId="10295"/>
    <cellStyle name="常规 4 2 10 3 2 2 2 4" xfId="18"/>
    <cellStyle name="常规 4 2 10 3 2 2 2 4 2" xfId="3434"/>
    <cellStyle name="常规 4 2 10 3 2 2 2 4 2 2" xfId="10304"/>
    <cellStyle name="常规 4 2 10 3 2 2 2 4 3" xfId="4343"/>
    <cellStyle name="常规 4 2 10 3 2 2 2 4 4" xfId="10307"/>
    <cellStyle name="常规 4 2 10 3 2 2 2 5" xfId="6841"/>
    <cellStyle name="常规 4 2 10 3 2 2 2 5 2" xfId="4394"/>
    <cellStyle name="常规 4 2 10 3 2 2 2 6" xfId="6845"/>
    <cellStyle name="常规 4 2 10 3 2 2 2 7" xfId="11370"/>
    <cellStyle name="常规 4 2 10 3 2 2 3" xfId="11372"/>
    <cellStyle name="常规 4 2 10 3 2 2 3 2" xfId="11373"/>
    <cellStyle name="常规 4 2 10 3 2 2 3 2 2" xfId="10333"/>
    <cellStyle name="常规 4 2 10 3 2 2 3 2 2 2" xfId="10335"/>
    <cellStyle name="常规 4 2 10 3 2 2 3 2 2 2 2" xfId="10337"/>
    <cellStyle name="常规 4 2 10 3 2 2 3 2 2 3" xfId="10339"/>
    <cellStyle name="常规 4 2 10 3 2 2 3 2 2 4" xfId="10341"/>
    <cellStyle name="常规 4 2 10 3 2 2 3 2 3" xfId="10343"/>
    <cellStyle name="常规 4 2 10 3 2 2 3 2 3 2" xfId="10345"/>
    <cellStyle name="常规 4 2 10 3 2 2 3 2 4" xfId="10347"/>
    <cellStyle name="常规 4 2 10 3 2 2 3 2 5" xfId="10349"/>
    <cellStyle name="常规 4 2 10 3 2 2 3 3" xfId="11374"/>
    <cellStyle name="常规 4 2 10 3 2 2 3 3 2" xfId="10357"/>
    <cellStyle name="常规 4 2 10 3 2 2 3 3 2 2" xfId="10359"/>
    <cellStyle name="常规 4 2 10 3 2 2 3 3 3" xfId="10361"/>
    <cellStyle name="常规 4 2 10 3 2 2 3 3 4" xfId="10363"/>
    <cellStyle name="常规 4 2 10 3 2 2 3 4" xfId="6854"/>
    <cellStyle name="常规 4 2 10 3 2 2 3 4 2" xfId="4501"/>
    <cellStyle name="常规 4 2 10 3 2 2 3 5" xfId="11375"/>
    <cellStyle name="常规 4 2 10 3 2 2 3 6" xfId="11377"/>
    <cellStyle name="常规 4 2 10 3 2 2 4" xfId="11379"/>
    <cellStyle name="常规 4 2 10 3 2 2 4 2" xfId="11381"/>
    <cellStyle name="常规 4 2 10 3 2 2 4 2 2" xfId="10389"/>
    <cellStyle name="常规 4 2 10 3 2 2 4 2 2 2" xfId="10392"/>
    <cellStyle name="常规 4 2 10 3 2 2 4 2 3" xfId="8955"/>
    <cellStyle name="常规 4 2 10 3 2 2 4 2 4" xfId="9045"/>
    <cellStyle name="常规 4 2 10 3 2 2 4 3" xfId="11383"/>
    <cellStyle name="常规 4 2 10 3 2 2 4 3 2" xfId="10400"/>
    <cellStyle name="常规 4 2 10 3 2 2 4 4" xfId="11385"/>
    <cellStyle name="常规 4 2 10 3 2 2 4 5" xfId="11387"/>
    <cellStyle name="常规 4 2 10 3 2 2 5" xfId="11389"/>
    <cellStyle name="常规 4 2 10 3 2 2 5 2" xfId="11391"/>
    <cellStyle name="常规 4 2 10 3 2 2 5 2 2" xfId="10414"/>
    <cellStyle name="常规 4 2 10 3 2 2 5 3" xfId="11393"/>
    <cellStyle name="常规 4 2 10 3 2 2 5 4" xfId="11395"/>
    <cellStyle name="常规 4 2 10 3 2 2 6" xfId="11397"/>
    <cellStyle name="常规 4 2 10 3 2 2 6 2" xfId="9041"/>
    <cellStyle name="常规 4 2 10 3 2 2 7" xfId="11399"/>
    <cellStyle name="常规 4 2 10 3 2 2 8" xfId="11401"/>
    <cellStyle name="常规 4 2 10 3 2 3" xfId="11402"/>
    <cellStyle name="常规 4 2 10 3 2 3 2" xfId="11403"/>
    <cellStyle name="常规 4 2 10 3 2 3 2 2" xfId="11404"/>
    <cellStyle name="常规 4 2 10 3 2 3 2 2 2" xfId="10626"/>
    <cellStyle name="常规 4 2 10 3 2 3 2 2 2 2" xfId="10628"/>
    <cellStyle name="常规 4 2 10 3 2 3 2 2 2 2 2" xfId="11405"/>
    <cellStyle name="常规 4 2 10 3 2 3 2 2 2 3" xfId="11406"/>
    <cellStyle name="常规 4 2 10 3 2 3 2 2 2 4" xfId="11407"/>
    <cellStyle name="常规 4 2 10 3 2 3 2 2 3" xfId="6563"/>
    <cellStyle name="常规 4 2 10 3 2 3 2 2 3 2" xfId="11410"/>
    <cellStyle name="常规 4 2 10 3 2 3 2 2 4" xfId="10632"/>
    <cellStyle name="常规 4 2 10 3 2 3 2 2 5" xfId="7614"/>
    <cellStyle name="常规 4 2 10 3 2 3 2 3" xfId="11411"/>
    <cellStyle name="常规 4 2 10 3 2 3 2 3 2" xfId="10637"/>
    <cellStyle name="常规 4 2 10 3 2 3 2 3 2 2" xfId="11412"/>
    <cellStyle name="常规 4 2 10 3 2 3 2 3 3" xfId="10641"/>
    <cellStyle name="常规 4 2 10 3 2 3 2 3 4" xfId="2236"/>
    <cellStyle name="常规 4 2 10 3 2 3 2 4" xfId="6871"/>
    <cellStyle name="常规 4 2 10 3 2 3 2 4 2" xfId="4708"/>
    <cellStyle name="常规 4 2 10 3 2 3 2 5" xfId="11413"/>
    <cellStyle name="常规 4 2 10 3 2 3 2 6" xfId="11415"/>
    <cellStyle name="常规 4 2 10 3 2 3 3" xfId="11416"/>
    <cellStyle name="常规 4 2 10 3 2 3 3 2" xfId="11417"/>
    <cellStyle name="常规 4 2 10 3 2 3 3 2 2" xfId="10656"/>
    <cellStyle name="常规 4 2 10 3 2 3 3 2 2 2" xfId="11418"/>
    <cellStyle name="常规 4 2 10 3 2 3 3 2 3" xfId="10659"/>
    <cellStyle name="常规 4 2 10 3 2 3 3 2 4" xfId="11419"/>
    <cellStyle name="常规 4 2 10 3 2 3 3 3" xfId="11420"/>
    <cellStyle name="常规 4 2 10 3 2 3 3 3 2" xfId="11421"/>
    <cellStyle name="常规 4 2 10 3 2 3 3 4" xfId="11422"/>
    <cellStyle name="常规 4 2 10 3 2 3 3 5" xfId="11423"/>
    <cellStyle name="常规 4 2 10 3 2 3 4" xfId="11425"/>
    <cellStyle name="常规 4 2 10 3 2 3 4 2" xfId="11427"/>
    <cellStyle name="常规 4 2 10 3 2 3 4 2 2" xfId="11430"/>
    <cellStyle name="常规 4 2 10 3 2 3 4 3" xfId="11432"/>
    <cellStyle name="常规 4 2 10 3 2 3 4 4" xfId="11434"/>
    <cellStyle name="常规 4 2 10 3 2 3 5" xfId="11436"/>
    <cellStyle name="常规 4 2 10 3 2 3 5 2" xfId="11438"/>
    <cellStyle name="常规 4 2 10 3 2 3 6" xfId="11441"/>
    <cellStyle name="常规 4 2 10 3 2 3 7" xfId="11444"/>
    <cellStyle name="常规 4 2 10 3 2 4" xfId="11447"/>
    <cellStyle name="常规 4 2 10 3 2 4 2" xfId="11448"/>
    <cellStyle name="常规 4 2 10 3 2 4 2 2" xfId="11449"/>
    <cellStyle name="常规 4 2 10 3 2 4 2 2 2" xfId="1812"/>
    <cellStyle name="常规 4 2 10 3 2 4 2 2 2 2" xfId="413"/>
    <cellStyle name="常规 4 2 10 3 2 4 2 2 3" xfId="10929"/>
    <cellStyle name="常规 4 2 10 3 2 4 2 2 4" xfId="10931"/>
    <cellStyle name="常规 4 2 10 3 2 4 2 3" xfId="2536"/>
    <cellStyle name="常规 4 2 10 3 2 4 2 3 2" xfId="10939"/>
    <cellStyle name="常规 4 2 10 3 2 4 2 4" xfId="11451"/>
    <cellStyle name="常规 4 2 10 3 2 4 2 5" xfId="4010"/>
    <cellStyle name="常规 4 2 10 3 2 4 3" xfId="11452"/>
    <cellStyle name="常规 4 2 10 3 2 4 3 2" xfId="11453"/>
    <cellStyle name="常规 4 2 10 3 2 4 3 2 2" xfId="10958"/>
    <cellStyle name="常规 4 2 10 3 2 4 3 3" xfId="11456"/>
    <cellStyle name="常规 4 2 10 3 2 4 3 4" xfId="11459"/>
    <cellStyle name="常规 4 2 10 3 2 4 4" xfId="11461"/>
    <cellStyle name="常规 4 2 10 3 2 4 4 2" xfId="5273"/>
    <cellStyle name="常规 4 2 10 3 2 4 5" xfId="11463"/>
    <cellStyle name="常规 4 2 10 3 2 4 6" xfId="11465"/>
    <cellStyle name="常规 4 2 10 3 2 5" xfId="11466"/>
    <cellStyle name="常规 4 2 10 3 2 5 2" xfId="11467"/>
    <cellStyle name="常规 4 2 10 3 2 5 2 2" xfId="11468"/>
    <cellStyle name="常规 4 2 10 3 2 5 2 2 2" xfId="11153"/>
    <cellStyle name="常规 4 2 10 3 2 5 2 3" xfId="11470"/>
    <cellStyle name="常规 4 2 10 3 2 5 2 4" xfId="11472"/>
    <cellStyle name="常规 4 2 10 3 2 5 3" xfId="11473"/>
    <cellStyle name="常规 4 2 10 3 2 5 3 2" xfId="11474"/>
    <cellStyle name="常规 4 2 10 3 2 5 4" xfId="11476"/>
    <cellStyle name="常规 4 2 10 3 2 5 5" xfId="11477"/>
    <cellStyle name="常规 4 2 10 3 2 6" xfId="11478"/>
    <cellStyle name="常规 4 2 10 3 2 6 2" xfId="11479"/>
    <cellStyle name="常规 4 2 10 3 2 6 2 2" xfId="11481"/>
    <cellStyle name="常规 4 2 10 3 2 6 3" xfId="11483"/>
    <cellStyle name="常规 4 2 10 3 2 6 4" xfId="11485"/>
    <cellStyle name="常规 4 2 10 3 2 7" xfId="11489"/>
    <cellStyle name="常规 4 2 10 3 2 7 2" xfId="11491"/>
    <cellStyle name="常规 4 2 10 3 2 8" xfId="11494"/>
    <cellStyle name="常规 4 2 10 3 2 9" xfId="11496"/>
    <cellStyle name="常规 4 2 10 3 3" xfId="11497"/>
    <cellStyle name="常规 4 2 10 3 3 2" xfId="11498"/>
    <cellStyle name="常规 4 2 10 3 3 2 2" xfId="11499"/>
    <cellStyle name="常规 4 2 10 3 3 2 2 2" xfId="11500"/>
    <cellStyle name="常规 4 2 10 3 3 2 2 2 2" xfId="2535"/>
    <cellStyle name="常规 4 2 10 3 3 2 2 2 2 2" xfId="10938"/>
    <cellStyle name="常规 4 2 10 3 3 2 2 2 2 2 2" xfId="11501"/>
    <cellStyle name="常规 4 2 10 3 3 2 2 2 2 2 2 2" xfId="11503"/>
    <cellStyle name="常规 4 2 10 3 3 2 2 2 2 2 3" xfId="11504"/>
    <cellStyle name="常规 4 2 10 3 3 2 2 2 2 2 4" xfId="11505"/>
    <cellStyle name="常规 4 2 10 3 3 2 2 2 2 3" xfId="10941"/>
    <cellStyle name="常规 4 2 10 3 3 2 2 2 2 3 2" xfId="11506"/>
    <cellStyle name="常规 4 2 10 3 3 2 2 2 2 4" xfId="11507"/>
    <cellStyle name="常规 4 2 10 3 3 2 2 2 2 5" xfId="11508"/>
    <cellStyle name="常规 4 2 10 3 3 2 2 2 3" xfId="11450"/>
    <cellStyle name="常规 4 2 10 3 3 2 2 2 3 2" xfId="1061"/>
    <cellStyle name="常规 4 2 10 3 3 2 2 2 3 2 2" xfId="11509"/>
    <cellStyle name="常规 4 2 10 3 3 2 2 2 3 3" xfId="11511"/>
    <cellStyle name="常规 4 2 10 3 3 2 2 2 3 4" xfId="11512"/>
    <cellStyle name="常规 4 2 10 3 3 2 2 2 4" xfId="4009"/>
    <cellStyle name="常规 4 2 10 3 3 2 2 2 4 2" xfId="11514"/>
    <cellStyle name="常规 4 2 10 3 3 2 2 2 5" xfId="11516"/>
    <cellStyle name="常规 4 2 10 3 3 2 2 2 6" xfId="11518"/>
    <cellStyle name="常规 4 2 10 3 3 2 2 3" xfId="11519"/>
    <cellStyle name="常规 4 2 10 3 3 2 2 3 2" xfId="11455"/>
    <cellStyle name="常规 4 2 10 3 3 2 2 3 2 2" xfId="11520"/>
    <cellStyle name="常规 4 2 10 3 3 2 2 3 2 2 2" xfId="11521"/>
    <cellStyle name="常规 4 2 10 3 3 2 2 3 2 3" xfId="11522"/>
    <cellStyle name="常规 4 2 10 3 3 2 2 3 2 4" xfId="11523"/>
    <cellStyle name="常规 4 2 10 3 3 2 2 3 3" xfId="11458"/>
    <cellStyle name="常规 4 2 10 3 3 2 2 3 3 2" xfId="11525"/>
    <cellStyle name="常规 4 2 10 3 3 2 2 3 4" xfId="11526"/>
    <cellStyle name="常规 4 2 10 3 3 2 2 3 5" xfId="11527"/>
    <cellStyle name="常规 4 2 10 3 3 2 2 4" xfId="631"/>
    <cellStyle name="常规 4 2 10 3 3 2 2 4 2" xfId="5280"/>
    <cellStyle name="常规 4 2 10 3 3 2 2 4 2 2" xfId="11528"/>
    <cellStyle name="常规 4 2 10 3 3 2 2 4 3" xfId="11532"/>
    <cellStyle name="常规 4 2 10 3 3 2 2 4 4" xfId="11535"/>
    <cellStyle name="常规 4 2 10 3 3 2 2 5" xfId="11537"/>
    <cellStyle name="常规 4 2 10 3 3 2 2 5 2" xfId="11539"/>
    <cellStyle name="常规 4 2 10 3 3 2 2 6" xfId="11543"/>
    <cellStyle name="常规 4 2 10 3 3 2 2 7" xfId="11545"/>
    <cellStyle name="常规 4 2 10 3 3 2 3" xfId="11546"/>
    <cellStyle name="常规 4 2 10 3 3 2 3 2" xfId="11547"/>
    <cellStyle name="常规 4 2 10 3 3 2 3 2 2" xfId="11469"/>
    <cellStyle name="常规 4 2 10 3 3 2 3 2 2 2" xfId="11548"/>
    <cellStyle name="常规 4 2 10 3 3 2 3 2 2 2 2" xfId="11549"/>
    <cellStyle name="常规 4 2 10 3 3 2 3 2 2 3" xfId="11550"/>
    <cellStyle name="常规 4 2 10 3 3 2 3 2 2 4" xfId="11551"/>
    <cellStyle name="常规 4 2 10 3 3 2 3 2 3" xfId="11471"/>
    <cellStyle name="常规 4 2 10 3 3 2 3 2 3 2" xfId="11553"/>
    <cellStyle name="常规 4 2 10 3 3 2 3 2 4" xfId="11554"/>
    <cellStyle name="常规 4 2 10 3 3 2 3 2 5" xfId="11555"/>
    <cellStyle name="常规 4 2 10 3 3 2 3 3" xfId="11556"/>
    <cellStyle name="常规 4 2 10 3 3 2 3 3 2" xfId="11557"/>
    <cellStyle name="常规 4 2 10 3 3 2 3 3 2 2" xfId="11558"/>
    <cellStyle name="常规 4 2 10 3 3 2 3 3 3" xfId="11559"/>
    <cellStyle name="常规 4 2 10 3 3 2 3 3 4" xfId="11560"/>
    <cellStyle name="常规 4 2 10 3 3 2 3 4" xfId="11562"/>
    <cellStyle name="常规 4 2 10 3 3 2 3 4 2" xfId="11564"/>
    <cellStyle name="常规 4 2 10 3 3 2 3 5" xfId="11566"/>
    <cellStyle name="常规 4 2 10 3 3 2 3 6" xfId="11568"/>
    <cellStyle name="常规 4 2 10 3 3 2 4" xfId="11570"/>
    <cellStyle name="常规 4 2 10 3 3 2 4 2" xfId="11573"/>
    <cellStyle name="常规 4 2 10 3 3 2 4 2 2" xfId="11576"/>
    <cellStyle name="常规 4 2 10 3 3 2 4 2 2 2" xfId="11578"/>
    <cellStyle name="常规 4 2 10 3 3 2 4 2 3" xfId="11580"/>
    <cellStyle name="常规 4 2 10 3 3 2 4 2 4" xfId="11583"/>
    <cellStyle name="常规 4 2 10 3 3 2 4 3" xfId="11586"/>
    <cellStyle name="常规 4 2 10 3 3 2 4 3 2" xfId="11588"/>
    <cellStyle name="常规 4 2 10 3 3 2 4 4" xfId="11591"/>
    <cellStyle name="常规 4 2 10 3 3 2 4 5" xfId="11595"/>
    <cellStyle name="常规 4 2 10 3 3 2 5" xfId="11598"/>
    <cellStyle name="常规 4 2 10 3 3 2 5 2" xfId="11603"/>
    <cellStyle name="常规 4 2 10 3 3 2 5 2 2" xfId="11607"/>
    <cellStyle name="常规 4 2 10 3 3 2 5 3" xfId="11611"/>
    <cellStyle name="常规 4 2 10 3 3 2 5 4" xfId="11615"/>
    <cellStyle name="常规 4 2 10 3 3 2 6" xfId="11620"/>
    <cellStyle name="常规 4 2 10 3 3 2 6 2" xfId="11624"/>
    <cellStyle name="常规 4 2 10 3 3 2 7" xfId="11629"/>
    <cellStyle name="常规 4 2 10 3 3 2 8" xfId="11633"/>
    <cellStyle name="常规 4 2 10 3 3 3" xfId="11639"/>
    <cellStyle name="常规 4 2 10 3 3 3 2" xfId="11641"/>
    <cellStyle name="常规 4 2 10 3 3 3 2 2" xfId="11642"/>
    <cellStyle name="常规 4 2 10 3 3 3 2 2 2" xfId="11644"/>
    <cellStyle name="常规 4 2 10 3 3 3 2 2 2 2" xfId="11649"/>
    <cellStyle name="常规 4 2 10 3 3 3 2 2 2 2 2" xfId="11653"/>
    <cellStyle name="常规 4 2 10 3 3 3 2 2 2 3" xfId="11657"/>
    <cellStyle name="常规 4 2 10 3 3 3 2 2 2 4" xfId="11661"/>
    <cellStyle name="常规 4 2 10 3 3 3 2 2 3" xfId="11664"/>
    <cellStyle name="常规 4 2 10 3 3 3 2 2 3 2" xfId="11668"/>
    <cellStyle name="常规 4 2 10 3 3 3 2 2 4" xfId="10726"/>
    <cellStyle name="常规 4 2 10 3 3 3 2 2 5" xfId="10731"/>
    <cellStyle name="常规 4 2 10 3 3 3 2 3" xfId="11669"/>
    <cellStyle name="常规 4 2 10 3 3 3 2 3 2" xfId="11672"/>
    <cellStyle name="常规 4 2 10 3 3 3 2 3 2 2" xfId="11676"/>
    <cellStyle name="常规 4 2 10 3 3 3 2 3 3" xfId="11679"/>
    <cellStyle name="常规 4 2 10 3 3 3 2 3 4" xfId="10737"/>
    <cellStyle name="常规 4 2 10 3 3 3 2 4" xfId="11681"/>
    <cellStyle name="常规 4 2 10 3 3 3 2 4 2" xfId="11685"/>
    <cellStyle name="常规 4 2 10 3 3 3 2 5" xfId="11687"/>
    <cellStyle name="常规 4 2 10 3 3 3 2 6" xfId="11689"/>
    <cellStyle name="常规 4 2 10 3 3 3 3" xfId="11691"/>
    <cellStyle name="常规 4 2 10 3 3 3 3 2" xfId="11693"/>
    <cellStyle name="常规 4 2 10 3 3 3 3 2 2" xfId="11696"/>
    <cellStyle name="常规 4 2 10 3 3 3 3 2 2 2" xfId="9796"/>
    <cellStyle name="常规 4 2 10 3 3 3 3 2 3" xfId="11699"/>
    <cellStyle name="常规 4 2 10 3 3 3 3 2 4" xfId="10751"/>
    <cellStyle name="常规 4 2 10 3 3 3 3 3" xfId="11701"/>
    <cellStyle name="常规 4 2 10 3 3 3 3 3 2" xfId="11704"/>
    <cellStyle name="常规 4 2 10 3 3 3 3 4" xfId="11707"/>
    <cellStyle name="常规 4 2 10 3 3 3 3 5" xfId="11709"/>
    <cellStyle name="常规 4 2 10 3 3 3 4" xfId="11712"/>
    <cellStyle name="常规 4 2 10 3 3 3 4 2" xfId="11716"/>
    <cellStyle name="常规 4 2 10 3 3 3 4 2 2" xfId="11720"/>
    <cellStyle name="常规 4 2 10 3 3 3 4 3" xfId="11723"/>
    <cellStyle name="常规 4 2 10 3 3 3 4 4" xfId="11726"/>
    <cellStyle name="常规 4 2 10 3 3 3 5" xfId="11729"/>
    <cellStyle name="常规 4 2 10 3 3 3 5 2" xfId="11734"/>
    <cellStyle name="常规 4 2 10 3 3 3 6" xfId="11741"/>
    <cellStyle name="常规 4 2 10 3 3 3 7" xfId="11747"/>
    <cellStyle name="常规 4 2 10 3 3 4" xfId="11753"/>
    <cellStyle name="常规 4 2 10 3 3 4 2" xfId="11754"/>
    <cellStyle name="常规 4 2 10 3 3 4 2 2" xfId="11755"/>
    <cellStyle name="常规 4 2 10 3 3 4 2 2 2" xfId="1945"/>
    <cellStyle name="常规 4 2 10 3 3 4 2 2 2 2" xfId="2406"/>
    <cellStyle name="常规 4 2 10 3 3 4 2 2 3" xfId="11758"/>
    <cellStyle name="常规 4 2 10 3 3 4 2 2 4" xfId="10779"/>
    <cellStyle name="常规 4 2 10 3 3 4 2 3" xfId="11643"/>
    <cellStyle name="常规 4 2 10 3 3 4 2 3 2" xfId="11645"/>
    <cellStyle name="常规 4 2 10 3 3 4 2 4" xfId="11663"/>
    <cellStyle name="常规 4 2 10 3 3 4 2 5" xfId="10725"/>
    <cellStyle name="常规 4 2 10 3 3 4 3" xfId="11760"/>
    <cellStyle name="常规 4 2 10 3 3 4 3 2" xfId="11762"/>
    <cellStyle name="常规 4 2 10 3 3 4 3 2 2" xfId="11765"/>
    <cellStyle name="常规 4 2 10 3 3 4 3 3" xfId="11671"/>
    <cellStyle name="常规 4 2 10 3 3 4 3 4" xfId="11678"/>
    <cellStyle name="常规 4 2 10 3 3 4 4" xfId="11768"/>
    <cellStyle name="常规 4 2 10 3 3 4 4 2" xfId="3463"/>
    <cellStyle name="常规 4 2 10 3 3 4 5" xfId="11770"/>
    <cellStyle name="常规 4 2 10 3 3 4 6" xfId="11776"/>
    <cellStyle name="常规 4 2 10 3 3 5" xfId="11782"/>
    <cellStyle name="常规 4 2 10 3 3 5 2" xfId="11783"/>
    <cellStyle name="常规 4 2 10 3 3 5 2 2" xfId="11784"/>
    <cellStyle name="常规 4 2 10 3 3 5 2 2 2" xfId="9781"/>
    <cellStyle name="常规 4 2 10 3 3 5 2 3" xfId="11695"/>
    <cellStyle name="常规 4 2 10 3 3 5 2 4" xfId="11698"/>
    <cellStyle name="常规 4 2 10 3 3 5 3" xfId="11786"/>
    <cellStyle name="常规 4 2 10 3 3 5 3 2" xfId="11788"/>
    <cellStyle name="常规 4 2 10 3 3 5 4" xfId="11790"/>
    <cellStyle name="常规 4 2 10 3 3 5 5" xfId="11794"/>
    <cellStyle name="常规 4 2 10 3 3 6" xfId="11795"/>
    <cellStyle name="常规 4 2 10 3 3 6 2" xfId="11797"/>
    <cellStyle name="常规 4 2 10 3 3 6 2 2" xfId="11800"/>
    <cellStyle name="常规 4 2 10 3 3 6 3" xfId="11802"/>
    <cellStyle name="常规 4 2 10 3 3 6 4" xfId="11807"/>
    <cellStyle name="常规 4 2 10 3 3 7" xfId="11809"/>
    <cellStyle name="常规 4 2 10 3 3 7 2" xfId="11810"/>
    <cellStyle name="常规 4 2 10 3 3 8" xfId="11812"/>
    <cellStyle name="常规 4 2 10 3 3 9" xfId="11814"/>
    <cellStyle name="常规 4 2 10 3 4" xfId="11818"/>
    <cellStyle name="常规 4 2 10 3 4 2" xfId="11821"/>
    <cellStyle name="常规 4 2 10 3 4 2 2" xfId="11822"/>
    <cellStyle name="常规 4 2 10 3 4 2 2 2" xfId="11823"/>
    <cellStyle name="常规 4 2 10 3 4 2 2 2 2" xfId="11825"/>
    <cellStyle name="常规 4 2 10 3 4 2 2 2 2 2" xfId="9838"/>
    <cellStyle name="常规 4 2 10 3 4 2 2 2 2 2 2" xfId="11828"/>
    <cellStyle name="常规 4 2 10 3 4 2 2 2 2 3" xfId="11830"/>
    <cellStyle name="常规 4 2 10 3 4 2 2 2 2 4" xfId="11832"/>
    <cellStyle name="常规 4 2 10 3 4 2 2 2 3" xfId="11834"/>
    <cellStyle name="常规 4 2 10 3 4 2 2 2 3 2" xfId="11836"/>
    <cellStyle name="常规 4 2 10 3 4 2 2 2 4" xfId="11837"/>
    <cellStyle name="常规 4 2 10 3 4 2 2 2 5" xfId="11838"/>
    <cellStyle name="常规 4 2 10 3 4 2 2 3" xfId="11839"/>
    <cellStyle name="常规 4 2 10 3 4 2 2 3 2" xfId="11840"/>
    <cellStyle name="常规 4 2 10 3 4 2 2 3 2 2" xfId="11842"/>
    <cellStyle name="常规 4 2 10 3 4 2 2 3 3" xfId="11843"/>
    <cellStyle name="常规 4 2 10 3 4 2 2 3 4" xfId="11844"/>
    <cellStyle name="常规 4 2 10 3 4 2 2 4" xfId="11846"/>
    <cellStyle name="常规 4 2 10 3 4 2 2 4 2" xfId="2576"/>
    <cellStyle name="常规 4 2 10 3 4 2 2 5" xfId="11848"/>
    <cellStyle name="常规 4 2 10 3 4 2 2 6" xfId="11850"/>
    <cellStyle name="常规 4 2 10 3 4 2 3" xfId="11851"/>
    <cellStyle name="常规 4 2 10 3 4 2 3 2" xfId="11852"/>
    <cellStyle name="常规 4 2 10 3 4 2 3 2 2" xfId="11853"/>
    <cellStyle name="常规 4 2 10 3 4 2 3 2 2 2" xfId="10048"/>
    <cellStyle name="常规 4 2 10 3 4 2 3 2 3" xfId="11854"/>
    <cellStyle name="常规 4 2 10 3 4 2 3 2 4" xfId="11855"/>
    <cellStyle name="常规 4 2 10 3 4 2 3 3" xfId="11856"/>
    <cellStyle name="常规 4 2 10 3 4 2 3 3 2" xfId="11858"/>
    <cellStyle name="常规 4 2 10 3 4 2 3 4" xfId="2780"/>
    <cellStyle name="常规 4 2 10 3 4 2 3 5" xfId="11859"/>
    <cellStyle name="常规 4 2 10 3 4 2 4" xfId="11861"/>
    <cellStyle name="常规 4 2 10 3 4 2 4 2" xfId="11864"/>
    <cellStyle name="常规 4 2 10 3 4 2 4 2 2" xfId="11866"/>
    <cellStyle name="常规 4 2 10 3 4 2 4 3" xfId="11868"/>
    <cellStyle name="常规 4 2 10 3 4 2 4 4" xfId="11870"/>
    <cellStyle name="常规 4 2 10 3 4 2 5" xfId="11873"/>
    <cellStyle name="常规 4 2 10 3 4 2 5 2" xfId="11877"/>
    <cellStyle name="常规 4 2 10 3 4 2 6" xfId="11882"/>
    <cellStyle name="常规 4 2 10 3 4 2 7" xfId="11886"/>
    <cellStyle name="常规 4 2 10 3 4 3" xfId="11893"/>
    <cellStyle name="常规 4 2 10 3 4 3 2" xfId="11895"/>
    <cellStyle name="常规 4 2 10 3 4 3 2 2" xfId="11897"/>
    <cellStyle name="常规 4 2 10 3 4 3 2 2 2" xfId="11899"/>
    <cellStyle name="常规 4 2 10 3 4 3 2 2 2 2" xfId="11902"/>
    <cellStyle name="常规 4 2 10 3 4 3 2 2 3" xfId="11904"/>
    <cellStyle name="常规 4 2 10 3 4 3 2 2 4" xfId="10862"/>
    <cellStyle name="常规 4 2 10 3 4 3 2 3" xfId="11906"/>
    <cellStyle name="常规 4 2 10 3 4 3 2 3 2" xfId="11908"/>
    <cellStyle name="常规 4 2 10 3 4 3 2 4" xfId="11911"/>
    <cellStyle name="常规 4 2 10 3 4 3 2 5" xfId="11914"/>
    <cellStyle name="常规 4 2 10 3 4 3 3" xfId="11916"/>
    <cellStyle name="常规 4 2 10 3 4 3 3 2" xfId="11919"/>
    <cellStyle name="常规 4 2 10 3 4 3 3 2 2" xfId="11922"/>
    <cellStyle name="常规 4 2 10 3 4 3 3 3" xfId="11925"/>
    <cellStyle name="常规 4 2 10 3 4 3 3 4" xfId="11928"/>
    <cellStyle name="常规 4 2 10 3 4 3 4" xfId="11931"/>
    <cellStyle name="常规 4 2 10 3 4 3 4 2" xfId="2001"/>
    <cellStyle name="常规 4 2 10 3 4 3 5" xfId="11933"/>
    <cellStyle name="常规 4 2 10 3 4 3 6" xfId="11941"/>
    <cellStyle name="常规 4 2 10 3 4 4" xfId="11944"/>
    <cellStyle name="常规 4 2 10 3 4 4 2" xfId="11945"/>
    <cellStyle name="常规 4 2 10 3 4 4 2 2" xfId="11947"/>
    <cellStyle name="常规 4 2 10 3 4 4 2 2 2" xfId="11949"/>
    <cellStyle name="常规 4 2 10 3 4 4 2 3" xfId="1944"/>
    <cellStyle name="常规 4 2 10 3 4 4 2 4" xfId="11757"/>
    <cellStyle name="常规 4 2 10 3 4 4 3" xfId="11951"/>
    <cellStyle name="常规 4 2 10 3 4 4 3 2" xfId="11955"/>
    <cellStyle name="常规 4 2 10 3 4 4 4" xfId="11957"/>
    <cellStyle name="常规 4 2 10 3 4 4 5" xfId="11962"/>
    <cellStyle name="常规 4 2 10 3 4 5" xfId="11964"/>
    <cellStyle name="常规 4 2 10 3 4 5 2" xfId="11965"/>
    <cellStyle name="常规 4 2 10 3 4 5 2 2" xfId="11967"/>
    <cellStyle name="常规 4 2 10 3 4 5 3" xfId="11969"/>
    <cellStyle name="常规 4 2 10 3 4 5 4" xfId="11971"/>
    <cellStyle name="常规 4 2 10 3 4 6" xfId="11972"/>
    <cellStyle name="常规 4 2 10 3 4 6 2" xfId="11973"/>
    <cellStyle name="常规 4 2 10 3 4 7" xfId="11975"/>
    <cellStyle name="常规 4 2 10 3 4 8" xfId="11976"/>
    <cellStyle name="常规 4 2 10 3 5" xfId="11980"/>
    <cellStyle name="常规 4 2 10 3 5 2" xfId="11983"/>
    <cellStyle name="常规 4 2 10 3 5 2 2" xfId="11986"/>
    <cellStyle name="常规 4 2 10 3 5 2 2 2" xfId="11988"/>
    <cellStyle name="常规 4 2 10 3 5 2 2 2 2" xfId="11991"/>
    <cellStyle name="常规 4 2 10 3 5 2 2 2 2 2" xfId="11994"/>
    <cellStyle name="常规 4 2 10 3 5 2 2 2 3" xfId="11997"/>
    <cellStyle name="常规 4 2 10 3 5 2 2 2 4" xfId="11999"/>
    <cellStyle name="常规 4 2 10 3 5 2 2 3" xfId="12001"/>
    <cellStyle name="常规 4 2 10 3 5 2 2 3 2" xfId="12004"/>
    <cellStyle name="常规 4 2 10 3 5 2 2 4" xfId="12008"/>
    <cellStyle name="常规 4 2 10 3 5 2 2 5" xfId="12011"/>
    <cellStyle name="常规 4 2 10 3 5 2 3" xfId="12014"/>
    <cellStyle name="常规 4 2 10 3 5 2 3 2" xfId="12016"/>
    <cellStyle name="常规 4 2 10 3 5 2 3 2 2" xfId="12018"/>
    <cellStyle name="常规 4 2 10 3 5 2 3 3" xfId="12020"/>
    <cellStyle name="常规 4 2 10 3 5 2 3 4" xfId="12022"/>
    <cellStyle name="常规 4 2 10 3 5 2 4" xfId="12025"/>
    <cellStyle name="常规 4 2 10 3 5 2 4 2" xfId="12028"/>
    <cellStyle name="常规 4 2 10 3 5 2 5" xfId="12031"/>
    <cellStyle name="常规 4 2 10 3 5 2 6" xfId="12038"/>
    <cellStyle name="常规 4 2 10 3 5 3" xfId="12042"/>
    <cellStyle name="常规 4 2 10 3 5 3 2" xfId="12044"/>
    <cellStyle name="常规 4 2 10 3 5 3 2 2" xfId="12047"/>
    <cellStyle name="常规 4 2 10 3 5 3 2 2 2" xfId="12050"/>
    <cellStyle name="常规 4 2 10 3 5 3 2 3" xfId="12053"/>
    <cellStyle name="常规 4 2 10 3 5 3 2 4" xfId="12056"/>
    <cellStyle name="常规 4 2 10 3 5 3 3" xfId="12059"/>
    <cellStyle name="常规 4 2 10 3 5 3 3 2" xfId="12064"/>
    <cellStyle name="常规 4 2 10 3 5 3 4" xfId="12067"/>
    <cellStyle name="常规 4 2 10 3 5 3 5" xfId="12072"/>
    <cellStyle name="常规 4 2 10 3 5 4" xfId="12074"/>
    <cellStyle name="常规 4 2 10 3 5 4 2" xfId="12076"/>
    <cellStyle name="常规 4 2 10 3 5 4 2 2" xfId="9775"/>
    <cellStyle name="常规 4 2 10 3 5 4 3" xfId="12079"/>
    <cellStyle name="常规 4 2 10 3 5 4 4" xfId="9097"/>
    <cellStyle name="常规 4 2 10 3 5 5" xfId="12081"/>
    <cellStyle name="常规 4 2 10 3 5 5 2" xfId="12083"/>
    <cellStyle name="常规 4 2 10 3 5 6" xfId="12085"/>
    <cellStyle name="常规 4 2 10 3 5 7" xfId="12087"/>
    <cellStyle name="常规 4 2 10 3 6" xfId="12092"/>
    <cellStyle name="常规 4 2 10 3 6 2" xfId="12095"/>
    <cellStyle name="常规 4 2 10 3 6 2 2" xfId="12097"/>
    <cellStyle name="常规 4 2 10 3 6 2 2 2" xfId="12101"/>
    <cellStyle name="常规 4 2 10 3 6 2 2 2 2" xfId="12104"/>
    <cellStyle name="常规 4 2 10 3 6 2 2 3" xfId="12108"/>
    <cellStyle name="常规 4 2 10 3 6 2 2 4" xfId="12113"/>
    <cellStyle name="常规 4 2 10 3 6 2 3" xfId="12117"/>
    <cellStyle name="常规 4 2 10 3 6 2 3 2" xfId="12120"/>
    <cellStyle name="常规 4 2 10 3 6 2 4" xfId="12123"/>
    <cellStyle name="常规 4 2 10 3 6 2 5" xfId="12127"/>
    <cellStyle name="常规 4 2 10 3 6 3" xfId="12133"/>
    <cellStyle name="常规 4 2 10 3 6 3 2" xfId="12135"/>
    <cellStyle name="常规 4 2 10 3 6 3 2 2" xfId="12138"/>
    <cellStyle name="常规 4 2 10 3 6 3 3" xfId="12141"/>
    <cellStyle name="常规 4 2 10 3 6 3 4" xfId="12145"/>
    <cellStyle name="常规 4 2 10 3 6 4" xfId="12151"/>
    <cellStyle name="常规 4 2 10 3 6 4 2" xfId="12153"/>
    <cellStyle name="常规 4 2 10 3 6 5" xfId="12158"/>
    <cellStyle name="常规 4 2 10 3 6 6" xfId="12161"/>
    <cellStyle name="常规 4 2 10 3 7" xfId="12164"/>
    <cellStyle name="常规 4 2 10 3 7 2" xfId="12167"/>
    <cellStyle name="常规 4 2 10 3 7 2 2" xfId="12169"/>
    <cellStyle name="常规 4 2 10 3 7 2 2 2" xfId="12173"/>
    <cellStyle name="常规 4 2 10 3 7 2 3" xfId="12177"/>
    <cellStyle name="常规 4 2 10 3 7 2 4" xfId="12181"/>
    <cellStyle name="常规 4 2 10 3 7 3" xfId="12186"/>
    <cellStyle name="常规 4 2 10 3 7 3 2" xfId="12188"/>
    <cellStyle name="常规 4 2 10 3 7 4" xfId="12192"/>
    <cellStyle name="常规 4 2 10 3 7 5" xfId="12195"/>
    <cellStyle name="常规 4 2 10 3 8" xfId="12198"/>
    <cellStyle name="常规 4 2 10 3 8 2" xfId="12200"/>
    <cellStyle name="常规 4 2 10 3 8 2 2" xfId="12202"/>
    <cellStyle name="常规 4 2 10 3 8 3" xfId="12205"/>
    <cellStyle name="常规 4 2 10 3 8 4" xfId="12208"/>
    <cellStyle name="常规 4 2 10 3 9" xfId="12212"/>
    <cellStyle name="常规 4 2 10 3 9 2" xfId="12214"/>
    <cellStyle name="常规 4 2 10 4" xfId="9320"/>
    <cellStyle name="常规 4 2 10 4 2" xfId="9322"/>
    <cellStyle name="常规 4 2 10 4 2 2" xfId="7160"/>
    <cellStyle name="常规 4 2 10 4 2 2 2" xfId="12215"/>
    <cellStyle name="常规 4 2 10 4 2 2 2 2" xfId="12216"/>
    <cellStyle name="常规 4 2 10 4 2 2 2 2 2" xfId="12219"/>
    <cellStyle name="常规 4 2 10 4 2 2 2 2 2 2" xfId="12221"/>
    <cellStyle name="常规 4 2 10 4 2 2 2 2 2 2 2" xfId="12222"/>
    <cellStyle name="常规 4 2 10 4 2 2 2 2 2 3" xfId="8971"/>
    <cellStyle name="常规 4 2 10 4 2 2 2 2 2 4" xfId="12223"/>
    <cellStyle name="常规 4 2 10 4 2 2 2 2 3" xfId="12225"/>
    <cellStyle name="常规 4 2 10 4 2 2 2 2 3 2" xfId="12226"/>
    <cellStyle name="常规 4 2 10 4 2 2 2 2 4" xfId="12228"/>
    <cellStyle name="常规 4 2 10 4 2 2 2 2 5" xfId="12229"/>
    <cellStyle name="常规 4 2 10 4 2 2 2 3" xfId="12230"/>
    <cellStyle name="常规 4 2 10 4 2 2 2 3 2" xfId="12232"/>
    <cellStyle name="常规 4 2 10 4 2 2 2 3 2 2" xfId="12233"/>
    <cellStyle name="常规 4 2 10 4 2 2 2 3 3" xfId="12235"/>
    <cellStyle name="常规 4 2 10 4 2 2 2 3 4" xfId="12236"/>
    <cellStyle name="常规 4 2 10 4 2 2 2 4" xfId="7022"/>
    <cellStyle name="常规 4 2 10 4 2 2 2 4 2" xfId="6169"/>
    <cellStyle name="常规 4 2 10 4 2 2 2 5" xfId="3111"/>
    <cellStyle name="常规 4 2 10 4 2 2 2 6" xfId="85"/>
    <cellStyle name="常规 4 2 10 4 2 2 3" xfId="12237"/>
    <cellStyle name="常规 4 2 10 4 2 2 3 2" xfId="12239"/>
    <cellStyle name="常规 4 2 10 4 2 2 3 2 2" xfId="12241"/>
    <cellStyle name="常规 4 2 10 4 2 2 3 2 2 2" xfId="12243"/>
    <cellStyle name="常规 4 2 10 4 2 2 3 2 3" xfId="12244"/>
    <cellStyle name="常规 4 2 10 4 2 2 3 2 4" xfId="12248"/>
    <cellStyle name="常规 4 2 10 4 2 2 3 3" xfId="12251"/>
    <cellStyle name="常规 4 2 10 4 2 2 3 3 2" xfId="12252"/>
    <cellStyle name="常规 4 2 10 4 2 2 3 4" xfId="7025"/>
    <cellStyle name="常规 4 2 10 4 2 2 3 5" xfId="12253"/>
    <cellStyle name="常规 4 2 10 4 2 2 4" xfId="12255"/>
    <cellStyle name="常规 4 2 10 4 2 2 4 2" xfId="12257"/>
    <cellStyle name="常规 4 2 10 4 2 2 4 2 2" xfId="12259"/>
    <cellStyle name="常规 4 2 10 4 2 2 4 3" xfId="160"/>
    <cellStyle name="常规 4 2 10 4 2 2 4 4" xfId="103"/>
    <cellStyle name="常规 4 2 10 4 2 2 5" xfId="12262"/>
    <cellStyle name="常规 4 2 10 4 2 2 5 2" xfId="12267"/>
    <cellStyle name="常规 4 2 10 4 2 2 6" xfId="12270"/>
    <cellStyle name="常规 4 2 10 4 2 2 7" xfId="12273"/>
    <cellStyle name="常规 4 2 10 4 2 3" xfId="12274"/>
    <cellStyle name="常规 4 2 10 4 2 3 2" xfId="12275"/>
    <cellStyle name="常规 4 2 10 4 2 3 2 2" xfId="12276"/>
    <cellStyle name="常规 4 2 10 4 2 3 2 2 2" xfId="12278"/>
    <cellStyle name="常规 4 2 10 4 2 3 2 2 2 2" xfId="5052"/>
    <cellStyle name="常规 4 2 10 4 2 3 2 2 3" xfId="12281"/>
    <cellStyle name="常规 4 2 10 4 2 3 2 2 4" xfId="12283"/>
    <cellStyle name="常规 4 2 10 4 2 3 2 3" xfId="12284"/>
    <cellStyle name="常规 4 2 10 4 2 3 2 3 2" xfId="12286"/>
    <cellStyle name="常规 4 2 10 4 2 3 2 4" xfId="7032"/>
    <cellStyle name="常规 4 2 10 4 2 3 2 5" xfId="11329"/>
    <cellStyle name="常规 4 2 10 4 2 3 3" xfId="12287"/>
    <cellStyle name="常规 4 2 10 4 2 3 3 2" xfId="12288"/>
    <cellStyle name="常规 4 2 10 4 2 3 3 2 2" xfId="12290"/>
    <cellStyle name="常规 4 2 10 4 2 3 3 3" xfId="12291"/>
    <cellStyle name="常规 4 2 10 4 2 3 3 4" xfId="12292"/>
    <cellStyle name="常规 4 2 10 4 2 3 4" xfId="12295"/>
    <cellStyle name="常规 4 2 10 4 2 3 4 2" xfId="12297"/>
    <cellStyle name="常规 4 2 10 4 2 3 5" xfId="12300"/>
    <cellStyle name="常规 4 2 10 4 2 3 6" xfId="12303"/>
    <cellStyle name="常规 4 2 10 4 2 4" xfId="12304"/>
    <cellStyle name="常规 4 2 10 4 2 4 2" xfId="12305"/>
    <cellStyle name="常规 4 2 10 4 2 4 2 2" xfId="12306"/>
    <cellStyle name="常规 4 2 10 4 2 4 2 2 2" xfId="9804"/>
    <cellStyle name="常规 4 2 10 4 2 4 2 3" xfId="11824"/>
    <cellStyle name="常规 4 2 10 4 2 4 2 4" xfId="11833"/>
    <cellStyle name="常规 4 2 10 4 2 4 3" xfId="12307"/>
    <cellStyle name="常规 4 2 10 4 2 4 3 2" xfId="12308"/>
    <cellStyle name="常规 4 2 10 4 2 4 4" xfId="12310"/>
    <cellStyle name="常规 4 2 10 4 2 4 5" xfId="12312"/>
    <cellStyle name="常规 4 2 10 4 2 5" xfId="12313"/>
    <cellStyle name="常规 4 2 10 4 2 5 2" xfId="12314"/>
    <cellStyle name="常规 4 2 10 4 2 5 2 2" xfId="12316"/>
    <cellStyle name="常规 4 2 10 4 2 5 3" xfId="12317"/>
    <cellStyle name="常规 4 2 10 4 2 5 4" xfId="5180"/>
    <cellStyle name="常规 4 2 10 4 2 6" xfId="12319"/>
    <cellStyle name="常规 4 2 10 4 2 6 2" xfId="12320"/>
    <cellStyle name="常规 4 2 10 4 2 7" xfId="12323"/>
    <cellStyle name="常规 4 2 10 4 2 8" xfId="12325"/>
    <cellStyle name="常规 4 2 10 4 3" xfId="9324"/>
    <cellStyle name="常规 4 2 10 4 3 2" xfId="12326"/>
    <cellStyle name="常规 4 2 10 4 3 2 2" xfId="12327"/>
    <cellStyle name="常规 4 2 10 4 3 2 2 2" xfId="285"/>
    <cellStyle name="常规 4 2 10 4 3 2 2 2 2" xfId="12329"/>
    <cellStyle name="常规 4 2 10 4 3 2 2 2 2 2" xfId="12330"/>
    <cellStyle name="常规 4 2 10 4 3 2 2 2 3" xfId="12333"/>
    <cellStyle name="常规 4 2 10 4 3 2 2 2 4" xfId="12334"/>
    <cellStyle name="常规 4 2 10 4 3 2 2 3" xfId="299"/>
    <cellStyle name="常规 4 2 10 4 3 2 2 3 2" xfId="12335"/>
    <cellStyle name="常规 4 2 10 4 3 2 2 4" xfId="38"/>
    <cellStyle name="常规 4 2 10 4 3 2 2 5" xfId="317"/>
    <cellStyle name="常规 4 2 10 4 3 2 3" xfId="12336"/>
    <cellStyle name="常规 4 2 10 4 3 2 3 2" xfId="12337"/>
    <cellStyle name="常规 4 2 10 4 3 2 3 2 2" xfId="12338"/>
    <cellStyle name="常规 4 2 10 4 3 2 3 3" xfId="12339"/>
    <cellStyle name="常规 4 2 10 4 3 2 3 4" xfId="3243"/>
    <cellStyle name="常规 4 2 10 4 3 2 4" xfId="12341"/>
    <cellStyle name="常规 4 2 10 4 3 2 4 2" xfId="12344"/>
    <cellStyle name="常规 4 2 10 4 3 2 5" xfId="12347"/>
    <cellStyle name="常规 4 2 10 4 3 2 6" xfId="12353"/>
    <cellStyle name="常规 4 2 10 4 3 3" xfId="12359"/>
    <cellStyle name="常规 4 2 10 4 3 3 2" xfId="12360"/>
    <cellStyle name="常规 4 2 10 4 3 3 2 2" xfId="12361"/>
    <cellStyle name="常规 4 2 10 4 3 3 2 2 2" xfId="12362"/>
    <cellStyle name="常规 4 2 10 4 3 3 2 3" xfId="12363"/>
    <cellStyle name="常规 4 2 10 4 3 3 2 4" xfId="12365"/>
    <cellStyle name="常规 4 2 10 4 3 3 3" xfId="12366"/>
    <cellStyle name="常规 4 2 10 4 3 3 3 2" xfId="12367"/>
    <cellStyle name="常规 4 2 10 4 3 3 4" xfId="12369"/>
    <cellStyle name="常规 4 2 10 4 3 3 5" xfId="12371"/>
    <cellStyle name="常规 4 2 10 4 3 4" xfId="12376"/>
    <cellStyle name="常规 4 2 10 4 3 4 2" xfId="12377"/>
    <cellStyle name="常规 4 2 10 4 3 4 2 2" xfId="12378"/>
    <cellStyle name="常规 4 2 10 4 3 4 3" xfId="12379"/>
    <cellStyle name="常规 4 2 10 4 3 4 4" xfId="12380"/>
    <cellStyle name="常规 4 2 10 4 3 5" xfId="12382"/>
    <cellStyle name="常规 4 2 10 4 3 5 2" xfId="12383"/>
    <cellStyle name="常规 4 2 10 4 3 6" xfId="12384"/>
    <cellStyle name="常规 4 2 10 4 3 7" xfId="12386"/>
    <cellStyle name="常规 4 2 10 4 4" xfId="7879"/>
    <cellStyle name="常规 4 2 10 4 4 2" xfId="12387"/>
    <cellStyle name="常规 4 2 10 4 4 2 2" xfId="12388"/>
    <cellStyle name="常规 4 2 10 4 4 2 2 2" xfId="12389"/>
    <cellStyle name="常规 4 2 10 4 4 2 2 2 2" xfId="12391"/>
    <cellStyle name="常规 4 2 10 4 4 2 2 3" xfId="12392"/>
    <cellStyle name="常规 4 2 10 4 4 2 2 4" xfId="12394"/>
    <cellStyle name="常规 4 2 10 4 4 2 3" xfId="12395"/>
    <cellStyle name="常规 4 2 10 4 4 2 3 2" xfId="12396"/>
    <cellStyle name="常规 4 2 10 4 4 2 4" xfId="12398"/>
    <cellStyle name="常规 4 2 10 4 4 2 5" xfId="12400"/>
    <cellStyle name="常规 4 2 10 4 4 3" xfId="12406"/>
    <cellStyle name="常规 4 2 10 4 4 3 2" xfId="12407"/>
    <cellStyle name="常规 4 2 10 4 4 3 2 2" xfId="12408"/>
    <cellStyle name="常规 4 2 10 4 4 3 3" xfId="12409"/>
    <cellStyle name="常规 4 2 10 4 4 3 4" xfId="12410"/>
    <cellStyle name="常规 4 2 10 4 4 4" xfId="12412"/>
    <cellStyle name="常规 4 2 10 4 4 4 2" xfId="12413"/>
    <cellStyle name="常规 4 2 10 4 4 5" xfId="12414"/>
    <cellStyle name="常规 4 2 10 4 4 6" xfId="12415"/>
    <cellStyle name="常规 4 2 10 4 5" xfId="12417"/>
    <cellStyle name="常规 4 2 10 4 5 2" xfId="12419"/>
    <cellStyle name="常规 4 2 10 4 5 2 2" xfId="12421"/>
    <cellStyle name="常规 4 2 10 4 5 2 2 2" xfId="12423"/>
    <cellStyle name="常规 4 2 10 4 5 2 3" xfId="12425"/>
    <cellStyle name="常规 4 2 10 4 5 2 4" xfId="12427"/>
    <cellStyle name="常规 4 2 10 4 5 3" xfId="12430"/>
    <cellStyle name="常规 4 2 10 4 5 3 2" xfId="12432"/>
    <cellStyle name="常规 4 2 10 4 5 4" xfId="12434"/>
    <cellStyle name="常规 4 2 10 4 5 5" xfId="12436"/>
    <cellStyle name="常规 4 2 10 4 6" xfId="12440"/>
    <cellStyle name="常规 4 2 10 4 6 2" xfId="12443"/>
    <cellStyle name="常规 4 2 10 4 6 2 2" xfId="12445"/>
    <cellStyle name="常规 4 2 10 4 6 3" xfId="12448"/>
    <cellStyle name="常规 4 2 10 4 6 4" xfId="12451"/>
    <cellStyle name="常规 4 2 10 4 7" xfId="12455"/>
    <cellStyle name="常规 4 2 10 4 7 2" xfId="12459"/>
    <cellStyle name="常规 4 2 10 4 8" xfId="12462"/>
    <cellStyle name="常规 4 2 10 4 9" xfId="12465"/>
    <cellStyle name="常规 4 2 10 5" xfId="2877"/>
    <cellStyle name="常规 4 2 10 5 2" xfId="2880"/>
    <cellStyle name="常规 4 2 10 5 2 2" xfId="12466"/>
    <cellStyle name="常规 4 2 10 5 2 2 2" xfId="12467"/>
    <cellStyle name="常规 4 2 10 5 2 2 2 2" xfId="12468"/>
    <cellStyle name="常规 4 2 10 5 2 2 2 2 2" xfId="12471"/>
    <cellStyle name="常规 4 2 10 5 2 2 2 2 2 2" xfId="12472"/>
    <cellStyle name="常规 4 2 10 5 2 2 2 2 2 2 2" xfId="12473"/>
    <cellStyle name="常规 4 2 10 5 2 2 2 2 2 3" xfId="12475"/>
    <cellStyle name="常规 4 2 10 5 2 2 2 2 2 4" xfId="12477"/>
    <cellStyle name="常规 4 2 10 5 2 2 2 2 3" xfId="12480"/>
    <cellStyle name="常规 4 2 10 5 2 2 2 2 3 2" xfId="12483"/>
    <cellStyle name="常规 4 2 10 5 2 2 2 2 4" xfId="12485"/>
    <cellStyle name="常规 4 2 10 5 2 2 2 2 5" xfId="2843"/>
    <cellStyle name="常规 4 2 10 5 2 2 2 3" xfId="12486"/>
    <cellStyle name="常规 4 2 10 5 2 2 2 3 2" xfId="2516"/>
    <cellStyle name="常规 4 2 10 5 2 2 2 3 2 2" xfId="12487"/>
    <cellStyle name="常规 4 2 10 5 2 2 2 3 3" xfId="12489"/>
    <cellStyle name="常规 4 2 10 5 2 2 2 3 4" xfId="12490"/>
    <cellStyle name="常规 4 2 10 5 2 2 2 4" xfId="3323"/>
    <cellStyle name="常规 4 2 10 5 2 2 2 4 2" xfId="12492"/>
    <cellStyle name="常规 4 2 10 5 2 2 2 5" xfId="12493"/>
    <cellStyle name="常规 4 2 10 5 2 2 2 6" xfId="12495"/>
    <cellStyle name="常规 4 2 10 5 2 2 3" xfId="12496"/>
    <cellStyle name="常规 4 2 10 5 2 2 3 2" xfId="12497"/>
    <cellStyle name="常规 4 2 10 5 2 2 3 2 2" xfId="12498"/>
    <cellStyle name="常规 4 2 10 5 2 2 3 2 2 2" xfId="8133"/>
    <cellStyle name="常规 4 2 10 5 2 2 3 2 3" xfId="12500"/>
    <cellStyle name="常规 4 2 10 5 2 2 3 2 4" xfId="12501"/>
    <cellStyle name="常规 4 2 10 5 2 2 3 3" xfId="12502"/>
    <cellStyle name="常规 4 2 10 5 2 2 3 3 2" xfId="12503"/>
    <cellStyle name="常规 4 2 10 5 2 2 3 4" xfId="12504"/>
    <cellStyle name="常规 4 2 10 5 2 2 3 5" xfId="12505"/>
    <cellStyle name="常规 4 2 10 5 2 2 4" xfId="12507"/>
    <cellStyle name="常规 4 2 10 5 2 2 4 2" xfId="12509"/>
    <cellStyle name="常规 4 2 10 5 2 2 4 2 2" xfId="7451"/>
    <cellStyle name="常规 4 2 10 5 2 2 4 3" xfId="12510"/>
    <cellStyle name="常规 4 2 10 5 2 2 4 4" xfId="12511"/>
    <cellStyle name="常规 4 2 10 5 2 2 5" xfId="12514"/>
    <cellStyle name="常规 4 2 10 5 2 2 5 2" xfId="12516"/>
    <cellStyle name="常规 4 2 10 5 2 2 6" xfId="12519"/>
    <cellStyle name="常规 4 2 10 5 2 2 7" xfId="12521"/>
    <cellStyle name="常规 4 2 10 5 2 3" xfId="12523"/>
    <cellStyle name="常规 4 2 10 5 2 3 2" xfId="12525"/>
    <cellStyle name="常规 4 2 10 5 2 3 2 2" xfId="12527"/>
    <cellStyle name="常规 4 2 10 5 2 3 2 2 2" xfId="12529"/>
    <cellStyle name="常规 4 2 10 5 2 3 2 2 2 2" xfId="12530"/>
    <cellStyle name="常规 4 2 10 5 2 3 2 2 3" xfId="12532"/>
    <cellStyle name="常规 4 2 10 5 2 3 2 2 4" xfId="12534"/>
    <cellStyle name="常规 4 2 10 5 2 3 2 3" xfId="12536"/>
    <cellStyle name="常规 4 2 10 5 2 3 2 3 2" xfId="12537"/>
    <cellStyle name="常规 4 2 10 5 2 3 2 4" xfId="12539"/>
    <cellStyle name="常规 4 2 10 5 2 3 2 5" xfId="12540"/>
    <cellStyle name="常规 4 2 10 5 2 3 3" xfId="12543"/>
    <cellStyle name="常规 4 2 10 5 2 3 3 2" xfId="12546"/>
    <cellStyle name="常规 4 2 10 5 2 3 3 2 2" xfId="12548"/>
    <cellStyle name="常规 4 2 10 5 2 3 3 3" xfId="12550"/>
    <cellStyle name="常规 4 2 10 5 2 3 3 4" xfId="12553"/>
    <cellStyle name="常规 4 2 10 5 2 3 4" xfId="12557"/>
    <cellStyle name="常规 4 2 10 5 2 3 4 2" xfId="12559"/>
    <cellStyle name="常规 4 2 10 5 2 3 5" xfId="12563"/>
    <cellStyle name="常规 4 2 10 5 2 3 6" xfId="12566"/>
    <cellStyle name="常规 4 2 10 5 2 4" xfId="12569"/>
    <cellStyle name="常规 4 2 10 5 2 4 2" xfId="12571"/>
    <cellStyle name="常规 4 2 10 5 2 4 2 2" xfId="12573"/>
    <cellStyle name="常规 4 2 10 5 2 4 2 2 2" xfId="10262"/>
    <cellStyle name="常规 4 2 10 5 2 4 2 3" xfId="11989"/>
    <cellStyle name="常规 4 2 10 5 2 4 2 4" xfId="11995"/>
    <cellStyle name="常规 4 2 10 5 2 4 3" xfId="12576"/>
    <cellStyle name="常规 4 2 10 5 2 4 3 2" xfId="12578"/>
    <cellStyle name="常规 4 2 10 5 2 4 4" xfId="12581"/>
    <cellStyle name="常规 4 2 10 5 2 4 5" xfId="2558"/>
    <cellStyle name="常规 4 2 10 5 2 5" xfId="12583"/>
    <cellStyle name="常规 4 2 10 5 2 5 2" xfId="12585"/>
    <cellStyle name="常规 4 2 10 5 2 5 2 2" xfId="3343"/>
    <cellStyle name="常规 4 2 10 5 2 5 3" xfId="12586"/>
    <cellStyle name="常规 4 2 10 5 2 5 4" xfId="12590"/>
    <cellStyle name="常规 4 2 10 5 2 6" xfId="12595"/>
    <cellStyle name="常规 4 2 10 5 2 6 2" xfId="12596"/>
    <cellStyle name="常规 4 2 10 5 2 7" xfId="12600"/>
    <cellStyle name="常规 4 2 10 5 2 8" xfId="12605"/>
    <cellStyle name="常规 4 2 10 5 3" xfId="2884"/>
    <cellStyle name="常规 4 2 10 5 3 2" xfId="12606"/>
    <cellStyle name="常规 4 2 10 5 3 2 2" xfId="6055"/>
    <cellStyle name="常规 4 2 10 5 3 2 2 2" xfId="6058"/>
    <cellStyle name="常规 4 2 10 5 3 2 2 2 2" xfId="2721"/>
    <cellStyle name="常规 4 2 10 5 3 2 2 2 2 2" xfId="12607"/>
    <cellStyle name="常规 4 2 10 5 3 2 2 2 3" xfId="12611"/>
    <cellStyle name="常规 4 2 10 5 3 2 2 2 4" xfId="12612"/>
    <cellStyle name="常规 4 2 10 5 3 2 2 3" xfId="12613"/>
    <cellStyle name="常规 4 2 10 5 3 2 2 3 2" xfId="12614"/>
    <cellStyle name="常规 4 2 10 5 3 2 2 4" xfId="12616"/>
    <cellStyle name="常规 4 2 10 5 3 2 2 5" xfId="12617"/>
    <cellStyle name="常规 4 2 10 5 3 2 3" xfId="6061"/>
    <cellStyle name="常规 4 2 10 5 3 2 3 2" xfId="12618"/>
    <cellStyle name="常规 4 2 10 5 3 2 3 2 2" xfId="12619"/>
    <cellStyle name="常规 4 2 10 5 3 2 3 3" xfId="12620"/>
    <cellStyle name="常规 4 2 10 5 3 2 3 4" xfId="12621"/>
    <cellStyle name="常规 4 2 10 5 3 2 4" xfId="6067"/>
    <cellStyle name="常规 4 2 10 5 3 2 4 2" xfId="12622"/>
    <cellStyle name="常规 4 2 10 5 3 2 5" xfId="12624"/>
    <cellStyle name="常规 4 2 10 5 3 2 6" xfId="12633"/>
    <cellStyle name="常规 4 2 10 5 3 3" xfId="12636"/>
    <cellStyle name="常规 4 2 10 5 3 3 2" xfId="2490"/>
    <cellStyle name="常规 4 2 10 5 3 3 2 2" xfId="12638"/>
    <cellStyle name="常规 4 2 10 5 3 3 2 2 2" xfId="12639"/>
    <cellStyle name="常规 4 2 10 5 3 3 2 3" xfId="12640"/>
    <cellStyle name="常规 4 2 10 5 3 3 2 4" xfId="12641"/>
    <cellStyle name="常规 4 2 10 5 3 3 3" xfId="6100"/>
    <cellStyle name="常规 4 2 10 5 3 3 3 2" xfId="12644"/>
    <cellStyle name="常规 4 2 10 5 3 3 4" xfId="12646"/>
    <cellStyle name="常规 4 2 10 5 3 3 5" xfId="12653"/>
    <cellStyle name="常规 4 2 10 5 3 4" xfId="12655"/>
    <cellStyle name="常规 4 2 10 5 3 4 2" xfId="5608"/>
    <cellStyle name="常规 4 2 10 5 3 4 2 2" xfId="12656"/>
    <cellStyle name="常规 4 2 10 5 3 4 3" xfId="12658"/>
    <cellStyle name="常规 4 2 10 5 3 4 4" xfId="12660"/>
    <cellStyle name="常规 4 2 10 5 3 5" xfId="12662"/>
    <cellStyle name="常规 4 2 10 5 3 5 2" xfId="12663"/>
    <cellStyle name="常规 4 2 10 5 3 6" xfId="12665"/>
    <cellStyle name="常规 4 2 10 5 3 7" xfId="12668"/>
    <cellStyle name="常规 4 2 10 5 4" xfId="12669"/>
    <cellStyle name="常规 4 2 10 5 4 2" xfId="12671"/>
    <cellStyle name="常规 4 2 10 5 4 2 2" xfId="6736"/>
    <cellStyle name="常规 4 2 10 5 4 2 2 2" xfId="12673"/>
    <cellStyle name="常规 4 2 10 5 4 2 2 2 2" xfId="11245"/>
    <cellStyle name="常规 4 2 10 5 4 2 2 3" xfId="12674"/>
    <cellStyle name="常规 4 2 10 5 4 2 2 4" xfId="12675"/>
    <cellStyle name="常规 4 2 10 5 4 2 3" xfId="6739"/>
    <cellStyle name="常规 4 2 10 5 4 2 3 2" xfId="12676"/>
    <cellStyle name="常规 4 2 10 5 4 2 4" xfId="12677"/>
    <cellStyle name="常规 4 2 10 5 4 2 5" xfId="1271"/>
    <cellStyle name="常规 4 2 10 5 4 3" xfId="12681"/>
    <cellStyle name="常规 4 2 10 5 4 3 2" xfId="6753"/>
    <cellStyle name="常规 4 2 10 5 4 3 2 2" xfId="12682"/>
    <cellStyle name="常规 4 2 10 5 4 3 3" xfId="8166"/>
    <cellStyle name="常规 4 2 10 5 4 3 4" xfId="12684"/>
    <cellStyle name="常规 4 2 10 5 4 4" xfId="12686"/>
    <cellStyle name="常规 4 2 10 5 4 4 2" xfId="12687"/>
    <cellStyle name="常规 4 2 10 5 4 5" xfId="12689"/>
    <cellStyle name="常规 4 2 10 5 4 6" xfId="12690"/>
    <cellStyle name="常规 4 2 10 5 5" xfId="12692"/>
    <cellStyle name="常规 4 2 10 5 5 2" xfId="12694"/>
    <cellStyle name="常规 4 2 10 5 5 2 2" xfId="12698"/>
    <cellStyle name="常规 4 2 10 5 5 2 2 2" xfId="12700"/>
    <cellStyle name="常规 4 2 10 5 5 2 3" xfId="12704"/>
    <cellStyle name="常规 4 2 10 5 5 2 4" xfId="12706"/>
    <cellStyle name="常规 4 2 10 5 5 3" xfId="12709"/>
    <cellStyle name="常规 4 2 10 5 5 3 2" xfId="12711"/>
    <cellStyle name="常规 4 2 10 5 5 4" xfId="12713"/>
    <cellStyle name="常规 4 2 10 5 5 5" xfId="12716"/>
    <cellStyle name="常规 4 2 10 5 6" xfId="12720"/>
    <cellStyle name="常规 4 2 10 5 6 2" xfId="12722"/>
    <cellStyle name="常规 4 2 10 5 6 2 2" xfId="12724"/>
    <cellStyle name="常规 4 2 10 5 6 3" xfId="12729"/>
    <cellStyle name="常规 4 2 10 5 6 4" xfId="12732"/>
    <cellStyle name="常规 4 2 10 5 7" xfId="12734"/>
    <cellStyle name="常规 4 2 10 5 7 2" xfId="12737"/>
    <cellStyle name="常规 4 2 10 5 8" xfId="12739"/>
    <cellStyle name="常规 4 2 10 5 9" xfId="12742"/>
    <cellStyle name="常规 4 2 10 6" xfId="2891"/>
    <cellStyle name="常规 4 2 10 6 2" xfId="2895"/>
    <cellStyle name="常规 4 2 10 6 2 2" xfId="12744"/>
    <cellStyle name="常规 4 2 10 6 2 2 2" xfId="12747"/>
    <cellStyle name="常规 4 2 10 6 2 2 2 2" xfId="12751"/>
    <cellStyle name="常规 4 2 10 6 2 2 2 2 2" xfId="12755"/>
    <cellStyle name="常规 4 2 10 6 2 2 2 2 2 2" xfId="12756"/>
    <cellStyle name="常规 4 2 10 6 2 2 2 2 3" xfId="12758"/>
    <cellStyle name="常规 4 2 10 6 2 2 2 2 4" xfId="12759"/>
    <cellStyle name="常规 4 2 10 6 2 2 2 3" xfId="12762"/>
    <cellStyle name="常规 4 2 10 6 2 2 2 3 2" xfId="12763"/>
    <cellStyle name="常规 4 2 10 6 2 2 2 4" xfId="12765"/>
    <cellStyle name="常规 4 2 10 6 2 2 2 5" xfId="12766"/>
    <cellStyle name="常规 4 2 10 6 2 2 3" xfId="12769"/>
    <cellStyle name="常规 4 2 10 6 2 2 3 2" xfId="12772"/>
    <cellStyle name="常规 4 2 10 6 2 2 3 2 2" xfId="12773"/>
    <cellStyle name="常规 4 2 10 6 2 2 3 3" xfId="12774"/>
    <cellStyle name="常规 4 2 10 6 2 2 3 4" xfId="12775"/>
    <cellStyle name="常规 4 2 10 6 2 2 4" xfId="12779"/>
    <cellStyle name="常规 4 2 10 6 2 2 4 2" xfId="12780"/>
    <cellStyle name="常规 4 2 10 6 2 2 5" xfId="12783"/>
    <cellStyle name="常规 4 2 10 6 2 2 6" xfId="12785"/>
    <cellStyle name="常规 4 2 10 6 2 3" xfId="12787"/>
    <cellStyle name="常规 4 2 10 6 2 3 2" xfId="12791"/>
    <cellStyle name="常规 4 2 10 6 2 3 2 2" xfId="12795"/>
    <cellStyle name="常规 4 2 10 6 2 3 2 2 2" xfId="12796"/>
    <cellStyle name="常规 4 2 10 6 2 3 2 3" xfId="12799"/>
    <cellStyle name="常规 4 2 10 6 2 3 2 4" xfId="12801"/>
    <cellStyle name="常规 4 2 10 6 2 3 3" xfId="12806"/>
    <cellStyle name="常规 4 2 10 6 2 3 3 2" xfId="12809"/>
    <cellStyle name="常规 4 2 10 6 2 3 4" xfId="12813"/>
    <cellStyle name="常规 4 2 10 6 2 3 5" xfId="12816"/>
    <cellStyle name="常规 4 2 10 6 2 4" xfId="12818"/>
    <cellStyle name="常规 4 2 10 6 2 4 2" xfId="12821"/>
    <cellStyle name="常规 4 2 10 6 2 4 2 2" xfId="12823"/>
    <cellStyle name="常规 4 2 10 6 2 4 3" xfId="12826"/>
    <cellStyle name="常规 4 2 10 6 2 4 4" xfId="12828"/>
    <cellStyle name="常规 4 2 10 6 2 5" xfId="12830"/>
    <cellStyle name="常规 4 2 10 6 2 5 2" xfId="12832"/>
    <cellStyle name="常规 4 2 10 6 2 6" xfId="12834"/>
    <cellStyle name="常规 4 2 10 6 2 7" xfId="12837"/>
    <cellStyle name="常规 4 2 10 6 3" xfId="12840"/>
    <cellStyle name="常规 4 2 10 6 3 2" xfId="12842"/>
    <cellStyle name="常规 4 2 10 6 3 2 2" xfId="6365"/>
    <cellStyle name="常规 4 2 10 6 3 2 2 2" xfId="12846"/>
    <cellStyle name="常规 4 2 10 6 3 2 2 2 2" xfId="12847"/>
    <cellStyle name="常规 4 2 10 6 3 2 2 3" xfId="12848"/>
    <cellStyle name="常规 4 2 10 6 3 2 2 4" xfId="12849"/>
    <cellStyle name="常规 4 2 10 6 3 2 3" xfId="6372"/>
    <cellStyle name="常规 4 2 10 6 3 2 3 2" xfId="12850"/>
    <cellStyle name="常规 4 2 10 6 3 2 4" xfId="12852"/>
    <cellStyle name="常规 4 2 10 6 3 2 5" xfId="12858"/>
    <cellStyle name="常规 4 2 10 6 3 3" xfId="12860"/>
    <cellStyle name="常规 4 2 10 6 3 3 2" xfId="6384"/>
    <cellStyle name="常规 4 2 10 6 3 3 2 2" xfId="12861"/>
    <cellStyle name="常规 4 2 10 6 3 3 3" xfId="12865"/>
    <cellStyle name="常规 4 2 10 6 3 3 4" xfId="12867"/>
    <cellStyle name="常规 4 2 10 6 3 4" xfId="12869"/>
    <cellStyle name="常规 4 2 10 6 3 4 2" xfId="12870"/>
    <cellStyle name="常规 4 2 10 6 3 5" xfId="12872"/>
    <cellStyle name="常规 4 2 10 6 3 6" xfId="12873"/>
    <cellStyle name="常规 4 2 10 6 4" xfId="12876"/>
    <cellStyle name="常规 4 2 10 6 4 2" xfId="12877"/>
    <cellStyle name="常规 4 2 10 6 4 2 2" xfId="12880"/>
    <cellStyle name="常规 4 2 10 6 4 2 2 2" xfId="12882"/>
    <cellStyle name="常规 4 2 10 6 4 2 3" xfId="8611"/>
    <cellStyle name="常规 4 2 10 6 4 2 4" xfId="8613"/>
    <cellStyle name="常规 4 2 10 6 4 3" xfId="12885"/>
    <cellStyle name="常规 4 2 10 6 4 3 2" xfId="12886"/>
    <cellStyle name="常规 4 2 10 6 4 4" xfId="12887"/>
    <cellStyle name="常规 4 2 10 6 4 5" xfId="12888"/>
    <cellStyle name="常规 4 2 10 6 5" xfId="12891"/>
    <cellStyle name="常规 4 2 10 6 5 2" xfId="12893"/>
    <cellStyle name="常规 4 2 10 6 5 2 2" xfId="12895"/>
    <cellStyle name="常规 4 2 10 6 5 3" xfId="12897"/>
    <cellStyle name="常规 4 2 10 6 5 4" xfId="12899"/>
    <cellStyle name="常规 4 2 10 6 6" xfId="12901"/>
    <cellStyle name="常规 4 2 10 6 6 2" xfId="12903"/>
    <cellStyle name="常规 4 2 10 6 7" xfId="12905"/>
    <cellStyle name="常规 4 2 10 6 8" xfId="12907"/>
    <cellStyle name="常规 4 2 10 7" xfId="2900"/>
    <cellStyle name="常规 4 2 10 7 2" xfId="12910"/>
    <cellStyle name="常规 4 2 10 7 2 2" xfId="12912"/>
    <cellStyle name="常规 4 2 10 7 2 2 2" xfId="12917"/>
    <cellStyle name="常规 4 2 10 7 2 2 2 2" xfId="12922"/>
    <cellStyle name="常规 4 2 10 7 2 2 2 2 2" xfId="12924"/>
    <cellStyle name="常规 4 2 10 7 2 2 2 3" xfId="12925"/>
    <cellStyle name="常规 4 2 10 7 2 2 2 4" xfId="4364"/>
    <cellStyle name="常规 4 2 10 7 2 2 3" xfId="12930"/>
    <cellStyle name="常规 4 2 10 7 2 2 3 2" xfId="12931"/>
    <cellStyle name="常规 4 2 10 7 2 2 4" xfId="12936"/>
    <cellStyle name="常规 4 2 10 7 2 2 5" xfId="12939"/>
    <cellStyle name="常规 4 2 10 7 2 3" xfId="12942"/>
    <cellStyle name="常规 4 2 10 7 2 3 2" xfId="12948"/>
    <cellStyle name="常规 4 2 10 7 2 3 2 2" xfId="12950"/>
    <cellStyle name="常规 4 2 10 7 2 3 3" xfId="12954"/>
    <cellStyle name="常规 4 2 10 7 2 3 4" xfId="12957"/>
    <cellStyle name="常规 4 2 10 7 2 4" xfId="12960"/>
    <cellStyle name="常规 4 2 10 7 2 4 2" xfId="5794"/>
    <cellStyle name="常规 4 2 10 7 2 5" xfId="12964"/>
    <cellStyle name="常规 4 2 10 7 2 6" xfId="12966"/>
    <cellStyle name="常规 4 2 10 7 3" xfId="12968"/>
    <cellStyle name="常规 4 2 10 7 3 2" xfId="12970"/>
    <cellStyle name="常规 4 2 10 7 3 2 2" xfId="12974"/>
    <cellStyle name="常规 4 2 10 7 3 2 2 2" xfId="5013"/>
    <cellStyle name="常规 4 2 10 7 3 2 3" xfId="12979"/>
    <cellStyle name="常规 4 2 10 7 3 2 4" xfId="12983"/>
    <cellStyle name="常规 4 2 10 7 3 3" xfId="12986"/>
    <cellStyle name="常规 4 2 10 7 3 3 2" xfId="12988"/>
    <cellStyle name="常规 4 2 10 7 3 4" xfId="12990"/>
    <cellStyle name="常规 4 2 10 7 3 5" xfId="12993"/>
    <cellStyle name="常规 4 2 10 7 4" xfId="12994"/>
    <cellStyle name="常规 4 2 10 7 4 2" xfId="12996"/>
    <cellStyle name="常规 4 2 10 7 4 2 2" xfId="2118"/>
    <cellStyle name="常规 4 2 10 7 4 3" xfId="12998"/>
    <cellStyle name="常规 4 2 10 7 4 4" xfId="13000"/>
    <cellStyle name="常规 4 2 10 7 5" xfId="13002"/>
    <cellStyle name="常规 4 2 10 7 5 2" xfId="13005"/>
    <cellStyle name="常规 4 2 10 7 6" xfId="13007"/>
    <cellStyle name="常规 4 2 10 7 7" xfId="10075"/>
    <cellStyle name="常规 4 2 10 8" xfId="2904"/>
    <cellStyle name="常规 4 2 10 8 2" xfId="13008"/>
    <cellStyle name="常规 4 2 10 8 2 2" xfId="13011"/>
    <cellStyle name="常规 4 2 10 8 2 2 2" xfId="13017"/>
    <cellStyle name="常规 4 2 10 8 2 2 2 2" xfId="13018"/>
    <cellStyle name="常规 4 2 10 8 2 2 3" xfId="13022"/>
    <cellStyle name="常规 4 2 10 8 2 2 4" xfId="13024"/>
    <cellStyle name="常规 4 2 10 8 2 3" xfId="7"/>
    <cellStyle name="常规 4 2 10 8 2 3 2" xfId="396"/>
    <cellStyle name="常规 4 2 10 8 2 4" xfId="452"/>
    <cellStyle name="常规 4 2 10 8 2 5" xfId="458"/>
    <cellStyle name="常规 4 2 10 8 3" xfId="13025"/>
    <cellStyle name="常规 4 2 10 8 3 2" xfId="13028"/>
    <cellStyle name="常规 4 2 10 8 3 2 2" xfId="13030"/>
    <cellStyle name="常规 4 2 10 8 3 3" xfId="466"/>
    <cellStyle name="常规 4 2 10 8 3 4" xfId="520"/>
    <cellStyle name="常规 4 2 10 8 4" xfId="13031"/>
    <cellStyle name="常规 4 2 10 8 4 2" xfId="13033"/>
    <cellStyle name="常规 4 2 10 8 5" xfId="13035"/>
    <cellStyle name="常规 4 2 10 8 6" xfId="13037"/>
    <cellStyle name="常规 4 2 10 9" xfId="13042"/>
    <cellStyle name="常规 4 2 10 9 2" xfId="13046"/>
    <cellStyle name="常规 4 2 10 9 2 2" xfId="13051"/>
    <cellStyle name="常规 4 2 10 9 2 2 2" xfId="13056"/>
    <cellStyle name="常规 4 2 10 9 2 3" xfId="13063"/>
    <cellStyle name="常规 4 2 10 9 2 4" xfId="13070"/>
    <cellStyle name="常规 4 2 10 9 3" xfId="13073"/>
    <cellStyle name="常规 4 2 10 9 3 2" xfId="13077"/>
    <cellStyle name="常规 4 2 10 9 4" xfId="13079"/>
    <cellStyle name="常规 4 2 10 9 5" xfId="13082"/>
    <cellStyle name="常规 4 2 11" xfId="13083"/>
    <cellStyle name="常规 4 2 11 10" xfId="12171"/>
    <cellStyle name="常规 4 2 11 10 2" xfId="12175"/>
    <cellStyle name="常规 4 2 11 11" xfId="12179"/>
    <cellStyle name="常规 4 2 11 12" xfId="12184"/>
    <cellStyle name="常规 4 2 11 2" xfId="13084"/>
    <cellStyle name="常规 4 2 11 2 10" xfId="13087"/>
    <cellStyle name="常规 4 2 11 2 11" xfId="13091"/>
    <cellStyle name="常规 4 2 11 2 2" xfId="13093"/>
    <cellStyle name="常规 4 2 11 2 2 2" xfId="5151"/>
    <cellStyle name="常规 4 2 11 2 2 2 2" xfId="13095"/>
    <cellStyle name="常规 4 2 11 2 2 2 2 2" xfId="13096"/>
    <cellStyle name="常规 4 2 11 2 2 2 2 2 2" xfId="13098"/>
    <cellStyle name="常规 4 2 11 2 2 2 2 2 2 2" xfId="13100"/>
    <cellStyle name="常规 4 2 11 2 2 2 2 2 2 2 2" xfId="13102"/>
    <cellStyle name="常规 4 2 11 2 2 2 2 2 2 2 2 2" xfId="13103"/>
    <cellStyle name="常规 4 2 11 2 2 2 2 2 2 2 3" xfId="13104"/>
    <cellStyle name="常规 4 2 11 2 2 2 2 2 2 2 4" xfId="13105"/>
    <cellStyle name="常规 4 2 11 2 2 2 2 2 2 3" xfId="13108"/>
    <cellStyle name="常规 4 2 11 2 2 2 2 2 2 3 2" xfId="13110"/>
    <cellStyle name="常规 4 2 11 2 2 2 2 2 2 4" xfId="9900"/>
    <cellStyle name="常规 4 2 11 2 2 2 2 2 2 5" xfId="13112"/>
    <cellStyle name="常规 4 2 11 2 2 2 2 2 3" xfId="4190"/>
    <cellStyle name="常规 4 2 11 2 2 2 2 2 3 2" xfId="4195"/>
    <cellStyle name="常规 4 2 11 2 2 2 2 2 3 2 2" xfId="13113"/>
    <cellStyle name="常规 4 2 11 2 2 2 2 2 3 3" xfId="1256"/>
    <cellStyle name="常规 4 2 11 2 2 2 2 2 3 4" xfId="1261"/>
    <cellStyle name="常规 4 2 11 2 2 2 2 2 4" xfId="3691"/>
    <cellStyle name="常规 4 2 11 2 2 2 2 2 4 2" xfId="13115"/>
    <cellStyle name="常规 4 2 11 2 2 2 2 2 5" xfId="3696"/>
    <cellStyle name="常规 4 2 11 2 2 2 2 2 6" xfId="13117"/>
    <cellStyle name="常规 4 2 11 2 2 2 2 3" xfId="13118"/>
    <cellStyle name="常规 4 2 11 2 2 2 2 3 2" xfId="13120"/>
    <cellStyle name="常规 4 2 11 2 2 2 2 3 2 2" xfId="13122"/>
    <cellStyle name="常规 4 2 11 2 2 2 2 3 2 2 2" xfId="2842"/>
    <cellStyle name="常规 4 2 11 2 2 2 2 3 2 3" xfId="13125"/>
    <cellStyle name="常规 4 2 11 2 2 2 2 3 2 4" xfId="13127"/>
    <cellStyle name="常规 4 2 11 2 2 2 2 3 3" xfId="13128"/>
    <cellStyle name="常规 4 2 11 2 2 2 2 3 3 2" xfId="13132"/>
    <cellStyle name="常规 4 2 11 2 2 2 2 3 4" xfId="13133"/>
    <cellStyle name="常规 4 2 11 2 2 2 2 3 5" xfId="13134"/>
    <cellStyle name="常规 4 2 11 2 2 2 2 4" xfId="5965"/>
    <cellStyle name="常规 4 2 11 2 2 2 2 4 2" xfId="3013"/>
    <cellStyle name="常规 4 2 11 2 2 2 2 4 2 2" xfId="13136"/>
    <cellStyle name="常规 4 2 11 2 2 2 2 4 3" xfId="13137"/>
    <cellStyle name="常规 4 2 11 2 2 2 2 4 4" xfId="13139"/>
    <cellStyle name="常规 4 2 11 2 2 2 2 5" xfId="5969"/>
    <cellStyle name="常规 4 2 11 2 2 2 2 5 2" xfId="13140"/>
    <cellStyle name="常规 4 2 11 2 2 2 2 6" xfId="7664"/>
    <cellStyle name="常规 4 2 11 2 2 2 2 7" xfId="13142"/>
    <cellStyle name="常规 4 2 11 2 2 2 3" xfId="13144"/>
    <cellStyle name="常规 4 2 11 2 2 2 3 2" xfId="13145"/>
    <cellStyle name="常规 4 2 11 2 2 2 3 2 2" xfId="13147"/>
    <cellStyle name="常规 4 2 11 2 2 2 3 2 2 2" xfId="13149"/>
    <cellStyle name="常规 4 2 11 2 2 2 3 2 2 2 2" xfId="3291"/>
    <cellStyle name="常规 4 2 11 2 2 2 3 2 2 3" xfId="13150"/>
    <cellStyle name="常规 4 2 11 2 2 2 3 2 2 4" xfId="13155"/>
    <cellStyle name="常规 4 2 11 2 2 2 3 2 3" xfId="13156"/>
    <cellStyle name="常规 4 2 11 2 2 2 3 2 3 2" xfId="13161"/>
    <cellStyle name="常规 4 2 11 2 2 2 3 2 4" xfId="13164"/>
    <cellStyle name="常规 4 2 11 2 2 2 3 2 5" xfId="13167"/>
    <cellStyle name="常规 4 2 11 2 2 2 3 3" xfId="13168"/>
    <cellStyle name="常规 4 2 11 2 2 2 3 3 2" xfId="13169"/>
    <cellStyle name="常规 4 2 11 2 2 2 3 3 2 2" xfId="13171"/>
    <cellStyle name="常规 4 2 11 2 2 2 3 3 3" xfId="13172"/>
    <cellStyle name="常规 4 2 11 2 2 2 3 3 4" xfId="13175"/>
    <cellStyle name="常规 4 2 11 2 2 2 3 4" xfId="6063"/>
    <cellStyle name="常规 4 2 11 2 2 2 3 4 2" xfId="13176"/>
    <cellStyle name="常规 4 2 11 2 2 2 3 5" xfId="13177"/>
    <cellStyle name="常规 4 2 11 2 2 2 3 6" xfId="13179"/>
    <cellStyle name="常规 4 2 11 2 2 2 4" xfId="13182"/>
    <cellStyle name="常规 4 2 11 2 2 2 4 2" xfId="13184"/>
    <cellStyle name="常规 4 2 11 2 2 2 4 2 2" xfId="13186"/>
    <cellStyle name="常规 4 2 11 2 2 2 4 2 2 2" xfId="3942"/>
    <cellStyle name="常规 4 2 11 2 2 2 4 2 3" xfId="13190"/>
    <cellStyle name="常规 4 2 11 2 2 2 4 2 4" xfId="3749"/>
    <cellStyle name="常规 4 2 11 2 2 2 4 3" xfId="13192"/>
    <cellStyle name="常规 4 2 11 2 2 2 4 3 2" xfId="13194"/>
    <cellStyle name="常规 4 2 11 2 2 2 4 4" xfId="13196"/>
    <cellStyle name="常规 4 2 11 2 2 2 4 5" xfId="13198"/>
    <cellStyle name="常规 4 2 11 2 2 2 5" xfId="13200"/>
    <cellStyle name="常规 4 2 11 2 2 2 5 2" xfId="13202"/>
    <cellStyle name="常规 4 2 11 2 2 2 5 2 2" xfId="13204"/>
    <cellStyle name="常规 4 2 11 2 2 2 5 3" xfId="13206"/>
    <cellStyle name="常规 4 2 11 2 2 2 5 4" xfId="13208"/>
    <cellStyle name="常规 4 2 11 2 2 2 6" xfId="13210"/>
    <cellStyle name="常规 4 2 11 2 2 2 6 2" xfId="13212"/>
    <cellStyle name="常规 4 2 11 2 2 2 7" xfId="13214"/>
    <cellStyle name="常规 4 2 11 2 2 2 8" xfId="13216"/>
    <cellStyle name="常规 4 2 11 2 2 3" xfId="13217"/>
    <cellStyle name="常规 4 2 11 2 2 3 2" xfId="13218"/>
    <cellStyle name="常规 4 2 11 2 2 3 2 2" xfId="13220"/>
    <cellStyle name="常规 4 2 11 2 2 3 2 2 2" xfId="13222"/>
    <cellStyle name="常规 4 2 11 2 2 3 2 2 2 2" xfId="2448"/>
    <cellStyle name="常规 4 2 11 2 2 3 2 2 2 2 2" xfId="13224"/>
    <cellStyle name="常规 4 2 11 2 2 3 2 2 2 3" xfId="13227"/>
    <cellStyle name="常规 4 2 11 2 2 3 2 2 2 4" xfId="10116"/>
    <cellStyle name="常规 4 2 11 2 2 3 2 2 3" xfId="13228"/>
    <cellStyle name="常规 4 2 11 2 2 3 2 2 3 2" xfId="13232"/>
    <cellStyle name="常规 4 2 11 2 2 3 2 2 4" xfId="13233"/>
    <cellStyle name="常规 4 2 11 2 2 3 2 2 5" xfId="13234"/>
    <cellStyle name="常规 4 2 11 2 2 3 2 3" xfId="13236"/>
    <cellStyle name="常规 4 2 11 2 2 3 2 3 2" xfId="13237"/>
    <cellStyle name="常规 4 2 11 2 2 3 2 3 2 2" xfId="13240"/>
    <cellStyle name="常规 4 2 11 2 2 3 2 3 3" xfId="13241"/>
    <cellStyle name="常规 4 2 11 2 2 3 2 3 4" xfId="13243"/>
    <cellStyle name="常规 4 2 11 2 2 3 2 4" xfId="862"/>
    <cellStyle name="常规 4 2 11 2 2 3 2 4 2" xfId="13244"/>
    <cellStyle name="常规 4 2 11 2 2 3 2 5" xfId="13245"/>
    <cellStyle name="常规 4 2 11 2 2 3 2 6" xfId="13248"/>
    <cellStyle name="常规 4 2 11 2 2 3 3" xfId="13249"/>
    <cellStyle name="常规 4 2 11 2 2 3 3 2" xfId="13251"/>
    <cellStyle name="常规 4 2 11 2 2 3 3 2 2" xfId="13252"/>
    <cellStyle name="常规 4 2 11 2 2 3 3 2 2 2" xfId="13254"/>
    <cellStyle name="常规 4 2 11 2 2 3 3 2 3" xfId="13255"/>
    <cellStyle name="常规 4 2 11 2 2 3 3 2 4" xfId="13258"/>
    <cellStyle name="常规 4 2 11 2 2 3 3 3" xfId="13259"/>
    <cellStyle name="常规 4 2 11 2 2 3 3 3 2" xfId="13260"/>
    <cellStyle name="常规 4 2 11 2 2 3 3 4" xfId="13261"/>
    <cellStyle name="常规 4 2 11 2 2 3 3 5" xfId="13262"/>
    <cellStyle name="常规 4 2 11 2 2 3 4" xfId="13264"/>
    <cellStyle name="常规 4 2 11 2 2 3 4 2" xfId="13269"/>
    <cellStyle name="常规 4 2 11 2 2 3 4 2 2" xfId="13274"/>
    <cellStyle name="常规 4 2 11 2 2 3 4 3" xfId="13278"/>
    <cellStyle name="常规 4 2 11 2 2 3 4 4" xfId="13282"/>
    <cellStyle name="常规 4 2 11 2 2 3 5" xfId="13284"/>
    <cellStyle name="常规 4 2 11 2 2 3 5 2" xfId="13288"/>
    <cellStyle name="常规 4 2 11 2 2 3 6" xfId="13290"/>
    <cellStyle name="常规 4 2 11 2 2 3 7" xfId="13293"/>
    <cellStyle name="常规 4 2 11 2 2 4" xfId="13294"/>
    <cellStyle name="常规 4 2 11 2 2 4 2" xfId="13295"/>
    <cellStyle name="常规 4 2 11 2 2 4 2 2" xfId="13297"/>
    <cellStyle name="常规 4 2 11 2 2 4 2 2 2" xfId="13298"/>
    <cellStyle name="常规 4 2 11 2 2 4 2 2 2 2" xfId="13301"/>
    <cellStyle name="常规 4 2 11 2 2 4 2 2 3" xfId="8965"/>
    <cellStyle name="常规 4 2 11 2 2 4 2 2 4" xfId="8967"/>
    <cellStyle name="常规 4 2 11 2 2 4 2 3" xfId="12218"/>
    <cellStyle name="常规 4 2 11 2 2 4 2 3 2" xfId="12220"/>
    <cellStyle name="常规 4 2 11 2 2 4 2 4" xfId="12224"/>
    <cellStyle name="常规 4 2 11 2 2 4 2 5" xfId="12227"/>
    <cellStyle name="常规 4 2 11 2 2 4 3" xfId="13302"/>
    <cellStyle name="常规 4 2 11 2 2 4 3 2" xfId="13304"/>
    <cellStyle name="常规 4 2 11 2 2 4 3 2 2" xfId="13305"/>
    <cellStyle name="常规 4 2 11 2 2 4 3 3" xfId="12231"/>
    <cellStyle name="常规 4 2 11 2 2 4 3 4" xfId="12234"/>
    <cellStyle name="常规 4 2 11 2 2 4 4" xfId="13307"/>
    <cellStyle name="常规 4 2 11 2 2 4 4 2" xfId="6164"/>
    <cellStyle name="常规 4 2 11 2 2 4 5" xfId="13309"/>
    <cellStyle name="常规 4 2 11 2 2 4 6" xfId="13311"/>
    <cellStyle name="常规 4 2 11 2 2 5" xfId="13312"/>
    <cellStyle name="常规 4 2 11 2 2 5 2" xfId="13313"/>
    <cellStyle name="常规 4 2 11 2 2 5 2 2" xfId="13315"/>
    <cellStyle name="常规 4 2 11 2 2 5 2 2 2" xfId="13317"/>
    <cellStyle name="常规 4 2 11 2 2 5 2 3" xfId="12240"/>
    <cellStyle name="常规 4 2 11 2 2 5 2 4" xfId="12246"/>
    <cellStyle name="常规 4 2 11 2 2 5 3" xfId="13318"/>
    <cellStyle name="常规 4 2 11 2 2 5 3 2" xfId="13319"/>
    <cellStyle name="常规 4 2 11 2 2 5 4" xfId="7257"/>
    <cellStyle name="常规 4 2 11 2 2 5 5" xfId="5684"/>
    <cellStyle name="常规 4 2 11 2 2 6" xfId="13320"/>
    <cellStyle name="常规 4 2 11 2 2 6 2" xfId="13321"/>
    <cellStyle name="常规 4 2 11 2 2 6 2 2" xfId="13322"/>
    <cellStyle name="常规 4 2 11 2 2 6 3" xfId="13323"/>
    <cellStyle name="常规 4 2 11 2 2 6 4" xfId="7480"/>
    <cellStyle name="常规 4 2 11 2 2 7" xfId="13324"/>
    <cellStyle name="常规 4 2 11 2 2 7 2" xfId="13325"/>
    <cellStyle name="常规 4 2 11 2 2 8" xfId="13326"/>
    <cellStyle name="常规 4 2 11 2 2 9" xfId="13327"/>
    <cellStyle name="常规 4 2 11 2 3" xfId="13328"/>
    <cellStyle name="常规 4 2 11 2 3 2" xfId="13329"/>
    <cellStyle name="常规 4 2 11 2 3 2 2" xfId="13330"/>
    <cellStyle name="常规 4 2 11 2 3 2 2 2" xfId="13331"/>
    <cellStyle name="常规 4 2 11 2 3 2 2 2 2" xfId="4666"/>
    <cellStyle name="常规 4 2 11 2 3 2 2 2 2 2" xfId="4675"/>
    <cellStyle name="常规 4 2 11 2 3 2 2 2 2 2 2" xfId="4677"/>
    <cellStyle name="常规 4 2 11 2 3 2 2 2 2 2 2 2" xfId="13332"/>
    <cellStyle name="常规 4 2 11 2 3 2 2 2 2 2 3" xfId="13334"/>
    <cellStyle name="常规 4 2 11 2 3 2 2 2 2 2 4" xfId="13335"/>
    <cellStyle name="常规 4 2 11 2 3 2 2 2 2 3" xfId="4681"/>
    <cellStyle name="常规 4 2 11 2 3 2 2 2 2 3 2" xfId="13338"/>
    <cellStyle name="常规 4 2 11 2 3 2 2 2 2 4" xfId="4686"/>
    <cellStyle name="常规 4 2 11 2 3 2 2 2 2 5" xfId="13341"/>
    <cellStyle name="常规 4 2 11 2 3 2 2 2 3" xfId="4694"/>
    <cellStyle name="常规 4 2 11 2 3 2 2 2 3 2" xfId="4699"/>
    <cellStyle name="常规 4 2 11 2 3 2 2 2 3 2 2" xfId="13342"/>
    <cellStyle name="常规 4 2 11 2 3 2 2 2 3 3" xfId="13344"/>
    <cellStyle name="常规 4 2 11 2 3 2 2 2 3 4" xfId="13346"/>
    <cellStyle name="常规 4 2 11 2 3 2 2 2 4" xfId="4707"/>
    <cellStyle name="常规 4 2 11 2 3 2 2 2 4 2" xfId="13347"/>
    <cellStyle name="常规 4 2 11 2 3 2 2 2 5" xfId="4712"/>
    <cellStyle name="常规 4 2 11 2 3 2 2 2 6" xfId="13349"/>
    <cellStyle name="常规 4 2 11 2 3 2 2 3" xfId="13350"/>
    <cellStyle name="常规 4 2 11 2 3 2 2 3 2" xfId="4741"/>
    <cellStyle name="常规 4 2 11 2 3 2 2 3 2 2" xfId="4744"/>
    <cellStyle name="常规 4 2 11 2 3 2 2 3 2 2 2" xfId="9485"/>
    <cellStyle name="常规 4 2 11 2 3 2 2 3 2 3" xfId="13352"/>
    <cellStyle name="常规 4 2 11 2 3 2 2 3 2 4" xfId="13354"/>
    <cellStyle name="常规 4 2 11 2 3 2 2 3 3" xfId="4749"/>
    <cellStyle name="常规 4 2 11 2 3 2 2 3 3 2" xfId="13356"/>
    <cellStyle name="常规 4 2 11 2 3 2 2 3 4" xfId="4753"/>
    <cellStyle name="常规 4 2 11 2 3 2 2 3 5" xfId="13358"/>
    <cellStyle name="常规 4 2 11 2 3 2 2 4" xfId="6349"/>
    <cellStyle name="常规 4 2 11 2 3 2 2 4 2" xfId="4791"/>
    <cellStyle name="常规 4 2 11 2 3 2 2 4 2 2" xfId="13361"/>
    <cellStyle name="常规 4 2 11 2 3 2 2 4 3" xfId="4800"/>
    <cellStyle name="常规 4 2 11 2 3 2 2 4 4" xfId="13364"/>
    <cellStyle name="常规 4 2 11 2 3 2 2 5" xfId="13366"/>
    <cellStyle name="常规 4 2 11 2 3 2 2 5 2" xfId="4821"/>
    <cellStyle name="常规 4 2 11 2 3 2 2 6" xfId="7273"/>
    <cellStyle name="常规 4 2 11 2 3 2 2 7" xfId="13369"/>
    <cellStyle name="常规 4 2 11 2 3 2 3" xfId="13370"/>
    <cellStyle name="常规 4 2 11 2 3 2 3 2" xfId="13371"/>
    <cellStyle name="常规 4 2 11 2 3 2 3 2 2" xfId="2321"/>
    <cellStyle name="常规 4 2 11 2 3 2 3 2 2 2" xfId="4842"/>
    <cellStyle name="常规 4 2 11 2 3 2 3 2 2 2 2" xfId="13372"/>
    <cellStyle name="常规 4 2 11 2 3 2 3 2 2 3" xfId="13374"/>
    <cellStyle name="常规 4 2 11 2 3 2 3 2 2 4" xfId="13376"/>
    <cellStyle name="常规 4 2 11 2 3 2 3 2 3" xfId="2325"/>
    <cellStyle name="常规 4 2 11 2 3 2 3 2 3 2" xfId="13377"/>
    <cellStyle name="常规 4 2 11 2 3 2 3 2 4" xfId="4845"/>
    <cellStyle name="常规 4 2 11 2 3 2 3 2 5" xfId="13378"/>
    <cellStyle name="常规 4 2 11 2 3 2 3 3" xfId="13379"/>
    <cellStyle name="常规 4 2 11 2 3 2 3 3 2" xfId="2370"/>
    <cellStyle name="常规 4 2 11 2 3 2 3 3 2 2" xfId="2997"/>
    <cellStyle name="常规 4 2 11 2 3 2 3 3 3" xfId="2377"/>
    <cellStyle name="常规 4 2 11 2 3 2 3 3 4" xfId="13380"/>
    <cellStyle name="常规 4 2 11 2 3 2 3 4" xfId="13382"/>
    <cellStyle name="常规 4 2 11 2 3 2 3 4 2" xfId="1207"/>
    <cellStyle name="常规 4 2 11 2 3 2 3 5" xfId="13384"/>
    <cellStyle name="常规 4 2 11 2 3 2 3 6" xfId="13386"/>
    <cellStyle name="常规 4 2 11 2 3 2 4" xfId="13388"/>
    <cellStyle name="常规 4 2 11 2 3 2 4 2" xfId="13393"/>
    <cellStyle name="常规 4 2 11 2 3 2 4 2 2" xfId="744"/>
    <cellStyle name="常规 4 2 11 2 3 2 4 2 2 2" xfId="13396"/>
    <cellStyle name="常规 4 2 11 2 3 2 4 2 3" xfId="3843"/>
    <cellStyle name="常规 4 2 11 2 3 2 4 2 4" xfId="13398"/>
    <cellStyle name="常规 4 2 11 2 3 2 4 3" xfId="13403"/>
    <cellStyle name="常规 4 2 11 2 3 2 4 3 2" xfId="4868"/>
    <cellStyle name="常规 4 2 11 2 3 2 4 4" xfId="13407"/>
    <cellStyle name="常规 4 2 11 2 3 2 4 5" xfId="13411"/>
    <cellStyle name="常规 4 2 11 2 3 2 5" xfId="13415"/>
    <cellStyle name="常规 4 2 11 2 3 2 5 2" xfId="13422"/>
    <cellStyle name="常规 4 2 11 2 3 2 5 2 2" xfId="4892"/>
    <cellStyle name="常规 4 2 11 2 3 2 5 3" xfId="13426"/>
    <cellStyle name="常规 4 2 11 2 3 2 5 4" xfId="13429"/>
    <cellStyle name="常规 4 2 11 2 3 2 6" xfId="13434"/>
    <cellStyle name="常规 4 2 11 2 3 2 6 2" xfId="13437"/>
    <cellStyle name="常规 4 2 11 2 3 2 7" xfId="13442"/>
    <cellStyle name="常规 4 2 11 2 3 2 8" xfId="13446"/>
    <cellStyle name="常规 4 2 11 2 3 3" xfId="13448"/>
    <cellStyle name="常规 4 2 11 2 3 3 2" xfId="13449"/>
    <cellStyle name="常规 4 2 11 2 3 3 2 2" xfId="13451"/>
    <cellStyle name="常规 4 2 11 2 3 3 2 2 2" xfId="1032"/>
    <cellStyle name="常规 4 2 11 2 3 3 2 2 2 2" xfId="1038"/>
    <cellStyle name="常规 4 2 11 2 3 3 2 2 2 2 2" xfId="9815"/>
    <cellStyle name="常规 4 2 11 2 3 3 2 2 2 3" xfId="13453"/>
    <cellStyle name="常规 4 2 11 2 3 3 2 2 2 4" xfId="13455"/>
    <cellStyle name="常规 4 2 11 2 3 3 2 2 3" xfId="1049"/>
    <cellStyle name="常规 4 2 11 2 3 3 2 2 3 2" xfId="13457"/>
    <cellStyle name="常规 4 2 11 2 3 3 2 2 4" xfId="1060"/>
    <cellStyle name="常规 4 2 11 2 3 3 2 2 5" xfId="11510"/>
    <cellStyle name="常规 4 2 11 2 3 3 2 3" xfId="13459"/>
    <cellStyle name="常规 4 2 11 2 3 3 2 3 2" xfId="4939"/>
    <cellStyle name="常规 4 2 11 2 3 3 2 3 2 2" xfId="13460"/>
    <cellStyle name="常规 4 2 11 2 3 3 2 3 3" xfId="4944"/>
    <cellStyle name="常规 4 2 11 2 3 3 2 3 4" xfId="11513"/>
    <cellStyle name="常规 4 2 11 2 3 3 2 4" xfId="13462"/>
    <cellStyle name="常规 4 2 11 2 3 3 2 4 2" xfId="4972"/>
    <cellStyle name="常规 4 2 11 2 3 3 2 5" xfId="13464"/>
    <cellStyle name="常规 4 2 11 2 3 3 2 6" xfId="13466"/>
    <cellStyle name="常规 4 2 11 2 3 3 3" xfId="13467"/>
    <cellStyle name="常规 4 2 11 2 3 3 3 2" xfId="13469"/>
    <cellStyle name="常规 4 2 11 2 3 3 3 2 2" xfId="1096"/>
    <cellStyle name="常规 4 2 11 2 3 3 3 2 2 2" xfId="13470"/>
    <cellStyle name="常规 4 2 11 2 3 3 3 2 3" xfId="1103"/>
    <cellStyle name="常规 4 2 11 2 3 3 3 2 4" xfId="11524"/>
    <cellStyle name="常规 4 2 11 2 3 3 3 3" xfId="13471"/>
    <cellStyle name="常规 4 2 11 2 3 3 3 3 2" xfId="4997"/>
    <cellStyle name="常规 4 2 11 2 3 3 3 4" xfId="13473"/>
    <cellStyle name="常规 4 2 11 2 3 3 3 5" xfId="13474"/>
    <cellStyle name="常规 4 2 11 2 3 3 4" xfId="13476"/>
    <cellStyle name="常规 4 2 11 2 3 3 4 2" xfId="13484"/>
    <cellStyle name="常规 4 2 11 2 3 3 4 2 2" xfId="1804"/>
    <cellStyle name="常规 4 2 11 2 3 3 4 3" xfId="13487"/>
    <cellStyle name="常规 4 2 11 2 3 3 4 4" xfId="13490"/>
    <cellStyle name="常规 4 2 11 2 3 3 5" xfId="2042"/>
    <cellStyle name="常规 4 2 11 2 3 3 5 2" xfId="13493"/>
    <cellStyle name="常规 4 2 11 2 3 3 6" xfId="13498"/>
    <cellStyle name="常规 4 2 11 2 3 3 7" xfId="13500"/>
    <cellStyle name="常规 4 2 11 2 3 4" xfId="13502"/>
    <cellStyle name="常规 4 2 11 2 3 4 2" xfId="13503"/>
    <cellStyle name="常规 4 2 11 2 3 4 2 2" xfId="13505"/>
    <cellStyle name="常规 4 2 11 2 3 4 2 2 2" xfId="5038"/>
    <cellStyle name="常规 4 2 11 2 3 4 2 2 2 2" xfId="13507"/>
    <cellStyle name="常规 4 2 11 2 3 4 2 2 3" xfId="5040"/>
    <cellStyle name="常规 4 2 11 2 3 4 2 2 4" xfId="11552"/>
    <cellStyle name="常规 4 2 11 2 3 4 2 3" xfId="12277"/>
    <cellStyle name="常规 4 2 11 2 3 4 2 3 2" xfId="5050"/>
    <cellStyle name="常规 4 2 11 2 3 4 2 4" xfId="12280"/>
    <cellStyle name="常规 4 2 11 2 3 4 2 5" xfId="12282"/>
    <cellStyle name="常规 4 2 11 2 3 4 3" xfId="13508"/>
    <cellStyle name="常规 4 2 11 2 3 4 3 2" xfId="13509"/>
    <cellStyle name="常规 4 2 11 2 3 4 3 2 2" xfId="5090"/>
    <cellStyle name="常规 4 2 11 2 3 4 3 3" xfId="12285"/>
    <cellStyle name="常规 4 2 11 2 3 4 3 4" xfId="13510"/>
    <cellStyle name="常规 4 2 11 2 3 4 4" xfId="13512"/>
    <cellStyle name="常规 4 2 11 2 3 4 4 2" xfId="4338"/>
    <cellStyle name="常规 4 2 11 2 3 4 5" xfId="13514"/>
    <cellStyle name="常规 4 2 11 2 3 4 6" xfId="13516"/>
    <cellStyle name="常规 4 2 11 2 3 5" xfId="13518"/>
    <cellStyle name="常规 4 2 11 2 3 5 2" xfId="13519"/>
    <cellStyle name="常规 4 2 11 2 3 5 2 2" xfId="13520"/>
    <cellStyle name="常规 4 2 11 2 3 5 2 2 2" xfId="68"/>
    <cellStyle name="常规 4 2 11 2 3 5 2 3" xfId="12289"/>
    <cellStyle name="常规 4 2 11 2 3 5 2 4" xfId="13522"/>
    <cellStyle name="常规 4 2 11 2 3 5 3" xfId="13523"/>
    <cellStyle name="常规 4 2 11 2 3 5 3 2" xfId="13524"/>
    <cellStyle name="常规 4 2 11 2 3 5 4" xfId="7600"/>
    <cellStyle name="常规 4 2 11 2 3 5 5" xfId="7642"/>
    <cellStyle name="常规 4 2 11 2 3 6" xfId="13525"/>
    <cellStyle name="常规 4 2 11 2 3 6 2" xfId="13527"/>
    <cellStyle name="常规 4 2 11 2 3 6 2 2" xfId="13528"/>
    <cellStyle name="常规 4 2 11 2 3 6 3" xfId="13529"/>
    <cellStyle name="常规 4 2 11 2 3 6 4" xfId="6682"/>
    <cellStyle name="常规 4 2 11 2 3 7" xfId="13530"/>
    <cellStyle name="常规 4 2 11 2 3 7 2" xfId="13533"/>
    <cellStyle name="常规 4 2 11 2 3 8" xfId="13534"/>
    <cellStyle name="常规 4 2 11 2 3 9" xfId="13536"/>
    <cellStyle name="常规 4 2 11 2 4" xfId="13540"/>
    <cellStyle name="常规 4 2 11 2 4 2" xfId="6532"/>
    <cellStyle name="常规 4 2 11 2 4 2 2" xfId="13541"/>
    <cellStyle name="常规 4 2 11 2 4 2 2 2" xfId="13542"/>
    <cellStyle name="常规 4 2 11 2 4 2 2 2 2" xfId="3100"/>
    <cellStyle name="常规 4 2 11 2 4 2 2 2 2 2" xfId="13544"/>
    <cellStyle name="常规 4 2 11 2 4 2 2 2 2 2 2" xfId="13545"/>
    <cellStyle name="常规 4 2 11 2 4 2 2 2 2 3" xfId="13547"/>
    <cellStyle name="常规 4 2 11 2 4 2 2 2 2 4" xfId="13548"/>
    <cellStyle name="常规 4 2 11 2 4 2 2 2 3" xfId="3465"/>
    <cellStyle name="常规 4 2 11 2 4 2 2 2 3 2" xfId="13551"/>
    <cellStyle name="常规 4 2 11 2 4 2 2 2 4" xfId="11684"/>
    <cellStyle name="常规 4 2 11 2 4 2 2 2 5" xfId="13553"/>
    <cellStyle name="常规 4 2 11 2 4 2 2 3" xfId="13554"/>
    <cellStyle name="常规 4 2 11 2 4 2 2 3 2" xfId="3143"/>
    <cellStyle name="常规 4 2 11 2 4 2 2 3 2 2" xfId="13555"/>
    <cellStyle name="常规 4 2 11 2 4 2 2 3 3" xfId="13558"/>
    <cellStyle name="常规 4 2 11 2 4 2 2 3 4" xfId="13560"/>
    <cellStyle name="常规 4 2 11 2 4 2 2 4" xfId="13562"/>
    <cellStyle name="常规 4 2 11 2 4 2 2 4 2" xfId="3195"/>
    <cellStyle name="常规 4 2 11 2 4 2 2 5" xfId="13564"/>
    <cellStyle name="常规 4 2 11 2 4 2 2 6" xfId="13566"/>
    <cellStyle name="常规 4 2 11 2 4 2 3" xfId="13567"/>
    <cellStyle name="常规 4 2 11 2 4 2 3 2" xfId="13568"/>
    <cellStyle name="常规 4 2 11 2 4 2 3 2 2" xfId="5007"/>
    <cellStyle name="常规 4 2 11 2 4 2 3 2 2 2" xfId="9842"/>
    <cellStyle name="常规 4 2 11 2 4 2 3 2 3" xfId="13570"/>
    <cellStyle name="常规 4 2 11 2 4 2 3 2 4" xfId="13573"/>
    <cellStyle name="常规 4 2 11 2 4 2 3 3" xfId="13574"/>
    <cellStyle name="常规 4 2 11 2 4 2 3 3 2" xfId="13575"/>
    <cellStyle name="常规 4 2 11 2 4 2 3 4" xfId="13577"/>
    <cellStyle name="常规 4 2 11 2 4 2 3 5" xfId="13578"/>
    <cellStyle name="常规 4 2 11 2 4 2 4" xfId="13581"/>
    <cellStyle name="常规 4 2 11 2 4 2 4 2" xfId="13586"/>
    <cellStyle name="常规 4 2 11 2 4 2 4 2 2" xfId="13588"/>
    <cellStyle name="常规 4 2 11 2 4 2 4 3" xfId="13592"/>
    <cellStyle name="常规 4 2 11 2 4 2 4 4" xfId="13594"/>
    <cellStyle name="常规 4 2 11 2 4 2 5" xfId="13598"/>
    <cellStyle name="常规 4 2 11 2 4 2 5 2" xfId="13604"/>
    <cellStyle name="常规 4 2 11 2 4 2 6" xfId="13609"/>
    <cellStyle name="常规 4 2 11 2 4 2 7" xfId="13614"/>
    <cellStyle name="常规 4 2 11 2 4 3" xfId="13618"/>
    <cellStyle name="常规 4 2 11 2 4 3 2" xfId="2054"/>
    <cellStyle name="常规 4 2 11 2 4 3 2 2" xfId="2066"/>
    <cellStyle name="常规 4 2 11 2 4 3 2 2 2" xfId="2078"/>
    <cellStyle name="常规 4 2 11 2 4 3 2 2 2 2" xfId="13620"/>
    <cellStyle name="常规 4 2 11 2 4 3 2 2 3" xfId="2085"/>
    <cellStyle name="常规 4 2 11 2 4 3 2 2 4" xfId="11667"/>
    <cellStyle name="常规 4 2 11 2 4 3 2 3" xfId="2095"/>
    <cellStyle name="常规 4 2 11 2 4 3 2 3 2" xfId="2102"/>
    <cellStyle name="常规 4 2 11 2 4 3 2 4" xfId="969"/>
    <cellStyle name="常规 4 2 11 2 4 3 2 5" xfId="2104"/>
    <cellStyle name="常规 4 2 11 2 4 3 3" xfId="2112"/>
    <cellStyle name="常规 4 2 11 2 4 3 3 2" xfId="2123"/>
    <cellStyle name="常规 4 2 11 2 4 3 3 2 2" xfId="13623"/>
    <cellStyle name="常规 4 2 11 2 4 3 3 3" xfId="13624"/>
    <cellStyle name="常规 4 2 11 2 4 3 3 4" xfId="13625"/>
    <cellStyle name="常规 4 2 11 2 4 3 4" xfId="2135"/>
    <cellStyle name="常规 4 2 11 2 4 3 4 2" xfId="13628"/>
    <cellStyle name="常规 4 2 11 2 4 3 5" xfId="2149"/>
    <cellStyle name="常规 4 2 11 2 4 3 6" xfId="2152"/>
    <cellStyle name="常规 4 2 11 2 4 4" xfId="13631"/>
    <cellStyle name="常规 4 2 11 2 4 4 2" xfId="2174"/>
    <cellStyle name="常规 4 2 11 2 4 4 2 2" xfId="9797"/>
    <cellStyle name="常规 4 2 11 2 4 4 2 2 2" xfId="9802"/>
    <cellStyle name="常规 4 2 11 2 4 4 2 3" xfId="9803"/>
    <cellStyle name="常规 4 2 11 2 4 4 2 4" xfId="9806"/>
    <cellStyle name="常规 4 2 11 2 4 4 3" xfId="2179"/>
    <cellStyle name="常规 4 2 11 2 4 4 3 2" xfId="9835"/>
    <cellStyle name="常规 4 2 11 2 4 4 4" xfId="2186"/>
    <cellStyle name="常规 4 2 11 2 4 4 5" xfId="2194"/>
    <cellStyle name="常规 4 2 11 2 4 5" xfId="13632"/>
    <cellStyle name="常规 4 2 11 2 4 5 2" xfId="2213"/>
    <cellStyle name="常规 4 2 11 2 4 5 2 2" xfId="9884"/>
    <cellStyle name="常规 4 2 11 2 4 5 3" xfId="13633"/>
    <cellStyle name="常规 4 2 11 2 4 5 4" xfId="7736"/>
    <cellStyle name="常规 4 2 11 2 4 6" xfId="13634"/>
    <cellStyle name="常规 4 2 11 2 4 6 2" xfId="13635"/>
    <cellStyle name="常规 4 2 11 2 4 7" xfId="13636"/>
    <cellStyle name="常规 4 2 11 2 4 8" xfId="13637"/>
    <cellStyle name="常规 4 2 11 2 5" xfId="13641"/>
    <cellStyle name="常规 4 2 11 2 5 2" xfId="13644"/>
    <cellStyle name="常规 4 2 11 2 5 2 2" xfId="13646"/>
    <cellStyle name="常规 4 2 11 2 5 2 2 2" xfId="13648"/>
    <cellStyle name="常规 4 2 11 2 5 2 2 2 2" xfId="5724"/>
    <cellStyle name="常规 4 2 11 2 5 2 2 2 2 2" xfId="13651"/>
    <cellStyle name="常规 4 2 11 2 5 2 2 2 3" xfId="5730"/>
    <cellStyle name="常规 4 2 11 2 5 2 2 2 4" xfId="13654"/>
    <cellStyle name="常规 4 2 11 2 5 2 2 3" xfId="13656"/>
    <cellStyle name="常规 4 2 11 2 5 2 2 3 2" xfId="5743"/>
    <cellStyle name="常规 4 2 11 2 5 2 2 4" xfId="13660"/>
    <cellStyle name="常规 4 2 11 2 5 2 2 5" xfId="13662"/>
    <cellStyle name="常规 4 2 11 2 5 2 3" xfId="13664"/>
    <cellStyle name="常规 4 2 11 2 5 2 3 2" xfId="13666"/>
    <cellStyle name="常规 4 2 11 2 5 2 3 2 2" xfId="5773"/>
    <cellStyle name="常规 4 2 11 2 5 2 3 3" xfId="13668"/>
    <cellStyle name="常规 4 2 11 2 5 2 3 4" xfId="13670"/>
    <cellStyle name="常规 4 2 11 2 5 2 4" xfId="13673"/>
    <cellStyle name="常规 4 2 11 2 5 2 4 2" xfId="13678"/>
    <cellStyle name="常规 4 2 11 2 5 2 5" xfId="13683"/>
    <cellStyle name="常规 4 2 11 2 5 2 6" xfId="8554"/>
    <cellStyle name="常规 4 2 11 2 5 3" xfId="13686"/>
    <cellStyle name="常规 4 2 11 2 5 3 2" xfId="3416"/>
    <cellStyle name="常规 4 2 11 2 5 3 2 2" xfId="3542"/>
    <cellStyle name="常规 4 2 11 2 5 3 2 2 2" xfId="3552"/>
    <cellStyle name="常规 4 2 11 2 5 3 2 3" xfId="3580"/>
    <cellStyle name="常规 4 2 11 2 5 3 2 4" xfId="1040"/>
    <cellStyle name="常规 4 2 11 2 5 3 3" xfId="3825"/>
    <cellStyle name="常规 4 2 11 2 5 3 3 2" xfId="3863"/>
    <cellStyle name="常规 4 2 11 2 5 3 4" xfId="535"/>
    <cellStyle name="常规 4 2 11 2 5 3 5" xfId="258"/>
    <cellStyle name="常规 4 2 11 2 5 4" xfId="13688"/>
    <cellStyle name="常规 4 2 11 2 5 4 2" xfId="4108"/>
    <cellStyle name="常规 4 2 11 2 5 4 2 2" xfId="10018"/>
    <cellStyle name="常规 4 2 11 2 5 4 3" xfId="4111"/>
    <cellStyle name="常规 4 2 11 2 5 4 4" xfId="596"/>
    <cellStyle name="常规 4 2 11 2 5 5" xfId="13690"/>
    <cellStyle name="常规 4 2 11 2 5 5 2" xfId="13692"/>
    <cellStyle name="常规 4 2 11 2 5 6" xfId="13694"/>
    <cellStyle name="常规 4 2 11 2 5 7" xfId="13696"/>
    <cellStyle name="常规 4 2 11 2 6" xfId="13700"/>
    <cellStyle name="常规 4 2 11 2 6 2" xfId="13702"/>
    <cellStyle name="常规 4 2 11 2 6 2 2" xfId="13704"/>
    <cellStyle name="常规 4 2 11 2 6 2 2 2" xfId="4070"/>
    <cellStyle name="常规 4 2 11 2 6 2 2 2 2" xfId="3572"/>
    <cellStyle name="常规 4 2 11 2 6 2 2 3" xfId="13707"/>
    <cellStyle name="常规 4 2 11 2 6 2 2 4" xfId="13709"/>
    <cellStyle name="常规 4 2 11 2 6 2 3" xfId="13711"/>
    <cellStyle name="常规 4 2 11 2 6 2 3 2" xfId="13713"/>
    <cellStyle name="常规 4 2 11 2 6 2 4" xfId="13715"/>
    <cellStyle name="常规 4 2 11 2 6 2 5" xfId="13720"/>
    <cellStyle name="常规 4 2 11 2 6 3" xfId="13722"/>
    <cellStyle name="常规 4 2 11 2 6 3 2" xfId="13725"/>
    <cellStyle name="常规 4 2 11 2 6 3 2 2" xfId="2444"/>
    <cellStyle name="常规 4 2 11 2 6 3 3" xfId="13728"/>
    <cellStyle name="常规 4 2 11 2 6 3 4" xfId="13731"/>
    <cellStyle name="常规 4 2 11 2 6 4" xfId="13733"/>
    <cellStyle name="常规 4 2 11 2 6 4 2" xfId="13736"/>
    <cellStyle name="常规 4 2 11 2 6 5" xfId="13738"/>
    <cellStyle name="常规 4 2 11 2 6 6" xfId="13740"/>
    <cellStyle name="常规 4 2 11 2 7" xfId="13742"/>
    <cellStyle name="常规 4 2 11 2 7 2" xfId="13744"/>
    <cellStyle name="常规 4 2 11 2 7 2 2" xfId="13747"/>
    <cellStyle name="常规 4 2 11 2 7 2 2 2" xfId="219"/>
    <cellStyle name="常规 4 2 11 2 7 2 3" xfId="13749"/>
    <cellStyle name="常规 4 2 11 2 7 2 4" xfId="13751"/>
    <cellStyle name="常规 4 2 11 2 7 3" xfId="13753"/>
    <cellStyle name="常规 4 2 11 2 7 3 2" xfId="13756"/>
    <cellStyle name="常规 4 2 11 2 7 4" xfId="13758"/>
    <cellStyle name="常规 4 2 11 2 7 5" xfId="13760"/>
    <cellStyle name="常规 4 2 11 2 8" xfId="13762"/>
    <cellStyle name="常规 4 2 11 2 8 2" xfId="13764"/>
    <cellStyle name="常规 4 2 11 2 8 2 2" xfId="13766"/>
    <cellStyle name="常规 4 2 11 2 8 3" xfId="13768"/>
    <cellStyle name="常规 4 2 11 2 8 4" xfId="13770"/>
    <cellStyle name="常规 4 2 11 2 9" xfId="13772"/>
    <cellStyle name="常规 4 2 11 2 9 2" xfId="13774"/>
    <cellStyle name="常规 4 2 11 3" xfId="13776"/>
    <cellStyle name="常规 4 2 11 3 2" xfId="13778"/>
    <cellStyle name="常规 4 2 11 3 2 2" xfId="13779"/>
    <cellStyle name="常规 4 2 11 3 2 2 2" xfId="13780"/>
    <cellStyle name="常规 4 2 11 3 2 2 2 2" xfId="13781"/>
    <cellStyle name="常规 4 2 11 3 2 2 2 2 2" xfId="8597"/>
    <cellStyle name="常规 4 2 11 3 2 2 2 2 2 2" xfId="13784"/>
    <cellStyle name="常规 4 2 11 3 2 2 2 2 2 2 2" xfId="7468"/>
    <cellStyle name="常规 4 2 11 3 2 2 2 2 2 3" xfId="13785"/>
    <cellStyle name="常规 4 2 11 3 2 2 2 2 2 4" xfId="13786"/>
    <cellStyle name="常规 4 2 11 3 2 2 2 2 3" xfId="13789"/>
    <cellStyle name="常规 4 2 11 3 2 2 2 2 3 2" xfId="13792"/>
    <cellStyle name="常规 4 2 11 3 2 2 2 2 4" xfId="13795"/>
    <cellStyle name="常规 4 2 11 3 2 2 2 2 5" xfId="13797"/>
    <cellStyle name="常规 4 2 11 3 2 2 2 3" xfId="13798"/>
    <cellStyle name="常规 4 2 11 3 2 2 2 3 2" xfId="13801"/>
    <cellStyle name="常规 4 2 11 3 2 2 2 3 2 2" xfId="13803"/>
    <cellStyle name="常规 4 2 11 3 2 2 2 3 3" xfId="13808"/>
    <cellStyle name="常规 4 2 11 3 2 2 2 3 4" xfId="11285"/>
    <cellStyle name="常规 4 2 11 3 2 2 2 4" xfId="3301"/>
    <cellStyle name="常规 4 2 11 3 2 2 2 4 2" xfId="207"/>
    <cellStyle name="常规 4 2 11 3 2 2 2 5" xfId="3306"/>
    <cellStyle name="常规 4 2 11 3 2 2 2 6" xfId="7821"/>
    <cellStyle name="常规 4 2 11 3 2 2 3" xfId="13809"/>
    <cellStyle name="常规 4 2 11 3 2 2 3 2" xfId="13810"/>
    <cellStyle name="常规 4 2 11 3 2 2 3 2 2" xfId="13812"/>
    <cellStyle name="常规 4 2 11 3 2 2 3 2 2 2" xfId="13813"/>
    <cellStyle name="常规 4 2 11 3 2 2 3 2 3" xfId="3328"/>
    <cellStyle name="常规 4 2 11 3 2 2 3 2 4" xfId="6222"/>
    <cellStyle name="常规 4 2 11 3 2 2 3 3" xfId="13814"/>
    <cellStyle name="常规 4 2 11 3 2 2 3 3 2" xfId="13817"/>
    <cellStyle name="常规 4 2 11 3 2 2 3 4" xfId="3338"/>
    <cellStyle name="常规 4 2 11 3 2 2 3 5" xfId="13818"/>
    <cellStyle name="常规 4 2 11 3 2 2 4" xfId="13820"/>
    <cellStyle name="常规 4 2 11 3 2 2 4 2" xfId="13822"/>
    <cellStyle name="常规 4 2 11 3 2 2 4 2 2" xfId="13825"/>
    <cellStyle name="常规 4 2 11 3 2 2 4 3" xfId="13827"/>
    <cellStyle name="常规 4 2 11 3 2 2 4 4" xfId="13829"/>
    <cellStyle name="常规 4 2 11 3 2 2 5" xfId="13832"/>
    <cellStyle name="常规 4 2 11 3 2 2 5 2" xfId="13834"/>
    <cellStyle name="常规 4 2 11 3 2 2 6" xfId="13836"/>
    <cellStyle name="常规 4 2 11 3 2 2 7" xfId="13839"/>
    <cellStyle name="常规 4 2 11 3 2 3" xfId="13840"/>
    <cellStyle name="常规 4 2 11 3 2 3 2" xfId="13841"/>
    <cellStyle name="常规 4 2 11 3 2 3 2 2" xfId="13842"/>
    <cellStyle name="常规 4 2 11 3 2 3 2 2 2" xfId="13844"/>
    <cellStyle name="常规 4 2 11 3 2 3 2 2 2 2" xfId="13847"/>
    <cellStyle name="常规 4 2 11 3 2 3 2 2 3" xfId="13849"/>
    <cellStyle name="常规 4 2 11 3 2 3 2 2 4" xfId="13850"/>
    <cellStyle name="常规 4 2 11 3 2 3 2 3" xfId="13851"/>
    <cellStyle name="常规 4 2 11 3 2 3 2 3 2" xfId="13853"/>
    <cellStyle name="常规 4 2 11 3 2 3 2 4" xfId="3707"/>
    <cellStyle name="常规 4 2 11 3 2 3 2 5" xfId="13854"/>
    <cellStyle name="常规 4 2 11 3 2 3 3" xfId="13856"/>
    <cellStyle name="常规 4 2 11 3 2 3 3 2" xfId="13857"/>
    <cellStyle name="常规 4 2 11 3 2 3 3 2 2" xfId="13858"/>
    <cellStyle name="常规 4 2 11 3 2 3 3 3" xfId="13859"/>
    <cellStyle name="常规 4 2 11 3 2 3 3 4" xfId="13860"/>
    <cellStyle name="常规 4 2 11 3 2 3 4" xfId="13862"/>
    <cellStyle name="常规 4 2 11 3 2 3 4 2" xfId="13867"/>
    <cellStyle name="常规 4 2 11 3 2 3 5" xfId="13870"/>
    <cellStyle name="常规 4 2 11 3 2 3 6" xfId="13873"/>
    <cellStyle name="常规 4 2 11 3 2 4" xfId="13874"/>
    <cellStyle name="常规 4 2 11 3 2 4 2" xfId="13875"/>
    <cellStyle name="常规 4 2 11 3 2 4 2 2" xfId="13876"/>
    <cellStyle name="常规 4 2 11 3 2 4 2 2 2" xfId="13879"/>
    <cellStyle name="常规 4 2 11 3 2 4 2 3" xfId="12328"/>
    <cellStyle name="常规 4 2 11 3 2 4 2 4" xfId="12332"/>
    <cellStyle name="常规 4 2 11 3 2 4 3" xfId="13880"/>
    <cellStyle name="常规 4 2 11 3 2 4 3 2" xfId="13881"/>
    <cellStyle name="常规 4 2 11 3 2 4 4" xfId="13883"/>
    <cellStyle name="常规 4 2 11 3 2 4 5" xfId="13885"/>
    <cellStyle name="常规 4 2 11 3 2 5" xfId="13886"/>
    <cellStyle name="常规 4 2 11 3 2 5 2" xfId="13887"/>
    <cellStyle name="常规 4 2 11 3 2 5 2 2" xfId="13888"/>
    <cellStyle name="常规 4 2 11 3 2 5 3" xfId="13889"/>
    <cellStyle name="常规 4 2 11 3 2 5 4" xfId="8231"/>
    <cellStyle name="常规 4 2 11 3 2 6" xfId="13890"/>
    <cellStyle name="常规 4 2 11 3 2 6 2" xfId="13891"/>
    <cellStyle name="常规 4 2 11 3 2 7" xfId="13893"/>
    <cellStyle name="常规 4 2 11 3 2 8" xfId="13894"/>
    <cellStyle name="常规 4 2 11 3 3" xfId="13895"/>
    <cellStyle name="常规 4 2 11 3 3 2" xfId="13896"/>
    <cellStyle name="常规 4 2 11 3 3 2 2" xfId="13898"/>
    <cellStyle name="常规 4 2 11 3 3 2 2 2" xfId="13901"/>
    <cellStyle name="常规 4 2 11 3 3 2 2 2 2" xfId="3442"/>
    <cellStyle name="常规 4 2 11 3 3 2 2 2 2 2" xfId="13904"/>
    <cellStyle name="常规 4 2 11 3 3 2 2 2 3" xfId="4340"/>
    <cellStyle name="常规 4 2 11 3 3 2 2 2 4" xfId="13906"/>
    <cellStyle name="常规 4 2 11 3 3 2 2 3" xfId="13909"/>
    <cellStyle name="常规 4 2 11 3 3 2 2 3 2" xfId="4390"/>
    <cellStyle name="常规 4 2 11 3 3 2 2 4" xfId="7851"/>
    <cellStyle name="常规 4 2 11 3 3 2 2 5" xfId="13911"/>
    <cellStyle name="常规 4 2 11 3 3 2 3" xfId="13915"/>
    <cellStyle name="常规 4 2 11 3 3 2 3 2" xfId="13918"/>
    <cellStyle name="常规 4 2 11 3 3 2 3 2 2" xfId="4497"/>
    <cellStyle name="常规 4 2 11 3 3 2 3 3" xfId="13920"/>
    <cellStyle name="常规 4 2 11 3 3 2 3 4" xfId="13922"/>
    <cellStyle name="常规 4 2 11 3 3 2 4" xfId="13927"/>
    <cellStyle name="常规 4 2 11 3 3 2 4 2" xfId="13933"/>
    <cellStyle name="常规 4 2 11 3 3 2 5" xfId="13939"/>
    <cellStyle name="常规 4 2 11 3 3 2 6" xfId="13947"/>
    <cellStyle name="常规 4 2 11 3 3 3" xfId="13952"/>
    <cellStyle name="常规 4 2 11 3 3 3 2" xfId="13954"/>
    <cellStyle name="常规 4 2 11 3 3 3 2 2" xfId="13958"/>
    <cellStyle name="常规 4 2 11 3 3 3 2 2 2" xfId="4702"/>
    <cellStyle name="常规 4 2 11 3 3 3 2 3" xfId="13960"/>
    <cellStyle name="常规 4 2 11 3 3 3 2 4" xfId="13962"/>
    <cellStyle name="常规 4 2 11 3 3 3 3" xfId="13966"/>
    <cellStyle name="常规 4 2 11 3 3 3 3 2" xfId="13968"/>
    <cellStyle name="常规 4 2 11 3 3 3 4" xfId="13973"/>
    <cellStyle name="常规 4 2 11 3 3 3 5" xfId="13978"/>
    <cellStyle name="常规 4 2 11 3 3 4" xfId="13982"/>
    <cellStyle name="常规 4 2 11 3 3 4 2" xfId="13983"/>
    <cellStyle name="常规 4 2 11 3 3 4 2 2" xfId="13985"/>
    <cellStyle name="常规 4 2 11 3 3 4 3" xfId="1704"/>
    <cellStyle name="常规 4 2 11 3 3 4 4" xfId="13987"/>
    <cellStyle name="常规 4 2 11 3 3 5" xfId="13990"/>
    <cellStyle name="常规 4 2 11 3 3 5 2" xfId="13991"/>
    <cellStyle name="常规 4 2 11 3 3 6" xfId="13993"/>
    <cellStyle name="常规 4 2 11 3 3 7" xfId="13994"/>
    <cellStyle name="常规 4 2 11 3 4" xfId="13997"/>
    <cellStyle name="常规 4 2 11 3 4 2" xfId="13998"/>
    <cellStyle name="常规 4 2 11 3 4 2 2" xfId="14001"/>
    <cellStyle name="常规 4 2 11 3 4 2 2 2" xfId="14005"/>
    <cellStyle name="常规 4 2 11 3 4 2 2 2 2" xfId="5276"/>
    <cellStyle name="常规 4 2 11 3 4 2 2 3" xfId="14008"/>
    <cellStyle name="常规 4 2 11 3 4 2 2 4" xfId="14011"/>
    <cellStyle name="常规 4 2 11 3 4 2 3" xfId="14015"/>
    <cellStyle name="常规 4 2 11 3 4 2 3 2" xfId="14018"/>
    <cellStyle name="常规 4 2 11 3 4 2 4" xfId="14022"/>
    <cellStyle name="常规 4 2 11 3 4 2 5" xfId="14026"/>
    <cellStyle name="常规 4 2 11 3 4 3" xfId="14031"/>
    <cellStyle name="常规 4 2 11 3 4 3 2" xfId="14033"/>
    <cellStyle name="常规 4 2 11 3 4 3 2 2" xfId="14037"/>
    <cellStyle name="常规 4 2 11 3 4 3 3" xfId="14040"/>
    <cellStyle name="常规 4 2 11 3 4 3 4" xfId="14042"/>
    <cellStyle name="常规 4 2 11 3 4 4" xfId="14045"/>
    <cellStyle name="常规 4 2 11 3 4 4 2" xfId="14046"/>
    <cellStyle name="常规 4 2 11 3 4 5" xfId="14048"/>
    <cellStyle name="常规 4 2 11 3 4 6" xfId="14049"/>
    <cellStyle name="常规 4 2 11 3 5" xfId="14051"/>
    <cellStyle name="常规 4 2 11 3 5 2" xfId="14053"/>
    <cellStyle name="常规 4 2 11 3 5 2 2" xfId="14056"/>
    <cellStyle name="常规 4 2 11 3 5 2 2 2" xfId="14060"/>
    <cellStyle name="常规 4 2 11 3 5 2 3" xfId="14063"/>
    <cellStyle name="常规 4 2 11 3 5 2 4" xfId="14066"/>
    <cellStyle name="常规 4 2 11 3 5 3" xfId="14070"/>
    <cellStyle name="常规 4 2 11 3 5 3 2" xfId="14072"/>
    <cellStyle name="常规 4 2 11 3 5 4" xfId="14074"/>
    <cellStyle name="常规 4 2 11 3 5 5" xfId="14076"/>
    <cellStyle name="常规 4 2 11 3 6" xfId="14079"/>
    <cellStyle name="常规 4 2 11 3 6 2" xfId="14082"/>
    <cellStyle name="常规 4 2 11 3 6 2 2" xfId="14084"/>
    <cellStyle name="常规 4 2 11 3 6 3" xfId="14088"/>
    <cellStyle name="常规 4 2 11 3 6 4" xfId="14091"/>
    <cellStyle name="常规 4 2 11 3 7" xfId="14094"/>
    <cellStyle name="常规 4 2 11 3 7 2" xfId="14096"/>
    <cellStyle name="常规 4 2 11 3 8" xfId="14100"/>
    <cellStyle name="常规 4 2 11 3 9" xfId="14103"/>
    <cellStyle name="常规 4 2 11 4" xfId="9328"/>
    <cellStyle name="常规 4 2 11 4 2" xfId="9330"/>
    <cellStyle name="常规 4 2 11 4 2 2" xfId="14104"/>
    <cellStyle name="常规 4 2 11 4 2 2 2" xfId="14105"/>
    <cellStyle name="常规 4 2 11 4 2 2 2 2" xfId="14106"/>
    <cellStyle name="常规 4 2 11 4 2 2 2 2 2" xfId="14108"/>
    <cellStyle name="常规 4 2 11 4 2 2 2 2 2 2" xfId="14110"/>
    <cellStyle name="常规 4 2 11 4 2 2 2 2 2 2 2" xfId="8776"/>
    <cellStyle name="常规 4 2 11 4 2 2 2 2 2 3" xfId="14112"/>
    <cellStyle name="常规 4 2 11 4 2 2 2 2 2 4" xfId="7323"/>
    <cellStyle name="常规 4 2 11 4 2 2 2 2 3" xfId="6127"/>
    <cellStyle name="常规 4 2 11 4 2 2 2 2 3 2" xfId="6130"/>
    <cellStyle name="常规 4 2 11 4 2 2 2 2 4" xfId="6132"/>
    <cellStyle name="常规 4 2 11 4 2 2 2 2 5" xfId="6134"/>
    <cellStyle name="常规 4 2 11 4 2 2 2 3" xfId="14115"/>
    <cellStyle name="常规 4 2 11 4 2 2 2 3 2" xfId="14116"/>
    <cellStyle name="常规 4 2 11 4 2 2 2 3 2 2" xfId="14117"/>
    <cellStyle name="常规 4 2 11 4 2 2 2 3 3" xfId="5798"/>
    <cellStyle name="常规 4 2 11 4 2 2 2 3 4" xfId="14118"/>
    <cellStyle name="常规 4 2 11 4 2 2 2 4" xfId="7991"/>
    <cellStyle name="常规 4 2 11 4 2 2 2 4 2" xfId="14119"/>
    <cellStyle name="常规 4 2 11 4 2 2 2 5" xfId="14120"/>
    <cellStyle name="常规 4 2 11 4 2 2 2 6" xfId="14121"/>
    <cellStyle name="常规 4 2 11 4 2 2 3" xfId="14122"/>
    <cellStyle name="常规 4 2 11 4 2 2 3 2" xfId="14123"/>
    <cellStyle name="常规 4 2 11 4 2 2 3 2 2" xfId="14125"/>
    <cellStyle name="常规 4 2 11 4 2 2 3 2 2 2" xfId="14128"/>
    <cellStyle name="常规 4 2 11 4 2 2 3 2 3" xfId="4530"/>
    <cellStyle name="常规 4 2 11 4 2 2 3 2 4" xfId="14131"/>
    <cellStyle name="常规 4 2 11 4 2 2 3 3" xfId="14132"/>
    <cellStyle name="常规 4 2 11 4 2 2 3 3 2" xfId="14134"/>
    <cellStyle name="常规 4 2 11 4 2 2 3 4" xfId="14135"/>
    <cellStyle name="常规 4 2 11 4 2 2 3 5" xfId="14136"/>
    <cellStyle name="常规 4 2 11 4 2 2 4" xfId="14139"/>
    <cellStyle name="常规 4 2 11 4 2 2 4 2" xfId="14142"/>
    <cellStyle name="常规 4 2 11 4 2 2 4 2 2" xfId="14143"/>
    <cellStyle name="常规 4 2 11 4 2 2 4 3" xfId="14144"/>
    <cellStyle name="常规 4 2 11 4 2 2 4 4" xfId="14145"/>
    <cellStyle name="常规 4 2 11 4 2 2 5" xfId="14149"/>
    <cellStyle name="常规 4 2 11 4 2 2 5 2" xfId="14152"/>
    <cellStyle name="常规 4 2 11 4 2 2 6" xfId="14157"/>
    <cellStyle name="常规 4 2 11 4 2 2 7" xfId="5862"/>
    <cellStyle name="常规 4 2 11 4 2 3" xfId="14158"/>
    <cellStyle name="常规 4 2 11 4 2 3 2" xfId="14159"/>
    <cellStyle name="常规 4 2 11 4 2 3 2 2" xfId="14160"/>
    <cellStyle name="常规 4 2 11 4 2 3 2 2 2" xfId="14162"/>
    <cellStyle name="常规 4 2 11 4 2 3 2 2 2 2" xfId="14163"/>
    <cellStyle name="常规 4 2 11 4 2 3 2 2 3" xfId="6178"/>
    <cellStyle name="常规 4 2 11 4 2 3 2 2 4" xfId="14164"/>
    <cellStyle name="常规 4 2 11 4 2 3 2 3" xfId="14165"/>
    <cellStyle name="常规 4 2 11 4 2 3 2 3 2" xfId="14166"/>
    <cellStyle name="常规 4 2 11 4 2 3 2 4" xfId="14167"/>
    <cellStyle name="常规 4 2 11 4 2 3 2 5" xfId="14168"/>
    <cellStyle name="常规 4 2 11 4 2 3 3" xfId="14169"/>
    <cellStyle name="常规 4 2 11 4 2 3 3 2" xfId="14170"/>
    <cellStyle name="常规 4 2 11 4 2 3 3 2 2" xfId="14171"/>
    <cellStyle name="常规 4 2 11 4 2 3 3 3" xfId="14172"/>
    <cellStyle name="常规 4 2 11 4 2 3 3 4" xfId="14173"/>
    <cellStyle name="常规 4 2 11 4 2 3 4" xfId="14177"/>
    <cellStyle name="常规 4 2 11 4 2 3 4 2" xfId="14179"/>
    <cellStyle name="常规 4 2 11 4 2 3 5" xfId="14182"/>
    <cellStyle name="常规 4 2 11 4 2 3 6" xfId="14185"/>
    <cellStyle name="常规 4 2 11 4 2 4" xfId="14186"/>
    <cellStyle name="常规 4 2 11 4 2 4 2" xfId="14187"/>
    <cellStyle name="常规 4 2 11 4 2 4 2 2" xfId="14188"/>
    <cellStyle name="常规 4 2 11 4 2 4 2 2 2" xfId="13116"/>
    <cellStyle name="常规 4 2 11 4 2 4 2 3" xfId="12390"/>
    <cellStyle name="常规 4 2 11 4 2 4 2 4" xfId="14189"/>
    <cellStyle name="常规 4 2 11 4 2 4 3" xfId="14190"/>
    <cellStyle name="常规 4 2 11 4 2 4 3 2" xfId="14191"/>
    <cellStyle name="常规 4 2 11 4 2 4 4" xfId="14192"/>
    <cellStyle name="常规 4 2 11 4 2 4 5" xfId="14195"/>
    <cellStyle name="常规 4 2 11 4 2 5" xfId="10376"/>
    <cellStyle name="常规 4 2 11 4 2 5 2" xfId="10378"/>
    <cellStyle name="常规 4 2 11 4 2 5 2 2" xfId="10380"/>
    <cellStyle name="常规 4 2 11 4 2 5 3" xfId="10387"/>
    <cellStyle name="常规 4 2 11 4 2 5 4" xfId="8953"/>
    <cellStyle name="常规 4 2 11 4 2 6" xfId="10394"/>
    <cellStyle name="常规 4 2 11 4 2 6 2" xfId="10396"/>
    <cellStyle name="常规 4 2 11 4 2 7" xfId="10402"/>
    <cellStyle name="常规 4 2 11 4 2 8" xfId="10404"/>
    <cellStyle name="常规 4 2 11 4 3" xfId="14196"/>
    <cellStyle name="常规 4 2 11 4 3 2" xfId="14197"/>
    <cellStyle name="常规 4 2 11 4 3 2 2" xfId="14199"/>
    <cellStyle name="常规 4 2 11 4 3 2 2 2" xfId="14202"/>
    <cellStyle name="常规 4 2 11 4 3 2 2 2 2" xfId="6171"/>
    <cellStyle name="常规 4 2 11 4 3 2 2 2 2 2" xfId="14205"/>
    <cellStyle name="常规 4 2 11 4 3 2 2 2 3" xfId="6234"/>
    <cellStyle name="常规 4 2 11 4 3 2 2 2 4" xfId="14206"/>
    <cellStyle name="常规 4 2 11 4 3 2 2 3" xfId="14207"/>
    <cellStyle name="常规 4 2 11 4 3 2 2 3 2" xfId="14209"/>
    <cellStyle name="常规 4 2 11 4 3 2 2 4" xfId="14210"/>
    <cellStyle name="常规 4 2 11 4 3 2 2 5" xfId="14213"/>
    <cellStyle name="常规 4 2 11 4 3 2 3" xfId="14215"/>
    <cellStyle name="常规 4 2 11 4 3 2 3 2" xfId="14217"/>
    <cellStyle name="常规 4 2 11 4 3 2 3 2 2" xfId="14219"/>
    <cellStyle name="常规 4 2 11 4 3 2 3 3" xfId="14220"/>
    <cellStyle name="常规 4 2 11 4 3 2 3 4" xfId="3387"/>
    <cellStyle name="常规 4 2 11 4 3 2 4" xfId="14224"/>
    <cellStyle name="常规 4 2 11 4 3 2 4 2" xfId="14232"/>
    <cellStyle name="常规 4 2 11 4 3 2 5" xfId="14239"/>
    <cellStyle name="常规 4 2 11 4 3 2 6" xfId="14245"/>
    <cellStyle name="常规 4 2 11 4 3 3" xfId="14247"/>
    <cellStyle name="常规 4 2 11 4 3 3 2" xfId="14249"/>
    <cellStyle name="常规 4 2 11 4 3 3 2 2" xfId="14251"/>
    <cellStyle name="常规 4 2 11 4 3 3 2 2 2" xfId="10306"/>
    <cellStyle name="常规 4 2 11 4 3 3 2 3" xfId="14253"/>
    <cellStyle name="常规 4 2 11 4 3 3 2 4" xfId="14254"/>
    <cellStyle name="常规 4 2 11 4 3 3 3" xfId="14256"/>
    <cellStyle name="常规 4 2 11 4 3 3 3 2" xfId="14258"/>
    <cellStyle name="常规 4 2 11 4 3 3 4" xfId="14260"/>
    <cellStyle name="常规 4 2 11 4 3 3 5" xfId="14267"/>
    <cellStyle name="常规 4 2 11 4 3 4" xfId="14268"/>
    <cellStyle name="常规 4 2 11 4 3 4 2" xfId="14269"/>
    <cellStyle name="常规 4 2 11 4 3 4 2 2" xfId="14271"/>
    <cellStyle name="常规 4 2 11 4 3 4 3" xfId="14272"/>
    <cellStyle name="常规 4 2 11 4 3 4 4" xfId="14275"/>
    <cellStyle name="常规 4 2 11 4 3 5" xfId="10408"/>
    <cellStyle name="常规 4 2 11 4 3 5 2" xfId="10410"/>
    <cellStyle name="常规 4 2 11 4 3 6" xfId="10416"/>
    <cellStyle name="常规 4 2 11 4 3 7" xfId="10419"/>
    <cellStyle name="常规 4 2 11 4 4" xfId="14276"/>
    <cellStyle name="常规 4 2 11 4 4 2" xfId="9712"/>
    <cellStyle name="常规 4 2 11 4 4 2 2" xfId="9715"/>
    <cellStyle name="常规 4 2 11 4 4 2 2 2" xfId="14278"/>
    <cellStyle name="常规 4 2 11 4 4 2 2 2 2" xfId="14282"/>
    <cellStyle name="常规 4 2 11 4 4 2 2 3" xfId="14284"/>
    <cellStyle name="常规 4 2 11 4 4 2 2 4" xfId="14286"/>
    <cellStyle name="常规 4 2 11 4 4 2 3" xfId="9019"/>
    <cellStyle name="常规 4 2 11 4 4 2 3 2" xfId="9023"/>
    <cellStyle name="常规 4 2 11 4 4 2 4" xfId="9026"/>
    <cellStyle name="常规 4 2 11 4 4 2 5" xfId="9035"/>
    <cellStyle name="常规 4 2 11 4 4 3" xfId="9718"/>
    <cellStyle name="常规 4 2 11 4 4 3 2" xfId="14287"/>
    <cellStyle name="常规 4 2 11 4 4 3 2 2" xfId="14289"/>
    <cellStyle name="常规 4 2 11 4 4 3 3" xfId="9037"/>
    <cellStyle name="常规 4 2 11 4 4 3 4" xfId="14292"/>
    <cellStyle name="常规 4 2 11 4 4 4" xfId="9720"/>
    <cellStyle name="常规 4 2 11 4 4 4 2" xfId="14293"/>
    <cellStyle name="常规 4 2 11 4 4 5" xfId="10424"/>
    <cellStyle name="常规 4 2 11 4 4 6" xfId="10427"/>
    <cellStyle name="常规 4 2 11 4 5" xfId="14295"/>
    <cellStyle name="常规 4 2 11 4 5 2" xfId="14297"/>
    <cellStyle name="常规 4 2 11 4 5 2 2" xfId="14299"/>
    <cellStyle name="常规 4 2 11 4 5 2 2 2" xfId="11314"/>
    <cellStyle name="常规 4 2 11 4 5 2 3" xfId="9083"/>
    <cellStyle name="常规 4 2 11 4 5 2 4" xfId="14304"/>
    <cellStyle name="常规 4 2 11 4 5 3" xfId="14306"/>
    <cellStyle name="常规 4 2 11 4 5 3 2" xfId="14308"/>
    <cellStyle name="常规 4 2 11 4 5 4" xfId="14310"/>
    <cellStyle name="常规 4 2 11 4 5 5" xfId="10432"/>
    <cellStyle name="常规 4 2 11 4 6" xfId="14314"/>
    <cellStyle name="常规 4 2 11 4 6 2" xfId="14316"/>
    <cellStyle name="常规 4 2 11 4 6 2 2" xfId="14318"/>
    <cellStyle name="常规 4 2 11 4 6 3" xfId="14321"/>
    <cellStyle name="常规 4 2 11 4 6 4" xfId="14324"/>
    <cellStyle name="常规 4 2 11 4 7" xfId="14326"/>
    <cellStyle name="常规 4 2 11 4 7 2" xfId="14329"/>
    <cellStyle name="常规 4 2 11 4 8" xfId="14332"/>
    <cellStyle name="常规 4 2 11 4 9" xfId="14335"/>
    <cellStyle name="常规 4 2 11 5" xfId="2911"/>
    <cellStyle name="常规 4 2 11 5 2" xfId="2914"/>
    <cellStyle name="常规 4 2 11 5 2 2" xfId="14336"/>
    <cellStyle name="常规 4 2 11 5 2 2 2" xfId="14337"/>
    <cellStyle name="常规 4 2 11 5 2 2 2 2" xfId="14338"/>
    <cellStyle name="常规 4 2 11 5 2 2 2 2 2" xfId="9464"/>
    <cellStyle name="常规 4 2 11 5 2 2 2 2 2 2" xfId="9466"/>
    <cellStyle name="常规 4 2 11 5 2 2 2 2 3" xfId="4309"/>
    <cellStyle name="常规 4 2 11 5 2 2 2 2 4" xfId="9481"/>
    <cellStyle name="常规 4 2 11 5 2 2 2 3" xfId="14339"/>
    <cellStyle name="常规 4 2 11 5 2 2 2 3 2" xfId="9601"/>
    <cellStyle name="常规 4 2 11 5 2 2 2 4" xfId="14340"/>
    <cellStyle name="常规 4 2 11 5 2 2 2 5" xfId="14341"/>
    <cellStyle name="常规 4 2 11 5 2 2 3" xfId="14342"/>
    <cellStyle name="常规 4 2 11 5 2 2 3 2" xfId="14343"/>
    <cellStyle name="常规 4 2 11 5 2 2 3 2 2" xfId="14344"/>
    <cellStyle name="常规 4 2 11 5 2 2 3 3" xfId="14345"/>
    <cellStyle name="常规 4 2 11 5 2 2 3 4" xfId="14346"/>
    <cellStyle name="常规 4 2 11 5 2 2 4" xfId="14349"/>
    <cellStyle name="常规 4 2 11 5 2 2 4 2" xfId="14350"/>
    <cellStyle name="常规 4 2 11 5 2 2 5" xfId="14352"/>
    <cellStyle name="常规 4 2 11 5 2 2 6" xfId="14354"/>
    <cellStyle name="常规 4 2 11 5 2 3" xfId="14356"/>
    <cellStyle name="常规 4 2 11 5 2 3 2" xfId="14359"/>
    <cellStyle name="常规 4 2 11 5 2 3 2 2" xfId="14362"/>
    <cellStyle name="常规 4 2 11 5 2 3 2 2 2" xfId="14364"/>
    <cellStyle name="常规 4 2 11 5 2 3 2 3" xfId="14366"/>
    <cellStyle name="常规 4 2 11 5 2 3 2 4" xfId="14368"/>
    <cellStyle name="常规 4 2 11 5 2 3 3" xfId="14371"/>
    <cellStyle name="常规 4 2 11 5 2 3 3 2" xfId="14374"/>
    <cellStyle name="常规 4 2 11 5 2 3 4" xfId="14377"/>
    <cellStyle name="常规 4 2 11 5 2 3 5" xfId="14381"/>
    <cellStyle name="常规 4 2 11 5 2 4" xfId="14383"/>
    <cellStyle name="常规 4 2 11 5 2 4 2" xfId="14387"/>
    <cellStyle name="常规 4 2 11 5 2 4 2 2" xfId="14389"/>
    <cellStyle name="常规 4 2 11 5 2 4 3" xfId="14392"/>
    <cellStyle name="常规 4 2 11 5 2 4 4" xfId="14394"/>
    <cellStyle name="常规 4 2 11 5 2 5" xfId="10671"/>
    <cellStyle name="常规 4 2 11 5 2 5 2" xfId="10674"/>
    <cellStyle name="常规 4 2 11 5 2 6" xfId="10677"/>
    <cellStyle name="常规 4 2 11 5 2 7" xfId="10680"/>
    <cellStyle name="常规 4 2 11 5 3" xfId="2916"/>
    <cellStyle name="常规 4 2 11 5 3 2" xfId="14396"/>
    <cellStyle name="常规 4 2 11 5 3 2 2" xfId="14398"/>
    <cellStyle name="常规 4 2 11 5 3 2 2 2" xfId="14400"/>
    <cellStyle name="常规 4 2 11 5 3 2 2 2 2" xfId="6743"/>
    <cellStyle name="常规 4 2 11 5 3 2 2 3" xfId="14401"/>
    <cellStyle name="常规 4 2 11 5 3 2 2 4" xfId="14402"/>
    <cellStyle name="常规 4 2 11 5 3 2 3" xfId="14404"/>
    <cellStyle name="常规 4 2 11 5 3 2 3 2" xfId="14406"/>
    <cellStyle name="常规 4 2 11 5 3 2 4" xfId="14408"/>
    <cellStyle name="常规 4 2 11 5 3 2 5" xfId="14417"/>
    <cellStyle name="常规 4 2 11 5 3 3" xfId="14420"/>
    <cellStyle name="常规 4 2 11 5 3 3 2" xfId="14423"/>
    <cellStyle name="常规 4 2 11 5 3 3 2 2" xfId="14425"/>
    <cellStyle name="常规 4 2 11 5 3 3 3" xfId="14427"/>
    <cellStyle name="常规 4 2 11 5 3 3 4" xfId="14430"/>
    <cellStyle name="常规 4 2 11 5 3 4" xfId="14432"/>
    <cellStyle name="常规 4 2 11 5 3 4 2" xfId="14434"/>
    <cellStyle name="常规 4 2 11 5 3 5" xfId="10686"/>
    <cellStyle name="常规 4 2 11 5 3 6" xfId="14435"/>
    <cellStyle name="常规 4 2 11 5 4" xfId="14436"/>
    <cellStyle name="常规 4 2 11 5 4 2" xfId="14437"/>
    <cellStyle name="常规 4 2 11 5 4 2 2" xfId="14438"/>
    <cellStyle name="常规 4 2 11 5 4 2 2 2" xfId="14441"/>
    <cellStyle name="常规 4 2 11 5 4 2 3" xfId="9149"/>
    <cellStyle name="常规 4 2 11 5 4 2 4" xfId="3752"/>
    <cellStyle name="常规 4 2 11 5 4 3" xfId="14443"/>
    <cellStyle name="常规 4 2 11 5 4 3 2" xfId="14445"/>
    <cellStyle name="常规 4 2 11 5 4 4" xfId="14446"/>
    <cellStyle name="常规 4 2 11 5 4 5" xfId="14447"/>
    <cellStyle name="常规 4 2 11 5 5" xfId="14450"/>
    <cellStyle name="常规 4 2 11 5 5 2" xfId="14453"/>
    <cellStyle name="常规 4 2 11 5 5 2 2" xfId="14456"/>
    <cellStyle name="常规 4 2 11 5 5 3" xfId="14459"/>
    <cellStyle name="常规 4 2 11 5 5 4" xfId="14462"/>
    <cellStyle name="常规 4 2 11 5 6" xfId="14466"/>
    <cellStyle name="常规 4 2 11 5 6 2" xfId="14469"/>
    <cellStyle name="常规 4 2 11 5 7" xfId="14475"/>
    <cellStyle name="常规 4 2 11 5 8" xfId="14479"/>
    <cellStyle name="常规 4 2 11 6" xfId="2919"/>
    <cellStyle name="常规 4 2 11 6 2" xfId="2924"/>
    <cellStyle name="常规 4 2 11 6 2 2" xfId="14480"/>
    <cellStyle name="常规 4 2 11 6 2 2 2" xfId="14485"/>
    <cellStyle name="常规 4 2 11 6 2 2 2 2" xfId="14489"/>
    <cellStyle name="常规 4 2 11 6 2 2 2 2 2" xfId="14491"/>
    <cellStyle name="常规 4 2 11 6 2 2 2 3" xfId="14493"/>
    <cellStyle name="常规 4 2 11 6 2 2 2 4" xfId="14497"/>
    <cellStyle name="常规 4 2 11 6 2 2 3" xfId="5216"/>
    <cellStyle name="常规 4 2 11 6 2 2 3 2" xfId="5222"/>
    <cellStyle name="常规 4 2 11 6 2 2 4" xfId="5234"/>
    <cellStyle name="常规 4 2 11 6 2 2 5" xfId="5241"/>
    <cellStyle name="常规 4 2 11 6 2 3" xfId="14499"/>
    <cellStyle name="常规 4 2 11 6 2 3 2" xfId="14506"/>
    <cellStyle name="常规 4 2 11 6 2 3 2 2" xfId="14509"/>
    <cellStyle name="常规 4 2 11 6 2 3 3" xfId="5249"/>
    <cellStyle name="常规 4 2 11 6 2 3 4" xfId="5254"/>
    <cellStyle name="常规 4 2 11 6 2 4" xfId="14511"/>
    <cellStyle name="常规 4 2 11 6 2 4 2" xfId="14514"/>
    <cellStyle name="常规 4 2 11 6 2 5" xfId="10970"/>
    <cellStyle name="常规 4 2 11 6 2 6" xfId="10974"/>
    <cellStyle name="常规 4 2 11 6 3" xfId="14517"/>
    <cellStyle name="常规 4 2 11 6 3 2" xfId="14518"/>
    <cellStyle name="常规 4 2 11 6 3 2 2" xfId="14523"/>
    <cellStyle name="常规 4 2 11 6 3 2 2 2" xfId="14526"/>
    <cellStyle name="常规 4 2 11 6 3 2 3" xfId="5288"/>
    <cellStyle name="常规 4 2 11 6 3 2 4" xfId="5295"/>
    <cellStyle name="常规 4 2 11 6 3 3" xfId="14528"/>
    <cellStyle name="常规 4 2 11 6 3 3 2" xfId="14531"/>
    <cellStyle name="常规 4 2 11 6 3 4" xfId="14532"/>
    <cellStyle name="常规 4 2 11 6 3 5" xfId="10980"/>
    <cellStyle name="常规 4 2 11 6 4" xfId="14533"/>
    <cellStyle name="常规 4 2 11 6 4 2" xfId="14534"/>
    <cellStyle name="常规 4 2 11 6 4 2 2" xfId="7387"/>
    <cellStyle name="常规 4 2 11 6 4 3" xfId="14535"/>
    <cellStyle name="常规 4 2 11 6 4 4" xfId="14536"/>
    <cellStyle name="常规 4 2 11 6 5" xfId="14540"/>
    <cellStyle name="常规 4 2 11 6 5 2" xfId="14544"/>
    <cellStyle name="常规 4 2 11 6 6" xfId="14549"/>
    <cellStyle name="常规 4 2 11 6 7" xfId="14553"/>
    <cellStyle name="常规 4 2 11 7" xfId="2931"/>
    <cellStyle name="常规 4 2 11 7 2" xfId="14555"/>
    <cellStyle name="常规 4 2 11 7 2 2" xfId="14557"/>
    <cellStyle name="常规 4 2 11 7 2 2 2" xfId="14563"/>
    <cellStyle name="常规 4 2 11 7 2 2 2 2" xfId="14565"/>
    <cellStyle name="常规 4 2 11 7 2 2 3" xfId="4243"/>
    <cellStyle name="常规 4 2 11 7 2 2 4" xfId="4254"/>
    <cellStyle name="常规 4 2 11 7 2 3" xfId="2671"/>
    <cellStyle name="常规 4 2 11 7 2 3 2" xfId="14569"/>
    <cellStyle name="常规 4 2 11 7 2 4" xfId="14572"/>
    <cellStyle name="常规 4 2 11 7 2 5" xfId="11175"/>
    <cellStyle name="常规 4 2 11 7 3" xfId="14573"/>
    <cellStyle name="常规 4 2 11 7 3 2" xfId="14575"/>
    <cellStyle name="常规 4 2 11 7 3 2 2" xfId="14577"/>
    <cellStyle name="常规 4 2 11 7 3 3" xfId="14579"/>
    <cellStyle name="常规 4 2 11 7 3 4" xfId="14580"/>
    <cellStyle name="常规 4 2 11 7 4" xfId="14581"/>
    <cellStyle name="常规 4 2 11 7 4 2" xfId="14583"/>
    <cellStyle name="常规 4 2 11 7 5" xfId="14587"/>
    <cellStyle name="常规 4 2 11 7 6" xfId="14591"/>
    <cellStyle name="常规 4 2 11 8" xfId="2935"/>
    <cellStyle name="常规 4 2 11 8 2" xfId="14592"/>
    <cellStyle name="常规 4 2 11 8 2 2" xfId="14594"/>
    <cellStyle name="常规 4 2 11 8 2 2 2" xfId="14598"/>
    <cellStyle name="常规 4 2 11 8 2 3" xfId="14601"/>
    <cellStyle name="常规 4 2 11 8 2 4" xfId="14604"/>
    <cellStyle name="常规 4 2 11 8 3" xfId="14605"/>
    <cellStyle name="常规 4 2 11 8 3 2" xfId="14607"/>
    <cellStyle name="常规 4 2 11 8 4" xfId="14608"/>
    <cellStyle name="常规 4 2 11 8 5" xfId="14612"/>
    <cellStyle name="常规 4 2 11 9" xfId="14617"/>
    <cellStyle name="常规 4 2 11 9 2" xfId="14621"/>
    <cellStyle name="常规 4 2 11 9 2 2" xfId="14626"/>
    <cellStyle name="常规 4 2 11 9 3" xfId="1665"/>
    <cellStyle name="常规 4 2 11 9 4" xfId="1672"/>
    <cellStyle name="常规 4 2 12" xfId="14627"/>
    <cellStyle name="常规 4 2 12 10" xfId="14629"/>
    <cellStyle name="常规 4 2 12 11" xfId="14631"/>
    <cellStyle name="常规 4 2 12 2" xfId="14632"/>
    <cellStyle name="常规 4 2 12 2 2" xfId="14633"/>
    <cellStyle name="常规 4 2 12 2 2 2" xfId="14634"/>
    <cellStyle name="常规 4 2 12 2 2 2 2" xfId="14635"/>
    <cellStyle name="常规 4 2 12 2 2 2 2 2" xfId="14637"/>
    <cellStyle name="常规 4 2 12 2 2 2 2 2 2" xfId="14639"/>
    <cellStyle name="常规 4 2 12 2 2 2 2 2 2 2" xfId="14641"/>
    <cellStyle name="常规 4 2 12 2 2 2 2 2 2 2 2" xfId="14642"/>
    <cellStyle name="常规 4 2 12 2 2 2 2 2 2 3" xfId="14643"/>
    <cellStyle name="常规 4 2 12 2 2 2 2 2 2 4" xfId="14644"/>
    <cellStyle name="常规 4 2 12 2 2 2 2 2 3" xfId="14647"/>
    <cellStyle name="常规 4 2 12 2 2 2 2 2 3 2" xfId="14648"/>
    <cellStyle name="常规 4 2 12 2 2 2 2 2 4" xfId="14650"/>
    <cellStyle name="常规 4 2 12 2 2 2 2 2 5" xfId="14651"/>
    <cellStyle name="常规 4 2 12 2 2 2 2 3" xfId="14652"/>
    <cellStyle name="常规 4 2 12 2 2 2 2 3 2" xfId="14654"/>
    <cellStyle name="常规 4 2 12 2 2 2 2 3 2 2" xfId="14655"/>
    <cellStyle name="常规 4 2 12 2 2 2 2 3 3" xfId="14657"/>
    <cellStyle name="常规 4 2 12 2 2 2 2 3 4" xfId="14658"/>
    <cellStyle name="常规 4 2 12 2 2 2 2 4" xfId="8550"/>
    <cellStyle name="常规 4 2 12 2 2 2 2 4 2" xfId="8558"/>
    <cellStyle name="常规 4 2 12 2 2 2 2 5" xfId="8562"/>
    <cellStyle name="常规 4 2 12 2 2 2 2 6" xfId="8565"/>
    <cellStyle name="常规 4 2 12 2 2 2 3" xfId="14659"/>
    <cellStyle name="常规 4 2 12 2 2 2 3 2" xfId="14660"/>
    <cellStyle name="常规 4 2 12 2 2 2 3 2 2" xfId="14662"/>
    <cellStyle name="常规 4 2 12 2 2 2 3 2 2 2" xfId="14663"/>
    <cellStyle name="常规 4 2 12 2 2 2 3 2 3" xfId="14665"/>
    <cellStyle name="常规 4 2 12 2 2 2 3 2 4" xfId="14666"/>
    <cellStyle name="常规 4 2 12 2 2 2 3 3" xfId="14667"/>
    <cellStyle name="常规 4 2 12 2 2 2 3 3 2" xfId="14668"/>
    <cellStyle name="常规 4 2 12 2 2 2 3 4" xfId="8570"/>
    <cellStyle name="常规 4 2 12 2 2 2 3 5" xfId="14669"/>
    <cellStyle name="常规 4 2 12 2 2 2 4" xfId="14671"/>
    <cellStyle name="常规 4 2 12 2 2 2 4 2" xfId="14673"/>
    <cellStyle name="常规 4 2 12 2 2 2 4 2 2" xfId="14675"/>
    <cellStyle name="常规 4 2 12 2 2 2 4 3" xfId="14677"/>
    <cellStyle name="常规 4 2 12 2 2 2 4 4" xfId="4467"/>
    <cellStyle name="常规 4 2 12 2 2 2 5" xfId="14679"/>
    <cellStyle name="常规 4 2 12 2 2 2 5 2" xfId="14681"/>
    <cellStyle name="常规 4 2 12 2 2 2 6" xfId="14683"/>
    <cellStyle name="常规 4 2 12 2 2 2 7" xfId="14685"/>
    <cellStyle name="常规 4 2 12 2 2 3" xfId="14687"/>
    <cellStyle name="常规 4 2 12 2 2 3 2" xfId="14688"/>
    <cellStyle name="常规 4 2 12 2 2 3 2 2" xfId="14689"/>
    <cellStyle name="常规 4 2 12 2 2 3 2 2 2" xfId="14691"/>
    <cellStyle name="常规 4 2 12 2 2 3 2 2 2 2" xfId="14693"/>
    <cellStyle name="常规 4 2 12 2 2 3 2 2 3" xfId="14695"/>
    <cellStyle name="常规 4 2 12 2 2 3 2 2 4" xfId="14697"/>
    <cellStyle name="常规 4 2 12 2 2 3 2 3" xfId="14698"/>
    <cellStyle name="常规 4 2 12 2 2 3 2 3 2" xfId="14700"/>
    <cellStyle name="常规 4 2 12 2 2 3 2 4" xfId="8579"/>
    <cellStyle name="常规 4 2 12 2 2 3 2 5" xfId="14703"/>
    <cellStyle name="常规 4 2 12 2 2 3 3" xfId="14704"/>
    <cellStyle name="常规 4 2 12 2 2 3 3 2" xfId="14705"/>
    <cellStyle name="常规 4 2 12 2 2 3 3 2 2" xfId="14707"/>
    <cellStyle name="常规 4 2 12 2 2 3 3 3" xfId="14708"/>
    <cellStyle name="常规 4 2 12 2 2 3 3 4" xfId="14710"/>
    <cellStyle name="常规 4 2 12 2 2 3 4" xfId="14712"/>
    <cellStyle name="常规 4 2 12 2 2 3 4 2" xfId="14716"/>
    <cellStyle name="常规 4 2 12 2 2 3 5" xfId="14718"/>
    <cellStyle name="常规 4 2 12 2 2 3 6" xfId="14721"/>
    <cellStyle name="常规 4 2 12 2 2 4" xfId="14723"/>
    <cellStyle name="常规 4 2 12 2 2 4 2" xfId="14724"/>
    <cellStyle name="常规 4 2 12 2 2 4 2 2" xfId="14725"/>
    <cellStyle name="常规 4 2 12 2 2 4 2 2 2" xfId="973"/>
    <cellStyle name="常规 4 2 12 2 2 4 2 3" xfId="12470"/>
    <cellStyle name="常规 4 2 12 2 2 4 2 4" xfId="12479"/>
    <cellStyle name="常规 4 2 12 2 2 4 3" xfId="14726"/>
    <cellStyle name="常规 4 2 12 2 2 4 3 2" xfId="14727"/>
    <cellStyle name="常规 4 2 12 2 2 4 4" xfId="14729"/>
    <cellStyle name="常规 4 2 12 2 2 4 5" xfId="14730"/>
    <cellStyle name="常规 4 2 12 2 2 5" xfId="14731"/>
    <cellStyle name="常规 4 2 12 2 2 5 2" xfId="14732"/>
    <cellStyle name="常规 4 2 12 2 2 5 2 2" xfId="14734"/>
    <cellStyle name="常规 4 2 12 2 2 5 3" xfId="14735"/>
    <cellStyle name="常规 4 2 12 2 2 5 4" xfId="14736"/>
    <cellStyle name="常规 4 2 12 2 2 6" xfId="14738"/>
    <cellStyle name="常规 4 2 12 2 2 6 2" xfId="14739"/>
    <cellStyle name="常规 4 2 12 2 2 7" xfId="14740"/>
    <cellStyle name="常规 4 2 12 2 2 8" xfId="14741"/>
    <cellStyle name="常规 4 2 12 2 3" xfId="14742"/>
    <cellStyle name="常规 4 2 12 2 3 2" xfId="14743"/>
    <cellStyle name="常规 4 2 12 2 3 2 2" xfId="14744"/>
    <cellStyle name="常规 4 2 12 2 3 2 2 2" xfId="14746"/>
    <cellStyle name="常规 4 2 12 2 3 2 2 2 2" xfId="3017"/>
    <cellStyle name="常规 4 2 12 2 3 2 2 2 2 2" xfId="14747"/>
    <cellStyle name="常规 4 2 12 2 3 2 2 2 3" xfId="1008"/>
    <cellStyle name="常规 4 2 12 2 3 2 2 2 4" xfId="14749"/>
    <cellStyle name="常规 4 2 12 2 3 2 2 3" xfId="14750"/>
    <cellStyle name="常规 4 2 12 2 3 2 2 3 2" xfId="3577"/>
    <cellStyle name="常规 4 2 12 2 3 2 2 4" xfId="8659"/>
    <cellStyle name="常规 4 2 12 2 3 2 2 5" xfId="14752"/>
    <cellStyle name="常规 4 2 12 2 3 2 3" xfId="14753"/>
    <cellStyle name="常规 4 2 12 2 3 2 3 2" xfId="14754"/>
    <cellStyle name="常规 4 2 12 2 3 2 3 2 2" xfId="7423"/>
    <cellStyle name="常规 4 2 12 2 3 2 3 3" xfId="14755"/>
    <cellStyle name="常规 4 2 12 2 3 2 3 4" xfId="14756"/>
    <cellStyle name="常规 4 2 12 2 3 2 4" xfId="14758"/>
    <cellStyle name="常规 4 2 12 2 3 2 4 2" xfId="14763"/>
    <cellStyle name="常规 4 2 12 2 3 2 5" xfId="13014"/>
    <cellStyle name="常规 4 2 12 2 3 2 6" xfId="13020"/>
    <cellStyle name="常规 4 2 12 2 3 3" xfId="14766"/>
    <cellStyle name="常规 4 2 12 2 3 3 2" xfId="14768"/>
    <cellStyle name="常规 4 2 12 2 3 3 2 2" xfId="14770"/>
    <cellStyle name="常规 4 2 12 2 3 3 2 2 2" xfId="116"/>
    <cellStyle name="常规 4 2 12 2 3 3 2 3" xfId="14771"/>
    <cellStyle name="常规 4 2 12 2 3 3 2 4" xfId="14773"/>
    <cellStyle name="常规 4 2 12 2 3 3 3" xfId="14775"/>
    <cellStyle name="常规 4 2 12 2 3 3 3 2" xfId="14776"/>
    <cellStyle name="常规 4 2 12 2 3 3 4" xfId="14778"/>
    <cellStyle name="常规 4 2 12 2 3 3 5" xfId="394"/>
    <cellStyle name="常规 4 2 12 2 3 4" xfId="14781"/>
    <cellStyle name="常规 4 2 12 2 3 4 2" xfId="14783"/>
    <cellStyle name="常规 4 2 12 2 3 4 2 2" xfId="14784"/>
    <cellStyle name="常规 4 2 12 2 3 4 3" xfId="14786"/>
    <cellStyle name="常规 4 2 12 2 3 4 4" xfId="6233"/>
    <cellStyle name="常规 4 2 12 2 3 5" xfId="14788"/>
    <cellStyle name="常规 4 2 12 2 3 5 2" xfId="14790"/>
    <cellStyle name="常规 4 2 12 2 3 6" xfId="14792"/>
    <cellStyle name="常规 4 2 12 2 3 7" xfId="14795"/>
    <cellStyle name="常规 4 2 12 2 4" xfId="14798"/>
    <cellStyle name="常规 4 2 12 2 4 2" xfId="9232"/>
    <cellStyle name="常规 4 2 12 2 4 2 2" xfId="9234"/>
    <cellStyle name="常规 4 2 12 2 4 2 2 2" xfId="6353"/>
    <cellStyle name="常规 4 2 12 2 4 2 2 2 2" xfId="4785"/>
    <cellStyle name="常规 4 2 12 2 4 2 2 3" xfId="6357"/>
    <cellStyle name="常规 4 2 12 2 4 2 2 4" xfId="7275"/>
    <cellStyle name="常规 4 2 12 2 4 2 3" xfId="9236"/>
    <cellStyle name="常规 4 2 12 2 4 2 3 2" xfId="6376"/>
    <cellStyle name="常规 4 2 12 2 4 2 4" xfId="9241"/>
    <cellStyle name="常规 4 2 12 2 4 2 5" xfId="13029"/>
    <cellStyle name="常规 4 2 12 2 4 3" xfId="9245"/>
    <cellStyle name="常规 4 2 12 2 4 3 2" xfId="9248"/>
    <cellStyle name="常规 4 2 12 2 4 3 2 2" xfId="927"/>
    <cellStyle name="常规 4 2 12 2 4 3 3" xfId="14800"/>
    <cellStyle name="常规 4 2 12 2 4 3 4" xfId="14801"/>
    <cellStyle name="常规 4 2 12 2 4 4" xfId="9250"/>
    <cellStyle name="常规 4 2 12 2 4 4 2" xfId="14802"/>
    <cellStyle name="常规 4 2 12 2 4 5" xfId="9253"/>
    <cellStyle name="常规 4 2 12 2 4 6" xfId="14804"/>
    <cellStyle name="常规 4 2 12 2 5" xfId="14806"/>
    <cellStyle name="常规 4 2 12 2 5 2" xfId="9359"/>
    <cellStyle name="常规 4 2 12 2 5 2 2" xfId="9362"/>
    <cellStyle name="常规 4 2 12 2 5 2 2 2" xfId="3483"/>
    <cellStyle name="常规 4 2 12 2 5 2 3" xfId="14808"/>
    <cellStyle name="常规 4 2 12 2 5 2 4" xfId="7417"/>
    <cellStyle name="常规 4 2 12 2 5 3" xfId="9365"/>
    <cellStyle name="常规 4 2 12 2 5 3 2" xfId="14810"/>
    <cellStyle name="常规 4 2 12 2 5 4" xfId="7608"/>
    <cellStyle name="常规 4 2 12 2 5 5" xfId="651"/>
    <cellStyle name="常规 4 2 12 2 6" xfId="14812"/>
    <cellStyle name="常规 4 2 12 2 6 2" xfId="9428"/>
    <cellStyle name="常规 4 2 12 2 6 2 2" xfId="14814"/>
    <cellStyle name="常规 4 2 12 2 6 3" xfId="9431"/>
    <cellStyle name="常规 4 2 12 2 6 4" xfId="6397"/>
    <cellStyle name="常规 4 2 12 2 7" xfId="14816"/>
    <cellStyle name="常规 4 2 12 2 7 2" xfId="9462"/>
    <cellStyle name="常规 4 2 12 2 8" xfId="7188"/>
    <cellStyle name="常规 4 2 12 2 9" xfId="6764"/>
    <cellStyle name="常规 4 2 12 3" xfId="14818"/>
    <cellStyle name="常规 4 2 12 3 2" xfId="14819"/>
    <cellStyle name="常规 4 2 12 3 2 2" xfId="14821"/>
    <cellStyle name="常规 4 2 12 3 2 2 2" xfId="14823"/>
    <cellStyle name="常规 4 2 12 3 2 2 2 2" xfId="14826"/>
    <cellStyle name="常规 4 2 12 3 2 2 2 2 2" xfId="5691"/>
    <cellStyle name="常规 4 2 12 3 2 2 2 2 2 2" xfId="14829"/>
    <cellStyle name="常规 4 2 12 3 2 2 2 2 2 2 2" xfId="14831"/>
    <cellStyle name="常规 4 2 12 3 2 2 2 2 2 3" xfId="14832"/>
    <cellStyle name="常规 4 2 12 3 2 2 2 2 2 4" xfId="14834"/>
    <cellStyle name="常规 4 2 12 3 2 2 2 2 3" xfId="9730"/>
    <cellStyle name="常规 4 2 12 3 2 2 2 2 3 2" xfId="9735"/>
    <cellStyle name="常规 4 2 12 3 2 2 2 2 4" xfId="9858"/>
    <cellStyle name="常规 4 2 12 3 2 2 2 2 5" xfId="9905"/>
    <cellStyle name="常规 4 2 12 3 2 2 2 3" xfId="6027"/>
    <cellStyle name="常规 4 2 12 3 2 2 2 3 2" xfId="6030"/>
    <cellStyle name="常规 4 2 12 3 2 2 2 3 2 2" xfId="14835"/>
    <cellStyle name="常规 4 2 12 3 2 2 2 3 3" xfId="9967"/>
    <cellStyle name="常规 4 2 12 3 2 2 2 3 4" xfId="10071"/>
    <cellStyle name="常规 4 2 12 3 2 2 2 4" xfId="6035"/>
    <cellStyle name="常规 4 2 12 3 2 2 2 4 2" xfId="14836"/>
    <cellStyle name="常规 4 2 12 3 2 2 2 5" xfId="3872"/>
    <cellStyle name="常规 4 2 12 3 2 2 2 6" xfId="14837"/>
    <cellStyle name="常规 4 2 12 3 2 2 3" xfId="14839"/>
    <cellStyle name="常规 4 2 12 3 2 2 3 2" xfId="14841"/>
    <cellStyle name="常规 4 2 12 3 2 2 3 2 2" xfId="14843"/>
    <cellStyle name="常规 4 2 12 3 2 2 3 2 2 2" xfId="14844"/>
    <cellStyle name="常规 4 2 12 3 2 2 3 2 3" xfId="10435"/>
    <cellStyle name="常规 4 2 12 3 2 2 3 2 4" xfId="10490"/>
    <cellStyle name="常规 4 2 12 3 2 2 3 3" xfId="6041"/>
    <cellStyle name="常规 4 2 12 3 2 2 3 3 2" xfId="14845"/>
    <cellStyle name="常规 4 2 12 3 2 2 3 4" xfId="14847"/>
    <cellStyle name="常规 4 2 12 3 2 2 3 5" xfId="14848"/>
    <cellStyle name="常规 4 2 12 3 2 2 4" xfId="14851"/>
    <cellStyle name="常规 4 2 12 3 2 2 4 2" xfId="14854"/>
    <cellStyle name="常规 4 2 12 3 2 2 4 2 2" xfId="14855"/>
    <cellStyle name="常规 4 2 12 3 2 2 4 3" xfId="14856"/>
    <cellStyle name="常规 4 2 12 3 2 2 4 4" xfId="4537"/>
    <cellStyle name="常规 4 2 12 3 2 2 5" xfId="14859"/>
    <cellStyle name="常规 4 2 12 3 2 2 5 2" xfId="14860"/>
    <cellStyle name="常规 4 2 12 3 2 2 6" xfId="14863"/>
    <cellStyle name="常规 4 2 12 3 2 2 7" xfId="14864"/>
    <cellStyle name="常规 4 2 12 3 2 3" xfId="14867"/>
    <cellStyle name="常规 4 2 12 3 2 3 2" xfId="14869"/>
    <cellStyle name="常规 4 2 12 3 2 3 2 2" xfId="14871"/>
    <cellStyle name="常规 4 2 12 3 2 3 2 2 2" xfId="14873"/>
    <cellStyle name="常规 4 2 12 3 2 3 2 2 2 2" xfId="14874"/>
    <cellStyle name="常规 4 2 12 3 2 3 2 2 3" xfId="11365"/>
    <cellStyle name="常规 4 2 12 3 2 3 2 2 4" xfId="11371"/>
    <cellStyle name="常规 4 2 12 3 2 3 2 3" xfId="6051"/>
    <cellStyle name="常规 4 2 12 3 2 3 2 3 2" xfId="14875"/>
    <cellStyle name="常规 4 2 12 3 2 3 2 4" xfId="14879"/>
    <cellStyle name="常规 4 2 12 3 2 3 2 5" xfId="14882"/>
    <cellStyle name="常规 4 2 12 3 2 3 3" xfId="14884"/>
    <cellStyle name="常规 4 2 12 3 2 3 3 2" xfId="14886"/>
    <cellStyle name="常规 4 2 12 3 2 3 3 2 2" xfId="14887"/>
    <cellStyle name="常规 4 2 12 3 2 3 3 3" xfId="14888"/>
    <cellStyle name="常规 4 2 12 3 2 3 3 4" xfId="7247"/>
    <cellStyle name="常规 4 2 12 3 2 3 4" xfId="14891"/>
    <cellStyle name="常规 4 2 12 3 2 3 4 2" xfId="14892"/>
    <cellStyle name="常规 4 2 12 3 2 3 5" xfId="14895"/>
    <cellStyle name="常规 4 2 12 3 2 3 6" xfId="14898"/>
    <cellStyle name="常规 4 2 12 3 2 4" xfId="14901"/>
    <cellStyle name="常规 4 2 12 3 2 4 2" xfId="14903"/>
    <cellStyle name="常规 4 2 12 3 2 4 2 2" xfId="14905"/>
    <cellStyle name="常规 4 2 12 3 2 4 2 2 2" xfId="14906"/>
    <cellStyle name="常规 4 2 12 3 2 4 2 3" xfId="2720"/>
    <cellStyle name="常规 4 2 12 3 2 4 2 4" xfId="12610"/>
    <cellStyle name="常规 4 2 12 3 2 4 3" xfId="14908"/>
    <cellStyle name="常规 4 2 12 3 2 4 3 2" xfId="14909"/>
    <cellStyle name="常规 4 2 12 3 2 4 4" xfId="14911"/>
    <cellStyle name="常规 4 2 12 3 2 4 5" xfId="14913"/>
    <cellStyle name="常规 4 2 12 3 2 5" xfId="14915"/>
    <cellStyle name="常规 4 2 12 3 2 5 2" xfId="14917"/>
    <cellStyle name="常规 4 2 12 3 2 5 2 2" xfId="14918"/>
    <cellStyle name="常规 4 2 12 3 2 5 3" xfId="14919"/>
    <cellStyle name="常规 4 2 12 3 2 5 4" xfId="14920"/>
    <cellStyle name="常规 4 2 12 3 2 6" xfId="14923"/>
    <cellStyle name="常规 4 2 12 3 2 6 2" xfId="14926"/>
    <cellStyle name="常规 4 2 12 3 2 7" xfId="14930"/>
    <cellStyle name="常规 4 2 12 3 2 8" xfId="14932"/>
    <cellStyle name="常规 4 2 12 3 3" xfId="14933"/>
    <cellStyle name="常规 4 2 12 3 3 2" xfId="14934"/>
    <cellStyle name="常规 4 2 12 3 3 2 2" xfId="14935"/>
    <cellStyle name="常规 4 2 12 3 3 2 2 2" xfId="14936"/>
    <cellStyle name="常规 4 2 12 3 3 2 2 2 2" xfId="211"/>
    <cellStyle name="常规 4 2 12 3 3 2 2 2 2 2" xfId="14937"/>
    <cellStyle name="常规 4 2 12 3 3 2 2 2 3" xfId="13094"/>
    <cellStyle name="常规 4 2 12 3 3 2 2 2 4" xfId="13143"/>
    <cellStyle name="常规 4 2 12 3 3 2 2 3" xfId="3310"/>
    <cellStyle name="常规 4 2 12 3 3 2 2 3 2" xfId="14938"/>
    <cellStyle name="常规 4 2 12 3 3 2 2 4" xfId="14939"/>
    <cellStyle name="常规 4 2 12 3 3 2 2 5" xfId="14940"/>
    <cellStyle name="常规 4 2 12 3 3 2 3" xfId="14941"/>
    <cellStyle name="常规 4 2 12 3 3 2 3 2" xfId="14942"/>
    <cellStyle name="常规 4 2 12 3 3 2 3 2 2" xfId="14943"/>
    <cellStyle name="常规 4 2 12 3 3 2 3 3" xfId="14944"/>
    <cellStyle name="常规 4 2 12 3 3 2 3 4" xfId="14945"/>
    <cellStyle name="常规 4 2 12 3 3 2 4" xfId="14947"/>
    <cellStyle name="常规 4 2 12 3 3 2 4 2" xfId="14951"/>
    <cellStyle name="常规 4 2 12 3 3 2 5" xfId="13055"/>
    <cellStyle name="常规 4 2 12 3 3 2 6" xfId="14953"/>
    <cellStyle name="常规 4 2 12 3 3 3" xfId="14954"/>
    <cellStyle name="常规 4 2 12 3 3 3 2" xfId="14956"/>
    <cellStyle name="常规 4 2 12 3 3 3 2 2" xfId="14957"/>
    <cellStyle name="常规 4 2 12 3 3 3 2 2 2" xfId="13138"/>
    <cellStyle name="常规 4 2 12 3 3 3 2 3" xfId="14958"/>
    <cellStyle name="常规 4 2 12 3 3 3 2 4" xfId="14961"/>
    <cellStyle name="常规 4 2 12 3 3 3 3" xfId="14963"/>
    <cellStyle name="常规 4 2 12 3 3 3 3 2" xfId="14966"/>
    <cellStyle name="常规 4 2 12 3 3 3 4" xfId="14967"/>
    <cellStyle name="常规 4 2 12 3 3 3 5" xfId="14970"/>
    <cellStyle name="常规 4 2 12 3 3 4" xfId="14972"/>
    <cellStyle name="常规 4 2 12 3 3 4 2" xfId="14973"/>
    <cellStyle name="常规 4 2 12 3 3 4 2 2" xfId="14974"/>
    <cellStyle name="常规 4 2 12 3 3 4 3" xfId="14975"/>
    <cellStyle name="常规 4 2 12 3 3 4 4" xfId="6278"/>
    <cellStyle name="常规 4 2 12 3 3 5" xfId="14977"/>
    <cellStyle name="常规 4 2 12 3 3 5 2" xfId="14979"/>
    <cellStyle name="常规 4 2 12 3 3 6" xfId="14982"/>
    <cellStyle name="常规 4 2 12 3 3 7" xfId="14985"/>
    <cellStyle name="常规 4 2 12 3 4" xfId="14986"/>
    <cellStyle name="常规 4 2 12 3 4 2" xfId="9542"/>
    <cellStyle name="常规 4 2 12 3 4 2 2" xfId="14987"/>
    <cellStyle name="常规 4 2 12 3 4 2 2 2" xfId="6844"/>
    <cellStyle name="常规 4 2 12 3 4 2 2 2 2" xfId="14988"/>
    <cellStyle name="常规 4 2 12 3 4 2 2 3" xfId="11369"/>
    <cellStyle name="常规 4 2 12 3 4 2 2 4" xfId="7333"/>
    <cellStyle name="常规 4 2 12 3 4 2 3" xfId="14989"/>
    <cellStyle name="常规 4 2 12 3 4 2 3 2" xfId="11376"/>
    <cellStyle name="常规 4 2 12 3 4 2 4" xfId="14990"/>
    <cellStyle name="常规 4 2 12 3 4 2 5" xfId="14993"/>
    <cellStyle name="常规 4 2 12 3 4 3" xfId="9544"/>
    <cellStyle name="常规 4 2 12 3 4 3 2" xfId="14994"/>
    <cellStyle name="常规 4 2 12 3 4 3 2 2" xfId="11414"/>
    <cellStyle name="常规 4 2 12 3 4 3 3" xfId="14995"/>
    <cellStyle name="常规 4 2 12 3 4 3 4" xfId="14996"/>
    <cellStyle name="常规 4 2 12 3 4 4" xfId="14997"/>
    <cellStyle name="常规 4 2 12 3 4 4 2" xfId="14998"/>
    <cellStyle name="常规 4 2 12 3 4 5" xfId="15000"/>
    <cellStyle name="常规 4 2 12 3 4 6" xfId="15002"/>
    <cellStyle name="常规 4 2 12 3 5" xfId="15004"/>
    <cellStyle name="常规 4 2 12 3 5 2" xfId="9578"/>
    <cellStyle name="常规 4 2 12 3 5 2 2" xfId="15006"/>
    <cellStyle name="常规 4 2 12 3 5 2 2 2" xfId="11542"/>
    <cellStyle name="常规 4 2 12 3 5 2 3" xfId="15008"/>
    <cellStyle name="常规 4 2 12 3 5 2 4" xfId="15010"/>
    <cellStyle name="常规 4 2 12 3 5 3" xfId="15012"/>
    <cellStyle name="常规 4 2 12 3 5 3 2" xfId="15014"/>
    <cellStyle name="常规 4 2 12 3 5 4" xfId="303"/>
    <cellStyle name="常规 4 2 12 3 5 5" xfId="43"/>
    <cellStyle name="常规 4 2 12 3 6" xfId="15017"/>
    <cellStyle name="常规 4 2 12 3 6 2" xfId="15019"/>
    <cellStyle name="常规 4 2 12 3 6 2 2" xfId="15021"/>
    <cellStyle name="常规 4 2 12 3 6 3" xfId="15024"/>
    <cellStyle name="常规 4 2 12 3 6 4" xfId="7629"/>
    <cellStyle name="常规 4 2 12 3 7" xfId="15026"/>
    <cellStyle name="常规 4 2 12 3 7 2" xfId="15028"/>
    <cellStyle name="常规 4 2 12 3 8" xfId="16"/>
    <cellStyle name="常规 4 2 12 3 9" xfId="6839"/>
    <cellStyle name="常规 4 2 12 4" xfId="9337"/>
    <cellStyle name="常规 4 2 12 4 2" xfId="15029"/>
    <cellStyle name="常规 4 2 12 4 2 2" xfId="15031"/>
    <cellStyle name="常规 4 2 12 4 2 2 2" xfId="15033"/>
    <cellStyle name="常规 4 2 12 4 2 2 2 2" xfId="15034"/>
    <cellStyle name="常规 4 2 12 4 2 2 2 2 2" xfId="15035"/>
    <cellStyle name="常规 4 2 12 4 2 2 2 2 2 2" xfId="15036"/>
    <cellStyle name="常规 4 2 12 4 2 2 2 2 3" xfId="5713"/>
    <cellStyle name="常规 4 2 12 4 2 2 2 2 4" xfId="6413"/>
    <cellStyle name="常规 4 2 12 4 2 2 2 3" xfId="6729"/>
    <cellStyle name="常规 4 2 12 4 2 2 2 3 2" xfId="15037"/>
    <cellStyle name="常规 4 2 12 4 2 2 2 4" xfId="15038"/>
    <cellStyle name="常规 4 2 12 4 2 2 2 5" xfId="15039"/>
    <cellStyle name="常规 4 2 12 4 2 2 3" xfId="15041"/>
    <cellStyle name="常规 4 2 12 4 2 2 3 2" xfId="15042"/>
    <cellStyle name="常规 4 2 12 4 2 2 3 2 2" xfId="15043"/>
    <cellStyle name="常规 4 2 12 4 2 2 3 3" xfId="15044"/>
    <cellStyle name="常规 4 2 12 4 2 2 3 4" xfId="15045"/>
    <cellStyle name="常规 4 2 12 4 2 2 4" xfId="15048"/>
    <cellStyle name="常规 4 2 12 4 2 2 4 2" xfId="15049"/>
    <cellStyle name="常规 4 2 12 4 2 2 5" xfId="15051"/>
    <cellStyle name="常规 4 2 12 4 2 2 6" xfId="15053"/>
    <cellStyle name="常规 4 2 12 4 2 3" xfId="15054"/>
    <cellStyle name="常规 4 2 12 4 2 3 2" xfId="15055"/>
    <cellStyle name="常规 4 2 12 4 2 3 2 2" xfId="11196"/>
    <cellStyle name="常规 4 2 12 4 2 3 2 2 2" xfId="11199"/>
    <cellStyle name="常规 4 2 12 4 2 3 2 3" xfId="11203"/>
    <cellStyle name="常规 4 2 12 4 2 3 2 4" xfId="11209"/>
    <cellStyle name="常规 4 2 12 4 2 3 3" xfId="15056"/>
    <cellStyle name="常规 4 2 12 4 2 3 3 2" xfId="11216"/>
    <cellStyle name="常规 4 2 12 4 2 3 4" xfId="15057"/>
    <cellStyle name="常规 4 2 12 4 2 3 5" xfId="15060"/>
    <cellStyle name="常规 4 2 12 4 2 4" xfId="15061"/>
    <cellStyle name="常规 4 2 12 4 2 4 2" xfId="15062"/>
    <cellStyle name="常规 4 2 12 4 2 4 2 2" xfId="11242"/>
    <cellStyle name="常规 4 2 12 4 2 4 3" xfId="15063"/>
    <cellStyle name="常规 4 2 12 4 2 4 4" xfId="15064"/>
    <cellStyle name="常规 4 2 12 4 2 5" xfId="11480"/>
    <cellStyle name="常规 4 2 12 4 2 5 2" xfId="11482"/>
    <cellStyle name="常规 4 2 12 4 2 6" xfId="11484"/>
    <cellStyle name="常规 4 2 12 4 2 7" xfId="11486"/>
    <cellStyle name="常规 4 2 12 4 3" xfId="15065"/>
    <cellStyle name="常规 4 2 12 4 3 2" xfId="15067"/>
    <cellStyle name="常规 4 2 12 4 3 2 2" xfId="15068"/>
    <cellStyle name="常规 4 2 12 4 3 2 2 2" xfId="15069"/>
    <cellStyle name="常规 4 2 12 4 3 2 2 2 2" xfId="7812"/>
    <cellStyle name="常规 4 2 12 4 3 2 2 3" xfId="15070"/>
    <cellStyle name="常规 4 2 12 4 3 2 2 4" xfId="15071"/>
    <cellStyle name="常规 4 2 12 4 3 2 3" xfId="15072"/>
    <cellStyle name="常规 4 2 12 4 3 2 3 2" xfId="15073"/>
    <cellStyle name="常规 4 2 12 4 3 2 4" xfId="15075"/>
    <cellStyle name="常规 4 2 12 4 3 2 5" xfId="15080"/>
    <cellStyle name="常规 4 2 12 4 3 3" xfId="15081"/>
    <cellStyle name="常规 4 2 12 4 3 3 2" xfId="3219"/>
    <cellStyle name="常规 4 2 12 4 3 3 2 2" xfId="11288"/>
    <cellStyle name="常规 4 2 12 4 3 3 3" xfId="15082"/>
    <cellStyle name="常规 4 2 12 4 3 3 4" xfId="15084"/>
    <cellStyle name="常规 4 2 12 4 3 4" xfId="15085"/>
    <cellStyle name="常规 4 2 12 4 3 4 2" xfId="15086"/>
    <cellStyle name="常规 4 2 12 4 3 5" xfId="11492"/>
    <cellStyle name="常规 4 2 12 4 3 6" xfId="15087"/>
    <cellStyle name="常规 4 2 12 4 4" xfId="15088"/>
    <cellStyle name="常规 4 2 12 4 4 2" xfId="9626"/>
    <cellStyle name="常规 4 2 12 4 4 2 2" xfId="15089"/>
    <cellStyle name="常规 4 2 12 4 4 2 2 2" xfId="84"/>
    <cellStyle name="常规 4 2 12 4 4 2 3" xfId="9279"/>
    <cellStyle name="常规 4 2 12 4 4 2 4" xfId="15092"/>
    <cellStyle name="常规 4 2 12 4 4 3" xfId="15093"/>
    <cellStyle name="常规 4 2 12 4 4 3 2" xfId="15094"/>
    <cellStyle name="常规 4 2 12 4 4 4" xfId="15095"/>
    <cellStyle name="常规 4 2 12 4 4 5" xfId="15096"/>
    <cellStyle name="常规 4 2 12 4 5" xfId="15098"/>
    <cellStyle name="常规 4 2 12 4 5 2" xfId="15100"/>
    <cellStyle name="常规 4 2 12 4 5 2 2" xfId="15102"/>
    <cellStyle name="常规 4 2 12 4 5 3" xfId="15104"/>
    <cellStyle name="常规 4 2 12 4 5 4" xfId="7636"/>
    <cellStyle name="常规 4 2 12 4 6" xfId="15106"/>
    <cellStyle name="常规 4 2 12 4 6 2" xfId="15108"/>
    <cellStyle name="常规 4 2 12 4 7" xfId="15110"/>
    <cellStyle name="常规 4 2 12 4 8" xfId="6852"/>
    <cellStyle name="常规 4 2 12 5" xfId="2939"/>
    <cellStyle name="常规 4 2 12 5 2" xfId="2941"/>
    <cellStyle name="常规 4 2 12 5 2 2" xfId="15111"/>
    <cellStyle name="常规 4 2 12 5 2 2 2" xfId="15112"/>
    <cellStyle name="常规 4 2 12 5 2 2 2 2" xfId="15113"/>
    <cellStyle name="常规 4 2 12 5 2 2 2 2 2" xfId="15116"/>
    <cellStyle name="常规 4 2 12 5 2 2 2 3" xfId="15117"/>
    <cellStyle name="常规 4 2 12 5 2 2 2 4" xfId="15119"/>
    <cellStyle name="常规 4 2 12 5 2 2 3" xfId="2817"/>
    <cellStyle name="常规 4 2 12 5 2 2 3 2" xfId="15120"/>
    <cellStyle name="常规 4 2 12 5 2 2 4" xfId="15121"/>
    <cellStyle name="常规 4 2 12 5 2 2 5" xfId="15123"/>
    <cellStyle name="常规 4 2 12 5 2 3" xfId="15125"/>
    <cellStyle name="常规 4 2 12 5 2 3 2" xfId="15128"/>
    <cellStyle name="常规 4 2 12 5 2 3 2 2" xfId="12111"/>
    <cellStyle name="常规 4 2 12 5 2 3 3" xfId="15130"/>
    <cellStyle name="常规 4 2 12 5 2 3 4" xfId="15132"/>
    <cellStyle name="常规 4 2 12 5 2 4" xfId="15134"/>
    <cellStyle name="常规 4 2 12 5 2 4 2" xfId="15136"/>
    <cellStyle name="常规 4 2 12 5 2 5" xfId="11798"/>
    <cellStyle name="常规 4 2 12 5 2 6" xfId="11803"/>
    <cellStyle name="常规 4 2 12 5 3" xfId="2944"/>
    <cellStyle name="常规 4 2 12 5 3 2" xfId="15137"/>
    <cellStyle name="常规 4 2 12 5 3 2 2" xfId="15138"/>
    <cellStyle name="常规 4 2 12 5 3 2 2 2" xfId="15139"/>
    <cellStyle name="常规 4 2 12 5 3 2 3" xfId="2850"/>
    <cellStyle name="常规 4 2 12 5 3 2 4" xfId="15141"/>
    <cellStyle name="常规 4 2 12 5 3 3" xfId="15143"/>
    <cellStyle name="常规 4 2 12 5 3 3 2" xfId="15145"/>
    <cellStyle name="常规 4 2 12 5 3 4" xfId="15146"/>
    <cellStyle name="常规 4 2 12 5 3 5" xfId="11811"/>
    <cellStyle name="常规 4 2 12 5 4" xfId="15147"/>
    <cellStyle name="常规 4 2 12 5 4 2" xfId="15148"/>
    <cellStyle name="常规 4 2 12 5 4 2 2" xfId="15149"/>
    <cellStyle name="常规 4 2 12 5 4 3" xfId="15150"/>
    <cellStyle name="常规 4 2 12 5 4 4" xfId="15151"/>
    <cellStyle name="常规 4 2 12 5 5" xfId="15154"/>
    <cellStyle name="常规 4 2 12 5 5 2" xfId="15157"/>
    <cellStyle name="常规 4 2 12 5 6" xfId="15161"/>
    <cellStyle name="常规 4 2 12 5 7" xfId="15164"/>
    <cellStyle name="常规 4 2 12 6" xfId="2347"/>
    <cellStyle name="常规 4 2 12 6 2" xfId="2954"/>
    <cellStyle name="常规 4 2 12 6 2 2" xfId="15165"/>
    <cellStyle name="常规 4 2 12 6 2 2 2" xfId="15168"/>
    <cellStyle name="常规 4 2 12 6 2 2 2 2" xfId="15170"/>
    <cellStyle name="常规 4 2 12 6 2 2 3" xfId="3081"/>
    <cellStyle name="常规 4 2 12 6 2 2 4" xfId="4887"/>
    <cellStyle name="常规 4 2 12 6 2 3" xfId="15172"/>
    <cellStyle name="常规 4 2 12 6 2 3 2" xfId="15176"/>
    <cellStyle name="常规 4 2 12 6 2 4" xfId="15177"/>
    <cellStyle name="常规 4 2 12 6 2 5" xfId="11974"/>
    <cellStyle name="常规 4 2 12 6 3" xfId="4060"/>
    <cellStyle name="常规 4 2 12 6 3 2" xfId="15178"/>
    <cellStyle name="常规 4 2 12 6 3 2 2" xfId="15181"/>
    <cellStyle name="常规 4 2 12 6 3 3" xfId="15182"/>
    <cellStyle name="常规 4 2 12 6 3 4" xfId="15183"/>
    <cellStyle name="常规 4 2 12 6 4" xfId="15184"/>
    <cellStyle name="常规 4 2 12 6 4 2" xfId="15185"/>
    <cellStyle name="常规 4 2 12 6 5" xfId="15189"/>
    <cellStyle name="常规 4 2 12 6 6" xfId="15192"/>
    <cellStyle name="常规 4 2 12 7" xfId="2352"/>
    <cellStyle name="常规 4 2 12 7 2" xfId="15193"/>
    <cellStyle name="常规 4 2 12 7 2 2" xfId="15195"/>
    <cellStyle name="常规 4 2 12 7 2 2 2" xfId="15198"/>
    <cellStyle name="常规 4 2 12 7 2 3" xfId="15200"/>
    <cellStyle name="常规 4 2 12 7 2 4" xfId="15201"/>
    <cellStyle name="常规 4 2 12 7 3" xfId="15202"/>
    <cellStyle name="常规 4 2 12 7 3 2" xfId="15205"/>
    <cellStyle name="常规 4 2 12 7 4" xfId="15206"/>
    <cellStyle name="常规 4 2 12 7 5" xfId="15210"/>
    <cellStyle name="常规 4 2 12 8" xfId="2962"/>
    <cellStyle name="常规 4 2 12 8 2" xfId="15211"/>
    <cellStyle name="常规 4 2 12 8 2 2" xfId="15213"/>
    <cellStyle name="常规 4 2 12 8 3" xfId="15215"/>
    <cellStyle name="常规 4 2 12 8 4" xfId="15216"/>
    <cellStyle name="常规 4 2 12 9" xfId="15218"/>
    <cellStyle name="常规 4 2 12 9 2" xfId="15220"/>
    <cellStyle name="常规 4 2 13" xfId="15221"/>
    <cellStyle name="常规 4 2 13 10" xfId="15222"/>
    <cellStyle name="常规 4 2 13 2" xfId="15223"/>
    <cellStyle name="常规 4 2 13 2 2" xfId="15224"/>
    <cellStyle name="常规 4 2 13 2 2 2" xfId="15227"/>
    <cellStyle name="常规 4 2 13 2 2 2 2" xfId="15231"/>
    <cellStyle name="常规 4 2 13 2 2 2 2 2" xfId="15233"/>
    <cellStyle name="常规 4 2 13 2 2 2 2 2 2" xfId="15235"/>
    <cellStyle name="常规 4 2 13 2 2 2 2 2 2 2" xfId="15237"/>
    <cellStyle name="常规 4 2 13 2 2 2 2 2 2 2 2" xfId="15239"/>
    <cellStyle name="常规 4 2 13 2 2 2 2 2 2 3" xfId="15242"/>
    <cellStyle name="常规 4 2 13 2 2 2 2 2 2 4" xfId="15244"/>
    <cellStyle name="常规 4 2 13 2 2 2 2 2 3" xfId="15247"/>
    <cellStyle name="常规 4 2 13 2 2 2 2 2 3 2" xfId="15250"/>
    <cellStyle name="常规 4 2 13 2 2 2 2 2 4" xfId="15254"/>
    <cellStyle name="常规 4 2 13 2 2 2 2 2 5" xfId="15259"/>
    <cellStyle name="常规 4 2 13 2 2 2 2 3" xfId="15260"/>
    <cellStyle name="常规 4 2 13 2 2 2 2 3 2" xfId="7106"/>
    <cellStyle name="常规 4 2 13 2 2 2 2 3 2 2" xfId="936"/>
    <cellStyle name="常规 4 2 13 2 2 2 2 3 3" xfId="15264"/>
    <cellStyle name="常规 4 2 13 2 2 2 2 3 4" xfId="15267"/>
    <cellStyle name="常规 4 2 13 2 2 2 2 4" xfId="9300"/>
    <cellStyle name="常规 4 2 13 2 2 2 2 4 2" xfId="15270"/>
    <cellStyle name="常规 4 2 13 2 2 2 2 5" xfId="15271"/>
    <cellStyle name="常规 4 2 13 2 2 2 2 6" xfId="15272"/>
    <cellStyle name="常规 4 2 13 2 2 2 3" xfId="15273"/>
    <cellStyle name="常规 4 2 13 2 2 2 3 2" xfId="15274"/>
    <cellStyle name="常规 4 2 13 2 2 2 3 2 2" xfId="15276"/>
    <cellStyle name="常规 4 2 13 2 2 2 3 2 2 2" xfId="15279"/>
    <cellStyle name="常规 4 2 13 2 2 2 3 2 3" xfId="15282"/>
    <cellStyle name="常规 4 2 13 2 2 2 3 2 4" xfId="15284"/>
    <cellStyle name="常规 4 2 13 2 2 2 3 3" xfId="15285"/>
    <cellStyle name="常规 4 2 13 2 2 2 3 3 2" xfId="15287"/>
    <cellStyle name="常规 4 2 13 2 2 2 3 4" xfId="15288"/>
    <cellStyle name="常规 4 2 13 2 2 2 3 5" xfId="15289"/>
    <cellStyle name="常规 4 2 13 2 2 2 4" xfId="15291"/>
    <cellStyle name="常规 4 2 13 2 2 2 4 2" xfId="15293"/>
    <cellStyle name="常规 4 2 13 2 2 2 4 2 2" xfId="15295"/>
    <cellStyle name="常规 4 2 13 2 2 2 4 3" xfId="15296"/>
    <cellStyle name="常规 4 2 13 2 2 2 4 4" xfId="4825"/>
    <cellStyle name="常规 4 2 13 2 2 2 5" xfId="15298"/>
    <cellStyle name="常规 4 2 13 2 2 2 5 2" xfId="15299"/>
    <cellStyle name="常规 4 2 13 2 2 2 6" xfId="15301"/>
    <cellStyle name="常规 4 2 13 2 2 2 7" xfId="15302"/>
    <cellStyle name="常规 4 2 13 2 2 3" xfId="15304"/>
    <cellStyle name="常规 4 2 13 2 2 3 2" xfId="15305"/>
    <cellStyle name="常规 4 2 13 2 2 3 2 2" xfId="15306"/>
    <cellStyle name="常规 4 2 13 2 2 3 2 2 2" xfId="15307"/>
    <cellStyle name="常规 4 2 13 2 2 3 2 2 2 2" xfId="15309"/>
    <cellStyle name="常规 4 2 13 2 2 3 2 2 3" xfId="15311"/>
    <cellStyle name="常规 4 2 13 2 2 3 2 2 4" xfId="15312"/>
    <cellStyle name="常规 4 2 13 2 2 3 2 3" xfId="15314"/>
    <cellStyle name="常规 4 2 13 2 2 3 2 3 2" xfId="15318"/>
    <cellStyle name="常规 4 2 13 2 2 3 2 4" xfId="15322"/>
    <cellStyle name="常规 4 2 13 2 2 3 2 5" xfId="15324"/>
    <cellStyle name="常规 4 2 13 2 2 3 3" xfId="15325"/>
    <cellStyle name="常规 4 2 13 2 2 3 3 2" xfId="15326"/>
    <cellStyle name="常规 4 2 13 2 2 3 3 2 2" xfId="15327"/>
    <cellStyle name="常规 4 2 13 2 2 3 3 3" xfId="15329"/>
    <cellStyle name="常规 4 2 13 2 2 3 3 4" xfId="15330"/>
    <cellStyle name="常规 4 2 13 2 2 3 4" xfId="15333"/>
    <cellStyle name="常规 4 2 13 2 2 3 4 2" xfId="15337"/>
    <cellStyle name="常规 4 2 13 2 2 3 5" xfId="15339"/>
    <cellStyle name="常规 4 2 13 2 2 3 6" xfId="15341"/>
    <cellStyle name="常规 4 2 13 2 2 4" xfId="15342"/>
    <cellStyle name="常规 4 2 13 2 2 4 2" xfId="15343"/>
    <cellStyle name="常规 4 2 13 2 2 4 2 2" xfId="15344"/>
    <cellStyle name="常规 4 2 13 2 2 4 2 2 2" xfId="15346"/>
    <cellStyle name="常规 4 2 13 2 2 4 2 3" xfId="12754"/>
    <cellStyle name="常规 4 2 13 2 2 4 2 4" xfId="12757"/>
    <cellStyle name="常规 4 2 13 2 2 4 3" xfId="15347"/>
    <cellStyle name="常规 4 2 13 2 2 4 3 2" xfId="15348"/>
    <cellStyle name="常规 4 2 13 2 2 4 4" xfId="15349"/>
    <cellStyle name="常规 4 2 13 2 2 4 5" xfId="2754"/>
    <cellStyle name="常规 4 2 13 2 2 5" xfId="15350"/>
    <cellStyle name="常规 4 2 13 2 2 5 2" xfId="15351"/>
    <cellStyle name="常规 4 2 13 2 2 5 2 2" xfId="15352"/>
    <cellStyle name="常规 4 2 13 2 2 5 3" xfId="15353"/>
    <cellStyle name="常规 4 2 13 2 2 5 4" xfId="15354"/>
    <cellStyle name="常规 4 2 13 2 2 6" xfId="15355"/>
    <cellStyle name="常规 4 2 13 2 2 6 2" xfId="15356"/>
    <cellStyle name="常规 4 2 13 2 2 7" xfId="5136"/>
    <cellStyle name="常规 4 2 13 2 2 8" xfId="5139"/>
    <cellStyle name="常规 4 2 13 2 3" xfId="15357"/>
    <cellStyle name="常规 4 2 13 2 3 2" xfId="15361"/>
    <cellStyle name="常规 4 2 13 2 3 2 2" xfId="15362"/>
    <cellStyle name="常规 4 2 13 2 3 2 2 2" xfId="15363"/>
    <cellStyle name="常规 4 2 13 2 3 2 2 2 2" xfId="8277"/>
    <cellStyle name="常规 4 2 13 2 3 2 2 2 2 2" xfId="15364"/>
    <cellStyle name="常规 4 2 13 2 3 2 2 2 3" xfId="15366"/>
    <cellStyle name="常规 4 2 13 2 3 2 2 2 4" xfId="15369"/>
    <cellStyle name="常规 4 2 13 2 3 2 2 3" xfId="15370"/>
    <cellStyle name="常规 4 2 13 2 3 2 2 3 2" xfId="15371"/>
    <cellStyle name="常规 4 2 13 2 3 2 2 4" xfId="15030"/>
    <cellStyle name="常规 4 2 13 2 3 2 2 5" xfId="15066"/>
    <cellStyle name="常规 4 2 13 2 3 2 3" xfId="15373"/>
    <cellStyle name="常规 4 2 13 2 3 2 3 2" xfId="15374"/>
    <cellStyle name="常规 4 2 13 2 3 2 3 2 2" xfId="15375"/>
    <cellStyle name="常规 4 2 13 2 3 2 3 3" xfId="15376"/>
    <cellStyle name="常规 4 2 13 2 3 2 3 4" xfId="2942"/>
    <cellStyle name="常规 4 2 13 2 3 2 4" xfId="15378"/>
    <cellStyle name="常规 4 2 13 2 3 2 4 2" xfId="15382"/>
    <cellStyle name="常规 4 2 13 2 3 2 5" xfId="14596"/>
    <cellStyle name="常规 4 2 13 2 3 2 6" xfId="4473"/>
    <cellStyle name="常规 4 2 13 2 3 3" xfId="15385"/>
    <cellStyle name="常规 4 2 13 2 3 3 2" xfId="15388"/>
    <cellStyle name="常规 4 2 13 2 3 3 2 2" xfId="15391"/>
    <cellStyle name="常规 4 2 13 2 3 3 2 2 2" xfId="15393"/>
    <cellStyle name="常规 4 2 13 2 3 3 2 3" xfId="15394"/>
    <cellStyle name="常规 4 2 13 2 3 3 2 4" xfId="15399"/>
    <cellStyle name="常规 4 2 13 2 3 3 3" xfId="15403"/>
    <cellStyle name="常规 4 2 13 2 3 3 3 2" xfId="15405"/>
    <cellStyle name="常规 4 2 13 2 3 3 4" xfId="15408"/>
    <cellStyle name="常规 4 2 13 2 3 3 5" xfId="15413"/>
    <cellStyle name="常规 4 2 13 2 3 4" xfId="15414"/>
    <cellStyle name="常规 4 2 13 2 3 4 2" xfId="15418"/>
    <cellStyle name="常规 4 2 13 2 3 4 2 2" xfId="15420"/>
    <cellStyle name="常规 4 2 13 2 3 4 3" xfId="15423"/>
    <cellStyle name="常规 4 2 13 2 3 4 4" xfId="4487"/>
    <cellStyle name="常规 4 2 13 2 3 5" xfId="15425"/>
    <cellStyle name="常规 4 2 13 2 3 5 2" xfId="4186"/>
    <cellStyle name="常规 4 2 13 2 3 6" xfId="15427"/>
    <cellStyle name="常规 4 2 13 2 3 7" xfId="3288"/>
    <cellStyle name="常规 4 2 13 2 4" xfId="15428"/>
    <cellStyle name="常规 4 2 13 2 4 2" xfId="15434"/>
    <cellStyle name="常规 4 2 13 2 4 2 2" xfId="15435"/>
    <cellStyle name="常规 4 2 13 2 4 2 2 2" xfId="7663"/>
    <cellStyle name="常规 4 2 13 2 4 2 2 2 2" xfId="15436"/>
    <cellStyle name="常规 4 2 13 2 4 2 2 3" xfId="13141"/>
    <cellStyle name="常规 4 2 13 2 4 2 2 4" xfId="7409"/>
    <cellStyle name="常规 4 2 13 2 4 2 3" xfId="15437"/>
    <cellStyle name="常规 4 2 13 2 4 2 3 2" xfId="13178"/>
    <cellStyle name="常规 4 2 13 2 4 2 4" xfId="15438"/>
    <cellStyle name="常规 4 2 13 2 4 2 5" xfId="15440"/>
    <cellStyle name="常规 4 2 13 2 4 3" xfId="15441"/>
    <cellStyle name="常规 4 2 13 2 4 3 2" xfId="15444"/>
    <cellStyle name="常规 4 2 13 2 4 3 2 2" xfId="13247"/>
    <cellStyle name="常规 4 2 13 2 4 3 3" xfId="15447"/>
    <cellStyle name="常规 4 2 13 2 4 3 4" xfId="15449"/>
    <cellStyle name="常规 4 2 13 2 4 4" xfId="15450"/>
    <cellStyle name="常规 4 2 13 2 4 4 2" xfId="15452"/>
    <cellStyle name="常规 4 2 13 2 4 5" xfId="15454"/>
    <cellStyle name="常规 4 2 13 2 4 6" xfId="15456"/>
    <cellStyle name="常规 4 2 13 2 5" xfId="15459"/>
    <cellStyle name="常规 4 2 13 2 5 2" xfId="7263"/>
    <cellStyle name="常规 4 2 13 2 5 2 2" xfId="1892"/>
    <cellStyle name="常规 4 2 13 2 5 2 2 2" xfId="7272"/>
    <cellStyle name="常规 4 2 13 2 5 2 3" xfId="5399"/>
    <cellStyle name="常规 4 2 13 2 5 2 4" xfId="363"/>
    <cellStyle name="常规 4 2 13 2 5 3" xfId="1981"/>
    <cellStyle name="常规 4 2 13 2 5 3 2" xfId="1991"/>
    <cellStyle name="常规 4 2 13 2 5 4" xfId="2014"/>
    <cellStyle name="常规 4 2 13 2 5 5" xfId="276"/>
    <cellStyle name="常规 4 2 13 2 6" xfId="15462"/>
    <cellStyle name="常规 4 2 13 2 6 2" xfId="7286"/>
    <cellStyle name="常规 4 2 13 2 6 2 2" xfId="5116"/>
    <cellStyle name="常规 4 2 13 2 6 3" xfId="2058"/>
    <cellStyle name="常规 4 2 13 2 6 4" xfId="2088"/>
    <cellStyle name="常规 4 2 13 2 7" xfId="8340"/>
    <cellStyle name="常规 4 2 13 2 7 2" xfId="7302"/>
    <cellStyle name="常规 4 2 13 2 8" xfId="7203"/>
    <cellStyle name="常规 4 2 13 2 9" xfId="6192"/>
    <cellStyle name="常规 4 2 13 3" xfId="15463"/>
    <cellStyle name="常规 4 2 13 3 2" xfId="15464"/>
    <cellStyle name="常规 4 2 13 3 2 2" xfId="15468"/>
    <cellStyle name="常规 4 2 13 3 2 2 2" xfId="15471"/>
    <cellStyle name="常规 4 2 13 3 2 2 2 2" xfId="15474"/>
    <cellStyle name="常规 4 2 13 3 2 2 2 2 2" xfId="15477"/>
    <cellStyle name="常规 4 2 13 3 2 2 2 2 2 2" xfId="15478"/>
    <cellStyle name="常规 4 2 13 3 2 2 2 2 3" xfId="15479"/>
    <cellStyle name="常规 4 2 13 3 2 2 2 2 4" xfId="15480"/>
    <cellStyle name="常规 4 2 13 3 2 2 2 3" xfId="5933"/>
    <cellStyle name="常规 4 2 13 3 2 2 2 3 2" xfId="15481"/>
    <cellStyle name="常规 4 2 13 3 2 2 2 4" xfId="15483"/>
    <cellStyle name="常规 4 2 13 3 2 2 2 5" xfId="337"/>
    <cellStyle name="常规 4 2 13 3 2 2 3" xfId="15485"/>
    <cellStyle name="常规 4 2 13 3 2 2 3 2" xfId="15487"/>
    <cellStyle name="常规 4 2 13 3 2 2 3 2 2" xfId="15488"/>
    <cellStyle name="常规 4 2 13 3 2 2 3 3" xfId="15489"/>
    <cellStyle name="常规 4 2 13 3 2 2 3 4" xfId="15490"/>
    <cellStyle name="常规 4 2 13 3 2 2 4" xfId="15493"/>
    <cellStyle name="常规 4 2 13 3 2 2 4 2" xfId="15494"/>
    <cellStyle name="常规 4 2 13 3 2 2 5" xfId="15497"/>
    <cellStyle name="常规 4 2 13 3 2 2 6" xfId="15498"/>
    <cellStyle name="常规 4 2 13 3 2 3" xfId="15499"/>
    <cellStyle name="常规 4 2 13 3 2 3 2" xfId="15501"/>
    <cellStyle name="常规 4 2 13 3 2 3 2 2" xfId="15504"/>
    <cellStyle name="常规 4 2 13 3 2 3 2 2 2" xfId="15505"/>
    <cellStyle name="常规 4 2 13 3 2 3 2 3" xfId="15508"/>
    <cellStyle name="常规 4 2 13 3 2 3 2 4" xfId="15509"/>
    <cellStyle name="常规 4 2 13 3 2 3 3" xfId="15511"/>
    <cellStyle name="常规 4 2 13 3 2 3 3 2" xfId="15512"/>
    <cellStyle name="常规 4 2 13 3 2 3 4" xfId="15514"/>
    <cellStyle name="常规 4 2 13 3 2 3 5" xfId="15517"/>
    <cellStyle name="常规 4 2 13 3 2 4" xfId="15518"/>
    <cellStyle name="常规 4 2 13 3 2 4 2" xfId="15520"/>
    <cellStyle name="常规 4 2 13 3 2 4 2 2" xfId="15521"/>
    <cellStyle name="常规 4 2 13 3 2 4 3" xfId="15523"/>
    <cellStyle name="常规 4 2 13 3 2 4 4" xfId="15524"/>
    <cellStyle name="常规 4 2 13 3 2 5" xfId="15525"/>
    <cellStyle name="常规 4 2 13 3 2 5 2" xfId="15527"/>
    <cellStyle name="常规 4 2 13 3 2 6" xfId="15528"/>
    <cellStyle name="常规 4 2 13 3 2 7" xfId="59"/>
    <cellStyle name="常规 4 2 13 3 3" xfId="15529"/>
    <cellStyle name="常规 4 2 13 3 3 2" xfId="15532"/>
    <cellStyle name="常规 4 2 13 3 3 2 2" xfId="15534"/>
    <cellStyle name="常规 4 2 13 3 3 2 2 2" xfId="15536"/>
    <cellStyle name="常规 4 2 13 3 3 2 2 2 2" xfId="8513"/>
    <cellStyle name="常规 4 2 13 3 3 2 2 3" xfId="15538"/>
    <cellStyle name="常规 4 2 13 3 3 2 2 4" xfId="15540"/>
    <cellStyle name="常规 4 2 13 3 3 2 3" xfId="15543"/>
    <cellStyle name="常规 4 2 13 3 3 2 3 2" xfId="15545"/>
    <cellStyle name="常规 4 2 13 3 3 2 4" xfId="15547"/>
    <cellStyle name="常规 4 2 13 3 3 2 5" xfId="15551"/>
    <cellStyle name="常规 4 2 13 3 3 3" xfId="15553"/>
    <cellStyle name="常规 4 2 13 3 3 3 2" xfId="3807"/>
    <cellStyle name="常规 4 2 13 3 3 3 2 2" xfId="15555"/>
    <cellStyle name="常规 4 2 13 3 3 3 3" xfId="15558"/>
    <cellStyle name="常规 4 2 13 3 3 3 4" xfId="15562"/>
    <cellStyle name="常规 4 2 13 3 3 4" xfId="15564"/>
    <cellStyle name="常规 4 2 13 3 3 4 2" xfId="15566"/>
    <cellStyle name="常规 4 2 13 3 3 5" xfId="15569"/>
    <cellStyle name="常规 4 2 13 3 3 6" xfId="15571"/>
    <cellStyle name="常规 4 2 13 3 4" xfId="15573"/>
    <cellStyle name="常规 4 2 13 3 4 2" xfId="15574"/>
    <cellStyle name="常规 4 2 13 3 4 2 2" xfId="15576"/>
    <cellStyle name="常规 4 2 13 3 4 2 2 2" xfId="7820"/>
    <cellStyle name="常规 4 2 13 3 4 2 3" xfId="15579"/>
    <cellStyle name="常规 4 2 13 3 4 2 4" xfId="15581"/>
    <cellStyle name="常规 4 2 13 3 4 3" xfId="15582"/>
    <cellStyle name="常规 4 2 13 3 4 3 2" xfId="15585"/>
    <cellStyle name="常规 4 2 13 3 4 4" xfId="15586"/>
    <cellStyle name="常规 4 2 13 3 4 5" xfId="15588"/>
    <cellStyle name="常规 4 2 13 3 5" xfId="15590"/>
    <cellStyle name="常规 4 2 13 3 5 2" xfId="7326"/>
    <cellStyle name="常规 4 2 13 3 5 2 2" xfId="5663"/>
    <cellStyle name="常规 4 2 13 3 5 3" xfId="2165"/>
    <cellStyle name="常规 4 2 13 3 5 4" xfId="7336"/>
    <cellStyle name="常规 4 2 13 3 6" xfId="15592"/>
    <cellStyle name="常规 4 2 13 3 6 2" xfId="7349"/>
    <cellStyle name="常规 4 2 13 3 7" xfId="8351"/>
    <cellStyle name="常规 4 2 13 3 8" xfId="6868"/>
    <cellStyle name="常规 4 2 13 4" xfId="15594"/>
    <cellStyle name="常规 4 2 13 4 2" xfId="15400"/>
    <cellStyle name="常规 4 2 13 4 2 2" xfId="15595"/>
    <cellStyle name="常规 4 2 13 4 2 2 2" xfId="15597"/>
    <cellStyle name="常规 4 2 13 4 2 2 2 2" xfId="15598"/>
    <cellStyle name="常规 4 2 13 4 2 2 2 2 2" xfId="2926"/>
    <cellStyle name="常规 4 2 13 4 2 2 2 3" xfId="15599"/>
    <cellStyle name="常规 4 2 13 4 2 2 2 4" xfId="15601"/>
    <cellStyle name="常规 4 2 13 4 2 2 3" xfId="15603"/>
    <cellStyle name="常规 4 2 13 4 2 2 3 2" xfId="15604"/>
    <cellStyle name="常规 4 2 13 4 2 2 4" xfId="15605"/>
    <cellStyle name="常规 4 2 13 4 2 2 5" xfId="15607"/>
    <cellStyle name="常规 4 2 13 4 2 3" xfId="15608"/>
    <cellStyle name="常规 4 2 13 4 2 3 2" xfId="15610"/>
    <cellStyle name="常规 4 2 13 4 2 3 2 2" xfId="13705"/>
    <cellStyle name="常规 4 2 13 4 2 3 3" xfId="15611"/>
    <cellStyle name="常规 4 2 13 4 2 3 4" xfId="15612"/>
    <cellStyle name="常规 4 2 13 4 2 4" xfId="15613"/>
    <cellStyle name="常规 4 2 13 4 2 4 2" xfId="15614"/>
    <cellStyle name="常规 4 2 13 4 2 5" xfId="12321"/>
    <cellStyle name="常规 4 2 13 4 2 6" xfId="15615"/>
    <cellStyle name="常规 4 2 13 4 3" xfId="15617"/>
    <cellStyle name="常规 4 2 13 4 3 2" xfId="15618"/>
    <cellStyle name="常规 4 2 13 4 3 2 2" xfId="15620"/>
    <cellStyle name="常规 4 2 13 4 3 2 2 2" xfId="15622"/>
    <cellStyle name="常规 4 2 13 4 3 2 3" xfId="15624"/>
    <cellStyle name="常规 4 2 13 4 3 2 4" xfId="15627"/>
    <cellStyle name="常规 4 2 13 4 3 3" xfId="15628"/>
    <cellStyle name="常规 4 2 13 4 3 3 2" xfId="15632"/>
    <cellStyle name="常规 4 2 13 4 3 4" xfId="15633"/>
    <cellStyle name="常规 4 2 13 4 3 5" xfId="15635"/>
    <cellStyle name="常规 4 2 13 4 4" xfId="15637"/>
    <cellStyle name="常规 4 2 13 4 4 2" xfId="15638"/>
    <cellStyle name="常规 4 2 13 4 4 2 2" xfId="15640"/>
    <cellStyle name="常规 4 2 13 4 4 3" xfId="15642"/>
    <cellStyle name="常规 4 2 13 4 4 4" xfId="15643"/>
    <cellStyle name="常规 4 2 13 4 5" xfId="15645"/>
    <cellStyle name="常规 4 2 13 4 5 2" xfId="7368"/>
    <cellStyle name="常规 4 2 13 4 6" xfId="15647"/>
    <cellStyle name="常规 4 2 13 4 7" xfId="8355"/>
    <cellStyle name="常规 4 2 13 5" xfId="2973"/>
    <cellStyle name="常规 4 2 13 5 2" xfId="383"/>
    <cellStyle name="常规 4 2 13 5 2 2" xfId="15648"/>
    <cellStyle name="常规 4 2 13 5 2 2 2" xfId="15651"/>
    <cellStyle name="常规 4 2 13 5 2 2 2 2" xfId="15653"/>
    <cellStyle name="常规 4 2 13 5 2 2 3" xfId="15657"/>
    <cellStyle name="常规 4 2 13 5 2 2 4" xfId="15660"/>
    <cellStyle name="常规 4 2 13 5 2 3" xfId="15662"/>
    <cellStyle name="常规 4 2 13 5 2 3 2" xfId="15667"/>
    <cellStyle name="常规 4 2 13 5 2 4" xfId="15668"/>
    <cellStyle name="常规 4 2 13 5 2 5" xfId="15669"/>
    <cellStyle name="常规 4 2 13 5 3" xfId="2975"/>
    <cellStyle name="常规 4 2 13 5 3 2" xfId="15670"/>
    <cellStyle name="常规 4 2 13 5 3 2 2" xfId="15673"/>
    <cellStyle name="常规 4 2 13 5 3 3" xfId="15674"/>
    <cellStyle name="常规 4 2 13 5 3 4" xfId="15675"/>
    <cellStyle name="常规 4 2 13 5 4" xfId="15677"/>
    <cellStyle name="常规 4 2 13 5 4 2" xfId="15678"/>
    <cellStyle name="常规 4 2 13 5 5" xfId="15681"/>
    <cellStyle name="常规 4 2 13 5 6" xfId="15684"/>
    <cellStyle name="常规 4 2 13 6" xfId="2364"/>
    <cellStyle name="常规 4 2 13 6 2" xfId="1593"/>
    <cellStyle name="常规 4 2 13 6 2 2" xfId="15685"/>
    <cellStyle name="常规 4 2 13 6 2 2 2" xfId="15690"/>
    <cellStyle name="常规 4 2 13 6 2 3" xfId="15691"/>
    <cellStyle name="常规 4 2 13 6 2 4" xfId="15692"/>
    <cellStyle name="常规 4 2 13 6 3" xfId="15693"/>
    <cellStyle name="常规 4 2 13 6 3 2" xfId="15694"/>
    <cellStyle name="常规 4 2 13 6 4" xfId="15695"/>
    <cellStyle name="常规 4 2 13 6 5" xfId="15699"/>
    <cellStyle name="常规 4 2 13 7" xfId="2979"/>
    <cellStyle name="常规 4 2 13 7 2" xfId="15701"/>
    <cellStyle name="常规 4 2 13 7 2 2" xfId="15703"/>
    <cellStyle name="常规 4 2 13 7 3" xfId="15704"/>
    <cellStyle name="常规 4 2 13 7 4" xfId="3249"/>
    <cellStyle name="常规 4 2 13 8" xfId="2982"/>
    <cellStyle name="常规 4 2 13 8 2" xfId="15705"/>
    <cellStyle name="常规 4 2 13 9" xfId="15708"/>
    <cellStyle name="常规 4 2 14" xfId="15709"/>
    <cellStyle name="常规 4 2 14 2" xfId="15711"/>
    <cellStyle name="常规 4 2 14 2 2" xfId="15712"/>
    <cellStyle name="常规 4 2 14 2 2 2" xfId="15716"/>
    <cellStyle name="常规 4 2 14 2 2 2 2" xfId="15717"/>
    <cellStyle name="常规 4 2 14 2 2 2 2 2" xfId="7920"/>
    <cellStyle name="常规 4 2 14 2 2 2 2 2 2" xfId="15718"/>
    <cellStyle name="常规 4 2 14 2 2 2 2 3" xfId="7922"/>
    <cellStyle name="常规 4 2 14 2 2 2 2 4" xfId="15719"/>
    <cellStyle name="常规 4 2 14 2 2 2 3" xfId="15720"/>
    <cellStyle name="常规 4 2 14 2 2 2 3 2" xfId="15721"/>
    <cellStyle name="常规 4 2 14 2 2 2 4" xfId="15722"/>
    <cellStyle name="常规 4 2 14 2 2 2 5" xfId="15723"/>
    <cellStyle name="常规 4 2 14 2 2 3" xfId="15724"/>
    <cellStyle name="常规 4 2 14 2 2 3 2" xfId="15725"/>
    <cellStyle name="常规 4 2 14 2 2 3 2 2" xfId="15726"/>
    <cellStyle name="常规 4 2 14 2 2 3 3" xfId="15727"/>
    <cellStyle name="常规 4 2 14 2 2 3 4" xfId="15728"/>
    <cellStyle name="常规 4 2 14 2 2 4" xfId="15729"/>
    <cellStyle name="常规 4 2 14 2 2 4 2" xfId="15730"/>
    <cellStyle name="常规 4 2 14 2 2 5" xfId="15731"/>
    <cellStyle name="常规 4 2 14 2 2 6" xfId="15732"/>
    <cellStyle name="常规 4 2 14 2 3" xfId="15733"/>
    <cellStyle name="常规 4 2 14 2 3 2" xfId="15736"/>
    <cellStyle name="常规 4 2 14 2 3 2 2" xfId="15737"/>
    <cellStyle name="常规 4 2 14 2 3 2 2 2" xfId="15739"/>
    <cellStyle name="常规 4 2 14 2 3 2 3" xfId="15741"/>
    <cellStyle name="常规 4 2 14 2 3 2 4" xfId="2293"/>
    <cellStyle name="常规 4 2 14 2 3 3" xfId="15742"/>
    <cellStyle name="常规 4 2 14 2 3 3 2" xfId="15745"/>
    <cellStyle name="常规 4 2 14 2 3 4" xfId="13097"/>
    <cellStyle name="常规 4 2 14 2 3 5" xfId="4192"/>
    <cellStyle name="常规 4 2 14 2 4" xfId="15747"/>
    <cellStyle name="常规 4 2 14 2 4 2" xfId="15748"/>
    <cellStyle name="常规 4 2 14 2 4 2 2" xfId="15749"/>
    <cellStyle name="常规 4 2 14 2 4 3" xfId="15750"/>
    <cellStyle name="常规 4 2 14 2 4 4" xfId="13119"/>
    <cellStyle name="常规 4 2 14 2 5" xfId="15752"/>
    <cellStyle name="常规 4 2 14 2 5 2" xfId="7401"/>
    <cellStyle name="常规 4 2 14 2 6" xfId="15754"/>
    <cellStyle name="常规 4 2 14 2 7" xfId="8362"/>
    <cellStyle name="常规 4 2 14 3" xfId="15756"/>
    <cellStyle name="常规 4 2 14 3 2" xfId="15758"/>
    <cellStyle name="常规 4 2 14 3 2 2" xfId="15759"/>
    <cellStyle name="常规 4 2 14 3 2 2 2" xfId="15760"/>
    <cellStyle name="常规 4 2 14 3 2 2 2 2" xfId="5763"/>
    <cellStyle name="常规 4 2 14 3 2 2 3" xfId="15761"/>
    <cellStyle name="常规 4 2 14 3 2 2 4" xfId="15762"/>
    <cellStyle name="常规 4 2 14 3 2 3" xfId="1450"/>
    <cellStyle name="常规 4 2 14 3 2 3 2" xfId="1454"/>
    <cellStyle name="常规 4 2 14 3 2 4" xfId="15763"/>
    <cellStyle name="常规 4 2 14 3 2 5" xfId="15764"/>
    <cellStyle name="常规 4 2 14 3 3" xfId="15765"/>
    <cellStyle name="常规 4 2 14 3 3 2" xfId="15766"/>
    <cellStyle name="常规 4 2 14 3 3 2 2" xfId="15767"/>
    <cellStyle name="常规 4 2 14 3 3 3" xfId="15769"/>
    <cellStyle name="常规 4 2 14 3 3 4" xfId="13146"/>
    <cellStyle name="常规 4 2 14 3 4" xfId="15770"/>
    <cellStyle name="常规 4 2 14 3 4 2" xfId="15771"/>
    <cellStyle name="常规 4 2 14 3 5" xfId="15773"/>
    <cellStyle name="常规 4 2 14 3 6" xfId="15775"/>
    <cellStyle name="常规 4 2 14 4" xfId="15776"/>
    <cellStyle name="常规 4 2 14 4 2" xfId="15777"/>
    <cellStyle name="常规 4 2 14 4 2 2" xfId="15778"/>
    <cellStyle name="常规 4 2 14 4 2 2 2" xfId="1636"/>
    <cellStyle name="常规 4 2 14 4 2 3" xfId="15779"/>
    <cellStyle name="常规 4 2 14 4 2 4" xfId="15780"/>
    <cellStyle name="常规 4 2 14 4 3" xfId="15781"/>
    <cellStyle name="常规 4 2 14 4 3 2" xfId="15782"/>
    <cellStyle name="常规 4 2 14 4 4" xfId="15783"/>
    <cellStyle name="常规 4 2 14 4 5" xfId="15785"/>
    <cellStyle name="常规 4 2 14 5" xfId="2987"/>
    <cellStyle name="常规 4 2 14 5 2" xfId="2989"/>
    <cellStyle name="常规 4 2 14 5 2 2" xfId="15786"/>
    <cellStyle name="常规 4 2 14 5 3" xfId="2992"/>
    <cellStyle name="常规 4 2 14 5 4" xfId="15787"/>
    <cellStyle name="常规 4 2 14 6" xfId="2996"/>
    <cellStyle name="常规 4 2 14 6 2" xfId="3000"/>
    <cellStyle name="常规 4 2 14 7" xfId="3006"/>
    <cellStyle name="常规 4 2 14 8" xfId="3009"/>
    <cellStyle name="常规 4 2 15" xfId="15790"/>
    <cellStyle name="常规 4 2 15 2" xfId="15795"/>
    <cellStyle name="常规 4 2 15 2 2" xfId="15799"/>
    <cellStyle name="常规 4 2 15 2 2 2" xfId="15800"/>
    <cellStyle name="常规 4 2 15 2 2 2 2" xfId="15802"/>
    <cellStyle name="常规 4 2 15 2 2 2 2 2" xfId="7422"/>
    <cellStyle name="常规 4 2 15 2 2 2 3" xfId="15804"/>
    <cellStyle name="常规 4 2 15 2 2 2 4" xfId="15805"/>
    <cellStyle name="常规 4 2 15 2 2 3" xfId="15806"/>
    <cellStyle name="常规 4 2 15 2 2 3 2" xfId="15808"/>
    <cellStyle name="常规 4 2 15 2 2 4" xfId="15810"/>
    <cellStyle name="常规 4 2 15 2 2 5" xfId="15811"/>
    <cellStyle name="常规 4 2 15 2 3" xfId="15812"/>
    <cellStyle name="常规 4 2 15 2 3 2" xfId="15813"/>
    <cellStyle name="常规 4 2 15 2 3 2 2" xfId="15815"/>
    <cellStyle name="常规 4 2 15 2 3 3" xfId="15817"/>
    <cellStyle name="常规 4 2 15 2 3 4" xfId="13221"/>
    <cellStyle name="常规 4 2 15 2 4" xfId="15818"/>
    <cellStyle name="常规 4 2 15 2 4 2" xfId="15819"/>
    <cellStyle name="常规 4 2 15 2 5" xfId="15821"/>
    <cellStyle name="常规 4 2 15 2 6" xfId="4037"/>
    <cellStyle name="常规 4 2 15 3" xfId="15824"/>
    <cellStyle name="常规 4 2 15 3 2" xfId="15825"/>
    <cellStyle name="常规 4 2 15 3 2 2" xfId="15826"/>
    <cellStyle name="常规 4 2 15 3 2 2 2" xfId="15828"/>
    <cellStyle name="常规 4 2 15 3 2 3" xfId="15829"/>
    <cellStyle name="常规 4 2 15 3 2 4" xfId="15830"/>
    <cellStyle name="常规 4 2 15 3 3" xfId="15831"/>
    <cellStyle name="常规 4 2 15 3 3 2" xfId="15832"/>
    <cellStyle name="常规 4 2 15 3 4" xfId="15833"/>
    <cellStyle name="常规 4 2 15 3 5" xfId="15835"/>
    <cellStyle name="常规 4 2 15 4" xfId="15839"/>
    <cellStyle name="常规 4 2 15 4 2" xfId="15843"/>
    <cellStyle name="常规 4 2 15 4 2 2" xfId="15847"/>
    <cellStyle name="常规 4 2 15 4 3" xfId="15850"/>
    <cellStyle name="常规 4 2 15 4 4" xfId="15853"/>
    <cellStyle name="常规 4 2 15 5" xfId="15855"/>
    <cellStyle name="常规 4 2 15 5 2" xfId="15858"/>
    <cellStyle name="常规 4 2 15 6" xfId="15861"/>
    <cellStyle name="常规 4 2 15 7" xfId="15863"/>
    <cellStyle name="常规 4 2 16" xfId="15866"/>
    <cellStyle name="常规 4 2 16 2" xfId="15870"/>
    <cellStyle name="常规 4 2 16 2 2" xfId="15871"/>
    <cellStyle name="常规 4 2 16 2 2 2" xfId="15872"/>
    <cellStyle name="常规 4 2 16 2 2 2 2" xfId="15874"/>
    <cellStyle name="常规 4 2 16 2 2 3" xfId="15875"/>
    <cellStyle name="常规 4 2 16 2 2 4" xfId="15877"/>
    <cellStyle name="常规 4 2 16 2 3" xfId="15878"/>
    <cellStyle name="常规 4 2 16 2 3 2" xfId="15879"/>
    <cellStyle name="常规 4 2 16 2 4" xfId="15880"/>
    <cellStyle name="常规 4 2 16 2 5" xfId="15883"/>
    <cellStyle name="常规 4 2 16 3" xfId="15884"/>
    <cellStyle name="常规 4 2 16 3 2" xfId="15885"/>
    <cellStyle name="常规 4 2 16 3 2 2" xfId="15886"/>
    <cellStyle name="常规 4 2 16 3 3" xfId="15887"/>
    <cellStyle name="常规 4 2 16 3 4" xfId="15888"/>
    <cellStyle name="常规 4 2 16 4" xfId="15890"/>
    <cellStyle name="常规 4 2 16 4 2" xfId="15893"/>
    <cellStyle name="常规 4 2 16 5" xfId="15895"/>
    <cellStyle name="常规 4 2 16 6" xfId="15897"/>
    <cellStyle name="常规 4 2 17" xfId="15900"/>
    <cellStyle name="常规 4 2 17 2" xfId="15903"/>
    <cellStyle name="常规 4 2 17 2 2" xfId="15904"/>
    <cellStyle name="常规 4 2 17 2 2 2" xfId="15905"/>
    <cellStyle name="常规 4 2 17 2 3" xfId="15906"/>
    <cellStyle name="常规 4 2 17 2 4" xfId="15907"/>
    <cellStyle name="常规 4 2 17 3" xfId="15909"/>
    <cellStyle name="常规 4 2 17 3 2" xfId="14737"/>
    <cellStyle name="常规 4 2 17 4" xfId="15911"/>
    <cellStyle name="常规 4 2 17 5" xfId="15913"/>
    <cellStyle name="常规 4 2 18" xfId="15916"/>
    <cellStyle name="常规 4 2 18 2" xfId="15919"/>
    <cellStyle name="常规 4 2 18 2 2" xfId="15921"/>
    <cellStyle name="常规 4 2 18 3" xfId="15923"/>
    <cellStyle name="常规 4 2 18 4" xfId="15926"/>
    <cellStyle name="常规 4 2 19" xfId="15927"/>
    <cellStyle name="常规 4 2 19 2" xfId="15930"/>
    <cellStyle name="常规 4 2 2" xfId="15931"/>
    <cellStyle name="常规 4 2 2 10" xfId="15932"/>
    <cellStyle name="常规 4 2 2 10 10" xfId="15934"/>
    <cellStyle name="常规 4 2 2 10 11" xfId="5855"/>
    <cellStyle name="常规 4 2 2 10 2" xfId="15935"/>
    <cellStyle name="常规 4 2 2 10 2 2" xfId="15936"/>
    <cellStyle name="常规 4 2 2 10 2 2 2" xfId="5439"/>
    <cellStyle name="常规 4 2 2 10 2 2 2 2" xfId="5441"/>
    <cellStyle name="常规 4 2 2 10 2 2 2 2 2" xfId="5423"/>
    <cellStyle name="常规 4 2 2 10 2 2 2 2 2 2" xfId="5142"/>
    <cellStyle name="常规 4 2 2 10 2 2 2 2 2 2 2" xfId="5446"/>
    <cellStyle name="常规 4 2 2 10 2 2 2 2 2 2 2 2" xfId="15940"/>
    <cellStyle name="常规 4 2 2 10 2 2 2 2 2 2 3" xfId="15942"/>
    <cellStyle name="常规 4 2 2 10 2 2 2 2 2 2 4" xfId="15944"/>
    <cellStyle name="常规 4 2 2 10 2 2 2 2 2 3" xfId="5148"/>
    <cellStyle name="常规 4 2 2 10 2 2 2 2 2 3 2" xfId="15949"/>
    <cellStyle name="常规 4 2 2 10 2 2 2 2 2 4" xfId="2077"/>
    <cellStyle name="常规 4 2 2 10 2 2 2 2 2 5" xfId="2084"/>
    <cellStyle name="常规 4 2 2 10 2 2 2 2 3" xfId="5427"/>
    <cellStyle name="常规 4 2 2 10 2 2 2 2 3 2" xfId="5170"/>
    <cellStyle name="常规 4 2 2 10 2 2 2 2 3 2 2" xfId="15951"/>
    <cellStyle name="常规 4 2 2 10 2 2 2 2 3 3" xfId="15952"/>
    <cellStyle name="常规 4 2 2 10 2 2 2 2 3 4" xfId="2099"/>
    <cellStyle name="常规 4 2 2 10 2 2 2 2 4" xfId="5435"/>
    <cellStyle name="常规 4 2 2 10 2 2 2 2 4 2" xfId="6487"/>
    <cellStyle name="常规 4 2 2 10 2 2 2 2 5" xfId="5452"/>
    <cellStyle name="常规 4 2 2 10 2 2 2 2 6" xfId="4876"/>
    <cellStyle name="常规 4 2 2 10 2 2 2 3" xfId="5455"/>
    <cellStyle name="常规 4 2 2 10 2 2 2 3 2" xfId="5462"/>
    <cellStyle name="常规 4 2 2 10 2 2 2 3 2 2" xfId="1606"/>
    <cellStyle name="常规 4 2 2 10 2 2 2 3 2 2 2" xfId="15957"/>
    <cellStyle name="常规 4 2 2 10 2 2 2 3 2 3" xfId="15959"/>
    <cellStyle name="常规 4 2 2 10 2 2 2 3 2 4" xfId="13622"/>
    <cellStyle name="常规 4 2 2 10 2 2 2 3 3" xfId="5468"/>
    <cellStyle name="常规 4 2 2 10 2 2 2 3 3 2" xfId="15961"/>
    <cellStyle name="常规 4 2 2 10 2 2 2 3 4" xfId="5474"/>
    <cellStyle name="常规 4 2 2 10 2 2 2 3 5" xfId="3681"/>
    <cellStyle name="常规 4 2 2 10 2 2 2 4" xfId="5478"/>
    <cellStyle name="常规 4 2 2 10 2 2 2 4 2" xfId="3628"/>
    <cellStyle name="常规 4 2 2 10 2 2 2 4 2 2" xfId="15965"/>
    <cellStyle name="常规 4 2 2 10 2 2 2 4 3" xfId="15969"/>
    <cellStyle name="常规 4 2 2 10 2 2 2 4 4" xfId="7314"/>
    <cellStyle name="常规 4 2 2 10 2 2 2 5" xfId="5458"/>
    <cellStyle name="常规 4 2 2 10 2 2 2 5 2" xfId="15973"/>
    <cellStyle name="常规 4 2 2 10 2 2 2 6" xfId="5465"/>
    <cellStyle name="常规 4 2 2 10 2 2 2 7" xfId="15975"/>
    <cellStyle name="常规 4 2 2 10 2 2 3" xfId="5480"/>
    <cellStyle name="常规 4 2 2 10 2 2 3 2" xfId="5483"/>
    <cellStyle name="常规 4 2 2 10 2 2 3 2 2" xfId="693"/>
    <cellStyle name="常规 4 2 2 10 2 2 3 2 2 2" xfId="5487"/>
    <cellStyle name="常规 4 2 2 10 2 2 3 2 2 2 2" xfId="15978"/>
    <cellStyle name="常规 4 2 2 10 2 2 3 2 2 3" xfId="15980"/>
    <cellStyle name="常规 4 2 2 10 2 2 3 2 2 4" xfId="9801"/>
    <cellStyle name="常规 4 2 2 10 2 2 3 2 3" xfId="5491"/>
    <cellStyle name="常规 4 2 2 10 2 2 3 2 3 2" xfId="15981"/>
    <cellStyle name="常规 4 2 2 10 2 2 3 2 4" xfId="5497"/>
    <cellStyle name="常规 4 2 2 10 2 2 3 2 5" xfId="15985"/>
    <cellStyle name="常规 4 2 2 10 2 2 3 3" xfId="5500"/>
    <cellStyle name="常规 4 2 2 10 2 2 3 3 2" xfId="135"/>
    <cellStyle name="常规 4 2 2 10 2 2 3 3 2 2" xfId="15987"/>
    <cellStyle name="常规 4 2 2 10 2 2 3 3 3" xfId="15989"/>
    <cellStyle name="常规 4 2 2 10 2 2 3 3 4" xfId="15991"/>
    <cellStyle name="常规 4 2 2 10 2 2 3 4" xfId="3620"/>
    <cellStyle name="常规 4 2 2 10 2 2 3 4 2" xfId="15995"/>
    <cellStyle name="常规 4 2 2 10 2 2 3 5" xfId="3623"/>
    <cellStyle name="常规 4 2 2 10 2 2 3 6" xfId="15997"/>
    <cellStyle name="常规 4 2 2 10 2 2 4" xfId="5502"/>
    <cellStyle name="常规 4 2 2 10 2 2 4 2" xfId="5504"/>
    <cellStyle name="常规 4 2 2 10 2 2 4 2 2" xfId="750"/>
    <cellStyle name="常规 4 2 2 10 2 2 4 2 2 2" xfId="15998"/>
    <cellStyle name="常规 4 2 2 10 2 2 4 2 3" xfId="15999"/>
    <cellStyle name="常规 4 2 2 10 2 2 4 2 4" xfId="16000"/>
    <cellStyle name="常规 4 2 2 10 2 2 4 3" xfId="5506"/>
    <cellStyle name="常规 4 2 2 10 2 2 4 3 2" xfId="16001"/>
    <cellStyle name="常规 4 2 2 10 2 2 4 4" xfId="1598"/>
    <cellStyle name="常规 4 2 2 10 2 2 4 5" xfId="16002"/>
    <cellStyle name="常规 4 2 2 10 2 2 5" xfId="5508"/>
    <cellStyle name="常规 4 2 2 10 2 2 5 2" xfId="5513"/>
    <cellStyle name="常规 4 2 2 10 2 2 5 2 2" xfId="16005"/>
    <cellStyle name="常规 4 2 2 10 2 2 5 3" xfId="16007"/>
    <cellStyle name="常规 4 2 2 10 2 2 5 4" xfId="16008"/>
    <cellStyle name="常规 4 2 2 10 2 2 6" xfId="5515"/>
    <cellStyle name="常规 4 2 2 10 2 2 6 2" xfId="16010"/>
    <cellStyle name="常规 4 2 2 10 2 2 7" xfId="5519"/>
    <cellStyle name="常规 4 2 2 10 2 2 8" xfId="16012"/>
    <cellStyle name="常规 4 2 2 10 2 3" xfId="16013"/>
    <cellStyle name="常规 4 2 2 10 2 3 2" xfId="71"/>
    <cellStyle name="常规 4 2 2 10 2 3 2 2" xfId="1513"/>
    <cellStyle name="常规 4 2 2 10 2 3 2 2 2" xfId="5790"/>
    <cellStyle name="常规 4 2 2 10 2 3 2 2 2 2" xfId="5796"/>
    <cellStyle name="常规 4 2 2 10 2 3 2 2 2 2 2" xfId="5801"/>
    <cellStyle name="常规 4 2 2 10 2 3 2 2 2 3" xfId="5808"/>
    <cellStyle name="常规 4 2 2 10 2 3 2 2 2 4" xfId="3550"/>
    <cellStyle name="常规 4 2 2 10 2 3 2 2 3" xfId="2958"/>
    <cellStyle name="常规 4 2 2 10 2 3 2 2 3 2" xfId="5813"/>
    <cellStyle name="常规 4 2 2 10 2 3 2 2 4" xfId="5823"/>
    <cellStyle name="常规 4 2 2 10 2 3 2 2 5" xfId="1382"/>
    <cellStyle name="常规 4 2 2 10 2 3 2 3" xfId="1517"/>
    <cellStyle name="常规 4 2 2 10 2 3 2 3 2" xfId="3523"/>
    <cellStyle name="常规 4 2 2 10 2 3 2 3 2 2" xfId="1372"/>
    <cellStyle name="常规 4 2 2 10 2 3 2 3 3" xfId="3530"/>
    <cellStyle name="常规 4 2 2 10 2 3 2 3 4" xfId="3533"/>
    <cellStyle name="常规 4 2 2 10 2 3 2 4" xfId="127"/>
    <cellStyle name="常规 4 2 2 10 2 3 2 4 2" xfId="2143"/>
    <cellStyle name="常规 4 2 2 10 2 3 2 5" xfId="131"/>
    <cellStyle name="常规 4 2 2 10 2 3 2 6" xfId="3117"/>
    <cellStyle name="常规 4 2 2 10 2 3 3" xfId="5825"/>
    <cellStyle name="常规 4 2 2 10 2 3 3 2" xfId="5828"/>
    <cellStyle name="常规 4 2 2 10 2 3 3 2 2" xfId="447"/>
    <cellStyle name="常规 4 2 2 10 2 3 3 2 2 2" xfId="5832"/>
    <cellStyle name="常规 4 2 2 10 2 3 3 2 3" xfId="454"/>
    <cellStyle name="常规 4 2 2 10 2 3 3 2 4" xfId="4672"/>
    <cellStyle name="常规 4 2 2 10 2 3 3 3" xfId="5834"/>
    <cellStyle name="常规 4 2 2 10 2 3 3 3 2" xfId="517"/>
    <cellStyle name="常规 4 2 2 10 2 3 3 4" xfId="3641"/>
    <cellStyle name="常规 4 2 2 10 2 3 3 5" xfId="3646"/>
    <cellStyle name="常规 4 2 2 10 2 3 4" xfId="5836"/>
    <cellStyle name="常规 4 2 2 10 2 3 4 2" xfId="25"/>
    <cellStyle name="常规 4 2 2 10 2 3 4 2 2" xfId="2229"/>
    <cellStyle name="常规 4 2 2 10 2 3 4 3" xfId="5838"/>
    <cellStyle name="常规 4 2 2 10 2 3 4 4" xfId="3655"/>
    <cellStyle name="常规 4 2 2 10 2 3 5" xfId="5840"/>
    <cellStyle name="常规 4 2 2 10 2 3 5 2" xfId="5844"/>
    <cellStyle name="常规 4 2 2 10 2 3 6" xfId="5846"/>
    <cellStyle name="常规 4 2 2 10 2 3 7" xfId="5849"/>
    <cellStyle name="常规 4 2 2 10 2 4" xfId="16014"/>
    <cellStyle name="常规 4 2 2 10 2 4 2" xfId="4597"/>
    <cellStyle name="常规 4 2 2 10 2 4 2 2" xfId="4601"/>
    <cellStyle name="常规 4 2 2 10 2 4 2 2 2" xfId="5948"/>
    <cellStyle name="常规 4 2 2 10 2 4 2 2 2 2" xfId="4316"/>
    <cellStyle name="常规 4 2 2 10 2 4 2 2 3" xfId="5950"/>
    <cellStyle name="常规 4 2 2 10 2 4 2 2 4" xfId="5955"/>
    <cellStyle name="常规 4 2 2 10 2 4 2 3" xfId="5957"/>
    <cellStyle name="常规 4 2 2 10 2 4 2 3 2" xfId="5959"/>
    <cellStyle name="常规 4 2 2 10 2 4 2 4" xfId="1482"/>
    <cellStyle name="常规 4 2 2 10 2 4 2 5" xfId="1486"/>
    <cellStyle name="常规 4 2 2 10 2 4 3" xfId="4607"/>
    <cellStyle name="常规 4 2 2 10 2 4 3 2" xfId="3345"/>
    <cellStyle name="常规 4 2 2 10 2 4 3 2 2" xfId="5961"/>
    <cellStyle name="常规 4 2 2 10 2 4 3 3" xfId="4188"/>
    <cellStyle name="常规 4 2 2 10 2 4 3 4" xfId="3687"/>
    <cellStyle name="常规 4 2 2 10 2 4 4" xfId="4612"/>
    <cellStyle name="常规 4 2 2 10 2 4 4 2" xfId="5963"/>
    <cellStyle name="常规 4 2 2 10 2 4 5" xfId="5967"/>
    <cellStyle name="常规 4 2 2 10 2 4 6" xfId="5972"/>
    <cellStyle name="常规 4 2 2 10 2 5" xfId="16015"/>
    <cellStyle name="常规 4 2 2 10 2 5 2" xfId="3222"/>
    <cellStyle name="常规 4 2 2 10 2 5 2 2" xfId="6045"/>
    <cellStyle name="常规 4 2 2 10 2 5 2 2 2" xfId="6049"/>
    <cellStyle name="常规 4 2 2 10 2 5 2 3" xfId="6052"/>
    <cellStyle name="常规 4 2 2 10 2 5 2 4" xfId="3403"/>
    <cellStyle name="常规 4 2 2 10 2 5 3" xfId="6054"/>
    <cellStyle name="常规 4 2 2 10 2 5 3 2" xfId="6057"/>
    <cellStyle name="常规 4 2 2 10 2 5 4" xfId="6060"/>
    <cellStyle name="常规 4 2 2 10 2 5 5" xfId="6069"/>
    <cellStyle name="常规 4 2 2 10 2 6" xfId="16016"/>
    <cellStyle name="常规 4 2 2 10 2 6 2" xfId="6089"/>
    <cellStyle name="常规 4 2 2 10 2 6 2 2" xfId="6095"/>
    <cellStyle name="常规 4 2 2 10 2 6 3" xfId="2489"/>
    <cellStyle name="常规 4 2 2 10 2 6 4" xfId="6099"/>
    <cellStyle name="常规 4 2 2 10 2 7" xfId="16017"/>
    <cellStyle name="常规 4 2 2 10 2 7 2" xfId="6103"/>
    <cellStyle name="常规 4 2 2 10 2 8" xfId="16018"/>
    <cellStyle name="常规 4 2 2 10 2 9" xfId="16019"/>
    <cellStyle name="常规 4 2 2 10 3" xfId="2637"/>
    <cellStyle name="常规 4 2 2 10 3 2" xfId="6898"/>
    <cellStyle name="常规 4 2 2 10 3 2 2" xfId="6536"/>
    <cellStyle name="常规 4 2 2 10 3 2 2 2" xfId="3455"/>
    <cellStyle name="常规 4 2 2 10 3 2 2 2 2" xfId="1250"/>
    <cellStyle name="常规 4 2 2 10 3 2 2 2 2 2" xfId="3095"/>
    <cellStyle name="常规 4 2 2 10 3 2 2 2 2 2 2" xfId="6538"/>
    <cellStyle name="常规 4 2 2 10 3 2 2 2 2 2 2 2" xfId="16020"/>
    <cellStyle name="常规 4 2 2 10 3 2 2 2 2 2 3" xfId="16021"/>
    <cellStyle name="常规 4 2 2 10 3 2 2 2 2 2 4" xfId="16022"/>
    <cellStyle name="常规 4 2 2 10 3 2 2 2 2 3" xfId="3458"/>
    <cellStyle name="常规 4 2 2 10 3 2 2 2 2 3 2" xfId="16024"/>
    <cellStyle name="常规 4 2 2 10 3 2 2 2 2 4" xfId="6544"/>
    <cellStyle name="常规 4 2 2 10 3 2 2 2 2 5" xfId="16026"/>
    <cellStyle name="常规 4 2 2 10 3 2 2 2 3" xfId="3396"/>
    <cellStyle name="常规 4 2 2 10 3 2 2 2 3 2" xfId="3139"/>
    <cellStyle name="常规 4 2 2 10 3 2 2 2 3 2 2" xfId="16028"/>
    <cellStyle name="常规 4 2 2 10 3 2 2 2 3 3" xfId="16029"/>
    <cellStyle name="常规 4 2 2 10 3 2 2 2 3 4" xfId="16032"/>
    <cellStyle name="常规 4 2 2 10 3 2 2 2 4" xfId="3481"/>
    <cellStyle name="常规 4 2 2 10 3 2 2 2 4 2" xfId="3192"/>
    <cellStyle name="常规 4 2 2 10 3 2 2 2 5" xfId="3487"/>
    <cellStyle name="常规 4 2 2 10 3 2 2 2 6" xfId="7292"/>
    <cellStyle name="常规 4 2 2 10 3 2 2 3" xfId="3498"/>
    <cellStyle name="常规 4 2 2 10 3 2 2 3 2" xfId="1001"/>
    <cellStyle name="常规 4 2 2 10 3 2 2 3 2 2" xfId="5003"/>
    <cellStyle name="常规 4 2 2 10 3 2 2 3 2 2 2" xfId="4684"/>
    <cellStyle name="常规 4 2 2 10 3 2 2 3 2 3" xfId="16034"/>
    <cellStyle name="常规 4 2 2 10 3 2 2 3 2 4" xfId="16036"/>
    <cellStyle name="常规 4 2 2 10 3 2 2 3 3" xfId="3505"/>
    <cellStyle name="常规 4 2 2 10 3 2 2 3 3 2" xfId="16037"/>
    <cellStyle name="常规 4 2 2 10 3 2 2 3 4" xfId="6547"/>
    <cellStyle name="常规 4 2 2 10 3 2 2 3 5" xfId="16038"/>
    <cellStyle name="常规 4 2 2 10 3 2 2 4" xfId="3512"/>
    <cellStyle name="常规 4 2 2 10 3 2 2 4 2" xfId="1336"/>
    <cellStyle name="常规 4 2 2 10 3 2 2 4 2 2" xfId="16041"/>
    <cellStyle name="常规 4 2 2 10 3 2 2 4 3" xfId="10531"/>
    <cellStyle name="常规 4 2 2 10 3 2 2 4 4" xfId="16044"/>
    <cellStyle name="常规 4 2 2 10 3 2 2 5" xfId="3521"/>
    <cellStyle name="常规 4 2 2 10 3 2 2 5 2" xfId="10552"/>
    <cellStyle name="常规 4 2 2 10 3 2 2 6" xfId="3528"/>
    <cellStyle name="常规 4 2 2 10 3 2 2 7" xfId="16048"/>
    <cellStyle name="常规 4 2 2 10 3 2 3" xfId="6552"/>
    <cellStyle name="常规 4 2 2 10 3 2 3 2" xfId="2052"/>
    <cellStyle name="常规 4 2 2 10 3 2 3 2 2" xfId="2063"/>
    <cellStyle name="常规 4 2 2 10 3 2 3 2 2 2" xfId="2070"/>
    <cellStyle name="常规 4 2 2 10 3 2 3 2 2 2 2" xfId="16049"/>
    <cellStyle name="常规 4 2 2 10 3 2 3 2 2 3" xfId="16051"/>
    <cellStyle name="常规 4 2 2 10 3 2 3 2 2 4" xfId="16053"/>
    <cellStyle name="常规 4 2 2 10 3 2 3 2 3" xfId="2092"/>
    <cellStyle name="常规 4 2 2 10 3 2 3 2 3 2" xfId="16055"/>
    <cellStyle name="常规 4 2 2 10 3 2 3 2 4" xfId="965"/>
    <cellStyle name="常规 4 2 2 10 3 2 3 2 5" xfId="16056"/>
    <cellStyle name="常规 4 2 2 10 3 2 3 3" xfId="2110"/>
    <cellStyle name="常规 4 2 2 10 3 2 3 3 2" xfId="2120"/>
    <cellStyle name="常规 4 2 2 10 3 2 3 3 2 2" xfId="16057"/>
    <cellStyle name="常规 4 2 2 10 3 2 3 3 3" xfId="10591"/>
    <cellStyle name="常规 4 2 2 10 3 2 3 3 4" xfId="16058"/>
    <cellStyle name="常规 4 2 2 10 3 2 3 4" xfId="2130"/>
    <cellStyle name="常规 4 2 2 10 3 2 3 4 2" xfId="10607"/>
    <cellStyle name="常规 4 2 2 10 3 2 3 5" xfId="2139"/>
    <cellStyle name="常规 4 2 2 10 3 2 3 6" xfId="16061"/>
    <cellStyle name="常规 4 2 2 10 3 2 4" xfId="6555"/>
    <cellStyle name="常规 4 2 2 10 3 2 4 2" xfId="2172"/>
    <cellStyle name="常规 4 2 2 10 3 2 4 2 2" xfId="6561"/>
    <cellStyle name="常规 4 2 2 10 3 2 4 2 2 2" xfId="11409"/>
    <cellStyle name="常规 4 2 2 10 3 2 4 2 3" xfId="10631"/>
    <cellStyle name="常规 4 2 2 10 3 2 4 2 4" xfId="7613"/>
    <cellStyle name="常规 4 2 2 10 3 2 4 3" xfId="2177"/>
    <cellStyle name="常规 4 2 2 10 3 2 4 3 2" xfId="10640"/>
    <cellStyle name="常规 4 2 2 10 3 2 4 4" xfId="2183"/>
    <cellStyle name="常规 4 2 2 10 3 2 4 5" xfId="16063"/>
    <cellStyle name="常规 4 2 2 10 3 2 5" xfId="829"/>
    <cellStyle name="常规 4 2 2 10 3 2 5 2" xfId="2210"/>
    <cellStyle name="常规 4 2 2 10 3 2 5 2 2" xfId="10658"/>
    <cellStyle name="常规 4 2 2 10 3 2 5 3" xfId="16064"/>
    <cellStyle name="常规 4 2 2 10 3 2 5 4" xfId="16065"/>
    <cellStyle name="常规 4 2 2 10 3 2 6" xfId="840"/>
    <cellStyle name="常规 4 2 2 10 3 2 6 2" xfId="9489"/>
    <cellStyle name="常规 4 2 2 10 3 2 7" xfId="6566"/>
    <cellStyle name="常规 4 2 2 10 3 2 8" xfId="9580"/>
    <cellStyle name="常规 4 2 2 10 3 3" xfId="13316"/>
    <cellStyle name="常规 4 2 2 10 3 3 2" xfId="6631"/>
    <cellStyle name="常规 4 2 2 10 3 3 2 2" xfId="3832"/>
    <cellStyle name="常规 4 2 2 10 3 3 2 2 2" xfId="6634"/>
    <cellStyle name="常规 4 2 2 10 3 3 2 2 2 2" xfId="5720"/>
    <cellStyle name="常规 4 2 2 10 3 3 2 2 2 2 2" xfId="10755"/>
    <cellStyle name="常规 4 2 2 10 3 3 2 2 2 3" xfId="10759"/>
    <cellStyle name="常规 4 2 2 10 3 3 2 2 2 4" xfId="10763"/>
    <cellStyle name="常规 4 2 2 10 3 3 2 2 3" xfId="6637"/>
    <cellStyle name="常规 4 2 2 10 3 3 2 2 3 2" xfId="10767"/>
    <cellStyle name="常规 4 2 2 10 3 3 2 2 4" xfId="6640"/>
    <cellStyle name="常规 4 2 2 10 3 3 2 2 5" xfId="10769"/>
    <cellStyle name="常规 4 2 2 10 3 3 2 3" xfId="6643"/>
    <cellStyle name="常规 4 2 2 10 3 3 2 3 2" xfId="6645"/>
    <cellStyle name="常规 4 2 2 10 3 3 2 3 2 2" xfId="10788"/>
    <cellStyle name="常规 4 2 2 10 3 3 2 3 3" xfId="10790"/>
    <cellStyle name="常规 4 2 2 10 3 3 2 3 4" xfId="10792"/>
    <cellStyle name="常规 4 2 2 10 3 3 2 4" xfId="460"/>
    <cellStyle name="常规 4 2 2 10 3 3 2 4 2" xfId="8272"/>
    <cellStyle name="常规 4 2 2 10 3 3 2 5" xfId="514"/>
    <cellStyle name="常规 4 2 2 10 3 3 2 6" xfId="8276"/>
    <cellStyle name="常规 4 2 2 10 3 3 3" xfId="6649"/>
    <cellStyle name="常规 4 2 2 10 3 3 3 2" xfId="3413"/>
    <cellStyle name="常规 4 2 2 10 3 3 3 2 2" xfId="3538"/>
    <cellStyle name="常规 4 2 2 10 3 3 3 2 2 2" xfId="10871"/>
    <cellStyle name="常规 4 2 2 10 3 3 3 2 3" xfId="10873"/>
    <cellStyle name="常规 4 2 2 10 3 3 3 2 4" xfId="10875"/>
    <cellStyle name="常规 4 2 2 10 3 3 3 3" xfId="3822"/>
    <cellStyle name="常规 4 2 2 10 3 3 3 3 2" xfId="10891"/>
    <cellStyle name="常规 4 2 2 10 3 3 3 4" xfId="530"/>
    <cellStyle name="常规 4 2 2 10 3 3 3 5" xfId="16066"/>
    <cellStyle name="常规 4 2 2 10 3 3 4" xfId="6651"/>
    <cellStyle name="常规 4 2 2 10 3 3 4 2" xfId="4105"/>
    <cellStyle name="常规 4 2 2 10 3 3 4 2 2" xfId="10928"/>
    <cellStyle name="常规 4 2 2 10 3 3 4 3" xfId="16067"/>
    <cellStyle name="常规 4 2 2 10 3 3 4 4" xfId="16068"/>
    <cellStyle name="常规 4 2 2 10 3 3 5" xfId="846"/>
    <cellStyle name="常规 4 2 2 10 3 3 5 2" xfId="16069"/>
    <cellStyle name="常规 4 2 2 10 3 3 6" xfId="853"/>
    <cellStyle name="常规 4 2 2 10 3 3 7" xfId="7746"/>
    <cellStyle name="常规 4 2 2 10 3 4" xfId="8999"/>
    <cellStyle name="常规 4 2 2 10 3 4 2" xfId="4627"/>
    <cellStyle name="常规 4 2 2 10 3 4 2 2" xfId="4125"/>
    <cellStyle name="常规 4 2 2 10 3 4 2 2 2" xfId="4065"/>
    <cellStyle name="常规 4 2 2 10 3 4 2 2 2 2" xfId="11030"/>
    <cellStyle name="常规 4 2 2 10 3 4 2 2 3" xfId="11033"/>
    <cellStyle name="常规 4 2 2 10 3 4 2 2 4" xfId="11036"/>
    <cellStyle name="常规 4 2 2 10 3 4 2 3" xfId="4129"/>
    <cellStyle name="常规 4 2 2 10 3 4 2 3 2" xfId="11056"/>
    <cellStyle name="常规 4 2 2 10 3 4 2 4" xfId="4134"/>
    <cellStyle name="常规 4 2 2 10 3 4 2 5" xfId="16070"/>
    <cellStyle name="常规 4 2 2 10 3 4 3" xfId="6704"/>
    <cellStyle name="常规 4 2 2 10 3 4 3 2" xfId="1713"/>
    <cellStyle name="常规 4 2 2 10 3 4 3 2 2" xfId="11115"/>
    <cellStyle name="常规 4 2 2 10 3 4 3 3" xfId="16071"/>
    <cellStyle name="常规 4 2 2 10 3 4 3 4" xfId="16072"/>
    <cellStyle name="常规 4 2 2 10 3 4 4" xfId="6706"/>
    <cellStyle name="常规 4 2 2 10 3 4 4 2" xfId="16073"/>
    <cellStyle name="常规 4 2 2 10 3 4 5" xfId="864"/>
    <cellStyle name="常规 4 2 2 10 3 4 6" xfId="7765"/>
    <cellStyle name="常规 4 2 2 10 3 5" xfId="16074"/>
    <cellStyle name="常规 4 2 2 10 3 5 2" xfId="6731"/>
    <cellStyle name="常规 4 2 2 10 3 5 2 2" xfId="6733"/>
    <cellStyle name="常规 4 2 2 10 3 5 2 2 2" xfId="11202"/>
    <cellStyle name="常规 4 2 2 10 3 5 2 3" xfId="16075"/>
    <cellStyle name="常规 4 2 2 10 3 5 2 4" xfId="16076"/>
    <cellStyle name="常规 4 2 2 10 3 5 3" xfId="6735"/>
    <cellStyle name="常规 4 2 2 10 3 5 3 2" xfId="12672"/>
    <cellStyle name="常规 4 2 2 10 3 5 4" xfId="6738"/>
    <cellStyle name="常规 4 2 2 10 3 5 5" xfId="12679"/>
    <cellStyle name="常规 4 2 2 10 3 6" xfId="16077"/>
    <cellStyle name="常规 4 2 2 10 3 6 2" xfId="6749"/>
    <cellStyle name="常规 4 2 2 10 3 6 2 2" xfId="16078"/>
    <cellStyle name="常规 4 2 2 10 3 6 3" xfId="6752"/>
    <cellStyle name="常规 4 2 2 10 3 6 4" xfId="8165"/>
    <cellStyle name="常规 4 2 2 10 3 7" xfId="16079"/>
    <cellStyle name="常规 4 2 2 10 3 7 2" xfId="6114"/>
    <cellStyle name="常规 4 2 2 10 3 8" xfId="16080"/>
    <cellStyle name="常规 4 2 2 10 3 9" xfId="16081"/>
    <cellStyle name="常规 4 2 2 10 4" xfId="2641"/>
    <cellStyle name="常规 4 2 2 10 4 2" xfId="16082"/>
    <cellStyle name="常规 4 2 2 10 4 2 2" xfId="6904"/>
    <cellStyle name="常规 4 2 2 10 4 2 2 2" xfId="6909"/>
    <cellStyle name="常规 4 2 2 10 4 2 2 2 2" xfId="630"/>
    <cellStyle name="常规 4 2 2 10 4 2 2 2 2 2" xfId="5279"/>
    <cellStyle name="常规 4 2 2 10 4 2 2 2 2 2 2" xfId="11530"/>
    <cellStyle name="常规 4 2 2 10 4 2 2 2 2 3" xfId="11531"/>
    <cellStyle name="常规 4 2 2 10 4 2 2 2 2 4" xfId="11534"/>
    <cellStyle name="常规 4 2 2 10 4 2 2 2 3" xfId="11536"/>
    <cellStyle name="常规 4 2 2 10 4 2 2 2 3 2" xfId="11538"/>
    <cellStyle name="常规 4 2 2 10 4 2 2 2 4" xfId="11540"/>
    <cellStyle name="常规 4 2 2 10 4 2 2 2 5" xfId="11544"/>
    <cellStyle name="常规 4 2 2 10 4 2 2 3" xfId="2676"/>
    <cellStyle name="常规 4 2 2 10 4 2 2 3 2" xfId="11561"/>
    <cellStyle name="常规 4 2 2 10 4 2 2 3 2 2" xfId="11563"/>
    <cellStyle name="常规 4 2 2 10 4 2 2 3 3" xfId="11565"/>
    <cellStyle name="常规 4 2 2 10 4 2 2 3 4" xfId="11567"/>
    <cellStyle name="常规 4 2 2 10 4 2 2 4" xfId="2681"/>
    <cellStyle name="常规 4 2 2 10 4 2 2 4 2" xfId="11594"/>
    <cellStyle name="常规 4 2 2 10 4 2 2 5" xfId="16085"/>
    <cellStyle name="常规 4 2 2 10 4 2 2 6" xfId="16090"/>
    <cellStyle name="常规 4 2 2 10 4 2 3" xfId="6912"/>
    <cellStyle name="常规 4 2 2 10 4 2 3 2" xfId="6915"/>
    <cellStyle name="常规 4 2 2 10 4 2 3 2 2" xfId="11680"/>
    <cellStyle name="常规 4 2 2 10 4 2 3 2 2 2" xfId="11682"/>
    <cellStyle name="常规 4 2 2 10 4 2 3 2 3" xfId="11686"/>
    <cellStyle name="常规 4 2 2 10 4 2 3 2 4" xfId="11688"/>
    <cellStyle name="常规 4 2 2 10 4 2 3 3" xfId="16091"/>
    <cellStyle name="常规 4 2 2 10 4 2 3 3 2" xfId="11706"/>
    <cellStyle name="常规 4 2 2 10 4 2 3 4" xfId="16093"/>
    <cellStyle name="常规 4 2 2 10 4 2 3 5" xfId="16094"/>
    <cellStyle name="常规 4 2 2 10 4 2 4" xfId="6917"/>
    <cellStyle name="常规 4 2 2 10 4 2 4 2" xfId="16095"/>
    <cellStyle name="常规 4 2 2 10 4 2 4 2 2" xfId="11662"/>
    <cellStyle name="常规 4 2 2 10 4 2 4 3" xfId="16096"/>
    <cellStyle name="常规 4 2 2 10 4 2 4 4" xfId="16097"/>
    <cellStyle name="常规 4 2 2 10 4 2 5" xfId="6919"/>
    <cellStyle name="常规 4 2 2 10 4 2 5 2" xfId="703"/>
    <cellStyle name="常规 4 2 2 10 4 2 6" xfId="16098"/>
    <cellStyle name="常规 4 2 2 10 4 2 7" xfId="16099"/>
    <cellStyle name="常规 4 2 2 10 4 3" xfId="12242"/>
    <cellStyle name="常规 4 2 2 10 4 3 2" xfId="6942"/>
    <cellStyle name="常规 4 2 2 10 4 3 2 2" xfId="6945"/>
    <cellStyle name="常规 4 2 2 10 4 3 2 2 2" xfId="11845"/>
    <cellStyle name="常规 4 2 2 10 4 3 2 2 2 2" xfId="2575"/>
    <cellStyle name="常规 4 2 2 10 4 3 2 2 3" xfId="11847"/>
    <cellStyle name="常规 4 2 2 10 4 3 2 2 4" xfId="11849"/>
    <cellStyle name="常规 4 2 2 10 4 3 2 3" xfId="16100"/>
    <cellStyle name="常规 4 2 2 10 4 3 2 3 2" xfId="2779"/>
    <cellStyle name="常规 4 2 2 10 4 3 2 4" xfId="8302"/>
    <cellStyle name="常规 4 2 2 10 4 3 2 5" xfId="16101"/>
    <cellStyle name="常规 4 2 2 10 4 3 3" xfId="6947"/>
    <cellStyle name="常规 4 2 2 10 4 3 3 2" xfId="16102"/>
    <cellStyle name="常规 4 2 2 10 4 3 3 2 2" xfId="11910"/>
    <cellStyle name="常规 4 2 2 10 4 3 3 3" xfId="16103"/>
    <cellStyle name="常规 4 2 2 10 4 3 3 4" xfId="16104"/>
    <cellStyle name="常规 4 2 2 10 4 3 4" xfId="3632"/>
    <cellStyle name="常规 4 2 2 10 4 3 4 2" xfId="16105"/>
    <cellStyle name="常规 4 2 2 10 4 3 5" xfId="16106"/>
    <cellStyle name="常规 4 2 2 10 4 3 6" xfId="7784"/>
    <cellStyle name="常规 4 2 2 10 4 4" xfId="16108"/>
    <cellStyle name="常规 4 2 2 10 4 4 2" xfId="1351"/>
    <cellStyle name="常规 4 2 2 10 4 4 2 2" xfId="16110"/>
    <cellStyle name="常规 4 2 2 10 4 4 2 2 2" xfId="12006"/>
    <cellStyle name="常规 4 2 2 10 4 4 2 3" xfId="16112"/>
    <cellStyle name="常规 4 2 2 10 4 4 2 4" xfId="16114"/>
    <cellStyle name="常规 4 2 2 10 4 4 3" xfId="6954"/>
    <cellStyle name="常规 4 2 2 10 4 4 3 2" xfId="16116"/>
    <cellStyle name="常规 4 2 2 10 4 4 4" xfId="16118"/>
    <cellStyle name="常规 4 2 2 10 4 4 5" xfId="16120"/>
    <cellStyle name="常规 4 2 2 10 4 5" xfId="16122"/>
    <cellStyle name="常规 4 2 2 10 4 5 2" xfId="6959"/>
    <cellStyle name="常规 4 2 2 10 4 5 2 2" xfId="16124"/>
    <cellStyle name="常规 4 2 2 10 4 5 3" xfId="12696"/>
    <cellStyle name="常规 4 2 2 10 4 5 4" xfId="12702"/>
    <cellStyle name="常规 4 2 2 10 4 6" xfId="16126"/>
    <cellStyle name="常规 4 2 2 10 4 6 2" xfId="16128"/>
    <cellStyle name="常规 4 2 2 10 4 7" xfId="16130"/>
    <cellStyle name="常规 4 2 2 10 4 8" xfId="16133"/>
    <cellStyle name="常规 4 2 2 10 5" xfId="6900"/>
    <cellStyle name="常规 4 2 2 10 5 2" xfId="16134"/>
    <cellStyle name="常规 4 2 2 10 5 2 2" xfId="7064"/>
    <cellStyle name="常规 4 2 2 10 5 2 2 2" xfId="7067"/>
    <cellStyle name="常规 4 2 2 10 5 2 2 2 2" xfId="37"/>
    <cellStyle name="常规 4 2 2 10 5 2 2 2 2 2" xfId="3978"/>
    <cellStyle name="常规 4 2 2 10 5 2 2 2 3" xfId="316"/>
    <cellStyle name="常规 4 2 2 10 5 2 2 2 4" xfId="328"/>
    <cellStyle name="常规 4 2 2 10 5 2 2 3" xfId="7069"/>
    <cellStyle name="常规 4 2 2 10 5 2 2 3 2" xfId="3242"/>
    <cellStyle name="常规 4 2 2 10 5 2 2 4" xfId="7072"/>
    <cellStyle name="常规 4 2 2 10 5 2 2 5" xfId="16135"/>
    <cellStyle name="常规 4 2 2 10 5 2 3" xfId="7074"/>
    <cellStyle name="常规 4 2 2 10 5 2 3 2" xfId="7076"/>
    <cellStyle name="常规 4 2 2 10 5 2 3 2 2" xfId="12364"/>
    <cellStyle name="常规 4 2 2 10 5 2 3 3" xfId="16137"/>
    <cellStyle name="常规 4 2 2 10 5 2 3 4" xfId="16139"/>
    <cellStyle name="常规 4 2 2 10 5 2 4" xfId="7078"/>
    <cellStyle name="常规 4 2 2 10 5 2 4 2" xfId="16140"/>
    <cellStyle name="常规 4 2 2 10 5 2 5" xfId="7080"/>
    <cellStyle name="常规 4 2 2 10 5 2 6" xfId="16141"/>
    <cellStyle name="常规 4 2 2 10 5 3" xfId="16143"/>
    <cellStyle name="常规 4 2 2 10 5 3 2" xfId="7118"/>
    <cellStyle name="常规 4 2 2 10 5 3 2 2" xfId="7120"/>
    <cellStyle name="常规 4 2 2 10 5 3 2 2 2" xfId="12393"/>
    <cellStyle name="常规 4 2 2 10 5 3 2 3" xfId="16145"/>
    <cellStyle name="常规 4 2 2 10 5 3 2 4" xfId="16147"/>
    <cellStyle name="常规 4 2 2 10 5 3 3" xfId="7122"/>
    <cellStyle name="常规 4 2 2 10 5 3 3 2" xfId="16148"/>
    <cellStyle name="常规 4 2 2 10 5 3 4" xfId="7124"/>
    <cellStyle name="常规 4 2 2 10 5 3 5" xfId="16149"/>
    <cellStyle name="常规 4 2 2 10 5 4" xfId="16151"/>
    <cellStyle name="常规 4 2 2 10 5 4 2" xfId="7136"/>
    <cellStyle name="常规 4 2 2 10 5 4 2 2" xfId="16154"/>
    <cellStyle name="常规 4 2 2 10 5 4 3" xfId="7139"/>
    <cellStyle name="常规 4 2 2 10 5 4 4" xfId="16156"/>
    <cellStyle name="常规 4 2 2 10 5 5" xfId="16160"/>
    <cellStyle name="常规 4 2 2 10 5 5 2" xfId="7146"/>
    <cellStyle name="常规 4 2 2 10 5 6" xfId="14484"/>
    <cellStyle name="常规 4 2 2 10 5 7" xfId="5215"/>
    <cellStyle name="常规 4 2 2 10 6" xfId="16161"/>
    <cellStyle name="常规 4 2 2 10 6 2" xfId="16162"/>
    <cellStyle name="常规 4 2 2 10 6 2 2" xfId="3726"/>
    <cellStyle name="常规 4 2 2 10 6 2 2 2" xfId="3729"/>
    <cellStyle name="常规 4 2 2 10 6 2 2 2 2" xfId="12615"/>
    <cellStyle name="常规 4 2 2 10 6 2 2 3" xfId="8254"/>
    <cellStyle name="常规 4 2 2 10 6 2 2 4" xfId="16163"/>
    <cellStyle name="常规 4 2 2 10 6 2 3" xfId="3764"/>
    <cellStyle name="常规 4 2 2 10 6 2 3 2" xfId="16164"/>
    <cellStyle name="常规 4 2 2 10 6 2 4" xfId="3794"/>
    <cellStyle name="常规 4 2 2 10 6 2 5" xfId="16165"/>
    <cellStyle name="常规 4 2 2 10 6 3" xfId="16166"/>
    <cellStyle name="常规 4 2 2 10 6 3 2" xfId="3945"/>
    <cellStyle name="常规 4 2 2 10 6 3 2 2" xfId="16167"/>
    <cellStyle name="常规 4 2 2 10 6 3 3" xfId="3962"/>
    <cellStyle name="常规 4 2 2 10 6 3 4" xfId="16170"/>
    <cellStyle name="常规 4 2 2 10 6 4" xfId="16172"/>
    <cellStyle name="常规 4 2 2 10 6 4 2" xfId="7175"/>
    <cellStyle name="常规 4 2 2 10 6 5" xfId="16177"/>
    <cellStyle name="常规 4 2 2 10 6 6" xfId="14505"/>
    <cellStyle name="常规 4 2 2 10 7" xfId="16179"/>
    <cellStyle name="常规 4 2 2 10 7 2" xfId="16180"/>
    <cellStyle name="常规 4 2 2 10 7 2 2" xfId="6873"/>
    <cellStyle name="常规 4 2 2 10 7 2 2 2" xfId="16181"/>
    <cellStyle name="常规 4 2 2 10 7 2 3" xfId="6876"/>
    <cellStyle name="常规 4 2 2 10 7 2 4" xfId="16182"/>
    <cellStyle name="常规 4 2 2 10 7 3" xfId="1654"/>
    <cellStyle name="常规 4 2 2 10 7 3 2" xfId="1702"/>
    <cellStyle name="常规 4 2 2 10 7 4" xfId="16184"/>
    <cellStyle name="常规 4 2 2 10 7 5" xfId="16189"/>
    <cellStyle name="常规 4 2 2 10 8" xfId="16190"/>
    <cellStyle name="常规 4 2 2 10 8 2" xfId="2687"/>
    <cellStyle name="常规 4 2 2 10 8 2 2" xfId="7229"/>
    <cellStyle name="常规 4 2 2 10 8 3" xfId="870"/>
    <cellStyle name="常规 4 2 2 10 8 4" xfId="877"/>
    <cellStyle name="常规 4 2 2 10 9" xfId="16191"/>
    <cellStyle name="常规 4 2 2 10 9 2" xfId="16192"/>
    <cellStyle name="常规 4 2 2 11" xfId="16193"/>
    <cellStyle name="常规 4 2 2 11 10" xfId="16194"/>
    <cellStyle name="常规 4 2 2 11 2" xfId="16195"/>
    <cellStyle name="常规 4 2 2 11 2 2" xfId="16196"/>
    <cellStyle name="常规 4 2 2 11 2 2 2" xfId="7509"/>
    <cellStyle name="常规 4 2 2 11 2 2 2 2" xfId="7511"/>
    <cellStyle name="常规 4 2 2 11 2 2 2 2 2" xfId="1068"/>
    <cellStyle name="常规 4 2 2 11 2 2 2 2 2 2" xfId="4948"/>
    <cellStyle name="常规 4 2 2 11 2 2 2 2 2 2 2" xfId="4956"/>
    <cellStyle name="常规 4 2 2 11 2 2 2 2 2 2 2 2" xfId="4722"/>
    <cellStyle name="常规 4 2 2 11 2 2 2 2 2 2 3" xfId="16197"/>
    <cellStyle name="常规 4 2 2 11 2 2 2 2 2 2 4" xfId="16199"/>
    <cellStyle name="常规 4 2 2 11 2 2 2 2 2 3" xfId="4960"/>
    <cellStyle name="常规 4 2 2 11 2 2 2 2 2 3 2" xfId="16200"/>
    <cellStyle name="常规 4 2 2 11 2 2 2 2 2 4" xfId="4966"/>
    <cellStyle name="常规 4 2 2 11 2 2 2 2 2 5" xfId="16201"/>
    <cellStyle name="常规 4 2 2 11 2 2 2 2 3" xfId="4975"/>
    <cellStyle name="常规 4 2 2 11 2 2 2 2 3 2" xfId="4979"/>
    <cellStyle name="常规 4 2 2 11 2 2 2 2 3 2 2" xfId="16203"/>
    <cellStyle name="常规 4 2 2 11 2 2 2 2 3 3" xfId="16204"/>
    <cellStyle name="常规 4 2 2 11 2 2 2 2 3 4" xfId="16206"/>
    <cellStyle name="常规 4 2 2 11 2 2 2 2 4" xfId="4555"/>
    <cellStyle name="常规 4 2 2 11 2 2 2 2 4 2" xfId="806"/>
    <cellStyle name="常规 4 2 2 11 2 2 2 2 5" xfId="4986"/>
    <cellStyle name="常规 4 2 2 11 2 2 2 2 6" xfId="7506"/>
    <cellStyle name="常规 4 2 2 11 2 2 2 3" xfId="772"/>
    <cellStyle name="常规 4 2 2 11 2 2 2 3 2" xfId="1121"/>
    <cellStyle name="常规 4 2 2 11 2 2 2 3 2 2" xfId="75"/>
    <cellStyle name="常规 4 2 2 11 2 2 2 3 2 2 2" xfId="16208"/>
    <cellStyle name="常规 4 2 2 11 2 2 2 3 2 3" xfId="1258"/>
    <cellStyle name="常规 4 2 2 11 2 2 2 3 2 4" xfId="1263"/>
    <cellStyle name="常规 4 2 2 11 2 2 2 3 3" xfId="225"/>
    <cellStyle name="常规 4 2 2 11 2 2 2 3 3 2" xfId="16209"/>
    <cellStyle name="常规 4 2 2 11 2 2 2 3 4" xfId="1281"/>
    <cellStyle name="常规 4 2 2 11 2 2 2 3 5" xfId="1293"/>
    <cellStyle name="常规 4 2 2 11 2 2 2 4" xfId="986"/>
    <cellStyle name="常规 4 2 2 11 2 2 2 4 2" xfId="1861"/>
    <cellStyle name="常规 4 2 2 11 2 2 2 4 2 2" xfId="16213"/>
    <cellStyle name="常规 4 2 2 11 2 2 2 4 3" xfId="16216"/>
    <cellStyle name="常规 4 2 2 11 2 2 2 4 4" xfId="1903"/>
    <cellStyle name="常规 4 2 2 11 2 2 2 5" xfId="998"/>
    <cellStyle name="常规 4 2 2 11 2 2 2 5 2" xfId="16221"/>
    <cellStyle name="常规 4 2 2 11 2 2 2 6" xfId="3503"/>
    <cellStyle name="常规 4 2 2 11 2 2 2 7" xfId="16223"/>
    <cellStyle name="常规 4 2 2 11 2 2 3" xfId="7513"/>
    <cellStyle name="常规 4 2 2 11 2 2 3 2" xfId="7515"/>
    <cellStyle name="常规 4 2 2 11 2 2 3 2 2" xfId="5055"/>
    <cellStyle name="常规 4 2 2 11 2 2 3 2 2 2" xfId="5060"/>
    <cellStyle name="常规 4 2 2 11 2 2 3 2 2 2 2" xfId="16224"/>
    <cellStyle name="常规 4 2 2 11 2 2 3 2 2 3" xfId="16225"/>
    <cellStyle name="常规 4 2 2 11 2 2 3 2 2 4" xfId="16226"/>
    <cellStyle name="常规 4 2 2 11 2 2 3 2 3" xfId="5067"/>
    <cellStyle name="常规 4 2 2 11 2 2 3 2 3 2" xfId="16227"/>
    <cellStyle name="常规 4 2 2 11 2 2 3 2 4" xfId="5076"/>
    <cellStyle name="常规 4 2 2 11 2 2 3 2 5" xfId="16229"/>
    <cellStyle name="常规 4 2 2 11 2 2 3 3" xfId="835"/>
    <cellStyle name="常规 4 2 2 11 2 2 3 3 2" xfId="1152"/>
    <cellStyle name="常规 4 2 2 11 2 2 3 3 2 2" xfId="336"/>
    <cellStyle name="常规 4 2 2 11 2 2 3 3 3" xfId="1316"/>
    <cellStyle name="常规 4 2 2 11 2 2 3 3 4" xfId="1320"/>
    <cellStyle name="常规 4 2 2 11 2 2 3 4" xfId="1326"/>
    <cellStyle name="常规 4 2 2 11 2 2 3 4 2" xfId="16233"/>
    <cellStyle name="常规 4 2 2 11 2 2 3 5" xfId="1329"/>
    <cellStyle name="常规 4 2 2 11 2 2 3 6" xfId="16235"/>
    <cellStyle name="常规 4 2 2 11 2 2 4" xfId="7517"/>
    <cellStyle name="常规 4 2 2 11 2 2 4 2" xfId="7519"/>
    <cellStyle name="常规 4 2 2 11 2 2 4 2 2" xfId="5128"/>
    <cellStyle name="常规 4 2 2 11 2 2 4 2 2 2" xfId="16237"/>
    <cellStyle name="常规 4 2 2 11 2 2 4 2 3" xfId="16238"/>
    <cellStyle name="常规 4 2 2 11 2 2 4 2 4" xfId="16240"/>
    <cellStyle name="常规 4 2 2 11 2 2 4 3" xfId="850"/>
    <cellStyle name="常规 4 2 2 11 2 2 4 3 2" xfId="1348"/>
    <cellStyle name="常规 4 2 2 11 2 2 4 4" xfId="1367"/>
    <cellStyle name="常规 4 2 2 11 2 2 4 5" xfId="1374"/>
    <cellStyle name="常规 4 2 2 11 2 2 5" xfId="7521"/>
    <cellStyle name="常规 4 2 2 11 2 2 5 2" xfId="7526"/>
    <cellStyle name="常规 4 2 2 11 2 2 5 2 2" xfId="16243"/>
    <cellStyle name="常规 4 2 2 11 2 2 5 3" xfId="16246"/>
    <cellStyle name="常规 4 2 2 11 2 2 5 4" xfId="16249"/>
    <cellStyle name="常规 4 2 2 11 2 2 6" xfId="7527"/>
    <cellStyle name="常规 4 2 2 11 2 2 6 2" xfId="16253"/>
    <cellStyle name="常规 4 2 2 11 2 2 7" xfId="5384"/>
    <cellStyle name="常规 4 2 2 11 2 2 8" xfId="16254"/>
    <cellStyle name="常规 4 2 2 11 2 3" xfId="16255"/>
    <cellStyle name="常规 4 2 2 11 2 3 2" xfId="7550"/>
    <cellStyle name="常规 4 2 2 11 2 3 2 2" xfId="7552"/>
    <cellStyle name="常规 4 2 2 11 2 3 2 2 2" xfId="5431"/>
    <cellStyle name="常规 4 2 2 11 2 3 2 2 2 2" xfId="6483"/>
    <cellStyle name="常规 4 2 2 11 2 3 2 2 2 2 2" xfId="16256"/>
    <cellStyle name="常规 4 2 2 11 2 3 2 2 2 3" xfId="16258"/>
    <cellStyle name="常规 4 2 2 11 2 3 2 2 2 4" xfId="16259"/>
    <cellStyle name="常规 4 2 2 11 2 3 2 2 3" xfId="5448"/>
    <cellStyle name="常规 4 2 2 11 2 3 2 2 3 2" xfId="16261"/>
    <cellStyle name="常规 4 2 2 11 2 3 2 2 4" xfId="4873"/>
    <cellStyle name="常规 4 2 2 11 2 3 2 2 5" xfId="16262"/>
    <cellStyle name="常规 4 2 2 11 2 3 2 3" xfId="7554"/>
    <cellStyle name="常规 4 2 2 11 2 3 2 3 2" xfId="5471"/>
    <cellStyle name="常规 4 2 2 11 2 3 2 3 2 2" xfId="16263"/>
    <cellStyle name="常规 4 2 2 11 2 3 2 3 3" xfId="16264"/>
    <cellStyle name="常规 4 2 2 11 2 3 2 3 4" xfId="16265"/>
    <cellStyle name="常规 4 2 2 11 2 3 2 4" xfId="7300"/>
    <cellStyle name="常规 4 2 2 11 2 3 2 4 2" xfId="8344"/>
    <cellStyle name="常规 4 2 2 11 2 3 2 5" xfId="2114"/>
    <cellStyle name="常规 4 2 2 11 2 3 2 6" xfId="8347"/>
    <cellStyle name="常规 4 2 2 11 2 3 3" xfId="7556"/>
    <cellStyle name="常规 4 2 2 11 2 3 3 2" xfId="7558"/>
    <cellStyle name="常规 4 2 2 11 2 3 3 2 2" xfId="5493"/>
    <cellStyle name="常规 4 2 2 11 2 3 3 2 2 2" xfId="16267"/>
    <cellStyle name="常规 4 2 2 11 2 3 3 2 3" xfId="16268"/>
    <cellStyle name="常规 4 2 2 11 2 3 3 2 4" xfId="16270"/>
    <cellStyle name="常规 4 2 2 11 2 3 3 3" xfId="7560"/>
    <cellStyle name="常规 4 2 2 11 2 3 3 3 2" xfId="16271"/>
    <cellStyle name="常规 4 2 2 11 2 3 3 4" xfId="7206"/>
    <cellStyle name="常规 4 2 2 11 2 3 3 5" xfId="16272"/>
    <cellStyle name="常规 4 2 2 11 2 3 4" xfId="7562"/>
    <cellStyle name="常规 4 2 2 11 2 3 4 2" xfId="7564"/>
    <cellStyle name="常规 4 2 2 11 2 3 4 2 2" xfId="16273"/>
    <cellStyle name="常规 4 2 2 11 2 3 4 3" xfId="16274"/>
    <cellStyle name="常规 4 2 2 11 2 3 4 4" xfId="6201"/>
    <cellStyle name="常规 4 2 2 11 2 3 5" xfId="7566"/>
    <cellStyle name="常规 4 2 2 11 2 3 5 2" xfId="16277"/>
    <cellStyle name="常规 4 2 2 11 2 3 6" xfId="7568"/>
    <cellStyle name="常规 4 2 2 11 2 3 7" xfId="16278"/>
    <cellStyle name="常规 4 2 2 11 2 4" xfId="16279"/>
    <cellStyle name="常规 4 2 2 11 2 4 2" xfId="2756"/>
    <cellStyle name="常规 4 2 2 11 2 4 2 2" xfId="1661"/>
    <cellStyle name="常规 4 2 2 11 2 4 2 2 2" xfId="5818"/>
    <cellStyle name="常规 4 2 2 11 2 4 2 2 2 2" xfId="16280"/>
    <cellStyle name="常规 4 2 2 11 2 4 2 2 3" xfId="16283"/>
    <cellStyle name="常规 4 2 2 11 2 4 2 2 4" xfId="16212"/>
    <cellStyle name="常规 4 2 2 11 2 4 2 3" xfId="1667"/>
    <cellStyle name="常规 4 2 2 11 2 4 2 3 2" xfId="16284"/>
    <cellStyle name="常规 4 2 2 11 2 4 2 4" xfId="7361"/>
    <cellStyle name="常规 4 2 2 11 2 4 2 5" xfId="16285"/>
    <cellStyle name="常规 4 2 2 11 2 4 3" xfId="2760"/>
    <cellStyle name="常规 4 2 2 11 2 4 3 2" xfId="4660"/>
    <cellStyle name="常规 4 2 2 11 2 4 3 2 2" xfId="16286"/>
    <cellStyle name="常规 4 2 2 11 2 4 3 3" xfId="16287"/>
    <cellStyle name="常规 4 2 2 11 2 4 3 4" xfId="16288"/>
    <cellStyle name="常规 4 2 2 11 2 4 4" xfId="2766"/>
    <cellStyle name="常规 4 2 2 11 2 4 4 2" xfId="16289"/>
    <cellStyle name="常规 4 2 2 11 2 4 5" xfId="6351"/>
    <cellStyle name="常规 4 2 2 11 2 4 6" xfId="16291"/>
    <cellStyle name="常规 4 2 2 11 2 5" xfId="16292"/>
    <cellStyle name="常规 4 2 2 11 2 5 2" xfId="7576"/>
    <cellStyle name="常规 4 2 2 11 2 5 2 2" xfId="7580"/>
    <cellStyle name="常规 4 2 2 11 2 5 2 2 2" xfId="15507"/>
    <cellStyle name="常规 4 2 2 11 2 5 2 3" xfId="16297"/>
    <cellStyle name="常规 4 2 2 11 2 5 2 4" xfId="16299"/>
    <cellStyle name="常规 4 2 2 11 2 5 3" xfId="6362"/>
    <cellStyle name="常规 4 2 2 11 2 5 3 2" xfId="12845"/>
    <cellStyle name="常规 4 2 2 11 2 5 4" xfId="6369"/>
    <cellStyle name="常规 4 2 2 11 2 5 5" xfId="12854"/>
    <cellStyle name="常规 4 2 2 11 2 6" xfId="16300"/>
    <cellStyle name="常规 4 2 2 11 2 6 2" xfId="7590"/>
    <cellStyle name="常规 4 2 2 11 2 6 2 2" xfId="16305"/>
    <cellStyle name="常规 4 2 2 11 2 6 3" xfId="6383"/>
    <cellStyle name="常规 4 2 2 11 2 6 4" xfId="12864"/>
    <cellStyle name="常规 4 2 2 11 2 7" xfId="16306"/>
    <cellStyle name="常规 4 2 2 11 2 7 2" xfId="6758"/>
    <cellStyle name="常规 4 2 2 11 2 8" xfId="16309"/>
    <cellStyle name="常规 4 2 2 11 2 9" xfId="16315"/>
    <cellStyle name="常规 4 2 2 11 3" xfId="2647"/>
    <cellStyle name="常规 4 2 2 11 3 2" xfId="2462"/>
    <cellStyle name="常规 4 2 2 11 3 2 2" xfId="7688"/>
    <cellStyle name="常规 4 2 2 11 3 2 2 2" xfId="7691"/>
    <cellStyle name="常规 4 2 2 11 3 2 2 2 2" xfId="6348"/>
    <cellStyle name="常规 4 2 2 11 3 2 2 2 2 2" xfId="4790"/>
    <cellStyle name="常规 4 2 2 11 3 2 2 2 2 2 2" xfId="13359"/>
    <cellStyle name="常规 4 2 2 11 3 2 2 2 2 3" xfId="4799"/>
    <cellStyle name="常规 4 2 2 11 3 2 2 2 2 4" xfId="13363"/>
    <cellStyle name="常规 4 2 2 11 3 2 2 2 3" xfId="13365"/>
    <cellStyle name="常规 4 2 2 11 3 2 2 2 3 2" xfId="4820"/>
    <cellStyle name="常规 4 2 2 11 3 2 2 2 4" xfId="7270"/>
    <cellStyle name="常规 4 2 2 11 3 2 2 2 5" xfId="13368"/>
    <cellStyle name="常规 4 2 2 11 3 2 2 3" xfId="7693"/>
    <cellStyle name="常规 4 2 2 11 3 2 2 3 2" xfId="13381"/>
    <cellStyle name="常规 4 2 2 11 3 2 2 3 2 2" xfId="1206"/>
    <cellStyle name="常规 4 2 2 11 3 2 2 3 3" xfId="13383"/>
    <cellStyle name="常规 4 2 2 11 3 2 2 3 4" xfId="13385"/>
    <cellStyle name="常规 4 2 2 11 3 2 2 4" xfId="7696"/>
    <cellStyle name="常规 4 2 2 11 3 2 2 4 2" xfId="13410"/>
    <cellStyle name="常规 4 2 2 11 3 2 2 5" xfId="16317"/>
    <cellStyle name="常规 4 2 2 11 3 2 2 6" xfId="16320"/>
    <cellStyle name="常规 4 2 2 11 3 2 3" xfId="7699"/>
    <cellStyle name="常规 4 2 2 11 3 2 3 2" xfId="889"/>
    <cellStyle name="常规 4 2 2 11 3 2 3 2 2" xfId="13461"/>
    <cellStyle name="常规 4 2 2 11 3 2 3 2 2 2" xfId="4971"/>
    <cellStyle name="常规 4 2 2 11 3 2 3 2 3" xfId="13463"/>
    <cellStyle name="常规 4 2 2 11 3 2 3 2 4" xfId="13465"/>
    <cellStyle name="常规 4 2 2 11 3 2 3 3" xfId="16321"/>
    <cellStyle name="常规 4 2 2 11 3 2 3 3 2" xfId="13472"/>
    <cellStyle name="常规 4 2 2 11 3 2 3 4" xfId="16323"/>
    <cellStyle name="常规 4 2 2 11 3 2 3 5" xfId="16324"/>
    <cellStyle name="常规 4 2 2 11 3 2 4" xfId="3335"/>
    <cellStyle name="常规 4 2 2 11 3 2 4 2" xfId="16325"/>
    <cellStyle name="常规 4 2 2 11 3 2 4 2 2" xfId="12279"/>
    <cellStyle name="常规 4 2 2 11 3 2 4 3" xfId="16326"/>
    <cellStyle name="常规 4 2 2 11 3 2 4 4" xfId="16327"/>
    <cellStyle name="常规 4 2 2 11 3 2 5" xfId="895"/>
    <cellStyle name="常规 4 2 2 11 3 2 5 2" xfId="16330"/>
    <cellStyle name="常规 4 2 2 11 3 2 6" xfId="16331"/>
    <cellStyle name="常规 4 2 2 11 3 2 7" xfId="16332"/>
    <cellStyle name="常规 4 2 2 11 3 3" xfId="16333"/>
    <cellStyle name="常规 4 2 2 11 3 3 2" xfId="7712"/>
    <cellStyle name="常规 4 2 2 11 3 3 2 2" xfId="1739"/>
    <cellStyle name="常规 4 2 2 11 3 3 2 2 2" xfId="13561"/>
    <cellStyle name="常规 4 2 2 11 3 3 2 2 2 2" xfId="3194"/>
    <cellStyle name="常规 4 2 2 11 3 3 2 2 3" xfId="13563"/>
    <cellStyle name="常规 4 2 2 11 3 3 2 2 4" xfId="13565"/>
    <cellStyle name="常规 4 2 2 11 3 3 2 3" xfId="16334"/>
    <cellStyle name="常规 4 2 2 11 3 3 2 3 2" xfId="13576"/>
    <cellStyle name="常规 4 2 2 11 3 3 2 4" xfId="8365"/>
    <cellStyle name="常规 4 2 2 11 3 3 2 5" xfId="16335"/>
    <cellStyle name="常规 4 2 2 11 3 3 3" xfId="7714"/>
    <cellStyle name="常规 4 2 2 11 3 3 3 2" xfId="16336"/>
    <cellStyle name="常规 4 2 2 11 3 3 3 2 2" xfId="968"/>
    <cellStyle name="常规 4 2 2 11 3 3 3 3" xfId="16337"/>
    <cellStyle name="常规 4 2 2 11 3 3 3 4" xfId="16338"/>
    <cellStyle name="常规 4 2 2 11 3 3 4" xfId="7604"/>
    <cellStyle name="常规 4 2 2 11 3 3 4 2" xfId="16339"/>
    <cellStyle name="常规 4 2 2 11 3 3 5" xfId="16340"/>
    <cellStyle name="常规 4 2 2 11 3 3 6" xfId="912"/>
    <cellStyle name="常规 4 2 2 11 3 4" xfId="16341"/>
    <cellStyle name="常规 4 2 2 11 3 4 2" xfId="7721"/>
    <cellStyle name="常规 4 2 2 11 3 4 2 2" xfId="16342"/>
    <cellStyle name="常规 4 2 2 11 3 4 2 2 2" xfId="13658"/>
    <cellStyle name="常规 4 2 2 11 3 4 2 3" xfId="16343"/>
    <cellStyle name="常规 4 2 2 11 3 4 2 4" xfId="16344"/>
    <cellStyle name="常规 4 2 2 11 3 4 3" xfId="6391"/>
    <cellStyle name="常规 4 2 2 11 3 4 3 2" xfId="16345"/>
    <cellStyle name="常规 4 2 2 11 3 4 4" xfId="16346"/>
    <cellStyle name="常规 4 2 2 11 3 4 5" xfId="16347"/>
    <cellStyle name="常规 4 2 2 11 3 5" xfId="16348"/>
    <cellStyle name="常规 4 2 2 11 3 5 2" xfId="7728"/>
    <cellStyle name="常规 4 2 2 11 3 5 2 2" xfId="16354"/>
    <cellStyle name="常规 4 2 2 11 3 5 3" xfId="12879"/>
    <cellStyle name="常规 4 2 2 11 3 5 4" xfId="8610"/>
    <cellStyle name="常规 4 2 2 11 3 6" xfId="16355"/>
    <cellStyle name="常规 4 2 2 11 3 6 2" xfId="16359"/>
    <cellStyle name="常规 4 2 2 11 3 7" xfId="16360"/>
    <cellStyle name="常规 4 2 2 11 3 8" xfId="16364"/>
    <cellStyle name="常规 4 2 2 11 4" xfId="16365"/>
    <cellStyle name="常规 4 2 2 11 4 2" xfId="16366"/>
    <cellStyle name="常规 4 2 2 11 4 2 2" xfId="7846"/>
    <cellStyle name="常规 4 2 2 11 4 2 2 2" xfId="7848"/>
    <cellStyle name="常规 4 2 2 11 4 2 2 2 2" xfId="7853"/>
    <cellStyle name="常规 4 2 2 11 4 2 2 2 2 2" xfId="7496"/>
    <cellStyle name="常规 4 2 2 11 4 2 2 2 3" xfId="13913"/>
    <cellStyle name="常规 4 2 2 11 4 2 2 2 4" xfId="16367"/>
    <cellStyle name="常规 4 2 2 11 4 2 2 3" xfId="7855"/>
    <cellStyle name="常规 4 2 2 11 4 2 2 3 2" xfId="13924"/>
    <cellStyle name="常规 4 2 2 11 4 2 2 4" xfId="7859"/>
    <cellStyle name="常规 4 2 2 11 4 2 2 5" xfId="16368"/>
    <cellStyle name="常规 4 2 2 11 4 2 3" xfId="7861"/>
    <cellStyle name="常规 4 2 2 11 4 2 3 2" xfId="7863"/>
    <cellStyle name="常规 4 2 2 11 4 2 3 2 2" xfId="13964"/>
    <cellStyle name="常规 4 2 2 11 4 2 3 3" xfId="16369"/>
    <cellStyle name="常规 4 2 2 11 4 2 3 4" xfId="16370"/>
    <cellStyle name="常规 4 2 2 11 4 2 4" xfId="7865"/>
    <cellStyle name="常规 4 2 2 11 4 2 4 2" xfId="16371"/>
    <cellStyle name="常规 4 2 2 11 4 2 5" xfId="7867"/>
    <cellStyle name="常规 4 2 2 11 4 2 6" xfId="16372"/>
    <cellStyle name="常规 4 2 2 11 4 3" xfId="16373"/>
    <cellStyle name="常规 4 2 2 11 4 3 2" xfId="7904"/>
    <cellStyle name="常规 4 2 2 11 4 3 2 2" xfId="7906"/>
    <cellStyle name="常规 4 2 2 11 4 3 2 2 2" xfId="14013"/>
    <cellStyle name="常规 4 2 2 11 4 3 2 3" xfId="16374"/>
    <cellStyle name="常规 4 2 2 11 4 3 2 4" xfId="16376"/>
    <cellStyle name="常规 4 2 2 11 4 3 3" xfId="7908"/>
    <cellStyle name="常规 4 2 2 11 4 3 3 2" xfId="16377"/>
    <cellStyle name="常规 4 2 2 11 4 3 4" xfId="7910"/>
    <cellStyle name="常规 4 2 2 11 4 3 5" xfId="16378"/>
    <cellStyle name="常规 4 2 2 11 4 4" xfId="16380"/>
    <cellStyle name="常规 4 2 2 11 4 4 2" xfId="7927"/>
    <cellStyle name="常规 4 2 2 11 4 4 2 2" xfId="16383"/>
    <cellStyle name="常规 4 2 2 11 4 4 3" xfId="7930"/>
    <cellStyle name="常规 4 2 2 11 4 4 4" xfId="16385"/>
    <cellStyle name="常规 4 2 2 11 4 5" xfId="16386"/>
    <cellStyle name="常规 4 2 2 11 4 5 2" xfId="4042"/>
    <cellStyle name="常规 4 2 2 11 4 6" xfId="16392"/>
    <cellStyle name="常规 4 2 2 11 4 7" xfId="16395"/>
    <cellStyle name="常规 4 2 2 11 5" xfId="7438"/>
    <cellStyle name="常规 4 2 2 11 5 2" xfId="16396"/>
    <cellStyle name="常规 4 2 2 11 5 2 2" xfId="8029"/>
    <cellStyle name="常规 4 2 2 11 5 2 2 2" xfId="8031"/>
    <cellStyle name="常规 4 2 2 11 5 2 2 2 2" xfId="14212"/>
    <cellStyle name="常规 4 2 2 11 5 2 2 3" xfId="16397"/>
    <cellStyle name="常规 4 2 2 11 5 2 2 4" xfId="16398"/>
    <cellStyle name="常规 4 2 2 11 5 2 3" xfId="8033"/>
    <cellStyle name="常规 4 2 2 11 5 2 3 2" xfId="16399"/>
    <cellStyle name="常规 4 2 2 11 5 2 4" xfId="8035"/>
    <cellStyle name="常规 4 2 2 11 5 2 5" xfId="16400"/>
    <cellStyle name="常规 4 2 2 11 5 3" xfId="16401"/>
    <cellStyle name="常规 4 2 2 11 5 3 2" xfId="8051"/>
    <cellStyle name="常规 4 2 2 11 5 3 2 2" xfId="16402"/>
    <cellStyle name="常规 4 2 2 11 5 3 3" xfId="8053"/>
    <cellStyle name="常规 4 2 2 11 5 3 4" xfId="16403"/>
    <cellStyle name="常规 4 2 2 11 5 4" xfId="16405"/>
    <cellStyle name="常规 4 2 2 11 5 4 2" xfId="8065"/>
    <cellStyle name="常规 4 2 2 11 5 5" xfId="16410"/>
    <cellStyle name="常规 4 2 2 11 5 6" xfId="14522"/>
    <cellStyle name="常规 4 2 2 11 6" xfId="16411"/>
    <cellStyle name="常规 4 2 2 11 6 2" xfId="16412"/>
    <cellStyle name="常规 4 2 2 11 6 2 2" xfId="8129"/>
    <cellStyle name="常规 4 2 2 11 6 2 2 2" xfId="8482"/>
    <cellStyle name="常规 4 2 2 11 6 2 3" xfId="8131"/>
    <cellStyle name="常规 4 2 2 11 6 2 4" xfId="16413"/>
    <cellStyle name="常规 4 2 2 11 6 3" xfId="16414"/>
    <cellStyle name="常规 4 2 2 11 6 3 2" xfId="8143"/>
    <cellStyle name="常规 4 2 2 11 6 4" xfId="16416"/>
    <cellStyle name="常规 4 2 2 11 6 5" xfId="16420"/>
    <cellStyle name="常规 4 2 2 11 7" xfId="16421"/>
    <cellStyle name="常规 4 2 2 11 7 2" xfId="16422"/>
    <cellStyle name="常规 4 2 2 11 7 2 2" xfId="8194"/>
    <cellStyle name="常规 4 2 2 11 7 3" xfId="16423"/>
    <cellStyle name="常规 4 2 2 11 7 4" xfId="16424"/>
    <cellStyle name="常规 4 2 2 11 8" xfId="16425"/>
    <cellStyle name="常规 4 2 2 11 8 2" xfId="16426"/>
    <cellStyle name="常规 4 2 2 11 9" xfId="16427"/>
    <cellStyle name="常规 4 2 2 12" xfId="16428"/>
    <cellStyle name="常规 4 2 2 12 2" xfId="16429"/>
    <cellStyle name="常规 4 2 2 12 2 2" xfId="16430"/>
    <cellStyle name="常规 4 2 2 12 2 2 2" xfId="8373"/>
    <cellStyle name="常规 4 2 2 12 2 2 2 2" xfId="8376"/>
    <cellStyle name="常规 4 2 2 12 2 2 2 2 2" xfId="8379"/>
    <cellStyle name="常规 4 2 2 12 2 2 2 2 2 2" xfId="16375"/>
    <cellStyle name="常规 4 2 2 12 2 2 2 2 3" xfId="16431"/>
    <cellStyle name="常规 4 2 2 12 2 2 2 2 4" xfId="16432"/>
    <cellStyle name="常规 4 2 2 12 2 2 2 3" xfId="8382"/>
    <cellStyle name="常规 4 2 2 12 2 2 2 3 2" xfId="16433"/>
    <cellStyle name="常规 4 2 2 12 2 2 2 4" xfId="4349"/>
    <cellStyle name="常规 4 2 2 12 2 2 2 5" xfId="4360"/>
    <cellStyle name="常规 4 2 2 12 2 2 3" xfId="8385"/>
    <cellStyle name="常规 4 2 2 12 2 2 3 2" xfId="8389"/>
    <cellStyle name="常规 4 2 2 12 2 2 3 2 2" xfId="16437"/>
    <cellStyle name="常规 4 2 2 12 2 2 3 3" xfId="16440"/>
    <cellStyle name="常规 4 2 2 12 2 2 3 4" xfId="4368"/>
    <cellStyle name="常规 4 2 2 12 2 2 4" xfId="8393"/>
    <cellStyle name="常规 4 2 2 12 2 2 4 2" xfId="16443"/>
    <cellStyle name="常规 4 2 2 12 2 2 5" xfId="8398"/>
    <cellStyle name="常规 4 2 2 12 2 2 6" xfId="16447"/>
    <cellStyle name="常规 4 2 2 12 2 3" xfId="16449"/>
    <cellStyle name="常规 4 2 2 12 2 3 2" xfId="8405"/>
    <cellStyle name="常规 4 2 2 12 2 3 2 2" xfId="2793"/>
    <cellStyle name="常规 4 2 2 12 2 3 2 2 2" xfId="4557"/>
    <cellStyle name="常规 4 2 2 12 2 3 2 3" xfId="4563"/>
    <cellStyle name="常规 4 2 2 12 2 3 2 4" xfId="4418"/>
    <cellStyle name="常规 4 2 2 12 2 3 3" xfId="8409"/>
    <cellStyle name="常规 4 2 2 12 2 3 3 2" xfId="2829"/>
    <cellStyle name="常规 4 2 2 12 2 3 4" xfId="8413"/>
    <cellStyle name="常规 4 2 2 12 2 3 5" xfId="16452"/>
    <cellStyle name="常规 4 2 2 12 2 4" xfId="16453"/>
    <cellStyle name="常规 4 2 2 12 2 4 2" xfId="8419"/>
    <cellStyle name="常规 4 2 2 12 2 4 2 2" xfId="3062"/>
    <cellStyle name="常规 4 2 2 12 2 4 3" xfId="8422"/>
    <cellStyle name="常规 4 2 2 12 2 4 4" xfId="16455"/>
    <cellStyle name="常规 4 2 2 12 2 5" xfId="16456"/>
    <cellStyle name="常规 4 2 2 12 2 5 2" xfId="8427"/>
    <cellStyle name="常规 4 2 2 12 2 6" xfId="16459"/>
    <cellStyle name="常规 4 2 2 12 2 7" xfId="6174"/>
    <cellStyle name="常规 4 2 2 12 3" xfId="9493"/>
    <cellStyle name="常规 4 2 2 12 3 2" xfId="16464"/>
    <cellStyle name="常规 4 2 2 12 3 2 2" xfId="2834"/>
    <cellStyle name="常规 4 2 2 12 3 2 2 2" xfId="8654"/>
    <cellStyle name="常规 4 2 2 12 3 2 2 2 2" xfId="8658"/>
    <cellStyle name="常规 4 2 2 12 3 2 2 3" xfId="8663"/>
    <cellStyle name="常规 4 2 2 12 3 2 2 4" xfId="4512"/>
    <cellStyle name="常规 4 2 2 12 3 2 3" xfId="8667"/>
    <cellStyle name="常规 4 2 2 12 3 2 3 2" xfId="8672"/>
    <cellStyle name="常规 4 2 2 12 3 2 4" xfId="8677"/>
    <cellStyle name="常规 4 2 2 12 3 2 5" xfId="8682"/>
    <cellStyle name="常规 4 2 2 12 3 3" xfId="7260"/>
    <cellStyle name="常规 4 2 2 12 3 3 2" xfId="7266"/>
    <cellStyle name="常规 4 2 2 12 3 3 2 2" xfId="1896"/>
    <cellStyle name="常规 4 2 2 12 3 3 3" xfId="1985"/>
    <cellStyle name="常规 4 2 2 12 3 3 4" xfId="2018"/>
    <cellStyle name="常规 4 2 2 12 3 4" xfId="7283"/>
    <cellStyle name="常规 4 2 2 12 3 4 2" xfId="7289"/>
    <cellStyle name="常规 4 2 2 12 3 5" xfId="7296"/>
    <cellStyle name="常规 4 2 2 12 3 6" xfId="7198"/>
    <cellStyle name="常规 4 2 2 12 4" xfId="16465"/>
    <cellStyle name="常规 4 2 2 12 4 2" xfId="14114"/>
    <cellStyle name="常规 4 2 2 12 4 2 2" xfId="8815"/>
    <cellStyle name="常规 4 2 2 12 4 2 2 2" xfId="8819"/>
    <cellStyle name="常规 4 2 2 12 4 2 3" xfId="8823"/>
    <cellStyle name="常规 4 2 2 12 4 2 4" xfId="8827"/>
    <cellStyle name="常规 4 2 2 12 4 3" xfId="7322"/>
    <cellStyle name="常规 4 2 2 12 4 3 2" xfId="7329"/>
    <cellStyle name="常规 4 2 2 12 4 4" xfId="7346"/>
    <cellStyle name="常规 4 2 2 12 4 5" xfId="7356"/>
    <cellStyle name="常规 4 2 2 12 5" xfId="16466"/>
    <cellStyle name="常规 4 2 2 12 5 2" xfId="16467"/>
    <cellStyle name="常规 4 2 2 12 5 2 2" xfId="8891"/>
    <cellStyle name="常规 4 2 2 12 5 3" xfId="7365"/>
    <cellStyle name="常规 4 2 2 12 5 4" xfId="7379"/>
    <cellStyle name="常规 4 2 2 12 6" xfId="16468"/>
    <cellStyle name="常规 4 2 2 12 6 2" xfId="16470"/>
    <cellStyle name="常规 4 2 2 12 7" xfId="16471"/>
    <cellStyle name="常规 4 2 2 12 8" xfId="16472"/>
    <cellStyle name="常规 4 2 2 13" xfId="16473"/>
    <cellStyle name="常规 4 2 2 13 2" xfId="16474"/>
    <cellStyle name="常规 4 2 2 13 2 2" xfId="16475"/>
    <cellStyle name="常规 4 2 2 13 2 2 2" xfId="9170"/>
    <cellStyle name="常规 4 2 2 13 2 2 2 2" xfId="9174"/>
    <cellStyle name="常规 4 2 2 13 2 2 2 2 2" xfId="9178"/>
    <cellStyle name="常规 4 2 2 13 2 2 2 3" xfId="9182"/>
    <cellStyle name="常规 4 2 2 13 2 2 2 4" xfId="4717"/>
    <cellStyle name="常规 4 2 2 13 2 2 3" xfId="9186"/>
    <cellStyle name="常规 4 2 2 13 2 2 3 2" xfId="9190"/>
    <cellStyle name="常规 4 2 2 13 2 2 4" xfId="9195"/>
    <cellStyle name="常规 4 2 2 13 2 2 5" xfId="9200"/>
    <cellStyle name="常规 4 2 2 13 2 3" xfId="16476"/>
    <cellStyle name="常规 4 2 2 13 2 3 2" xfId="9207"/>
    <cellStyle name="常规 4 2 2 13 2 3 2 2" xfId="6287"/>
    <cellStyle name="常规 4 2 2 13 2 3 3" xfId="9212"/>
    <cellStyle name="常规 4 2 2 13 2 3 4" xfId="9217"/>
    <cellStyle name="常规 4 2 2 13 2 4" xfId="16477"/>
    <cellStyle name="常规 4 2 2 13 2 4 2" xfId="9225"/>
    <cellStyle name="常规 4 2 2 13 2 5" xfId="16478"/>
    <cellStyle name="常规 4 2 2 13 2 6" xfId="16481"/>
    <cellStyle name="常规 4 2 2 13 3" xfId="16484"/>
    <cellStyle name="常规 4 2 2 13 3 2" xfId="16486"/>
    <cellStyle name="常规 4 2 2 13 3 2 2" xfId="9333"/>
    <cellStyle name="常规 4 2 2 13 3 2 2 2" xfId="9336"/>
    <cellStyle name="常规 4 2 2 13 3 2 3" xfId="9341"/>
    <cellStyle name="常规 4 2 2 13 3 2 4" xfId="9345"/>
    <cellStyle name="常规 4 2 2 13 3 3" xfId="7398"/>
    <cellStyle name="常规 4 2 2 13 3 3 2" xfId="7404"/>
    <cellStyle name="常规 4 2 2 13 3 4" xfId="7410"/>
    <cellStyle name="常规 4 2 2 13 3 5" xfId="1137"/>
    <cellStyle name="常规 4 2 2 13 4" xfId="16487"/>
    <cellStyle name="常规 4 2 2 13 4 2" xfId="16488"/>
    <cellStyle name="常规 4 2 2 13 4 2 2" xfId="9415"/>
    <cellStyle name="常规 4 2 2 13 4 3" xfId="7419"/>
    <cellStyle name="常规 4 2 2 13 4 4" xfId="7427"/>
    <cellStyle name="常规 4 2 2 13 5" xfId="16489"/>
    <cellStyle name="常规 4 2 2 13 5 2" xfId="16490"/>
    <cellStyle name="常规 4 2 2 13 6" xfId="16491"/>
    <cellStyle name="常规 4 2 2 13 7" xfId="16492"/>
    <cellStyle name="常规 4 2 2 14" xfId="16493"/>
    <cellStyle name="常规 4 2 2 14 2" xfId="16494"/>
    <cellStyle name="常规 4 2 2 14 2 2" xfId="16495"/>
    <cellStyle name="常规 4 2 2 14 2 2 2" xfId="9527"/>
    <cellStyle name="常规 4 2 2 14 2 2 2 2" xfId="16497"/>
    <cellStyle name="常规 4 2 2 14 2 2 3" xfId="9531"/>
    <cellStyle name="常规 4 2 2 14 2 2 4" xfId="16500"/>
    <cellStyle name="常规 4 2 2 14 2 3" xfId="16502"/>
    <cellStyle name="常规 4 2 2 14 2 3 2" xfId="9537"/>
    <cellStyle name="常规 4 2 2 14 2 4" xfId="16503"/>
    <cellStyle name="常规 4 2 2 14 2 5" xfId="16504"/>
    <cellStyle name="常规 4 2 2 14 3" xfId="16508"/>
    <cellStyle name="常规 4 2 2 14 3 2" xfId="16509"/>
    <cellStyle name="常规 4 2 2 14 3 2 2" xfId="9571"/>
    <cellStyle name="常规 4 2 2 14 3 3" xfId="7435"/>
    <cellStyle name="常规 4 2 2 14 3 4" xfId="4034"/>
    <cellStyle name="常规 4 2 2 14 4" xfId="16510"/>
    <cellStyle name="常规 4 2 2 14 4 2" xfId="16511"/>
    <cellStyle name="常规 4 2 2 14 5" xfId="16513"/>
    <cellStyle name="常规 4 2 2 14 6" xfId="16514"/>
    <cellStyle name="常规 4 2 2 15" xfId="16515"/>
    <cellStyle name="常规 4 2 2 15 2" xfId="16517"/>
    <cellStyle name="常规 4 2 2 15 2 2" xfId="16518"/>
    <cellStyle name="常规 4 2 2 15 2 2 2" xfId="9622"/>
    <cellStyle name="常规 4 2 2 15 2 3" xfId="16519"/>
    <cellStyle name="常规 4 2 2 15 2 4" xfId="16522"/>
    <cellStyle name="常规 4 2 2 15 3" xfId="16523"/>
    <cellStyle name="常规 4 2 2 15 3 2" xfId="16524"/>
    <cellStyle name="常规 4 2 2 15 4" xfId="16525"/>
    <cellStyle name="常规 4 2 2 15 5" xfId="16526"/>
    <cellStyle name="常规 4 2 2 16" xfId="16528"/>
    <cellStyle name="常规 4 2 2 16 2" xfId="16529"/>
    <cellStyle name="常规 4 2 2 16 2 2" xfId="16530"/>
    <cellStyle name="常规 4 2 2 16 3" xfId="16531"/>
    <cellStyle name="常规 4 2 2 16 4" xfId="16532"/>
    <cellStyle name="常规 4 2 2 17" xfId="16534"/>
    <cellStyle name="常规 4 2 2 17 2" xfId="16538"/>
    <cellStyle name="常规 4 2 2 18" xfId="16540"/>
    <cellStyle name="常规 4 2 2 19" xfId="16544"/>
    <cellStyle name="常规 4 2 2 2" xfId="16545"/>
    <cellStyle name="常规 4 2 2 2 2" xfId="16546"/>
    <cellStyle name="常规 4 2 2 2 2 2" xfId="16547"/>
    <cellStyle name="常规 4 2 2 2 2 2 2" xfId="16548"/>
    <cellStyle name="常规 4 2 2 2 2 2 3" xfId="16549"/>
    <cellStyle name="常规 4 2 2 2 2 3" xfId="16550"/>
    <cellStyle name="常规 4 2 2 2 2 3 2" xfId="16551"/>
    <cellStyle name="常规 4 2 2 2 2 3 3" xfId="16552"/>
    <cellStyle name="常规 4 2 2 2 2 4" xfId="16553"/>
    <cellStyle name="常规 4 2 2 2 2 5" xfId="16554"/>
    <cellStyle name="常规 4 2 2 2 2 6" xfId="13970"/>
    <cellStyle name="常规 4 2 2 2 3" xfId="16556"/>
    <cellStyle name="常规 4 2 2 2 3 2" xfId="16558"/>
    <cellStyle name="常规 4 2 2 2 3 3" xfId="16561"/>
    <cellStyle name="常规 4 2 2 2 4" xfId="16563"/>
    <cellStyle name="常规 4 2 2 2 4 2" xfId="16565"/>
    <cellStyle name="常规 4 2 2 2 4 3" xfId="16567"/>
    <cellStyle name="常规 4 2 2 2 5" xfId="16569"/>
    <cellStyle name="常规 4 2 2 2 6" xfId="16571"/>
    <cellStyle name="常规 4 2 2 2 7" xfId="15204"/>
    <cellStyle name="常规 4 2 2 20" xfId="16516"/>
    <cellStyle name="常规 4 2 2 3" xfId="16572"/>
    <cellStyle name="常规 4 2 2 3 2" xfId="16576"/>
    <cellStyle name="常规 4 2 2 3 2 2" xfId="16578"/>
    <cellStyle name="常规 4 2 2 3 2 3" xfId="16579"/>
    <cellStyle name="常规 4 2 2 3 3" xfId="9692"/>
    <cellStyle name="常规 4 2 2 3 3 2" xfId="16581"/>
    <cellStyle name="常规 4 2 2 3 3 3" xfId="5260"/>
    <cellStyle name="常规 4 2 2 3 4" xfId="16583"/>
    <cellStyle name="常规 4 2 2 3 5" xfId="16585"/>
    <cellStyle name="常规 4 2 2 3 6" xfId="16587"/>
    <cellStyle name="常规 4 2 2 4" xfId="16588"/>
    <cellStyle name="常规 4 2 2 4 2" xfId="16590"/>
    <cellStyle name="常规 4 2 2 4 3" xfId="16592"/>
    <cellStyle name="常规 4 2 2 4 4" xfId="16594"/>
    <cellStyle name="常规 4 2 2 5" xfId="16595"/>
    <cellStyle name="常规 4 2 2 5 2" xfId="16596"/>
    <cellStyle name="常规 4 2 2 5 3" xfId="16598"/>
    <cellStyle name="常规 4 2 2 6" xfId="16600"/>
    <cellStyle name="常规 4 2 2 6 2" xfId="16603"/>
    <cellStyle name="常规 4 2 2 6 3" xfId="16605"/>
    <cellStyle name="常规 4 2 2 7" xfId="16607"/>
    <cellStyle name="常规 4 2 2 8" xfId="16610"/>
    <cellStyle name="常规 4 2 2 8 10" xfId="16612"/>
    <cellStyle name="常规 4 2 2 8 10 2" xfId="16613"/>
    <cellStyle name="常规 4 2 2 8 10 2 2" xfId="16614"/>
    <cellStyle name="常规 4 2 2 8 10 3" xfId="16615"/>
    <cellStyle name="常规 4 2 2 8 10 4" xfId="16616"/>
    <cellStyle name="常规 4 2 2 8 11" xfId="16620"/>
    <cellStyle name="常规 4 2 2 8 11 2" xfId="16622"/>
    <cellStyle name="常规 4 2 2 8 12" xfId="16624"/>
    <cellStyle name="常规 4 2 2 8 13" xfId="16626"/>
    <cellStyle name="常规 4 2 2 8 2" xfId="16629"/>
    <cellStyle name="常规 4 2 2 8 2 10" xfId="16630"/>
    <cellStyle name="常规 4 2 2 8 2 10 2" xfId="16633"/>
    <cellStyle name="常规 4 2 2 8 2 11" xfId="16635"/>
    <cellStyle name="常规 4 2 2 8 2 12" xfId="16638"/>
    <cellStyle name="常规 4 2 2 8 2 2" xfId="16642"/>
    <cellStyle name="常规 4 2 2 8 2 2 10" xfId="16646"/>
    <cellStyle name="常规 4 2 2 8 2 2 11" xfId="16650"/>
    <cellStyle name="常规 4 2 2 8 2 2 2" xfId="16651"/>
    <cellStyle name="常规 4 2 2 8 2 2 2 2" xfId="16652"/>
    <cellStyle name="常规 4 2 2 8 2 2 2 2 2" xfId="16655"/>
    <cellStyle name="常规 4 2 2 8 2 2 2 2 2 2" xfId="4246"/>
    <cellStyle name="常规 4 2 2 8 2 2 2 2 2 2 2" xfId="16656"/>
    <cellStyle name="常规 4 2 2 8 2 2 2 2 2 2 2 2" xfId="3511"/>
    <cellStyle name="常规 4 2 2 8 2 2 2 2 2 2 2 2 2" xfId="1335"/>
    <cellStyle name="常规 4 2 2 8 2 2 2 2 2 2 2 2 2 2" xfId="16040"/>
    <cellStyle name="常规 4 2 2 8 2 2 2 2 2 2 2 2 3" xfId="10530"/>
    <cellStyle name="常规 4 2 2 8 2 2 2 2 2 2 2 2 4" xfId="16043"/>
    <cellStyle name="常规 4 2 2 8 2 2 2 2 2 2 2 3" xfId="3520"/>
    <cellStyle name="常规 4 2 2 8 2 2 2 2 2 2 2 3 2" xfId="10551"/>
    <cellStyle name="常规 4 2 2 8 2 2 2 2 2 2 2 4" xfId="3526"/>
    <cellStyle name="常规 4 2 2 8 2 2 2 2 2 2 2 5" xfId="16045"/>
    <cellStyle name="常规 4 2 2 8 2 2 2 2 2 2 3" xfId="16657"/>
    <cellStyle name="常规 4 2 2 8 2 2 2 2 2 2 3 2" xfId="2129"/>
    <cellStyle name="常规 4 2 2 8 2 2 2 2 2 2 3 2 2" xfId="10606"/>
    <cellStyle name="常规 4 2 2 8 2 2 2 2 2 2 3 3" xfId="2138"/>
    <cellStyle name="常规 4 2 2 8 2 2 2 2 2 2 3 4" xfId="16059"/>
    <cellStyle name="常规 4 2 2 8 2 2 2 2 2 2 4" xfId="16658"/>
    <cellStyle name="常规 4 2 2 8 2 2 2 2 2 2 4 2" xfId="2182"/>
    <cellStyle name="常规 4 2 2 8 2 2 2 2 2 2 5" xfId="16659"/>
    <cellStyle name="常规 4 2 2 8 2 2 2 2 2 2 6" xfId="55"/>
    <cellStyle name="常规 4 2 2 8 2 2 2 2 2 3" xfId="8265"/>
    <cellStyle name="常规 4 2 2 8 2 2 2 2 2 3 2" xfId="8267"/>
    <cellStyle name="常规 4 2 2 8 2 2 2 2 2 3 2 2" xfId="459"/>
    <cellStyle name="常规 4 2 2 8 2 2 2 2 2 3 2 2 2" xfId="8271"/>
    <cellStyle name="常规 4 2 2 8 2 2 2 2 2 3 2 3" xfId="513"/>
    <cellStyle name="常规 4 2 2 8 2 2 2 2 2 3 2 4" xfId="8274"/>
    <cellStyle name="常规 4 2 2 8 2 2 2 2 2 3 3" xfId="8"/>
    <cellStyle name="常规 4 2 2 8 2 2 2 2 2 3 3 2" xfId="529"/>
    <cellStyle name="常规 4 2 2 8 2 2 2 2 2 3 4" xfId="307"/>
    <cellStyle name="常规 4 2 2 8 2 2 2 2 2 3 5" xfId="266"/>
    <cellStyle name="常规 4 2 2 8 2 2 2 2 2 4" xfId="8280"/>
    <cellStyle name="常规 4 2 2 8 2 2 2 2 2 4 2" xfId="8282"/>
    <cellStyle name="常规 4 2 2 8 2 2 2 2 2 4 2 2" xfId="4133"/>
    <cellStyle name="常规 4 2 2 8 2 2 2 2 2 4 3" xfId="3927"/>
    <cellStyle name="常规 4 2 2 8 2 2 2 2 2 4 4" xfId="8285"/>
    <cellStyle name="常规 4 2 2 8 2 2 2 2 2 5" xfId="8287"/>
    <cellStyle name="常规 4 2 2 8 2 2 2 2 2 5 2" xfId="8289"/>
    <cellStyle name="常规 4 2 2 8 2 2 2 2 2 6" xfId="8292"/>
    <cellStyle name="常规 4 2 2 8 2 2 2 2 2 7" xfId="8294"/>
    <cellStyle name="常规 4 2 2 8 2 2 2 2 3" xfId="16662"/>
    <cellStyle name="常规 4 2 2 8 2 2 2 2 3 2" xfId="16663"/>
    <cellStyle name="常规 4 2 2 8 2 2 2 2 3 2 2" xfId="16664"/>
    <cellStyle name="常规 4 2 2 8 2 2 2 2 3 2 2 2" xfId="2680"/>
    <cellStyle name="常规 4 2 2 8 2 2 2 2 3 2 2 2 2" xfId="11593"/>
    <cellStyle name="常规 4 2 2 8 2 2 2 2 3 2 2 3" xfId="16084"/>
    <cellStyle name="常规 4 2 2 8 2 2 2 2 3 2 2 4" xfId="16088"/>
    <cellStyle name="常规 4 2 2 8 2 2 2 2 3 2 3" xfId="16665"/>
    <cellStyle name="常规 4 2 2 8 2 2 2 2 3 2 3 2" xfId="16092"/>
    <cellStyle name="常规 4 2 2 8 2 2 2 2 3 2 4" xfId="16666"/>
    <cellStyle name="常规 4 2 2 8 2 2 2 2 3 2 5" xfId="16667"/>
    <cellStyle name="常规 4 2 2 8 2 2 2 2 3 3" xfId="8297"/>
    <cellStyle name="常规 4 2 2 8 2 2 2 2 3 3 2" xfId="8299"/>
    <cellStyle name="常规 4 2 2 8 2 2 2 2 3 3 2 2" xfId="8301"/>
    <cellStyle name="常规 4 2 2 8 2 2 2 2 3 3 3" xfId="7171"/>
    <cellStyle name="常规 4 2 2 8 2 2 2 2 3 3 4" xfId="8304"/>
    <cellStyle name="常规 4 2 2 8 2 2 2 2 3 4" xfId="8306"/>
    <cellStyle name="常规 4 2 2 8 2 2 2 2 3 4 2" xfId="8308"/>
    <cellStyle name="常规 4 2 2 8 2 2 2 2 3 5" xfId="4114"/>
    <cellStyle name="常规 4 2 2 8 2 2 2 2 3 6" xfId="4224"/>
    <cellStyle name="常规 4 2 2 8 2 2 2 2 4" xfId="16668"/>
    <cellStyle name="常规 4 2 2 8 2 2 2 2 4 2" xfId="16669"/>
    <cellStyle name="常规 4 2 2 8 2 2 2 2 4 2 2" xfId="16670"/>
    <cellStyle name="常规 4 2 2 8 2 2 2 2 4 2 2 2" xfId="7071"/>
    <cellStyle name="常规 4 2 2 8 2 2 2 2 4 2 3" xfId="16672"/>
    <cellStyle name="常规 4 2 2 8 2 2 2 2 4 2 4" xfId="16676"/>
    <cellStyle name="常规 4 2 2 8 2 2 2 2 4 3" xfId="8313"/>
    <cellStyle name="常规 4 2 2 8 2 2 2 2 4 3 2" xfId="8316"/>
    <cellStyle name="常规 4 2 2 8 2 2 2 2 4 4" xfId="8320"/>
    <cellStyle name="常规 4 2 2 8 2 2 2 2 4 5" xfId="4262"/>
    <cellStyle name="常规 4 2 2 8 2 2 2 2 5" xfId="16677"/>
    <cellStyle name="常规 4 2 2 8 2 2 2 2 5 2" xfId="16678"/>
    <cellStyle name="常规 4 2 2 8 2 2 2 2 5 2 2" xfId="16679"/>
    <cellStyle name="常规 4 2 2 8 2 2 2 2 5 3" xfId="8327"/>
    <cellStyle name="常规 4 2 2 8 2 2 2 2 5 4" xfId="16682"/>
    <cellStyle name="常规 4 2 2 8 2 2 2 2 6" xfId="16683"/>
    <cellStyle name="常规 4 2 2 8 2 2 2 2 6 2" xfId="16685"/>
    <cellStyle name="常规 4 2 2 8 2 2 2 2 7" xfId="16686"/>
    <cellStyle name="常规 4 2 2 8 2 2 2 2 8" xfId="16687"/>
    <cellStyle name="常规 4 2 2 8 2 2 2 3" xfId="16688"/>
    <cellStyle name="常规 4 2 2 8 2 2 2 3 2" xfId="16689"/>
    <cellStyle name="常规 4 2 2 8 2 2 2 3 2 2" xfId="16690"/>
    <cellStyle name="常规 4 2 2 8 2 2 2 3 2 2 2" xfId="16691"/>
    <cellStyle name="常规 4 2 2 8 2 2 2 3 2 2 2 2" xfId="7695"/>
    <cellStyle name="常规 4 2 2 8 2 2 2 3 2 2 2 2 2" xfId="13409"/>
    <cellStyle name="常规 4 2 2 8 2 2 2 3 2 2 2 3" xfId="16316"/>
    <cellStyle name="常规 4 2 2 8 2 2 2 3 2 2 2 4" xfId="16318"/>
    <cellStyle name="常规 4 2 2 8 2 2 2 3 2 2 3" xfId="16692"/>
    <cellStyle name="常规 4 2 2 8 2 2 2 3 2 2 3 2" xfId="16322"/>
    <cellStyle name="常规 4 2 2 8 2 2 2 3 2 2 4" xfId="16693"/>
    <cellStyle name="常规 4 2 2 8 2 2 2 3 2 2 5" xfId="16694"/>
    <cellStyle name="常规 4 2 2 8 2 2 2 3 2 3" xfId="8358"/>
    <cellStyle name="常规 4 2 2 8 2 2 2 3 2 3 2" xfId="8360"/>
    <cellStyle name="常规 4 2 2 8 2 2 2 3 2 3 2 2" xfId="8364"/>
    <cellStyle name="常规 4 2 2 8 2 2 2 3 2 3 3" xfId="1147"/>
    <cellStyle name="常规 4 2 2 8 2 2 2 3 2 3 4" xfId="1156"/>
    <cellStyle name="常规 4 2 2 8 2 2 2 3 2 4" xfId="8367"/>
    <cellStyle name="常规 4 2 2 8 2 2 2 3 2 4 2" xfId="8369"/>
    <cellStyle name="常规 4 2 2 8 2 2 2 3 2 5" xfId="8371"/>
    <cellStyle name="常规 4 2 2 8 2 2 2 3 2 6" xfId="627"/>
    <cellStyle name="常规 4 2 2 8 2 2 2 3 3" xfId="16695"/>
    <cellStyle name="常规 4 2 2 8 2 2 2 3 3 2" xfId="16696"/>
    <cellStyle name="常规 4 2 2 8 2 2 2 3 3 2 2" xfId="16697"/>
    <cellStyle name="常规 4 2 2 8 2 2 2 3 3 2 2 2" xfId="7858"/>
    <cellStyle name="常规 4 2 2 8 2 2 2 3 3 2 3" xfId="16698"/>
    <cellStyle name="常规 4 2 2 8 2 2 2 3 3 2 4" xfId="16699"/>
    <cellStyle name="常规 4 2 2 8 2 2 2 3 3 3" xfId="8375"/>
    <cellStyle name="常规 4 2 2 8 2 2 2 3 3 3 2" xfId="8378"/>
    <cellStyle name="常规 4 2 2 8 2 2 2 3 3 4" xfId="8381"/>
    <cellStyle name="常规 4 2 2 8 2 2 2 3 3 5" xfId="4348"/>
    <cellStyle name="常规 4 2 2 8 2 2 2 3 4" xfId="16700"/>
    <cellStyle name="常规 4 2 2 8 2 2 2 3 4 2" xfId="16701"/>
    <cellStyle name="常规 4 2 2 8 2 2 2 3 4 2 2" xfId="16702"/>
    <cellStyle name="常规 4 2 2 8 2 2 2 3 4 3" xfId="8388"/>
    <cellStyle name="常规 4 2 2 8 2 2 2 3 4 4" xfId="16439"/>
    <cellStyle name="常规 4 2 2 8 2 2 2 3 5" xfId="16704"/>
    <cellStyle name="常规 4 2 2 8 2 2 2 3 5 2" xfId="16705"/>
    <cellStyle name="常规 4 2 2 8 2 2 2 3 6" xfId="16707"/>
    <cellStyle name="常规 4 2 2 8 2 2 2 3 7" xfId="16709"/>
    <cellStyle name="常规 4 2 2 8 2 2 2 4" xfId="16710"/>
    <cellStyle name="常规 4 2 2 8 2 2 2 4 2" xfId="16711"/>
    <cellStyle name="常规 4 2 2 8 2 2 2 4 2 2" xfId="4505"/>
    <cellStyle name="常规 4 2 2 8 2 2 2 4 2 2 2" xfId="4507"/>
    <cellStyle name="常规 4 2 2 8 2 2 2 4 2 2 2 2" xfId="4510"/>
    <cellStyle name="常规 4 2 2 8 2 2 2 4 2 2 3" xfId="4517"/>
    <cellStyle name="常规 4 2 2 8 2 2 2 4 2 2 4" xfId="4523"/>
    <cellStyle name="常规 4 2 2 8 2 2 2 4 2 3" xfId="123"/>
    <cellStyle name="常规 4 2 2 8 2 2 2 4 2 3 2" xfId="146"/>
    <cellStyle name="常规 4 2 2 8 2 2 2 4 2 4" xfId="1174"/>
    <cellStyle name="常规 4 2 2 8 2 2 2 4 2 5" xfId="1183"/>
    <cellStyle name="常规 4 2 2 8 2 2 2 4 3" xfId="16713"/>
    <cellStyle name="常规 4 2 2 8 2 2 2 4 3 2" xfId="2786"/>
    <cellStyle name="常规 4 2 2 8 2 2 2 4 3 2 2" xfId="4549"/>
    <cellStyle name="常规 4 2 2 8 2 2 2 4 3 3" xfId="2792"/>
    <cellStyle name="常规 4 2 2 8 2 2 2 4 3 4" xfId="4562"/>
    <cellStyle name="常规 4 2 2 8 2 2 2 4 4" xfId="16716"/>
    <cellStyle name="常规 4 2 2 8 2 2 2 4 4 2" xfId="2820"/>
    <cellStyle name="常规 4 2 2 8 2 2 2 4 5" xfId="16717"/>
    <cellStyle name="常规 4 2 2 8 2 2 2 4 6" xfId="16719"/>
    <cellStyle name="常规 4 2 2 8 2 2 2 5" xfId="16720"/>
    <cellStyle name="常规 4 2 2 8 2 2 2 5 2" xfId="16721"/>
    <cellStyle name="常规 4 2 2 8 2 2 2 5 2 2" xfId="2332"/>
    <cellStyle name="常规 4 2 2 8 2 2 2 5 2 2 2" xfId="2337"/>
    <cellStyle name="常规 4 2 2 8 2 2 2 5 2 3" xfId="1199"/>
    <cellStyle name="常规 4 2 2 8 2 2 2 5 2 4" xfId="1220"/>
    <cellStyle name="常规 4 2 2 8 2 2 2 5 3" xfId="16722"/>
    <cellStyle name="常规 4 2 2 8 2 2 2 5 3 2" xfId="3057"/>
    <cellStyle name="常规 4 2 2 8 2 2 2 5 4" xfId="16723"/>
    <cellStyle name="常规 4 2 2 8 2 2 2 5 5" xfId="16724"/>
    <cellStyle name="常规 4 2 2 8 2 2 2 6" xfId="16725"/>
    <cellStyle name="常规 4 2 2 8 2 2 2 6 2" xfId="16726"/>
    <cellStyle name="常规 4 2 2 8 2 2 2 6 2 2" xfId="1111"/>
    <cellStyle name="常规 4 2 2 8 2 2 2 6 3" xfId="16727"/>
    <cellStyle name="常规 4 2 2 8 2 2 2 6 4" xfId="16728"/>
    <cellStyle name="常规 4 2 2 8 2 2 2 7" xfId="16729"/>
    <cellStyle name="常规 4 2 2 8 2 2 2 7 2" xfId="16730"/>
    <cellStyle name="常规 4 2 2 8 2 2 2 8" xfId="16731"/>
    <cellStyle name="常规 4 2 2 8 2 2 2 9" xfId="16733"/>
    <cellStyle name="常规 4 2 2 8 2 2 3" xfId="16734"/>
    <cellStyle name="常规 4 2 2 8 2 2 3 2" xfId="16735"/>
    <cellStyle name="常规 4 2 2 8 2 2 3 2 2" xfId="4205"/>
    <cellStyle name="常规 4 2 2 8 2 2 3 2 2 2" xfId="16736"/>
    <cellStyle name="常规 4 2 2 8 2 2 3 2 2 2 2" xfId="16738"/>
    <cellStyle name="常规 4 2 2 8 2 2 3 2 2 2 2 2" xfId="16742"/>
    <cellStyle name="常规 4 2 2 8 2 2 3 2 2 2 2 2 2" xfId="16745"/>
    <cellStyle name="常规 4 2 2 8 2 2 3 2 2 2 2 2 2 2" xfId="16747"/>
    <cellStyle name="常规 4 2 2 8 2 2 3 2 2 2 2 2 3" xfId="16749"/>
    <cellStyle name="常规 4 2 2 8 2 2 3 2 2 2 2 2 4" xfId="16751"/>
    <cellStyle name="常规 4 2 2 8 2 2 3 2 2 2 2 3" xfId="16755"/>
    <cellStyle name="常规 4 2 2 8 2 2 3 2 2 2 2 3 2" xfId="1693"/>
    <cellStyle name="常规 4 2 2 8 2 2 3 2 2 2 2 4" xfId="16758"/>
    <cellStyle name="常规 4 2 2 8 2 2 3 2 2 2 2 5" xfId="16760"/>
    <cellStyle name="常规 4 2 2 8 2 2 3 2 2 2 3" xfId="16761"/>
    <cellStyle name="常规 4 2 2 8 2 2 3 2 2 2 3 2" xfId="16763"/>
    <cellStyle name="常规 4 2 2 8 2 2 3 2 2 2 3 2 2" xfId="16765"/>
    <cellStyle name="常规 4 2 2 8 2 2 3 2 2 2 3 3" xfId="16767"/>
    <cellStyle name="常规 4 2 2 8 2 2 3 2 2 2 3 4" xfId="16769"/>
    <cellStyle name="常规 4 2 2 8 2 2 3 2 2 2 4" xfId="16770"/>
    <cellStyle name="常规 4 2 2 8 2 2 3 2 2 2 4 2" xfId="16772"/>
    <cellStyle name="常规 4 2 2 8 2 2 3 2 2 2 5" xfId="16773"/>
    <cellStyle name="常规 4 2 2 8 2 2 3 2 2 2 6" xfId="16083"/>
    <cellStyle name="常规 4 2 2 8 2 2 3 2 2 3" xfId="8494"/>
    <cellStyle name="常规 4 2 2 8 2 2 3 2 2 3 2" xfId="8496"/>
    <cellStyle name="常规 4 2 2 8 2 2 3 2 2 3 2 2" xfId="8503"/>
    <cellStyle name="常规 4 2 2 8 2 2 3 2 2 3 2 2 2" xfId="8506"/>
    <cellStyle name="常规 4 2 2 8 2 2 3 2 2 3 2 3" xfId="8512"/>
    <cellStyle name="常规 4 2 2 8 2 2 3 2 2 3 2 4" xfId="8515"/>
    <cellStyle name="常规 4 2 2 8 2 2 3 2 2 3 3" xfId="8137"/>
    <cellStyle name="常规 4 2 2 8 2 2 3 2 2 3 3 2" xfId="8520"/>
    <cellStyle name="常规 4 2 2 8 2 2 3 2 2 3 4" xfId="8521"/>
    <cellStyle name="常规 4 2 2 8 2 2 3 2 2 3 5" xfId="8523"/>
    <cellStyle name="常规 4 2 2 8 2 2 3 2 2 4" xfId="8525"/>
    <cellStyle name="常规 4 2 2 8 2 2 3 2 2 4 2" xfId="8527"/>
    <cellStyle name="常规 4 2 2 8 2 2 3 2 2 4 2 2" xfId="8532"/>
    <cellStyle name="常规 4 2 2 8 2 2 3 2 2 4 3" xfId="8533"/>
    <cellStyle name="常规 4 2 2 8 2 2 3 2 2 4 4" xfId="8535"/>
    <cellStyle name="常规 4 2 2 8 2 2 3 2 2 5" xfId="8537"/>
    <cellStyle name="常规 4 2 2 8 2 2 3 2 2 5 2" xfId="8539"/>
    <cellStyle name="常规 4 2 2 8 2 2 3 2 2 6" xfId="8541"/>
    <cellStyle name="常规 4 2 2 8 2 2 3 2 2 7" xfId="8543"/>
    <cellStyle name="常规 4 2 2 8 2 2 3 2 3" xfId="2949"/>
    <cellStyle name="常规 4 2 2 8 2 2 3 2 3 2" xfId="16774"/>
    <cellStyle name="常规 4 2 2 8 2 2 3 2 3 2 2" xfId="16775"/>
    <cellStyle name="常规 4 2 2 8 2 2 3 2 3 2 2 2" xfId="13612"/>
    <cellStyle name="常规 4 2 2 8 2 2 3 2 3 2 2 2 2" xfId="16777"/>
    <cellStyle name="常规 4 2 2 8 2 2 3 2 3 2 2 3" xfId="13617"/>
    <cellStyle name="常规 4 2 2 8 2 2 3 2 3 2 2 4" xfId="16780"/>
    <cellStyle name="常规 4 2 2 8 2 2 3 2 3 2 3" xfId="16781"/>
    <cellStyle name="常规 4 2 2 8 2 2 3 2 3 2 3 2" xfId="2155"/>
    <cellStyle name="常规 4 2 2 8 2 2 3 2 3 2 4" xfId="16782"/>
    <cellStyle name="常规 4 2 2 8 2 2 3 2 3 2 5" xfId="16783"/>
    <cellStyle name="常规 4 2 2 8 2 2 3 2 3 3" xfId="8547"/>
    <cellStyle name="常规 4 2 2 8 2 2 3 2 3 3 2" xfId="8549"/>
    <cellStyle name="常规 4 2 2 8 2 2 3 2 3 3 2 2" xfId="8557"/>
    <cellStyle name="常规 4 2 2 8 2 2 3 2 3 3 3" xfId="8561"/>
    <cellStyle name="常规 4 2 2 8 2 2 3 2 3 3 4" xfId="8564"/>
    <cellStyle name="常规 4 2 2 8 2 2 3 2 3 4" xfId="8567"/>
    <cellStyle name="常规 4 2 2 8 2 2 3 2 3 4 2" xfId="8569"/>
    <cellStyle name="常规 4 2 2 8 2 2 3 2 3 5" xfId="4462"/>
    <cellStyle name="常规 4 2 2 8 2 2 3 2 3 6" xfId="4470"/>
    <cellStyle name="常规 4 2 2 8 2 2 3 2 4" xfId="16784"/>
    <cellStyle name="常规 4 2 2 8 2 2 3 2 4 2" xfId="16785"/>
    <cellStyle name="常规 4 2 2 8 2 2 3 2 4 2 2" xfId="16786"/>
    <cellStyle name="常规 4 2 2 8 2 2 3 2 4 2 2 2" xfId="16791"/>
    <cellStyle name="常规 4 2 2 8 2 2 3 2 4 2 3" xfId="16793"/>
    <cellStyle name="常规 4 2 2 8 2 2 3 2 4 2 4" xfId="16796"/>
    <cellStyle name="常规 4 2 2 8 2 2 3 2 4 3" xfId="8575"/>
    <cellStyle name="常规 4 2 2 8 2 2 3 2 4 3 2" xfId="8578"/>
    <cellStyle name="常规 4 2 2 8 2 2 3 2 4 4" xfId="8582"/>
    <cellStyle name="常规 4 2 2 8 2 2 3 2 4 5" xfId="167"/>
    <cellStyle name="常规 4 2 2 8 2 2 3 2 5" xfId="16797"/>
    <cellStyle name="常规 4 2 2 8 2 2 3 2 5 2" xfId="16798"/>
    <cellStyle name="常规 4 2 2 8 2 2 3 2 5 2 2" xfId="16800"/>
    <cellStyle name="常规 4 2 2 8 2 2 3 2 5 3" xfId="8589"/>
    <cellStyle name="常规 4 2 2 8 2 2 3 2 5 4" xfId="16802"/>
    <cellStyle name="常规 4 2 2 8 2 2 3 2 6" xfId="16803"/>
    <cellStyle name="常规 4 2 2 8 2 2 3 2 6 2" xfId="16805"/>
    <cellStyle name="常规 4 2 2 8 2 2 3 2 7" xfId="16807"/>
    <cellStyle name="常规 4 2 2 8 2 2 3 2 8" xfId="16808"/>
    <cellStyle name="常规 4 2 2 8 2 2 3 3" xfId="16809"/>
    <cellStyle name="常规 4 2 2 8 2 2 3 3 2" xfId="16810"/>
    <cellStyle name="常规 4 2 2 8 2 2 3 3 2 2" xfId="16811"/>
    <cellStyle name="常规 4 2 2 8 2 2 3 3 2 2 2" xfId="16813"/>
    <cellStyle name="常规 4 2 2 8 2 2 3 3 2 2 2 2" xfId="12978"/>
    <cellStyle name="常规 4 2 2 8 2 2 3 3 2 2 2 2 2" xfId="16814"/>
    <cellStyle name="常规 4 2 2 8 2 2 3 3 2 2 2 3" xfId="12982"/>
    <cellStyle name="常规 4 2 2 8 2 2 3 3 2 2 2 4" xfId="16816"/>
    <cellStyle name="常规 4 2 2 8 2 2 3 3 2 2 3" xfId="16818"/>
    <cellStyle name="常规 4 2 2 8 2 2 3 3 2 2 3 2" xfId="16820"/>
    <cellStyle name="常规 4 2 2 8 2 2 3 3 2 2 4" xfId="16823"/>
    <cellStyle name="常规 4 2 2 8 2 2 3 3 2 2 5" xfId="16827"/>
    <cellStyle name="常规 4 2 2 8 2 2 3 3 2 3" xfId="8633"/>
    <cellStyle name="常规 4 2 2 8 2 2 3 3 2 3 2" xfId="8635"/>
    <cellStyle name="常规 4 2 2 8 2 2 3 3 2 3 2 2" xfId="7316"/>
    <cellStyle name="常规 4 2 2 8 2 2 3 3 2 3 3" xfId="8638"/>
    <cellStyle name="常规 4 2 2 8 2 2 3 3 2 3 4" xfId="8642"/>
    <cellStyle name="常规 4 2 2 8 2 2 3 3 2 4" xfId="8644"/>
    <cellStyle name="常规 4 2 2 8 2 2 3 3 2 4 2" xfId="8646"/>
    <cellStyle name="常规 4 2 2 8 2 2 3 3 2 5" xfId="8648"/>
    <cellStyle name="常规 4 2 2 8 2 2 3 3 2 6" xfId="8650"/>
    <cellStyle name="常规 4 2 2 8 2 2 3 3 3" xfId="16828"/>
    <cellStyle name="常规 4 2 2 8 2 2 3 3 3 2" xfId="16829"/>
    <cellStyle name="常规 4 2 2 8 2 2 3 3 3 2 2" xfId="16830"/>
    <cellStyle name="常规 4 2 2 8 2 2 3 3 3 2 2 2" xfId="16832"/>
    <cellStyle name="常规 4 2 2 8 2 2 3 3 3 2 3" xfId="16834"/>
    <cellStyle name="常规 4 2 2 8 2 2 3 3 3 2 4" xfId="16837"/>
    <cellStyle name="常规 4 2 2 8 2 2 3 3 3 3" xfId="8652"/>
    <cellStyle name="常规 4 2 2 8 2 2 3 3 3 3 2" xfId="8656"/>
    <cellStyle name="常规 4 2 2 8 2 2 3 3 3 4" xfId="8661"/>
    <cellStyle name="常规 4 2 2 8 2 2 3 3 3 5" xfId="4509"/>
    <cellStyle name="常规 4 2 2 8 2 2 3 3 4" xfId="16838"/>
    <cellStyle name="常规 4 2 2 8 2 2 3 3 4 2" xfId="16839"/>
    <cellStyle name="常规 4 2 2 8 2 2 3 3 4 2 2" xfId="16840"/>
    <cellStyle name="常规 4 2 2 8 2 2 3 3 4 3" xfId="8670"/>
    <cellStyle name="常规 4 2 2 8 2 2 3 3 4 4" xfId="16843"/>
    <cellStyle name="常规 4 2 2 8 2 2 3 3 5" xfId="16844"/>
    <cellStyle name="常规 4 2 2 8 2 2 3 3 5 2" xfId="16845"/>
    <cellStyle name="常规 4 2 2 8 2 2 3 3 6" xfId="16848"/>
    <cellStyle name="常规 4 2 2 8 2 2 3 3 7" xfId="16850"/>
    <cellStyle name="常规 4 2 2 8 2 2 3 4" xfId="16851"/>
    <cellStyle name="常规 4 2 2 8 2 2 3 4 2" xfId="16853"/>
    <cellStyle name="常规 4 2 2 8 2 2 3 4 2 2" xfId="5355"/>
    <cellStyle name="常规 4 2 2 8 2 2 3 4 2 2 2" xfId="5357"/>
    <cellStyle name="常规 4 2 2 8 2 2 3 4 2 2 2 2" xfId="4201"/>
    <cellStyle name="常规 4 2 2 8 2 2 3 4 2 2 3" xfId="3085"/>
    <cellStyle name="常规 4 2 2 8 2 2 3 4 2 2 4" xfId="5361"/>
    <cellStyle name="常规 4 2 2 8 2 2 3 4 2 3" xfId="5367"/>
    <cellStyle name="常规 4 2 2 8 2 2 3 4 2 3 2" xfId="5372"/>
    <cellStyle name="常规 4 2 2 8 2 2 3 4 2 4" xfId="5379"/>
    <cellStyle name="常规 4 2 2 8 2 2 3 4 2 5" xfId="4808"/>
    <cellStyle name="常规 4 2 2 8 2 2 3 4 3" xfId="16855"/>
    <cellStyle name="常规 4 2 2 8 2 2 3 4 3 2" xfId="5393"/>
    <cellStyle name="常规 4 2 2 8 2 2 3 4 3 2 2" xfId="5395"/>
    <cellStyle name="常规 4 2 2 8 2 2 3 4 3 3" xfId="1894"/>
    <cellStyle name="常规 4 2 2 8 2 2 3 4 3 4" xfId="5401"/>
    <cellStyle name="常规 4 2 2 8 2 2 3 4 4" xfId="16856"/>
    <cellStyle name="常规 4 2 2 8 2 2 3 4 4 2" xfId="5407"/>
    <cellStyle name="常规 4 2 2 8 2 2 3 4 5" xfId="16857"/>
    <cellStyle name="常规 4 2 2 8 2 2 3 4 6" xfId="16859"/>
    <cellStyle name="常规 4 2 2 8 2 2 3 5" xfId="16860"/>
    <cellStyle name="常规 4 2 2 8 2 2 3 5 2" xfId="16861"/>
    <cellStyle name="常规 4 2 2 8 2 2 3 5 2 2" xfId="5014"/>
    <cellStyle name="常规 4 2 2 8 2 2 3 5 2 2 2" xfId="5018"/>
    <cellStyle name="常规 4 2 2 8 2 2 3 5 2 3" xfId="5024"/>
    <cellStyle name="常规 4 2 2 8 2 2 3 5 2 4" xfId="5030"/>
    <cellStyle name="常规 4 2 2 8 2 2 3 5 3" xfId="16862"/>
    <cellStyle name="常规 4 2 2 8 2 2 3 5 3 2" xfId="3615"/>
    <cellStyle name="常规 4 2 2 8 2 2 3 5 4" xfId="16863"/>
    <cellStyle name="常规 4 2 2 8 2 2 3 5 5" xfId="16864"/>
    <cellStyle name="常规 4 2 2 8 2 2 3 6" xfId="16865"/>
    <cellStyle name="常规 4 2 2 8 2 2 3 6 2" xfId="16866"/>
    <cellStyle name="常规 4 2 2 8 2 2 3 6 2 2" xfId="5469"/>
    <cellStyle name="常规 4 2 2 8 2 2 3 6 3" xfId="16867"/>
    <cellStyle name="常规 4 2 2 8 2 2 3 6 4" xfId="16868"/>
    <cellStyle name="常规 4 2 2 8 2 2 3 7" xfId="16869"/>
    <cellStyle name="常规 4 2 2 8 2 2 3 7 2" xfId="16870"/>
    <cellStyle name="常规 4 2 2 8 2 2 3 8" xfId="16871"/>
    <cellStyle name="常规 4 2 2 8 2 2 3 9" xfId="16872"/>
    <cellStyle name="常规 4 2 2 8 2 2 4" xfId="16873"/>
    <cellStyle name="常规 4 2 2 8 2 2 4 2" xfId="16874"/>
    <cellStyle name="常规 4 2 2 8 2 2 4 2 2" xfId="16875"/>
    <cellStyle name="常规 4 2 2 8 2 2 4 2 2 2" xfId="16876"/>
    <cellStyle name="常规 4 2 2 8 2 2 4 2 2 2 2" xfId="16878"/>
    <cellStyle name="常规 4 2 2 8 2 2 4 2 2 2 2 2" xfId="16880"/>
    <cellStyle name="常规 4 2 2 8 2 2 4 2 2 2 2 2 2" xfId="16882"/>
    <cellStyle name="常规 4 2 2 8 2 2 4 2 2 2 2 3" xfId="16884"/>
    <cellStyle name="常规 4 2 2 8 2 2 4 2 2 2 2 4" xfId="16885"/>
    <cellStyle name="常规 4 2 2 8 2 2 4 2 2 2 3" xfId="16886"/>
    <cellStyle name="常规 4 2 2 8 2 2 4 2 2 2 3 2" xfId="16887"/>
    <cellStyle name="常规 4 2 2 8 2 2 4 2 2 2 4" xfId="16890"/>
    <cellStyle name="常规 4 2 2 8 2 2 4 2 2 2 5" xfId="1409"/>
    <cellStyle name="常规 4 2 2 8 2 2 4 2 2 3" xfId="8765"/>
    <cellStyle name="常规 4 2 2 8 2 2 4 2 2 3 2" xfId="5992"/>
    <cellStyle name="常规 4 2 2 8 2 2 4 2 2 3 2 2" xfId="1307"/>
    <cellStyle name="常规 4 2 2 8 2 2 4 2 2 3 3" xfId="6000"/>
    <cellStyle name="常规 4 2 2 8 2 2 4 2 2 3 4" xfId="6006"/>
    <cellStyle name="常规 4 2 2 8 2 2 4 2 2 4" xfId="8769"/>
    <cellStyle name="常规 4 2 2 8 2 2 4 2 2 4 2" xfId="6014"/>
    <cellStyle name="常规 4 2 2 8 2 2 4 2 2 5" xfId="8771"/>
    <cellStyle name="常规 4 2 2 8 2 2 4 2 2 6" xfId="8774"/>
    <cellStyle name="常规 4 2 2 8 2 2 4 2 3" xfId="16891"/>
    <cellStyle name="常规 4 2 2 8 2 2 4 2 3 2" xfId="16892"/>
    <cellStyle name="常规 4 2 2 8 2 2 4 2 3 2 2" xfId="16893"/>
    <cellStyle name="常规 4 2 2 8 2 2 4 2 3 2 2 2" xfId="16894"/>
    <cellStyle name="常规 4 2 2 8 2 2 4 2 3 2 3" xfId="16895"/>
    <cellStyle name="常规 4 2 2 8 2 2 4 2 3 2 4" xfId="16898"/>
    <cellStyle name="常规 4 2 2 8 2 2 4 2 3 3" xfId="8778"/>
    <cellStyle name="常规 4 2 2 8 2 2 4 2 3 3 2" xfId="6033"/>
    <cellStyle name="常规 4 2 2 8 2 2 4 2 3 4" xfId="8780"/>
    <cellStyle name="常规 4 2 2 8 2 2 4 2 3 5" xfId="4533"/>
    <cellStyle name="常规 4 2 2 8 2 2 4 2 4" xfId="16899"/>
    <cellStyle name="常规 4 2 2 8 2 2 4 2 4 2" xfId="16900"/>
    <cellStyle name="常规 4 2 2 8 2 2 4 2 4 2 2" xfId="16901"/>
    <cellStyle name="常规 4 2 2 8 2 2 4 2 4 3" xfId="8785"/>
    <cellStyle name="常规 4 2 2 8 2 2 4 2 4 4" xfId="16904"/>
    <cellStyle name="常规 4 2 2 8 2 2 4 2 5" xfId="16905"/>
    <cellStyle name="常规 4 2 2 8 2 2 4 2 5 2" xfId="16906"/>
    <cellStyle name="常规 4 2 2 8 2 2 4 2 6" xfId="16908"/>
    <cellStyle name="常规 4 2 2 8 2 2 4 2 7" xfId="16909"/>
    <cellStyle name="常规 4 2 2 8 2 2 4 3" xfId="16910"/>
    <cellStyle name="常规 4 2 2 8 2 2 4 3 2" xfId="16911"/>
    <cellStyle name="常规 4 2 2 8 2 2 4 3 2 2" xfId="16912"/>
    <cellStyle name="常规 4 2 2 8 2 2 4 3 2 2 2" xfId="16913"/>
    <cellStyle name="常规 4 2 2 8 2 2 4 3 2 2 2 2" xfId="16914"/>
    <cellStyle name="常规 4 2 2 8 2 2 4 3 2 2 3" xfId="3660"/>
    <cellStyle name="常规 4 2 2 8 2 2 4 3 2 2 4" xfId="16917"/>
    <cellStyle name="常规 4 2 2 8 2 2 4 3 2 3" xfId="8808"/>
    <cellStyle name="常规 4 2 2 8 2 2 4 3 2 3 2" xfId="6082"/>
    <cellStyle name="常规 4 2 2 8 2 2 4 3 2 4" xfId="8810"/>
    <cellStyle name="常规 4 2 2 8 2 2 4 3 2 5" xfId="8812"/>
    <cellStyle name="常规 4 2 2 8 2 2 4 3 3" xfId="16918"/>
    <cellStyle name="常规 4 2 2 8 2 2 4 3 3 2" xfId="16919"/>
    <cellStyle name="常规 4 2 2 8 2 2 4 3 3 2 2" xfId="16920"/>
    <cellStyle name="常规 4 2 2 8 2 2 4 3 3 3" xfId="8817"/>
    <cellStyle name="常规 4 2 2 8 2 2 4 3 3 4" xfId="16921"/>
    <cellStyle name="常规 4 2 2 8 2 2 4 3 4" xfId="16924"/>
    <cellStyle name="常规 4 2 2 8 2 2 4 3 4 2" xfId="16927"/>
    <cellStyle name="常规 4 2 2 8 2 2 4 3 5" xfId="16930"/>
    <cellStyle name="常规 4 2 2 8 2 2 4 3 6" xfId="16934"/>
    <cellStyle name="常规 4 2 2 8 2 2 4 4" xfId="10846"/>
    <cellStyle name="常规 4 2 2 8 2 2 4 4 2" xfId="10849"/>
    <cellStyle name="常规 4 2 2 8 2 2 4 4 2 2" xfId="5629"/>
    <cellStyle name="常规 4 2 2 8 2 2 4 4 2 2 2" xfId="5631"/>
    <cellStyle name="常规 4 2 2 8 2 2 4 4 2 3" xfId="5639"/>
    <cellStyle name="常规 4 2 2 8 2 2 4 4 2 4" xfId="5651"/>
    <cellStyle name="常规 4 2 2 8 2 2 4 4 3" xfId="16935"/>
    <cellStyle name="常规 4 2 2 8 2 2 4 4 3 2" xfId="5658"/>
    <cellStyle name="常规 4 2 2 8 2 2 4 4 4" xfId="16938"/>
    <cellStyle name="常规 4 2 2 8 2 2 4 4 5" xfId="16939"/>
    <cellStyle name="常规 4 2 2 8 2 2 4 5" xfId="10852"/>
    <cellStyle name="常规 4 2 2 8 2 2 4 5 2" xfId="16940"/>
    <cellStyle name="常规 4 2 2 8 2 2 4 5 2 2" xfId="5777"/>
    <cellStyle name="常规 4 2 2 8 2 2 4 5 3" xfId="16941"/>
    <cellStyle name="常规 4 2 2 8 2 2 4 5 4" xfId="16942"/>
    <cellStyle name="常规 4 2 2 8 2 2 4 6" xfId="10857"/>
    <cellStyle name="常规 4 2 2 8 2 2 4 6 2" xfId="16944"/>
    <cellStyle name="常规 4 2 2 8 2 2 4 7" xfId="16946"/>
    <cellStyle name="常规 4 2 2 8 2 2 4 8" xfId="16948"/>
    <cellStyle name="常规 4 2 2 8 2 2 5" xfId="11896"/>
    <cellStyle name="常规 4 2 2 8 2 2 5 2" xfId="11898"/>
    <cellStyle name="常规 4 2 2 8 2 2 5 2 2" xfId="11900"/>
    <cellStyle name="常规 4 2 2 8 2 2 5 2 2 2" xfId="16949"/>
    <cellStyle name="常规 4 2 2 8 2 2 5 2 2 2 2" xfId="16950"/>
    <cellStyle name="常规 4 2 2 8 2 2 5 2 2 2 2 2" xfId="16955"/>
    <cellStyle name="常规 4 2 2 8 2 2 5 2 2 2 3" xfId="16956"/>
    <cellStyle name="常规 4 2 2 8 2 2 5 2 2 2 4" xfId="16957"/>
    <cellStyle name="常规 4 2 2 8 2 2 5 2 2 3" xfId="8860"/>
    <cellStyle name="常规 4 2 2 8 2 2 5 2 2 3 2" xfId="6721"/>
    <cellStyle name="常规 4 2 2 8 2 2 5 2 2 4" xfId="8862"/>
    <cellStyle name="常规 4 2 2 8 2 2 5 2 2 5" xfId="8865"/>
    <cellStyle name="常规 4 2 2 8 2 2 5 2 3" xfId="16958"/>
    <cellStyle name="常规 4 2 2 8 2 2 5 2 3 2" xfId="16959"/>
    <cellStyle name="常规 4 2 2 8 2 2 5 2 3 2 2" xfId="16960"/>
    <cellStyle name="常规 4 2 2 8 2 2 5 2 3 3" xfId="8870"/>
    <cellStyle name="常规 4 2 2 8 2 2 5 2 3 4" xfId="16961"/>
    <cellStyle name="常规 4 2 2 8 2 2 5 2 4" xfId="16963"/>
    <cellStyle name="常规 4 2 2 8 2 2 5 2 4 2" xfId="16964"/>
    <cellStyle name="常规 4 2 2 8 2 2 5 2 5" xfId="16965"/>
    <cellStyle name="常规 4 2 2 8 2 2 5 2 6" xfId="16967"/>
    <cellStyle name="常规 4 2 2 8 2 2 5 3" xfId="11903"/>
    <cellStyle name="常规 4 2 2 8 2 2 5 3 2" xfId="16968"/>
    <cellStyle name="常规 4 2 2 8 2 2 5 3 2 2" xfId="16969"/>
    <cellStyle name="常规 4 2 2 8 2 2 5 3 2 2 2" xfId="16970"/>
    <cellStyle name="常规 4 2 2 8 2 2 5 3 2 3" xfId="8888"/>
    <cellStyle name="常规 4 2 2 8 2 2 5 3 2 4" xfId="16971"/>
    <cellStyle name="常规 4 2 2 8 2 2 5 3 3" xfId="16973"/>
    <cellStyle name="常规 4 2 2 8 2 2 5 3 3 2" xfId="16974"/>
    <cellStyle name="常规 4 2 2 8 2 2 5 3 4" xfId="16977"/>
    <cellStyle name="常规 4 2 2 8 2 2 5 3 5" xfId="16978"/>
    <cellStyle name="常规 4 2 2 8 2 2 5 4" xfId="10861"/>
    <cellStyle name="常规 4 2 2 8 2 2 5 4 2" xfId="16979"/>
    <cellStyle name="常规 4 2 2 8 2 2 5 4 2 2" xfId="5905"/>
    <cellStyle name="常规 4 2 2 8 2 2 5 4 3" xfId="16980"/>
    <cellStyle name="常规 4 2 2 8 2 2 5 4 4" xfId="16981"/>
    <cellStyle name="常规 4 2 2 8 2 2 5 5" xfId="16982"/>
    <cellStyle name="常规 4 2 2 8 2 2 5 5 2" xfId="16983"/>
    <cellStyle name="常规 4 2 2 8 2 2 5 6" xfId="16985"/>
    <cellStyle name="常规 4 2 2 8 2 2 5 7" xfId="16986"/>
    <cellStyle name="常规 4 2 2 8 2 2 6" xfId="11905"/>
    <cellStyle name="常规 4 2 2 8 2 2 6 2" xfId="11907"/>
    <cellStyle name="常规 4 2 2 8 2 2 6 2 2" xfId="1947"/>
    <cellStyle name="常规 4 2 2 8 2 2 6 2 2 2" xfId="1953"/>
    <cellStyle name="常规 4 2 2 8 2 2 6 2 2 2 2" xfId="16988"/>
    <cellStyle name="常规 4 2 2 8 2 2 6 2 2 3" xfId="1959"/>
    <cellStyle name="常规 4 2 2 8 2 2 6 2 2 4" xfId="16989"/>
    <cellStyle name="常规 4 2 2 8 2 2 6 2 3" xfId="2238"/>
    <cellStyle name="常规 4 2 2 8 2 2 6 2 3 2" xfId="16994"/>
    <cellStyle name="常规 4 2 2 8 2 2 6 2 4" xfId="2242"/>
    <cellStyle name="常规 4 2 2 8 2 2 6 2 5" xfId="2246"/>
    <cellStyle name="常规 4 2 2 8 2 2 6 3" xfId="16995"/>
    <cellStyle name="常规 4 2 2 8 2 2 6 3 2" xfId="8740"/>
    <cellStyle name="常规 4 2 2 8 2 2 6 3 2 2" xfId="8744"/>
    <cellStyle name="常规 4 2 2 8 2 2 6 3 3" xfId="8756"/>
    <cellStyle name="常规 4 2 2 8 2 2 6 3 4" xfId="8761"/>
    <cellStyle name="常规 4 2 2 8 2 2 6 4" xfId="16996"/>
    <cellStyle name="常规 4 2 2 8 2 2 6 4 2" xfId="8768"/>
    <cellStyle name="常规 4 2 2 8 2 2 6 5" xfId="16997"/>
    <cellStyle name="常规 4 2 2 8 2 2 6 6" xfId="16999"/>
    <cellStyle name="常规 4 2 2 8 2 2 7" xfId="11909"/>
    <cellStyle name="常规 4 2 2 8 2 2 7 2" xfId="13652"/>
    <cellStyle name="常规 4 2 2 8 2 2 7 2 2" xfId="17000"/>
    <cellStyle name="常规 4 2 2 8 2 2 7 2 2 2" xfId="17001"/>
    <cellStyle name="常规 4 2 2 8 2 2 7 2 3" xfId="17002"/>
    <cellStyle name="常规 4 2 2 8 2 2 7 2 4" xfId="17003"/>
    <cellStyle name="常规 4 2 2 8 2 2 7 3" xfId="17004"/>
    <cellStyle name="常规 4 2 2 8 2 2 7 3 2" xfId="8802"/>
    <cellStyle name="常规 4 2 2 8 2 2 7 4" xfId="17005"/>
    <cellStyle name="常规 4 2 2 8 2 2 7 5" xfId="17006"/>
    <cellStyle name="常规 4 2 2 8 2 2 8" xfId="11913"/>
    <cellStyle name="常规 4 2 2 8 2 2 8 2" xfId="17007"/>
    <cellStyle name="常规 4 2 2 8 2 2 8 2 2" xfId="17008"/>
    <cellStyle name="常规 4 2 2 8 2 2 8 3" xfId="17009"/>
    <cellStyle name="常规 4 2 2 8 2 2 8 4" xfId="17010"/>
    <cellStyle name="常规 4 2 2 8 2 2 9" xfId="17011"/>
    <cellStyle name="常规 4 2 2 8 2 2 9 2" xfId="17012"/>
    <cellStyle name="常规 4 2 2 8 2 3" xfId="17013"/>
    <cellStyle name="常规 4 2 2 8 2 3 2" xfId="3476"/>
    <cellStyle name="常规 4 2 2 8 2 3 2 2" xfId="17015"/>
    <cellStyle name="常规 4 2 2 8 2 3 2 2 2" xfId="17016"/>
    <cellStyle name="常规 4 2 2 8 2 3 2 2 2 2" xfId="17017"/>
    <cellStyle name="常规 4 2 2 8 2 3 2 2 2 2 2" xfId="17020"/>
    <cellStyle name="常规 4 2 2 8 2 3 2 2 2 2 2 2" xfId="10945"/>
    <cellStyle name="常规 4 2 2 8 2 3 2 2 2 2 2 2 2" xfId="1048"/>
    <cellStyle name="常规 4 2 2 8 2 3 2 2 2 2 2 3" xfId="10949"/>
    <cellStyle name="常规 4 2 2 8 2 3 2 2 2 2 2 4" xfId="10952"/>
    <cellStyle name="常规 4 2 2 8 2 3 2 2 2 2 3" xfId="17023"/>
    <cellStyle name="常规 4 2 2 8 2 3 2 2 2 2 3 2" xfId="10965"/>
    <cellStyle name="常规 4 2 2 8 2 3 2 2 2 2 4" xfId="17024"/>
    <cellStyle name="常规 4 2 2 8 2 3 2 2 2 2 5" xfId="17028"/>
    <cellStyle name="常规 4 2 2 8 2 3 2 2 2 3" xfId="9047"/>
    <cellStyle name="常规 4 2 2 8 2 3 2 2 2 3 2" xfId="9051"/>
    <cellStyle name="常规 4 2 2 8 2 3 2 2 2 3 2 2" xfId="2549"/>
    <cellStyle name="常规 4 2 2 8 2 3 2 2 2 3 3" xfId="9059"/>
    <cellStyle name="常规 4 2 2 8 2 3 2 2 2 3 4" xfId="9064"/>
    <cellStyle name="常规 4 2 2 8 2 3 2 2 2 4" xfId="9069"/>
    <cellStyle name="常规 4 2 2 8 2 3 2 2 2 4 2" xfId="9072"/>
    <cellStyle name="常规 4 2 2 8 2 3 2 2 2 5" xfId="9080"/>
    <cellStyle name="常规 4 2 2 8 2 3 2 2 2 6" xfId="654"/>
    <cellStyle name="常规 4 2 2 8 2 3 2 2 3" xfId="17032"/>
    <cellStyle name="常规 4 2 2 8 2 3 2 2 3 2" xfId="17033"/>
    <cellStyle name="常规 4 2 2 8 2 3 2 2 3 2 2" xfId="17036"/>
    <cellStyle name="常规 4 2 2 8 2 3 2 2 3 2 2 2" xfId="11959"/>
    <cellStyle name="常规 4 2 2 8 2 3 2 2 3 2 3" xfId="17039"/>
    <cellStyle name="常规 4 2 2 8 2 3 2 2 3 2 4" xfId="17040"/>
    <cellStyle name="常规 4 2 2 8 2 3 2 2 3 3" xfId="9088"/>
    <cellStyle name="常规 4 2 2 8 2 3 2 2 3 3 2" xfId="9092"/>
    <cellStyle name="常规 4 2 2 8 2 3 2 2 3 4" xfId="9102"/>
    <cellStyle name="常规 4 2 2 8 2 3 2 2 3 5" xfId="4591"/>
    <cellStyle name="常规 4 2 2 8 2 3 2 2 4" xfId="17044"/>
    <cellStyle name="常规 4 2 2 8 2 3 2 2 4 2" xfId="17045"/>
    <cellStyle name="常规 4 2 2 8 2 3 2 2 4 2 2" xfId="17048"/>
    <cellStyle name="常规 4 2 2 8 2 3 2 2 4 3" xfId="9109"/>
    <cellStyle name="常规 4 2 2 8 2 3 2 2 4 4" xfId="9116"/>
    <cellStyle name="常规 4 2 2 8 2 3 2 2 5" xfId="17049"/>
    <cellStyle name="常规 4 2 2 8 2 3 2 2 5 2" xfId="17051"/>
    <cellStyle name="常规 4 2 2 8 2 3 2 2 6" xfId="17052"/>
    <cellStyle name="常规 4 2 2 8 2 3 2 2 7" xfId="17053"/>
    <cellStyle name="常规 4 2 2 8 2 3 2 3" xfId="17054"/>
    <cellStyle name="常规 4 2 2 8 2 3 2 3 2" xfId="17055"/>
    <cellStyle name="常规 4 2 2 8 2 3 2 3 2 2" xfId="17056"/>
    <cellStyle name="常规 4 2 2 8 2 3 2 3 2 2 2" xfId="17059"/>
    <cellStyle name="常规 4 2 2 8 2 3 2 3 2 2 2 2" xfId="2188"/>
    <cellStyle name="常规 4 2 2 8 2 3 2 3 2 2 3" xfId="1615"/>
    <cellStyle name="常规 4 2 2 8 2 3 2 3 2 2 4" xfId="47"/>
    <cellStyle name="常规 4 2 2 8 2 3 2 3 2 3" xfId="9154"/>
    <cellStyle name="常规 4 2 2 8 2 3 2 3 2 3 2" xfId="9158"/>
    <cellStyle name="常规 4 2 2 8 2 3 2 3 2 4" xfId="9160"/>
    <cellStyle name="常规 4 2 2 8 2 3 2 3 2 5" xfId="9166"/>
    <cellStyle name="常规 4 2 2 8 2 3 2 3 3" xfId="17060"/>
    <cellStyle name="常规 4 2 2 8 2 3 2 3 3 2" xfId="17061"/>
    <cellStyle name="常规 4 2 2 8 2 3 2 3 3 2 2" xfId="17064"/>
    <cellStyle name="常规 4 2 2 8 2 3 2 3 3 3" xfId="9172"/>
    <cellStyle name="常规 4 2 2 8 2 3 2 3 3 4" xfId="9180"/>
    <cellStyle name="常规 4 2 2 8 2 3 2 3 4" xfId="17065"/>
    <cellStyle name="常规 4 2 2 8 2 3 2 3 4 2" xfId="17066"/>
    <cellStyle name="常规 4 2 2 8 2 3 2 3 5" xfId="17067"/>
    <cellStyle name="常规 4 2 2 8 2 3 2 3 6" xfId="17069"/>
    <cellStyle name="常规 4 2 2 8 2 3 2 4" xfId="17070"/>
    <cellStyle name="常规 4 2 2 8 2 3 2 4 2" xfId="17071"/>
    <cellStyle name="常规 4 2 2 8 2 3 2 4 2 2" xfId="6255"/>
    <cellStyle name="常规 4 2 2 8 2 3 2 4 2 2 2" xfId="6260"/>
    <cellStyle name="常规 4 2 2 8 2 3 2 4 2 3" xfId="6264"/>
    <cellStyle name="常规 4 2 2 8 2 3 2 4 2 4" xfId="6270"/>
    <cellStyle name="常规 4 2 2 8 2 3 2 4 3" xfId="17072"/>
    <cellStyle name="常规 4 2 2 8 2 3 2 4 3 2" xfId="6283"/>
    <cellStyle name="常规 4 2 2 8 2 3 2 4 4" xfId="17073"/>
    <cellStyle name="常规 4 2 2 8 2 3 2 4 5" xfId="17075"/>
    <cellStyle name="常规 4 2 2 8 2 3 2 5" xfId="17076"/>
    <cellStyle name="常规 4 2 2 8 2 3 2 5 2" xfId="17077"/>
    <cellStyle name="常规 4 2 2 8 2 3 2 5 2 2" xfId="6332"/>
    <cellStyle name="常规 4 2 2 8 2 3 2 5 3" xfId="17078"/>
    <cellStyle name="常规 4 2 2 8 2 3 2 5 4" xfId="17079"/>
    <cellStyle name="常规 4 2 2 8 2 3 2 6" xfId="17080"/>
    <cellStyle name="常规 4 2 2 8 2 3 2 6 2" xfId="17081"/>
    <cellStyle name="常规 4 2 2 8 2 3 2 7" xfId="17082"/>
    <cellStyle name="常规 4 2 2 8 2 3 2 8" xfId="17083"/>
    <cellStyle name="常规 4 2 2 8 2 3 3" xfId="17084"/>
    <cellStyle name="常规 4 2 2 8 2 3 3 2" xfId="17085"/>
    <cellStyle name="常规 4 2 2 8 2 3 3 2 2" xfId="17086"/>
    <cellStyle name="常规 4 2 2 8 2 3 3 2 2 2" xfId="17087"/>
    <cellStyle name="常规 4 2 2 8 2 3 3 2 2 2 2" xfId="17089"/>
    <cellStyle name="常规 4 2 2 8 2 3 3 2 2 2 2 2" xfId="17091"/>
    <cellStyle name="常规 4 2 2 8 2 3 3 2 2 2 3" xfId="17092"/>
    <cellStyle name="常规 4 2 2 8 2 3 3 2 2 2 4" xfId="17093"/>
    <cellStyle name="常规 4 2 2 8 2 3 3 2 2 3" xfId="9284"/>
    <cellStyle name="常规 4 2 2 8 2 3 3 2 2 3 2" xfId="9286"/>
    <cellStyle name="常规 4 2 2 8 2 3 3 2 2 4" xfId="9290"/>
    <cellStyle name="常规 4 2 2 8 2 3 3 2 2 5" xfId="9293"/>
    <cellStyle name="常规 4 2 2 8 2 3 3 2 3" xfId="17096"/>
    <cellStyle name="常规 4 2 2 8 2 3 3 2 3 2" xfId="17097"/>
    <cellStyle name="常规 4 2 2 8 2 3 3 2 3 2 2" xfId="17098"/>
    <cellStyle name="常规 4 2 2 8 2 3 3 2 3 3" xfId="9298"/>
    <cellStyle name="常规 4 2 2 8 2 3 3 2 3 4" xfId="9302"/>
    <cellStyle name="常规 4 2 2 8 2 3 3 2 4" xfId="17099"/>
    <cellStyle name="常规 4 2 2 8 2 3 3 2 4 2" xfId="17100"/>
    <cellStyle name="常规 4 2 2 8 2 3 3 2 5" xfId="17101"/>
    <cellStyle name="常规 4 2 2 8 2 3 3 2 6" xfId="17102"/>
    <cellStyle name="常规 4 2 2 8 2 3 3 3" xfId="17103"/>
    <cellStyle name="常规 4 2 2 8 2 3 3 3 2" xfId="17104"/>
    <cellStyle name="常规 4 2 2 8 2 3 3 3 2 2" xfId="13775"/>
    <cellStyle name="常规 4 2 2 8 2 3 3 3 2 2 2" xfId="13777"/>
    <cellStyle name="常规 4 2 2 8 2 3 3 3 2 3" xfId="9327"/>
    <cellStyle name="常规 4 2 2 8 2 3 3 3 2 4" xfId="2910"/>
    <cellStyle name="常规 4 2 2 8 2 3 3 3 3" xfId="17105"/>
    <cellStyle name="常规 4 2 2 8 2 3 3 3 3 2" xfId="14817"/>
    <cellStyle name="常规 4 2 2 8 2 3 3 3 4" xfId="17106"/>
    <cellStyle name="常规 4 2 2 8 2 3 3 3 5" xfId="17107"/>
    <cellStyle name="常规 4 2 2 8 2 3 3 4" xfId="17108"/>
    <cellStyle name="常规 4 2 2 8 2 3 3 4 2" xfId="17109"/>
    <cellStyle name="常规 4 2 2 8 2 3 3 4 2 2" xfId="6458"/>
    <cellStyle name="常规 4 2 2 8 2 3 3 4 3" xfId="17110"/>
    <cellStyle name="常规 4 2 2 8 2 3 3 4 4" xfId="17111"/>
    <cellStyle name="常规 4 2 2 8 2 3 3 5" xfId="17112"/>
    <cellStyle name="常规 4 2 2 8 2 3 3 5 2" xfId="17113"/>
    <cellStyle name="常规 4 2 2 8 2 3 3 6" xfId="17114"/>
    <cellStyle name="常规 4 2 2 8 2 3 3 7" xfId="17115"/>
    <cellStyle name="常规 4 2 2 8 2 3 4" xfId="17116"/>
    <cellStyle name="常规 4 2 2 8 2 3 4 2" xfId="17117"/>
    <cellStyle name="常规 4 2 2 8 2 3 4 2 2" xfId="17118"/>
    <cellStyle name="常规 4 2 2 8 2 3 4 2 2 2" xfId="17119"/>
    <cellStyle name="常规 4 2 2 8 2 3 4 2 2 2 2" xfId="17122"/>
    <cellStyle name="常规 4 2 2 8 2 3 4 2 2 3" xfId="9389"/>
    <cellStyle name="常规 4 2 2 8 2 3 4 2 2 4" xfId="9391"/>
    <cellStyle name="常规 4 2 2 8 2 3 4 2 3" xfId="17123"/>
    <cellStyle name="常规 4 2 2 8 2 3 4 2 3 2" xfId="17124"/>
    <cellStyle name="常规 4 2 2 8 2 3 4 2 4" xfId="17125"/>
    <cellStyle name="常规 4 2 2 8 2 3 4 2 5" xfId="17126"/>
    <cellStyle name="常规 4 2 2 8 2 3 4 3" xfId="17127"/>
    <cellStyle name="常规 4 2 2 8 2 3 4 3 2" xfId="17128"/>
    <cellStyle name="常规 4 2 2 8 2 3 4 3 2 2" xfId="17129"/>
    <cellStyle name="常规 4 2 2 8 2 3 4 3 3" xfId="17130"/>
    <cellStyle name="常规 4 2 2 8 2 3 4 3 4" xfId="17133"/>
    <cellStyle name="常规 4 2 2 8 2 3 4 4" xfId="10868"/>
    <cellStyle name="常规 4 2 2 8 2 3 4 4 2" xfId="17134"/>
    <cellStyle name="常规 4 2 2 8 2 3 4 5" xfId="17135"/>
    <cellStyle name="常规 4 2 2 8 2 3 4 6" xfId="17137"/>
    <cellStyle name="常规 4 2 2 8 2 3 5" xfId="11918"/>
    <cellStyle name="常规 4 2 2 8 2 3 5 2" xfId="11921"/>
    <cellStyle name="常规 4 2 2 8 2 3 5 2 2" xfId="17139"/>
    <cellStyle name="常规 4 2 2 8 2 3 5 2 2 2" xfId="17141"/>
    <cellStyle name="常规 4 2 2 8 2 3 5 2 3" xfId="17143"/>
    <cellStyle name="常规 4 2 2 8 2 3 5 2 4" xfId="17145"/>
    <cellStyle name="常规 4 2 2 8 2 3 5 3" xfId="17147"/>
    <cellStyle name="常规 4 2 2 8 2 3 5 3 2" xfId="17149"/>
    <cellStyle name="常规 4 2 2 8 2 3 5 4" xfId="17151"/>
    <cellStyle name="常规 4 2 2 8 2 3 5 5" xfId="1856"/>
    <cellStyle name="常规 4 2 2 8 2 3 6" xfId="11924"/>
    <cellStyle name="常规 4 2 2 8 2 3 6 2" xfId="17153"/>
    <cellStyle name="常规 4 2 2 8 2 3 6 2 2" xfId="17155"/>
    <cellStyle name="常规 4 2 2 8 2 3 6 3" xfId="17157"/>
    <cellStyle name="常规 4 2 2 8 2 3 6 4" xfId="17159"/>
    <cellStyle name="常规 4 2 2 8 2 3 7" xfId="11927"/>
    <cellStyle name="常规 4 2 2 8 2 3 7 2" xfId="16618"/>
    <cellStyle name="常规 4 2 2 8 2 3 8" xfId="17161"/>
    <cellStyle name="常规 4 2 2 8 2 3 9" xfId="17163"/>
    <cellStyle name="常规 4 2 2 8 2 4" xfId="17164"/>
    <cellStyle name="常规 4 2 2 8 2 4 2" xfId="17165"/>
    <cellStyle name="常规 4 2 2 8 2 4 2 2" xfId="15656"/>
    <cellStyle name="常规 4 2 2 8 2 4 2 2 2" xfId="17166"/>
    <cellStyle name="常规 4 2 2 8 2 4 2 2 2 2" xfId="17167"/>
    <cellStyle name="常规 4 2 2 8 2 4 2 2 2 2 2" xfId="17168"/>
    <cellStyle name="常规 4 2 2 8 2 4 2 2 2 2 2 2" xfId="17169"/>
    <cellStyle name="常规 4 2 2 8 2 4 2 2 2 2 2 2 2" xfId="17173"/>
    <cellStyle name="常规 4 2 2 8 2 4 2 2 2 2 2 3" xfId="17174"/>
    <cellStyle name="常规 4 2 2 8 2 4 2 2 2 2 2 4" xfId="17175"/>
    <cellStyle name="常规 4 2 2 8 2 4 2 2 2 2 3" xfId="17176"/>
    <cellStyle name="常规 4 2 2 8 2 4 2 2 2 2 3 2" xfId="17177"/>
    <cellStyle name="常规 4 2 2 8 2 4 2 2 2 2 4" xfId="17178"/>
    <cellStyle name="常规 4 2 2 8 2 4 2 2 2 2 5" xfId="17182"/>
    <cellStyle name="常规 4 2 2 8 2 4 2 2 2 3" xfId="9503"/>
    <cellStyle name="常规 4 2 2 8 2 4 2 2 2 3 2" xfId="6931"/>
    <cellStyle name="常规 4 2 2 8 2 4 2 2 2 3 2 2" xfId="17183"/>
    <cellStyle name="常规 4 2 2 8 2 4 2 2 2 3 3" xfId="17184"/>
    <cellStyle name="常规 4 2 2 8 2 4 2 2 2 3 4" xfId="17186"/>
    <cellStyle name="常规 4 2 2 8 2 4 2 2 2 4" xfId="9505"/>
    <cellStyle name="常规 4 2 2 8 2 4 2 2 2 4 2" xfId="17187"/>
    <cellStyle name="常规 4 2 2 8 2 4 2 2 2 5" xfId="9507"/>
    <cellStyle name="常规 4 2 2 8 2 4 2 2 2 6" xfId="17188"/>
    <cellStyle name="常规 4 2 2 8 2 4 2 2 3" xfId="17189"/>
    <cellStyle name="常规 4 2 2 8 2 4 2 2 3 2" xfId="17190"/>
    <cellStyle name="常规 4 2 2 8 2 4 2 2 3 2 2" xfId="17191"/>
    <cellStyle name="常规 4 2 2 8 2 4 2 2 3 2 2 2" xfId="17192"/>
    <cellStyle name="常规 4 2 2 8 2 4 2 2 3 2 3" xfId="17193"/>
    <cellStyle name="常规 4 2 2 8 2 4 2 2 3 2 4" xfId="17195"/>
    <cellStyle name="常规 4 2 2 8 2 4 2 2 3 3" xfId="9510"/>
    <cellStyle name="常规 4 2 2 8 2 4 2 2 3 3 2" xfId="17196"/>
    <cellStyle name="常规 4 2 2 8 2 4 2 2 3 4" xfId="17197"/>
    <cellStyle name="常规 4 2 2 8 2 4 2 2 3 5" xfId="991"/>
    <cellStyle name="常规 4 2 2 8 2 4 2 2 4" xfId="17198"/>
    <cellStyle name="常规 4 2 2 8 2 4 2 2 4 2" xfId="17200"/>
    <cellStyle name="常规 4 2 2 8 2 4 2 2 4 2 2" xfId="17202"/>
    <cellStyle name="常规 4 2 2 8 2 4 2 2 4 3" xfId="17206"/>
    <cellStyle name="常规 4 2 2 8 2 4 2 2 4 4" xfId="17210"/>
    <cellStyle name="常规 4 2 2 8 2 4 2 2 5" xfId="17211"/>
    <cellStyle name="常规 4 2 2 8 2 4 2 2 5 2" xfId="17212"/>
    <cellStyle name="常规 4 2 2 8 2 4 2 2 6" xfId="17213"/>
    <cellStyle name="常规 4 2 2 8 2 4 2 2 7" xfId="17214"/>
    <cellStyle name="常规 4 2 2 8 2 4 2 3" xfId="15659"/>
    <cellStyle name="常规 4 2 2 8 2 4 2 3 2" xfId="17215"/>
    <cellStyle name="常规 4 2 2 8 2 4 2 3 2 2" xfId="17216"/>
    <cellStyle name="常规 4 2 2 8 2 4 2 3 2 2 2" xfId="17217"/>
    <cellStyle name="常规 4 2 2 8 2 4 2 3 2 2 2 2" xfId="17218"/>
    <cellStyle name="常规 4 2 2 8 2 4 2 3 2 2 3" xfId="17219"/>
    <cellStyle name="常规 4 2 2 8 2 4 2 3 2 2 4" xfId="17221"/>
    <cellStyle name="常规 4 2 2 8 2 4 2 3 2 3" xfId="9525"/>
    <cellStyle name="常规 4 2 2 8 2 4 2 3 2 3 2" xfId="7110"/>
    <cellStyle name="常规 4 2 2 8 2 4 2 3 2 4" xfId="17222"/>
    <cellStyle name="常规 4 2 2 8 2 4 2 3 2 5" xfId="17223"/>
    <cellStyle name="常规 4 2 2 8 2 4 2 3 3" xfId="17224"/>
    <cellStyle name="常规 4 2 2 8 2 4 2 3 3 2" xfId="17225"/>
    <cellStyle name="常规 4 2 2 8 2 4 2 3 3 2 2" xfId="17226"/>
    <cellStyle name="常规 4 2 2 8 2 4 2 3 3 3" xfId="16496"/>
    <cellStyle name="常规 4 2 2 8 2 4 2 3 3 4" xfId="17227"/>
    <cellStyle name="常规 4 2 2 8 2 4 2 3 4" xfId="17228"/>
    <cellStyle name="常规 4 2 2 8 2 4 2 3 4 2" xfId="17229"/>
    <cellStyle name="常规 4 2 2 8 2 4 2 3 5" xfId="17230"/>
    <cellStyle name="常规 4 2 2 8 2 4 2 3 6" xfId="17232"/>
    <cellStyle name="常规 4 2 2 8 2 4 2 4" xfId="17233"/>
    <cellStyle name="常规 4 2 2 8 2 4 2 4 2" xfId="17234"/>
    <cellStyle name="常规 4 2 2 8 2 4 2 4 2 2" xfId="6792"/>
    <cellStyle name="常规 4 2 2 8 2 4 2 4 2 2 2" xfId="53"/>
    <cellStyle name="常规 4 2 2 8 2 4 2 4 2 3" xfId="6797"/>
    <cellStyle name="常规 4 2 2 8 2 4 2 4 2 4" xfId="6802"/>
    <cellStyle name="常规 4 2 2 8 2 4 2 4 3" xfId="17235"/>
    <cellStyle name="常规 4 2 2 8 2 4 2 4 3 2" xfId="6807"/>
    <cellStyle name="常规 4 2 2 8 2 4 2 4 4" xfId="17236"/>
    <cellStyle name="常规 4 2 2 8 2 4 2 4 5" xfId="17237"/>
    <cellStyle name="常规 4 2 2 8 2 4 2 5" xfId="17238"/>
    <cellStyle name="常规 4 2 2 8 2 4 2 5 2" xfId="17239"/>
    <cellStyle name="常规 4 2 2 8 2 4 2 5 2 2" xfId="5209"/>
    <cellStyle name="常规 4 2 2 8 2 4 2 5 3" xfId="17240"/>
    <cellStyle name="常规 4 2 2 8 2 4 2 5 4" xfId="17241"/>
    <cellStyle name="常规 4 2 2 8 2 4 2 6" xfId="17242"/>
    <cellStyle name="常规 4 2 2 8 2 4 2 6 2" xfId="17243"/>
    <cellStyle name="常规 4 2 2 8 2 4 2 7" xfId="17244"/>
    <cellStyle name="常规 4 2 2 8 2 4 2 8" xfId="17245"/>
    <cellStyle name="常规 4 2 2 8 2 4 3" xfId="17246"/>
    <cellStyle name="常规 4 2 2 8 2 4 3 2" xfId="17251"/>
    <cellStyle name="常规 4 2 2 8 2 4 3 2 2" xfId="17252"/>
    <cellStyle name="常规 4 2 2 8 2 4 3 2 2 2" xfId="17253"/>
    <cellStyle name="常规 4 2 2 8 2 4 3 2 2 2 2" xfId="17254"/>
    <cellStyle name="常规 4 2 2 8 2 4 3 2 2 2 2 2" xfId="17258"/>
    <cellStyle name="常规 4 2 2 8 2 4 3 2 2 2 3" xfId="13238"/>
    <cellStyle name="常规 4 2 2 8 2 4 3 2 2 2 4" xfId="13242"/>
    <cellStyle name="常规 4 2 2 8 2 4 3 2 2 3" xfId="9556"/>
    <cellStyle name="常规 4 2 2 8 2 4 3 2 2 3 2" xfId="7894"/>
    <cellStyle name="常规 4 2 2 8 2 4 3 2 2 4" xfId="17259"/>
    <cellStyle name="常规 4 2 2 8 2 4 3 2 2 5" xfId="17260"/>
    <cellStyle name="常规 4 2 2 8 2 4 3 2 3" xfId="17261"/>
    <cellStyle name="常规 4 2 2 8 2 4 3 2 3 2" xfId="17262"/>
    <cellStyle name="常规 4 2 2 8 2 4 3 2 3 2 2" xfId="17263"/>
    <cellStyle name="常规 4 2 2 8 2 4 3 2 3 3" xfId="17264"/>
    <cellStyle name="常规 4 2 2 8 2 4 3 2 3 4" xfId="17265"/>
    <cellStyle name="常规 4 2 2 8 2 4 3 2 4" xfId="17266"/>
    <cellStyle name="常规 4 2 2 8 2 4 3 2 4 2" xfId="17267"/>
    <cellStyle name="常规 4 2 2 8 2 4 3 2 5" xfId="17268"/>
    <cellStyle name="常规 4 2 2 8 2 4 3 2 6" xfId="17269"/>
    <cellStyle name="常规 4 2 2 8 2 4 3 3" xfId="17273"/>
    <cellStyle name="常规 4 2 2 8 2 4 3 3 2" xfId="17274"/>
    <cellStyle name="常规 4 2 2 8 2 4 3 3 2 2" xfId="17275"/>
    <cellStyle name="常规 4 2 2 8 2 4 3 3 2 2 2" xfId="17276"/>
    <cellStyle name="常规 4 2 2 8 2 4 3 3 2 3" xfId="17277"/>
    <cellStyle name="常规 4 2 2 8 2 4 3 3 2 4" xfId="17278"/>
    <cellStyle name="常规 4 2 2 8 2 4 3 3 3" xfId="17279"/>
    <cellStyle name="常规 4 2 2 8 2 4 3 3 3 2" xfId="17280"/>
    <cellStyle name="常规 4 2 2 8 2 4 3 3 4" xfId="17281"/>
    <cellStyle name="常规 4 2 2 8 2 4 3 3 5" xfId="17282"/>
    <cellStyle name="常规 4 2 2 8 2 4 3 4" xfId="17283"/>
    <cellStyle name="常规 4 2 2 8 2 4 3 4 2" xfId="17284"/>
    <cellStyle name="常规 4 2 2 8 2 4 3 4 2 2" xfId="2639"/>
    <cellStyle name="常规 4 2 2 8 2 4 3 4 3" xfId="17285"/>
    <cellStyle name="常规 4 2 2 8 2 4 3 4 4" xfId="17286"/>
    <cellStyle name="常规 4 2 2 8 2 4 3 5" xfId="17287"/>
    <cellStyle name="常规 4 2 2 8 2 4 3 5 2" xfId="17288"/>
    <cellStyle name="常规 4 2 2 8 2 4 3 6" xfId="17289"/>
    <cellStyle name="常规 4 2 2 8 2 4 3 7" xfId="17290"/>
    <cellStyle name="常规 4 2 2 8 2 4 4" xfId="1996"/>
    <cellStyle name="常规 4 2 2 8 2 4 4 2" xfId="17294"/>
    <cellStyle name="常规 4 2 2 8 2 4 4 2 2" xfId="17295"/>
    <cellStyle name="常规 4 2 2 8 2 4 4 2 2 2" xfId="17296"/>
    <cellStyle name="常规 4 2 2 8 2 4 4 2 2 2 2" xfId="4932"/>
    <cellStyle name="常规 4 2 2 8 2 4 4 2 2 3" xfId="17297"/>
    <cellStyle name="常规 4 2 2 8 2 4 4 2 2 4" xfId="17300"/>
    <cellStyle name="常规 4 2 2 8 2 4 4 2 3" xfId="17301"/>
    <cellStyle name="常规 4 2 2 8 2 4 4 2 3 2" xfId="17302"/>
    <cellStyle name="常规 4 2 2 8 2 4 4 2 4" xfId="17303"/>
    <cellStyle name="常规 4 2 2 8 2 4 4 2 5" xfId="17304"/>
    <cellStyle name="常规 4 2 2 8 2 4 4 3" xfId="17305"/>
    <cellStyle name="常规 4 2 2 8 2 4 4 3 2" xfId="17306"/>
    <cellStyle name="常规 4 2 2 8 2 4 4 3 2 2" xfId="17307"/>
    <cellStyle name="常规 4 2 2 8 2 4 4 3 3" xfId="17308"/>
    <cellStyle name="常规 4 2 2 8 2 4 4 3 4" xfId="17309"/>
    <cellStyle name="常规 4 2 2 8 2 4 4 4" xfId="17310"/>
    <cellStyle name="常规 4 2 2 8 2 4 4 4 2" xfId="17311"/>
    <cellStyle name="常规 4 2 2 8 2 4 4 5" xfId="17312"/>
    <cellStyle name="常规 4 2 2 8 2 4 4 6" xfId="17314"/>
    <cellStyle name="常规 4 2 2 8 2 4 5" xfId="2003"/>
    <cellStyle name="常规 4 2 2 8 2 4 5 2" xfId="17316"/>
    <cellStyle name="常规 4 2 2 8 2 4 5 2 2" xfId="17318"/>
    <cellStyle name="常规 4 2 2 8 2 4 5 2 2 2" xfId="17320"/>
    <cellStyle name="常规 4 2 2 8 2 4 5 2 3" xfId="17322"/>
    <cellStyle name="常规 4 2 2 8 2 4 5 2 4" xfId="17324"/>
    <cellStyle name="常规 4 2 2 8 2 4 5 3" xfId="17326"/>
    <cellStyle name="常规 4 2 2 8 2 4 5 3 2" xfId="17330"/>
    <cellStyle name="常规 4 2 2 8 2 4 5 4" xfId="17332"/>
    <cellStyle name="常规 4 2 2 8 2 4 5 5" xfId="17334"/>
    <cellStyle name="常规 4 2 2 8 2 4 6" xfId="2010"/>
    <cellStyle name="常规 4 2 2 8 2 4 6 2" xfId="17336"/>
    <cellStyle name="常规 4 2 2 8 2 4 6 2 2" xfId="1920"/>
    <cellStyle name="常规 4 2 2 8 2 4 6 3" xfId="17338"/>
    <cellStyle name="常规 4 2 2 8 2 4 6 4" xfId="17340"/>
    <cellStyle name="常规 4 2 2 8 2 4 7" xfId="2108"/>
    <cellStyle name="常规 4 2 2 8 2 4 7 2" xfId="17342"/>
    <cellStyle name="常规 4 2 2 8 2 4 8" xfId="17344"/>
    <cellStyle name="常规 4 2 2 8 2 4 9" xfId="17346"/>
    <cellStyle name="常规 4 2 2 8 2 5" xfId="17347"/>
    <cellStyle name="常规 4 2 2 8 2 5 2" xfId="17348"/>
    <cellStyle name="常规 4 2 2 8 2 5 2 2" xfId="17350"/>
    <cellStyle name="常规 4 2 2 8 2 5 2 2 2" xfId="17351"/>
    <cellStyle name="常规 4 2 2 8 2 5 2 2 2 2" xfId="17352"/>
    <cellStyle name="常规 4 2 2 8 2 5 2 2 2 2 2" xfId="17354"/>
    <cellStyle name="常规 4 2 2 8 2 5 2 2 2 2 2 2" xfId="17356"/>
    <cellStyle name="常规 4 2 2 8 2 5 2 2 2 2 3" xfId="17358"/>
    <cellStyle name="常规 4 2 2 8 2 5 2 2 2 2 4" xfId="17360"/>
    <cellStyle name="常规 4 2 2 8 2 5 2 2 2 3" xfId="9613"/>
    <cellStyle name="常规 4 2 2 8 2 5 2 2 2 3 2" xfId="14646"/>
    <cellStyle name="常规 4 2 2 8 2 5 2 2 2 4" xfId="17361"/>
    <cellStyle name="常规 4 2 2 8 2 5 2 2 2 5" xfId="17362"/>
    <cellStyle name="常规 4 2 2 8 2 5 2 2 3" xfId="17363"/>
    <cellStyle name="常规 4 2 2 8 2 5 2 2 3 2" xfId="17364"/>
    <cellStyle name="常规 4 2 2 8 2 5 2 2 3 2 2" xfId="17366"/>
    <cellStyle name="常规 4 2 2 8 2 5 2 2 3 3" xfId="17367"/>
    <cellStyle name="常规 4 2 2 8 2 5 2 2 3 4" xfId="17368"/>
    <cellStyle name="常规 4 2 2 8 2 5 2 2 4" xfId="17369"/>
    <cellStyle name="常规 4 2 2 8 2 5 2 2 4 2" xfId="17370"/>
    <cellStyle name="常规 4 2 2 8 2 5 2 2 5" xfId="17371"/>
    <cellStyle name="常规 4 2 2 8 2 5 2 2 6" xfId="17372"/>
    <cellStyle name="常规 4 2 2 8 2 5 2 3" xfId="17375"/>
    <cellStyle name="常规 4 2 2 8 2 5 2 3 2" xfId="17377"/>
    <cellStyle name="常规 4 2 2 8 2 5 2 3 2 2" xfId="17378"/>
    <cellStyle name="常规 4 2 2 8 2 5 2 3 2 2 2" xfId="17381"/>
    <cellStyle name="常规 4 2 2 8 2 5 2 3 2 3" xfId="17382"/>
    <cellStyle name="常规 4 2 2 8 2 5 2 3 2 4" xfId="17383"/>
    <cellStyle name="常规 4 2 2 8 2 5 2 3 3" xfId="17384"/>
    <cellStyle name="常规 4 2 2 8 2 5 2 3 3 2" xfId="17385"/>
    <cellStyle name="常规 4 2 2 8 2 5 2 3 4" xfId="17386"/>
    <cellStyle name="常规 4 2 2 8 2 5 2 3 5" xfId="17387"/>
    <cellStyle name="常规 4 2 2 8 2 5 2 4" xfId="17389"/>
    <cellStyle name="常规 4 2 2 8 2 5 2 4 2" xfId="17390"/>
    <cellStyle name="常规 4 2 2 8 2 5 2 4 2 2" xfId="2565"/>
    <cellStyle name="常规 4 2 2 8 2 5 2 4 3" xfId="17391"/>
    <cellStyle name="常规 4 2 2 8 2 5 2 4 4" xfId="17392"/>
    <cellStyle name="常规 4 2 2 8 2 5 2 5" xfId="17395"/>
    <cellStyle name="常规 4 2 2 8 2 5 2 5 2" xfId="17396"/>
    <cellStyle name="常规 4 2 2 8 2 5 2 6" xfId="17397"/>
    <cellStyle name="常规 4 2 2 8 2 5 2 7" xfId="17398"/>
    <cellStyle name="常规 4 2 2 8 2 5 3" xfId="17399"/>
    <cellStyle name="常规 4 2 2 8 2 5 3 2" xfId="17401"/>
    <cellStyle name="常规 4 2 2 8 2 5 3 2 2" xfId="17409"/>
    <cellStyle name="常规 4 2 2 8 2 5 3 2 2 2" xfId="17411"/>
    <cellStyle name="常规 4 2 2 8 2 5 3 2 2 2 2" xfId="17414"/>
    <cellStyle name="常规 4 2 2 8 2 5 3 2 2 3" xfId="17416"/>
    <cellStyle name="常规 4 2 2 8 2 5 3 2 2 4" xfId="17418"/>
    <cellStyle name="常规 4 2 2 8 2 5 3 2 3" xfId="17420"/>
    <cellStyle name="常规 4 2 2 8 2 5 3 2 3 2" xfId="17422"/>
    <cellStyle name="常规 4 2 2 8 2 5 3 2 4" xfId="17424"/>
    <cellStyle name="常规 4 2 2 8 2 5 3 2 5" xfId="17426"/>
    <cellStyle name="常规 4 2 2 8 2 5 3 3" xfId="17428"/>
    <cellStyle name="常规 4 2 2 8 2 5 3 3 2" xfId="1078"/>
    <cellStyle name="常规 4 2 2 8 2 5 3 3 2 2" xfId="17430"/>
    <cellStyle name="常规 4 2 2 8 2 5 3 3 3" xfId="1115"/>
    <cellStyle name="常规 4 2 2 8 2 5 3 3 4" xfId="1129"/>
    <cellStyle name="常规 4 2 2 8 2 5 3 4" xfId="17433"/>
    <cellStyle name="常规 4 2 2 8 2 5 3 4 2" xfId="17435"/>
    <cellStyle name="常规 4 2 2 8 2 5 3 5" xfId="17436"/>
    <cellStyle name="常规 4 2 2 8 2 5 3 6" xfId="17437"/>
    <cellStyle name="常规 4 2 2 8 2 5 4" xfId="2028"/>
    <cellStyle name="常规 4 2 2 8 2 5 4 2" xfId="2033"/>
    <cellStyle name="常规 4 2 2 8 2 5 4 2 2" xfId="17440"/>
    <cellStyle name="常规 4 2 2 8 2 5 4 2 2 2" xfId="17443"/>
    <cellStyle name="常规 4 2 2 8 2 5 4 2 3" xfId="17446"/>
    <cellStyle name="常规 4 2 2 8 2 5 4 2 4" xfId="17449"/>
    <cellStyle name="常规 4 2 2 8 2 5 4 3" xfId="17450"/>
    <cellStyle name="常规 4 2 2 8 2 5 4 3 2" xfId="17453"/>
    <cellStyle name="常规 4 2 2 8 2 5 4 4" xfId="17454"/>
    <cellStyle name="常规 4 2 2 8 2 5 4 5" xfId="17455"/>
    <cellStyle name="常规 4 2 2 8 2 5 5" xfId="2049"/>
    <cellStyle name="常规 4 2 2 8 2 5 5 2" xfId="16543"/>
    <cellStyle name="常规 4 2 2 8 2 5 5 2 2" xfId="17458"/>
    <cellStyle name="常规 4 2 2 8 2 5 5 3" xfId="17461"/>
    <cellStyle name="常规 4 2 2 8 2 5 5 4" xfId="17464"/>
    <cellStyle name="常规 4 2 2 8 2 5 6" xfId="10705"/>
    <cellStyle name="常规 4 2 2 8 2 5 6 2" xfId="10709"/>
    <cellStyle name="常规 4 2 2 8 2 5 7" xfId="10712"/>
    <cellStyle name="常规 4 2 2 8 2 5 8" xfId="10715"/>
    <cellStyle name="常规 4 2 2 8 2 6" xfId="17465"/>
    <cellStyle name="常规 4 2 2 8 2 6 2" xfId="9410"/>
    <cellStyle name="常规 4 2 2 8 2 6 2 2" xfId="17468"/>
    <cellStyle name="常规 4 2 2 8 2 6 2 2 2" xfId="17469"/>
    <cellStyle name="常规 4 2 2 8 2 6 2 2 2 2" xfId="17470"/>
    <cellStyle name="常规 4 2 2 8 2 6 2 2 2 2 2" xfId="17472"/>
    <cellStyle name="常规 4 2 2 8 2 6 2 2 2 3" xfId="9727"/>
    <cellStyle name="常规 4 2 2 8 2 6 2 2 2 4" xfId="9965"/>
    <cellStyle name="常规 4 2 2 8 2 6 2 2 3" xfId="17473"/>
    <cellStyle name="常规 4 2 2 8 2 6 2 2 3 2" xfId="17475"/>
    <cellStyle name="常规 4 2 2 8 2 6 2 2 4" xfId="17476"/>
    <cellStyle name="常规 4 2 2 8 2 6 2 2 5" xfId="17477"/>
    <cellStyle name="常规 4 2 2 8 2 6 2 3" xfId="17479"/>
    <cellStyle name="常规 4 2 2 8 2 6 2 3 2" xfId="17480"/>
    <cellStyle name="常规 4 2 2 8 2 6 2 3 2 2" xfId="17481"/>
    <cellStyle name="常规 4 2 2 8 2 6 2 3 3" xfId="17482"/>
    <cellStyle name="常规 4 2 2 8 2 6 2 3 4" xfId="17483"/>
    <cellStyle name="常规 4 2 2 8 2 6 2 4" xfId="17484"/>
    <cellStyle name="常规 4 2 2 8 2 6 2 4 2" xfId="17485"/>
    <cellStyle name="常规 4 2 2 8 2 6 2 5" xfId="17486"/>
    <cellStyle name="常规 4 2 2 8 2 6 2 6" xfId="17487"/>
    <cellStyle name="常规 4 2 2 8 2 6 3" xfId="17488"/>
    <cellStyle name="常规 4 2 2 8 2 6 3 2" xfId="17489"/>
    <cellStyle name="常规 4 2 2 8 2 6 3 2 2" xfId="17490"/>
    <cellStyle name="常规 4 2 2 8 2 6 3 2 2 2" xfId="5145"/>
    <cellStyle name="常规 4 2 2 8 2 6 3 2 3" xfId="17491"/>
    <cellStyle name="常规 4 2 2 8 2 6 3 2 4" xfId="17492"/>
    <cellStyle name="常规 4 2 2 8 2 6 3 3" xfId="17493"/>
    <cellStyle name="常规 4 2 2 8 2 6 3 3 2" xfId="17494"/>
    <cellStyle name="常规 4 2 2 8 2 6 3 4" xfId="17495"/>
    <cellStyle name="常规 4 2 2 8 2 6 3 5" xfId="17496"/>
    <cellStyle name="常规 4 2 2 8 2 6 4" xfId="17497"/>
    <cellStyle name="常规 4 2 2 8 2 6 4 2" xfId="17498"/>
    <cellStyle name="常规 4 2 2 8 2 6 4 2 2" xfId="17499"/>
    <cellStyle name="常规 4 2 2 8 2 6 4 3" xfId="17500"/>
    <cellStyle name="常规 4 2 2 8 2 6 4 4" xfId="17501"/>
    <cellStyle name="常规 4 2 2 8 2 6 5" xfId="17505"/>
    <cellStyle name="常规 4 2 2 8 2 6 5 2" xfId="17508"/>
    <cellStyle name="常规 4 2 2 8 2 6 6" xfId="10719"/>
    <cellStyle name="常规 4 2 2 8 2 6 7" xfId="17510"/>
    <cellStyle name="常规 4 2 2 8 2 7" xfId="17511"/>
    <cellStyle name="常规 4 2 2 8 2 7 2" xfId="17512"/>
    <cellStyle name="常规 4 2 2 8 2 7 2 2" xfId="17513"/>
    <cellStyle name="常规 4 2 2 8 2 7 2 2 2" xfId="17514"/>
    <cellStyle name="常规 4 2 2 8 2 7 2 2 2 2" xfId="17516"/>
    <cellStyle name="常规 4 2 2 8 2 7 2 2 3" xfId="17517"/>
    <cellStyle name="常规 4 2 2 8 2 7 2 2 4" xfId="17518"/>
    <cellStyle name="常规 4 2 2 8 2 7 2 3" xfId="17519"/>
    <cellStyle name="常规 4 2 2 8 2 7 2 3 2" xfId="17520"/>
    <cellStyle name="常规 4 2 2 8 2 7 2 4" xfId="17521"/>
    <cellStyle name="常规 4 2 2 8 2 7 2 5" xfId="17524"/>
    <cellStyle name="常规 4 2 2 8 2 7 3" xfId="17528"/>
    <cellStyle name="常规 4 2 2 8 2 7 3 2" xfId="17529"/>
    <cellStyle name="常规 4 2 2 8 2 7 3 2 2" xfId="17530"/>
    <cellStyle name="常规 4 2 2 8 2 7 3 3" xfId="17531"/>
    <cellStyle name="常规 4 2 2 8 2 7 3 4" xfId="17532"/>
    <cellStyle name="常规 4 2 2 8 2 7 4" xfId="17533"/>
    <cellStyle name="常规 4 2 2 8 2 7 4 2" xfId="17534"/>
    <cellStyle name="常规 4 2 2 8 2 7 5" xfId="17536"/>
    <cellStyle name="常规 4 2 2 8 2 7 6" xfId="17538"/>
    <cellStyle name="常规 4 2 2 8 2 8" xfId="4861"/>
    <cellStyle name="常规 4 2 2 8 2 8 2" xfId="4866"/>
    <cellStyle name="常规 4 2 2 8 2 8 2 2" xfId="17539"/>
    <cellStyle name="常规 4 2 2 8 2 8 2 2 2" xfId="17541"/>
    <cellStyle name="常规 4 2 2 8 2 8 2 3" xfId="17542"/>
    <cellStyle name="常规 4 2 2 8 2 8 2 4" xfId="17543"/>
    <cellStyle name="常规 4 2 2 8 2 8 3" xfId="17544"/>
    <cellStyle name="常规 4 2 2 8 2 8 3 2" xfId="17545"/>
    <cellStyle name="常规 4 2 2 8 2 8 4" xfId="17546"/>
    <cellStyle name="常规 4 2 2 8 2 8 5" xfId="17548"/>
    <cellStyle name="常规 4 2 2 8 2 9" xfId="756"/>
    <cellStyle name="常规 4 2 2 8 2 9 2" xfId="17549"/>
    <cellStyle name="常规 4 2 2 8 2 9 2 2" xfId="17550"/>
    <cellStyle name="常规 4 2 2 8 2 9 3" xfId="17551"/>
    <cellStyle name="常规 4 2 2 8 2 9 4" xfId="17554"/>
    <cellStyle name="常规 4 2 2 8 3" xfId="17557"/>
    <cellStyle name="常规 4 2 2 8 3 10" xfId="17558"/>
    <cellStyle name="常规 4 2 2 8 3 11" xfId="17559"/>
    <cellStyle name="常规 4 2 2 8 3 2" xfId="17561"/>
    <cellStyle name="常规 4 2 2 8 3 2 2" xfId="17562"/>
    <cellStyle name="常规 4 2 2 8 3 2 2 2" xfId="17563"/>
    <cellStyle name="常规 4 2 2 8 3 2 2 2 2" xfId="9001"/>
    <cellStyle name="常规 4 2 2 8 3 2 2 2 2 2" xfId="16107"/>
    <cellStyle name="常规 4 2 2 8 3 2 2 2 2 2 2" xfId="1350"/>
    <cellStyle name="常规 4 2 2 8 3 2 2 2 2 2 2 2" xfId="16109"/>
    <cellStyle name="常规 4 2 2 8 3 2 2 2 2 2 2 2 2" xfId="12005"/>
    <cellStyle name="常规 4 2 2 8 3 2 2 2 2 2 2 3" xfId="16111"/>
    <cellStyle name="常规 4 2 2 8 3 2 2 2 2 2 2 4" xfId="16113"/>
    <cellStyle name="常规 4 2 2 8 3 2 2 2 2 2 3" xfId="6953"/>
    <cellStyle name="常规 4 2 2 8 3 2 2 2 2 2 3 2" xfId="16115"/>
    <cellStyle name="常规 4 2 2 8 3 2 2 2 2 2 4" xfId="16117"/>
    <cellStyle name="常规 4 2 2 8 3 2 2 2 2 2 5" xfId="16119"/>
    <cellStyle name="常规 4 2 2 8 3 2 2 2 2 3" xfId="16121"/>
    <cellStyle name="常规 4 2 2 8 3 2 2 2 2 3 2" xfId="6958"/>
    <cellStyle name="常规 4 2 2 8 3 2 2 2 2 3 2 2" xfId="16123"/>
    <cellStyle name="常规 4 2 2 8 3 2 2 2 2 3 3" xfId="12695"/>
    <cellStyle name="常规 4 2 2 8 3 2 2 2 2 3 4" xfId="12701"/>
    <cellStyle name="常规 4 2 2 8 3 2 2 2 2 4" xfId="16125"/>
    <cellStyle name="常规 4 2 2 8 3 2 2 2 2 4 2" xfId="16127"/>
    <cellStyle name="常规 4 2 2 8 3 2 2 2 2 5" xfId="16129"/>
    <cellStyle name="常规 4 2 2 8 3 2 2 2 2 6" xfId="16132"/>
    <cellStyle name="常规 4 2 2 8 3 2 2 2 3" xfId="9003"/>
    <cellStyle name="常规 4 2 2 8 3 2 2 2 3 2" xfId="16150"/>
    <cellStyle name="常规 4 2 2 8 3 2 2 2 3 2 2" xfId="7135"/>
    <cellStyle name="常规 4 2 2 8 3 2 2 2 3 2 2 2" xfId="16153"/>
    <cellStyle name="常规 4 2 2 8 3 2 2 2 3 2 3" xfId="7138"/>
    <cellStyle name="常规 4 2 2 8 3 2 2 2 3 2 4" xfId="16155"/>
    <cellStyle name="常规 4 2 2 8 3 2 2 2 3 3" xfId="16159"/>
    <cellStyle name="常规 4 2 2 8 3 2 2 2 3 3 2" xfId="7149"/>
    <cellStyle name="常规 4 2 2 8 3 2 2 2 3 4" xfId="14483"/>
    <cellStyle name="常规 4 2 2 8 3 2 2 2 3 5" xfId="5214"/>
    <cellStyle name="常规 4 2 2 8 3 2 2 2 4" xfId="17564"/>
    <cellStyle name="常规 4 2 2 8 3 2 2 2 4 2" xfId="16171"/>
    <cellStyle name="常规 4 2 2 8 3 2 2 2 4 2 2" xfId="7174"/>
    <cellStyle name="常规 4 2 2 8 3 2 2 2 4 3" xfId="16176"/>
    <cellStyle name="常规 4 2 2 8 3 2 2 2 4 4" xfId="14504"/>
    <cellStyle name="常规 4 2 2 8 3 2 2 2 5" xfId="17565"/>
    <cellStyle name="常规 4 2 2 8 3 2 2 2 5 2" xfId="16183"/>
    <cellStyle name="常规 4 2 2 8 3 2 2 2 6" xfId="17566"/>
    <cellStyle name="常规 4 2 2 8 3 2 2 2 7" xfId="17567"/>
    <cellStyle name="常规 4 2 2 8 3 2 2 3" xfId="17568"/>
    <cellStyle name="常规 4 2 2 8 3 2 2 3 2" xfId="17569"/>
    <cellStyle name="常规 4 2 2 8 3 2 2 3 2 2" xfId="16379"/>
    <cellStyle name="常规 4 2 2 8 3 2 2 3 2 2 2" xfId="7926"/>
    <cellStyle name="常规 4 2 2 8 3 2 2 3 2 2 2 2" xfId="16382"/>
    <cellStyle name="常规 4 2 2 8 3 2 2 3 2 2 3" xfId="7929"/>
    <cellStyle name="常规 4 2 2 8 3 2 2 3 2 2 4" xfId="16384"/>
    <cellStyle name="常规 4 2 2 8 3 2 2 3 2 3" xfId="16389"/>
    <cellStyle name="常规 4 2 2 8 3 2 2 3 2 3 2" xfId="4041"/>
    <cellStyle name="常规 4 2 2 8 3 2 2 3 2 4" xfId="16391"/>
    <cellStyle name="常规 4 2 2 8 3 2 2 3 2 5" xfId="16394"/>
    <cellStyle name="常规 4 2 2 8 3 2 2 3 3" xfId="17570"/>
    <cellStyle name="常规 4 2 2 8 3 2 2 3 3 2" xfId="16404"/>
    <cellStyle name="常规 4 2 2 8 3 2 2 3 3 2 2" xfId="8064"/>
    <cellStyle name="常规 4 2 2 8 3 2 2 3 3 3" xfId="16409"/>
    <cellStyle name="常规 4 2 2 8 3 2 2 3 3 4" xfId="14521"/>
    <cellStyle name="常规 4 2 2 8 3 2 2 3 4" xfId="17571"/>
    <cellStyle name="常规 4 2 2 8 3 2 2 3 4 2" xfId="16415"/>
    <cellStyle name="常规 4 2 2 8 3 2 2 3 5" xfId="17572"/>
    <cellStyle name="常规 4 2 2 8 3 2 2 3 6" xfId="17574"/>
    <cellStyle name="常规 4 2 2 8 3 2 2 4" xfId="17575"/>
    <cellStyle name="常规 4 2 2 8 3 2 2 4 2" xfId="17576"/>
    <cellStyle name="常规 4 2 2 8 3 2 2 4 2 2" xfId="7345"/>
    <cellStyle name="常规 4 2 2 8 3 2 2 4 2 2 2" xfId="7351"/>
    <cellStyle name="常规 4 2 2 8 3 2 2 4 2 3" xfId="7359"/>
    <cellStyle name="常规 4 2 2 8 3 2 2 4 2 4" xfId="6865"/>
    <cellStyle name="常规 4 2 2 8 3 2 2 4 3" xfId="17577"/>
    <cellStyle name="常规 4 2 2 8 3 2 2 4 3 2" xfId="7378"/>
    <cellStyle name="常规 4 2 2 8 3 2 2 4 4" xfId="17578"/>
    <cellStyle name="常规 4 2 2 8 3 2 2 4 5" xfId="17579"/>
    <cellStyle name="常规 4 2 2 8 3 2 2 5" xfId="17580"/>
    <cellStyle name="常规 4 2 2 8 3 2 2 5 2" xfId="17581"/>
    <cellStyle name="常规 4 2 2 8 3 2 2 5 2 2" xfId="7426"/>
    <cellStyle name="常规 4 2 2 8 3 2 2 5 3" xfId="17582"/>
    <cellStyle name="常规 4 2 2 8 3 2 2 5 4" xfId="17583"/>
    <cellStyle name="常规 4 2 2 8 3 2 2 6" xfId="17584"/>
    <cellStyle name="常规 4 2 2 8 3 2 2 6 2" xfId="17586"/>
    <cellStyle name="常规 4 2 2 8 3 2 2 7" xfId="17587"/>
    <cellStyle name="常规 4 2 2 8 3 2 2 8" xfId="17589"/>
    <cellStyle name="常规 4 2 2 8 3 2 3" xfId="17590"/>
    <cellStyle name="常规 4 2 2 8 3 2 3 2" xfId="17591"/>
    <cellStyle name="常规 4 2 2 8 3 2 3 2 2" xfId="17592"/>
    <cellStyle name="常规 4 2 2 8 3 2 3 2 2 2" xfId="17595"/>
    <cellStyle name="常规 4 2 2 8 3 2 3 2 2 2 2" xfId="17598"/>
    <cellStyle name="常规 4 2 2 8 3 2 3 2 2 2 2 2" xfId="13718"/>
    <cellStyle name="常规 4 2 2 8 3 2 3 2 2 2 3" xfId="17600"/>
    <cellStyle name="常规 4 2 2 8 3 2 3 2 2 2 4" xfId="9164"/>
    <cellStyle name="常规 4 2 2 8 3 2 3 2 2 3" xfId="17603"/>
    <cellStyle name="常规 4 2 2 8 3 2 3 2 2 3 2" xfId="17605"/>
    <cellStyle name="常规 4 2 2 8 3 2 3 2 2 4" xfId="17609"/>
    <cellStyle name="常规 4 2 2 8 3 2 3 2 2 5" xfId="17612"/>
    <cellStyle name="常规 4 2 2 8 3 2 3 2 3" xfId="17613"/>
    <cellStyle name="常规 4 2 2 8 3 2 3 2 3 2" xfId="17616"/>
    <cellStyle name="常规 4 2 2 8 3 2 3 2 3 2 2" xfId="17618"/>
    <cellStyle name="常规 4 2 2 8 3 2 3 2 3 3" xfId="17623"/>
    <cellStyle name="常规 4 2 2 8 3 2 3 2 3 4" xfId="14562"/>
    <cellStyle name="常规 4 2 2 8 3 2 3 2 4" xfId="17624"/>
    <cellStyle name="常规 4 2 2 8 3 2 3 2 4 2" xfId="17629"/>
    <cellStyle name="常规 4 2 2 8 3 2 3 2 5" xfId="17630"/>
    <cellStyle name="常规 4 2 2 8 3 2 3 2 6" xfId="17631"/>
    <cellStyle name="常规 4 2 2 8 3 2 3 3" xfId="17632"/>
    <cellStyle name="常规 4 2 2 8 3 2 3 3 2" xfId="17633"/>
    <cellStyle name="常规 4 2 2 8 3 2 3 3 2 2" xfId="1166"/>
    <cellStyle name="常规 4 2 2 8 3 2 3 3 2 2 2" xfId="2533"/>
    <cellStyle name="常规 4 2 2 8 3 2 3 3 2 3" xfId="623"/>
    <cellStyle name="常规 4 2 2 8 3 2 3 3 2 4" xfId="635"/>
    <cellStyle name="常规 4 2 2 8 3 2 3 3 3" xfId="17636"/>
    <cellStyle name="常规 4 2 2 8 3 2 3 3 3 2" xfId="17640"/>
    <cellStyle name="常规 4 2 2 8 3 2 3 3 4" xfId="17641"/>
    <cellStyle name="常规 4 2 2 8 3 2 3 3 5" xfId="17642"/>
    <cellStyle name="常规 4 2 2 8 3 2 3 4" xfId="17643"/>
    <cellStyle name="常规 4 2 2 8 3 2 3 4 2" xfId="17644"/>
    <cellStyle name="常规 4 2 2 8 3 2 3 4 2 2" xfId="1171"/>
    <cellStyle name="常规 4 2 2 8 3 2 3 4 3" xfId="17645"/>
    <cellStyle name="常规 4 2 2 8 3 2 3 4 4" xfId="17646"/>
    <cellStyle name="常规 4 2 2 8 3 2 3 5" xfId="17647"/>
    <cellStyle name="常规 4 2 2 8 3 2 3 5 2" xfId="17648"/>
    <cellStyle name="常规 4 2 2 8 3 2 3 6" xfId="17649"/>
    <cellStyle name="常规 4 2 2 8 3 2 3 7" xfId="17650"/>
    <cellStyle name="常规 4 2 2 8 3 2 4" xfId="17651"/>
    <cellStyle name="常规 4 2 2 8 3 2 4 2" xfId="17652"/>
    <cellStyle name="常规 4 2 2 8 3 2 4 2 2" xfId="17653"/>
    <cellStyle name="常规 4 2 2 8 3 2 4 2 2 2" xfId="17654"/>
    <cellStyle name="常规 4 2 2 8 3 2 4 2 2 2 2" xfId="17655"/>
    <cellStyle name="常规 4 2 2 8 3 2 4 2 2 3" xfId="17656"/>
    <cellStyle name="常规 4 2 2 8 3 2 4 2 2 4" xfId="17658"/>
    <cellStyle name="常规 4 2 2 8 3 2 4 2 3" xfId="17659"/>
    <cellStyle name="常规 4 2 2 8 3 2 4 2 3 2" xfId="15372"/>
    <cellStyle name="常规 4 2 2 8 3 2 4 2 4" xfId="17660"/>
    <cellStyle name="常规 4 2 2 8 3 2 4 2 5" xfId="17661"/>
    <cellStyle name="常规 4 2 2 8 3 2 4 3" xfId="17662"/>
    <cellStyle name="常规 4 2 2 8 3 2 4 3 2" xfId="17663"/>
    <cellStyle name="常规 4 2 2 8 3 2 4 3 2 2" xfId="17664"/>
    <cellStyle name="常规 4 2 2 8 3 2 4 3 3" xfId="17665"/>
    <cellStyle name="常规 4 2 2 8 3 2 4 3 4" xfId="17668"/>
    <cellStyle name="常规 4 2 2 8 3 2 4 4" xfId="10883"/>
    <cellStyle name="常规 4 2 2 8 3 2 4 4 2" xfId="17669"/>
    <cellStyle name="常规 4 2 2 8 3 2 4 5" xfId="17670"/>
    <cellStyle name="常规 4 2 2 8 3 2 4 6" xfId="17672"/>
    <cellStyle name="常规 4 2 2 8 3 2 5" xfId="11946"/>
    <cellStyle name="常规 4 2 2 8 3 2 5 2" xfId="11948"/>
    <cellStyle name="常规 4 2 2 8 3 2 5 2 2" xfId="17673"/>
    <cellStyle name="常规 4 2 2 8 3 2 5 2 2 2" xfId="17676"/>
    <cellStyle name="常规 4 2 2 8 3 2 5 2 3" xfId="17677"/>
    <cellStyle name="常规 4 2 2 8 3 2 5 2 4" xfId="17678"/>
    <cellStyle name="常规 4 2 2 8 3 2 5 3" xfId="17679"/>
    <cellStyle name="常规 4 2 2 8 3 2 5 3 2" xfId="17680"/>
    <cellStyle name="常规 4 2 2 8 3 2 5 4" xfId="17681"/>
    <cellStyle name="常规 4 2 2 8 3 2 5 5" xfId="17682"/>
    <cellStyle name="常规 4 2 2 8 3 2 6" xfId="1942"/>
    <cellStyle name="常规 4 2 2 8 3 2 6 2" xfId="2405"/>
    <cellStyle name="常规 4 2 2 8 3 2 6 2 2" xfId="17683"/>
    <cellStyle name="常规 4 2 2 8 3 2 6 3" xfId="17684"/>
    <cellStyle name="常规 4 2 2 8 3 2 6 4" xfId="17685"/>
    <cellStyle name="常规 4 2 2 8 3 2 7" xfId="11756"/>
    <cellStyle name="常规 4 2 2 8 3 2 7 2" xfId="2416"/>
    <cellStyle name="常规 4 2 2 8 3 2 8" xfId="10778"/>
    <cellStyle name="常规 4 2 2 8 3 2 9" xfId="17686"/>
    <cellStyle name="常规 4 2 2 8 3 3" xfId="17687"/>
    <cellStyle name="常规 4 2 2 8 3 3 2" xfId="3588"/>
    <cellStyle name="常规 4 2 2 8 3 3 2 2" xfId="17689"/>
    <cellStyle name="常规 4 2 2 8 3 3 2 2 2" xfId="17690"/>
    <cellStyle name="常规 4 2 2 8 3 3 2 2 2 2" xfId="17691"/>
    <cellStyle name="常规 4 2 2 8 3 3 2 2 2 2 2" xfId="12149"/>
    <cellStyle name="常规 4 2 2 8 3 3 2 2 2 2 2 2" xfId="12155"/>
    <cellStyle name="常规 4 2 2 8 3 3 2 2 2 2 2 2 2" xfId="9879"/>
    <cellStyle name="常规 4 2 2 8 3 3 2 2 2 2 2 3" xfId="17696"/>
    <cellStyle name="常规 4 2 2 8 3 3 2 2 2 2 2 4" xfId="17699"/>
    <cellStyle name="常规 4 2 2 8 3 3 2 2 2 2 3" xfId="12156"/>
    <cellStyle name="常规 4 2 2 8 3 3 2 2 2 2 3 2" xfId="17700"/>
    <cellStyle name="常规 4 2 2 8 3 3 2 2 2 2 4" xfId="12159"/>
    <cellStyle name="常规 4 2 2 8 3 3 2 2 2 2 5" xfId="17701"/>
    <cellStyle name="常规 4 2 2 8 3 3 2 2 2 3" xfId="17702"/>
    <cellStyle name="常规 4 2 2 8 3 3 2 2 2 3 2" xfId="12190"/>
    <cellStyle name="常规 4 2 2 8 3 3 2 2 2 3 2 2" xfId="17703"/>
    <cellStyle name="常规 4 2 2 8 3 3 2 2 2 3 3" xfId="12193"/>
    <cellStyle name="常规 4 2 2 8 3 3 2 2 2 3 4" xfId="17704"/>
    <cellStyle name="常规 4 2 2 8 3 3 2 2 2 4" xfId="17705"/>
    <cellStyle name="常规 4 2 2 8 3 3 2 2 2 4 2" xfId="12206"/>
    <cellStyle name="常规 4 2 2 8 3 3 2 2 2 5" xfId="1765"/>
    <cellStyle name="常规 4 2 2 8 3 3 2 2 2 6" xfId="1770"/>
    <cellStyle name="常规 4 2 2 8 3 3 2 2 3" xfId="17706"/>
    <cellStyle name="常规 4 2 2 8 3 3 2 2 3 2" xfId="17707"/>
    <cellStyle name="常规 4 2 2 8 3 3 2 2 3 2 2" xfId="12449"/>
    <cellStyle name="常规 4 2 2 8 3 3 2 2 3 2 2 2" xfId="17708"/>
    <cellStyle name="常规 4 2 2 8 3 3 2 2 3 2 3" xfId="17709"/>
    <cellStyle name="常规 4 2 2 8 3 3 2 2 3 2 4" xfId="17710"/>
    <cellStyle name="常规 4 2 2 8 3 3 2 2 3 3" xfId="17713"/>
    <cellStyle name="常规 4 2 2 8 3 3 2 2 3 3 2" xfId="17716"/>
    <cellStyle name="常规 4 2 2 8 3 3 2 2 3 4" xfId="15167"/>
    <cellStyle name="常规 4 2 2 8 3 3 2 2 3 5" xfId="3080"/>
    <cellStyle name="常规 4 2 2 8 3 3 2 2 4" xfId="17717"/>
    <cellStyle name="常规 4 2 2 8 3 3 2 2 4 2" xfId="17718"/>
    <cellStyle name="常规 4 2 2 8 3 3 2 2 4 2 2" xfId="12730"/>
    <cellStyle name="常规 4 2 2 8 3 3 2 2 4 3" xfId="17721"/>
    <cellStyle name="常规 4 2 2 8 3 3 2 2 4 4" xfId="15175"/>
    <cellStyle name="常规 4 2 2 8 3 3 2 2 5" xfId="17722"/>
    <cellStyle name="常规 4 2 2 8 3 3 2 2 5 2" xfId="17723"/>
    <cellStyle name="常规 4 2 2 8 3 3 2 2 6" xfId="17724"/>
    <cellStyle name="常规 4 2 2 8 3 3 2 2 7" xfId="17725"/>
    <cellStyle name="常规 4 2 2 8 3 3 2 3" xfId="17726"/>
    <cellStyle name="常规 4 2 2 8 3 3 2 3 2" xfId="17727"/>
    <cellStyle name="常规 4 2 2 8 3 3 2 3 2 2" xfId="17729"/>
    <cellStyle name="常规 4 2 2 8 3 3 2 3 2 2 2" xfId="14089"/>
    <cellStyle name="常规 4 2 2 8 3 3 2 3 2 2 2 2" xfId="17730"/>
    <cellStyle name="常规 4 2 2 8 3 3 2 3 2 2 3" xfId="17731"/>
    <cellStyle name="常规 4 2 2 8 3 3 2 3 2 2 4" xfId="17732"/>
    <cellStyle name="常规 4 2 2 8 3 3 2 3 2 3" xfId="17733"/>
    <cellStyle name="常规 4 2 2 8 3 3 2 3 2 3 2" xfId="17734"/>
    <cellStyle name="常规 4 2 2 8 3 3 2 3 2 4" xfId="17735"/>
    <cellStyle name="常规 4 2 2 8 3 3 2 3 2 5" xfId="3113"/>
    <cellStyle name="常规 4 2 2 8 3 3 2 3 3" xfId="17736"/>
    <cellStyle name="常规 4 2 2 8 3 3 2 3 3 2" xfId="17737"/>
    <cellStyle name="常规 4 2 2 8 3 3 2 3 3 2 2" xfId="14322"/>
    <cellStyle name="常规 4 2 2 8 3 3 2 3 3 3" xfId="17739"/>
    <cellStyle name="常规 4 2 2 8 3 3 2 3 3 4" xfId="15180"/>
    <cellStyle name="常规 4 2 2 8 3 3 2 3 4" xfId="17740"/>
    <cellStyle name="常规 4 2 2 8 3 3 2 3 4 2" xfId="17741"/>
    <cellStyle name="常规 4 2 2 8 3 3 2 3 5" xfId="17742"/>
    <cellStyle name="常规 4 2 2 8 3 3 2 3 6" xfId="17744"/>
    <cellStyle name="常规 4 2 2 8 3 3 2 4" xfId="17745"/>
    <cellStyle name="常规 4 2 2 8 3 3 2 4 2" xfId="17746"/>
    <cellStyle name="常规 4 2 2 8 3 3 2 4 2 2" xfId="7624"/>
    <cellStyle name="常规 4 2 2 8 3 3 2 4 2 2 2" xfId="7626"/>
    <cellStyle name="常规 4 2 2 8 3 3 2 4 2 3" xfId="7630"/>
    <cellStyle name="常规 4 2 2 8 3 3 2 4 2 4" xfId="7030"/>
    <cellStyle name="常规 4 2 2 8 3 3 2 4 3" xfId="17747"/>
    <cellStyle name="常规 4 2 2 8 3 3 2 4 3 2" xfId="7637"/>
    <cellStyle name="常规 4 2 2 8 3 3 2 4 4" xfId="17748"/>
    <cellStyle name="常规 4 2 2 8 3 3 2 4 5" xfId="17749"/>
    <cellStyle name="常规 4 2 2 8 3 3 2 5" xfId="17750"/>
    <cellStyle name="常规 4 2 2 8 3 3 2 5 2" xfId="17751"/>
    <cellStyle name="常规 4 2 2 8 3 3 2 5 2 2" xfId="7654"/>
    <cellStyle name="常规 4 2 2 8 3 3 2 5 3" xfId="17752"/>
    <cellStyle name="常规 4 2 2 8 3 3 2 5 4" xfId="17753"/>
    <cellStyle name="常规 4 2 2 8 3 3 2 6" xfId="17754"/>
    <cellStyle name="常规 4 2 2 8 3 3 2 6 2" xfId="17755"/>
    <cellStyle name="常规 4 2 2 8 3 3 2 7" xfId="17756"/>
    <cellStyle name="常规 4 2 2 8 3 3 2 8" xfId="17758"/>
    <cellStyle name="常规 4 2 2 8 3 3 3" xfId="17759"/>
    <cellStyle name="常规 4 2 2 8 3 3 3 2" xfId="17760"/>
    <cellStyle name="常规 4 2 2 8 3 3 3 2 2" xfId="17761"/>
    <cellStyle name="常规 4 2 2 8 3 3 3 2 2 2" xfId="17762"/>
    <cellStyle name="常规 4 2 2 8 3 3 3 2 2 2 2" xfId="7115"/>
    <cellStyle name="常规 4 2 2 8 3 3 3 2 2 2 2 2" xfId="2297"/>
    <cellStyle name="常规 4 2 2 8 3 3 3 2 2 2 3" xfId="7117"/>
    <cellStyle name="常规 4 2 2 8 3 3 3 2 2 2 4" xfId="17763"/>
    <cellStyle name="常规 4 2 2 8 3 3 3 2 2 3" xfId="17764"/>
    <cellStyle name="常规 4 2 2 8 3 3 3 2 2 3 2" xfId="16144"/>
    <cellStyle name="常规 4 2 2 8 3 3 3 2 2 4" xfId="17766"/>
    <cellStyle name="常规 4 2 2 8 3 3 3 2 2 5" xfId="17767"/>
    <cellStyle name="常规 4 2 2 8 3 3 3 2 3" xfId="17768"/>
    <cellStyle name="常规 4 2 2 8 3 3 3 2 3 2" xfId="17769"/>
    <cellStyle name="常规 4 2 2 8 3 3 3 2 3 2 2" xfId="17770"/>
    <cellStyle name="常规 4 2 2 8 3 3 3 2 3 3" xfId="17772"/>
    <cellStyle name="常规 4 2 2 8 3 3 3 2 3 4" xfId="15197"/>
    <cellStyle name="常规 4 2 2 8 3 3 3 2 4" xfId="17773"/>
    <cellStyle name="常规 4 2 2 8 3 3 3 2 4 2" xfId="17776"/>
    <cellStyle name="常规 4 2 2 8 3 3 3 2 5" xfId="17777"/>
    <cellStyle name="常规 4 2 2 8 3 3 3 2 6" xfId="17778"/>
    <cellStyle name="常规 4 2 2 8 3 3 3 3" xfId="17779"/>
    <cellStyle name="常规 4 2 2 8 3 3 3 3 2" xfId="17780"/>
    <cellStyle name="常规 4 2 2 8 3 3 3 3 2 2" xfId="17781"/>
    <cellStyle name="常规 4 2 2 8 3 3 3 3 2 2 2" xfId="8284"/>
    <cellStyle name="常规 4 2 2 8 3 3 3 3 2 3" xfId="17782"/>
    <cellStyle name="常规 4 2 2 8 3 3 3 3 2 4" xfId="17783"/>
    <cellStyle name="常规 4 2 2 8 3 3 3 3 3" xfId="17784"/>
    <cellStyle name="常规 4 2 2 8 3 3 3 3 3 2" xfId="17785"/>
    <cellStyle name="常规 4 2 2 8 3 3 3 3 4" xfId="17786"/>
    <cellStyle name="常规 4 2 2 8 3 3 3 3 5" xfId="17787"/>
    <cellStyle name="常规 4 2 2 8 3 3 3 4" xfId="17788"/>
    <cellStyle name="常规 4 2 2 8 3 3 3 4 2" xfId="17789"/>
    <cellStyle name="常规 4 2 2 8 3 3 3 4 2 2" xfId="6268"/>
    <cellStyle name="常规 4 2 2 8 3 3 3 4 3" xfId="17790"/>
    <cellStyle name="常规 4 2 2 8 3 3 3 4 4" xfId="17791"/>
    <cellStyle name="常规 4 2 2 8 3 3 3 5" xfId="17792"/>
    <cellStyle name="常规 4 2 2 8 3 3 3 5 2" xfId="17793"/>
    <cellStyle name="常规 4 2 2 8 3 3 3 6" xfId="17794"/>
    <cellStyle name="常规 4 2 2 8 3 3 3 7" xfId="17795"/>
    <cellStyle name="常规 4 2 2 8 3 3 4" xfId="17796"/>
    <cellStyle name="常规 4 2 2 8 3 3 4 2" xfId="17797"/>
    <cellStyle name="常规 4 2 2 8 3 3 4 2 2" xfId="10447"/>
    <cellStyle name="常规 4 2 2 8 3 3 4 2 2 2" xfId="17798"/>
    <cellStyle name="常规 4 2 2 8 3 3 4 2 2 2 2" xfId="17799"/>
    <cellStyle name="常规 4 2 2 8 3 3 4 2 2 3" xfId="17800"/>
    <cellStyle name="常规 4 2 2 8 3 3 4 2 2 4" xfId="17801"/>
    <cellStyle name="常规 4 2 2 8 3 3 4 2 3" xfId="17802"/>
    <cellStyle name="常规 4 2 2 8 3 3 4 2 3 2" xfId="15740"/>
    <cellStyle name="常规 4 2 2 8 3 3 4 2 4" xfId="17804"/>
    <cellStyle name="常规 4 2 2 8 3 3 4 2 5" xfId="17806"/>
    <cellStyle name="常规 4 2 2 8 3 3 4 3" xfId="17807"/>
    <cellStyle name="常规 4 2 2 8 3 3 4 3 2" xfId="17808"/>
    <cellStyle name="常规 4 2 2 8 3 3 4 3 2 2" xfId="17809"/>
    <cellStyle name="常规 4 2 2 8 3 3 4 3 3" xfId="17810"/>
    <cellStyle name="常规 4 2 2 8 3 3 4 3 4" xfId="17812"/>
    <cellStyle name="常规 4 2 2 8 3 3 4 4" xfId="17813"/>
    <cellStyle name="常规 4 2 2 8 3 3 4 4 2" xfId="17814"/>
    <cellStyle name="常规 4 2 2 8 3 3 4 5" xfId="17815"/>
    <cellStyle name="常规 4 2 2 8 3 3 4 6" xfId="17816"/>
    <cellStyle name="常规 4 2 2 8 3 3 5" xfId="11954"/>
    <cellStyle name="常规 4 2 2 8 3 3 5 2" xfId="17819"/>
    <cellStyle name="常规 4 2 2 8 3 3 5 2 2" xfId="17822"/>
    <cellStyle name="常规 4 2 2 8 3 3 5 2 2 2" xfId="17826"/>
    <cellStyle name="常规 4 2 2 8 3 3 5 2 3" xfId="1916"/>
    <cellStyle name="常规 4 2 2 8 3 3 5 2 4" xfId="17830"/>
    <cellStyle name="常规 4 2 2 8 3 3 5 3" xfId="17833"/>
    <cellStyle name="常规 4 2 2 8 3 3 5 3 2" xfId="17836"/>
    <cellStyle name="常规 4 2 2 8 3 3 5 4" xfId="17839"/>
    <cellStyle name="常规 4 2 2 8 3 3 5 5" xfId="17842"/>
    <cellStyle name="常规 4 2 2 8 3 3 6" xfId="11648"/>
    <cellStyle name="常规 4 2 2 8 3 3 6 2" xfId="11652"/>
    <cellStyle name="常规 4 2 2 8 3 3 6 2 2" xfId="17845"/>
    <cellStyle name="常规 4 2 2 8 3 3 6 3" xfId="17848"/>
    <cellStyle name="常规 4 2 2 8 3 3 6 4" xfId="17851"/>
    <cellStyle name="常规 4 2 2 8 3 3 7" xfId="11656"/>
    <cellStyle name="常规 4 2 2 8 3 3 7 2" xfId="2440"/>
    <cellStyle name="常规 4 2 2 8 3 3 8" xfId="11660"/>
    <cellStyle name="常规 4 2 2 8 3 3 9" xfId="17854"/>
    <cellStyle name="常规 4 2 2 8 3 4" xfId="5422"/>
    <cellStyle name="常规 4 2 2 8 3 4 2" xfId="5141"/>
    <cellStyle name="常规 4 2 2 8 3 4 2 2" xfId="5444"/>
    <cellStyle name="常规 4 2 2 8 3 4 2 2 2" xfId="15939"/>
    <cellStyle name="常规 4 2 2 8 3 4 2 2 2 2" xfId="17856"/>
    <cellStyle name="常规 4 2 2 8 3 4 2 2 2 2 2" xfId="17858"/>
    <cellStyle name="常规 4 2 2 8 3 4 2 2 2 2 2 2" xfId="17863"/>
    <cellStyle name="常规 4 2 2 8 3 4 2 2 2 2 3" xfId="17865"/>
    <cellStyle name="常规 4 2 2 8 3 4 2 2 2 2 4" xfId="17867"/>
    <cellStyle name="常规 4 2 2 8 3 4 2 2 2 3" xfId="17870"/>
    <cellStyle name="常规 4 2 2 8 3 4 2 2 2 3 2" xfId="12035"/>
    <cellStyle name="常规 4 2 2 8 3 4 2 2 2 4" xfId="17873"/>
    <cellStyle name="常规 4 2 2 8 3 4 2 2 2 5" xfId="17876"/>
    <cellStyle name="常规 4 2 2 8 3 4 2 2 3" xfId="17879"/>
    <cellStyle name="常规 4 2 2 8 3 4 2 2 3 2" xfId="17882"/>
    <cellStyle name="常规 4 2 2 8 3 4 2 2 3 2 2" xfId="17884"/>
    <cellStyle name="常规 4 2 2 8 3 4 2 2 3 3" xfId="17888"/>
    <cellStyle name="常规 4 2 2 8 3 4 2 2 3 4" xfId="15689"/>
    <cellStyle name="常规 4 2 2 8 3 4 2 2 4" xfId="17891"/>
    <cellStyle name="常规 4 2 2 8 3 4 2 2 4 2" xfId="17893"/>
    <cellStyle name="常规 4 2 2 8 3 4 2 2 5" xfId="17896"/>
    <cellStyle name="常规 4 2 2 8 3 4 2 2 6" xfId="17898"/>
    <cellStyle name="常规 4 2 2 8 3 4 2 3" xfId="15941"/>
    <cellStyle name="常规 4 2 2 8 3 4 2 3 2" xfId="17900"/>
    <cellStyle name="常规 4 2 2 8 3 4 2 3 2 2" xfId="17902"/>
    <cellStyle name="常规 4 2 2 8 3 4 2 3 2 2 2" xfId="17904"/>
    <cellStyle name="常规 4 2 2 8 3 4 2 3 2 3" xfId="17908"/>
    <cellStyle name="常规 4 2 2 8 3 4 2 3 2 4" xfId="17912"/>
    <cellStyle name="常规 4 2 2 8 3 4 2 3 3" xfId="17915"/>
    <cellStyle name="常规 4 2 2 8 3 4 2 3 3 2" xfId="17917"/>
    <cellStyle name="常规 4 2 2 8 3 4 2 3 4" xfId="17920"/>
    <cellStyle name="常规 4 2 2 8 3 4 2 3 5" xfId="17923"/>
    <cellStyle name="常规 4 2 2 8 3 4 2 4" xfId="15943"/>
    <cellStyle name="常规 4 2 2 8 3 4 2 4 2" xfId="17925"/>
    <cellStyle name="常规 4 2 2 8 3 4 2 4 2 2" xfId="7792"/>
    <cellStyle name="常规 4 2 2 8 3 4 2 4 3" xfId="17927"/>
    <cellStyle name="常规 4 2 2 8 3 4 2 4 4" xfId="17930"/>
    <cellStyle name="常规 4 2 2 8 3 4 2 5" xfId="17931"/>
    <cellStyle name="常规 4 2 2 8 3 4 2 5 2" xfId="17933"/>
    <cellStyle name="常规 4 2 2 8 3 4 2 6" xfId="17934"/>
    <cellStyle name="常规 4 2 2 8 3 4 2 7" xfId="17935"/>
    <cellStyle name="常规 4 2 2 8 3 4 3" xfId="5147"/>
    <cellStyle name="常规 4 2 2 8 3 4 3 2" xfId="15948"/>
    <cellStyle name="常规 4 2 2 8 3 4 3 2 2" xfId="4610"/>
    <cellStyle name="常规 4 2 2 8 3 4 3 2 2 2" xfId="17939"/>
    <cellStyle name="常规 4 2 2 8 3 4 3 2 2 2 2" xfId="17941"/>
    <cellStyle name="常规 4 2 2 8 3 4 3 2 2 3" xfId="17945"/>
    <cellStyle name="常规 4 2 2 8 3 4 3 2 2 4" xfId="17949"/>
    <cellStyle name="常规 4 2 2 8 3 4 3 2 3" xfId="4616"/>
    <cellStyle name="常规 4 2 2 8 3 4 3 2 3 2" xfId="17952"/>
    <cellStyle name="常规 4 2 2 8 3 4 3 2 4" xfId="17954"/>
    <cellStyle name="常规 4 2 2 8 3 4 3 2 5" xfId="17955"/>
    <cellStyle name="常规 4 2 2 8 3 4 3 3" xfId="17957"/>
    <cellStyle name="常规 4 2 2 8 3 4 3 3 2" xfId="17959"/>
    <cellStyle name="常规 4 2 2 8 3 4 3 3 2 2" xfId="17962"/>
    <cellStyle name="常规 4 2 2 8 3 4 3 3 3" xfId="17964"/>
    <cellStyle name="常规 4 2 2 8 3 4 3 3 4" xfId="17966"/>
    <cellStyle name="常规 4 2 2 8 3 4 3 4" xfId="17967"/>
    <cellStyle name="常规 4 2 2 8 3 4 3 4 2" xfId="17969"/>
    <cellStyle name="常规 4 2 2 8 3 4 3 5" xfId="17970"/>
    <cellStyle name="常规 4 2 2 8 3 4 3 6" xfId="17971"/>
    <cellStyle name="常规 4 2 2 8 3 4 4" xfId="2075"/>
    <cellStyle name="常规 4 2 2 8 3 4 4 2" xfId="13619"/>
    <cellStyle name="常规 4 2 2 8 3 4 4 2 2" xfId="17974"/>
    <cellStyle name="常规 4 2 2 8 3 4 4 2 2 2" xfId="17977"/>
    <cellStyle name="常规 4 2 2 8 3 4 4 2 3" xfId="17980"/>
    <cellStyle name="常规 4 2 2 8 3 4 4 2 4" xfId="17982"/>
    <cellStyle name="常规 4 2 2 8 3 4 4 3" xfId="17983"/>
    <cellStyle name="常规 4 2 2 8 3 4 4 3 2" xfId="17986"/>
    <cellStyle name="常规 4 2 2 8 3 4 4 4" xfId="17987"/>
    <cellStyle name="常规 4 2 2 8 3 4 4 5" xfId="17988"/>
    <cellStyle name="常规 4 2 2 8 3 4 5" xfId="2082"/>
    <cellStyle name="常规 4 2 2 8 3 4 5 2" xfId="17990"/>
    <cellStyle name="常规 4 2 2 8 3 4 5 2 2" xfId="17992"/>
    <cellStyle name="常规 4 2 2 8 3 4 5 3" xfId="17994"/>
    <cellStyle name="常规 4 2 2 8 3 4 5 4" xfId="17996"/>
    <cellStyle name="常规 4 2 2 8 3 4 6" xfId="11666"/>
    <cellStyle name="常规 4 2 2 8 3 4 6 2" xfId="17998"/>
    <cellStyle name="常规 4 2 2 8 3 4 7" xfId="18000"/>
    <cellStyle name="常规 4 2 2 8 3 4 8" xfId="18002"/>
    <cellStyle name="常规 4 2 2 8 3 5" xfId="5426"/>
    <cellStyle name="常规 4 2 2 8 3 5 2" xfId="5169"/>
    <cellStyle name="常规 4 2 2 8 3 5 2 2" xfId="15950"/>
    <cellStyle name="常规 4 2 2 8 3 5 2 2 2" xfId="18003"/>
    <cellStyle name="常规 4 2 2 8 3 5 2 2 2 2" xfId="18004"/>
    <cellStyle name="常规 4 2 2 8 3 5 2 2 2 2 2" xfId="18005"/>
    <cellStyle name="常规 4 2 2 8 3 5 2 2 2 3" xfId="18007"/>
    <cellStyle name="常规 4 2 2 8 3 5 2 2 2 4" xfId="18009"/>
    <cellStyle name="常规 4 2 2 8 3 5 2 2 3" xfId="18011"/>
    <cellStyle name="常规 4 2 2 8 3 5 2 2 3 2" xfId="18012"/>
    <cellStyle name="常规 4 2 2 8 3 5 2 2 4" xfId="18013"/>
    <cellStyle name="常规 4 2 2 8 3 5 2 2 5" xfId="18014"/>
    <cellStyle name="常规 4 2 2 8 3 5 2 3" xfId="18016"/>
    <cellStyle name="常规 4 2 2 8 3 5 2 3 2" xfId="18017"/>
    <cellStyle name="常规 4 2 2 8 3 5 2 3 2 2" xfId="18018"/>
    <cellStyle name="常规 4 2 2 8 3 5 2 3 3" xfId="18019"/>
    <cellStyle name="常规 4 2 2 8 3 5 2 3 4" xfId="18021"/>
    <cellStyle name="常规 4 2 2 8 3 5 2 4" xfId="18022"/>
    <cellStyle name="常规 4 2 2 8 3 5 2 4 2" xfId="18023"/>
    <cellStyle name="常规 4 2 2 8 3 5 2 5" xfId="18024"/>
    <cellStyle name="常规 4 2 2 8 3 5 2 6" xfId="18025"/>
    <cellStyle name="常规 4 2 2 8 3 5 3" xfId="15954"/>
    <cellStyle name="常规 4 2 2 8 3 5 3 2" xfId="18027"/>
    <cellStyle name="常规 4 2 2 8 3 5 3 2 2" xfId="18029"/>
    <cellStyle name="常规 4 2 2 8 3 5 3 2 2 2" xfId="18032"/>
    <cellStyle name="常规 4 2 2 8 3 5 3 2 3" xfId="18033"/>
    <cellStyle name="常规 4 2 2 8 3 5 3 2 4" xfId="18034"/>
    <cellStyle name="常规 4 2 2 8 3 5 3 3" xfId="18036"/>
    <cellStyle name="常规 4 2 2 8 3 5 3 3 2" xfId="18037"/>
    <cellStyle name="常规 4 2 2 8 3 5 3 4" xfId="18039"/>
    <cellStyle name="常规 4 2 2 8 3 5 3 5" xfId="18040"/>
    <cellStyle name="常规 4 2 2 8 3 5 4" xfId="2101"/>
    <cellStyle name="常规 4 2 2 8 3 5 4 2" xfId="18042"/>
    <cellStyle name="常规 4 2 2 8 3 5 4 2 2" xfId="18044"/>
    <cellStyle name="常规 4 2 2 8 3 5 4 3" xfId="18045"/>
    <cellStyle name="常规 4 2 2 8 3 5 4 4" xfId="18046"/>
    <cellStyle name="常规 4 2 2 8 3 5 5" xfId="18049"/>
    <cellStyle name="常规 4 2 2 8 3 5 5 2" xfId="18052"/>
    <cellStyle name="常规 4 2 2 8 3 5 6" xfId="10729"/>
    <cellStyle name="常规 4 2 2 8 3 5 7" xfId="18054"/>
    <cellStyle name="常规 4 2 2 8 3 6" xfId="5434"/>
    <cellStyle name="常规 4 2 2 8 3 6 2" xfId="6486"/>
    <cellStyle name="常规 4 2 2 8 3 6 2 2" xfId="18055"/>
    <cellStyle name="常规 4 2 2 8 3 6 2 2 2" xfId="18057"/>
    <cellStyle name="常规 4 2 2 8 3 6 2 2 2 2" xfId="18060"/>
    <cellStyle name="常规 4 2 2 8 3 6 2 2 3" xfId="18062"/>
    <cellStyle name="常规 4 2 2 8 3 6 2 2 4" xfId="18064"/>
    <cellStyle name="常规 4 2 2 8 3 6 2 3" xfId="18065"/>
    <cellStyle name="常规 4 2 2 8 3 6 2 3 2" xfId="18068"/>
    <cellStyle name="常规 4 2 2 8 3 6 2 4" xfId="18069"/>
    <cellStyle name="常规 4 2 2 8 3 6 2 5" xfId="18070"/>
    <cellStyle name="常规 4 2 2 8 3 6 3" xfId="18072"/>
    <cellStyle name="常规 4 2 2 8 3 6 3 2" xfId="18074"/>
    <cellStyle name="常规 4 2 2 8 3 6 3 2 2" xfId="18076"/>
    <cellStyle name="常规 4 2 2 8 3 6 3 3" xfId="18077"/>
    <cellStyle name="常规 4 2 2 8 3 6 3 4" xfId="18078"/>
    <cellStyle name="常规 4 2 2 8 3 6 4" xfId="18080"/>
    <cellStyle name="常规 4 2 2 8 3 6 4 2" xfId="18081"/>
    <cellStyle name="常规 4 2 2 8 3 6 5" xfId="18085"/>
    <cellStyle name="常规 4 2 2 8 3 6 6" xfId="18087"/>
    <cellStyle name="常规 4 2 2 8 3 7" xfId="5451"/>
    <cellStyle name="常规 4 2 2 8 3 7 2" xfId="18088"/>
    <cellStyle name="常规 4 2 2 8 3 7 2 2" xfId="18089"/>
    <cellStyle name="常规 4 2 2 8 3 7 2 2 2" xfId="18091"/>
    <cellStyle name="常规 4 2 2 8 3 7 2 3" xfId="18092"/>
    <cellStyle name="常规 4 2 2 8 3 7 2 4" xfId="17050"/>
    <cellStyle name="常规 4 2 2 8 3 7 3" xfId="18094"/>
    <cellStyle name="常规 4 2 2 8 3 7 3 2" xfId="18095"/>
    <cellStyle name="常规 4 2 2 8 3 7 4" xfId="18096"/>
    <cellStyle name="常规 4 2 2 8 3 7 5" xfId="18098"/>
    <cellStyle name="常规 4 2 2 8 3 8" xfId="4875"/>
    <cellStyle name="常规 4 2 2 8 3 8 2" xfId="18099"/>
    <cellStyle name="常规 4 2 2 8 3 8 2 2" xfId="18100"/>
    <cellStyle name="常规 4 2 2 8 3 8 3" xfId="18101"/>
    <cellStyle name="常规 4 2 2 8 3 8 4" xfId="18102"/>
    <cellStyle name="常规 4 2 2 8 3 9" xfId="18103"/>
    <cellStyle name="常规 4 2 2 8 3 9 2" xfId="18104"/>
    <cellStyle name="常规 4 2 2 8 4" xfId="18106"/>
    <cellStyle name="常规 4 2 2 8 4 2" xfId="18107"/>
    <cellStyle name="常规 4 2 2 8 4 2 2" xfId="18108"/>
    <cellStyle name="常规 4 2 2 8 4 2 2 2" xfId="18110"/>
    <cellStyle name="常规 4 2 2 8 4 2 2 2 2" xfId="18111"/>
    <cellStyle name="常规 4 2 2 8 4 2 2 2 2 2" xfId="18113"/>
    <cellStyle name="常规 4 2 2 8 4 2 2 2 2 2 2" xfId="18114"/>
    <cellStyle name="常规 4 2 2 8 4 2 2 2 2 2 2 2" xfId="18116"/>
    <cellStyle name="常规 4 2 2 8 4 2 2 2 2 2 3" xfId="18117"/>
    <cellStyle name="常规 4 2 2 8 4 2 2 2 2 2 4" xfId="18118"/>
    <cellStyle name="常规 4 2 2 8 4 2 2 2 2 3" xfId="18120"/>
    <cellStyle name="常规 4 2 2 8 4 2 2 2 2 3 2" xfId="18121"/>
    <cellStyle name="常规 4 2 2 8 4 2 2 2 2 4" xfId="18122"/>
    <cellStyle name="常规 4 2 2 8 4 2 2 2 2 5" xfId="18123"/>
    <cellStyle name="常规 4 2 2 8 4 2 2 2 3" xfId="18124"/>
    <cellStyle name="常规 4 2 2 8 4 2 2 2 3 2" xfId="18126"/>
    <cellStyle name="常规 4 2 2 8 4 2 2 2 3 2 2" xfId="18127"/>
    <cellStyle name="常规 4 2 2 8 4 2 2 2 3 3" xfId="18128"/>
    <cellStyle name="常规 4 2 2 8 4 2 2 2 3 4" xfId="18129"/>
    <cellStyle name="常规 4 2 2 8 4 2 2 2 4" xfId="18130"/>
    <cellStyle name="常规 4 2 2 8 4 2 2 2 4 2" xfId="18131"/>
    <cellStyle name="常规 4 2 2 8 4 2 2 2 5" xfId="18132"/>
    <cellStyle name="常规 4 2 2 8 4 2 2 2 6" xfId="18133"/>
    <cellStyle name="常规 4 2 2 8 4 2 2 3" xfId="18135"/>
    <cellStyle name="常规 4 2 2 8 4 2 2 3 2" xfId="3271"/>
    <cellStyle name="常规 4 2 2 8 4 2 2 3 2 2" xfId="3279"/>
    <cellStyle name="常规 4 2 2 8 4 2 2 3 2 2 2" xfId="3283"/>
    <cellStyle name="常规 4 2 2 8 4 2 2 3 2 3" xfId="3293"/>
    <cellStyle name="常规 4 2 2 8 4 2 2 3 2 4" xfId="3303"/>
    <cellStyle name="常规 4 2 2 8 4 2 2 3 3" xfId="3316"/>
    <cellStyle name="常规 4 2 2 8 4 2 2 3 3 2" xfId="3320"/>
    <cellStyle name="常规 4 2 2 8 4 2 2 3 4" xfId="3349"/>
    <cellStyle name="常规 4 2 2 8 4 2 2 3 5" xfId="3373"/>
    <cellStyle name="常规 4 2 2 8 4 2 2 4" xfId="18136"/>
    <cellStyle name="常规 4 2 2 8 4 2 2 4 2" xfId="3683"/>
    <cellStyle name="常规 4 2 2 8 4 2 2 4 2 2" xfId="1498"/>
    <cellStyle name="常规 4 2 2 8 4 2 2 4 3" xfId="3725"/>
    <cellStyle name="常规 4 2 2 8 4 2 2 4 4" xfId="3763"/>
    <cellStyle name="常规 4 2 2 8 4 2 2 5" xfId="3264"/>
    <cellStyle name="常规 4 2 2 8 4 2 2 5 2" xfId="3924"/>
    <cellStyle name="常规 4 2 2 8 4 2 2 6" xfId="18139"/>
    <cellStyle name="常规 4 2 2 8 4 2 2 7" xfId="18140"/>
    <cellStyle name="常规 4 2 2 8 4 2 3" xfId="18141"/>
    <cellStyle name="常规 4 2 2 8 4 2 3 2" xfId="18142"/>
    <cellStyle name="常规 4 2 2 8 4 2 3 2 2" xfId="18144"/>
    <cellStyle name="常规 4 2 2 8 4 2 3 2 2 2" xfId="14098"/>
    <cellStyle name="常规 4 2 2 8 4 2 3 2 2 2 2" xfId="18145"/>
    <cellStyle name="常规 4 2 2 8 4 2 3 2 2 3" xfId="14101"/>
    <cellStyle name="常规 4 2 2 8 4 2 3 2 2 4" xfId="18147"/>
    <cellStyle name="常规 4 2 2 8 4 2 3 2 3" xfId="18148"/>
    <cellStyle name="常规 4 2 2 8 4 2 3 2 3 2" xfId="14330"/>
    <cellStyle name="常规 4 2 2 8 4 2 3 2 4" xfId="18149"/>
    <cellStyle name="常规 4 2 2 8 4 2 3 2 5" xfId="17540"/>
    <cellStyle name="常规 4 2 2 8 4 2 3 3" xfId="18150"/>
    <cellStyle name="常规 4 2 2 8 4 2 3 3 2" xfId="6834"/>
    <cellStyle name="常规 4 2 2 8 4 2 3 3 2 2" xfId="14"/>
    <cellStyle name="常规 4 2 2 8 4 2 3 3 3" xfId="6847"/>
    <cellStyle name="常规 4 2 2 8 4 2 3 3 4" xfId="6856"/>
    <cellStyle name="常规 4 2 2 8 4 2 3 4" xfId="18151"/>
    <cellStyle name="常规 4 2 2 8 4 2 3 4 2" xfId="6860"/>
    <cellStyle name="常规 4 2 2 8 4 2 3 5" xfId="18152"/>
    <cellStyle name="常规 4 2 2 8 4 2 3 6" xfId="18153"/>
    <cellStyle name="常规 4 2 2 8 4 2 4" xfId="18154"/>
    <cellStyle name="常规 4 2 2 8 4 2 4 2" xfId="9985"/>
    <cellStyle name="常规 4 2 2 8 4 2 4 2 2" xfId="9987"/>
    <cellStyle name="常规 4 2 2 8 4 2 4 2 2 2" xfId="8291"/>
    <cellStyle name="常规 4 2 2 8 4 2 4 2 3" xfId="2665"/>
    <cellStyle name="常规 4 2 2 8 4 2 4 2 4" xfId="2672"/>
    <cellStyle name="常规 4 2 2 8 4 2 4 3" xfId="9990"/>
    <cellStyle name="常规 4 2 2 8 4 2 4 3 2" xfId="6906"/>
    <cellStyle name="常规 4 2 2 8 4 2 4 4" xfId="9992"/>
    <cellStyle name="常规 4 2 2 8 4 2 4 5" xfId="18155"/>
    <cellStyle name="常规 4 2 2 8 4 2 5" xfId="11966"/>
    <cellStyle name="常规 4 2 2 8 4 2 5 2" xfId="10003"/>
    <cellStyle name="常规 4 2 2 8 4 2 5 2 2" xfId="18156"/>
    <cellStyle name="常规 4 2 2 8 4 2 5 3" xfId="10005"/>
    <cellStyle name="常规 4 2 2 8 4 2 5 4" xfId="18157"/>
    <cellStyle name="常规 4 2 2 8 4 2 6" xfId="11763"/>
    <cellStyle name="常规 4 2 2 8 4 2 6 2" xfId="10014"/>
    <cellStyle name="常规 4 2 2 8 4 2 7" xfId="18158"/>
    <cellStyle name="常规 4 2 2 8 4 2 8" xfId="18160"/>
    <cellStyle name="常规 4 2 2 8 4 3" xfId="18162"/>
    <cellStyle name="常规 4 2 2 8 4 3 2" xfId="3630"/>
    <cellStyle name="常规 4 2 2 8 4 3 2 2" xfId="18163"/>
    <cellStyle name="常规 4 2 2 8 4 3 2 2 2" xfId="18165"/>
    <cellStyle name="常规 4 2 2 8 4 3 2 2 2 2" xfId="18168"/>
    <cellStyle name="常规 4 2 2 8 4 3 2 2 2 2 2" xfId="18169"/>
    <cellStyle name="常规 4 2 2 8 4 3 2 2 2 3" xfId="18171"/>
    <cellStyle name="常规 4 2 2 8 4 3 2 2 2 4" xfId="18172"/>
    <cellStyle name="常规 4 2 2 8 4 3 2 2 3" xfId="18174"/>
    <cellStyle name="常规 4 2 2 8 4 3 2 2 3 2" xfId="18175"/>
    <cellStyle name="常规 4 2 2 8 4 3 2 2 4" xfId="18177"/>
    <cellStyle name="常规 4 2 2 8 4 3 2 2 5" xfId="18180"/>
    <cellStyle name="常规 4 2 2 8 4 3 2 3" xfId="18181"/>
    <cellStyle name="常规 4 2 2 8 4 3 2 3 2" xfId="8089"/>
    <cellStyle name="常规 4 2 2 8 4 3 2 3 2 2" xfId="8093"/>
    <cellStyle name="常规 4 2 2 8 4 3 2 3 3" xfId="8100"/>
    <cellStyle name="常规 4 2 2 8 4 3 2 3 4" xfId="8104"/>
    <cellStyle name="常规 4 2 2 8 4 3 2 4" xfId="18182"/>
    <cellStyle name="常规 4 2 2 8 4 3 2 4 2" xfId="8124"/>
    <cellStyle name="常规 4 2 2 8 4 3 2 5" xfId="18183"/>
    <cellStyle name="常规 4 2 2 8 4 3 2 6" xfId="18184"/>
    <cellStyle name="常规 4 2 2 8 4 3 3" xfId="18185"/>
    <cellStyle name="常规 4 2 2 8 4 3 3 2" xfId="18186"/>
    <cellStyle name="常规 4 2 2 8 4 3 3 2 2" xfId="18187"/>
    <cellStyle name="常规 4 2 2 8 4 3 3 2 2 2" xfId="1761"/>
    <cellStyle name="常规 4 2 2 8 4 3 3 2 3" xfId="18188"/>
    <cellStyle name="常规 4 2 2 8 4 3 3 2 4" xfId="18189"/>
    <cellStyle name="常规 4 2 2 8 4 3 3 3" xfId="18190"/>
    <cellStyle name="常规 4 2 2 8 4 3 3 3 2" xfId="8175"/>
    <cellStyle name="常规 4 2 2 8 4 3 3 4" xfId="18191"/>
    <cellStyle name="常规 4 2 2 8 4 3 3 5" xfId="18192"/>
    <cellStyle name="常规 4 2 2 8 4 3 4" xfId="18193"/>
    <cellStyle name="常规 4 2 2 8 4 3 4 2" xfId="10034"/>
    <cellStyle name="常规 4 2 2 8 4 3 4 2 2" xfId="18194"/>
    <cellStyle name="常规 4 2 2 8 4 3 4 3" xfId="10036"/>
    <cellStyle name="常规 4 2 2 8 4 3 4 4" xfId="18195"/>
    <cellStyle name="常规 4 2 2 8 4 3 5" xfId="18197"/>
    <cellStyle name="常规 4 2 2 8 4 3 5 2" xfId="10044"/>
    <cellStyle name="常规 4 2 2 8 4 3 6" xfId="11674"/>
    <cellStyle name="常规 4 2 2 8 4 3 7" xfId="18199"/>
    <cellStyle name="常规 4 2 2 8 4 4" xfId="5461"/>
    <cellStyle name="常规 4 2 2 8 4 4 2" xfId="1605"/>
    <cellStyle name="常规 4 2 2 8 4 4 2 2" xfId="15956"/>
    <cellStyle name="常规 4 2 2 8 4 4 2 2 2" xfId="18201"/>
    <cellStyle name="常规 4 2 2 8 4 4 2 2 2 2" xfId="18204"/>
    <cellStyle name="常规 4 2 2 8 4 4 2 2 3" xfId="18206"/>
    <cellStyle name="常规 4 2 2 8 4 4 2 2 4" xfId="18207"/>
    <cellStyle name="常规 4 2 2 8 4 4 2 3" xfId="18208"/>
    <cellStyle name="常规 4 2 2 8 4 4 2 3 2" xfId="8916"/>
    <cellStyle name="常规 4 2 2 8 4 4 2 4" xfId="18209"/>
    <cellStyle name="常规 4 2 2 8 4 4 2 5" xfId="18210"/>
    <cellStyle name="常规 4 2 2 8 4 4 3" xfId="15958"/>
    <cellStyle name="常规 4 2 2 8 4 4 3 2" xfId="18211"/>
    <cellStyle name="常规 4 2 2 8 4 4 3 2 2" xfId="18212"/>
    <cellStyle name="常规 4 2 2 8 4 4 3 3" xfId="18213"/>
    <cellStyle name="常规 4 2 2 8 4 4 3 4" xfId="18215"/>
    <cellStyle name="常规 4 2 2 8 4 4 4" xfId="13621"/>
    <cellStyle name="常规 4 2 2 8 4 4 4 2" xfId="10054"/>
    <cellStyle name="常规 4 2 2 8 4 4 5" xfId="18217"/>
    <cellStyle name="常规 4 2 2 8 4 4 6" xfId="18219"/>
    <cellStyle name="常规 4 2 2 8 4 5" xfId="5467"/>
    <cellStyle name="常规 4 2 2 8 4 5 2" xfId="15960"/>
    <cellStyle name="常规 4 2 2 8 4 5 2 2" xfId="18221"/>
    <cellStyle name="常规 4 2 2 8 4 5 2 2 2" xfId="18222"/>
    <cellStyle name="常规 4 2 2 8 4 5 2 3" xfId="18223"/>
    <cellStyle name="常规 4 2 2 8 4 5 2 4" xfId="18224"/>
    <cellStyle name="常规 4 2 2 8 4 5 3" xfId="18226"/>
    <cellStyle name="常规 4 2 2 8 4 5 3 2" xfId="18228"/>
    <cellStyle name="常规 4 2 2 8 4 5 4" xfId="18230"/>
    <cellStyle name="常规 4 2 2 8 4 5 5" xfId="18233"/>
    <cellStyle name="常规 4 2 2 8 4 6" xfId="5473"/>
    <cellStyle name="常规 4 2 2 8 4 6 2" xfId="18234"/>
    <cellStyle name="常规 4 2 2 8 4 6 2 2" xfId="16198"/>
    <cellStyle name="常规 4 2 2 8 4 6 3" xfId="18236"/>
    <cellStyle name="常规 4 2 2 8 4 6 4" xfId="18237"/>
    <cellStyle name="常规 4 2 2 8 4 7" xfId="3680"/>
    <cellStyle name="常规 4 2 2 8 4 7 2" xfId="18238"/>
    <cellStyle name="常规 4 2 2 8 4 8" xfId="18239"/>
    <cellStyle name="常规 4 2 2 8 4 9" xfId="18240"/>
    <cellStyle name="常规 4 2 2 8 5" xfId="18241"/>
    <cellStyle name="常规 4 2 2 8 5 2" xfId="18244"/>
    <cellStyle name="常规 4 2 2 8 5 2 2" xfId="137"/>
    <cellStyle name="常规 4 2 2 8 5 2 2 2" xfId="2191"/>
    <cellStyle name="常规 4 2 2 8 5 2 2 2 2" xfId="18247"/>
    <cellStyle name="常规 4 2 2 8 5 2 2 2 2 2" xfId="18250"/>
    <cellStyle name="常规 4 2 2 8 5 2 2 2 2 2 2" xfId="18251"/>
    <cellStyle name="常规 4 2 2 8 5 2 2 2 2 2 2 2" xfId="10420"/>
    <cellStyle name="常规 4 2 2 8 5 2 2 2 2 2 3" xfId="18252"/>
    <cellStyle name="常规 4 2 2 8 5 2 2 2 2 2 4" xfId="18253"/>
    <cellStyle name="常规 4 2 2 8 5 2 2 2 2 3" xfId="18254"/>
    <cellStyle name="常规 4 2 2 8 5 2 2 2 2 3 2" xfId="18256"/>
    <cellStyle name="常规 4 2 2 8 5 2 2 2 2 4" xfId="18258"/>
    <cellStyle name="常规 4 2 2 8 5 2 2 2 2 5" xfId="18259"/>
    <cellStyle name="常规 4 2 2 8 5 2 2 2 3" xfId="18261"/>
    <cellStyle name="常规 4 2 2 8 5 2 2 2 3 2" xfId="14138"/>
    <cellStyle name="常规 4 2 2 8 5 2 2 2 3 2 2" xfId="14141"/>
    <cellStyle name="常规 4 2 2 8 5 2 2 2 3 3" xfId="14148"/>
    <cellStyle name="常规 4 2 2 8 5 2 2 2 3 4" xfId="14155"/>
    <cellStyle name="常规 4 2 2 8 5 2 2 2 4" xfId="2590"/>
    <cellStyle name="常规 4 2 2 8 5 2 2 2 4 2" xfId="14176"/>
    <cellStyle name="常规 4 2 2 8 5 2 2 2 5" xfId="18263"/>
    <cellStyle name="常规 4 2 2 8 5 2 2 2 6" xfId="8950"/>
    <cellStyle name="常规 4 2 2 8 5 2 2 3" xfId="18264"/>
    <cellStyle name="常规 4 2 2 8 5 2 2 3 2" xfId="18267"/>
    <cellStyle name="常规 4 2 2 8 5 2 2 3 2 2" xfId="18271"/>
    <cellStyle name="常规 4 2 2 8 5 2 2 3 2 2 2" xfId="18274"/>
    <cellStyle name="常规 4 2 2 8 5 2 2 3 2 3" xfId="18281"/>
    <cellStyle name="常规 4 2 2 8 5 2 2 3 2 4" xfId="18286"/>
    <cellStyle name="常规 4 2 2 8 5 2 2 3 3" xfId="18290"/>
    <cellStyle name="常规 4 2 2 8 5 2 2 3 3 2" xfId="14228"/>
    <cellStyle name="常规 4 2 2 8 5 2 2 3 4" xfId="18294"/>
    <cellStyle name="常规 4 2 2 8 5 2 2 3 5" xfId="18298"/>
    <cellStyle name="常规 4 2 2 8 5 2 2 4" xfId="18299"/>
    <cellStyle name="常规 4 2 2 8 5 2 2 4 2" xfId="18305"/>
    <cellStyle name="常规 4 2 2 8 5 2 2 4 2 2" xfId="9010"/>
    <cellStyle name="常规 4 2 2 8 5 2 2 4 3" xfId="18311"/>
    <cellStyle name="常规 4 2 2 8 5 2 2 4 4" xfId="18316"/>
    <cellStyle name="常规 4 2 2 8 5 2 2 5" xfId="18318"/>
    <cellStyle name="常规 4 2 2 8 5 2 2 5 2" xfId="18320"/>
    <cellStyle name="常规 4 2 2 8 5 2 2 6" xfId="18322"/>
    <cellStyle name="常规 4 2 2 8 5 2 2 7" xfId="18324"/>
    <cellStyle name="常规 4 2 2 8 5 2 3" xfId="18325"/>
    <cellStyle name="常规 4 2 2 8 5 2 3 2" xfId="18328"/>
    <cellStyle name="常规 4 2 2 8 5 2 3 2 2" xfId="18331"/>
    <cellStyle name="常规 4 2 2 8 5 2 3 2 2 2" xfId="18332"/>
    <cellStyle name="常规 4 2 2 8 5 2 3 2 2 2 2" xfId="916"/>
    <cellStyle name="常规 4 2 2 8 5 2 3 2 2 3" xfId="18333"/>
    <cellStyle name="常规 4 2 2 8 5 2 3 2 2 4" xfId="18335"/>
    <cellStyle name="常规 4 2 2 8 5 2 3 2 3" xfId="18337"/>
    <cellStyle name="常规 4 2 2 8 5 2 3 2 3 2" xfId="14348"/>
    <cellStyle name="常规 4 2 2 8 5 2 3 2 4" xfId="18339"/>
    <cellStyle name="常规 4 2 2 8 5 2 3 2 5" xfId="18341"/>
    <cellStyle name="常规 4 2 2 8 5 2 3 3" xfId="18342"/>
    <cellStyle name="常规 4 2 2 8 5 2 3 3 2" xfId="18343"/>
    <cellStyle name="常规 4 2 2 8 5 2 3 3 2 2" xfId="18347"/>
    <cellStyle name="常规 4 2 2 8 5 2 3 3 3" xfId="18351"/>
    <cellStyle name="常规 4 2 2 8 5 2 3 3 4" xfId="18355"/>
    <cellStyle name="常规 4 2 2 8 5 2 3 4" xfId="18358"/>
    <cellStyle name="常规 4 2 2 8 5 2 3 4 2" xfId="7153"/>
    <cellStyle name="常规 4 2 2 8 5 2 3 5" xfId="18360"/>
    <cellStyle name="常规 4 2 2 8 5 2 3 6" xfId="18362"/>
    <cellStyle name="常规 4 2 2 8 5 2 4" xfId="18363"/>
    <cellStyle name="常规 4 2 2 8 5 2 4 2" xfId="10085"/>
    <cellStyle name="常规 4 2 2 8 5 2 4 2 2" xfId="18367"/>
    <cellStyle name="常规 4 2 2 8 5 2 4 2 2 2" xfId="16131"/>
    <cellStyle name="常规 4 2 2 8 5 2 4 2 3" xfId="18369"/>
    <cellStyle name="常规 4 2 2 8 5 2 4 2 4" xfId="18370"/>
    <cellStyle name="常规 4 2 2 8 5 2 4 3" xfId="10087"/>
    <cellStyle name="常规 4 2 2 8 5 2 4 3 2" xfId="18371"/>
    <cellStyle name="常规 4 2 2 8 5 2 4 4" xfId="18373"/>
    <cellStyle name="常规 4 2 2 8 5 2 4 5" xfId="18374"/>
    <cellStyle name="常规 4 2 2 8 5 2 5" xfId="18375"/>
    <cellStyle name="常规 4 2 2 8 5 2 5 2" xfId="10093"/>
    <cellStyle name="常规 4 2 2 8 5 2 5 2 2" xfId="18378"/>
    <cellStyle name="常规 4 2 2 8 5 2 5 3" xfId="18380"/>
    <cellStyle name="常规 4 2 2 8 5 2 5 4" xfId="18381"/>
    <cellStyle name="常规 4 2 2 8 5 2 6" xfId="13549"/>
    <cellStyle name="常规 4 2 2 8 5 2 6 2" xfId="18382"/>
    <cellStyle name="常规 4 2 2 8 5 2 7" xfId="18384"/>
    <cellStyle name="常规 4 2 2 8 5 2 8" xfId="18386"/>
    <cellStyle name="常规 4 2 2 8 5 3" xfId="18388"/>
    <cellStyle name="常规 4 2 2 8 5 3 2" xfId="3650"/>
    <cellStyle name="常规 4 2 2 8 5 3 2 2" xfId="663"/>
    <cellStyle name="常规 4 2 2 8 5 3 2 2 2" xfId="18392"/>
    <cellStyle name="常规 4 2 2 8 5 3 2 2 2 2" xfId="18393"/>
    <cellStyle name="常规 4 2 2 8 5 3 2 2 2 2 2" xfId="18394"/>
    <cellStyle name="常规 4 2 2 8 5 3 2 2 2 3" xfId="18395"/>
    <cellStyle name="常规 4 2 2 8 5 3 2 2 2 4" xfId="18396"/>
    <cellStyle name="常规 4 2 2 8 5 3 2 2 3" xfId="18399"/>
    <cellStyle name="常规 4 2 2 8 5 3 2 2 3 2" xfId="15047"/>
    <cellStyle name="常规 4 2 2 8 5 3 2 2 4" xfId="18401"/>
    <cellStyle name="常规 4 2 2 8 5 3 2 2 5" xfId="18403"/>
    <cellStyle name="常规 4 2 2 8 5 3 2 3" xfId="669"/>
    <cellStyle name="常规 4 2 2 8 5 3 2 3 2" xfId="18405"/>
    <cellStyle name="常规 4 2 2 8 5 3 2 3 2 2" xfId="18407"/>
    <cellStyle name="常规 4 2 2 8 5 3 2 3 3" xfId="18412"/>
    <cellStyle name="常规 4 2 2 8 5 3 2 3 4" xfId="18414"/>
    <cellStyle name="常规 4 2 2 8 5 3 2 4" xfId="18416"/>
    <cellStyle name="常规 4 2 2 8 5 3 2 4 2" xfId="16521"/>
    <cellStyle name="常规 4 2 2 8 5 3 2 5" xfId="18419"/>
    <cellStyle name="常规 4 2 2 8 5 3 2 6" xfId="18421"/>
    <cellStyle name="常规 4 2 2 8 5 3 3" xfId="18422"/>
    <cellStyle name="常规 4 2 2 8 5 3 3 2" xfId="705"/>
    <cellStyle name="常规 4 2 2 8 5 3 3 2 2" xfId="18425"/>
    <cellStyle name="常规 4 2 2 8 5 3 3 2 2 2" xfId="2804"/>
    <cellStyle name="常规 4 2 2 8 5 3 3 2 3" xfId="18427"/>
    <cellStyle name="常规 4 2 2 8 5 3 3 2 4" xfId="18428"/>
    <cellStyle name="常规 4 2 2 8 5 3 3 3" xfId="710"/>
    <cellStyle name="常规 4 2 2 8 5 3 3 3 2" xfId="18429"/>
    <cellStyle name="常规 4 2 2 8 5 3 3 4" xfId="18431"/>
    <cellStyle name="常规 4 2 2 8 5 3 3 5" xfId="18432"/>
    <cellStyle name="常规 4 2 2 8 5 3 4" xfId="18433"/>
    <cellStyle name="常规 4 2 2 8 5 3 4 2" xfId="766"/>
    <cellStyle name="常规 4 2 2 8 5 3 4 2 2" xfId="18437"/>
    <cellStyle name="常规 4 2 2 8 5 3 4 3" xfId="775"/>
    <cellStyle name="常规 4 2 2 8 5 3 4 4" xfId="18438"/>
    <cellStyle name="常规 4 2 2 8 5 3 5" xfId="18440"/>
    <cellStyle name="常规 4 2 2 8 5 3 5 2" xfId="18442"/>
    <cellStyle name="常规 4 2 2 8 5 3 6" xfId="18444"/>
    <cellStyle name="常规 4 2 2 8 5 3 7" xfId="18447"/>
    <cellStyle name="常规 4 2 2 8 5 4" xfId="3625"/>
    <cellStyle name="常规 4 2 2 8 5 4 2" xfId="15962"/>
    <cellStyle name="常规 4 2 2 8 5 4 2 2" xfId="18449"/>
    <cellStyle name="常规 4 2 2 8 5 4 2 2 2" xfId="18450"/>
    <cellStyle name="常规 4 2 2 8 5 4 2 2 2 2" xfId="18452"/>
    <cellStyle name="常规 4 2 2 8 5 4 2 2 3" xfId="18454"/>
    <cellStyle name="常规 4 2 2 8 5 4 2 2 4" xfId="18455"/>
    <cellStyle name="常规 4 2 2 8 5 4 2 3" xfId="18456"/>
    <cellStyle name="常规 4 2 2 8 5 4 2 3 2" xfId="18457"/>
    <cellStyle name="常规 4 2 2 8 5 4 2 4" xfId="18459"/>
    <cellStyle name="常规 4 2 2 8 5 4 2 5" xfId="18460"/>
    <cellStyle name="常规 4 2 2 8 5 4 3" xfId="18461"/>
    <cellStyle name="常规 4 2 2 8 5 4 3 2" xfId="18463"/>
    <cellStyle name="常规 4 2 2 8 5 4 3 2 2" xfId="18464"/>
    <cellStyle name="常规 4 2 2 8 5 4 3 3" xfId="18466"/>
    <cellStyle name="常规 4 2 2 8 5 4 3 4" xfId="18467"/>
    <cellStyle name="常规 4 2 2 8 5 4 4" xfId="18468"/>
    <cellStyle name="常规 4 2 2 8 5 4 4 2" xfId="18470"/>
    <cellStyle name="常规 4 2 2 8 5 4 5" xfId="18472"/>
    <cellStyle name="常规 4 2 2 8 5 4 6" xfId="18474"/>
    <cellStyle name="常规 4 2 2 8 5 5" xfId="15966"/>
    <cellStyle name="常规 4 2 2 8 5 5 2" xfId="18476"/>
    <cellStyle name="常规 4 2 2 8 5 5 2 2" xfId="18477"/>
    <cellStyle name="常规 4 2 2 8 5 5 2 2 2" xfId="18478"/>
    <cellStyle name="常规 4 2 2 8 5 5 2 3" xfId="18479"/>
    <cellStyle name="常规 4 2 2 8 5 5 2 4" xfId="18480"/>
    <cellStyle name="常规 4 2 2 8 5 5 3" xfId="18482"/>
    <cellStyle name="常规 4 2 2 8 5 5 3 2" xfId="18484"/>
    <cellStyle name="常规 4 2 2 8 5 5 4" xfId="18485"/>
    <cellStyle name="常规 4 2 2 8 5 5 5" xfId="18487"/>
    <cellStyle name="常规 4 2 2 8 5 6" xfId="7311"/>
    <cellStyle name="常规 4 2 2 8 5 6 2" xfId="18488"/>
    <cellStyle name="常规 4 2 2 8 5 6 2 2" xfId="18489"/>
    <cellStyle name="常规 4 2 2 8 5 6 3" xfId="18491"/>
    <cellStyle name="常规 4 2 2 8 5 6 4" xfId="18493"/>
    <cellStyle name="常规 4 2 2 8 5 7" xfId="18494"/>
    <cellStyle name="常规 4 2 2 8 5 7 2" xfId="18495"/>
    <cellStyle name="常规 4 2 2 8 5 8" xfId="18496"/>
    <cellStyle name="常规 4 2 2 8 5 9" xfId="18497"/>
    <cellStyle name="常规 4 2 2 8 6" xfId="18498"/>
    <cellStyle name="常规 4 2 2 8 6 2" xfId="18501"/>
    <cellStyle name="常规 4 2 2 8 6 2 2" xfId="1489"/>
    <cellStyle name="常规 4 2 2 8 6 2 2 2" xfId="18504"/>
    <cellStyle name="常规 4 2 2 8 6 2 2 2 2" xfId="18508"/>
    <cellStyle name="常规 4 2 2 8 6 2 2 2 2 2" xfId="18509"/>
    <cellStyle name="常规 4 2 2 8 6 2 2 2 2 2 2" xfId="18511"/>
    <cellStyle name="常规 4 2 2 8 6 2 2 2 2 3" xfId="18512"/>
    <cellStyle name="常规 4 2 2 8 6 2 2 2 2 4" xfId="18514"/>
    <cellStyle name="常规 4 2 2 8 6 2 2 2 3" xfId="18515"/>
    <cellStyle name="常规 4 2 2 8 6 2 2 2 3 2" xfId="18516"/>
    <cellStyle name="常规 4 2 2 8 6 2 2 2 4" xfId="2685"/>
    <cellStyle name="常规 4 2 2 8 6 2 2 2 5" xfId="18519"/>
    <cellStyle name="常规 4 2 2 8 6 2 2 3" xfId="18520"/>
    <cellStyle name="常规 4 2 2 8 6 2 2 3 2" xfId="18522"/>
    <cellStyle name="常规 4 2 2 8 6 2 2 3 2 2" xfId="5928"/>
    <cellStyle name="常规 4 2 2 8 6 2 2 3 3" xfId="18525"/>
    <cellStyle name="常规 4 2 2 8 6 2 2 3 4" xfId="18529"/>
    <cellStyle name="常规 4 2 2 8 6 2 2 4" xfId="18531"/>
    <cellStyle name="常规 4 2 2 8 6 2 2 4 2" xfId="18533"/>
    <cellStyle name="常规 4 2 2 8 6 2 2 5" xfId="18535"/>
    <cellStyle name="常规 4 2 2 8 6 2 2 6" xfId="18537"/>
    <cellStyle name="常规 4 2 2 8 6 2 3" xfId="18538"/>
    <cellStyle name="常规 4 2 2 8 6 2 3 2" xfId="18541"/>
    <cellStyle name="常规 4 2 2 8 6 2 3 2 2" xfId="18543"/>
    <cellStyle name="常规 4 2 2 8 6 2 3 2 2 2" xfId="18544"/>
    <cellStyle name="常规 4 2 2 8 6 2 3 2 3" xfId="18545"/>
    <cellStyle name="常规 4 2 2 8 6 2 3 2 4" xfId="18548"/>
    <cellStyle name="常规 4 2 2 8 6 2 3 3" xfId="18549"/>
    <cellStyle name="常规 4 2 2 8 6 2 3 3 2" xfId="18550"/>
    <cellStyle name="常规 4 2 2 8 6 2 3 4" xfId="18552"/>
    <cellStyle name="常规 4 2 2 8 6 2 3 5" xfId="2906"/>
    <cellStyle name="常规 4 2 2 8 6 2 4" xfId="18553"/>
    <cellStyle name="常规 4 2 2 8 6 2 4 2" xfId="10140"/>
    <cellStyle name="常规 4 2 2 8 6 2 4 2 2" xfId="18559"/>
    <cellStyle name="常规 4 2 2 8 6 2 4 3" xfId="18561"/>
    <cellStyle name="常规 4 2 2 8 6 2 4 4" xfId="18563"/>
    <cellStyle name="常规 4 2 2 8 6 2 5" xfId="18565"/>
    <cellStyle name="常规 4 2 2 8 6 2 5 2" xfId="18567"/>
    <cellStyle name="常规 4 2 2 8 6 2 6" xfId="18568"/>
    <cellStyle name="常规 4 2 2 8 6 2 7" xfId="18571"/>
    <cellStyle name="常规 4 2 2 8 6 3" xfId="18574"/>
    <cellStyle name="常规 4 2 2 8 6 3 2" xfId="3700"/>
    <cellStyle name="常规 4 2 2 8 6 3 2 2" xfId="18577"/>
    <cellStyle name="常规 4 2 2 8 6 3 2 2 2" xfId="2495"/>
    <cellStyle name="常规 4 2 2 8 6 3 2 2 2 2" xfId="2498"/>
    <cellStyle name="常规 4 2 2 8 6 3 2 2 3" xfId="2506"/>
    <cellStyle name="常规 4 2 2 8 6 3 2 2 4" xfId="2510"/>
    <cellStyle name="常规 4 2 2 8 6 3 2 3" xfId="18578"/>
    <cellStyle name="常规 4 2 2 8 6 3 2 3 2" xfId="842"/>
    <cellStyle name="常规 4 2 2 8 6 3 2 4" xfId="18580"/>
    <cellStyle name="常规 4 2 2 8 6 3 2 5" xfId="18581"/>
    <cellStyle name="常规 4 2 2 8 6 3 3" xfId="18582"/>
    <cellStyle name="常规 4 2 2 8 6 3 3 2" xfId="18583"/>
    <cellStyle name="常规 4 2 2 8 6 3 3 2 2" xfId="18584"/>
    <cellStyle name="常规 4 2 2 8 6 3 3 3" xfId="18585"/>
    <cellStyle name="常规 4 2 2 8 6 3 3 4" xfId="18586"/>
    <cellStyle name="常规 4 2 2 8 6 3 4" xfId="18588"/>
    <cellStyle name="常规 4 2 2 8 6 3 4 2" xfId="18590"/>
    <cellStyle name="常规 4 2 2 8 6 3 5" xfId="18593"/>
    <cellStyle name="常规 4 2 2 8 6 3 6" xfId="18595"/>
    <cellStyle name="常规 4 2 2 8 6 4" xfId="15970"/>
    <cellStyle name="常规 4 2 2 8 6 4 2" xfId="18598"/>
    <cellStyle name="常规 4 2 2 8 6 4 2 2" xfId="18600"/>
    <cellStyle name="常规 4 2 2 8 6 4 2 2 2" xfId="18601"/>
    <cellStyle name="常规 4 2 2 8 6 4 2 3" xfId="18602"/>
    <cellStyle name="常规 4 2 2 8 6 4 2 4" xfId="18603"/>
    <cellStyle name="常规 4 2 2 8 6 4 3" xfId="18604"/>
    <cellStyle name="常规 4 2 2 8 6 4 3 2" xfId="18607"/>
    <cellStyle name="常规 4 2 2 8 6 4 4" xfId="18609"/>
    <cellStyle name="常规 4 2 2 8 6 4 5" xfId="18611"/>
    <cellStyle name="常规 4 2 2 8 6 5" xfId="18612"/>
    <cellStyle name="常规 4 2 2 8 6 5 2" xfId="18615"/>
    <cellStyle name="常规 4 2 2 8 6 5 2 2" xfId="18616"/>
    <cellStyle name="常规 4 2 2 8 6 5 3" xfId="18617"/>
    <cellStyle name="常规 4 2 2 8 6 5 4" xfId="18618"/>
    <cellStyle name="常规 4 2 2 8 6 6" xfId="18619"/>
    <cellStyle name="常规 4 2 2 8 6 6 2" xfId="18620"/>
    <cellStyle name="常规 4 2 2 8 6 7" xfId="18621"/>
    <cellStyle name="常规 4 2 2 8 6 8" xfId="18623"/>
    <cellStyle name="常规 4 2 2 8 7" xfId="18624"/>
    <cellStyle name="常规 4 2 2 8 7 2" xfId="1621"/>
    <cellStyle name="常规 4 2 2 8 7 2 2" xfId="18628"/>
    <cellStyle name="常规 4 2 2 8 7 2 2 2" xfId="18632"/>
    <cellStyle name="常规 4 2 2 8 7 2 2 2 2" xfId="18634"/>
    <cellStyle name="常规 4 2 2 8 7 2 2 2 2 2" xfId="18636"/>
    <cellStyle name="常规 4 2 2 8 7 2 2 2 3" xfId="18638"/>
    <cellStyle name="常规 4 2 2 8 7 2 2 2 4" xfId="18642"/>
    <cellStyle name="常规 4 2 2 8 7 2 2 3" xfId="18644"/>
    <cellStyle name="常规 4 2 2 8 7 2 2 3 2" xfId="18646"/>
    <cellStyle name="常规 4 2 2 8 7 2 2 4" xfId="18650"/>
    <cellStyle name="常规 4 2 2 8 7 2 2 5" xfId="18653"/>
    <cellStyle name="常规 4 2 2 8 7 2 3" xfId="18654"/>
    <cellStyle name="常规 4 2 2 8 7 2 3 2" xfId="18656"/>
    <cellStyle name="常规 4 2 2 8 7 2 3 2 2" xfId="18658"/>
    <cellStyle name="常规 4 2 2 8 7 2 3 3" xfId="18660"/>
    <cellStyle name="常规 4 2 2 8 7 2 3 4" xfId="18663"/>
    <cellStyle name="常规 4 2 2 8 7 2 4" xfId="18665"/>
    <cellStyle name="常规 4 2 2 8 7 2 4 2" xfId="18668"/>
    <cellStyle name="常规 4 2 2 8 7 2 5" xfId="18671"/>
    <cellStyle name="常规 4 2 2 8 7 2 6" xfId="18673"/>
    <cellStyle name="常规 4 2 2 8 7 3" xfId="18677"/>
    <cellStyle name="常规 4 2 2 8 7 3 2" xfId="3736"/>
    <cellStyle name="常规 4 2 2 8 7 3 2 2" xfId="18681"/>
    <cellStyle name="常规 4 2 2 8 7 3 2 2 2" xfId="18683"/>
    <cellStyle name="常规 4 2 2 8 7 3 2 3" xfId="18685"/>
    <cellStyle name="常规 4 2 2 8 7 3 2 4" xfId="18688"/>
    <cellStyle name="常规 4 2 2 8 7 3 3" xfId="18689"/>
    <cellStyle name="常规 4 2 2 8 7 3 3 2" xfId="18691"/>
    <cellStyle name="常规 4 2 2 8 7 3 4" xfId="18693"/>
    <cellStyle name="常规 4 2 2 8 7 3 5" xfId="18695"/>
    <cellStyle name="常规 4 2 2 8 7 4" xfId="18696"/>
    <cellStyle name="常规 4 2 2 8 7 4 2" xfId="18699"/>
    <cellStyle name="常规 4 2 2 8 7 4 2 2" xfId="18701"/>
    <cellStyle name="常规 4 2 2 8 7 4 3" xfId="18702"/>
    <cellStyle name="常规 4 2 2 8 7 4 4" xfId="18703"/>
    <cellStyle name="常规 4 2 2 8 7 5" xfId="18704"/>
    <cellStyle name="常规 4 2 2 8 7 5 2" xfId="18705"/>
    <cellStyle name="常规 4 2 2 8 7 6" xfId="18706"/>
    <cellStyle name="常规 4 2 2 8 7 7" xfId="18707"/>
    <cellStyle name="常规 4 2 2 8 8" xfId="18708"/>
    <cellStyle name="常规 4 2 2 8 8 2" xfId="18711"/>
    <cellStyle name="常规 4 2 2 8 8 2 2" xfId="18714"/>
    <cellStyle name="常规 4 2 2 8 8 2 2 2" xfId="18716"/>
    <cellStyle name="常规 4 2 2 8 8 2 2 2 2" xfId="18718"/>
    <cellStyle name="常规 4 2 2 8 8 2 2 3" xfId="18720"/>
    <cellStyle name="常规 4 2 2 8 8 2 2 4" xfId="18722"/>
    <cellStyle name="常规 4 2 2 8 8 2 3" xfId="18723"/>
    <cellStyle name="常规 4 2 2 8 8 2 3 2" xfId="18725"/>
    <cellStyle name="常规 4 2 2 8 8 2 4" xfId="18728"/>
    <cellStyle name="常规 4 2 2 8 8 2 5" xfId="18729"/>
    <cellStyle name="常规 4 2 2 8 8 3" xfId="18730"/>
    <cellStyle name="常规 4 2 2 8 8 3 2" xfId="3770"/>
    <cellStyle name="常规 4 2 2 8 8 3 2 2" xfId="18732"/>
    <cellStyle name="常规 4 2 2 8 8 3 3" xfId="18733"/>
    <cellStyle name="常规 4 2 2 8 8 3 4" xfId="18734"/>
    <cellStyle name="常规 4 2 2 8 8 4" xfId="18735"/>
    <cellStyle name="常规 4 2 2 8 8 4 2" xfId="18737"/>
    <cellStyle name="常规 4 2 2 8 8 5" xfId="18738"/>
    <cellStyle name="常规 4 2 2 8 8 6" xfId="18740"/>
    <cellStyle name="常规 4 2 2 8 9" xfId="18741"/>
    <cellStyle name="常规 4 2 2 8 9 2" xfId="18746"/>
    <cellStyle name="常规 4 2 2 8 9 2 2" xfId="18748"/>
    <cellStyle name="常规 4 2 2 8 9 2 2 2" xfId="18750"/>
    <cellStyle name="常规 4 2 2 8 9 2 3" xfId="18751"/>
    <cellStyle name="常规 4 2 2 8 9 2 4" xfId="18752"/>
    <cellStyle name="常规 4 2 2 8 9 3" xfId="18754"/>
    <cellStyle name="常规 4 2 2 8 9 3 2" xfId="3803"/>
    <cellStyle name="常规 4 2 2 8 9 4" xfId="18756"/>
    <cellStyle name="常规 4 2 2 8 9 5" xfId="18757"/>
    <cellStyle name="常规 4 2 2 9" xfId="6011"/>
    <cellStyle name="常规 4 2 2 9 10" xfId="18759"/>
    <cellStyle name="常规 4 2 2 9 10 2" xfId="18761"/>
    <cellStyle name="常规 4 2 2 9 11" xfId="18763"/>
    <cellStyle name="常规 4 2 2 9 12" xfId="13160"/>
    <cellStyle name="常规 4 2 2 9 2" xfId="5132"/>
    <cellStyle name="常规 4 2 2 9 2 10" xfId="18765"/>
    <cellStyle name="常规 4 2 2 9 2 11" xfId="18767"/>
    <cellStyle name="常规 4 2 2 9 2 2" xfId="18768"/>
    <cellStyle name="常规 4 2 2 9 2 2 2" xfId="18769"/>
    <cellStyle name="常规 4 2 2 9 2 2 2 2" xfId="5610"/>
    <cellStyle name="常规 4 2 2 9 2 2 2 2 2" xfId="18770"/>
    <cellStyle name="常规 4 2 2 9 2 2 2 2 2 2" xfId="18772"/>
    <cellStyle name="常规 4 2 2 9 2 2 2 2 2 2 2" xfId="18773"/>
    <cellStyle name="常规 4 2 2 9 2 2 2 2 2 2 2 2" xfId="8015"/>
    <cellStyle name="常规 4 2 2 9 2 2 2 2 2 2 2 2 2" xfId="18777"/>
    <cellStyle name="常规 4 2 2 9 2 2 2 2 2 2 2 3" xfId="8018"/>
    <cellStyle name="常规 4 2 2 9 2 2 2 2 2 2 2 4" xfId="18779"/>
    <cellStyle name="常规 4 2 2 9 2 2 2 2 2 2 3" xfId="18780"/>
    <cellStyle name="常规 4 2 2 9 2 2 2 2 2 2 3 2" xfId="8027"/>
    <cellStyle name="常规 4 2 2 9 2 2 2 2 2 2 4" xfId="16703"/>
    <cellStyle name="常规 4 2 2 9 2 2 2 2 2 2 5" xfId="18782"/>
    <cellStyle name="常规 4 2 2 9 2 2 2 2 2 3" xfId="18784"/>
    <cellStyle name="常规 4 2 2 9 2 2 2 2 2 3 2" xfId="15881"/>
    <cellStyle name="常规 4 2 2 9 2 2 2 2 2 3 2 2" xfId="8047"/>
    <cellStyle name="常规 4 2 2 9 2 2 2 2 2 3 3" xfId="18785"/>
    <cellStyle name="常规 4 2 2 9 2 2 2 2 2 3 4" xfId="16436"/>
    <cellStyle name="常规 4 2 2 9 2 2 2 2 2 4" xfId="18786"/>
    <cellStyle name="常规 4 2 2 9 2 2 2 2 2 4 2" xfId="18787"/>
    <cellStyle name="常规 4 2 2 9 2 2 2 2 2 5" xfId="18791"/>
    <cellStyle name="常规 4 2 2 9 2 2 2 2 2 6" xfId="12949"/>
    <cellStyle name="常规 4 2 2 9 2 2 2 2 3" xfId="18792"/>
    <cellStyle name="常规 4 2 2 9 2 2 2 2 3 2" xfId="18793"/>
    <cellStyle name="常规 4 2 2 9 2 2 2 2 3 2 2" xfId="18794"/>
    <cellStyle name="常规 4 2 2 9 2 2 2 2 3 2 2 2" xfId="8120"/>
    <cellStyle name="常规 4 2 2 9 2 2 2 2 3 2 3" xfId="18795"/>
    <cellStyle name="常规 4 2 2 9 2 2 2 2 3 2 4" xfId="18796"/>
    <cellStyle name="常规 4 2 2 9 2 2 2 2 3 3" xfId="3133"/>
    <cellStyle name="常规 4 2 2 9 2 2 2 2 3 3 2" xfId="18797"/>
    <cellStyle name="常规 4 2 2 9 2 2 2 2 3 4" xfId="18798"/>
    <cellStyle name="常规 4 2 2 9 2 2 2 2 3 5" xfId="6126"/>
    <cellStyle name="常规 4 2 2 9 2 2 2 2 4" xfId="18799"/>
    <cellStyle name="常规 4 2 2 9 2 2 2 2 4 2" xfId="18800"/>
    <cellStyle name="常规 4 2 2 9 2 2 2 2 4 2 2" xfId="18803"/>
    <cellStyle name="常规 4 2 2 9 2 2 2 2 4 3" xfId="18805"/>
    <cellStyle name="常规 4 2 2 9 2 2 2 2 4 4" xfId="18807"/>
    <cellStyle name="常规 4 2 2 9 2 2 2 2 5" xfId="18808"/>
    <cellStyle name="常规 4 2 2 9 2 2 2 2 5 2" xfId="18810"/>
    <cellStyle name="常规 4 2 2 9 2 2 2 2 6" xfId="18811"/>
    <cellStyle name="常规 4 2 2 9 2 2 2 2 7" xfId="18813"/>
    <cellStyle name="常规 4 2 2 9 2 2 2 3" xfId="5615"/>
    <cellStyle name="常规 4 2 2 9 2 2 2 3 2" xfId="18816"/>
    <cellStyle name="常规 4 2 2 9 2 2 2 3 2 2" xfId="18817"/>
    <cellStyle name="常规 4 2 2 9 2 2 2 3 2 2 2" xfId="18818"/>
    <cellStyle name="常规 4 2 2 9 2 2 2 3 2 2 2 2" xfId="8885"/>
    <cellStyle name="常规 4 2 2 9 2 2 2 3 2 2 3" xfId="18819"/>
    <cellStyle name="常规 4 2 2 9 2 2 2 3 2 2 4" xfId="4574"/>
    <cellStyle name="常规 4 2 2 9 2 2 2 3 2 3" xfId="8432"/>
    <cellStyle name="常规 4 2 2 9 2 2 2 3 2 3 2" xfId="5057"/>
    <cellStyle name="常规 4 2 2 9 2 2 2 3 2 4" xfId="18820"/>
    <cellStyle name="常规 4 2 2 9 2 2 2 3 2 5" xfId="18823"/>
    <cellStyle name="常规 4 2 2 9 2 2 2 3 3" xfId="18824"/>
    <cellStyle name="常规 4 2 2 9 2 2 2 3 3 2" xfId="18825"/>
    <cellStyle name="常规 4 2 2 9 2 2 2 3 3 2 2" xfId="18826"/>
    <cellStyle name="常规 4 2 2 9 2 2 2 3 3 3" xfId="18827"/>
    <cellStyle name="常规 4 2 2 9 2 2 2 3 3 4" xfId="18828"/>
    <cellStyle name="常规 4 2 2 9 2 2 2 3 4" xfId="18829"/>
    <cellStyle name="常规 4 2 2 9 2 2 2 3 4 2" xfId="18830"/>
    <cellStyle name="常规 4 2 2 9 2 2 2 3 5" xfId="18831"/>
    <cellStyle name="常规 4 2 2 9 2 2 2 3 6" xfId="18832"/>
    <cellStyle name="常规 4 2 2 9 2 2 2 4" xfId="18835"/>
    <cellStyle name="常规 4 2 2 9 2 2 2 4 2" xfId="18836"/>
    <cellStyle name="常规 4 2 2 9 2 2 2 4 2 2" xfId="18837"/>
    <cellStyle name="常规 4 2 2 9 2 2 2 4 2 2 2" xfId="18839"/>
    <cellStyle name="常规 4 2 2 9 2 2 2 4 2 3" xfId="8700"/>
    <cellStyle name="常规 4 2 2 9 2 2 2 4 2 4" xfId="18840"/>
    <cellStyle name="常规 4 2 2 9 2 2 2 4 3" xfId="18841"/>
    <cellStyle name="常规 4 2 2 9 2 2 2 4 3 2" xfId="18842"/>
    <cellStyle name="常规 4 2 2 9 2 2 2 4 4" xfId="18843"/>
    <cellStyle name="常规 4 2 2 9 2 2 2 4 5" xfId="18844"/>
    <cellStyle name="常规 4 2 2 9 2 2 2 5" xfId="18845"/>
    <cellStyle name="常规 4 2 2 9 2 2 2 5 2" xfId="18846"/>
    <cellStyle name="常规 4 2 2 9 2 2 2 5 2 2" xfId="18847"/>
    <cellStyle name="常规 4 2 2 9 2 2 2 5 3" xfId="18848"/>
    <cellStyle name="常规 4 2 2 9 2 2 2 5 4" xfId="18850"/>
    <cellStyle name="常规 4 2 2 9 2 2 2 6" xfId="18851"/>
    <cellStyle name="常规 4 2 2 9 2 2 2 6 2" xfId="18852"/>
    <cellStyle name="常规 4 2 2 9 2 2 2 7" xfId="18853"/>
    <cellStyle name="常规 4 2 2 9 2 2 2 8" xfId="11182"/>
    <cellStyle name="常规 4 2 2 9 2 2 3" xfId="18854"/>
    <cellStyle name="常规 4 2 2 9 2 2 3 2" xfId="18855"/>
    <cellStyle name="常规 4 2 2 9 2 2 3 2 2" xfId="18856"/>
    <cellStyle name="常规 4 2 2 9 2 2 3 2 2 2" xfId="18858"/>
    <cellStyle name="常规 4 2 2 9 2 2 3 2 2 2 2" xfId="18860"/>
    <cellStyle name="常规 4 2 2 9 2 2 3 2 2 2 2 2" xfId="18864"/>
    <cellStyle name="常规 4 2 2 9 2 2 3 2 2 2 3" xfId="18865"/>
    <cellStyle name="常规 4 2 2 9 2 2 3 2 2 2 4" xfId="16841"/>
    <cellStyle name="常规 4 2 2 9 2 2 3 2 2 3" xfId="14767"/>
    <cellStyle name="常规 4 2 2 9 2 2 3 2 2 3 2" xfId="14769"/>
    <cellStyle name="常规 4 2 2 9 2 2 3 2 2 4" xfId="14774"/>
    <cellStyle name="常规 4 2 2 9 2 2 3 2 2 5" xfId="14780"/>
    <cellStyle name="常规 4 2 2 9 2 2 3 2 3" xfId="18866"/>
    <cellStyle name="常规 4 2 2 9 2 2 3 2 3 2" xfId="18867"/>
    <cellStyle name="常规 4 2 2 9 2 2 3 2 3 2 2" xfId="18868"/>
    <cellStyle name="常规 4 2 2 9 2 2 3 2 3 3" xfId="14782"/>
    <cellStyle name="常规 4 2 2 9 2 2 3 2 3 4" xfId="14785"/>
    <cellStyle name="常规 4 2 2 9 2 2 3 2 4" xfId="18869"/>
    <cellStyle name="常规 4 2 2 9 2 2 3 2 4 2" xfId="18870"/>
    <cellStyle name="常规 4 2 2 9 2 2 3 2 5" xfId="18871"/>
    <cellStyle name="常规 4 2 2 9 2 2 3 2 6" xfId="18872"/>
    <cellStyle name="常规 4 2 2 9 2 2 3 3" xfId="18874"/>
    <cellStyle name="常规 4 2 2 9 2 2 3 3 2" xfId="18875"/>
    <cellStyle name="常规 4 2 2 9 2 2 3 3 2 2" xfId="18876"/>
    <cellStyle name="常规 4 2 2 9 2 2 3 3 2 2 2" xfId="18877"/>
    <cellStyle name="常规 4 2 2 9 2 2 3 3 2 3" xfId="9247"/>
    <cellStyle name="常规 4 2 2 9 2 2 3 3 2 4" xfId="14799"/>
    <cellStyle name="常规 4 2 2 9 2 2 3 3 3" xfId="18878"/>
    <cellStyle name="常规 4 2 2 9 2 2 3 3 3 2" xfId="18879"/>
    <cellStyle name="常规 4 2 2 9 2 2 3 3 4" xfId="18880"/>
    <cellStyle name="常规 4 2 2 9 2 2 3 3 5" xfId="18881"/>
    <cellStyle name="常规 4 2 2 9 2 2 3 4" xfId="18882"/>
    <cellStyle name="常规 4 2 2 9 2 2 3 4 2" xfId="18883"/>
    <cellStyle name="常规 4 2 2 9 2 2 3 4 2 2" xfId="18884"/>
    <cellStyle name="常规 4 2 2 9 2 2 3 4 3" xfId="18885"/>
    <cellStyle name="常规 4 2 2 9 2 2 3 4 4" xfId="18886"/>
    <cellStyle name="常规 4 2 2 9 2 2 3 5" xfId="18887"/>
    <cellStyle name="常规 4 2 2 9 2 2 3 5 2" xfId="18888"/>
    <cellStyle name="常规 4 2 2 9 2 2 3 6" xfId="18889"/>
    <cellStyle name="常规 4 2 2 9 2 2 3 7" xfId="18890"/>
    <cellStyle name="常规 4 2 2 9 2 2 4" xfId="18891"/>
    <cellStyle name="常规 4 2 2 9 2 2 4 2" xfId="18892"/>
    <cellStyle name="常规 4 2 2 9 2 2 4 2 2" xfId="18893"/>
    <cellStyle name="常规 4 2 2 9 2 2 4 2 2 2" xfId="18894"/>
    <cellStyle name="常规 4 2 2 9 2 2 4 2 2 2 2" xfId="18895"/>
    <cellStyle name="常规 4 2 2 9 2 2 4 2 2 3" xfId="14955"/>
    <cellStyle name="常规 4 2 2 9 2 2 4 2 2 4" xfId="14962"/>
    <cellStyle name="常规 4 2 2 9 2 2 4 2 3" xfId="18896"/>
    <cellStyle name="常规 4 2 2 9 2 2 4 2 3 2" xfId="18897"/>
    <cellStyle name="常规 4 2 2 9 2 2 4 2 4" xfId="18898"/>
    <cellStyle name="常规 4 2 2 9 2 2 4 2 5" xfId="3723"/>
    <cellStyle name="常规 4 2 2 9 2 2 4 3" xfId="18899"/>
    <cellStyle name="常规 4 2 2 9 2 2 4 3 2" xfId="18900"/>
    <cellStyle name="常规 4 2 2 9 2 2 4 3 2 2" xfId="18901"/>
    <cellStyle name="常规 4 2 2 9 2 2 4 3 3" xfId="18902"/>
    <cellStyle name="常规 4 2 2 9 2 2 4 3 4" xfId="18904"/>
    <cellStyle name="常规 4 2 2 9 2 2 4 4" xfId="10924"/>
    <cellStyle name="常规 4 2 2 9 2 2 4 4 2" xfId="18905"/>
    <cellStyle name="常规 4 2 2 9 2 2 4 5" xfId="18906"/>
    <cellStyle name="常规 4 2 2 9 2 2 4 6" xfId="18908"/>
    <cellStyle name="常规 4 2 2 9 2 2 5" xfId="12045"/>
    <cellStyle name="常规 4 2 2 9 2 2 5 2" xfId="12048"/>
    <cellStyle name="常规 4 2 2 9 2 2 5 2 2" xfId="18909"/>
    <cellStyle name="常规 4 2 2 9 2 2 5 2 2 2" xfId="18910"/>
    <cellStyle name="常规 4 2 2 9 2 2 5 2 3" xfId="18911"/>
    <cellStyle name="常规 4 2 2 9 2 2 5 2 4" xfId="18912"/>
    <cellStyle name="常规 4 2 2 9 2 2 5 3" xfId="18913"/>
    <cellStyle name="常规 4 2 2 9 2 2 5 3 2" xfId="18914"/>
    <cellStyle name="常规 4 2 2 9 2 2 5 4" xfId="18915"/>
    <cellStyle name="常规 4 2 2 9 2 2 5 5" xfId="18916"/>
    <cellStyle name="常规 4 2 2 9 2 2 6" xfId="12051"/>
    <cellStyle name="常规 4 2 2 9 2 2 6 2" xfId="18918"/>
    <cellStyle name="常规 4 2 2 9 2 2 6 2 2" xfId="18920"/>
    <cellStyle name="常规 4 2 2 9 2 2 6 3" xfId="18922"/>
    <cellStyle name="常规 4 2 2 9 2 2 6 4" xfId="18924"/>
    <cellStyle name="常规 4 2 2 9 2 2 7" xfId="12054"/>
    <cellStyle name="常规 4 2 2 9 2 2 7 2" xfId="18926"/>
    <cellStyle name="常规 4 2 2 9 2 2 8" xfId="18927"/>
    <cellStyle name="常规 4 2 2 9 2 2 9" xfId="18928"/>
    <cellStyle name="常规 4 2 2 9 2 3" xfId="18929"/>
    <cellStyle name="常规 4 2 2 9 2 3 2" xfId="3868"/>
    <cellStyle name="常规 4 2 2 9 2 3 2 2" xfId="18930"/>
    <cellStyle name="常规 4 2 2 9 2 3 2 2 2" xfId="18931"/>
    <cellStyle name="常规 4 2 2 9 2 3 2 2 2 2" xfId="18936"/>
    <cellStyle name="常规 4 2 2 9 2 3 2 2 2 2 2" xfId="18310"/>
    <cellStyle name="常规 4 2 2 9 2 3 2 2 2 2 2 2" xfId="9028"/>
    <cellStyle name="常规 4 2 2 9 2 3 2 2 2 2 2 2 2" xfId="18938"/>
    <cellStyle name="常规 4 2 2 9 2 3 2 2 2 2 2 3" xfId="9034"/>
    <cellStyle name="常规 4 2 2 9 2 3 2 2 2 2 2 4" xfId="18941"/>
    <cellStyle name="常规 4 2 2 9 2 3 2 2 2 2 3" xfId="18315"/>
    <cellStyle name="常规 4 2 2 9 2 3 2 2 2 2 3 2" xfId="14291"/>
    <cellStyle name="常规 4 2 2 9 2 3 2 2 2 2 4" xfId="18944"/>
    <cellStyle name="常规 4 2 2 9 2 3 2 2 2 2 5" xfId="9370"/>
    <cellStyle name="常规 4 2 2 9 2 3 2 2 2 3" xfId="18949"/>
    <cellStyle name="常规 4 2 2 9 2 3 2 2 2 3 2" xfId="18952"/>
    <cellStyle name="常规 4 2 2 9 2 3 2 2 2 3 2 2" xfId="14302"/>
    <cellStyle name="常规 4 2 2 9 2 3 2 2 2 3 3" xfId="18955"/>
    <cellStyle name="常规 4 2 2 9 2 3 2 2 2 3 4" xfId="18958"/>
    <cellStyle name="常规 4 2 2 9 2 3 2 2 2 4" xfId="17628"/>
    <cellStyle name="常规 4 2 2 9 2 3 2 2 2 4 2" xfId="18960"/>
    <cellStyle name="常规 4 2 2 9 2 3 2 2 2 5" xfId="18966"/>
    <cellStyle name="常规 4 2 2 9 2 3 2 2 2 6" xfId="14570"/>
    <cellStyle name="常规 4 2 2 9 2 3 2 2 3" xfId="18967"/>
    <cellStyle name="常规 4 2 2 9 2 3 2 2 3 2" xfId="18972"/>
    <cellStyle name="常规 4 2 2 9 2 3 2 2 3 2 2" xfId="7182"/>
    <cellStyle name="常规 4 2 2 9 2 3 2 2 3 2 2 2" xfId="3751"/>
    <cellStyle name="常规 4 2 2 9 2 3 2 2 3 2 3" xfId="3298"/>
    <cellStyle name="常规 4 2 2 9 2 3 2 2 3 2 4" xfId="7234"/>
    <cellStyle name="常规 4 2 2 9 2 3 2 2 3 3" xfId="18977"/>
    <cellStyle name="常规 4 2 2 9 2 3 2 2 3 3 2" xfId="8155"/>
    <cellStyle name="常规 4 2 2 9 2 3 2 2 3 4" xfId="18981"/>
    <cellStyle name="常规 4 2 2 9 2 3 2 2 3 5" xfId="4305"/>
    <cellStyle name="常规 4 2 2 9 2 3 2 2 4" xfId="18982"/>
    <cellStyle name="常规 4 2 2 9 2 3 2 2 4 2" xfId="18987"/>
    <cellStyle name="常规 4 2 2 9 2 3 2 2 4 2 2" xfId="18989"/>
    <cellStyle name="常规 4 2 2 9 2 3 2 2 4 3" xfId="18994"/>
    <cellStyle name="常规 4 2 2 9 2 3 2 2 4 4" xfId="18997"/>
    <cellStyle name="常规 4 2 2 9 2 3 2 2 5" xfId="18998"/>
    <cellStyle name="常规 4 2 2 9 2 3 2 2 5 2" xfId="19000"/>
    <cellStyle name="常规 4 2 2 9 2 3 2 2 6" xfId="19001"/>
    <cellStyle name="常规 4 2 2 9 2 3 2 2 7" xfId="19003"/>
    <cellStyle name="常规 4 2 2 9 2 3 2 3" xfId="19007"/>
    <cellStyle name="常规 4 2 2 9 2 3 2 3 2" xfId="19008"/>
    <cellStyle name="常规 4 2 2 9 2 3 2 3 2 2" xfId="19012"/>
    <cellStyle name="常规 4 2 2 9 2 3 2 3 2 2 2" xfId="19014"/>
    <cellStyle name="常规 4 2 2 9 2 3 2 3 2 2 2 2" xfId="15091"/>
    <cellStyle name="常规 4 2 2 9 2 3 2 3 2 2 3" xfId="19016"/>
    <cellStyle name="常规 4 2 2 9 2 3 2 3 2 2 4" xfId="19018"/>
    <cellStyle name="常规 4 2 2 9 2 3 2 3 2 3" xfId="19023"/>
    <cellStyle name="常规 4 2 2 9 2 3 2 3 2 3 2" xfId="7460"/>
    <cellStyle name="常规 4 2 2 9 2 3 2 3 2 4" xfId="19025"/>
    <cellStyle name="常规 4 2 2 9 2 3 2 3 2 5" xfId="19029"/>
    <cellStyle name="常规 4 2 2 9 2 3 2 3 3" xfId="19030"/>
    <cellStyle name="常规 4 2 2 9 2 3 2 3 3 2" xfId="19034"/>
    <cellStyle name="常规 4 2 2 9 2 3 2 3 3 2 2" xfId="19036"/>
    <cellStyle name="常规 4 2 2 9 2 3 2 3 3 3" xfId="19039"/>
    <cellStyle name="常规 4 2 2 9 2 3 2 3 3 4" xfId="19041"/>
    <cellStyle name="常规 4 2 2 9 2 3 2 3 4" xfId="19042"/>
    <cellStyle name="常规 4 2 2 9 2 3 2 3 4 2" xfId="19044"/>
    <cellStyle name="常规 4 2 2 9 2 3 2 3 5" xfId="19045"/>
    <cellStyle name="常规 4 2 2 9 2 3 2 3 6" xfId="19046"/>
    <cellStyle name="常规 4 2 2 9 2 3 2 4" xfId="19048"/>
    <cellStyle name="常规 4 2 2 9 2 3 2 4 2" xfId="19049"/>
    <cellStyle name="常规 4 2 2 9 2 3 2 4 2 2" xfId="19053"/>
    <cellStyle name="常规 4 2 2 9 2 3 2 4 2 2 2" xfId="19055"/>
    <cellStyle name="常规 4 2 2 9 2 3 2 4 2 3" xfId="2825"/>
    <cellStyle name="常规 4 2 2 9 2 3 2 4 2 4" xfId="3420"/>
    <cellStyle name="常规 4 2 2 9 2 3 2 4 3" xfId="19056"/>
    <cellStyle name="常规 4 2 2 9 2 3 2 4 3 2" xfId="19058"/>
    <cellStyle name="常规 4 2 2 9 2 3 2 4 4" xfId="19059"/>
    <cellStyle name="常规 4 2 2 9 2 3 2 4 5" xfId="19060"/>
    <cellStyle name="常规 4 2 2 9 2 3 2 5" xfId="19061"/>
    <cellStyle name="常规 4 2 2 9 2 3 2 5 2" xfId="19062"/>
    <cellStyle name="常规 4 2 2 9 2 3 2 5 2 2" xfId="19064"/>
    <cellStyle name="常规 4 2 2 9 2 3 2 5 3" xfId="19065"/>
    <cellStyle name="常规 4 2 2 9 2 3 2 5 4" xfId="19066"/>
    <cellStyle name="常规 4 2 2 9 2 3 2 6" xfId="19067"/>
    <cellStyle name="常规 4 2 2 9 2 3 2 6 2" xfId="19068"/>
    <cellStyle name="常规 4 2 2 9 2 3 2 7" xfId="19069"/>
    <cellStyle name="常规 4 2 2 9 2 3 2 8" xfId="11279"/>
    <cellStyle name="常规 4 2 2 9 2 3 3" xfId="19070"/>
    <cellStyle name="常规 4 2 2 9 2 3 3 2" xfId="19071"/>
    <cellStyle name="常规 4 2 2 9 2 3 3 2 2" xfId="19072"/>
    <cellStyle name="常规 4 2 2 9 2 3 3 2 2 2" xfId="19074"/>
    <cellStyle name="常规 4 2 2 9 2 3 3 2 2 2 2" xfId="19076"/>
    <cellStyle name="常规 4 2 2 9 2 3 3 2 2 2 2 2" xfId="16087"/>
    <cellStyle name="常规 4 2 2 9 2 3 3 2 2 2 3" xfId="19079"/>
    <cellStyle name="常规 4 2 2 9 2 3 3 2 2 2 4" xfId="15467"/>
    <cellStyle name="常规 4 2 2 9 2 3 3 2 2 3" xfId="15387"/>
    <cellStyle name="常规 4 2 2 9 2 3 3 2 2 3 2" xfId="15390"/>
    <cellStyle name="常规 4 2 2 9 2 3 3 2 2 4" xfId="15402"/>
    <cellStyle name="常规 4 2 2 9 2 3 3 2 2 5" xfId="15410"/>
    <cellStyle name="常规 4 2 2 9 2 3 3 2 3" xfId="19080"/>
    <cellStyle name="常规 4 2 2 9 2 3 3 2 3 2" xfId="19083"/>
    <cellStyle name="常规 4 2 2 9 2 3 3 2 3 2 2" xfId="19085"/>
    <cellStyle name="常规 4 2 2 9 2 3 3 2 3 3" xfId="15417"/>
    <cellStyle name="常规 4 2 2 9 2 3 3 2 3 4" xfId="15422"/>
    <cellStyle name="常规 4 2 2 9 2 3 3 2 4" xfId="19086"/>
    <cellStyle name="常规 4 2 2 9 2 3 3 2 4 2" xfId="4183"/>
    <cellStyle name="常规 4 2 2 9 2 3 3 2 5" xfId="19087"/>
    <cellStyle name="常规 4 2 2 9 2 3 3 2 6" xfId="19088"/>
    <cellStyle name="常规 4 2 2 9 2 3 3 3" xfId="19090"/>
    <cellStyle name="常规 4 2 2 9 2 3 3 3 2" xfId="19091"/>
    <cellStyle name="常规 4 2 2 9 2 3 3 3 2 2" xfId="19093"/>
    <cellStyle name="常规 4 2 2 9 2 3 3 3 2 2 2" xfId="19095"/>
    <cellStyle name="常规 4 2 2 9 2 3 3 3 2 3" xfId="15443"/>
    <cellStyle name="常规 4 2 2 9 2 3 3 3 2 4" xfId="15446"/>
    <cellStyle name="常规 4 2 2 9 2 3 3 3 3" xfId="19096"/>
    <cellStyle name="常规 4 2 2 9 2 3 3 3 3 2" xfId="19098"/>
    <cellStyle name="常规 4 2 2 9 2 3 3 3 4" xfId="19099"/>
    <cellStyle name="常规 4 2 2 9 2 3 3 3 5" xfId="19100"/>
    <cellStyle name="常规 4 2 2 9 2 3 3 4" xfId="19101"/>
    <cellStyle name="常规 4 2 2 9 2 3 3 4 2" xfId="19102"/>
    <cellStyle name="常规 4 2 2 9 2 3 3 4 2 2" xfId="19104"/>
    <cellStyle name="常规 4 2 2 9 2 3 3 4 3" xfId="19105"/>
    <cellStyle name="常规 4 2 2 9 2 3 3 4 4" xfId="19106"/>
    <cellStyle name="常规 4 2 2 9 2 3 3 5" xfId="19107"/>
    <cellStyle name="常规 4 2 2 9 2 3 3 5 2" xfId="19108"/>
    <cellStyle name="常规 4 2 2 9 2 3 3 6" xfId="19109"/>
    <cellStyle name="常规 4 2 2 9 2 3 3 7" xfId="19110"/>
    <cellStyle name="常规 4 2 2 9 2 3 4" xfId="19111"/>
    <cellStyle name="常规 4 2 2 9 2 3 4 2" xfId="19112"/>
    <cellStyle name="常规 4 2 2 9 2 3 4 2 2" xfId="19114"/>
    <cellStyle name="常规 4 2 2 9 2 3 4 2 2 2" xfId="19118"/>
    <cellStyle name="常规 4 2 2 9 2 3 4 2 2 2 2" xfId="19121"/>
    <cellStyle name="常规 4 2 2 9 2 3 4 2 2 3" xfId="3809"/>
    <cellStyle name="常规 4 2 2 9 2 3 4 2 2 4" xfId="15560"/>
    <cellStyle name="常规 4 2 2 9 2 3 4 2 3" xfId="19123"/>
    <cellStyle name="常规 4 2 2 9 2 3 4 2 3 2" xfId="19126"/>
    <cellStyle name="常规 4 2 2 9 2 3 4 2 4" xfId="19128"/>
    <cellStyle name="常规 4 2 2 9 2 3 4 2 5" xfId="19129"/>
    <cellStyle name="常规 4 2 2 9 2 3 4 3" xfId="19130"/>
    <cellStyle name="常规 4 2 2 9 2 3 4 3 2" xfId="19132"/>
    <cellStyle name="常规 4 2 2 9 2 3 4 3 2 2" xfId="19136"/>
    <cellStyle name="常规 4 2 2 9 2 3 4 3 3" xfId="19138"/>
    <cellStyle name="常规 4 2 2 9 2 3 4 3 4" xfId="19141"/>
    <cellStyle name="常规 4 2 2 9 2 3 4 4" xfId="19142"/>
    <cellStyle name="常规 4 2 2 9 2 3 4 4 2" xfId="19144"/>
    <cellStyle name="常规 4 2 2 9 2 3 4 5" xfId="19147"/>
    <cellStyle name="常规 4 2 2 9 2 3 4 6" xfId="19148"/>
    <cellStyle name="常规 4 2 2 9 2 3 5" xfId="12062"/>
    <cellStyle name="常规 4 2 2 9 2 3 5 2" xfId="19150"/>
    <cellStyle name="常规 4 2 2 9 2 3 5 2 2" xfId="19153"/>
    <cellStyle name="常规 4 2 2 9 2 3 5 2 2 2" xfId="19158"/>
    <cellStyle name="常规 4 2 2 9 2 3 5 2 3" xfId="19161"/>
    <cellStyle name="常规 4 2 2 9 2 3 5 2 4" xfId="19164"/>
    <cellStyle name="常规 4 2 2 9 2 3 5 3" xfId="19166"/>
    <cellStyle name="常规 4 2 2 9 2 3 5 3 2" xfId="19169"/>
    <cellStyle name="常规 4 2 2 9 2 3 5 4" xfId="19171"/>
    <cellStyle name="常规 4 2 2 9 2 3 5 5" xfId="1966"/>
    <cellStyle name="常规 4 2 2 9 2 3 6" xfId="19174"/>
    <cellStyle name="常规 4 2 2 9 2 3 6 2" xfId="19178"/>
    <cellStyle name="常规 4 2 2 9 2 3 6 2 2" xfId="19184"/>
    <cellStyle name="常规 4 2 2 9 2 3 6 3" xfId="19188"/>
    <cellStyle name="常规 4 2 2 9 2 3 6 4" xfId="19192"/>
    <cellStyle name="常规 4 2 2 9 2 3 7" xfId="19194"/>
    <cellStyle name="常规 4 2 2 9 2 3 7 2" xfId="19198"/>
    <cellStyle name="常规 4 2 2 9 2 3 8" xfId="19200"/>
    <cellStyle name="常规 4 2 2 9 2 3 9" xfId="19202"/>
    <cellStyle name="常规 4 2 2 9 2 4" xfId="19203"/>
    <cellStyle name="常规 4 2 2 9 2 4 2" xfId="19204"/>
    <cellStyle name="常规 4 2 2 9 2 4 2 2" xfId="19206"/>
    <cellStyle name="常规 4 2 2 9 2 4 2 2 2" xfId="19207"/>
    <cellStyle name="常规 4 2 2 9 2 4 2 2 2 2" xfId="19209"/>
    <cellStyle name="常规 4 2 2 9 2 4 2 2 2 2 2" xfId="19212"/>
    <cellStyle name="常规 4 2 2 9 2 4 2 2 2 2 2 2" xfId="19215"/>
    <cellStyle name="常规 4 2 2 9 2 4 2 2 2 2 3" xfId="19218"/>
    <cellStyle name="常规 4 2 2 9 2 4 2 2 2 2 4" xfId="19221"/>
    <cellStyle name="常规 4 2 2 9 2 4 2 2 2 3" xfId="19223"/>
    <cellStyle name="常规 4 2 2 9 2 4 2 2 2 3 2" xfId="19226"/>
    <cellStyle name="常规 4 2 2 9 2 4 2 2 2 4" xfId="17775"/>
    <cellStyle name="常规 4 2 2 9 2 4 2 2 2 5" xfId="19230"/>
    <cellStyle name="常规 4 2 2 9 2 4 2 2 3" xfId="19231"/>
    <cellStyle name="常规 4 2 2 9 2 4 2 2 3 2" xfId="19234"/>
    <cellStyle name="常规 4 2 2 9 2 4 2 2 3 2 2" xfId="19237"/>
    <cellStyle name="常规 4 2 2 9 2 4 2 2 3 3" xfId="19240"/>
    <cellStyle name="常规 4 2 2 9 2 4 2 2 3 4" xfId="19242"/>
    <cellStyle name="常规 4 2 2 9 2 4 2 2 4" xfId="19243"/>
    <cellStyle name="常规 4 2 2 9 2 4 2 2 4 2" xfId="19245"/>
    <cellStyle name="常规 4 2 2 9 2 4 2 2 5" xfId="11"/>
    <cellStyle name="常规 4 2 2 9 2 4 2 2 6" xfId="310"/>
    <cellStyle name="常规 4 2 2 9 2 4 2 3" xfId="19246"/>
    <cellStyle name="常规 4 2 2 9 2 4 2 3 2" xfId="19247"/>
    <cellStyle name="常规 4 2 2 9 2 4 2 3 2 2" xfId="16637"/>
    <cellStyle name="常规 4 2 2 9 2 4 2 3 2 2 2" xfId="16675"/>
    <cellStyle name="常规 4 2 2 9 2 4 2 3 2 3" xfId="16640"/>
    <cellStyle name="常规 4 2 2 9 2 4 2 3 2 4" xfId="19249"/>
    <cellStyle name="常规 4 2 2 9 2 4 2 3 3" xfId="19250"/>
    <cellStyle name="常规 4 2 2 9 2 4 2 3 3 2" xfId="2226"/>
    <cellStyle name="常规 4 2 2 9 2 4 2 3 4" xfId="19251"/>
    <cellStyle name="常规 4 2 2 9 2 4 2 3 5" xfId="3930"/>
    <cellStyle name="常规 4 2 2 9 2 4 2 4" xfId="19252"/>
    <cellStyle name="常规 4 2 2 9 2 4 2 4 2" xfId="19253"/>
    <cellStyle name="常规 4 2 2 9 2 4 2 4 2 2" xfId="19255"/>
    <cellStyle name="常规 4 2 2 9 2 4 2 4 3" xfId="19256"/>
    <cellStyle name="常规 4 2 2 9 2 4 2 4 4" xfId="3022"/>
    <cellStyle name="常规 4 2 2 9 2 4 2 5" xfId="19257"/>
    <cellStyle name="常规 4 2 2 9 2 4 2 5 2" xfId="19258"/>
    <cellStyle name="常规 4 2 2 9 2 4 2 6" xfId="19259"/>
    <cellStyle name="常规 4 2 2 9 2 4 2 7" xfId="19260"/>
    <cellStyle name="常规 4 2 2 9 2 4 3" xfId="19261"/>
    <cellStyle name="常规 4 2 2 9 2 4 3 2" xfId="19264"/>
    <cellStyle name="常规 4 2 2 9 2 4 3 2 2" xfId="19265"/>
    <cellStyle name="常规 4 2 2 9 2 4 3 2 2 2" xfId="18815"/>
    <cellStyle name="常规 4 2 2 9 2 4 3 2 2 2 2" xfId="19268"/>
    <cellStyle name="常规 4 2 2 9 2 4 3 2 2 3" xfId="15744"/>
    <cellStyle name="常规 4 2 2 9 2 4 3 2 2 4" xfId="19271"/>
    <cellStyle name="常规 4 2 2 9 2 4 3 2 3" xfId="19272"/>
    <cellStyle name="常规 4 2 2 9 2 4 3 2 3 2" xfId="19274"/>
    <cellStyle name="常规 4 2 2 9 2 4 3 2 4" xfId="19275"/>
    <cellStyle name="常规 4 2 2 9 2 4 3 2 5" xfId="19277"/>
    <cellStyle name="常规 4 2 2 9 2 4 3 3" xfId="19278"/>
    <cellStyle name="常规 4 2 2 9 2 4 3 3 2" xfId="19279"/>
    <cellStyle name="常规 4 2 2 9 2 4 3 3 2 2" xfId="19281"/>
    <cellStyle name="常规 4 2 2 9 2 4 3 3 3" xfId="19282"/>
    <cellStyle name="常规 4 2 2 9 2 4 3 3 4" xfId="19283"/>
    <cellStyle name="常规 4 2 2 9 2 4 3 4" xfId="19284"/>
    <cellStyle name="常规 4 2 2 9 2 4 3 4 2" xfId="19285"/>
    <cellStyle name="常规 4 2 2 9 2 4 3 5" xfId="19286"/>
    <cellStyle name="常规 4 2 2 9 2 4 3 6" xfId="19287"/>
    <cellStyle name="常规 4 2 2 9 2 4 4" xfId="19288"/>
    <cellStyle name="常规 4 2 2 9 2 4 4 2" xfId="19289"/>
    <cellStyle name="常规 4 2 2 9 2 4 4 2 2" xfId="19291"/>
    <cellStyle name="常规 4 2 2 9 2 4 4 2 2 2" xfId="19006"/>
    <cellStyle name="常规 4 2 2 9 2 4 4 2 3" xfId="19293"/>
    <cellStyle name="常规 4 2 2 9 2 4 4 2 4" xfId="19295"/>
    <cellStyle name="常规 4 2 2 9 2 4 4 3" xfId="19296"/>
    <cellStyle name="常规 4 2 2 9 2 4 4 3 2" xfId="19298"/>
    <cellStyle name="常规 4 2 2 9 2 4 4 4" xfId="19299"/>
    <cellStyle name="常规 4 2 2 9 2 4 4 5" xfId="19300"/>
    <cellStyle name="常规 4 2 2 9 2 4 5" xfId="19302"/>
    <cellStyle name="常规 4 2 2 9 2 4 5 2" xfId="19304"/>
    <cellStyle name="常规 4 2 2 9 2 4 5 2 2" xfId="19309"/>
    <cellStyle name="常规 4 2 2 9 2 4 5 3" xfId="19311"/>
    <cellStyle name="常规 4 2 2 9 2 4 5 4" xfId="19313"/>
    <cellStyle name="常规 4 2 2 9 2 4 6" xfId="19315"/>
    <cellStyle name="常规 4 2 2 9 2 4 6 2" xfId="1434"/>
    <cellStyle name="常规 4 2 2 9 2 4 7" xfId="19317"/>
    <cellStyle name="常规 4 2 2 9 2 4 8" xfId="19319"/>
    <cellStyle name="常规 4 2 2 9 2 5" xfId="19320"/>
    <cellStyle name="常规 4 2 2 9 2 5 2" xfId="19322"/>
    <cellStyle name="常规 4 2 2 9 2 5 2 2" xfId="19325"/>
    <cellStyle name="常规 4 2 2 9 2 5 2 2 2" xfId="19326"/>
    <cellStyle name="常规 4 2 2 9 2 5 2 2 2 2" xfId="19331"/>
    <cellStyle name="常规 4 2 2 9 2 5 2 2 2 2 2" xfId="19337"/>
    <cellStyle name="常规 4 2 2 9 2 5 2 2 2 3" xfId="19342"/>
    <cellStyle name="常规 4 2 2 9 2 5 2 2 2 4" xfId="19346"/>
    <cellStyle name="常规 4 2 2 9 2 5 2 2 3" xfId="19347"/>
    <cellStyle name="常规 4 2 2 9 2 5 2 2 3 2" xfId="19351"/>
    <cellStyle name="常规 4 2 2 9 2 5 2 2 4" xfId="19352"/>
    <cellStyle name="常规 4 2 2 9 2 5 2 2 5" xfId="19353"/>
    <cellStyle name="常规 4 2 2 9 2 5 2 3" xfId="19355"/>
    <cellStyle name="常规 4 2 2 9 2 5 2 3 2" xfId="19356"/>
    <cellStyle name="常规 4 2 2 9 2 5 2 3 2 2" xfId="1471"/>
    <cellStyle name="常规 4 2 2 9 2 5 2 3 3" xfId="19357"/>
    <cellStyle name="常规 4 2 2 9 2 5 2 3 4" xfId="19358"/>
    <cellStyle name="常规 4 2 2 9 2 5 2 4" xfId="19359"/>
    <cellStyle name="常规 4 2 2 9 2 5 2 4 2" xfId="19361"/>
    <cellStyle name="常规 4 2 2 9 2 5 2 5" xfId="19362"/>
    <cellStyle name="常规 4 2 2 9 2 5 2 6" xfId="19363"/>
    <cellStyle name="常规 4 2 2 9 2 5 3" xfId="19365"/>
    <cellStyle name="常规 4 2 2 9 2 5 3 2" xfId="19371"/>
    <cellStyle name="常规 4 2 2 9 2 5 3 2 2" xfId="19372"/>
    <cellStyle name="常规 4 2 2 9 2 5 3 2 2 2" xfId="19377"/>
    <cellStyle name="常规 4 2 2 9 2 5 3 2 3" xfId="19378"/>
    <cellStyle name="常规 4 2 2 9 2 5 3 2 4" xfId="19379"/>
    <cellStyle name="常规 4 2 2 9 2 5 3 3" xfId="19380"/>
    <cellStyle name="常规 4 2 2 9 2 5 3 3 2" xfId="19381"/>
    <cellStyle name="常规 4 2 2 9 2 5 3 4" xfId="19382"/>
    <cellStyle name="常规 4 2 2 9 2 5 3 5" xfId="19383"/>
    <cellStyle name="常规 4 2 2 9 2 5 4" xfId="19387"/>
    <cellStyle name="常规 4 2 2 9 2 5 4 2" xfId="19388"/>
    <cellStyle name="常规 4 2 2 9 2 5 4 2 2" xfId="19390"/>
    <cellStyle name="常规 4 2 2 9 2 5 4 3" xfId="19391"/>
    <cellStyle name="常规 4 2 2 9 2 5 4 4" xfId="19392"/>
    <cellStyle name="常规 4 2 2 9 2 5 5" xfId="19396"/>
    <cellStyle name="常规 4 2 2 9 2 5 5 2" xfId="19399"/>
    <cellStyle name="常规 4 2 2 9 2 5 6" xfId="10745"/>
    <cellStyle name="常规 4 2 2 9 2 5 7" xfId="19401"/>
    <cellStyle name="常规 4 2 2 9 2 6" xfId="18838"/>
    <cellStyle name="常规 4 2 2 9 2 6 2" xfId="19403"/>
    <cellStyle name="常规 4 2 2 9 2 6 2 2" xfId="19404"/>
    <cellStyle name="常规 4 2 2 9 2 6 2 2 2" xfId="19405"/>
    <cellStyle name="常规 4 2 2 9 2 6 2 2 2 2" xfId="19410"/>
    <cellStyle name="常规 4 2 2 9 2 6 2 2 3" xfId="19411"/>
    <cellStyle name="常规 4 2 2 9 2 6 2 2 4" xfId="19412"/>
    <cellStyle name="常规 4 2 2 9 2 6 2 3" xfId="19413"/>
    <cellStyle name="常规 4 2 2 9 2 6 2 3 2" xfId="19414"/>
    <cellStyle name="常规 4 2 2 9 2 6 2 4" xfId="19415"/>
    <cellStyle name="常规 4 2 2 9 2 6 2 5" xfId="19416"/>
    <cellStyle name="常规 4 2 2 9 2 6 3" xfId="19420"/>
    <cellStyle name="常规 4 2 2 9 2 6 3 2" xfId="19421"/>
    <cellStyle name="常规 4 2 2 9 2 6 3 2 2" xfId="19422"/>
    <cellStyle name="常规 4 2 2 9 2 6 3 3" xfId="19423"/>
    <cellStyle name="常规 4 2 2 9 2 6 3 4" xfId="19424"/>
    <cellStyle name="常规 4 2 2 9 2 6 4" xfId="19425"/>
    <cellStyle name="常规 4 2 2 9 2 6 4 2" xfId="19426"/>
    <cellStyle name="常规 4 2 2 9 2 6 5" xfId="19428"/>
    <cellStyle name="常规 4 2 2 9 2 6 6" xfId="19430"/>
    <cellStyle name="常规 4 2 2 9 2 7" xfId="19431"/>
    <cellStyle name="常规 4 2 2 9 2 7 2" xfId="19433"/>
    <cellStyle name="常规 4 2 2 9 2 7 2 2" xfId="19434"/>
    <cellStyle name="常规 4 2 2 9 2 7 2 2 2" xfId="19435"/>
    <cellStyle name="常规 4 2 2 9 2 7 2 3" xfId="19436"/>
    <cellStyle name="常规 4 2 2 9 2 7 2 4" xfId="19437"/>
    <cellStyle name="常规 4 2 2 9 2 7 3" xfId="19438"/>
    <cellStyle name="常规 4 2 2 9 2 7 3 2" xfId="19439"/>
    <cellStyle name="常规 4 2 2 9 2 7 4" xfId="19440"/>
    <cellStyle name="常规 4 2 2 9 2 7 5" xfId="19442"/>
    <cellStyle name="常规 4 2 2 9 2 8" xfId="4900"/>
    <cellStyle name="常规 4 2 2 9 2 8 2" xfId="19443"/>
    <cellStyle name="常规 4 2 2 9 2 8 2 2" xfId="19445"/>
    <cellStyle name="常规 4 2 2 9 2 8 3" xfId="19446"/>
    <cellStyle name="常规 4 2 2 9 2 8 4" xfId="19447"/>
    <cellStyle name="常规 4 2 2 9 2 9" xfId="19448"/>
    <cellStyle name="常规 4 2 2 9 2 9 2" xfId="19449"/>
    <cellStyle name="常规 4 2 2 9 3" xfId="19450"/>
    <cellStyle name="常规 4 2 2 9 3 2" xfId="4006"/>
    <cellStyle name="常规 4 2 2 9 3 2 2" xfId="19451"/>
    <cellStyle name="常规 4 2 2 9 3 2 2 2" xfId="19452"/>
    <cellStyle name="常规 4 2 2 9 3 2 2 2 2" xfId="19453"/>
    <cellStyle name="常规 4 2 2 9 3 2 2 2 2 2" xfId="8146"/>
    <cellStyle name="常规 4 2 2 9 3 2 2 2 2 2 2" xfId="8148"/>
    <cellStyle name="常规 4 2 2 9 3 2 2 2 2 2 2 2" xfId="8560"/>
    <cellStyle name="常规 4 2 2 9 3 2 2 2 2 2 3" xfId="19454"/>
    <cellStyle name="常规 4 2 2 9 3 2 2 2 2 2 4" xfId="19455"/>
    <cellStyle name="常规 4 2 2 9 3 2 2 2 2 3" xfId="8150"/>
    <cellStyle name="常规 4 2 2 9 3 2 2 2 2 3 2" xfId="19457"/>
    <cellStyle name="常规 4 2 2 9 3 2 2 2 2 4" xfId="8152"/>
    <cellStyle name="常规 4 2 2 9 3 2 2 2 2 5" xfId="19458"/>
    <cellStyle name="常规 4 2 2 9 3 2 2 2 3" xfId="19462"/>
    <cellStyle name="常规 4 2 2 9 3 2 2 2 3 2" xfId="8200"/>
    <cellStyle name="常规 4 2 2 9 3 2 2 2 3 2 2" xfId="19464"/>
    <cellStyle name="常规 4 2 2 9 3 2 2 2 3 3" xfId="677"/>
    <cellStyle name="常规 4 2 2 9 3 2 2 2 3 4" xfId="17515"/>
    <cellStyle name="常规 4 2 2 9 3 2 2 2 4" xfId="19466"/>
    <cellStyle name="常规 4 2 2 9 3 2 2 2 4 2" xfId="8214"/>
    <cellStyle name="常规 4 2 2 9 3 2 2 2 5" xfId="19468"/>
    <cellStyle name="常规 4 2 2 9 3 2 2 2 6" xfId="19470"/>
    <cellStyle name="常规 4 2 2 9 3 2 2 3" xfId="19474"/>
    <cellStyle name="常规 4 2 2 9 3 2 2 3 2" xfId="19475"/>
    <cellStyle name="常规 4 2 2 9 3 2 2 3 2 2" xfId="2356"/>
    <cellStyle name="常规 4 2 2 9 3 2 2 3 2 2 2" xfId="19476"/>
    <cellStyle name="常规 4 2 2 9 3 2 2 3 2 3" xfId="8927"/>
    <cellStyle name="常规 4 2 2 9 3 2 2 3 2 4" xfId="19477"/>
    <cellStyle name="常规 4 2 2 9 3 2 2 3 3" xfId="19479"/>
    <cellStyle name="常规 4 2 2 9 3 2 2 3 3 2" xfId="8937"/>
    <cellStyle name="常规 4 2 2 9 3 2 2 3 4" xfId="19480"/>
    <cellStyle name="常规 4 2 2 9 3 2 2 3 5" xfId="19481"/>
    <cellStyle name="常规 4 2 2 9 3 2 2 4" xfId="19482"/>
    <cellStyle name="常规 4 2 2 9 3 2 2 4 2" xfId="19483"/>
    <cellStyle name="常规 4 2 2 9 3 2 2 4 2 2" xfId="9475"/>
    <cellStyle name="常规 4 2 2 9 3 2 2 4 3" xfId="19484"/>
    <cellStyle name="常规 4 2 2 9 3 2 2 4 4" xfId="19485"/>
    <cellStyle name="常规 4 2 2 9 3 2 2 5" xfId="19486"/>
    <cellStyle name="常规 4 2 2 9 3 2 2 5 2" xfId="19487"/>
    <cellStyle name="常规 4 2 2 9 3 2 2 6" xfId="19488"/>
    <cellStyle name="常规 4 2 2 9 3 2 2 7" xfId="19490"/>
    <cellStyle name="常规 4 2 2 9 3 2 3" xfId="19491"/>
    <cellStyle name="常规 4 2 2 9 3 2 3 2" xfId="19492"/>
    <cellStyle name="常规 4 2 2 9 3 2 3 2 2" xfId="19493"/>
    <cellStyle name="常规 4 2 2 9 3 2 3 2 2 2" xfId="7462"/>
    <cellStyle name="常规 4 2 2 9 3 2 3 2 2 2 2" xfId="7464"/>
    <cellStyle name="常规 4 2 2 9 3 2 3 2 2 3" xfId="7466"/>
    <cellStyle name="常规 4 2 2 9 3 2 3 2 2 4" xfId="6525"/>
    <cellStyle name="常规 4 2 2 9 3 2 3 2 3" xfId="19495"/>
    <cellStyle name="常规 4 2 2 9 3 2 3 2 3 2" xfId="7471"/>
    <cellStyle name="常规 4 2 2 9 3 2 3 2 4" xfId="19496"/>
    <cellStyle name="常规 4 2 2 9 3 2 3 2 5" xfId="19497"/>
    <cellStyle name="常规 4 2 2 9 3 2 3 3" xfId="19498"/>
    <cellStyle name="常规 4 2 2 9 3 2 3 3 2" xfId="340"/>
    <cellStyle name="常规 4 2 2 9 3 2 3 3 2 2" xfId="834"/>
    <cellStyle name="常规 4 2 2 9 3 2 3 3 3" xfId="358"/>
    <cellStyle name="常规 4 2 2 9 3 2 3 3 4" xfId="19499"/>
    <cellStyle name="常规 4 2 2 9 3 2 3 4" xfId="19500"/>
    <cellStyle name="常规 4 2 2 9 3 2 3 4 2" xfId="19501"/>
    <cellStyle name="常规 4 2 2 9 3 2 3 5" xfId="19502"/>
    <cellStyle name="常规 4 2 2 9 3 2 3 6" xfId="19503"/>
    <cellStyle name="常规 4 2 2 9 3 2 4" xfId="9763"/>
    <cellStyle name="常规 4 2 2 9 3 2 4 2" xfId="9765"/>
    <cellStyle name="常规 4 2 2 9 3 2 4 2 2" xfId="9767"/>
    <cellStyle name="常规 4 2 2 9 3 2 4 2 2 2" xfId="873"/>
    <cellStyle name="常规 4 2 2 9 3 2 4 2 3" xfId="19504"/>
    <cellStyle name="常规 4 2 2 9 3 2 4 2 4" xfId="19505"/>
    <cellStyle name="常规 4 2 2 9 3 2 4 3" xfId="9769"/>
    <cellStyle name="常规 4 2 2 9 3 2 4 3 2" xfId="19506"/>
    <cellStyle name="常规 4 2 2 9 3 2 4 4" xfId="9771"/>
    <cellStyle name="常规 4 2 2 9 3 2 4 5" xfId="19507"/>
    <cellStyle name="常规 4 2 2 9 3 2 5" xfId="9773"/>
    <cellStyle name="常规 4 2 2 9 3 2 5 2" xfId="9778"/>
    <cellStyle name="常规 4 2 2 9 3 2 5 2 2" xfId="19508"/>
    <cellStyle name="常规 4 2 2 9 3 2 5 3" xfId="19509"/>
    <cellStyle name="常规 4 2 2 9 3 2 5 4" xfId="19510"/>
    <cellStyle name="常规 4 2 2 9 3 2 6" xfId="9780"/>
    <cellStyle name="常规 4 2 2 9 3 2 6 2" xfId="19512"/>
    <cellStyle name="常规 4 2 2 9 3 2 7" xfId="9783"/>
    <cellStyle name="常规 4 2 2 9 3 2 8" xfId="19513"/>
    <cellStyle name="常规 4 2 2 9 3 3" xfId="19514"/>
    <cellStyle name="常规 4 2 2 9 3 3 2" xfId="2037"/>
    <cellStyle name="常规 4 2 2 9 3 3 2 2" xfId="19515"/>
    <cellStyle name="常规 4 2 2 9 3 3 2 2 2" xfId="19517"/>
    <cellStyle name="常规 4 2 2 9 3 3 2 2 2 2" xfId="14464"/>
    <cellStyle name="常规 4 2 2 9 3 3 2 2 2 2 2" xfId="14471"/>
    <cellStyle name="常规 4 2 2 9 3 3 2 2 2 3" xfId="14473"/>
    <cellStyle name="常规 4 2 2 9 3 3 2 2 2 4" xfId="14477"/>
    <cellStyle name="常规 4 2 2 9 3 3 2 2 3" xfId="19520"/>
    <cellStyle name="常规 4 2 2 9 3 3 2 2 3 2" xfId="14547"/>
    <cellStyle name="常规 4 2 2 9 3 3 2 2 4" xfId="19521"/>
    <cellStyle name="常规 4 2 2 9 3 3 2 2 5" xfId="19522"/>
    <cellStyle name="常规 4 2 2 9 3 3 2 3" xfId="19523"/>
    <cellStyle name="常规 4 2 2 9 3 3 2 3 2" xfId="19525"/>
    <cellStyle name="常规 4 2 2 9 3 3 2 3 2 2" xfId="15159"/>
    <cellStyle name="常规 4 2 2 9 3 3 2 3 3" xfId="19526"/>
    <cellStyle name="常规 4 2 2 9 3 3 2 3 4" xfId="19527"/>
    <cellStyle name="常规 4 2 2 9 3 3 2 4" xfId="19528"/>
    <cellStyle name="常规 4 2 2 9 3 3 2 4 2" xfId="19529"/>
    <cellStyle name="常规 4 2 2 9 3 3 2 5" xfId="19530"/>
    <cellStyle name="常规 4 2 2 9 3 3 2 6" xfId="19531"/>
    <cellStyle name="常规 4 2 2 9 3 3 3" xfId="19532"/>
    <cellStyle name="常规 4 2 2 9 3 3 3 2" xfId="19533"/>
    <cellStyle name="常规 4 2 2 9 3 3 3 2 2" xfId="19535"/>
    <cellStyle name="常规 4 2 2 9 3 3 3 2 2 2" xfId="8319"/>
    <cellStyle name="常规 4 2 2 9 3 3 3 2 3" xfId="19536"/>
    <cellStyle name="常规 4 2 2 9 3 3 3 2 4" xfId="19537"/>
    <cellStyle name="常规 4 2 2 9 3 3 3 3" xfId="19538"/>
    <cellStyle name="常规 4 2 2 9 3 3 3 3 2" xfId="19539"/>
    <cellStyle name="常规 4 2 2 9 3 3 3 4" xfId="19540"/>
    <cellStyle name="常规 4 2 2 9 3 3 3 5" xfId="19541"/>
    <cellStyle name="常规 4 2 2 9 3 3 4" xfId="9786"/>
    <cellStyle name="常规 4 2 2 9 3 3 4 2" xfId="9788"/>
    <cellStyle name="常规 4 2 2 9 3 3 4 2 2" xfId="19542"/>
    <cellStyle name="常规 4 2 2 9 3 3 4 3" xfId="19543"/>
    <cellStyle name="常规 4 2 2 9 3 3 4 4" xfId="11502"/>
    <cellStyle name="常规 4 2 2 9 3 3 5" xfId="9791"/>
    <cellStyle name="常规 4 2 2 9 3 3 5 2" xfId="19546"/>
    <cellStyle name="常规 4 2 2 9 3 3 6" xfId="9795"/>
    <cellStyle name="常规 4 2 2 9 3 3 7" xfId="19549"/>
    <cellStyle name="常规 4 2 2 9 3 4" xfId="692"/>
    <cellStyle name="常规 4 2 2 9 3 4 2" xfId="5486"/>
    <cellStyle name="常规 4 2 2 9 3 4 2 2" xfId="15977"/>
    <cellStyle name="常规 4 2 2 9 3 4 2 2 2" xfId="19551"/>
    <cellStyle name="常规 4 2 2 9 3 4 2 2 2 2" xfId="19553"/>
    <cellStyle name="常规 4 2 2 9 3 4 2 2 3" xfId="19555"/>
    <cellStyle name="常规 4 2 2 9 3 4 2 2 4" xfId="19556"/>
    <cellStyle name="常规 4 2 2 9 3 4 2 3" xfId="19558"/>
    <cellStyle name="常规 4 2 2 9 3 4 2 3 2" xfId="19559"/>
    <cellStyle name="常规 4 2 2 9 3 4 2 4" xfId="19560"/>
    <cellStyle name="常规 4 2 2 9 3 4 2 5" xfId="19561"/>
    <cellStyle name="常规 4 2 2 9 3 4 3" xfId="15979"/>
    <cellStyle name="常规 4 2 2 9 3 4 3 2" xfId="19562"/>
    <cellStyle name="常规 4 2 2 9 3 4 3 2 2" xfId="19563"/>
    <cellStyle name="常规 4 2 2 9 3 4 3 3" xfId="19564"/>
    <cellStyle name="常规 4 2 2 9 3 4 3 4" xfId="19565"/>
    <cellStyle name="常规 4 2 2 9 3 4 4" xfId="9800"/>
    <cellStyle name="常规 4 2 2 9 3 4 4 2" xfId="801"/>
    <cellStyle name="常规 4 2 2 9 3 4 5" xfId="19567"/>
    <cellStyle name="常规 4 2 2 9 3 4 6" xfId="19570"/>
    <cellStyle name="常规 4 2 2 9 3 5" xfId="5490"/>
    <cellStyle name="常规 4 2 2 9 3 5 2" xfId="15983"/>
    <cellStyle name="常规 4 2 2 9 3 5 2 2" xfId="19571"/>
    <cellStyle name="常规 4 2 2 9 3 5 2 2 2" xfId="19572"/>
    <cellStyle name="常规 4 2 2 9 3 5 2 3" xfId="19573"/>
    <cellStyle name="常规 4 2 2 9 3 5 2 4" xfId="19574"/>
    <cellStyle name="常规 4 2 2 9 3 5 3" xfId="19579"/>
    <cellStyle name="常规 4 2 2 9 3 5 3 2" xfId="19581"/>
    <cellStyle name="常规 4 2 2 9 3 5 4" xfId="19583"/>
    <cellStyle name="常规 4 2 2 9 3 5 5" xfId="19586"/>
    <cellStyle name="常规 4 2 2 9 3 6" xfId="5496"/>
    <cellStyle name="常规 4 2 2 9 3 6 2" xfId="19587"/>
    <cellStyle name="常规 4 2 2 9 3 6 2 2" xfId="19588"/>
    <cellStyle name="常规 4 2 2 9 3 6 3" xfId="19590"/>
    <cellStyle name="常规 4 2 2 9 3 6 4" xfId="19591"/>
    <cellStyle name="常规 4 2 2 9 3 7" xfId="15984"/>
    <cellStyle name="常规 4 2 2 9 3 7 2" xfId="19593"/>
    <cellStyle name="常规 4 2 2 9 3 8" xfId="19595"/>
    <cellStyle name="常规 4 2 2 9 3 9" xfId="19596"/>
    <cellStyle name="常规 4 2 2 9 4" xfId="19597"/>
    <cellStyle name="常规 4 2 2 9 4 2" xfId="19598"/>
    <cellStyle name="常规 4 2 2 9 4 2 2" xfId="19599"/>
    <cellStyle name="常规 4 2 2 9 4 2 2 2" xfId="19600"/>
    <cellStyle name="常规 4 2 2 9 4 2 2 2 2" xfId="12522"/>
    <cellStyle name="常规 4 2 2 9 4 2 2 2 2 2" xfId="12524"/>
    <cellStyle name="常规 4 2 2 9 4 2 2 2 2 2 2" xfId="12526"/>
    <cellStyle name="常规 4 2 2 9 4 2 2 2 2 2 2 2" xfId="12528"/>
    <cellStyle name="常规 4 2 2 9 4 2 2 2 2 2 3" xfId="12535"/>
    <cellStyle name="常规 4 2 2 9 4 2 2 2 2 2 4" xfId="12538"/>
    <cellStyle name="常规 4 2 2 9 4 2 2 2 2 3" xfId="12542"/>
    <cellStyle name="常规 4 2 2 9 4 2 2 2 2 3 2" xfId="12545"/>
    <cellStyle name="常规 4 2 2 9 4 2 2 2 2 4" xfId="12556"/>
    <cellStyle name="常规 4 2 2 9 4 2 2 2 2 5" xfId="12562"/>
    <cellStyle name="常规 4 2 2 9 4 2 2 2 3" xfId="12568"/>
    <cellStyle name="常规 4 2 2 9 4 2 2 2 3 2" xfId="12570"/>
    <cellStyle name="常规 4 2 2 9 4 2 2 2 3 2 2" xfId="12572"/>
    <cellStyle name="常规 4 2 2 9 4 2 2 2 3 3" xfId="12575"/>
    <cellStyle name="常规 4 2 2 9 4 2 2 2 3 4" xfId="12580"/>
    <cellStyle name="常规 4 2 2 9 4 2 2 2 4" xfId="12582"/>
    <cellStyle name="常规 4 2 2 9 4 2 2 2 4 2" xfId="12584"/>
    <cellStyle name="常规 4 2 2 9 4 2 2 2 5" xfId="12594"/>
    <cellStyle name="常规 4 2 2 9 4 2 2 2 6" xfId="12598"/>
    <cellStyle name="常规 4 2 2 9 4 2 2 3" xfId="19601"/>
    <cellStyle name="常规 4 2 2 9 4 2 2 3 2" xfId="12635"/>
    <cellStyle name="常规 4 2 2 9 4 2 2 3 2 2" xfId="2488"/>
    <cellStyle name="常规 4 2 2 9 4 2 2 3 2 2 2" xfId="12637"/>
    <cellStyle name="常规 4 2 2 9 4 2 2 3 2 3" xfId="6098"/>
    <cellStyle name="常规 4 2 2 9 4 2 2 3 2 4" xfId="12648"/>
    <cellStyle name="常规 4 2 2 9 4 2 2 3 3" xfId="12654"/>
    <cellStyle name="常规 4 2 2 9 4 2 2 3 3 2" xfId="5607"/>
    <cellStyle name="常规 4 2 2 9 4 2 2 3 4" xfId="12661"/>
    <cellStyle name="常规 4 2 2 9 4 2 2 3 5" xfId="12664"/>
    <cellStyle name="常规 4 2 2 9 4 2 2 4" xfId="19603"/>
    <cellStyle name="常规 4 2 2 9 4 2 2 4 2" xfId="12680"/>
    <cellStyle name="常规 4 2 2 9 4 2 2 4 2 2" xfId="6751"/>
    <cellStyle name="常规 4 2 2 9 4 2 2 4 3" xfId="12685"/>
    <cellStyle name="常规 4 2 2 9 4 2 2 4 4" xfId="12688"/>
    <cellStyle name="常规 4 2 2 9 4 2 2 5" xfId="19604"/>
    <cellStyle name="常规 4 2 2 9 4 2 2 5 2" xfId="12707"/>
    <cellStyle name="常规 4 2 2 9 4 2 2 6" xfId="19605"/>
    <cellStyle name="常规 4 2 2 9 4 2 2 7" xfId="19607"/>
    <cellStyle name="常规 4 2 2 9 4 2 3" xfId="19608"/>
    <cellStyle name="常规 4 2 2 9 4 2 3 2" xfId="19609"/>
    <cellStyle name="常规 4 2 2 9 4 2 3 2 2" xfId="12786"/>
    <cellStyle name="常规 4 2 2 9 4 2 3 2 2 2" xfId="12789"/>
    <cellStyle name="常规 4 2 2 9 4 2 3 2 2 2 2" xfId="12793"/>
    <cellStyle name="常规 4 2 2 9 4 2 3 2 2 3" xfId="12804"/>
    <cellStyle name="常规 4 2 2 9 4 2 3 2 2 4" xfId="12811"/>
    <cellStyle name="常规 4 2 2 9 4 2 3 2 3" xfId="12817"/>
    <cellStyle name="常规 4 2 2 9 4 2 3 2 3 2" xfId="12819"/>
    <cellStyle name="常规 4 2 2 9 4 2 3 2 4" xfId="12829"/>
    <cellStyle name="常规 4 2 2 9 4 2 3 2 5" xfId="12833"/>
    <cellStyle name="常规 4 2 2 9 4 2 3 3" xfId="19610"/>
    <cellStyle name="常规 4 2 2 9 4 2 3 3 2" xfId="12859"/>
    <cellStyle name="常规 4 2 2 9 4 2 3 3 2 2" xfId="6381"/>
    <cellStyle name="常规 4 2 2 9 4 2 3 3 3" xfId="12868"/>
    <cellStyle name="常规 4 2 2 9 4 2 3 3 4" xfId="12871"/>
    <cellStyle name="常规 4 2 2 9 4 2 3 4" xfId="19611"/>
    <cellStyle name="常规 4 2 2 9 4 2 3 4 2" xfId="12884"/>
    <cellStyle name="常规 4 2 2 9 4 2 3 5" xfId="19612"/>
    <cellStyle name="常规 4 2 2 9 4 2 3 6" xfId="19613"/>
    <cellStyle name="常规 4 2 2 9 4 2 4" xfId="9823"/>
    <cellStyle name="常规 4 2 2 9 4 2 4 2" xfId="9825"/>
    <cellStyle name="常规 4 2 2 9 4 2 4 2 2" xfId="12941"/>
    <cellStyle name="常规 4 2 2 9 4 2 4 2 2 2" xfId="12946"/>
    <cellStyle name="常规 4 2 2 9 4 2 4 2 3" xfId="12959"/>
    <cellStyle name="常规 4 2 2 9 4 2 4 2 4" xfId="12962"/>
    <cellStyle name="常规 4 2 2 9 4 2 4 3" xfId="10206"/>
    <cellStyle name="常规 4 2 2 9 4 2 4 3 2" xfId="12985"/>
    <cellStyle name="常规 4 2 2 9 4 2 4 4" xfId="19614"/>
    <cellStyle name="常规 4 2 2 9 4 2 4 5" xfId="19615"/>
    <cellStyle name="常规 4 2 2 9 4 2 5" xfId="9828"/>
    <cellStyle name="常规 4 2 2 9 4 2 5 2" xfId="283"/>
    <cellStyle name="常规 4 2 2 9 4 2 5 2 2" xfId="4"/>
    <cellStyle name="常规 4 2 2 9 4 2 5 3" xfId="298"/>
    <cellStyle name="常规 4 2 2 9 4 2 5 4" xfId="13"/>
    <cellStyle name="常规 4 2 2 9 4 2 6" xfId="9830"/>
    <cellStyle name="常规 4 2 2 9 4 2 6 2" xfId="19617"/>
    <cellStyle name="常规 4 2 2 9 4 2 7" xfId="19619"/>
    <cellStyle name="常规 4 2 2 9 4 2 8" xfId="19621"/>
    <cellStyle name="常规 4 2 2 9 4 3" xfId="19623"/>
    <cellStyle name="常规 4 2 2 9 4 3 2" xfId="2146"/>
    <cellStyle name="常规 4 2 2 9 4 3 2 2" xfId="19624"/>
    <cellStyle name="常规 4 2 2 9 4 3 2 2 2" xfId="14355"/>
    <cellStyle name="常规 4 2 2 9 4 3 2 2 2 2" xfId="14358"/>
    <cellStyle name="常规 4 2 2 9 4 3 2 2 2 2 2" xfId="14361"/>
    <cellStyle name="常规 4 2 2 9 4 3 2 2 2 3" xfId="14370"/>
    <cellStyle name="常规 4 2 2 9 4 3 2 2 2 4" xfId="14376"/>
    <cellStyle name="常规 4 2 2 9 4 3 2 2 3" xfId="14382"/>
    <cellStyle name="常规 4 2 2 9 4 3 2 2 3 2" xfId="14386"/>
    <cellStyle name="常规 4 2 2 9 4 3 2 2 4" xfId="10669"/>
    <cellStyle name="常规 4 2 2 9 4 3 2 2 5" xfId="10675"/>
    <cellStyle name="常规 4 2 2 9 4 3 2 3" xfId="19625"/>
    <cellStyle name="常规 4 2 2 9 4 3 2 3 2" xfId="14418"/>
    <cellStyle name="常规 4 2 2 9 4 3 2 3 2 2" xfId="14422"/>
    <cellStyle name="常规 4 2 2 9 4 3 2 3 3" xfId="14431"/>
    <cellStyle name="常规 4 2 2 9 4 3 2 3 4" xfId="10684"/>
    <cellStyle name="常规 4 2 2 9 4 3 2 4" xfId="19626"/>
    <cellStyle name="常规 4 2 2 9 4 3 2 4 2" xfId="14442"/>
    <cellStyle name="常规 4 2 2 9 4 3 2 5" xfId="19627"/>
    <cellStyle name="常规 4 2 2 9 4 3 2 6" xfId="19628"/>
    <cellStyle name="常规 4 2 2 9 4 3 3" xfId="19629"/>
    <cellStyle name="常规 4 2 2 9 4 3 3 2" xfId="19630"/>
    <cellStyle name="常规 4 2 2 9 4 3 3 2 2" xfId="14498"/>
    <cellStyle name="常规 4 2 2 9 4 3 3 2 2 2" xfId="14502"/>
    <cellStyle name="常规 4 2 2 9 4 3 3 2 3" xfId="14510"/>
    <cellStyle name="常规 4 2 2 9 4 3 3 2 4" xfId="10968"/>
    <cellStyle name="常规 4 2 2 9 4 3 3 3" xfId="19631"/>
    <cellStyle name="常规 4 2 2 9 4 3 3 3 2" xfId="14527"/>
    <cellStyle name="常规 4 2 2 9 4 3 3 4" xfId="19632"/>
    <cellStyle name="常规 4 2 2 9 4 3 3 5" xfId="19633"/>
    <cellStyle name="常规 4 2 2 9 4 3 4" xfId="9834"/>
    <cellStyle name="常规 4 2 2 9 4 3 4 2" xfId="10229"/>
    <cellStyle name="常规 4 2 2 9 4 3 4 2 2" xfId="2669"/>
    <cellStyle name="常规 4 2 2 9 4 3 4 3" xfId="19634"/>
    <cellStyle name="常规 4 2 2 9 4 3 4 4" xfId="19635"/>
    <cellStyle name="常规 4 2 2 9 4 3 5" xfId="19637"/>
    <cellStyle name="常规 4 2 2 9 4 3 5 2" xfId="19640"/>
    <cellStyle name="常规 4 2 2 9 4 3 6" xfId="19642"/>
    <cellStyle name="常规 4 2 2 9 4 3 7" xfId="19646"/>
    <cellStyle name="常规 4 2 2 9 4 4" xfId="134"/>
    <cellStyle name="常规 4 2 2 9 4 4 2" xfId="15986"/>
    <cellStyle name="常规 4 2 2 9 4 4 2 2" xfId="19649"/>
    <cellStyle name="常规 4 2 2 9 4 4 2 2 2" xfId="15124"/>
    <cellStyle name="常规 4 2 2 9 4 4 2 2 2 2" xfId="15127"/>
    <cellStyle name="常规 4 2 2 9 4 4 2 2 3" xfId="15133"/>
    <cellStyle name="常规 4 2 2 9 4 4 2 2 4" xfId="11796"/>
    <cellStyle name="常规 4 2 2 9 4 4 2 3" xfId="19650"/>
    <cellStyle name="常规 4 2 2 9 4 4 2 3 2" xfId="15142"/>
    <cellStyle name="常规 4 2 2 9 4 4 2 4" xfId="19651"/>
    <cellStyle name="常规 4 2 2 9 4 4 2 5" xfId="19652"/>
    <cellStyle name="常规 4 2 2 9 4 4 3" xfId="2196"/>
    <cellStyle name="常规 4 2 2 9 4 4 3 2" xfId="19653"/>
    <cellStyle name="常规 4 2 2 9 4 4 3 2 2" xfId="15171"/>
    <cellStyle name="常规 4 2 2 9 4 4 3 3" xfId="19654"/>
    <cellStyle name="常规 4 2 2 9 4 4 3 4" xfId="19655"/>
    <cellStyle name="常规 4 2 2 9 4 4 4" xfId="19656"/>
    <cellStyle name="常规 4 2 2 9 4 4 4 2" xfId="19657"/>
    <cellStyle name="常规 4 2 2 9 4 4 5" xfId="19659"/>
    <cellStyle name="常规 4 2 2 9 4 4 6" xfId="19661"/>
    <cellStyle name="常规 4 2 2 9 4 5" xfId="15988"/>
    <cellStyle name="常规 4 2 2 9 4 5 2" xfId="19664"/>
    <cellStyle name="常规 4 2 2 9 4 5 2 2" xfId="19665"/>
    <cellStyle name="常规 4 2 2 9 4 5 2 2 2" xfId="15661"/>
    <cellStyle name="常规 4 2 2 9 4 5 2 3" xfId="19666"/>
    <cellStyle name="常规 4 2 2 9 4 5 2 4" xfId="19667"/>
    <cellStyle name="常规 4 2 2 9 4 5 3" xfId="19669"/>
    <cellStyle name="常规 4 2 2 9 4 5 3 2" xfId="19670"/>
    <cellStyle name="常规 4 2 2 9 4 5 4" xfId="11826"/>
    <cellStyle name="常规 4 2 2 9 4 5 5" xfId="19672"/>
    <cellStyle name="常规 4 2 2 9 4 6" xfId="15990"/>
    <cellStyle name="常规 4 2 2 9 4 6 2" xfId="19673"/>
    <cellStyle name="常规 4 2 2 9 4 6 2 2" xfId="19674"/>
    <cellStyle name="常规 4 2 2 9 4 6 3" xfId="19675"/>
    <cellStyle name="常规 4 2 2 9 4 6 4" xfId="19676"/>
    <cellStyle name="常规 4 2 2 9 4 7" xfId="19677"/>
    <cellStyle name="常规 4 2 2 9 4 7 2" xfId="19678"/>
    <cellStyle name="常规 4 2 2 9 4 8" xfId="19679"/>
    <cellStyle name="常规 4 2 2 9 4 9" xfId="19680"/>
    <cellStyle name="常规 4 2 2 9 5" xfId="19681"/>
    <cellStyle name="常规 4 2 2 9 5 2" xfId="19684"/>
    <cellStyle name="常规 4 2 2 9 5 2 2" xfId="19687"/>
    <cellStyle name="常规 4 2 2 9 5 2 2 2" xfId="19691"/>
    <cellStyle name="常规 4 2 2 9 5 2 2 2 2" xfId="19694"/>
    <cellStyle name="常规 4 2 2 9 5 2 2 2 2 2" xfId="19695"/>
    <cellStyle name="常规 4 2 2 9 5 2 2 2 2 2 2" xfId="19696"/>
    <cellStyle name="常规 4 2 2 9 5 2 2 2 2 3" xfId="19699"/>
    <cellStyle name="常规 4 2 2 9 5 2 2 2 2 4" xfId="19702"/>
    <cellStyle name="常规 4 2 2 9 5 2 2 2 3" xfId="19703"/>
    <cellStyle name="常规 4 2 2 9 5 2 2 2 3 2" xfId="19704"/>
    <cellStyle name="常规 4 2 2 9 5 2 2 2 4" xfId="3494"/>
    <cellStyle name="常规 4 2 2 9 5 2 2 2 5" xfId="19705"/>
    <cellStyle name="常规 4 2 2 9 5 2 2 3" xfId="19707"/>
    <cellStyle name="常规 4 2 2 9 5 2 2 3 2" xfId="19709"/>
    <cellStyle name="常规 4 2 2 9 5 2 2 3 2 2" xfId="19711"/>
    <cellStyle name="常规 4 2 2 9 5 2 2 3 3" xfId="19714"/>
    <cellStyle name="常规 4 2 2 9 5 2 2 3 4" xfId="19717"/>
    <cellStyle name="常规 4 2 2 9 5 2 2 4" xfId="19720"/>
    <cellStyle name="常规 4 2 2 9 5 2 2 4 2" xfId="19723"/>
    <cellStyle name="常规 4 2 2 9 5 2 2 5" xfId="4162"/>
    <cellStyle name="常规 4 2 2 9 5 2 2 6" xfId="31"/>
    <cellStyle name="常规 4 2 2 9 5 2 3" xfId="19724"/>
    <cellStyle name="常规 4 2 2 9 5 2 3 2" xfId="19728"/>
    <cellStyle name="常规 4 2 2 9 5 2 3 2 2" xfId="19729"/>
    <cellStyle name="常规 4 2 2 9 5 2 3 2 2 2" xfId="19730"/>
    <cellStyle name="常规 4 2 2 9 5 2 3 2 3" xfId="19731"/>
    <cellStyle name="常规 4 2 2 9 5 2 3 2 4" xfId="19732"/>
    <cellStyle name="常规 4 2 2 9 5 2 3 3" xfId="19734"/>
    <cellStyle name="常规 4 2 2 9 5 2 3 3 2" xfId="19736"/>
    <cellStyle name="常规 4 2 2 9 5 2 3 4" xfId="19739"/>
    <cellStyle name="常规 4 2 2 9 5 2 3 5" xfId="6228"/>
    <cellStyle name="常规 4 2 2 9 5 2 4" xfId="9845"/>
    <cellStyle name="常规 4 2 2 9 5 2 4 2" xfId="10270"/>
    <cellStyle name="常规 4 2 2 9 5 2 4 2 2" xfId="3247"/>
    <cellStyle name="常规 4 2 2 9 5 2 4 3" xfId="19741"/>
    <cellStyle name="常规 4 2 2 9 5 2 4 4" xfId="19743"/>
    <cellStyle name="常规 4 2 2 9 5 2 5" xfId="19744"/>
    <cellStyle name="常规 4 2 2 9 5 2 5 2" xfId="19745"/>
    <cellStyle name="常规 4 2 2 9 5 2 6" xfId="19746"/>
    <cellStyle name="常规 4 2 2 9 5 2 7" xfId="19748"/>
    <cellStyle name="常规 4 2 2 9 5 3" xfId="19750"/>
    <cellStyle name="常规 4 2 2 9 5 3 2" xfId="260"/>
    <cellStyle name="常规 4 2 2 9 5 3 2 2" xfId="19753"/>
    <cellStyle name="常规 4 2 2 9 5 3 2 2 2" xfId="19754"/>
    <cellStyle name="常规 4 2 2 9 5 3 2 2 2 2" xfId="19756"/>
    <cellStyle name="常规 4 2 2 9 5 3 2 2 3" xfId="19757"/>
    <cellStyle name="常规 4 2 2 9 5 3 2 2 4" xfId="13526"/>
    <cellStyle name="常规 4 2 2 9 5 3 2 3" xfId="19759"/>
    <cellStyle name="常规 4 2 2 9 5 3 2 3 2" xfId="19761"/>
    <cellStyle name="常规 4 2 2 9 5 3 2 4" xfId="19764"/>
    <cellStyle name="常规 4 2 2 9 5 3 2 5" xfId="609"/>
    <cellStyle name="常规 4 2 2 9 5 3 3" xfId="19765"/>
    <cellStyle name="常规 4 2 2 9 5 3 3 2" xfId="19766"/>
    <cellStyle name="常规 4 2 2 9 5 3 3 2 2" xfId="3922"/>
    <cellStyle name="常规 4 2 2 9 5 3 3 3" xfId="19768"/>
    <cellStyle name="常规 4 2 2 9 5 3 3 4" xfId="19770"/>
    <cellStyle name="常规 4 2 2 9 5 3 4" xfId="19771"/>
    <cellStyle name="常规 4 2 2 9 5 3 4 2" xfId="19772"/>
    <cellStyle name="常规 4 2 2 9 5 3 5" xfId="19774"/>
    <cellStyle name="常规 4 2 2 9 5 3 6" xfId="19776"/>
    <cellStyle name="常规 4 2 2 9 5 4" xfId="15992"/>
    <cellStyle name="常规 4 2 2 9 5 4 2" xfId="19782"/>
    <cellStyle name="常规 4 2 2 9 5 4 2 2" xfId="19783"/>
    <cellStyle name="常规 4 2 2 9 5 4 2 2 2" xfId="19784"/>
    <cellStyle name="常规 4 2 2 9 5 4 2 3" xfId="19786"/>
    <cellStyle name="常规 4 2 2 9 5 4 2 4" xfId="19788"/>
    <cellStyle name="常规 4 2 2 9 5 4 3" xfId="19790"/>
    <cellStyle name="常规 4 2 2 9 5 4 3 2" xfId="19792"/>
    <cellStyle name="常规 4 2 2 9 5 4 4" xfId="19793"/>
    <cellStyle name="常规 4 2 2 9 5 4 5" xfId="19795"/>
    <cellStyle name="常规 4 2 2 9 5 5" xfId="19796"/>
    <cellStyle name="常规 4 2 2 9 5 5 2" xfId="19799"/>
    <cellStyle name="常规 4 2 2 9 5 5 2 2" xfId="19800"/>
    <cellStyle name="常规 4 2 2 9 5 5 3" xfId="19801"/>
    <cellStyle name="常规 4 2 2 9 5 5 4" xfId="19802"/>
    <cellStyle name="常规 4 2 2 9 5 6" xfId="19803"/>
    <cellStyle name="常规 4 2 2 9 5 6 2" xfId="19804"/>
    <cellStyle name="常规 4 2 2 9 5 7" xfId="9911"/>
    <cellStyle name="常规 4 2 2 9 5 8" xfId="19805"/>
    <cellStyle name="常规 4 2 2 9 6" xfId="19806"/>
    <cellStyle name="常规 4 2 2 9 6 2" xfId="19809"/>
    <cellStyle name="常规 4 2 2 9 6 2 2" xfId="4139"/>
    <cellStyle name="常规 4 2 2 9 6 2 2 2" xfId="19813"/>
    <cellStyle name="常规 4 2 2 9 6 2 2 2 2" xfId="19814"/>
    <cellStyle name="常规 4 2 2 9 6 2 2 2 2 2" xfId="11440"/>
    <cellStyle name="常规 4 2 2 9 6 2 2 2 3" xfId="18809"/>
    <cellStyle name="常规 4 2 2 9 6 2 2 2 4" xfId="19817"/>
    <cellStyle name="常规 4 2 2 9 6 2 2 3" xfId="19819"/>
    <cellStyle name="常规 4 2 2 9 6 2 2 3 2" xfId="19822"/>
    <cellStyle name="常规 4 2 2 9 6 2 2 4" xfId="19825"/>
    <cellStyle name="常规 4 2 2 9 6 2 2 5" xfId="8070"/>
    <cellStyle name="常规 4 2 2 9 6 2 3" xfId="4144"/>
    <cellStyle name="常规 4 2 2 9 6 2 3 2" xfId="19826"/>
    <cellStyle name="常规 4 2 2 9 6 2 3 2 2" xfId="19827"/>
    <cellStyle name="常规 4 2 2 9 6 2 3 3" xfId="19829"/>
    <cellStyle name="常规 4 2 2 9 6 2 3 4" xfId="19831"/>
    <cellStyle name="常规 4 2 2 9 6 2 4" xfId="19833"/>
    <cellStyle name="常规 4 2 2 9 6 2 4 2" xfId="19835"/>
    <cellStyle name="常规 4 2 2 9 6 2 5" xfId="19837"/>
    <cellStyle name="常规 4 2 2 9 6 2 6" xfId="19838"/>
    <cellStyle name="常规 4 2 2 9 6 3" xfId="19841"/>
    <cellStyle name="常规 4 2 2 9 6 3 2" xfId="1722"/>
    <cellStyle name="常规 4 2 2 9 6 3 2 2" xfId="19845"/>
    <cellStyle name="常规 4 2 2 9 6 3 2 2 2" xfId="19847"/>
    <cellStyle name="常规 4 2 2 9 6 3 2 3" xfId="19850"/>
    <cellStyle name="常规 4 2 2 9 6 3 2 4" xfId="19852"/>
    <cellStyle name="常规 4 2 2 9 6 3 3" xfId="1726"/>
    <cellStyle name="常规 4 2 2 9 6 3 3 2" xfId="19854"/>
    <cellStyle name="常规 4 2 2 9 6 3 4" xfId="1473"/>
    <cellStyle name="常规 4 2 2 9 6 3 5" xfId="1478"/>
    <cellStyle name="常规 4 2 2 9 6 4" xfId="19855"/>
    <cellStyle name="常规 4 2 2 9 6 4 2" xfId="19859"/>
    <cellStyle name="常规 4 2 2 9 6 4 2 2" xfId="19861"/>
    <cellStyle name="常规 4 2 2 9 6 4 3" xfId="19863"/>
    <cellStyle name="常规 4 2 2 9 6 4 4" xfId="19864"/>
    <cellStyle name="常规 4 2 2 9 6 5" xfId="19865"/>
    <cellStyle name="常规 4 2 2 9 6 5 2" xfId="19866"/>
    <cellStyle name="常规 4 2 2 9 6 6" xfId="19867"/>
    <cellStyle name="常规 4 2 2 9 6 7" xfId="19868"/>
    <cellStyle name="常规 4 2 2 9 7" xfId="19869"/>
    <cellStyle name="常规 4 2 2 9 7 2" xfId="19872"/>
    <cellStyle name="常规 4 2 2 9 7 2 2" xfId="19876"/>
    <cellStyle name="常规 4 2 2 9 7 2 2 2" xfId="19877"/>
    <cellStyle name="常规 4 2 2 9 7 2 2 2 2" xfId="19882"/>
    <cellStyle name="常规 4 2 2 9 7 2 2 3" xfId="19887"/>
    <cellStyle name="常规 4 2 2 9 7 2 2 4" xfId="19893"/>
    <cellStyle name="常规 4 2 2 9 7 2 3" xfId="19897"/>
    <cellStyle name="常规 4 2 2 9 7 2 3 2" xfId="19898"/>
    <cellStyle name="常规 4 2 2 9 7 2 4" xfId="19903"/>
    <cellStyle name="常规 4 2 2 9 7 2 5" xfId="19904"/>
    <cellStyle name="常规 4 2 2 9 7 3" xfId="19905"/>
    <cellStyle name="常规 4 2 2 9 7 3 2" xfId="3950"/>
    <cellStyle name="常规 4 2 2 9 7 3 2 2" xfId="19906"/>
    <cellStyle name="常规 4 2 2 9 7 3 3" xfId="19909"/>
    <cellStyle name="常规 4 2 2 9 7 3 4" xfId="19910"/>
    <cellStyle name="常规 4 2 2 9 7 4" xfId="19911"/>
    <cellStyle name="常规 4 2 2 9 7 4 2" xfId="19912"/>
    <cellStyle name="常规 4 2 2 9 7 5" xfId="19913"/>
    <cellStyle name="常规 4 2 2 9 7 6" xfId="19915"/>
    <cellStyle name="常规 4 2 2 9 8" xfId="19916"/>
    <cellStyle name="常规 4 2 2 9 8 2" xfId="19920"/>
    <cellStyle name="常规 4 2 2 9 8 2 2" xfId="19921"/>
    <cellStyle name="常规 4 2 2 9 8 2 2 2" xfId="19922"/>
    <cellStyle name="常规 4 2 2 9 8 2 3" xfId="19925"/>
    <cellStyle name="常规 4 2 2 9 8 2 4" xfId="19926"/>
    <cellStyle name="常规 4 2 2 9 8 3" xfId="19927"/>
    <cellStyle name="常规 4 2 2 9 8 3 2" xfId="3973"/>
    <cellStyle name="常规 4 2 2 9 8 4" xfId="19928"/>
    <cellStyle name="常规 4 2 2 9 8 5" xfId="19930"/>
    <cellStyle name="常规 4 2 2 9 9" xfId="19931"/>
    <cellStyle name="常规 4 2 2 9 9 2" xfId="19936"/>
    <cellStyle name="常规 4 2 2 9 9 2 2" xfId="19938"/>
    <cellStyle name="常规 4 2 2 9 9 3" xfId="19939"/>
    <cellStyle name="常规 4 2 2 9 9 4" xfId="2746"/>
    <cellStyle name="常规 4 2 20" xfId="15791"/>
    <cellStyle name="常规 4 2 21" xfId="15867"/>
    <cellStyle name="常规 4 2 22" xfId="15901"/>
    <cellStyle name="常规 4 2 23" xfId="15917"/>
    <cellStyle name="常规 4 2 24" xfId="15928"/>
    <cellStyle name="常规 4 2 25" xfId="9870"/>
    <cellStyle name="常规 4 2 3" xfId="13723"/>
    <cellStyle name="常规 4 2 3 2" xfId="2442"/>
    <cellStyle name="常规 4 2 3 2 2" xfId="19940"/>
    <cellStyle name="常规 4 2 3 2 2 2" xfId="19941"/>
    <cellStyle name="常规 4 2 3 2 2 2 2" xfId="19944"/>
    <cellStyle name="常规 4 2 3 2 2 2 3" xfId="19945"/>
    <cellStyle name="常规 4 2 3 2 2 3" xfId="19946"/>
    <cellStyle name="常规 4 2 3 2 2 3 2" xfId="19947"/>
    <cellStyle name="常规 4 2 3 2 2 3 3" xfId="19948"/>
    <cellStyle name="常规 4 2 3 2 2 4" xfId="19949"/>
    <cellStyle name="常规 4 2 3 2 2 5" xfId="19950"/>
    <cellStyle name="常规 4 2 3 2 2 6" xfId="19951"/>
    <cellStyle name="常规 4 2 3 2 3" xfId="19953"/>
    <cellStyle name="常规 4 2 3 2 3 2" xfId="19955"/>
    <cellStyle name="常规 4 2 3 2 3 3" xfId="19957"/>
    <cellStyle name="常规 4 2 3 2 4" xfId="19959"/>
    <cellStyle name="常规 4 2 3 2 4 2" xfId="19961"/>
    <cellStyle name="常规 4 2 3 2 4 3" xfId="19962"/>
    <cellStyle name="常规 4 2 3 2 5" xfId="19964"/>
    <cellStyle name="常规 4 2 3 2 6" xfId="19966"/>
    <cellStyle name="常规 4 2 3 2 7" xfId="19967"/>
    <cellStyle name="常规 4 2 3 3" xfId="19968"/>
    <cellStyle name="常规 4 2 3 3 2" xfId="19970"/>
    <cellStyle name="常规 4 2 3 3 2 2" xfId="19971"/>
    <cellStyle name="常规 4 2 3 3 2 3" xfId="10472"/>
    <cellStyle name="常规 4 2 3 3 3" xfId="19973"/>
    <cellStyle name="常规 4 2 3 3 3 2" xfId="19975"/>
    <cellStyle name="常规 4 2 3 3 3 3" xfId="3096"/>
    <cellStyle name="常规 4 2 3 3 4" xfId="19977"/>
    <cellStyle name="常规 4 2 3 3 5" xfId="19979"/>
    <cellStyle name="常规 4 2 3 3 6" xfId="19980"/>
    <cellStyle name="常规 4 2 3 4" xfId="19981"/>
    <cellStyle name="常规 4 2 3 4 2" xfId="19982"/>
    <cellStyle name="常规 4 2 3 4 3" xfId="1044"/>
    <cellStyle name="常规 4 2 3 4 4" xfId="19983"/>
    <cellStyle name="常规 4 2 3 5" xfId="19984"/>
    <cellStyle name="常规 4 2 3 5 2" xfId="19985"/>
    <cellStyle name="常规 4 2 3 5 3" xfId="19986"/>
    <cellStyle name="常规 4 2 3 6" xfId="19988"/>
    <cellStyle name="常规 4 2 3 6 2" xfId="19990"/>
    <cellStyle name="常规 4 2 3 6 3" xfId="19993"/>
    <cellStyle name="常规 4 2 3 7" xfId="19994"/>
    <cellStyle name="常规 4 2 3 8" xfId="19996"/>
    <cellStyle name="常规 4 2 4" xfId="13726"/>
    <cellStyle name="常规 4 2 4 2" xfId="19998"/>
    <cellStyle name="常规 4 2 4 2 2" xfId="20000"/>
    <cellStyle name="常规 4 2 4 2 2 2" xfId="17313"/>
    <cellStyle name="常规 4 2 4 2 2 3" xfId="20001"/>
    <cellStyle name="常规 4 2 4 2 3" xfId="20004"/>
    <cellStyle name="常规 4 2 4 2 3 2" xfId="20006"/>
    <cellStyle name="常规 4 2 4 2 3 3" xfId="20009"/>
    <cellStyle name="常规 4 2 4 2 4" xfId="20016"/>
    <cellStyle name="常规 4 2 4 2 5" xfId="20021"/>
    <cellStyle name="常规 4 2 4 2 6" xfId="20026"/>
    <cellStyle name="常规 4 2 4 3" xfId="20029"/>
    <cellStyle name="常规 4 2 4 3 2" xfId="20030"/>
    <cellStyle name="常规 4 2 4 3 3" xfId="20033"/>
    <cellStyle name="常规 4 2 4 4" xfId="20036"/>
    <cellStyle name="常规 4 2 4 4 2" xfId="20037"/>
    <cellStyle name="常规 4 2 4 4 3" xfId="20039"/>
    <cellStyle name="常规 4 2 4 5" xfId="20040"/>
    <cellStyle name="常规 4 2 4 6" xfId="20041"/>
    <cellStyle name="常规 4 2 4 7" xfId="20042"/>
    <cellStyle name="常规 4 2 5" xfId="13729"/>
    <cellStyle name="常规 4 2 5 2" xfId="20044"/>
    <cellStyle name="常规 4 2 5 2 2" xfId="20045"/>
    <cellStyle name="常规 4 2 5 2 3" xfId="20048"/>
    <cellStyle name="常规 4 2 5 3" xfId="20051"/>
    <cellStyle name="常规 4 2 5 3 2" xfId="20052"/>
    <cellStyle name="常规 4 2 5 3 3" xfId="20054"/>
    <cellStyle name="常规 4 2 5 4" xfId="20055"/>
    <cellStyle name="常规 4 2 5 5" xfId="20057"/>
    <cellStyle name="常规 4 2 5 6" xfId="20058"/>
    <cellStyle name="常规 4 2 6" xfId="20059"/>
    <cellStyle name="常规 4 2 6 2" xfId="20062"/>
    <cellStyle name="常规 4 2 6 3" xfId="20064"/>
    <cellStyle name="常规 4 2 6 4" xfId="20065"/>
    <cellStyle name="常规 4 2 7" xfId="20066"/>
    <cellStyle name="常规 4 2 7 2" xfId="20068"/>
    <cellStyle name="常规 4 2 7 3" xfId="20070"/>
    <cellStyle name="常规 4 2 8" xfId="20071"/>
    <cellStyle name="常规 4 2 8 2" xfId="20072"/>
    <cellStyle name="常规 4 2 8 3" xfId="19943"/>
    <cellStyle name="常规 4 2 9" xfId="20073"/>
    <cellStyle name="常规 4 20" xfId="9488"/>
    <cellStyle name="常规 4 20 2" xfId="839"/>
    <cellStyle name="常规 4 21" xfId="2313"/>
    <cellStyle name="常规 4 22" xfId="7760"/>
    <cellStyle name="常规 4 23" xfId="7775"/>
    <cellStyle name="常规 4 24" xfId="2965"/>
    <cellStyle name="常规 4 3" xfId="20074"/>
    <cellStyle name="常规 4 3 10" xfId="2171"/>
    <cellStyle name="常规 4 3 10 10" xfId="20075"/>
    <cellStyle name="常规 4 3 10 11" xfId="20076"/>
    <cellStyle name="常规 4 3 10 2" xfId="6560"/>
    <cellStyle name="常规 4 3 10 2 2" xfId="11408"/>
    <cellStyle name="常规 4 3 10 2 2 2" xfId="20077"/>
    <cellStyle name="常规 4 3 10 2 2 2 2" xfId="17803"/>
    <cellStyle name="常规 4 3 10 2 2 2 2 2" xfId="19270"/>
    <cellStyle name="常规 4 3 10 2 2 2 2 2 2" xfId="20080"/>
    <cellStyle name="常规 4 3 10 2 2 2 2 2 2 2" xfId="17878"/>
    <cellStyle name="常规 4 3 10 2 2 2 2 2 2 2 2" xfId="17881"/>
    <cellStyle name="常规 4 3 10 2 2 2 2 2 2 3" xfId="17890"/>
    <cellStyle name="常规 4 3 10 2 2 2 2 2 2 4" xfId="17895"/>
    <cellStyle name="常规 4 3 10 2 2 2 2 2 3" xfId="20081"/>
    <cellStyle name="常规 4 3 10 2 2 2 2 2 3 2" xfId="17914"/>
    <cellStyle name="常规 4 3 10 2 2 2 2 2 4" xfId="20082"/>
    <cellStyle name="常规 4 3 10 2 2 2 2 2 5" xfId="20083"/>
    <cellStyle name="常规 4 3 10 2 2 2 2 3" xfId="2308"/>
    <cellStyle name="常规 4 3 10 2 2 2 2 3 2" xfId="20084"/>
    <cellStyle name="常规 4 3 10 2 2 2 2 3 2 2" xfId="4615"/>
    <cellStyle name="常规 4 3 10 2 2 2 2 3 3" xfId="20085"/>
    <cellStyle name="常规 4 3 10 2 2 2 2 3 4" xfId="20086"/>
    <cellStyle name="常规 4 3 10 2 2 2 2 4" xfId="20089"/>
    <cellStyle name="常规 4 3 10 2 2 2 2 4 2" xfId="20090"/>
    <cellStyle name="常规 4 3 10 2 2 2 2 5" xfId="20091"/>
    <cellStyle name="常规 4 3 10 2 2 2 2 6" xfId="20092"/>
    <cellStyle name="常规 4 3 10 2 2 2 3" xfId="17805"/>
    <cellStyle name="常规 4 3 10 2 2 2 3 2" xfId="13107"/>
    <cellStyle name="常规 4 3 10 2 2 2 3 2 2" xfId="13109"/>
    <cellStyle name="常规 4 3 10 2 2 2 3 2 2 2" xfId="18010"/>
    <cellStyle name="常规 4 3 10 2 2 2 3 2 3" xfId="20093"/>
    <cellStyle name="常规 4 3 10 2 2 2 3 2 4" xfId="20094"/>
    <cellStyle name="常规 4 3 10 2 2 2 3 3" xfId="9898"/>
    <cellStyle name="常规 4 3 10 2 2 2 3 3 2" xfId="20095"/>
    <cellStyle name="常规 4 3 10 2 2 2 3 4" xfId="13111"/>
    <cellStyle name="常规 4 3 10 2 2 2 3 5" xfId="20096"/>
    <cellStyle name="常规 4 3 10 2 2 2 4" xfId="1520"/>
    <cellStyle name="常规 4 3 10 2 2 2 4 2" xfId="1255"/>
    <cellStyle name="常规 4 3 10 2 2 2 4 2 2" xfId="1522"/>
    <cellStyle name="常规 4 3 10 2 2 2 4 3" xfId="1260"/>
    <cellStyle name="常规 4 3 10 2 2 2 4 4" xfId="543"/>
    <cellStyle name="常规 4 3 10 2 2 2 5" xfId="1526"/>
    <cellStyle name="常规 4 3 10 2 2 2 5 2" xfId="20097"/>
    <cellStyle name="常规 4 3 10 2 2 2 6" xfId="1528"/>
    <cellStyle name="常规 4 3 10 2 2 2 7" xfId="20098"/>
    <cellStyle name="常规 4 3 10 2 2 3" xfId="20100"/>
    <cellStyle name="常规 4 3 10 2 2 3 2" xfId="17811"/>
    <cellStyle name="常规 4 3 10 2 2 3 2 2" xfId="20102"/>
    <cellStyle name="常规 4 3 10 2 2 3 2 2 2" xfId="20104"/>
    <cellStyle name="常规 4 3 10 2 2 3 2 2 2 2" xfId="18205"/>
    <cellStyle name="常规 4 3 10 2 2 3 2 2 3" xfId="20105"/>
    <cellStyle name="常规 4 3 10 2 2 3 2 2 4" xfId="16469"/>
    <cellStyle name="常规 4 3 10 2 2 3 2 3" xfId="2367"/>
    <cellStyle name="常规 4 3 10 2 2 3 2 3 2" xfId="20106"/>
    <cellStyle name="常规 4 3 10 2 2 3 2 4" xfId="20107"/>
    <cellStyle name="常规 4 3 10 2 2 3 2 5" xfId="20108"/>
    <cellStyle name="常规 4 3 10 2 2 3 3" xfId="20109"/>
    <cellStyle name="常规 4 3 10 2 2 3 3 2" xfId="13124"/>
    <cellStyle name="常规 4 3 10 2 2 3 3 2 2" xfId="20110"/>
    <cellStyle name="常规 4 3 10 2 2 3 3 3" xfId="13126"/>
    <cellStyle name="常规 4 3 10 2 2 3 3 4" xfId="20111"/>
    <cellStyle name="常规 4 3 10 2 2 3 4" xfId="360"/>
    <cellStyle name="常规 4 3 10 2 2 3 4 2" xfId="173"/>
    <cellStyle name="常规 4 3 10 2 2 3 5" xfId="372"/>
    <cellStyle name="常规 4 3 10 2 2 3 6" xfId="385"/>
    <cellStyle name="常规 4 3 10 2 2 4" xfId="20112"/>
    <cellStyle name="常规 4 3 10 2 2 4 2" xfId="20113"/>
    <cellStyle name="常规 4 3 10 2 2 4 2 2" xfId="20115"/>
    <cellStyle name="常规 4 3 10 2 2 4 2 2 2" xfId="20117"/>
    <cellStyle name="常规 4 3 10 2 2 4 2 3" xfId="2399"/>
    <cellStyle name="常规 4 3 10 2 2 4 2 4" xfId="20118"/>
    <cellStyle name="常规 4 3 10 2 2 4 3" xfId="20119"/>
    <cellStyle name="常规 4 3 10 2 2 4 3 2" xfId="20120"/>
    <cellStyle name="常规 4 3 10 2 2 4 4" xfId="1537"/>
    <cellStyle name="常规 4 3 10 2 2 4 5" xfId="1591"/>
    <cellStyle name="常规 4 3 10 2 2 5" xfId="20121"/>
    <cellStyle name="常规 4 3 10 2 2 5 2" xfId="20122"/>
    <cellStyle name="常规 4 3 10 2 2 5 2 2" xfId="20123"/>
    <cellStyle name="常规 4 3 10 2 2 5 3" xfId="20124"/>
    <cellStyle name="常规 4 3 10 2 2 5 4" xfId="1323"/>
    <cellStyle name="常规 4 3 10 2 2 6" xfId="20125"/>
    <cellStyle name="常规 4 3 10 2 2 6 2" xfId="20126"/>
    <cellStyle name="常规 4 3 10 2 2 7" xfId="20127"/>
    <cellStyle name="常规 4 3 10 2 2 8" xfId="20128"/>
    <cellStyle name="常规 4 3 10 2 3" xfId="20129"/>
    <cellStyle name="常规 4 3 10 2 3 2" xfId="20130"/>
    <cellStyle name="常规 4 3 10 2 3 2 2" xfId="17829"/>
    <cellStyle name="常规 4 3 10 2 3 2 2 2" xfId="20134"/>
    <cellStyle name="常规 4 3 10 2 3 2 2 2 2" xfId="20136"/>
    <cellStyle name="常规 4 3 10 2 3 2 2 2 2 2" xfId="19554"/>
    <cellStyle name="常规 4 3 10 2 3 2 2 2 3" xfId="20137"/>
    <cellStyle name="常规 4 3 10 2 3 2 2 2 4" xfId="20138"/>
    <cellStyle name="常规 4 3 10 2 3 2 2 3" xfId="20141"/>
    <cellStyle name="常规 4 3 10 2 3 2 2 3 2" xfId="20142"/>
    <cellStyle name="常规 4 3 10 2 3 2 2 4" xfId="20144"/>
    <cellStyle name="常规 4 3 10 2 3 2 2 5" xfId="20146"/>
    <cellStyle name="常规 4 3 10 2 3 2 3" xfId="20150"/>
    <cellStyle name="常规 4 3 10 2 3 2 3 2" xfId="13153"/>
    <cellStyle name="常规 4 3 10 2 3 2 3 2 2" xfId="20151"/>
    <cellStyle name="常规 4 3 10 2 3 2 3 3" xfId="13154"/>
    <cellStyle name="常规 4 3 10 2 3 2 3 4" xfId="20152"/>
    <cellStyle name="常规 4 3 10 2 3 2 4" xfId="17860"/>
    <cellStyle name="常规 4 3 10 2 3 2 4 2" xfId="20154"/>
    <cellStyle name="常规 4 3 10 2 3 2 5" xfId="20156"/>
    <cellStyle name="常规 4 3 10 2 3 2 6" xfId="20157"/>
    <cellStyle name="常规 4 3 10 2 3 3" xfId="20158"/>
    <cellStyle name="常规 4 3 10 2 3 3 2" xfId="20161"/>
    <cellStyle name="常规 4 3 10 2 3 3 2 2" xfId="20164"/>
    <cellStyle name="常规 4 3 10 2 3 3 2 2 2" xfId="5978"/>
    <cellStyle name="常规 4 3 10 2 3 3 2 3" xfId="20165"/>
    <cellStyle name="常规 4 3 10 2 3 3 2 4" xfId="3226"/>
    <cellStyle name="常规 4 3 10 2 3 3 3" xfId="20168"/>
    <cellStyle name="常规 4 3 10 2 3 3 3 2" xfId="20169"/>
    <cellStyle name="常规 4 3 10 2 3 3 4" xfId="20171"/>
    <cellStyle name="常规 4 3 10 2 3 3 5" xfId="20172"/>
    <cellStyle name="常规 4 3 10 2 3 4" xfId="20173"/>
    <cellStyle name="常规 4 3 10 2 3 4 2" xfId="20176"/>
    <cellStyle name="常规 4 3 10 2 3 4 2 2" xfId="20177"/>
    <cellStyle name="常规 4 3 10 2 3 4 3" xfId="20179"/>
    <cellStyle name="常规 4 3 10 2 3 4 4" xfId="20180"/>
    <cellStyle name="常规 4 3 10 2 3 5" xfId="20181"/>
    <cellStyle name="常规 4 3 10 2 3 5 2" xfId="20183"/>
    <cellStyle name="常规 4 3 10 2 3 6" xfId="20184"/>
    <cellStyle name="常规 4 3 10 2 3 7" xfId="20185"/>
    <cellStyle name="常规 4 3 10 2 4" xfId="20186"/>
    <cellStyle name="常规 4 3 10 2 4 2" xfId="20187"/>
    <cellStyle name="常规 4 3 10 2 4 2 2" xfId="20190"/>
    <cellStyle name="常规 4 3 10 2 4 2 2 2" xfId="20194"/>
    <cellStyle name="常规 4 3 10 2 4 2 2 2 2" xfId="20196"/>
    <cellStyle name="常规 4 3 10 2 4 2 2 3" xfId="20198"/>
    <cellStyle name="常规 4 3 10 2 4 2 2 4" xfId="20199"/>
    <cellStyle name="常规 4 3 10 2 4 2 3" xfId="20203"/>
    <cellStyle name="常规 4 3 10 2 4 2 3 2" xfId="20204"/>
    <cellStyle name="常规 4 3 10 2 4 2 4" xfId="20208"/>
    <cellStyle name="常规 4 3 10 2 4 2 5" xfId="20209"/>
    <cellStyle name="常规 4 3 10 2 4 3" xfId="20210"/>
    <cellStyle name="常规 4 3 10 2 4 3 2" xfId="20213"/>
    <cellStyle name="常规 4 3 10 2 4 3 2 2" xfId="20214"/>
    <cellStyle name="常规 4 3 10 2 4 3 3" xfId="20216"/>
    <cellStyle name="常规 4 3 10 2 4 3 4" xfId="20217"/>
    <cellStyle name="常规 4 3 10 2 4 4" xfId="20219"/>
    <cellStyle name="常规 4 3 10 2 4 4 2" xfId="20224"/>
    <cellStyle name="常规 4 3 10 2 4 5" xfId="20227"/>
    <cellStyle name="常规 4 3 10 2 4 6" xfId="20230"/>
    <cellStyle name="常规 4 3 10 2 5" xfId="20235"/>
    <cellStyle name="常规 4 3 10 2 5 2" xfId="20237"/>
    <cellStyle name="常规 4 3 10 2 5 2 2" xfId="19368"/>
    <cellStyle name="常规 4 3 10 2 5 2 2 2" xfId="19370"/>
    <cellStyle name="常规 4 3 10 2 5 2 3" xfId="19386"/>
    <cellStyle name="常规 4 3 10 2 5 2 4" xfId="19395"/>
    <cellStyle name="常规 4 3 10 2 5 3" xfId="20239"/>
    <cellStyle name="常规 4 3 10 2 5 3 2" xfId="19419"/>
    <cellStyle name="常规 4 3 10 2 5 4" xfId="20242"/>
    <cellStyle name="常规 4 3 10 2 5 5" xfId="20245"/>
    <cellStyle name="常规 4 3 10 2 6" xfId="17329"/>
    <cellStyle name="常规 4 3 10 2 6 2" xfId="20248"/>
    <cellStyle name="常规 4 3 10 2 6 2 2" xfId="19578"/>
    <cellStyle name="常规 4 3 10 2 6 3" xfId="20251"/>
    <cellStyle name="常规 4 3 10 2 6 4" xfId="20254"/>
    <cellStyle name="常规 4 3 10 2 7" xfId="20257"/>
    <cellStyle name="常规 4 3 10 2 7 2" xfId="20260"/>
    <cellStyle name="常规 4 3 10 2 8" xfId="20263"/>
    <cellStyle name="常规 4 3 10 2 9" xfId="20266"/>
    <cellStyle name="常规 4 3 10 3" xfId="10630"/>
    <cellStyle name="常规 4 3 10 3 2" xfId="20268"/>
    <cellStyle name="常规 4 3 10 3 2 2" xfId="20269"/>
    <cellStyle name="常规 4 3 10 3 2 2 2" xfId="17981"/>
    <cellStyle name="常规 4 3 10 3 2 2 2 2" xfId="20272"/>
    <cellStyle name="常规 4 3 10 3 2 2 2 2 2" xfId="20274"/>
    <cellStyle name="常规 4 3 10 3 2 2 2 2 2 2" xfId="20275"/>
    <cellStyle name="常规 4 3 10 3 2 2 2 2 2 2 2" xfId="20278"/>
    <cellStyle name="常规 4 3 10 3 2 2 2 2 2 3" xfId="19360"/>
    <cellStyle name="常规 4 3 10 3 2 2 2 2 2 4" xfId="20279"/>
    <cellStyle name="常规 4 3 10 3 2 2 2 2 3" xfId="20280"/>
    <cellStyle name="常规 4 3 10 3 2 2 2 2 3 2" xfId="20281"/>
    <cellStyle name="常规 4 3 10 3 2 2 2 2 4" xfId="20282"/>
    <cellStyle name="常规 4 3 10 3 2 2 2 2 5" xfId="20283"/>
    <cellStyle name="常规 4 3 10 3 2 2 2 3" xfId="20285"/>
    <cellStyle name="常规 4 3 10 3 2 2 2 3 2" xfId="4020"/>
    <cellStyle name="常规 4 3 10 3 2 2 2 3 2 2" xfId="20286"/>
    <cellStyle name="常规 4 3 10 3 2 2 2 3 3" xfId="20287"/>
    <cellStyle name="常规 4 3 10 3 2 2 2 3 4" xfId="20288"/>
    <cellStyle name="常规 4 3 10 3 2 2 2 4" xfId="20290"/>
    <cellStyle name="常规 4 3 10 3 2 2 2 4 2" xfId="20291"/>
    <cellStyle name="常规 4 3 10 3 2 2 2 5" xfId="18462"/>
    <cellStyle name="常规 4 3 10 3 2 2 2 6" xfId="18465"/>
    <cellStyle name="常规 4 3 10 3 2 2 3" xfId="20292"/>
    <cellStyle name="常规 4 3 10 3 2 2 3 2" xfId="13226"/>
    <cellStyle name="常规 4 3 10 3 2 2 3 2 2" xfId="20293"/>
    <cellStyle name="常规 4 3 10 3 2 2 3 2 2 2" xfId="20294"/>
    <cellStyle name="常规 4 3 10 3 2 2 3 2 3" xfId="20295"/>
    <cellStyle name="常规 4 3 10 3 2 2 3 2 4" xfId="20296"/>
    <cellStyle name="常规 4 3 10 3 2 2 3 3" xfId="10114"/>
    <cellStyle name="常规 4 3 10 3 2 2 3 3 2" xfId="20297"/>
    <cellStyle name="常规 4 3 10 3 2 2 3 4" xfId="20298"/>
    <cellStyle name="常规 4 3 10 3 2 2 3 5" xfId="18469"/>
    <cellStyle name="常规 4 3 10 3 2 2 4" xfId="20299"/>
    <cellStyle name="常规 4 3 10 3 2 2 4 2" xfId="20301"/>
    <cellStyle name="常规 4 3 10 3 2 2 4 2 2" xfId="20302"/>
    <cellStyle name="常规 4 3 10 3 2 2 4 3" xfId="20303"/>
    <cellStyle name="常规 4 3 10 3 2 2 4 4" xfId="20304"/>
    <cellStyle name="常规 4 3 10 3 2 2 5" xfId="20305"/>
    <cellStyle name="常规 4 3 10 3 2 2 5 2" xfId="20306"/>
    <cellStyle name="常规 4 3 10 3 2 2 6" xfId="20309"/>
    <cellStyle name="常规 4 3 10 3 2 2 7" xfId="20310"/>
    <cellStyle name="常规 4 3 10 3 2 3" xfId="20312"/>
    <cellStyle name="常规 4 3 10 3 2 3 2" xfId="20314"/>
    <cellStyle name="常规 4 3 10 3 2 3 2 2" xfId="20316"/>
    <cellStyle name="常规 4 3 10 3 2 3 2 2 2" xfId="20317"/>
    <cellStyle name="常规 4 3 10 3 2 3 2 2 2 2" xfId="20318"/>
    <cellStyle name="常规 4 3 10 3 2 3 2 2 3" xfId="20319"/>
    <cellStyle name="常规 4 3 10 3 2 3 2 2 4" xfId="34"/>
    <cellStyle name="常规 4 3 10 3 2 3 2 3" xfId="20321"/>
    <cellStyle name="常规 4 3 10 3 2 3 2 3 2" xfId="20322"/>
    <cellStyle name="常规 4 3 10 3 2 3 2 4" xfId="3813"/>
    <cellStyle name="常规 4 3 10 3 2 3 2 5" xfId="18483"/>
    <cellStyle name="常规 4 3 10 3 2 3 3" xfId="20323"/>
    <cellStyle name="常规 4 3 10 3 2 3 3 2" xfId="20325"/>
    <cellStyle name="常规 4 3 10 3 2 3 3 2 2" xfId="20326"/>
    <cellStyle name="常规 4 3 10 3 2 3 3 3" xfId="20327"/>
    <cellStyle name="常规 4 3 10 3 2 3 3 4" xfId="20328"/>
    <cellStyle name="常规 4 3 10 3 2 3 4" xfId="20329"/>
    <cellStyle name="常规 4 3 10 3 2 3 4 2" xfId="20330"/>
    <cellStyle name="常规 4 3 10 3 2 3 5" xfId="20331"/>
    <cellStyle name="常规 4 3 10 3 2 3 6" xfId="20332"/>
    <cellStyle name="常规 4 3 10 3 2 4" xfId="20334"/>
    <cellStyle name="常规 4 3 10 3 2 4 2" xfId="20335"/>
    <cellStyle name="常规 4 3 10 3 2 4 2 2" xfId="20337"/>
    <cellStyle name="常规 4 3 10 3 2 4 2 2 2" xfId="15676"/>
    <cellStyle name="常规 4 3 10 3 2 4 2 3" xfId="20338"/>
    <cellStyle name="常规 4 3 10 3 2 4 2 4" xfId="20339"/>
    <cellStyle name="常规 4 3 10 3 2 4 3" xfId="20340"/>
    <cellStyle name="常规 4 3 10 3 2 4 3 2" xfId="20341"/>
    <cellStyle name="常规 4 3 10 3 2 4 4" xfId="20342"/>
    <cellStyle name="常规 4 3 10 3 2 4 5" xfId="20343"/>
    <cellStyle name="常规 4 3 10 3 2 5" xfId="20345"/>
    <cellStyle name="常规 4 3 10 3 2 5 2" xfId="20346"/>
    <cellStyle name="常规 4 3 10 3 2 5 2 2" xfId="16715"/>
    <cellStyle name="常规 4 3 10 3 2 5 3" xfId="20347"/>
    <cellStyle name="常规 4 3 10 3 2 5 4" xfId="20348"/>
    <cellStyle name="常规 4 3 10 3 2 6" xfId="20349"/>
    <cellStyle name="常规 4 3 10 3 2 6 2" xfId="20350"/>
    <cellStyle name="常规 4 3 10 3 2 7" xfId="10008"/>
    <cellStyle name="常规 4 3 10 3 2 8" xfId="10012"/>
    <cellStyle name="常规 4 3 10 3 3" xfId="20351"/>
    <cellStyle name="常规 4 3 10 3 3 2" xfId="20353"/>
    <cellStyle name="常规 4 3 10 3 3 2 2" xfId="20355"/>
    <cellStyle name="常规 4 3 10 3 3 2 2 2" xfId="20357"/>
    <cellStyle name="常规 4 3 10 3 3 2 2 2 2" xfId="20358"/>
    <cellStyle name="常规 4 3 10 3 3 2 2 2 2 2" xfId="17074"/>
    <cellStyle name="常规 4 3 10 3 3 2 2 2 3" xfId="20359"/>
    <cellStyle name="常规 4 3 10 3 3 2 2 2 4" xfId="20360"/>
    <cellStyle name="常规 4 3 10 3 3 2 2 3" xfId="20361"/>
    <cellStyle name="常规 4 3 10 3 3 2 2 3 2" xfId="20366"/>
    <cellStyle name="常规 4 3 10 3 3 2 2 4" xfId="20367"/>
    <cellStyle name="常规 4 3 10 3 3 2 2 5" xfId="18606"/>
    <cellStyle name="常规 4 3 10 3 3 2 3" xfId="20371"/>
    <cellStyle name="常规 4 3 10 3 3 2 3 2" xfId="20373"/>
    <cellStyle name="常规 4 3 10 3 3 2 3 2 2" xfId="20374"/>
    <cellStyle name="常规 4 3 10 3 3 2 3 3" xfId="20376"/>
    <cellStyle name="常规 4 3 10 3 3 2 3 4" xfId="20377"/>
    <cellStyle name="常规 4 3 10 3 3 2 4" xfId="20378"/>
    <cellStyle name="常规 4 3 10 3 3 2 4 2" xfId="20379"/>
    <cellStyle name="常规 4 3 10 3 3 2 5" xfId="20380"/>
    <cellStyle name="常规 4 3 10 3 3 2 6" xfId="20381"/>
    <cellStyle name="常规 4 3 10 3 3 3" xfId="20382"/>
    <cellStyle name="常规 4 3 10 3 3 3 2" xfId="20384"/>
    <cellStyle name="常规 4 3 10 3 3 3 2 2" xfId="20386"/>
    <cellStyle name="常规 4 3 10 3 3 3 2 2 2" xfId="20387"/>
    <cellStyle name="常规 4 3 10 3 3 3 2 3" xfId="20389"/>
    <cellStyle name="常规 4 3 10 3 3 3 2 4" xfId="20390"/>
    <cellStyle name="常规 4 3 10 3 3 3 3" xfId="20391"/>
    <cellStyle name="常规 4 3 10 3 3 3 3 2" xfId="20392"/>
    <cellStyle name="常规 4 3 10 3 3 3 4" xfId="20393"/>
    <cellStyle name="常规 4 3 10 3 3 3 5" xfId="20394"/>
    <cellStyle name="常规 4 3 10 3 3 4" xfId="20395"/>
    <cellStyle name="常规 4 3 10 3 3 4 2" xfId="20396"/>
    <cellStyle name="常规 4 3 10 3 3 4 2 2" xfId="20397"/>
    <cellStyle name="常规 4 3 10 3 3 4 3" xfId="20398"/>
    <cellStyle name="常规 4 3 10 3 3 4 4" xfId="20399"/>
    <cellStyle name="常规 4 3 10 3 3 5" xfId="5831"/>
    <cellStyle name="常规 4 3 10 3 3 5 2" xfId="20400"/>
    <cellStyle name="常规 4 3 10 3 3 6" xfId="20401"/>
    <cellStyle name="常规 4 3 10 3 3 7" xfId="10020"/>
    <cellStyle name="常规 4 3 10 3 4" xfId="20402"/>
    <cellStyle name="常规 4 3 10 3 4 2" xfId="20403"/>
    <cellStyle name="常规 4 3 10 3 4 2 2" xfId="20405"/>
    <cellStyle name="常规 4 3 10 3 4 2 2 2" xfId="20407"/>
    <cellStyle name="常规 4 3 10 3 4 2 2 2 2" xfId="20408"/>
    <cellStyle name="常规 4 3 10 3 4 2 2 3" xfId="20410"/>
    <cellStyle name="常规 4 3 10 3 4 2 2 4" xfId="20412"/>
    <cellStyle name="常规 4 3 10 3 4 2 3" xfId="20414"/>
    <cellStyle name="常规 4 3 10 3 4 2 3 2" xfId="20415"/>
    <cellStyle name="常规 4 3 10 3 4 2 4" xfId="20416"/>
    <cellStyle name="常规 4 3 10 3 4 2 5" xfId="20417"/>
    <cellStyle name="常规 4 3 10 3 4 3" xfId="20418"/>
    <cellStyle name="常规 4 3 10 3 4 3 2" xfId="20419"/>
    <cellStyle name="常规 4 3 10 3 4 3 2 2" xfId="20420"/>
    <cellStyle name="常规 4 3 10 3 4 3 3" xfId="20421"/>
    <cellStyle name="常规 4 3 10 3 4 3 4" xfId="20423"/>
    <cellStyle name="常规 4 3 10 3 4 4" xfId="20425"/>
    <cellStyle name="常规 4 3 10 3 4 4 2" xfId="20427"/>
    <cellStyle name="常规 4 3 10 3 4 5" xfId="20428"/>
    <cellStyle name="常规 4 3 10 3 4 6" xfId="20431"/>
    <cellStyle name="常规 4 3 10 3 5" xfId="18203"/>
    <cellStyle name="常规 4 3 10 3 5 2" xfId="20433"/>
    <cellStyle name="常规 4 3 10 3 5 2 2" xfId="20435"/>
    <cellStyle name="常规 4 3 10 3 5 2 2 2" xfId="20437"/>
    <cellStyle name="常规 4 3 10 3 5 2 3" xfId="20438"/>
    <cellStyle name="常规 4 3 10 3 5 2 4" xfId="20440"/>
    <cellStyle name="常规 4 3 10 3 5 3" xfId="20442"/>
    <cellStyle name="常规 4 3 10 3 5 3 2" xfId="20443"/>
    <cellStyle name="常规 4 3 10 3 5 4" xfId="20445"/>
    <cellStyle name="常规 4 3 10 3 5 5" xfId="20446"/>
    <cellStyle name="常规 4 3 10 3 6" xfId="20449"/>
    <cellStyle name="常规 4 3 10 3 6 2" xfId="20452"/>
    <cellStyle name="常规 4 3 10 3 6 2 2" xfId="20454"/>
    <cellStyle name="常规 4 3 10 3 6 3" xfId="20456"/>
    <cellStyle name="常规 4 3 10 3 6 4" xfId="20459"/>
    <cellStyle name="常规 4 3 10 3 7" xfId="20462"/>
    <cellStyle name="常规 4 3 10 3 7 2" xfId="20464"/>
    <cellStyle name="常规 4 3 10 3 8" xfId="20467"/>
    <cellStyle name="常规 4 3 10 3 9" xfId="20469"/>
    <cellStyle name="常规 4 3 10 4" xfId="7612"/>
    <cellStyle name="常规 4 3 10 4 2" xfId="20470"/>
    <cellStyle name="常规 4 3 10 4 2 2" xfId="892"/>
    <cellStyle name="常规 4 3 10 4 2 2 2" xfId="20471"/>
    <cellStyle name="常规 4 3 10 4 2 2 2 2" xfId="20474"/>
    <cellStyle name="常规 4 3 10 4 2 2 2 2 2" xfId="20475"/>
    <cellStyle name="常规 4 3 10 4 2 2 2 2 2 2" xfId="20476"/>
    <cellStyle name="常规 4 3 10 4 2 2 2 2 3" xfId="20479"/>
    <cellStyle name="常规 4 3 10 4 2 2 2 2 4" xfId="14035"/>
    <cellStyle name="常规 4 3 10 4 2 2 2 3" xfId="20480"/>
    <cellStyle name="常规 4 3 10 4 2 2 2 3 2" xfId="20481"/>
    <cellStyle name="常规 4 3 10 4 2 2 2 4" xfId="20482"/>
    <cellStyle name="常规 4 3 10 4 2 2 2 5" xfId="19791"/>
    <cellStyle name="常规 4 3 10 4 2 2 3" xfId="20483"/>
    <cellStyle name="常规 4 3 10 4 2 2 3 2" xfId="20484"/>
    <cellStyle name="常规 4 3 10 4 2 2 3 2 2" xfId="20485"/>
    <cellStyle name="常规 4 3 10 4 2 2 3 3" xfId="20486"/>
    <cellStyle name="常规 4 3 10 4 2 2 3 4" xfId="20487"/>
    <cellStyle name="常规 4 3 10 4 2 2 4" xfId="20488"/>
    <cellStyle name="常规 4 3 10 4 2 2 4 2" xfId="20489"/>
    <cellStyle name="常规 4 3 10 4 2 2 5" xfId="20490"/>
    <cellStyle name="常规 4 3 10 4 2 2 6" xfId="20491"/>
    <cellStyle name="常规 4 3 10 4 2 3" xfId="900"/>
    <cellStyle name="常规 4 3 10 4 2 3 2" xfId="20492"/>
    <cellStyle name="常规 4 3 10 4 2 3 2 2" xfId="20493"/>
    <cellStyle name="常规 4 3 10 4 2 3 2 2 2" xfId="20494"/>
    <cellStyle name="常规 4 3 10 4 2 3 2 3" xfId="20495"/>
    <cellStyle name="常规 4 3 10 4 2 3 2 4" xfId="20496"/>
    <cellStyle name="常规 4 3 10 4 2 3 3" xfId="20497"/>
    <cellStyle name="常规 4 3 10 4 2 3 3 2" xfId="20498"/>
    <cellStyle name="常规 4 3 10 4 2 3 4" xfId="20500"/>
    <cellStyle name="常规 4 3 10 4 2 3 5" xfId="20501"/>
    <cellStyle name="常规 4 3 10 4 2 4" xfId="932"/>
    <cellStyle name="常规 4 3 10 4 2 4 2" xfId="20502"/>
    <cellStyle name="常规 4 3 10 4 2 4 2 2" xfId="20503"/>
    <cellStyle name="常规 4 3 10 4 2 4 3" xfId="20504"/>
    <cellStyle name="常规 4 3 10 4 2 4 4" xfId="20506"/>
    <cellStyle name="常规 4 3 10 4 2 5" xfId="468"/>
    <cellStyle name="常规 4 3 10 4 2 5 2" xfId="20507"/>
    <cellStyle name="常规 4 3 10 4 2 6" xfId="474"/>
    <cellStyle name="常规 4 3 10 4 2 7" xfId="484"/>
    <cellStyle name="常规 4 3 10 4 3" xfId="20508"/>
    <cellStyle name="常规 4 3 10 4 3 2" xfId="20509"/>
    <cellStyle name="常规 4 3 10 4 3 2 2" xfId="20511"/>
    <cellStyle name="常规 4 3 10 4 3 2 2 2" xfId="20512"/>
    <cellStyle name="常规 4 3 10 4 3 2 2 2 2" xfId="20513"/>
    <cellStyle name="常规 4 3 10 4 3 2 2 3" xfId="20515"/>
    <cellStyle name="常规 4 3 10 4 3 2 2 4" xfId="20516"/>
    <cellStyle name="常规 4 3 10 4 3 2 3" xfId="5533"/>
    <cellStyle name="常规 4 3 10 4 3 2 3 2" xfId="5535"/>
    <cellStyle name="常规 4 3 10 4 3 2 4" xfId="2030"/>
    <cellStyle name="常规 4 3 10 4 3 2 5" xfId="5084"/>
    <cellStyle name="常规 4 3 10 4 3 3" xfId="20517"/>
    <cellStyle name="常规 4 3 10 4 3 3 2" xfId="20518"/>
    <cellStyle name="常规 4 3 10 4 3 3 2 2" xfId="20519"/>
    <cellStyle name="常规 4 3 10 4 3 3 3" xfId="5537"/>
    <cellStyle name="常规 4 3 10 4 3 3 4" xfId="20520"/>
    <cellStyle name="常规 4 3 10 4 3 4" xfId="20521"/>
    <cellStyle name="常规 4 3 10 4 3 4 2" xfId="20522"/>
    <cellStyle name="常规 4 3 10 4 3 5" xfId="20523"/>
    <cellStyle name="常规 4 3 10 4 3 6" xfId="20524"/>
    <cellStyle name="常规 4 3 10 4 4" xfId="20525"/>
    <cellStyle name="常规 4 3 10 4 4 2" xfId="20526"/>
    <cellStyle name="常规 4 3 10 4 4 2 2" xfId="20528"/>
    <cellStyle name="常规 4 3 10 4 4 2 2 2" xfId="20531"/>
    <cellStyle name="常规 4 3 10 4 4 2 3" xfId="5544"/>
    <cellStyle name="常规 4 3 10 4 4 2 4" xfId="20533"/>
    <cellStyle name="常规 4 3 10 4 4 3" xfId="20534"/>
    <cellStyle name="常规 4 3 10 4 4 3 2" xfId="20536"/>
    <cellStyle name="常规 4 3 10 4 4 4" xfId="20537"/>
    <cellStyle name="常规 4 3 10 4 4 5" xfId="20538"/>
    <cellStyle name="常规 4 3 10 4 5" xfId="20540"/>
    <cellStyle name="常规 4 3 10 4 5 2" xfId="20542"/>
    <cellStyle name="常规 4 3 10 4 5 2 2" xfId="20544"/>
    <cellStyle name="常规 4 3 10 4 5 3" xfId="20545"/>
    <cellStyle name="常规 4 3 10 4 5 4" xfId="20546"/>
    <cellStyle name="常规 4 3 10 4 6" xfId="20549"/>
    <cellStyle name="常规 4 3 10 4 6 2" xfId="20552"/>
    <cellStyle name="常规 4 3 10 4 7" xfId="20555"/>
    <cellStyle name="常规 4 3 10 4 8" xfId="5802"/>
    <cellStyle name="常规 4 3 10 5" xfId="20556"/>
    <cellStyle name="常规 4 3 10 5 2" xfId="20557"/>
    <cellStyle name="常规 4 3 10 5 2 2" xfId="20558"/>
    <cellStyle name="常规 4 3 10 5 2 2 2" xfId="20559"/>
    <cellStyle name="常规 4 3 10 5 2 2 2 2" xfId="6551"/>
    <cellStyle name="常规 4 3 10 5 2 2 2 2 2" xfId="2051"/>
    <cellStyle name="常规 4 3 10 5 2 2 2 3" xfId="6554"/>
    <cellStyle name="常规 4 3 10 5 2 2 2 4" xfId="828"/>
    <cellStyle name="常规 4 3 10 5 2 2 3" xfId="20560"/>
    <cellStyle name="常规 4 3 10 5 2 2 3 2" xfId="6648"/>
    <cellStyle name="常规 4 3 10 5 2 2 4" xfId="20561"/>
    <cellStyle name="常规 4 3 10 5 2 2 5" xfId="12670"/>
    <cellStyle name="常规 4 3 10 5 2 3" xfId="20563"/>
    <cellStyle name="常规 4 3 10 5 2 3 2" xfId="20567"/>
    <cellStyle name="常规 4 3 10 5 2 3 2 2" xfId="6911"/>
    <cellStyle name="常规 4 3 10 5 2 3 3" xfId="20568"/>
    <cellStyle name="常规 4 3 10 5 2 3 4" xfId="20569"/>
    <cellStyle name="常规 4 3 10 5 2 4" xfId="20571"/>
    <cellStyle name="常规 4 3 10 5 2 4 2" xfId="20572"/>
    <cellStyle name="常规 4 3 10 5 2 5" xfId="20574"/>
    <cellStyle name="常规 4 3 10 5 2 6" xfId="20575"/>
    <cellStyle name="常规 4 3 10 5 3" xfId="20576"/>
    <cellStyle name="常规 4 3 10 5 3 2" xfId="20577"/>
    <cellStyle name="常规 4 3 10 5 3 2 2" xfId="20579"/>
    <cellStyle name="常规 4 3 10 5 3 2 2 2" xfId="7698"/>
    <cellStyle name="常规 4 3 10 5 3 2 3" xfId="5564"/>
    <cellStyle name="常规 4 3 10 5 3 2 4" xfId="20580"/>
    <cellStyle name="常规 4 3 10 5 3 3" xfId="20584"/>
    <cellStyle name="常规 4 3 10 5 3 3 2" xfId="20585"/>
    <cellStyle name="常规 4 3 10 5 3 4" xfId="20587"/>
    <cellStyle name="常规 4 3 10 5 3 5" xfId="20588"/>
    <cellStyle name="常规 4 3 10 5 4" xfId="20589"/>
    <cellStyle name="常规 4 3 10 5 4 2" xfId="20590"/>
    <cellStyle name="常规 4 3 10 5 4 2 2" xfId="20592"/>
    <cellStyle name="常规 4 3 10 5 4 3" xfId="20593"/>
    <cellStyle name="常规 4 3 10 5 4 4" xfId="20594"/>
    <cellStyle name="常规 4 3 10 5 5" xfId="20596"/>
    <cellStyle name="常规 4 3 10 5 5 2" xfId="12009"/>
    <cellStyle name="常规 4 3 10 5 6" xfId="20599"/>
    <cellStyle name="常规 4 3 10 5 7" xfId="20601"/>
    <cellStyle name="常规 4 3 10 6" xfId="20602"/>
    <cellStyle name="常规 4 3 10 6 2" xfId="20603"/>
    <cellStyle name="常规 4 3 10 6 2 2" xfId="20604"/>
    <cellStyle name="常规 4 3 10 6 2 2 2" xfId="20606"/>
    <cellStyle name="常规 4 3 10 6 2 2 2 2" xfId="20610"/>
    <cellStyle name="常规 4 3 10 6 2 2 3" xfId="20611"/>
    <cellStyle name="常规 4 3 10 6 2 2 4" xfId="20612"/>
    <cellStyle name="常规 4 3 10 6 2 3" xfId="20614"/>
    <cellStyle name="常规 4 3 10 6 2 3 2" xfId="20618"/>
    <cellStyle name="常规 4 3 10 6 2 4" xfId="20619"/>
    <cellStyle name="常规 4 3 10 6 2 5" xfId="20620"/>
    <cellStyle name="常规 4 3 10 6 3" xfId="20621"/>
    <cellStyle name="常规 4 3 10 6 3 2" xfId="20622"/>
    <cellStyle name="常规 4 3 10 6 3 2 2" xfId="20624"/>
    <cellStyle name="常规 4 3 10 6 3 3" xfId="20625"/>
    <cellStyle name="常规 4 3 10 6 3 4" xfId="20626"/>
    <cellStyle name="常规 4 3 10 6 4" xfId="20627"/>
    <cellStyle name="常规 4 3 10 6 4 2" xfId="20628"/>
    <cellStyle name="常规 4 3 10 6 5" xfId="20629"/>
    <cellStyle name="常规 4 3 10 6 6" xfId="20631"/>
    <cellStyle name="常规 4 3 10 7" xfId="20632"/>
    <cellStyle name="常规 4 3 10 7 2" xfId="20633"/>
    <cellStyle name="常规 4 3 10 7 2 2" xfId="20634"/>
    <cellStyle name="常规 4 3 10 7 2 2 2" xfId="9662"/>
    <cellStyle name="常规 4 3 10 7 2 3" xfId="20635"/>
    <cellStyle name="常规 4 3 10 7 2 4" xfId="20636"/>
    <cellStyle name="常规 4 3 10 7 3" xfId="20637"/>
    <cellStyle name="常规 4 3 10 7 3 2" xfId="20638"/>
    <cellStyle name="常规 4 3 10 7 4" xfId="10802"/>
    <cellStyle name="常规 4 3 10 7 5" xfId="10805"/>
    <cellStyle name="常规 4 3 10 8" xfId="20639"/>
    <cellStyle name="常规 4 3 10 8 2" xfId="20640"/>
    <cellStyle name="常规 4 3 10 8 2 2" xfId="20641"/>
    <cellStyle name="常规 4 3 10 8 3" xfId="20642"/>
    <cellStyle name="常规 4 3 10 8 4" xfId="10812"/>
    <cellStyle name="常规 4 3 10 9" xfId="20644"/>
    <cellStyle name="常规 4 3 10 9 2" xfId="20645"/>
    <cellStyle name="常规 4 3 11" xfId="2176"/>
    <cellStyle name="常规 4 3 11 10" xfId="20649"/>
    <cellStyle name="常规 4 3 11 2" xfId="10639"/>
    <cellStyle name="常规 4 3 11 2 2" xfId="20650"/>
    <cellStyle name="常规 4 3 11 2 2 2" xfId="20651"/>
    <cellStyle name="常规 4 3 11 2 2 2 2" xfId="20652"/>
    <cellStyle name="常规 4 3 11 2 2 2 2 2" xfId="4652"/>
    <cellStyle name="常规 4 3 11 2 2 2 2 2 2" xfId="4654"/>
    <cellStyle name="常规 4 3 11 2 2 2 2 2 2 2" xfId="20653"/>
    <cellStyle name="常规 4 3 11 2 2 2 2 2 2 2 2" xfId="19919"/>
    <cellStyle name="常规 4 3 11 2 2 2 2 2 2 3" xfId="18043"/>
    <cellStyle name="常规 4 3 11 2 2 2 2 2 2 4" xfId="20654"/>
    <cellStyle name="常规 4 3 11 2 2 2 2 2 3" xfId="20655"/>
    <cellStyle name="常规 4 3 11 2 2 2 2 2 3 2" xfId="20656"/>
    <cellStyle name="常规 4 3 11 2 2 2 2 2 4" xfId="20657"/>
    <cellStyle name="常规 4 3 11 2 2 2 2 2 5" xfId="20658"/>
    <cellStyle name="常规 4 3 11 2 2 2 2 3" xfId="4656"/>
    <cellStyle name="常规 4 3 11 2 2 2 2 3 2" xfId="20659"/>
    <cellStyle name="常规 4 3 11 2 2 2 2 3 2 2" xfId="20660"/>
    <cellStyle name="常规 4 3 11 2 2 2 2 3 3" xfId="20661"/>
    <cellStyle name="常规 4 3 11 2 2 2 2 3 4" xfId="20662"/>
    <cellStyle name="常规 4 3 11 2 2 2 2 4" xfId="4658"/>
    <cellStyle name="常规 4 3 11 2 2 2 2 4 2" xfId="20663"/>
    <cellStyle name="常规 4 3 11 2 2 2 2 5" xfId="20664"/>
    <cellStyle name="常规 4 3 11 2 2 2 2 6" xfId="20665"/>
    <cellStyle name="常规 4 3 11 2 2 2 3" xfId="20666"/>
    <cellStyle name="常规 4 3 11 2 2 2 3 2" xfId="4679"/>
    <cellStyle name="常规 4 3 11 2 2 2 3 2 2" xfId="13336"/>
    <cellStyle name="常规 4 3 11 2 2 2 3 2 2 2" xfId="20669"/>
    <cellStyle name="常规 4 3 11 2 2 2 3 2 3" xfId="20670"/>
    <cellStyle name="常规 4 3 11 2 2 2 3 2 4" xfId="20671"/>
    <cellStyle name="常规 4 3 11 2 2 2 3 3" xfId="4683"/>
    <cellStyle name="常规 4 3 11 2 2 2 3 3 2" xfId="20672"/>
    <cellStyle name="常规 4 3 11 2 2 2 3 4" xfId="13339"/>
    <cellStyle name="常规 4 3 11 2 2 2 3 5" xfId="20673"/>
    <cellStyle name="常规 4 3 11 2 2 2 4" xfId="20674"/>
    <cellStyle name="常规 4 3 11 2 2 2 4 2" xfId="13343"/>
    <cellStyle name="常规 4 3 11 2 2 2 4 2 2" xfId="20675"/>
    <cellStyle name="常规 4 3 11 2 2 2 4 3" xfId="13345"/>
    <cellStyle name="常规 4 3 11 2 2 2 4 4" xfId="20676"/>
    <cellStyle name="常规 4 3 11 2 2 2 5" xfId="20677"/>
    <cellStyle name="常规 4 3 11 2 2 2 5 2" xfId="20678"/>
    <cellStyle name="常规 4 3 11 2 2 2 6" xfId="20679"/>
    <cellStyle name="常规 4 3 11 2 2 2 7" xfId="20680"/>
    <cellStyle name="常规 4 3 11 2 2 3" xfId="20681"/>
    <cellStyle name="常规 4 3 11 2 2 3 2" xfId="20682"/>
    <cellStyle name="常规 4 3 11 2 2 3 2 2" xfId="4733"/>
    <cellStyle name="常规 4 3 11 2 2 3 2 2 2" xfId="20683"/>
    <cellStyle name="常规 4 3 11 2 2 3 2 2 2 2" xfId="20684"/>
    <cellStyle name="常规 4 3 11 2 2 3 2 2 3" xfId="9483"/>
    <cellStyle name="常规 4 3 11 2 2 3 2 2 4" xfId="20685"/>
    <cellStyle name="常规 4 3 11 2 2 3 2 3" xfId="4735"/>
    <cellStyle name="常规 4 3 11 2 2 3 2 3 2" xfId="20686"/>
    <cellStyle name="常规 4 3 11 2 2 3 2 4" xfId="20687"/>
    <cellStyle name="常规 4 3 11 2 2 3 2 5" xfId="20688"/>
    <cellStyle name="常规 4 3 11 2 2 3 3" xfId="20689"/>
    <cellStyle name="常规 4 3 11 2 2 3 3 2" xfId="13351"/>
    <cellStyle name="常规 4 3 11 2 2 3 3 2 2" xfId="20690"/>
    <cellStyle name="常规 4 3 11 2 2 3 3 3" xfId="13353"/>
    <cellStyle name="常规 4 3 11 2 2 3 3 4" xfId="20691"/>
    <cellStyle name="常规 4 3 11 2 2 3 4" xfId="20692"/>
    <cellStyle name="常规 4 3 11 2 2 3 4 2" xfId="20694"/>
    <cellStyle name="常规 4 3 11 2 2 3 5" xfId="20695"/>
    <cellStyle name="常规 4 3 11 2 2 3 6" xfId="5979"/>
    <cellStyle name="常规 4 3 11 2 2 4" xfId="20696"/>
    <cellStyle name="常规 4 3 11 2 2 4 2" xfId="20697"/>
    <cellStyle name="常规 4 3 11 2 2 4 2 2" xfId="20698"/>
    <cellStyle name="常规 4 3 11 2 2 4 2 2 2" xfId="20699"/>
    <cellStyle name="常规 4 3 11 2 2 4 2 3" xfId="20700"/>
    <cellStyle name="常规 4 3 11 2 2 4 2 4" xfId="20701"/>
    <cellStyle name="常规 4 3 11 2 2 4 3" xfId="20702"/>
    <cellStyle name="常规 4 3 11 2 2 4 3 2" xfId="20704"/>
    <cellStyle name="常规 4 3 11 2 2 4 4" xfId="20705"/>
    <cellStyle name="常规 4 3 11 2 2 4 5" xfId="20706"/>
    <cellStyle name="常规 4 3 11 2 2 5" xfId="20707"/>
    <cellStyle name="常规 4 3 11 2 2 5 2" xfId="20710"/>
    <cellStyle name="常规 4 3 11 2 2 5 2 2" xfId="20711"/>
    <cellStyle name="常规 4 3 11 2 2 5 3" xfId="20716"/>
    <cellStyle name="常规 4 3 11 2 2 5 4" xfId="20718"/>
    <cellStyle name="常规 4 3 11 2 2 6" xfId="20719"/>
    <cellStyle name="常规 4 3 11 2 2 6 2" xfId="20720"/>
    <cellStyle name="常规 4 3 11 2 2 7" xfId="20721"/>
    <cellStyle name="常规 4 3 11 2 2 8" xfId="20722"/>
    <cellStyle name="常规 4 3 11 2 3" xfId="20723"/>
    <cellStyle name="常规 4 3 11 2 3 2" xfId="20724"/>
    <cellStyle name="常规 4 3 11 2 3 2 2" xfId="20726"/>
    <cellStyle name="常规 4 3 11 2 3 2 2 2" xfId="4838"/>
    <cellStyle name="常规 4 3 11 2 3 2 2 2 2" xfId="20727"/>
    <cellStyle name="常规 4 3 11 2 3 2 2 2 2 2" xfId="20728"/>
    <cellStyle name="常规 4 3 11 2 3 2 2 2 3" xfId="20729"/>
    <cellStyle name="常规 4 3 11 2 3 2 2 2 4" xfId="20730"/>
    <cellStyle name="常规 4 3 11 2 3 2 2 3" xfId="4840"/>
    <cellStyle name="常规 4 3 11 2 3 2 2 3 2" xfId="20731"/>
    <cellStyle name="常规 4 3 11 2 3 2 2 4" xfId="20732"/>
    <cellStyle name="常规 4 3 11 2 3 2 2 5" xfId="20735"/>
    <cellStyle name="常规 4 3 11 2 3 2 3" xfId="20737"/>
    <cellStyle name="常规 4 3 11 2 3 2 3 2" xfId="13373"/>
    <cellStyle name="常规 4 3 11 2 3 2 3 2 2" xfId="20738"/>
    <cellStyle name="常规 4 3 11 2 3 2 3 3" xfId="13375"/>
    <cellStyle name="常规 4 3 11 2 3 2 3 4" xfId="20739"/>
    <cellStyle name="常规 4 3 11 2 3 2 4" xfId="20741"/>
    <cellStyle name="常规 4 3 11 2 3 2 4 2" xfId="20742"/>
    <cellStyle name="常规 4 3 11 2 3 2 5" xfId="20743"/>
    <cellStyle name="常规 4 3 11 2 3 2 6" xfId="20744"/>
    <cellStyle name="常规 4 3 11 2 3 3" xfId="20745"/>
    <cellStyle name="常规 4 3 11 2 3 3 2" xfId="20747"/>
    <cellStyle name="常规 4 3 11 2 3 3 2 2" xfId="2978"/>
    <cellStyle name="常规 4 3 11 2 3 3 2 2 2" xfId="15700"/>
    <cellStyle name="常规 4 3 11 2 3 3 2 3" xfId="2981"/>
    <cellStyle name="常规 4 3 11 2 3 3 2 4" xfId="15707"/>
    <cellStyle name="常规 4 3 11 2 3 3 3" xfId="20749"/>
    <cellStyle name="常规 4 3 11 2 3 3 3 2" xfId="3004"/>
    <cellStyle name="常规 4 3 11 2 3 3 4" xfId="20750"/>
    <cellStyle name="常规 4 3 11 2 3 3 5" xfId="20751"/>
    <cellStyle name="常规 4 3 11 2 3 4" xfId="20752"/>
    <cellStyle name="常规 4 3 11 2 3 4 2" xfId="20754"/>
    <cellStyle name="常规 4 3 11 2 3 4 2 2" xfId="2873"/>
    <cellStyle name="常规 4 3 11 2 3 4 3" xfId="20755"/>
    <cellStyle name="常规 4 3 11 2 3 4 4" xfId="20756"/>
    <cellStyle name="常规 4 3 11 2 3 5" xfId="20757"/>
    <cellStyle name="常规 4 3 11 2 3 5 2" xfId="20758"/>
    <cellStyle name="常规 4 3 11 2 3 6" xfId="20759"/>
    <cellStyle name="常规 4 3 11 2 3 7" xfId="20760"/>
    <cellStyle name="常规 4 3 11 2 4" xfId="1929"/>
    <cellStyle name="常规 4 3 11 2 4 2" xfId="20761"/>
    <cellStyle name="常规 4 3 11 2 4 2 2" xfId="20764"/>
    <cellStyle name="常规 4 3 11 2 4 2 2 2" xfId="20766"/>
    <cellStyle name="常规 4 3 11 2 4 2 2 2 2" xfId="20768"/>
    <cellStyle name="常规 4 3 11 2 4 2 2 3" xfId="20770"/>
    <cellStyle name="常规 4 3 11 2 4 2 2 4" xfId="20772"/>
    <cellStyle name="常规 4 3 11 2 4 2 3" xfId="20775"/>
    <cellStyle name="常规 4 3 11 2 4 2 3 2" xfId="20776"/>
    <cellStyle name="常规 4 3 11 2 4 2 4" xfId="20777"/>
    <cellStyle name="常规 4 3 11 2 4 2 5" xfId="20778"/>
    <cellStyle name="常规 4 3 11 2 4 3" xfId="20779"/>
    <cellStyle name="常规 4 3 11 2 4 3 2" xfId="20783"/>
    <cellStyle name="常规 4 3 11 2 4 3 2 2" xfId="17552"/>
    <cellStyle name="常规 4 3 11 2 4 3 3" xfId="20784"/>
    <cellStyle name="常规 4 3 11 2 4 3 4" xfId="20785"/>
    <cellStyle name="常规 4 3 11 2 4 4" xfId="20788"/>
    <cellStyle name="常规 4 3 11 2 4 4 2" xfId="20791"/>
    <cellStyle name="常规 4 3 11 2 4 5" xfId="20792"/>
    <cellStyle name="常规 4 3 11 2 4 6" xfId="20794"/>
    <cellStyle name="常规 4 3 11 2 5" xfId="1933"/>
    <cellStyle name="常规 4 3 11 2 5 2" xfId="8906"/>
    <cellStyle name="常规 4 3 11 2 5 2 2" xfId="20233"/>
    <cellStyle name="常规 4 3 11 2 5 2 2 2" xfId="20796"/>
    <cellStyle name="常规 4 3 11 2 5 2 3" xfId="20797"/>
    <cellStyle name="常规 4 3 11 2 5 2 4" xfId="20798"/>
    <cellStyle name="常规 4 3 11 2 5 3" xfId="20800"/>
    <cellStyle name="常规 4 3 11 2 5 3 2" xfId="20801"/>
    <cellStyle name="常规 4 3 11 2 5 4" xfId="20803"/>
    <cellStyle name="常规 4 3 11 2 5 5" xfId="20804"/>
    <cellStyle name="常规 4 3 11 2 6" xfId="8910"/>
    <cellStyle name="常规 4 3 11 2 6 2" xfId="20807"/>
    <cellStyle name="常规 4 3 11 2 6 2 2" xfId="20430"/>
    <cellStyle name="常规 4 3 11 2 6 3" xfId="20809"/>
    <cellStyle name="常规 4 3 11 2 6 4" xfId="20811"/>
    <cellStyle name="常规 4 3 11 2 7" xfId="8914"/>
    <cellStyle name="常规 4 3 11 2 7 2" xfId="20813"/>
    <cellStyle name="常规 4 3 11 2 8" xfId="20816"/>
    <cellStyle name="常规 4 3 11 2 9" xfId="20819"/>
    <cellStyle name="常规 4 3 11 3" xfId="2235"/>
    <cellStyle name="常规 4 3 11 3 2" xfId="20820"/>
    <cellStyle name="常规 4 3 11 3 2 2" xfId="20821"/>
    <cellStyle name="常规 4 3 11 3 2 2 2" xfId="20822"/>
    <cellStyle name="常规 4 3 11 3 2 2 2 2" xfId="1023"/>
    <cellStyle name="常规 4 3 11 3 2 2 2 2 2" xfId="20823"/>
    <cellStyle name="常规 4 3 11 3 2 2 2 2 2 2" xfId="20825"/>
    <cellStyle name="常规 4 3 11 3 2 2 2 2 3" xfId="20826"/>
    <cellStyle name="常规 4 3 11 3 2 2 2 2 4" xfId="20827"/>
    <cellStyle name="常规 4 3 11 3 2 2 2 3" xfId="3274"/>
    <cellStyle name="常规 4 3 11 3 2 2 2 3 2" xfId="20828"/>
    <cellStyle name="常规 4 3 11 3 2 2 2 4" xfId="20830"/>
    <cellStyle name="常规 4 3 11 3 2 2 2 5" xfId="20831"/>
    <cellStyle name="常规 4 3 11 3 2 2 3" xfId="20832"/>
    <cellStyle name="常规 4 3 11 3 2 2 3 2" xfId="13452"/>
    <cellStyle name="常规 4 3 11 3 2 2 3 2 2" xfId="20833"/>
    <cellStyle name="常规 4 3 11 3 2 2 3 3" xfId="13454"/>
    <cellStyle name="常规 4 3 11 3 2 2 3 4" xfId="20834"/>
    <cellStyle name="常规 4 3 11 3 2 2 4" xfId="20835"/>
    <cellStyle name="常规 4 3 11 3 2 2 4 2" xfId="20836"/>
    <cellStyle name="常规 4 3 11 3 2 2 5" xfId="20837"/>
    <cellStyle name="常规 4 3 11 3 2 2 6" xfId="20838"/>
    <cellStyle name="常规 4 3 11 3 2 3" xfId="20840"/>
    <cellStyle name="常规 4 3 11 3 2 3 2" xfId="20841"/>
    <cellStyle name="常规 4 3 11 3 2 3 2 2" xfId="20842"/>
    <cellStyle name="常规 4 3 11 3 2 3 2 2 2" xfId="20843"/>
    <cellStyle name="常规 4 3 11 3 2 3 2 3" xfId="20844"/>
    <cellStyle name="常规 4 3 11 3 2 3 2 4" xfId="20845"/>
    <cellStyle name="常规 4 3 11 3 2 3 3" xfId="20846"/>
    <cellStyle name="常规 4 3 11 3 2 3 3 2" xfId="20847"/>
    <cellStyle name="常规 4 3 11 3 2 3 4" xfId="20848"/>
    <cellStyle name="常规 4 3 11 3 2 3 5" xfId="20849"/>
    <cellStyle name="常规 4 3 11 3 2 4" xfId="20850"/>
    <cellStyle name="常规 4 3 11 3 2 4 2" xfId="20851"/>
    <cellStyle name="常规 4 3 11 3 2 4 2 2" xfId="20852"/>
    <cellStyle name="常规 4 3 11 3 2 4 3" xfId="20853"/>
    <cellStyle name="常规 4 3 11 3 2 4 4" xfId="3068"/>
    <cellStyle name="常规 4 3 11 3 2 5" xfId="20854"/>
    <cellStyle name="常规 4 3 11 3 2 5 2" xfId="20855"/>
    <cellStyle name="常规 4 3 11 3 2 6" xfId="20856"/>
    <cellStyle name="常规 4 3 11 3 2 7" xfId="10096"/>
    <cellStyle name="常规 4 3 11 3 3" xfId="20857"/>
    <cellStyle name="常规 4 3 11 3 3 2" xfId="20858"/>
    <cellStyle name="常规 4 3 11 3 3 2 2" xfId="20860"/>
    <cellStyle name="常规 4 3 11 3 3 2 2 2" xfId="20861"/>
    <cellStyle name="常规 4 3 11 3 3 2 2 2 2" xfId="20862"/>
    <cellStyle name="常规 4 3 11 3 3 2 2 3" xfId="20864"/>
    <cellStyle name="常规 4 3 11 3 3 2 2 4" xfId="20865"/>
    <cellStyle name="常规 4 3 11 3 3 2 3" xfId="20867"/>
    <cellStyle name="常规 4 3 11 3 3 2 3 2" xfId="20868"/>
    <cellStyle name="常规 4 3 11 3 3 2 4" xfId="20869"/>
    <cellStyle name="常规 4 3 11 3 3 2 5" xfId="20870"/>
    <cellStyle name="常规 4 3 11 3 3 3" xfId="20871"/>
    <cellStyle name="常规 4 3 11 3 3 3 2" xfId="20873"/>
    <cellStyle name="常规 4 3 11 3 3 3 2 2" xfId="20874"/>
    <cellStyle name="常规 4 3 11 3 3 3 3" xfId="20875"/>
    <cellStyle name="常规 4 3 11 3 3 3 4" xfId="20876"/>
    <cellStyle name="常规 4 3 11 3 3 4" xfId="20877"/>
    <cellStyle name="常规 4 3 11 3 3 4 2" xfId="20878"/>
    <cellStyle name="常规 4 3 11 3 3 5" xfId="20879"/>
    <cellStyle name="常规 4 3 11 3 3 6" xfId="20880"/>
    <cellStyle name="常规 4 3 11 3 4" xfId="1952"/>
    <cellStyle name="常规 4 3 11 3 4 2" xfId="16987"/>
    <cellStyle name="常规 4 3 11 3 4 2 2" xfId="20883"/>
    <cellStyle name="常规 4 3 11 3 4 2 2 2" xfId="20884"/>
    <cellStyle name="常规 4 3 11 3 4 2 3" xfId="20885"/>
    <cellStyle name="常规 4 3 11 3 4 2 4" xfId="20886"/>
    <cellStyle name="常规 4 3 11 3 4 3" xfId="20887"/>
    <cellStyle name="常规 4 3 11 3 4 3 2" xfId="20888"/>
    <cellStyle name="常规 4 3 11 3 4 4" xfId="20889"/>
    <cellStyle name="常规 4 3 11 3 4 5" xfId="20890"/>
    <cellStyle name="常规 4 3 11 3 5" xfId="1958"/>
    <cellStyle name="常规 4 3 11 3 5 2" xfId="20892"/>
    <cellStyle name="常规 4 3 11 3 5 2 2" xfId="20793"/>
    <cellStyle name="常规 4 3 11 3 5 3" xfId="20893"/>
    <cellStyle name="常规 4 3 11 3 5 4" xfId="20894"/>
    <cellStyle name="常规 4 3 11 3 6" xfId="16992"/>
    <cellStyle name="常规 4 3 11 3 6 2" xfId="20896"/>
    <cellStyle name="常规 4 3 11 3 7" xfId="20899"/>
    <cellStyle name="常规 4 3 11 3 8" xfId="20902"/>
    <cellStyle name="常规 4 3 11 4" xfId="20903"/>
    <cellStyle name="常规 4 3 11 4 2" xfId="20904"/>
    <cellStyle name="常规 4 3 11 4 2 2" xfId="20905"/>
    <cellStyle name="常规 4 3 11 4 2 2 2" xfId="20906"/>
    <cellStyle name="常规 4 3 11 4 2 2 2 2" xfId="20908"/>
    <cellStyle name="常规 4 3 11 4 2 2 2 2 2" xfId="20910"/>
    <cellStyle name="常规 4 3 11 4 2 2 2 3" xfId="20911"/>
    <cellStyle name="常规 4 3 11 4 2 2 2 4" xfId="20912"/>
    <cellStyle name="常规 4 3 11 4 2 2 3" xfId="20913"/>
    <cellStyle name="常规 4 3 11 4 2 2 3 2" xfId="20914"/>
    <cellStyle name="常规 4 3 11 4 2 2 4" xfId="20915"/>
    <cellStyle name="常规 4 3 11 4 2 2 5" xfId="20916"/>
    <cellStyle name="常规 4 3 11 4 2 3" xfId="20917"/>
    <cellStyle name="常规 4 3 11 4 2 3 2" xfId="20918"/>
    <cellStyle name="常规 4 3 11 4 2 3 2 2" xfId="20919"/>
    <cellStyle name="常规 4 3 11 4 2 3 3" xfId="20920"/>
    <cellStyle name="常规 4 3 11 4 2 3 4" xfId="20921"/>
    <cellStyle name="常规 4 3 11 4 2 4" xfId="20922"/>
    <cellStyle name="常规 4 3 11 4 2 4 2" xfId="20923"/>
    <cellStyle name="常规 4 3 11 4 2 5" xfId="20924"/>
    <cellStyle name="常规 4 3 11 4 2 6" xfId="20925"/>
    <cellStyle name="常规 4 3 11 4 3" xfId="20926"/>
    <cellStyle name="常规 4 3 11 4 3 2" xfId="20927"/>
    <cellStyle name="常规 4 3 11 4 3 2 2" xfId="20929"/>
    <cellStyle name="常规 4 3 11 4 3 2 2 2" xfId="20931"/>
    <cellStyle name="常规 4 3 11 4 3 2 3" xfId="5613"/>
    <cellStyle name="常规 4 3 11 4 3 2 4" xfId="20932"/>
    <cellStyle name="常规 4 3 11 4 3 3" xfId="20933"/>
    <cellStyle name="常规 4 3 11 4 3 3 2" xfId="20934"/>
    <cellStyle name="常规 4 3 11 4 3 4" xfId="20935"/>
    <cellStyle name="常规 4 3 11 4 3 5" xfId="20936"/>
    <cellStyle name="常规 4 3 11 4 4" xfId="16993"/>
    <cellStyle name="常规 4 3 11 4 4 2" xfId="20937"/>
    <cellStyle name="常规 4 3 11 4 4 2 2" xfId="20940"/>
    <cellStyle name="常规 4 3 11 4 4 3" xfId="20941"/>
    <cellStyle name="常规 4 3 11 4 4 4" xfId="20942"/>
    <cellStyle name="常规 4 3 11 4 5" xfId="20944"/>
    <cellStyle name="常规 4 3 11 4 5 2" xfId="15118"/>
    <cellStyle name="常规 4 3 11 4 6" xfId="20946"/>
    <cellStyle name="常规 4 3 11 4 7" xfId="20947"/>
    <cellStyle name="常规 4 3 11 5" xfId="20948"/>
    <cellStyle name="常规 4 3 11 5 2" xfId="20949"/>
    <cellStyle name="常规 4 3 11 5 2 2" xfId="20950"/>
    <cellStyle name="常规 4 3 11 5 2 2 2" xfId="20951"/>
    <cellStyle name="常规 4 3 11 5 2 2 2 2" xfId="10954"/>
    <cellStyle name="常规 4 3 11 5 2 2 3" xfId="20953"/>
    <cellStyle name="常规 4 3 11 5 2 2 4" xfId="20955"/>
    <cellStyle name="常规 4 3 11 5 2 3" xfId="20957"/>
    <cellStyle name="常规 4 3 11 5 2 3 2" xfId="20959"/>
    <cellStyle name="常规 4 3 11 5 2 4" xfId="20961"/>
    <cellStyle name="常规 4 3 11 5 2 5" xfId="20963"/>
    <cellStyle name="常规 4 3 11 5 3" xfId="304"/>
    <cellStyle name="常规 4 3 11 5 3 2" xfId="20964"/>
    <cellStyle name="常规 4 3 11 5 3 2 2" xfId="20965"/>
    <cellStyle name="常规 4 3 11 5 3 3" xfId="20967"/>
    <cellStyle name="常规 4 3 11 5 3 4" xfId="20968"/>
    <cellStyle name="常规 4 3 11 5 4" xfId="20969"/>
    <cellStyle name="常规 4 3 11 5 4 2" xfId="20971"/>
    <cellStyle name="常规 4 3 11 5 5" xfId="20974"/>
    <cellStyle name="常规 4 3 11 5 6" xfId="20978"/>
    <cellStyle name="常规 4 3 11 6" xfId="20979"/>
    <cellStyle name="常规 4 3 11 6 2" xfId="20980"/>
    <cellStyle name="常规 4 3 11 6 2 2" xfId="20981"/>
    <cellStyle name="常规 4 3 11 6 2 2 2" xfId="20982"/>
    <cellStyle name="常规 4 3 11 6 2 3" xfId="20984"/>
    <cellStyle name="常规 4 3 11 6 2 4" xfId="20985"/>
    <cellStyle name="常规 4 3 11 6 3" xfId="20986"/>
    <cellStyle name="常规 4 3 11 6 3 2" xfId="20987"/>
    <cellStyle name="常规 4 3 11 6 4" xfId="20988"/>
    <cellStyle name="常规 4 3 11 6 5" xfId="20989"/>
    <cellStyle name="常规 4 3 11 7" xfId="20990"/>
    <cellStyle name="常规 4 3 11 7 2" xfId="20991"/>
    <cellStyle name="常规 4 3 11 7 2 2" xfId="20992"/>
    <cellStyle name="常规 4 3 11 7 3" xfId="20993"/>
    <cellStyle name="常规 4 3 11 7 4" xfId="10822"/>
    <cellStyle name="常规 4 3 11 8" xfId="20994"/>
    <cellStyle name="常规 4 3 11 8 2" xfId="20995"/>
    <cellStyle name="常规 4 3 11 9" xfId="20996"/>
    <cellStyle name="常规 4 3 12" xfId="2181"/>
    <cellStyle name="常规 4 3 12 2" xfId="4711"/>
    <cellStyle name="常规 4 3 12 2 2" xfId="20998"/>
    <cellStyle name="常规 4 3 12 2 2 2" xfId="20999"/>
    <cellStyle name="常规 4 3 12 2 2 2 2" xfId="21000"/>
    <cellStyle name="常规 4 3 12 2 2 2 2 2" xfId="21002"/>
    <cellStyle name="常规 4 3 12 2 2 2 2 2 2" xfId="21003"/>
    <cellStyle name="常规 4 3 12 2 2 2 2 3" xfId="21004"/>
    <cellStyle name="常规 4 3 12 2 2 2 2 4" xfId="21005"/>
    <cellStyle name="常规 4 3 12 2 2 2 3" xfId="21006"/>
    <cellStyle name="常规 4 3 12 2 2 2 3 2" xfId="13546"/>
    <cellStyle name="常规 4 3 12 2 2 2 4" xfId="7786"/>
    <cellStyle name="常规 4 3 12 2 2 2 5" xfId="21007"/>
    <cellStyle name="常规 4 3 12 2 2 3" xfId="21008"/>
    <cellStyle name="常规 4 3 12 2 2 3 2" xfId="21011"/>
    <cellStyle name="常规 4 3 12 2 2 3 2 2" xfId="21013"/>
    <cellStyle name="常规 4 3 12 2 2 3 3" xfId="21014"/>
    <cellStyle name="常规 4 3 12 2 2 3 4" xfId="21020"/>
    <cellStyle name="常规 4 3 12 2 2 4" xfId="21021"/>
    <cellStyle name="常规 4 3 12 2 2 4 2" xfId="21024"/>
    <cellStyle name="常规 4 3 12 2 2 5" xfId="21026"/>
    <cellStyle name="常规 4 3 12 2 2 6" xfId="15115"/>
    <cellStyle name="常规 4 3 12 2 3" xfId="21027"/>
    <cellStyle name="常规 4 3 12 2 3 2" xfId="21028"/>
    <cellStyle name="常规 4 3 12 2 3 2 2" xfId="21030"/>
    <cellStyle name="常规 4 3 12 2 3 2 2 2" xfId="21031"/>
    <cellStyle name="常规 4 3 12 2 3 2 3" xfId="21033"/>
    <cellStyle name="常规 4 3 12 2 3 2 4" xfId="21034"/>
    <cellStyle name="常规 4 3 12 2 3 3" xfId="21035"/>
    <cellStyle name="常规 4 3 12 2 3 3 2" xfId="21039"/>
    <cellStyle name="常规 4 3 12 2 3 4" xfId="21040"/>
    <cellStyle name="常规 4 3 12 2 3 5" xfId="21042"/>
    <cellStyle name="常规 4 3 12 2 4" xfId="8710"/>
    <cellStyle name="常规 4 3 12 2 4 2" xfId="8712"/>
    <cellStyle name="常规 4 3 12 2 4 2 2" xfId="8716"/>
    <cellStyle name="常规 4 3 12 2 4 3" xfId="8718"/>
    <cellStyle name="常规 4 3 12 2 4 4" xfId="8720"/>
    <cellStyle name="常规 4 3 12 2 5" xfId="8723"/>
    <cellStyle name="常规 4 3 12 2 5 2" xfId="8727"/>
    <cellStyle name="常规 4 3 12 2 6" xfId="8732"/>
    <cellStyle name="常规 4 3 12 2 7" xfId="8737"/>
    <cellStyle name="常规 4 3 12 3" xfId="13348"/>
    <cellStyle name="常规 4 3 12 3 2" xfId="21043"/>
    <cellStyle name="常规 4 3 12 3 2 2" xfId="21044"/>
    <cellStyle name="常规 4 3 12 3 2 2 2" xfId="21045"/>
    <cellStyle name="常规 4 3 12 3 2 2 2 2" xfId="17956"/>
    <cellStyle name="常规 4 3 12 3 2 2 3" xfId="21046"/>
    <cellStyle name="常规 4 3 12 3 2 2 4" xfId="21047"/>
    <cellStyle name="常规 4 3 12 3 2 3" xfId="21048"/>
    <cellStyle name="常规 4 3 12 3 2 3 2" xfId="21051"/>
    <cellStyle name="常规 4 3 12 3 2 4" xfId="21052"/>
    <cellStyle name="常规 4 3 12 3 2 5" xfId="21055"/>
    <cellStyle name="常规 4 3 12 3 3" xfId="21056"/>
    <cellStyle name="常规 4 3 12 3 3 2" xfId="21057"/>
    <cellStyle name="常规 4 3 12 3 3 2 2" xfId="21059"/>
    <cellStyle name="常规 4 3 12 3 3 3" xfId="21060"/>
    <cellStyle name="常规 4 3 12 3 3 4" xfId="21061"/>
    <cellStyle name="常规 4 3 12 3 4" xfId="8742"/>
    <cellStyle name="常规 4 3 12 3 4 2" xfId="8746"/>
    <cellStyle name="常规 4 3 12 3 5" xfId="8749"/>
    <cellStyle name="常规 4 3 12 3 6" xfId="8753"/>
    <cellStyle name="常规 4 3 12 4" xfId="21062"/>
    <cellStyle name="常规 4 3 12 4 2" xfId="21063"/>
    <cellStyle name="常规 4 3 12 4 2 2" xfId="21064"/>
    <cellStyle name="常规 4 3 12 4 2 2 2" xfId="21066"/>
    <cellStyle name="常规 4 3 12 4 2 3" xfId="21068"/>
    <cellStyle name="常规 4 3 12 4 2 4" xfId="21070"/>
    <cellStyle name="常规 4 3 12 4 3" xfId="21071"/>
    <cellStyle name="常规 4 3 12 4 3 2" xfId="21072"/>
    <cellStyle name="常规 4 3 12 4 4" xfId="8758"/>
    <cellStyle name="常规 4 3 12 4 5" xfId="21073"/>
    <cellStyle name="常规 4 3 12 5" xfId="21074"/>
    <cellStyle name="常规 4 3 12 5 2" xfId="21075"/>
    <cellStyle name="常规 4 3 12 5 2 2" xfId="21076"/>
    <cellStyle name="常规 4 3 12 5 3" xfId="21077"/>
    <cellStyle name="常规 4 3 12 5 4" xfId="21078"/>
    <cellStyle name="常规 4 3 12 6" xfId="21079"/>
    <cellStyle name="常规 4 3 12 6 2" xfId="1365"/>
    <cellStyle name="常规 4 3 12 7" xfId="21081"/>
    <cellStyle name="常规 4 3 12 8" xfId="21082"/>
    <cellStyle name="常规 4 3 13" xfId="16062"/>
    <cellStyle name="常规 4 3 13 2" xfId="13357"/>
    <cellStyle name="常规 4 3 13 2 2" xfId="21083"/>
    <cellStyle name="常规 4 3 13 2 2 2" xfId="21086"/>
    <cellStyle name="常规 4 3 13 2 2 2 2" xfId="21088"/>
    <cellStyle name="常规 4 3 13 2 2 2 2 2" xfId="21090"/>
    <cellStyle name="常规 4 3 13 2 2 2 3" xfId="21091"/>
    <cellStyle name="常规 4 3 13 2 2 2 4" xfId="21092"/>
    <cellStyle name="常规 4 3 13 2 2 3" xfId="21094"/>
    <cellStyle name="常规 4 3 13 2 2 3 2" xfId="21096"/>
    <cellStyle name="常规 4 3 13 2 2 4" xfId="21098"/>
    <cellStyle name="常规 4 3 13 2 2 5" xfId="21100"/>
    <cellStyle name="常规 4 3 13 2 3" xfId="5981"/>
    <cellStyle name="常规 4 3 13 2 3 2" xfId="5070"/>
    <cellStyle name="常规 4 3 13 2 3 2 2" xfId="5985"/>
    <cellStyle name="常规 4 3 13 2 3 3" xfId="5078"/>
    <cellStyle name="常规 4 3 13 2 3 4" xfId="5988"/>
    <cellStyle name="常规 4 3 13 2 4" xfId="5991"/>
    <cellStyle name="常规 4 3 13 2 4 2" xfId="1306"/>
    <cellStyle name="常规 4 3 13 2 5" xfId="5999"/>
    <cellStyle name="常规 4 3 13 2 6" xfId="6005"/>
    <cellStyle name="常规 4 3 13 3" xfId="21101"/>
    <cellStyle name="常规 4 3 13 3 2" xfId="16608"/>
    <cellStyle name="常规 4 3 13 3 2 2" xfId="16628"/>
    <cellStyle name="常规 4 3 13 3 2 2 2" xfId="16641"/>
    <cellStyle name="常规 4 3 13 3 2 3" xfId="17556"/>
    <cellStyle name="常规 4 3 13 3 2 4" xfId="18105"/>
    <cellStyle name="常规 4 3 13 3 3" xfId="6010"/>
    <cellStyle name="常规 4 3 13 3 3 2" xfId="5131"/>
    <cellStyle name="常规 4 3 13 3 4" xfId="6013"/>
    <cellStyle name="常规 4 3 13 3 5" xfId="5859"/>
    <cellStyle name="常规 4 3 13 4" xfId="21102"/>
    <cellStyle name="常规 4 3 13 4 2" xfId="19995"/>
    <cellStyle name="常规 4 3 13 4 2 2" xfId="21103"/>
    <cellStyle name="常规 4 3 13 4 3" xfId="6018"/>
    <cellStyle name="常规 4 3 13 4 4" xfId="21104"/>
    <cellStyle name="常规 4 3 13 5" xfId="21105"/>
    <cellStyle name="常规 4 3 13 5 2" xfId="21106"/>
    <cellStyle name="常规 4 3 13 6" xfId="21108"/>
    <cellStyle name="常规 4 3 13 7" xfId="21109"/>
    <cellStyle name="常规 4 3 14" xfId="14820"/>
    <cellStyle name="常规 4 3 14 2" xfId="14822"/>
    <cellStyle name="常规 4 3 14 2 2" xfId="14824"/>
    <cellStyle name="常规 4 3 14 2 2 2" xfId="5690"/>
    <cellStyle name="常规 4 3 14 2 2 2 2" xfId="14827"/>
    <cellStyle name="常规 4 3 14 2 2 3" xfId="9728"/>
    <cellStyle name="常规 4 3 14 2 2 4" xfId="9856"/>
    <cellStyle name="常规 4 3 14 2 3" xfId="6025"/>
    <cellStyle name="常规 4 3 14 2 3 2" xfId="6028"/>
    <cellStyle name="常规 4 3 14 2 4" xfId="6032"/>
    <cellStyle name="常规 4 3 14 2 5" xfId="3870"/>
    <cellStyle name="常规 4 3 14 3" xfId="14838"/>
    <cellStyle name="常规 4 3 14 3 2" xfId="14840"/>
    <cellStyle name="常规 4 3 14 3 2 2" xfId="14842"/>
    <cellStyle name="常规 4 3 14 3 3" xfId="6039"/>
    <cellStyle name="常规 4 3 14 3 4" xfId="14846"/>
    <cellStyle name="常规 4 3 14 4" xfId="14850"/>
    <cellStyle name="常规 4 3 14 4 2" xfId="14853"/>
    <cellStyle name="常规 4 3 14 5" xfId="14858"/>
    <cellStyle name="常规 4 3 14 6" xfId="14862"/>
    <cellStyle name="常规 4 3 15" xfId="14865"/>
    <cellStyle name="常规 4 3 15 2" xfId="14868"/>
    <cellStyle name="常规 4 3 15 2 2" xfId="14870"/>
    <cellStyle name="常规 4 3 15 2 2 2" xfId="14872"/>
    <cellStyle name="常规 4 3 15 2 3" xfId="6048"/>
    <cellStyle name="常规 4 3 15 2 4" xfId="14878"/>
    <cellStyle name="常规 4 3 15 3" xfId="14883"/>
    <cellStyle name="常规 4 3 15 3 2" xfId="14885"/>
    <cellStyle name="常规 4 3 15 4" xfId="14890"/>
    <cellStyle name="常规 4 3 15 5" xfId="14894"/>
    <cellStyle name="常规 4 3 16" xfId="14899"/>
    <cellStyle name="常规 4 3 16 2" xfId="14902"/>
    <cellStyle name="常规 4 3 16 2 2" xfId="14904"/>
    <cellStyle name="常规 4 3 16 3" xfId="14907"/>
    <cellStyle name="常规 4 3 16 4" xfId="14910"/>
    <cellStyle name="常规 4 3 17" xfId="14914"/>
    <cellStyle name="常规 4 3 17 2" xfId="14916"/>
    <cellStyle name="常规 4 3 18" xfId="14921"/>
    <cellStyle name="常规 4 3 19" xfId="14928"/>
    <cellStyle name="常规 4 3 2" xfId="21110"/>
    <cellStyle name="常规 4 3 2 2" xfId="21111"/>
    <cellStyle name="常规 4 3 2 2 2" xfId="21112"/>
    <cellStyle name="常规 4 3 2 2 2 2" xfId="21113"/>
    <cellStyle name="常规 4 3 2 2 2 3" xfId="21115"/>
    <cellStyle name="常规 4 3 2 2 3" xfId="21118"/>
    <cellStyle name="常规 4 3 2 2 3 2" xfId="21121"/>
    <cellStyle name="常规 4 3 2 2 3 3" xfId="21124"/>
    <cellStyle name="常规 4 3 2 2 4" xfId="21126"/>
    <cellStyle name="常规 4 3 2 2 5" xfId="21128"/>
    <cellStyle name="常规 4 3 2 2 6" xfId="21130"/>
    <cellStyle name="常规 4 3 2 3" xfId="21131"/>
    <cellStyle name="常规 4 3 2 3 2" xfId="21132"/>
    <cellStyle name="常规 4 3 2 3 3" xfId="21134"/>
    <cellStyle name="常规 4 3 2 4" xfId="21135"/>
    <cellStyle name="常规 4 3 2 4 2" xfId="21136"/>
    <cellStyle name="常规 4 3 2 4 3" xfId="21138"/>
    <cellStyle name="常规 4 3 2 5" xfId="21139"/>
    <cellStyle name="常规 4 3 2 6" xfId="21141"/>
    <cellStyle name="常规 4 3 2 7" xfId="21142"/>
    <cellStyle name="常规 4 3 20" xfId="14866"/>
    <cellStyle name="常规 4 3 21" xfId="14900"/>
    <cellStyle name="常规 4 3 3" xfId="13734"/>
    <cellStyle name="常规 4 3 3 2" xfId="10214"/>
    <cellStyle name="常规 4 3 3 2 2" xfId="21143"/>
    <cellStyle name="常规 4 3 3 2 3" xfId="21145"/>
    <cellStyle name="常规 4 3 3 3" xfId="10216"/>
    <cellStyle name="常规 4 3 3 3 2" xfId="21146"/>
    <cellStyle name="常规 4 3 3 3 3" xfId="21148"/>
    <cellStyle name="常规 4 3 3 4" xfId="21150"/>
    <cellStyle name="常规 4 3 3 5" xfId="21151"/>
    <cellStyle name="常规 4 3 3 6" xfId="21152"/>
    <cellStyle name="常规 4 3 4" xfId="1084"/>
    <cellStyle name="常规 4 3 4 2" xfId="10242"/>
    <cellStyle name="常规 4 3 4 3" xfId="21155"/>
    <cellStyle name="常规 4 3 4 4" xfId="21156"/>
    <cellStyle name="常规 4 3 5" xfId="789"/>
    <cellStyle name="常规 4 3 5 2" xfId="21158"/>
    <cellStyle name="常规 4 3 5 3" xfId="21159"/>
    <cellStyle name="常规 4 3 6" xfId="18164"/>
    <cellStyle name="常规 4 3 6 2" xfId="18167"/>
    <cellStyle name="常规 4 3 6 3" xfId="18170"/>
    <cellStyle name="常规 4 3 7" xfId="18173"/>
    <cellStyle name="常规 4 3 8" xfId="18176"/>
    <cellStyle name="常规 4 3 8 10" xfId="21162"/>
    <cellStyle name="常规 4 3 8 10 2" xfId="21168"/>
    <cellStyle name="常规 4 3 8 10 2 2" xfId="21172"/>
    <cellStyle name="常规 4 3 8 10 3" xfId="21178"/>
    <cellStyle name="常规 4 3 8 10 4" xfId="21181"/>
    <cellStyle name="常规 4 3 8 11" xfId="21184"/>
    <cellStyle name="常规 4 3 8 11 2" xfId="21186"/>
    <cellStyle name="常规 4 3 8 12" xfId="21189"/>
    <cellStyle name="常规 4 3 8 13" xfId="21191"/>
    <cellStyle name="常规 4 3 8 2" xfId="21193"/>
    <cellStyle name="常规 4 3 8 2 10" xfId="21194"/>
    <cellStyle name="常规 4 3 8 2 10 2" xfId="21196"/>
    <cellStyle name="常规 4 3 8 2 11" xfId="21197"/>
    <cellStyle name="常规 4 3 8 2 12" xfId="21202"/>
    <cellStyle name="常规 4 3 8 2 2" xfId="21203"/>
    <cellStyle name="常规 4 3 8 2 2 10" xfId="12552"/>
    <cellStyle name="常规 4 3 8 2 2 11" xfId="21205"/>
    <cellStyle name="常规 4 3 8 2 2 2" xfId="6414"/>
    <cellStyle name="常规 4 3 8 2 2 2 2" xfId="21208"/>
    <cellStyle name="常规 4 3 8 2 2 2 2 2" xfId="15209"/>
    <cellStyle name="常规 4 3 8 2 2 2 2 2 2" xfId="21211"/>
    <cellStyle name="常规 4 3 8 2 2 2 2 2 2 2" xfId="21213"/>
    <cellStyle name="常规 4 3 8 2 2 2 2 2 2 2 2" xfId="2700"/>
    <cellStyle name="常规 4 3 8 2 2 2 2 2 2 2 2 2" xfId="21215"/>
    <cellStyle name="常规 4 3 8 2 2 2 2 2 2 2 2 2 2" xfId="21216"/>
    <cellStyle name="常规 4 3 8 2 2 2 2 2 2 2 2 3" xfId="21219"/>
    <cellStyle name="常规 4 3 8 2 2 2 2 2 2 2 2 4" xfId="21220"/>
    <cellStyle name="常规 4 3 8 2 2 2 2 2 2 2 3" xfId="21221"/>
    <cellStyle name="常规 4 3 8 2 2 2 2 2 2 2 3 2" xfId="21223"/>
    <cellStyle name="常规 4 3 8 2 2 2 2 2 2 2 4" xfId="21224"/>
    <cellStyle name="常规 4 3 8 2 2 2 2 2 2 2 5" xfId="21226"/>
    <cellStyle name="常规 4 3 8 2 2 2 2 2 2 3" xfId="21227"/>
    <cellStyle name="常规 4 3 8 2 2 2 2 2 2 3 2" xfId="21229"/>
    <cellStyle name="常规 4 3 8 2 2 2 2 2 2 3 2 2" xfId="14156"/>
    <cellStyle name="常规 4 3 8 2 2 2 2 2 2 3 3" xfId="21231"/>
    <cellStyle name="常规 4 3 8 2 2 2 2 2 2 3 4" xfId="21232"/>
    <cellStyle name="常规 4 3 8 2 2 2 2 2 2 4" xfId="21233"/>
    <cellStyle name="常规 4 3 8 2 2 2 2 2 2 4 2" xfId="21234"/>
    <cellStyle name="常规 4 3 8 2 2 2 2 2 2 5" xfId="16799"/>
    <cellStyle name="常规 4 3 8 2 2 2 2 2 2 6" xfId="8590"/>
    <cellStyle name="常规 4 3 8 2 2 2 2 2 3" xfId="21236"/>
    <cellStyle name="常规 4 3 8 2 2 2 2 2 3 2" xfId="21237"/>
    <cellStyle name="常规 4 3 8 2 2 2 2 2 3 2 2" xfId="2718"/>
    <cellStyle name="常规 4 3 8 2 2 2 2 2 3 2 2 2" xfId="21239"/>
    <cellStyle name="常规 4 3 8 2 2 2 2 2 3 2 3" xfId="21240"/>
    <cellStyle name="常规 4 3 8 2 2 2 2 2 3 2 4" xfId="21241"/>
    <cellStyle name="常规 4 3 8 2 2 2 2 2 3 3" xfId="21242"/>
    <cellStyle name="常规 4 3 8 2 2 2 2 2 3 3 2" xfId="21244"/>
    <cellStyle name="常规 4 3 8 2 2 2 2 2 3 4" xfId="21246"/>
    <cellStyle name="常规 4 3 8 2 2 2 2 2 3 5" xfId="16806"/>
    <cellStyle name="常规 4 3 8 2 2 2 2 2 4" xfId="18631"/>
    <cellStyle name="常规 4 3 8 2 2 2 2 2 4 2" xfId="18633"/>
    <cellStyle name="常规 4 3 8 2 2 2 2 2 4 2 2" xfId="18635"/>
    <cellStyle name="常规 4 3 8 2 2 2 2 2 4 3" xfId="18637"/>
    <cellStyle name="常规 4 3 8 2 2 2 2 2 4 4" xfId="18641"/>
    <cellStyle name="常规 4 3 8 2 2 2 2 2 5" xfId="18643"/>
    <cellStyle name="常规 4 3 8 2 2 2 2 2 5 2" xfId="18645"/>
    <cellStyle name="常规 4 3 8 2 2 2 2 2 6" xfId="18649"/>
    <cellStyle name="常规 4 3 8 2 2 2 2 2 7" xfId="18652"/>
    <cellStyle name="常规 4 3 8 2 2 2 2 3" xfId="21248"/>
    <cellStyle name="常规 4 3 8 2 2 2 2 3 2" xfId="21250"/>
    <cellStyle name="常规 4 3 8 2 2 2 2 3 2 2" xfId="21251"/>
    <cellStyle name="常规 4 3 8 2 2 2 2 3 2 2 2" xfId="21252"/>
    <cellStyle name="常规 4 3 8 2 2 2 2 3 2 2 2 2" xfId="21254"/>
    <cellStyle name="常规 4 3 8 2 2 2 2 3 2 2 3" xfId="21255"/>
    <cellStyle name="常规 4 3 8 2 2 2 2 3 2 2 4" xfId="21257"/>
    <cellStyle name="常规 4 3 8 2 2 2 2 3 2 3" xfId="21258"/>
    <cellStyle name="常规 4 3 8 2 2 2 2 3 2 3 2" xfId="21259"/>
    <cellStyle name="常规 4 3 8 2 2 2 2 3 2 4" xfId="21260"/>
    <cellStyle name="常规 4 3 8 2 2 2 2 3 2 5" xfId="16846"/>
    <cellStyle name="常规 4 3 8 2 2 2 2 3 3" xfId="21261"/>
    <cellStyle name="常规 4 3 8 2 2 2 2 3 3 2" xfId="21262"/>
    <cellStyle name="常规 4 3 8 2 2 2 2 3 3 2 2" xfId="21263"/>
    <cellStyle name="常规 4 3 8 2 2 2 2 3 3 3" xfId="21264"/>
    <cellStyle name="常规 4 3 8 2 2 2 2 3 3 4" xfId="21266"/>
    <cellStyle name="常规 4 3 8 2 2 2 2 3 4" xfId="18655"/>
    <cellStyle name="常规 4 3 8 2 2 2 2 3 4 2" xfId="18657"/>
    <cellStyle name="常规 4 3 8 2 2 2 2 3 5" xfId="18659"/>
    <cellStyle name="常规 4 3 8 2 2 2 2 3 6" xfId="18662"/>
    <cellStyle name="常规 4 3 8 2 2 2 2 4" xfId="10166"/>
    <cellStyle name="常规 4 3 8 2 2 2 2 4 2" xfId="10168"/>
    <cellStyle name="常规 4 3 8 2 2 2 2 4 2 2" xfId="21267"/>
    <cellStyle name="常规 4 3 8 2 2 2 2 4 2 2 2" xfId="21268"/>
    <cellStyle name="常规 4 3 8 2 2 2 2 4 2 3" xfId="21269"/>
    <cellStyle name="常规 4 3 8 2 2 2 2 4 2 4" xfId="4586"/>
    <cellStyle name="常规 4 3 8 2 2 2 2 4 3" xfId="21270"/>
    <cellStyle name="常规 4 3 8 2 2 2 2 4 3 2" xfId="21271"/>
    <cellStyle name="常规 4 3 8 2 2 2 2 4 4" xfId="18667"/>
    <cellStyle name="常规 4 3 8 2 2 2 2 4 5" xfId="21272"/>
    <cellStyle name="常规 4 3 8 2 2 2 2 5" xfId="10170"/>
    <cellStyle name="常规 4 3 8 2 2 2 2 5 2" xfId="21273"/>
    <cellStyle name="常规 4 3 8 2 2 2 2 5 2 2" xfId="21274"/>
    <cellStyle name="常规 4 3 8 2 2 2 2 5 3" xfId="21275"/>
    <cellStyle name="常规 4 3 8 2 2 2 2 5 4" xfId="21277"/>
    <cellStyle name="常规 4 3 8 2 2 2 2 6" xfId="10172"/>
    <cellStyle name="常规 4 3 8 2 2 2 2 6 2" xfId="18627"/>
    <cellStyle name="常规 4 3 8 2 2 2 2 7" xfId="21278"/>
    <cellStyle name="常规 4 3 8 2 2 2 2 8" xfId="21279"/>
    <cellStyle name="常规 4 3 8 2 2 2 3" xfId="1546"/>
    <cellStyle name="常规 4 3 8 2 2 2 3 2" xfId="910"/>
    <cellStyle name="常规 4 3 8 2 2 2 3 2 2" xfId="1550"/>
    <cellStyle name="常规 4 3 8 2 2 2 3 2 2 2" xfId="1299"/>
    <cellStyle name="常规 4 3 8 2 2 2 3 2 2 2 2" xfId="1553"/>
    <cellStyle name="常规 4 3 8 2 2 2 3 2 2 2 2 2" xfId="21281"/>
    <cellStyle name="常规 4 3 8 2 2 2 3 2 2 2 3" xfId="21284"/>
    <cellStyle name="常规 4 3 8 2 2 2 3 2 2 2 4" xfId="21287"/>
    <cellStyle name="常规 4 3 8 2 2 2 3 2 2 3" xfId="21288"/>
    <cellStyle name="常规 4 3 8 2 2 2 3 2 2 3 2" xfId="21290"/>
    <cellStyle name="常规 4 3 8 2 2 2 3 2 2 4" xfId="21291"/>
    <cellStyle name="常规 4 3 8 2 2 2 3 2 2 5" xfId="16907"/>
    <cellStyle name="常规 4 3 8 2 2 2 3 2 3" xfId="21292"/>
    <cellStyle name="常规 4 3 8 2 2 2 3 2 3 2" xfId="21293"/>
    <cellStyle name="常规 4 3 8 2 2 2 3 2 3 2 2" xfId="21296"/>
    <cellStyle name="常规 4 3 8 2 2 2 3 2 3 3" xfId="21297"/>
    <cellStyle name="常规 4 3 8 2 2 2 3 2 3 4" xfId="21299"/>
    <cellStyle name="常规 4 3 8 2 2 2 3 2 4" xfId="18680"/>
    <cellStyle name="常规 4 3 8 2 2 2 3 2 4 2" xfId="18682"/>
    <cellStyle name="常规 4 3 8 2 2 2 3 2 5" xfId="18684"/>
    <cellStyle name="常规 4 3 8 2 2 2 3 2 6" xfId="18687"/>
    <cellStyle name="常规 4 3 8 2 2 2 3 3" xfId="1557"/>
    <cellStyle name="常规 4 3 8 2 2 2 3 3 2" xfId="21300"/>
    <cellStyle name="常规 4 3 8 2 2 2 3 3 2 2" xfId="2429"/>
    <cellStyle name="常规 4 3 8 2 2 2 3 3 2 2 2" xfId="21301"/>
    <cellStyle name="常规 4 3 8 2 2 2 3 3 2 3" xfId="21302"/>
    <cellStyle name="常规 4 3 8 2 2 2 3 3 2 4" xfId="21303"/>
    <cellStyle name="常规 4 3 8 2 2 2 3 3 3" xfId="21304"/>
    <cellStyle name="常规 4 3 8 2 2 2 3 3 3 2" xfId="21305"/>
    <cellStyle name="常规 4 3 8 2 2 2 3 3 4" xfId="18690"/>
    <cellStyle name="常规 4 3 8 2 2 2 3 3 5" xfId="21306"/>
    <cellStyle name="常规 4 3 8 2 2 2 3 4" xfId="1559"/>
    <cellStyle name="常规 4 3 8 2 2 2 3 4 2" xfId="21309"/>
    <cellStyle name="常规 4 3 8 2 2 2 3 4 2 2" xfId="2459"/>
    <cellStyle name="常规 4 3 8 2 2 2 3 4 3" xfId="21311"/>
    <cellStyle name="常规 4 3 8 2 2 2 3 4 4" xfId="21313"/>
    <cellStyle name="常规 4 3 8 2 2 2 3 5" xfId="21314"/>
    <cellStyle name="常规 4 3 8 2 2 2 3 5 2" xfId="21315"/>
    <cellStyle name="常规 4 3 8 2 2 2 3 6" xfId="21316"/>
    <cellStyle name="常规 4 3 8 2 2 2 3 7" xfId="21317"/>
    <cellStyle name="常规 4 3 8 2 2 2 4" xfId="1568"/>
    <cellStyle name="常规 4 3 8 2 2 2 4 2" xfId="21320"/>
    <cellStyle name="常规 4 3 8 2 2 2 4 2 2" xfId="21323"/>
    <cellStyle name="常规 4 3 8 2 2 2 4 2 2 2" xfId="21325"/>
    <cellStyle name="常规 4 3 8 2 2 2 4 2 2 2 2" xfId="21326"/>
    <cellStyle name="常规 4 3 8 2 2 2 4 2 2 3" xfId="21327"/>
    <cellStyle name="常规 4 3 8 2 2 2 4 2 2 4" xfId="21328"/>
    <cellStyle name="常规 4 3 8 2 2 2 4 2 3" xfId="21329"/>
    <cellStyle name="常规 4 3 8 2 2 2 4 2 3 2" xfId="21330"/>
    <cellStyle name="常规 4 3 8 2 2 2 4 2 4" xfId="18700"/>
    <cellStyle name="常规 4 3 8 2 2 2 4 2 5" xfId="21331"/>
    <cellStyle name="常规 4 3 8 2 2 2 4 3" xfId="21333"/>
    <cellStyle name="常规 4 3 8 2 2 2 4 3 2" xfId="20411"/>
    <cellStyle name="常规 4 3 8 2 2 2 4 3 2 2" xfId="21336"/>
    <cellStyle name="常规 4 3 8 2 2 2 4 3 3" xfId="20413"/>
    <cellStyle name="常规 4 3 8 2 2 2 4 3 4" xfId="21337"/>
    <cellStyle name="常规 4 3 8 2 2 2 4 4" xfId="21339"/>
    <cellStyle name="常规 4 3 8 2 2 2 4 4 2" xfId="21342"/>
    <cellStyle name="常规 4 3 8 2 2 2 4 5" xfId="21344"/>
    <cellStyle name="常规 4 3 8 2 2 2 4 6" xfId="21345"/>
    <cellStyle name="常规 4 3 8 2 2 2 5" xfId="1577"/>
    <cellStyle name="常规 4 3 8 2 2 2 5 2" xfId="21347"/>
    <cellStyle name="常规 4 3 8 2 2 2 5 2 2" xfId="21349"/>
    <cellStyle name="常规 4 3 8 2 2 2 5 2 2 2" xfId="21350"/>
    <cellStyle name="常规 4 3 8 2 2 2 5 2 3" xfId="21351"/>
    <cellStyle name="常规 4 3 8 2 2 2 5 2 4" xfId="20"/>
    <cellStyle name="常规 4 3 8 2 2 2 5 3" xfId="21353"/>
    <cellStyle name="常规 4 3 8 2 2 2 5 3 2" xfId="21354"/>
    <cellStyle name="常规 4 3 8 2 2 2 5 4" xfId="21355"/>
    <cellStyle name="常规 4 3 8 2 2 2 5 5" xfId="21356"/>
    <cellStyle name="常规 4 3 8 2 2 2 6" xfId="16219"/>
    <cellStyle name="常规 4 3 8 2 2 2 6 2" xfId="21357"/>
    <cellStyle name="常规 4 3 8 2 2 2 6 2 2" xfId="21358"/>
    <cellStyle name="常规 4 3 8 2 2 2 6 3" xfId="21359"/>
    <cellStyle name="常规 4 3 8 2 2 2 6 4" xfId="21360"/>
    <cellStyle name="常规 4 3 8 2 2 2 7" xfId="21362"/>
    <cellStyle name="常规 4 3 8 2 2 2 7 2" xfId="21364"/>
    <cellStyle name="常规 4 3 8 2 2 2 8" xfId="7483"/>
    <cellStyle name="常规 4 3 8 2 2 2 9" xfId="21365"/>
    <cellStyle name="常规 4 3 8 2 2 3" xfId="6416"/>
    <cellStyle name="常规 4 3 8 2 2 3 2" xfId="21368"/>
    <cellStyle name="常规 4 3 8 2 2 3 2 2" xfId="21370"/>
    <cellStyle name="常规 4 3 8 2 2 3 2 2 2" xfId="21372"/>
    <cellStyle name="常规 4 3 8 2 2 3 2 2 2 2" xfId="21373"/>
    <cellStyle name="常规 4 3 8 2 2 3 2 2 2 2 2" xfId="21375"/>
    <cellStyle name="常规 4 3 8 2 2 3 2 2 2 2 2 2" xfId="21377"/>
    <cellStyle name="常规 4 3 8 2 2 3 2 2 2 2 2 2 2" xfId="21380"/>
    <cellStyle name="常规 4 3 8 2 2 3 2 2 2 2 2 3" xfId="21382"/>
    <cellStyle name="常规 4 3 8 2 2 3 2 2 2 2 2 4" xfId="21385"/>
    <cellStyle name="常规 4 3 8 2 2 3 2 2 2 2 3" xfId="7525"/>
    <cellStyle name="常规 4 3 8 2 2 3 2 2 2 2 3 2" xfId="16242"/>
    <cellStyle name="常规 4 3 8 2 2 3 2 2 2 2 4" xfId="16245"/>
    <cellStyle name="常规 4 3 8 2 2 3 2 2 2 2 5" xfId="16248"/>
    <cellStyle name="常规 4 3 8 2 2 3 2 2 2 3" xfId="21386"/>
    <cellStyle name="常规 4 3 8 2 2 3 2 2 2 3 2" xfId="21389"/>
    <cellStyle name="常规 4 3 8 2 2 3 2 2 2 3 2 2" xfId="21391"/>
    <cellStyle name="常规 4 3 8 2 2 3 2 2 2 3 3" xfId="16252"/>
    <cellStyle name="常规 4 3 8 2 2 3 2 2 2 3 4" xfId="21393"/>
    <cellStyle name="常规 4 3 8 2 2 3 2 2 2 4" xfId="21394"/>
    <cellStyle name="常规 4 3 8 2 2 3 2 2 2 4 2" xfId="21396"/>
    <cellStyle name="常规 4 3 8 2 2 3 2 2 2 5" xfId="21397"/>
    <cellStyle name="常规 4 3 8 2 2 3 2 2 2 6" xfId="21399"/>
    <cellStyle name="常规 4 3 8 2 2 3 2 2 3" xfId="21400"/>
    <cellStyle name="常规 4 3 8 2 2 3 2 2 3 2" xfId="21401"/>
    <cellStyle name="常规 4 3 8 2 2 3 2 2 3 2 2" xfId="21403"/>
    <cellStyle name="常规 4 3 8 2 2 3 2 2 3 2 2 2" xfId="21405"/>
    <cellStyle name="常规 4 3 8 2 2 3 2 2 3 2 3" xfId="16276"/>
    <cellStyle name="常规 4 3 8 2 2 3 2 2 3 2 4" xfId="21407"/>
    <cellStyle name="常规 4 3 8 2 2 3 2 2 3 3" xfId="21408"/>
    <cellStyle name="常规 4 3 8 2 2 3 2 2 3 3 2" xfId="21410"/>
    <cellStyle name="常规 4 3 8 2 2 3 2 2 3 4" xfId="21413"/>
    <cellStyle name="常规 4 3 8 2 2 3 2 2 3 5" xfId="21416"/>
    <cellStyle name="常规 4 3 8 2 2 3 2 2 4" xfId="18715"/>
    <cellStyle name="常规 4 3 8 2 2 3 2 2 4 2" xfId="18717"/>
    <cellStyle name="常规 4 3 8 2 2 3 2 2 4 2 2" xfId="21418"/>
    <cellStyle name="常规 4 3 8 2 2 3 2 2 4 3" xfId="21419"/>
    <cellStyle name="常规 4 3 8 2 2 3 2 2 4 4" xfId="21422"/>
    <cellStyle name="常规 4 3 8 2 2 3 2 2 5" xfId="18719"/>
    <cellStyle name="常规 4 3 8 2 2 3 2 2 5 2" xfId="21423"/>
    <cellStyle name="常规 4 3 8 2 2 3 2 2 6" xfId="18721"/>
    <cellStyle name="常规 4 3 8 2 2 3 2 2 7" xfId="13745"/>
    <cellStyle name="常规 4 3 8 2 2 3 2 3" xfId="21424"/>
    <cellStyle name="常规 4 3 8 2 2 3 2 3 2" xfId="21425"/>
    <cellStyle name="常规 4 3 8 2 2 3 2 3 2 2" xfId="21426"/>
    <cellStyle name="常规 4 3 8 2 2 3 2 3 2 2 2" xfId="21428"/>
    <cellStyle name="常规 4 3 8 2 2 3 2 3 2 2 2 2" xfId="21430"/>
    <cellStyle name="常规 4 3 8 2 2 3 2 3 2 2 3" xfId="16329"/>
    <cellStyle name="常规 4 3 8 2 2 3 2 3 2 2 4" xfId="21432"/>
    <cellStyle name="常规 4 3 8 2 2 3 2 3 2 3" xfId="21433"/>
    <cellStyle name="常规 4 3 8 2 2 3 2 3 2 3 2" xfId="21435"/>
    <cellStyle name="常规 4 3 8 2 2 3 2 3 2 4" xfId="15710"/>
    <cellStyle name="常规 4 3 8 2 2 3 2 3 2 5" xfId="15755"/>
    <cellStyle name="常规 4 3 8 2 2 3 2 3 3" xfId="21436"/>
    <cellStyle name="常规 4 3 8 2 2 3 2 3 3 2" xfId="21437"/>
    <cellStyle name="常规 4 3 8 2 2 3 2 3 3 2 2" xfId="21439"/>
    <cellStyle name="常规 4 3 8 2 2 3 2 3 3 3" xfId="21440"/>
    <cellStyle name="常规 4 3 8 2 2 3 2 3 3 4" xfId="15794"/>
    <cellStyle name="常规 4 3 8 2 2 3 2 3 4" xfId="18724"/>
    <cellStyle name="常规 4 3 8 2 2 3 2 3 4 2" xfId="21441"/>
    <cellStyle name="常规 4 3 8 2 2 3 2 3 5" xfId="21442"/>
    <cellStyle name="常规 4 3 8 2 2 3 2 3 6" xfId="21444"/>
    <cellStyle name="常规 4 3 8 2 2 3 2 4" xfId="10179"/>
    <cellStyle name="常规 4 3 8 2 2 3 2 4 2" xfId="21445"/>
    <cellStyle name="常规 4 3 8 2 2 3 2 4 2 2" xfId="21447"/>
    <cellStyle name="常规 4 3 8 2 2 3 2 4 2 2 2" xfId="21450"/>
    <cellStyle name="常规 4 3 8 2 2 3 2 4 2 3" xfId="21452"/>
    <cellStyle name="常规 4 3 8 2 2 3 2 4 2 4" xfId="45"/>
    <cellStyle name="常规 4 3 8 2 2 3 2 4 3" xfId="21453"/>
    <cellStyle name="常规 4 3 8 2 2 3 2 4 3 2" xfId="21455"/>
    <cellStyle name="常规 4 3 8 2 2 3 2 4 4" xfId="21456"/>
    <cellStyle name="常规 4 3 8 2 2 3 2 4 5" xfId="21457"/>
    <cellStyle name="常规 4 3 8 2 2 3 2 5" xfId="21458"/>
    <cellStyle name="常规 4 3 8 2 2 3 2 5 2" xfId="21460"/>
    <cellStyle name="常规 4 3 8 2 2 3 2 5 2 2" xfId="21463"/>
    <cellStyle name="常规 4 3 8 2 2 3 2 5 3" xfId="21465"/>
    <cellStyle name="常规 4 3 8 2 2 3 2 5 4" xfId="21467"/>
    <cellStyle name="常规 4 3 8 2 2 3 2 6" xfId="21468"/>
    <cellStyle name="常规 4 3 8 2 2 3 2 6 2" xfId="10557"/>
    <cellStyle name="常规 4 3 8 2 2 3 2 7" xfId="21469"/>
    <cellStyle name="常规 4 3 8 2 2 3 2 8" xfId="21470"/>
    <cellStyle name="常规 4 3 8 2 2 3 3" xfId="1588"/>
    <cellStyle name="常规 4 3 8 2 2 3 3 2" xfId="313"/>
    <cellStyle name="常规 4 3 8 2 2 3 3 2 2" xfId="189"/>
    <cellStyle name="常规 4 3 8 2 2 3 3 2 2 2" xfId="16706"/>
    <cellStyle name="常规 4 3 8 2 2 3 3 2 2 2 2" xfId="21472"/>
    <cellStyle name="常规 4 3 8 2 2 3 3 2 2 2 2 2" xfId="21475"/>
    <cellStyle name="常规 4 3 8 2 2 3 3 2 2 2 3" xfId="21478"/>
    <cellStyle name="常规 4 3 8 2 2 3 3 2 2 2 4" xfId="21482"/>
    <cellStyle name="常规 4 3 8 2 2 3 3 2 2 3" xfId="16708"/>
    <cellStyle name="常规 4 3 8 2 2 3 3 2 2 3 2" xfId="21485"/>
    <cellStyle name="常规 4 3 8 2 2 3 3 2 2 4" xfId="21486"/>
    <cellStyle name="常规 4 3 8 2 2 3 3 2 2 5" xfId="21487"/>
    <cellStyle name="常规 4 3 8 2 2 3 3 2 3" xfId="21488"/>
    <cellStyle name="常规 4 3 8 2 2 3 3 2 3 2" xfId="16718"/>
    <cellStyle name="常规 4 3 8 2 2 3 3 2 3 2 2" xfId="21490"/>
    <cellStyle name="常规 4 3 8 2 2 3 3 2 3 3" xfId="21491"/>
    <cellStyle name="常规 4 3 8 2 2 3 3 2 3 4" xfId="21494"/>
    <cellStyle name="常规 4 3 8 2 2 3 3 2 4" xfId="18731"/>
    <cellStyle name="常规 4 3 8 2 2 3 3 2 4 2" xfId="21495"/>
    <cellStyle name="常规 4 3 8 2 2 3 3 2 5" xfId="21496"/>
    <cellStyle name="常规 4 3 8 2 2 3 3 2 6" xfId="21497"/>
    <cellStyle name="常规 4 3 8 2 2 3 3 3" xfId="21498"/>
    <cellStyle name="常规 4 3 8 2 2 3 3 3 2" xfId="21499"/>
    <cellStyle name="常规 4 3 8 2 2 3 3 3 2 2" xfId="16847"/>
    <cellStyle name="常规 4 3 8 2 2 3 3 3 2 2 2" xfId="21501"/>
    <cellStyle name="常规 4 3 8 2 2 3 3 3 2 3" xfId="16849"/>
    <cellStyle name="常规 4 3 8 2 2 3 3 3 2 4" xfId="21502"/>
    <cellStyle name="常规 4 3 8 2 2 3 3 3 3" xfId="21503"/>
    <cellStyle name="常规 4 3 8 2 2 3 3 3 3 2" xfId="16858"/>
    <cellStyle name="常规 4 3 8 2 2 3 3 3 4" xfId="21504"/>
    <cellStyle name="常规 4 3 8 2 2 3 3 3 5" xfId="21505"/>
    <cellStyle name="常规 4 3 8 2 2 3 3 4" xfId="21506"/>
    <cellStyle name="常规 4 3 8 2 2 3 3 4 2" xfId="21507"/>
    <cellStyle name="常规 4 3 8 2 2 3 3 4 2 2" xfId="16932"/>
    <cellStyle name="常规 4 3 8 2 2 3 3 4 3" xfId="21508"/>
    <cellStyle name="常规 4 3 8 2 2 3 3 4 4" xfId="21509"/>
    <cellStyle name="常规 4 3 8 2 2 3 3 5" xfId="21510"/>
    <cellStyle name="常规 4 3 8 2 2 3 3 5 2" xfId="21512"/>
    <cellStyle name="常规 4 3 8 2 2 3 3 6" xfId="21513"/>
    <cellStyle name="常规 4 3 8 2 2 3 3 7" xfId="21514"/>
    <cellStyle name="常规 4 3 8 2 2 3 4" xfId="21517"/>
    <cellStyle name="常规 4 3 8 2 2 3 4 2" xfId="21521"/>
    <cellStyle name="常规 4 3 8 2 2 3 4 2 2" xfId="21523"/>
    <cellStyle name="常规 4 3 8 2 2 3 4 2 2 2" xfId="17068"/>
    <cellStyle name="常规 4 3 8 2 2 3 4 2 2 2 2" xfId="21526"/>
    <cellStyle name="常规 4 3 8 2 2 3 4 2 2 3" xfId="21527"/>
    <cellStyle name="常规 4 3 8 2 2 3 4 2 2 4" xfId="21528"/>
    <cellStyle name="常规 4 3 8 2 2 3 4 2 3" xfId="21529"/>
    <cellStyle name="常规 4 3 8 2 2 3 4 2 3 2" xfId="21530"/>
    <cellStyle name="常规 4 3 8 2 2 3 4 2 4" xfId="21531"/>
    <cellStyle name="常规 4 3 8 2 2 3 4 2 5" xfId="21532"/>
    <cellStyle name="常规 4 3 8 2 2 3 4 3" xfId="21534"/>
    <cellStyle name="常规 4 3 8 2 2 3 4 3 2" xfId="21535"/>
    <cellStyle name="常规 4 3 8 2 2 3 4 3 2 2" xfId="21536"/>
    <cellStyle name="常规 4 3 8 2 2 3 4 3 3" xfId="21537"/>
    <cellStyle name="常规 4 3 8 2 2 3 4 3 4" xfId="21538"/>
    <cellStyle name="常规 4 3 8 2 2 3 4 4" xfId="21539"/>
    <cellStyle name="常规 4 3 8 2 2 3 4 4 2" xfId="21540"/>
    <cellStyle name="常规 4 3 8 2 2 3 4 5" xfId="21541"/>
    <cellStyle name="常规 4 3 8 2 2 3 4 6" xfId="21542"/>
    <cellStyle name="常规 4 3 8 2 2 3 5" xfId="21544"/>
    <cellStyle name="常规 4 3 8 2 2 3 5 2" xfId="21546"/>
    <cellStyle name="常规 4 3 8 2 2 3 5 2 2" xfId="21547"/>
    <cellStyle name="常规 4 3 8 2 2 3 5 2 2 2" xfId="17231"/>
    <cellStyle name="常规 4 3 8 2 2 3 5 2 3" xfId="21548"/>
    <cellStyle name="常规 4 3 8 2 2 3 5 2 4" xfId="21549"/>
    <cellStyle name="常规 4 3 8 2 2 3 5 3" xfId="21550"/>
    <cellStyle name="常规 4 3 8 2 2 3 5 3 2" xfId="21551"/>
    <cellStyle name="常规 4 3 8 2 2 3 5 4" xfId="21552"/>
    <cellStyle name="常规 4 3 8 2 2 3 5 5" xfId="21553"/>
    <cellStyle name="常规 4 3 8 2 2 3 6" xfId="21555"/>
    <cellStyle name="常规 4 3 8 2 2 3 6 2" xfId="21557"/>
    <cellStyle name="常规 4 3 8 2 2 3 6 2 2" xfId="21558"/>
    <cellStyle name="常规 4 3 8 2 2 3 6 3" xfId="21559"/>
    <cellStyle name="常规 4 3 8 2 2 3 6 4" xfId="21561"/>
    <cellStyle name="常规 4 3 8 2 2 3 7" xfId="21562"/>
    <cellStyle name="常规 4 3 8 2 2 3 7 2" xfId="21563"/>
    <cellStyle name="常规 4 3 8 2 2 3 8" xfId="21564"/>
    <cellStyle name="常规 4 3 8 2 2 3 9" xfId="18542"/>
    <cellStyle name="常规 4 3 8 2 2 4" xfId="21565"/>
    <cellStyle name="常规 4 3 8 2 2 4 2" xfId="21567"/>
    <cellStyle name="常规 4 3 8 2 2 4 2 2" xfId="21568"/>
    <cellStyle name="常规 4 3 8 2 2 4 2 2 2" xfId="21569"/>
    <cellStyle name="常规 4 3 8 2 2 4 2 2 2 2" xfId="21570"/>
    <cellStyle name="常规 4 3 8 2 2 4 2 2 2 2 2" xfId="21572"/>
    <cellStyle name="常规 4 3 8 2 2 4 2 2 2 2 2 2" xfId="21574"/>
    <cellStyle name="常规 4 3 8 2 2 4 2 2 2 2 3" xfId="21576"/>
    <cellStyle name="常规 4 3 8 2 2 4 2 2 2 2 4" xfId="21578"/>
    <cellStyle name="常规 4 3 8 2 2 4 2 2 2 3" xfId="21579"/>
    <cellStyle name="常规 4 3 8 2 2 4 2 2 2 3 2" xfId="21581"/>
    <cellStyle name="常规 4 3 8 2 2 4 2 2 2 4" xfId="21582"/>
    <cellStyle name="常规 4 3 8 2 2 4 2 2 2 5" xfId="21583"/>
    <cellStyle name="常规 4 3 8 2 2 4 2 2 3" xfId="21584"/>
    <cellStyle name="常规 4 3 8 2 2 4 2 2 3 2" xfId="21585"/>
    <cellStyle name="常规 4 3 8 2 2 4 2 2 3 2 2" xfId="21587"/>
    <cellStyle name="常规 4 3 8 2 2 4 2 2 3 3" xfId="21588"/>
    <cellStyle name="常规 4 3 8 2 2 4 2 2 3 4" xfId="21591"/>
    <cellStyle name="常规 4 3 8 2 2 4 2 2 4" xfId="18749"/>
    <cellStyle name="常规 4 3 8 2 2 4 2 2 4 2" xfId="21592"/>
    <cellStyle name="常规 4 3 8 2 2 4 2 2 5" xfId="21593"/>
    <cellStyle name="常规 4 3 8 2 2 4 2 2 6" xfId="21596"/>
    <cellStyle name="常规 4 3 8 2 2 4 2 3" xfId="21597"/>
    <cellStyle name="常规 4 3 8 2 2 4 2 3 2" xfId="21598"/>
    <cellStyle name="常规 4 3 8 2 2 4 2 3 2 2" xfId="21599"/>
    <cellStyle name="常规 4 3 8 2 2 4 2 3 2 2 2" xfId="21601"/>
    <cellStyle name="常规 4 3 8 2 2 4 2 3 2 3" xfId="21602"/>
    <cellStyle name="常规 4 3 8 2 2 4 2 3 2 4" xfId="21603"/>
    <cellStyle name="常规 4 3 8 2 2 4 2 3 3" xfId="21604"/>
    <cellStyle name="常规 4 3 8 2 2 4 2 3 3 2" xfId="21605"/>
    <cellStyle name="常规 4 3 8 2 2 4 2 3 4" xfId="21606"/>
    <cellStyle name="常规 4 3 8 2 2 4 2 3 5" xfId="21607"/>
    <cellStyle name="常规 4 3 8 2 2 4 2 4" xfId="21608"/>
    <cellStyle name="常规 4 3 8 2 2 4 2 4 2" xfId="21609"/>
    <cellStyle name="常规 4 3 8 2 2 4 2 4 2 2" xfId="21611"/>
    <cellStyle name="常规 4 3 8 2 2 4 2 4 3" xfId="21612"/>
    <cellStyle name="常规 4 3 8 2 2 4 2 4 4" xfId="21613"/>
    <cellStyle name="常规 4 3 8 2 2 4 2 5" xfId="21614"/>
    <cellStyle name="常规 4 3 8 2 2 4 2 5 2" xfId="21616"/>
    <cellStyle name="常规 4 3 8 2 2 4 2 6" xfId="21617"/>
    <cellStyle name="常规 4 3 8 2 2 4 2 7" xfId="19820"/>
    <cellStyle name="常规 4 3 8 2 2 4 3" xfId="21619"/>
    <cellStyle name="常规 4 3 8 2 2 4 3 2" xfId="21620"/>
    <cellStyle name="常规 4 3 8 2 2 4 3 2 2" xfId="21621"/>
    <cellStyle name="常规 4 3 8 2 2 4 3 2 2 2" xfId="17573"/>
    <cellStyle name="常规 4 3 8 2 2 4 3 2 2 2 2" xfId="21623"/>
    <cellStyle name="常规 4 3 8 2 2 4 3 2 2 3" xfId="21624"/>
    <cellStyle name="常规 4 3 8 2 2 4 3 2 2 4" xfId="21625"/>
    <cellStyle name="常规 4 3 8 2 2 4 3 2 3" xfId="21626"/>
    <cellStyle name="常规 4 3 8 2 2 4 3 2 3 2" xfId="21627"/>
    <cellStyle name="常规 4 3 8 2 2 4 3 2 4" xfId="21628"/>
    <cellStyle name="常规 4 3 8 2 2 4 3 2 5" xfId="21629"/>
    <cellStyle name="常规 4 3 8 2 2 4 3 3" xfId="21630"/>
    <cellStyle name="常规 4 3 8 2 2 4 3 3 2" xfId="21631"/>
    <cellStyle name="常规 4 3 8 2 2 4 3 3 2 2" xfId="21632"/>
    <cellStyle name="常规 4 3 8 2 2 4 3 3 3" xfId="21633"/>
    <cellStyle name="常规 4 3 8 2 2 4 3 3 4" xfId="21634"/>
    <cellStyle name="常规 4 3 8 2 2 4 3 4" xfId="21635"/>
    <cellStyle name="常规 4 3 8 2 2 4 3 4 2" xfId="21636"/>
    <cellStyle name="常规 4 3 8 2 2 4 3 5" xfId="21637"/>
    <cellStyle name="常规 4 3 8 2 2 4 3 6" xfId="21638"/>
    <cellStyle name="常规 4 3 8 2 2 4 4" xfId="21640"/>
    <cellStyle name="常规 4 3 8 2 2 4 4 2" xfId="21642"/>
    <cellStyle name="常规 4 3 8 2 2 4 4 2 2" xfId="21643"/>
    <cellStyle name="常规 4 3 8 2 2 4 4 2 2 2" xfId="17743"/>
    <cellStyle name="常规 4 3 8 2 2 4 4 2 3" xfId="21644"/>
    <cellStyle name="常规 4 3 8 2 2 4 4 2 4" xfId="21645"/>
    <cellStyle name="常规 4 3 8 2 2 4 4 3" xfId="21646"/>
    <cellStyle name="常规 4 3 8 2 2 4 4 3 2" xfId="21647"/>
    <cellStyle name="常规 4 3 8 2 2 4 4 4" xfId="126"/>
    <cellStyle name="常规 4 3 8 2 2 4 4 5" xfId="21648"/>
    <cellStyle name="常规 4 3 8 2 2 4 5" xfId="21649"/>
    <cellStyle name="常规 4 3 8 2 2 4 5 2" xfId="21650"/>
    <cellStyle name="常规 4 3 8 2 2 4 5 2 2" xfId="21651"/>
    <cellStyle name="常规 4 3 8 2 2 4 5 3" xfId="21652"/>
    <cellStyle name="常规 4 3 8 2 2 4 5 4" xfId="21653"/>
    <cellStyle name="常规 4 3 8 2 2 4 6" xfId="21654"/>
    <cellStyle name="常规 4 3 8 2 2 4 6 2" xfId="21655"/>
    <cellStyle name="常规 4 3 8 2 2 4 7" xfId="21656"/>
    <cellStyle name="常规 4 3 8 2 2 4 8" xfId="21658"/>
    <cellStyle name="常规 4 3 8 2 2 5" xfId="21660"/>
    <cellStyle name="常规 4 3 8 2 2 5 2" xfId="12935"/>
    <cellStyle name="常规 4 3 8 2 2 5 2 2" xfId="21661"/>
    <cellStyle name="常规 4 3 8 2 2 5 2 2 2" xfId="21662"/>
    <cellStyle name="常规 4 3 8 2 2 5 2 2 2 2" xfId="21663"/>
    <cellStyle name="常规 4 3 8 2 2 5 2 2 2 2 2" xfId="21665"/>
    <cellStyle name="常规 4 3 8 2 2 5 2 2 2 3" xfId="21666"/>
    <cellStyle name="常规 4 3 8 2 2 5 2 2 2 4" xfId="21667"/>
    <cellStyle name="常规 4 3 8 2 2 5 2 2 3" xfId="21668"/>
    <cellStyle name="常规 4 3 8 2 2 5 2 2 3 2" xfId="21669"/>
    <cellStyle name="常规 4 3 8 2 2 5 2 2 4" xfId="21670"/>
    <cellStyle name="常规 4 3 8 2 2 5 2 2 5" xfId="21671"/>
    <cellStyle name="常规 4 3 8 2 2 5 2 3" xfId="21672"/>
    <cellStyle name="常规 4 3 8 2 2 5 2 3 2" xfId="21673"/>
    <cellStyle name="常规 4 3 8 2 2 5 2 3 2 2" xfId="21674"/>
    <cellStyle name="常规 4 3 8 2 2 5 2 3 3" xfId="21675"/>
    <cellStyle name="常规 4 3 8 2 2 5 2 3 4" xfId="21676"/>
    <cellStyle name="常规 4 3 8 2 2 5 2 4" xfId="21677"/>
    <cellStyle name="常规 4 3 8 2 2 5 2 4 2" xfId="21678"/>
    <cellStyle name="常规 4 3 8 2 2 5 2 5" xfId="21679"/>
    <cellStyle name="常规 4 3 8 2 2 5 2 6" xfId="21680"/>
    <cellStyle name="常规 4 3 8 2 2 5 3" xfId="12938"/>
    <cellStyle name="常规 4 3 8 2 2 5 3 2" xfId="21681"/>
    <cellStyle name="常规 4 3 8 2 2 5 3 2 2" xfId="21682"/>
    <cellStyle name="常规 4 3 8 2 2 5 3 2 2 2" xfId="5903"/>
    <cellStyle name="常规 4 3 8 2 2 5 3 2 3" xfId="21683"/>
    <cellStyle name="常规 4 3 8 2 2 5 3 2 4" xfId="21684"/>
    <cellStyle name="常规 4 3 8 2 2 5 3 3" xfId="21685"/>
    <cellStyle name="常规 4 3 8 2 2 5 3 3 2" xfId="21686"/>
    <cellStyle name="常规 4 3 8 2 2 5 3 4" xfId="21687"/>
    <cellStyle name="常规 4 3 8 2 2 5 3 5" xfId="21688"/>
    <cellStyle name="常规 4 3 8 2 2 5 4" xfId="21689"/>
    <cellStyle name="常规 4 3 8 2 2 5 4 2" xfId="21690"/>
    <cellStyle name="常规 4 3 8 2 2 5 4 2 2" xfId="21691"/>
    <cellStyle name="常规 4 3 8 2 2 5 4 3" xfId="21692"/>
    <cellStyle name="常规 4 3 8 2 2 5 4 4" xfId="21693"/>
    <cellStyle name="常规 4 3 8 2 2 5 5" xfId="21694"/>
    <cellStyle name="常规 4 3 8 2 2 5 5 2" xfId="21695"/>
    <cellStyle name="常规 4 3 8 2 2 5 6" xfId="21696"/>
    <cellStyle name="常规 4 3 8 2 2 5 7" xfId="21697"/>
    <cellStyle name="常规 4 3 8 2 2 6" xfId="21698"/>
    <cellStyle name="常规 4 3 8 2 2 6 2" xfId="12955"/>
    <cellStyle name="常规 4 3 8 2 2 6 2 2" xfId="21699"/>
    <cellStyle name="常规 4 3 8 2 2 6 2 2 2" xfId="5196"/>
    <cellStyle name="常规 4 3 8 2 2 6 2 2 2 2" xfId="5200"/>
    <cellStyle name="常规 4 3 8 2 2 6 2 2 3" xfId="21701"/>
    <cellStyle name="常规 4 3 8 2 2 6 2 2 4" xfId="21703"/>
    <cellStyle name="常规 4 3 8 2 2 6 2 3" xfId="21705"/>
    <cellStyle name="常规 4 3 8 2 2 6 2 3 2" xfId="5517"/>
    <cellStyle name="常规 4 3 8 2 2 6 2 4" xfId="21707"/>
    <cellStyle name="常规 4 3 8 2 2 6 2 5" xfId="21709"/>
    <cellStyle name="常规 4 3 8 2 2 6 3" xfId="21711"/>
    <cellStyle name="常规 4 3 8 2 2 6 3 2" xfId="21713"/>
    <cellStyle name="常规 4 3 8 2 2 6 3 2 2" xfId="2502"/>
    <cellStyle name="常规 4 3 8 2 2 6 3 3" xfId="21715"/>
    <cellStyle name="常规 4 3 8 2 2 6 3 4" xfId="21717"/>
    <cellStyle name="常规 4 3 8 2 2 6 4" xfId="21719"/>
    <cellStyle name="常规 4 3 8 2 2 6 4 2" xfId="21721"/>
    <cellStyle name="常规 4 3 8 2 2 6 5" xfId="21724"/>
    <cellStyle name="常规 4 3 8 2 2 6 6" xfId="21726"/>
    <cellStyle name="常规 4 3 8 2 2 7" xfId="21728"/>
    <cellStyle name="常规 4 3 8 2 2 7 2" xfId="3546"/>
    <cellStyle name="常规 4 3 8 2 2 7 2 2" xfId="21730"/>
    <cellStyle name="常规 4 3 8 2 2 7 2 2 2" xfId="7477"/>
    <cellStyle name="常规 4 3 8 2 2 7 2 3" xfId="21732"/>
    <cellStyle name="常规 4 3 8 2 2 7 2 4" xfId="21734"/>
    <cellStyle name="常规 4 3 8 2 2 7 3" xfId="21737"/>
    <cellStyle name="常规 4 3 8 2 2 7 3 2" xfId="21739"/>
    <cellStyle name="常规 4 3 8 2 2 7 4" xfId="2413"/>
    <cellStyle name="常规 4 3 8 2 2 7 5" xfId="3563"/>
    <cellStyle name="常规 4 3 8 2 2 8" xfId="21742"/>
    <cellStyle name="常规 4 3 8 2 2 8 2" xfId="21744"/>
    <cellStyle name="常规 4 3 8 2 2 8 2 2" xfId="21747"/>
    <cellStyle name="常规 4 3 8 2 2 8 3" xfId="21752"/>
    <cellStyle name="常规 4 3 8 2 2 8 4" xfId="3596"/>
    <cellStyle name="常规 4 3 8 2 2 9" xfId="20605"/>
    <cellStyle name="常规 4 3 8 2 2 9 2" xfId="20607"/>
    <cellStyle name="常规 4 3 8 2 3" xfId="21755"/>
    <cellStyle name="常规 4 3 8 2 3 2" xfId="21756"/>
    <cellStyle name="常规 4 3 8 2 3 2 2" xfId="8397"/>
    <cellStyle name="常规 4 3 8 2 3 2 2 2" xfId="21479"/>
    <cellStyle name="常规 4 3 8 2 3 2 2 2 2" xfId="21761"/>
    <cellStyle name="常规 4 3 8 2 3 2 2 2 2 2" xfId="21765"/>
    <cellStyle name="常规 4 3 8 2 3 2 2 2 2 2 2" xfId="18352"/>
    <cellStyle name="常规 4 3 8 2 3 2 2 2 2 2 2 2" xfId="14411"/>
    <cellStyle name="常规 4 3 8 2 3 2 2 2 2 2 3" xfId="18356"/>
    <cellStyle name="常规 4 3 8 2 3 2 2 2 2 2 4" xfId="21768"/>
    <cellStyle name="常规 4 3 8 2 3 2 2 2 2 3" xfId="18971"/>
    <cellStyle name="常规 4 3 8 2 3 2 2 2 2 3 2" xfId="7181"/>
    <cellStyle name="常规 4 3 8 2 3 2 2 2 2 4" xfId="18976"/>
    <cellStyle name="常规 4 3 8 2 3 2 2 2 2 5" xfId="18980"/>
    <cellStyle name="常规 4 3 8 2 3 2 2 2 3" xfId="21771"/>
    <cellStyle name="常规 4 3 8 2 3 2 2 2 3 2" xfId="21775"/>
    <cellStyle name="常规 4 3 8 2 3 2 2 2 3 2 2" xfId="21778"/>
    <cellStyle name="常规 4 3 8 2 3 2 2 2 3 3" xfId="18986"/>
    <cellStyle name="常规 4 3 8 2 3 2 2 2 3 4" xfId="18993"/>
    <cellStyle name="常规 4 3 8 2 3 2 2 2 4" xfId="19880"/>
    <cellStyle name="常规 4 3 8 2 3 2 2 2 4 2" xfId="19885"/>
    <cellStyle name="常规 4 3 8 2 3 2 2 2 5" xfId="19890"/>
    <cellStyle name="常规 4 3 8 2 3 2 2 2 6" xfId="19896"/>
    <cellStyle name="常规 4 3 8 2 3 2 2 3" xfId="21483"/>
    <cellStyle name="常规 4 3 8 2 3 2 2 3 2" xfId="21781"/>
    <cellStyle name="常规 4 3 8 2 3 2 2 3 2 2" xfId="21785"/>
    <cellStyle name="常规 4 3 8 2 3 2 2 3 2 2 2" xfId="21787"/>
    <cellStyle name="常规 4 3 8 2 3 2 2 3 2 3" xfId="19033"/>
    <cellStyle name="常规 4 3 8 2 3 2 2 3 2 4" xfId="19038"/>
    <cellStyle name="常规 4 3 8 2 3 2 2 3 3" xfId="21790"/>
    <cellStyle name="常规 4 3 8 2 3 2 2 3 3 2" xfId="21793"/>
    <cellStyle name="常规 4 3 8 2 3 2 2 3 4" xfId="19901"/>
    <cellStyle name="常规 4 3 8 2 3 2 2 3 5" xfId="21797"/>
    <cellStyle name="常规 4 3 8 2 3 2 2 4" xfId="10312"/>
    <cellStyle name="常规 4 3 8 2 3 2 2 4 2" xfId="21800"/>
    <cellStyle name="常规 4 3 8 2 3 2 2 4 2 2" xfId="21804"/>
    <cellStyle name="常规 4 3 8 2 3 2 2 4 3" xfId="21807"/>
    <cellStyle name="常规 4 3 8 2 3 2 2 4 4" xfId="21810"/>
    <cellStyle name="常规 4 3 8 2 3 2 2 5" xfId="21811"/>
    <cellStyle name="常规 4 3 8 2 3 2 2 5 2" xfId="21814"/>
    <cellStyle name="常规 4 3 8 2 3 2 2 6" xfId="21815"/>
    <cellStyle name="常规 4 3 8 2 3 2 2 7" xfId="21817"/>
    <cellStyle name="常规 4 3 8 2 3 2 3" xfId="16446"/>
    <cellStyle name="常规 4 3 8 2 3 2 3 2" xfId="21820"/>
    <cellStyle name="常规 4 3 8 2 3 2 3 2 2" xfId="21822"/>
    <cellStyle name="常规 4 3 8 2 3 2 3 2 2 2" xfId="21824"/>
    <cellStyle name="常规 4 3 8 2 3 2 3 2 2 2 2" xfId="21826"/>
    <cellStyle name="常规 4 3 8 2 3 2 3 2 2 3" xfId="19082"/>
    <cellStyle name="常规 4 3 8 2 3 2 3 2 2 4" xfId="15416"/>
    <cellStyle name="常规 4 3 8 2 3 2 3 2 3" xfId="21828"/>
    <cellStyle name="常规 4 3 8 2 3 2 3 2 3 2" xfId="4177"/>
    <cellStyle name="常规 4 3 8 2 3 2 3 2 4" xfId="19908"/>
    <cellStyle name="常规 4 3 8 2 3 2 3 2 5" xfId="21832"/>
    <cellStyle name="常规 4 3 8 2 3 2 3 3" xfId="2614"/>
    <cellStyle name="常规 4 3 8 2 3 2 3 3 2" xfId="21834"/>
    <cellStyle name="常规 4 3 8 2 3 2 3 3 2 2" xfId="21836"/>
    <cellStyle name="常规 4 3 8 2 3 2 3 3 3" xfId="21838"/>
    <cellStyle name="常规 4 3 8 2 3 2 3 3 4" xfId="21840"/>
    <cellStyle name="常规 4 3 8 2 3 2 3 4" xfId="21841"/>
    <cellStyle name="常规 4 3 8 2 3 2 3 4 2" xfId="21843"/>
    <cellStyle name="常规 4 3 8 2 3 2 3 5" xfId="21844"/>
    <cellStyle name="常规 4 3 8 2 3 2 3 6" xfId="16737"/>
    <cellStyle name="常规 4 3 8 2 3 2 4" xfId="21847"/>
    <cellStyle name="常规 4 3 8 2 3 2 4 2" xfId="21850"/>
    <cellStyle name="常规 4 3 8 2 3 2 4 2 2" xfId="21855"/>
    <cellStyle name="常规 4 3 8 2 3 2 4 2 2 2" xfId="21858"/>
    <cellStyle name="常规 4 3 8 2 3 2 4 2 3" xfId="21861"/>
    <cellStyle name="常规 4 3 8 2 3 2 4 2 4" xfId="21864"/>
    <cellStyle name="常规 4 3 8 2 3 2 4 3" xfId="21866"/>
    <cellStyle name="常规 4 3 8 2 3 2 4 3 2" xfId="21869"/>
    <cellStyle name="常规 4 3 8 2 3 2 4 4" xfId="21870"/>
    <cellStyle name="常规 4 3 8 2 3 2 4 5" xfId="21871"/>
    <cellStyle name="常规 4 3 8 2 3 2 5" xfId="21874"/>
    <cellStyle name="常规 4 3 8 2 3 2 5 2" xfId="21876"/>
    <cellStyle name="常规 4 3 8 2 3 2 5 2 2" xfId="21879"/>
    <cellStyle name="常规 4 3 8 2 3 2 5 3" xfId="21880"/>
    <cellStyle name="常规 4 3 8 2 3 2 5 4" xfId="21881"/>
    <cellStyle name="常规 4 3 8 2 3 2 6" xfId="21883"/>
    <cellStyle name="常规 4 3 8 2 3 2 6 2" xfId="21885"/>
    <cellStyle name="常规 4 3 8 2 3 2 7" xfId="21886"/>
    <cellStyle name="常规 4 3 8 2 3 2 8" xfId="21887"/>
    <cellStyle name="常规 4 3 8 2 3 3" xfId="21888"/>
    <cellStyle name="常规 4 3 8 2 3 3 2" xfId="16451"/>
    <cellStyle name="常规 4 3 8 2 3 3 2 2" xfId="21891"/>
    <cellStyle name="常规 4 3 8 2 3 3 2 2 2" xfId="21893"/>
    <cellStyle name="常规 4 3 8 2 3 3 2 2 2 2" xfId="21895"/>
    <cellStyle name="常规 4 3 8 2 3 3 2 2 2 2 2" xfId="21898"/>
    <cellStyle name="常规 4 3 8 2 3 3 2 2 2 3" xfId="19233"/>
    <cellStyle name="常规 4 3 8 2 3 3 2 2 2 4" xfId="19239"/>
    <cellStyle name="常规 4 3 8 2 3 3 2 2 3" xfId="21900"/>
    <cellStyle name="常规 4 3 8 2 3 3 2 2 3 2" xfId="21902"/>
    <cellStyle name="常规 4 3 8 2 3 3 2 2 4" xfId="19924"/>
    <cellStyle name="常规 4 3 8 2 3 3 2 2 5" xfId="21906"/>
    <cellStyle name="常规 4 3 8 2 3 3 2 3" xfId="21907"/>
    <cellStyle name="常规 4 3 8 2 3 3 2 3 2" xfId="21909"/>
    <cellStyle name="常规 4 3 8 2 3 3 2 3 2 2" xfId="2222"/>
    <cellStyle name="常规 4 3 8 2 3 3 2 3 3" xfId="21911"/>
    <cellStyle name="常规 4 3 8 2 3 3 2 3 4" xfId="21913"/>
    <cellStyle name="常规 4 3 8 2 3 3 2 4" xfId="21914"/>
    <cellStyle name="常规 4 3 8 2 3 3 2 4 2" xfId="21916"/>
    <cellStyle name="常规 4 3 8 2 3 3 2 5" xfId="21917"/>
    <cellStyle name="常规 4 3 8 2 3 3 2 6" xfId="21918"/>
    <cellStyle name="常规 4 3 8 2 3 3 3" xfId="21920"/>
    <cellStyle name="常规 4 3 8 2 3 3 3 2" xfId="21921"/>
    <cellStyle name="常规 4 3 8 2 3 3 3 2 2" xfId="21923"/>
    <cellStyle name="常规 4 3 8 2 3 3 3 2 2 2" xfId="18834"/>
    <cellStyle name="常规 4 3 8 2 3 3 3 2 3" xfId="21925"/>
    <cellStyle name="常规 4 3 8 2 3 3 3 2 4" xfId="21927"/>
    <cellStyle name="常规 4 3 8 2 3 3 3 3" xfId="21928"/>
    <cellStyle name="常规 4 3 8 2 3 3 3 3 2" xfId="21930"/>
    <cellStyle name="常规 4 3 8 2 3 3 3 4" xfId="21931"/>
    <cellStyle name="常规 4 3 8 2 3 3 3 5" xfId="21932"/>
    <cellStyle name="常规 4 3 8 2 3 3 4" xfId="21935"/>
    <cellStyle name="常规 4 3 8 2 3 3 4 2" xfId="21937"/>
    <cellStyle name="常规 4 3 8 2 3 3 4 2 2" xfId="21939"/>
    <cellStyle name="常规 4 3 8 2 3 3 4 3" xfId="21940"/>
    <cellStyle name="常规 4 3 8 2 3 3 4 4" xfId="14636"/>
    <cellStyle name="常规 4 3 8 2 3 3 5" xfId="21941"/>
    <cellStyle name="常规 4 3 8 2 3 3 5 2" xfId="21942"/>
    <cellStyle name="常规 4 3 8 2 3 3 6" xfId="21943"/>
    <cellStyle name="常规 4 3 8 2 3 3 7" xfId="21944"/>
    <cellStyle name="常规 4 3 8 2 3 4" xfId="1741"/>
    <cellStyle name="常规 4 3 8 2 3 4 2" xfId="21946"/>
    <cellStyle name="常规 4 3 8 2 3 4 2 2" xfId="21947"/>
    <cellStyle name="常规 4 3 8 2 3 4 2 2 2" xfId="21951"/>
    <cellStyle name="常规 4 3 8 2 3 4 2 2 2 2" xfId="21956"/>
    <cellStyle name="常规 4 3 8 2 3 4 2 2 3" xfId="21961"/>
    <cellStyle name="常规 4 3 8 2 3 4 2 2 4" xfId="21966"/>
    <cellStyle name="常规 4 3 8 2 3 4 2 3" xfId="21968"/>
    <cellStyle name="常规 4 3 8 2 3 4 2 3 2" xfId="21972"/>
    <cellStyle name="常规 4 3 8 2 3 4 2 4" xfId="21974"/>
    <cellStyle name="常规 4 3 8 2 3 4 2 5" xfId="21976"/>
    <cellStyle name="常规 4 3 8 2 3 4 3" xfId="21978"/>
    <cellStyle name="常规 4 3 8 2 3 4 3 2" xfId="21979"/>
    <cellStyle name="常规 4 3 8 2 3 4 3 2 2" xfId="21983"/>
    <cellStyle name="常规 4 3 8 2 3 4 3 3" xfId="21985"/>
    <cellStyle name="常规 4 3 8 2 3 4 3 4" xfId="21986"/>
    <cellStyle name="常规 4 3 8 2 3 4 4" xfId="21987"/>
    <cellStyle name="常规 4 3 8 2 3 4 4 2" xfId="21988"/>
    <cellStyle name="常规 4 3 8 2 3 4 5" xfId="21989"/>
    <cellStyle name="常规 4 3 8 2 3 4 6" xfId="21990"/>
    <cellStyle name="常规 4 3 8 2 3 5" xfId="21992"/>
    <cellStyle name="常规 4 3 8 2 3 5 2" xfId="12981"/>
    <cellStyle name="常规 4 3 8 2 3 5 2 2" xfId="21993"/>
    <cellStyle name="常规 4 3 8 2 3 5 2 2 2" xfId="21997"/>
    <cellStyle name="常规 4 3 8 2 3 5 2 3" xfId="21999"/>
    <cellStyle name="常规 4 3 8 2 3 5 2 4" xfId="22000"/>
    <cellStyle name="常规 4 3 8 2 3 5 3" xfId="16815"/>
    <cellStyle name="常规 4 3 8 2 3 5 3 2" xfId="22001"/>
    <cellStyle name="常规 4 3 8 2 3 5 4" xfId="22002"/>
    <cellStyle name="常规 4 3 8 2 3 5 5" xfId="22003"/>
    <cellStyle name="常规 4 3 8 2 3 6" xfId="22004"/>
    <cellStyle name="常规 4 3 8 2 3 6 2" xfId="22005"/>
    <cellStyle name="常规 4 3 8 2 3 6 2 2" xfId="22007"/>
    <cellStyle name="常规 4 3 8 2 3 6 3" xfId="22009"/>
    <cellStyle name="常规 4 3 8 2 3 6 4" xfId="22011"/>
    <cellStyle name="常规 4 3 8 2 3 7" xfId="22015"/>
    <cellStyle name="常规 4 3 8 2 3 7 2" xfId="22017"/>
    <cellStyle name="常规 4 3 8 2 3 8" xfId="22023"/>
    <cellStyle name="常规 4 3 8 2 3 9" xfId="20617"/>
    <cellStyle name="常规 4 3 8 2 4" xfId="22024"/>
    <cellStyle name="常规 4 3 8 2 4 2" xfId="22025"/>
    <cellStyle name="常规 4 3 8 2 4 2 2" xfId="8680"/>
    <cellStyle name="常规 4 3 8 2 4 2 2 2" xfId="22028"/>
    <cellStyle name="常规 4 3 8 2 4 2 2 2 2" xfId="22030"/>
    <cellStyle name="常规 4 3 8 2 4 2 2 2 2 2" xfId="14538"/>
    <cellStyle name="常规 4 3 8 2 4 2 2 2 2 2 2" xfId="14542"/>
    <cellStyle name="常规 4 3 8 2 4 2 2 2 2 2 2 2" xfId="22032"/>
    <cellStyle name="常规 4 3 8 2 4 2 2 2 2 2 3" xfId="22034"/>
    <cellStyle name="常规 4 3 8 2 4 2 2 2 2 2 4" xfId="22036"/>
    <cellStyle name="常规 4 3 8 2 4 2 2 2 2 3" xfId="14546"/>
    <cellStyle name="常规 4 3 8 2 4 2 2 2 2 3 2" xfId="22038"/>
    <cellStyle name="常规 4 3 8 2 4 2 2 2 2 4" xfId="14551"/>
    <cellStyle name="常规 4 3 8 2 4 2 2 2 2 5" xfId="22040"/>
    <cellStyle name="常规 4 3 8 2 4 2 2 2 3" xfId="1728"/>
    <cellStyle name="常规 4 3 8 2 4 2 2 2 3 2" xfId="14585"/>
    <cellStyle name="常规 4 3 8 2 4 2 2 2 3 2 2" xfId="22042"/>
    <cellStyle name="常规 4 3 8 2 4 2 2 2 3 3" xfId="14589"/>
    <cellStyle name="常规 4 3 8 2 4 2 2 2 3 4" xfId="10133"/>
    <cellStyle name="常规 4 3 8 2 4 2 2 2 4" xfId="22044"/>
    <cellStyle name="常规 4 3 8 2 4 2 2 2 4 2" xfId="14610"/>
    <cellStyle name="常规 4 3 8 2 4 2 2 2 5" xfId="22049"/>
    <cellStyle name="常规 4 3 8 2 4 2 2 2 6" xfId="22053"/>
    <cellStyle name="常规 4 3 8 2 4 2 2 3" xfId="22054"/>
    <cellStyle name="常规 4 3 8 2 4 2 2 3 2" xfId="22056"/>
    <cellStyle name="常规 4 3 8 2 4 2 2 3 2 2" xfId="15187"/>
    <cellStyle name="常规 4 3 8 2 4 2 2 3 2 2 2" xfId="22058"/>
    <cellStyle name="常规 4 3 8 2 4 2 2 3 2 3" xfId="15191"/>
    <cellStyle name="常规 4 3 8 2 4 2 2 3 2 4" xfId="22060"/>
    <cellStyle name="常规 4 3 8 2 4 2 2 3 3" xfId="21207"/>
    <cellStyle name="常规 4 3 8 2 4 2 2 3 3 2" xfId="15208"/>
    <cellStyle name="常规 4 3 8 2 4 2 2 3 4" xfId="1545"/>
    <cellStyle name="常规 4 3 8 2 4 2 2 3 5" xfId="1570"/>
    <cellStyle name="常规 4 3 8 2 4 2 2 4" xfId="22061"/>
    <cellStyle name="常规 4 3 8 2 4 2 2 4 2" xfId="22063"/>
    <cellStyle name="常规 4 3 8 2 4 2 2 4 2 2" xfId="15697"/>
    <cellStyle name="常规 4 3 8 2 4 2 2 4 3" xfId="21367"/>
    <cellStyle name="常规 4 3 8 2 4 2 2 4 4" xfId="1587"/>
    <cellStyle name="常规 4 3 8 2 4 2 2 5" xfId="22064"/>
    <cellStyle name="常规 4 3 8 2 4 2 2 5 2" xfId="22066"/>
    <cellStyle name="常规 4 3 8 2 4 2 2 6" xfId="22067"/>
    <cellStyle name="常规 4 3 8 2 4 2 2 7" xfId="22069"/>
    <cellStyle name="常规 4 3 8 2 4 2 3" xfId="13800"/>
    <cellStyle name="常规 4 3 8 2 4 2 3 2" xfId="13802"/>
    <cellStyle name="常规 4 3 8 2 4 2 3 2 2" xfId="8323"/>
    <cellStyle name="常规 4 3 8 2 4 2 3 2 2 2" xfId="8326"/>
    <cellStyle name="常规 4 3 8 2 4 2 3 2 2 2 2" xfId="22071"/>
    <cellStyle name="常规 4 3 8 2 4 2 3 2 2 3" xfId="16681"/>
    <cellStyle name="常规 4 3 8 2 4 2 3 2 2 4" xfId="4308"/>
    <cellStyle name="常规 4 3 8 2 4 2 3 2 3" xfId="8330"/>
    <cellStyle name="常规 4 3 8 2 4 2 3 2 3 2" xfId="22074"/>
    <cellStyle name="常规 4 3 8 2 4 2 3 2 4" xfId="8333"/>
    <cellStyle name="常规 4 3 8 2 4 2 3 2 5" xfId="22078"/>
    <cellStyle name="常规 4 3 8 2 4 2 3 3" xfId="22079"/>
    <cellStyle name="常规 4 3 8 2 4 2 3 3 2" xfId="8392"/>
    <cellStyle name="常规 4 3 8 2 4 2 3 3 2 2" xfId="16442"/>
    <cellStyle name="常规 4 3 8 2 4 2 3 3 3" xfId="8396"/>
    <cellStyle name="常规 4 3 8 2 4 2 3 3 4" xfId="16445"/>
    <cellStyle name="常规 4 3 8 2 4 2 3 4" xfId="22080"/>
    <cellStyle name="常规 4 3 8 2 4 2 3 4 2" xfId="8412"/>
    <cellStyle name="常规 4 3 8 2 4 2 3 5" xfId="22081"/>
    <cellStyle name="常规 4 3 8 2 4 2 3 6" xfId="16812"/>
    <cellStyle name="常规 4 3 8 2 4 2 4" xfId="13806"/>
    <cellStyle name="常规 4 3 8 2 4 2 4 2" xfId="22083"/>
    <cellStyle name="常规 4 3 8 2 4 2 4 2 2" xfId="8585"/>
    <cellStyle name="常规 4 3 8 2 4 2 4 2 2 2" xfId="8588"/>
    <cellStyle name="常规 4 3 8 2 4 2 4 2 3" xfId="8593"/>
    <cellStyle name="常规 4 3 8 2 4 2 4 2 4" xfId="8596"/>
    <cellStyle name="常规 4 3 8 2 4 2 4 3" xfId="22084"/>
    <cellStyle name="常规 4 3 8 2 4 2 4 3 2" xfId="8675"/>
    <cellStyle name="常规 4 3 8 2 4 2 4 4" xfId="22085"/>
    <cellStyle name="常规 4 3 8 2 4 2 4 5" xfId="22086"/>
    <cellStyle name="常规 4 3 8 2 4 2 5" xfId="11284"/>
    <cellStyle name="常规 4 3 8 2 4 2 5 2" xfId="22087"/>
    <cellStyle name="常规 4 3 8 2 4 2 5 2 2" xfId="8788"/>
    <cellStyle name="常规 4 3 8 2 4 2 5 3" xfId="22088"/>
    <cellStyle name="常规 4 3 8 2 4 2 5 4" xfId="22090"/>
    <cellStyle name="常规 4 3 8 2 4 2 6" xfId="22091"/>
    <cellStyle name="常规 4 3 8 2 4 2 6 2" xfId="22092"/>
    <cellStyle name="常规 4 3 8 2 4 2 7" xfId="22093"/>
    <cellStyle name="常规 4 3 8 2 4 2 8" xfId="22094"/>
    <cellStyle name="常规 4 3 8 2 4 3" xfId="22095"/>
    <cellStyle name="常规 4 3 8 2 4 3 2" xfId="279"/>
    <cellStyle name="常规 4 3 8 2 4 3 2 2" xfId="22096"/>
    <cellStyle name="常规 4 3 8 2 4 3 2 2 2" xfId="22098"/>
    <cellStyle name="常规 4 3 8 2 4 3 2 2 2 2" xfId="17523"/>
    <cellStyle name="常规 4 3 8 2 4 3 2 2 2 2 2" xfId="22101"/>
    <cellStyle name="常规 4 3 8 2 4 3 2 2 2 3" xfId="22103"/>
    <cellStyle name="常规 4 3 8 2 4 3 2 2 2 4" xfId="22105"/>
    <cellStyle name="常规 4 3 8 2 4 3 2 2 3" xfId="22107"/>
    <cellStyle name="常规 4 3 8 2 4 3 2 2 3 2" xfId="22109"/>
    <cellStyle name="常规 4 3 8 2 4 3 2 2 4" xfId="22111"/>
    <cellStyle name="常规 4 3 8 2 4 3 2 2 5" xfId="22115"/>
    <cellStyle name="常规 4 3 8 2 4 3 2 3" xfId="22116"/>
    <cellStyle name="常规 4 3 8 2 4 3 2 3 2" xfId="22118"/>
    <cellStyle name="常规 4 3 8 2 4 3 2 3 2 2" xfId="22120"/>
    <cellStyle name="常规 4 3 8 2 4 3 2 3 3" xfId="22123"/>
    <cellStyle name="常规 4 3 8 2 4 3 2 3 4" xfId="1603"/>
    <cellStyle name="常规 4 3 8 2 4 3 2 4" xfId="22124"/>
    <cellStyle name="常规 4 3 8 2 4 3 2 4 2" xfId="22126"/>
    <cellStyle name="常规 4 3 8 2 4 3 2 5" xfId="22127"/>
    <cellStyle name="常规 4 3 8 2 4 3 2 6" xfId="22128"/>
    <cellStyle name="常规 4 3 8 2 4 3 3" xfId="206"/>
    <cellStyle name="常规 4 3 8 2 4 3 3 2" xfId="22129"/>
    <cellStyle name="常规 4 3 8 2 4 3 3 2 2" xfId="9119"/>
    <cellStyle name="常规 4 3 8 2 4 3 3 2 2 2" xfId="9122"/>
    <cellStyle name="常规 4 3 8 2 4 3 3 2 3" xfId="9125"/>
    <cellStyle name="常规 4 3 8 2 4 3 3 2 4" xfId="9128"/>
    <cellStyle name="常规 4 3 8 2 4 3 3 3" xfId="22130"/>
    <cellStyle name="常规 4 3 8 2 4 3 3 3 2" xfId="9193"/>
    <cellStyle name="常规 4 3 8 2 4 3 3 4" xfId="22131"/>
    <cellStyle name="常规 4 3 8 2 4 3 3 5" xfId="22132"/>
    <cellStyle name="常规 4 3 8 2 4 3 4" xfId="22133"/>
    <cellStyle name="常规 4 3 8 2 4 3 4 2" xfId="22134"/>
    <cellStyle name="常规 4 3 8 2 4 3 4 2 2" xfId="9309"/>
    <cellStyle name="常规 4 3 8 2 4 3 4 3" xfId="22135"/>
    <cellStyle name="常规 4 3 8 2 4 3 4 4" xfId="14745"/>
    <cellStyle name="常规 4 3 8 2 4 3 5" xfId="22136"/>
    <cellStyle name="常规 4 3 8 2 4 3 5 2" xfId="22137"/>
    <cellStyle name="常规 4 3 8 2 4 3 6" xfId="22138"/>
    <cellStyle name="常规 4 3 8 2 4 3 7" xfId="22139"/>
    <cellStyle name="常规 4 3 8 2 4 4" xfId="22140"/>
    <cellStyle name="常规 4 3 8 2 4 4 2" xfId="963"/>
    <cellStyle name="常规 4 3 8 2 4 4 2 2" xfId="22141"/>
    <cellStyle name="常规 4 3 8 2 4 4 2 2 2" xfId="22143"/>
    <cellStyle name="常规 4 3 8 2 4 4 2 2 2 2" xfId="22146"/>
    <cellStyle name="常规 4 3 8 2 4 4 2 2 3" xfId="22149"/>
    <cellStyle name="常规 4 3 8 2 4 4 2 2 4" xfId="22152"/>
    <cellStyle name="常规 4 3 8 2 4 4 2 3" xfId="22154"/>
    <cellStyle name="常规 4 3 8 2 4 4 2 3 2" xfId="22156"/>
    <cellStyle name="常规 4 3 8 2 4 4 2 4" xfId="22158"/>
    <cellStyle name="常规 4 3 8 2 4 4 2 5" xfId="22160"/>
    <cellStyle name="常规 4 3 8 2 4 4 3" xfId="22161"/>
    <cellStyle name="常规 4 3 8 2 4 4 3 2" xfId="22162"/>
    <cellStyle name="常规 4 3 8 2 4 4 3 2 2" xfId="9516"/>
    <cellStyle name="常规 4 3 8 2 4 4 3 3" xfId="22163"/>
    <cellStyle name="常规 4 3 8 2 4 4 3 4" xfId="18859"/>
    <cellStyle name="常规 4 3 8 2 4 4 4" xfId="22164"/>
    <cellStyle name="常规 4 3 8 2 4 4 4 2" xfId="22165"/>
    <cellStyle name="常规 4 3 8 2 4 4 5" xfId="22166"/>
    <cellStyle name="常规 4 3 8 2 4 4 6" xfId="22167"/>
    <cellStyle name="常规 4 3 8 2 4 5" xfId="22168"/>
    <cellStyle name="常规 4 3 8 2 4 5 2" xfId="22169"/>
    <cellStyle name="常规 4 3 8 2 4 5 2 2" xfId="18739"/>
    <cellStyle name="常规 4 3 8 2 4 5 2 2 2" xfId="22171"/>
    <cellStyle name="常规 4 3 8 2 4 5 2 3" xfId="22173"/>
    <cellStyle name="常规 4 3 8 2 4 5 2 4" xfId="22174"/>
    <cellStyle name="常规 4 3 8 2 4 5 3" xfId="22175"/>
    <cellStyle name="常规 4 3 8 2 4 5 3 2" xfId="22176"/>
    <cellStyle name="常规 4 3 8 2 4 5 4" xfId="22177"/>
    <cellStyle name="常规 4 3 8 2 4 5 5" xfId="22178"/>
    <cellStyle name="常规 4 3 8 2 4 6" xfId="22179"/>
    <cellStyle name="常规 4 3 8 2 4 6 2" xfId="22180"/>
    <cellStyle name="常规 4 3 8 2 4 6 2 2" xfId="22182"/>
    <cellStyle name="常规 4 3 8 2 4 6 3" xfId="22184"/>
    <cellStyle name="常规 4 3 8 2 4 6 4" xfId="22186"/>
    <cellStyle name="常规 4 3 8 2 4 7" xfId="22190"/>
    <cellStyle name="常规 4 3 8 2 4 7 2" xfId="22191"/>
    <cellStyle name="常规 4 3 8 2 4 8" xfId="22193"/>
    <cellStyle name="常规 4 3 8 2 4 9" xfId="22194"/>
    <cellStyle name="常规 4 3 8 2 5" xfId="22195"/>
    <cellStyle name="常规 4 3 8 2 5 2" xfId="22196"/>
    <cellStyle name="常规 4 3 8 2 5 2 2" xfId="22198"/>
    <cellStyle name="常规 4 3 8 2 5 2 2 2" xfId="22199"/>
    <cellStyle name="常规 4 3 8 2 5 2 2 2 2" xfId="22201"/>
    <cellStyle name="常规 4 3 8 2 5 2 2 2 2 2" xfId="22203"/>
    <cellStyle name="常规 4 3 8 2 5 2 2 2 2 2 2" xfId="22205"/>
    <cellStyle name="常规 4 3 8 2 5 2 2 2 2 3" xfId="14385"/>
    <cellStyle name="常规 4 3 8 2 5 2 2 2 2 4" xfId="14391"/>
    <cellStyle name="常规 4 3 8 2 5 2 2 2 3" xfId="22207"/>
    <cellStyle name="常规 4 3 8 2 5 2 2 2 3 2" xfId="22209"/>
    <cellStyle name="常规 4 3 8 2 5 2 2 2 4" xfId="22211"/>
    <cellStyle name="常规 4 3 8 2 5 2 2 2 5" xfId="13395"/>
    <cellStyle name="常规 4 3 8 2 5 2 2 3" xfId="22212"/>
    <cellStyle name="常规 4 3 8 2 5 2 2 3 2" xfId="22215"/>
    <cellStyle name="常规 4 3 8 2 5 2 2 3 2 2" xfId="22217"/>
    <cellStyle name="常规 4 3 8 2 5 2 2 3 3" xfId="22221"/>
    <cellStyle name="常规 4 3 8 2 5 2 2 3 4" xfId="22224"/>
    <cellStyle name="常规 4 3 8 2 5 2 2 4" xfId="22225"/>
    <cellStyle name="常规 4 3 8 2 5 2 2 4 2" xfId="22228"/>
    <cellStyle name="常规 4 3 8 2 5 2 2 5" xfId="22229"/>
    <cellStyle name="常规 4 3 8 2 5 2 2 6" xfId="815"/>
    <cellStyle name="常规 4 3 8 2 5 2 3" xfId="13816"/>
    <cellStyle name="常规 4 3 8 2 5 2 3 2" xfId="22230"/>
    <cellStyle name="常规 4 3 8 2 5 2 3 2 2" xfId="22234"/>
    <cellStyle name="常规 4 3 8 2 5 2 3 2 2 2" xfId="16188"/>
    <cellStyle name="常规 4 3 8 2 5 2 3 2 3" xfId="22238"/>
    <cellStyle name="常规 4 3 8 2 5 2 3 2 4" xfId="1842"/>
    <cellStyle name="常规 4 3 8 2 5 2 3 3" xfId="22239"/>
    <cellStyle name="常规 4 3 8 2 5 2 3 3 2" xfId="22244"/>
    <cellStyle name="常规 4 3 8 2 5 2 3 4" xfId="22245"/>
    <cellStyle name="常规 4 3 8 2 5 2 3 5" xfId="22246"/>
    <cellStyle name="常规 4 3 8 2 5 2 4" xfId="6317"/>
    <cellStyle name="常规 4 3 8 2 5 2 4 2" xfId="6319"/>
    <cellStyle name="常规 4 3 8 2 5 2 4 2 2" xfId="4299"/>
    <cellStyle name="常规 4 3 8 2 5 2 4 3" xfId="6321"/>
    <cellStyle name="常规 4 3 8 2 5 2 4 4" xfId="6325"/>
    <cellStyle name="常规 4 3 8 2 5 2 5" xfId="4121"/>
    <cellStyle name="常规 4 3 8 2 5 2 5 2" xfId="6330"/>
    <cellStyle name="常规 4 3 8 2 5 2 6" xfId="6339"/>
    <cellStyle name="常规 4 3 8 2 5 2 7" xfId="5701"/>
    <cellStyle name="常规 4 3 8 2 5 3" xfId="22247"/>
    <cellStyle name="常规 4 3 8 2 5 3 2" xfId="7342"/>
    <cellStyle name="常规 4 3 8 2 5 3 2 2" xfId="22248"/>
    <cellStyle name="常规 4 3 8 2 5 3 2 2 2" xfId="22250"/>
    <cellStyle name="常规 4 3 8 2 5 3 2 2 2 2" xfId="22252"/>
    <cellStyle name="常规 4 3 8 2 5 3 2 2 3" xfId="22254"/>
    <cellStyle name="常规 4 3 8 2 5 3 2 2 4" xfId="22256"/>
    <cellStyle name="常规 4 3 8 2 5 3 2 3" xfId="22257"/>
    <cellStyle name="常规 4 3 8 2 5 3 2 3 2" xfId="22259"/>
    <cellStyle name="常规 4 3 8 2 5 3 2 4" xfId="22260"/>
    <cellStyle name="常规 4 3 8 2 5 3 2 5" xfId="22261"/>
    <cellStyle name="常规 4 3 8 2 5 3 3" xfId="22262"/>
    <cellStyle name="常规 4 3 8 2 5 3 3 2" xfId="14833"/>
    <cellStyle name="常规 4 3 8 2 5 3 3 2 2" xfId="22266"/>
    <cellStyle name="常规 4 3 8 2 5 3 3 3" xfId="22267"/>
    <cellStyle name="常规 4 3 8 2 5 3 3 4" xfId="22268"/>
    <cellStyle name="常规 4 3 8 2 5 3 4" xfId="6346"/>
    <cellStyle name="常规 4 3 8 2 5 3 4 2" xfId="2762"/>
    <cellStyle name="常规 4 3 8 2 5 3 5" xfId="6360"/>
    <cellStyle name="常规 4 3 8 2 5 3 6" xfId="6379"/>
    <cellStyle name="常规 4 3 8 2 5 4" xfId="22269"/>
    <cellStyle name="常规 4 3 8 2 5 4 2" xfId="22270"/>
    <cellStyle name="常规 4 3 8 2 5 4 2 2" xfId="22271"/>
    <cellStyle name="常规 4 3 8 2 5 4 2 2 2" xfId="22274"/>
    <cellStyle name="常规 4 3 8 2 5 4 2 3" xfId="22276"/>
    <cellStyle name="常规 4 3 8 2 5 4 2 4" xfId="22277"/>
    <cellStyle name="常规 4 3 8 2 5 4 3" xfId="22278"/>
    <cellStyle name="常规 4 3 8 2 5 4 3 2" xfId="22279"/>
    <cellStyle name="常规 4 3 8 2 5 4 4" xfId="6389"/>
    <cellStyle name="常规 4 3 8 2 5 4 5" xfId="6400"/>
    <cellStyle name="常规 4 3 8 2 5 5" xfId="22280"/>
    <cellStyle name="常规 4 3 8 2 5 5 2" xfId="22281"/>
    <cellStyle name="常规 4 3 8 2 5 5 2 2" xfId="22282"/>
    <cellStyle name="常规 4 3 8 2 5 5 3" xfId="22283"/>
    <cellStyle name="常规 4 3 8 2 5 5 4" xfId="6406"/>
    <cellStyle name="常规 4 3 8 2 5 6" xfId="22284"/>
    <cellStyle name="常规 4 3 8 2 5 6 2" xfId="22285"/>
    <cellStyle name="常规 4 3 8 2 5 7" xfId="22287"/>
    <cellStyle name="常规 4 3 8 2 5 8" xfId="22288"/>
    <cellStyle name="常规 4 3 8 2 6" xfId="22289"/>
    <cellStyle name="常规 4 3 8 2 6 2" xfId="22290"/>
    <cellStyle name="常规 4 3 8 2 6 2 2" xfId="22292"/>
    <cellStyle name="常规 4 3 8 2 6 2 2 2" xfId="22293"/>
    <cellStyle name="常规 4 3 8 2 6 2 2 2 2" xfId="22295"/>
    <cellStyle name="常规 4 3 8 2 6 2 2 2 2 2" xfId="22297"/>
    <cellStyle name="常规 4 3 8 2 6 2 2 2 3" xfId="22299"/>
    <cellStyle name="常规 4 3 8 2 6 2 2 2 4" xfId="22301"/>
    <cellStyle name="常规 4 3 8 2 6 2 2 3" xfId="22302"/>
    <cellStyle name="常规 4 3 8 2 6 2 2 3 2" xfId="22304"/>
    <cellStyle name="常规 4 3 8 2 6 2 2 4" xfId="22305"/>
    <cellStyle name="常规 4 3 8 2 6 2 2 5" xfId="1542"/>
    <cellStyle name="常规 4 3 8 2 6 2 3" xfId="22306"/>
    <cellStyle name="常规 4 3 8 2 6 2 3 2" xfId="22307"/>
    <cellStyle name="常规 4 3 8 2 6 2 3 2 2" xfId="16560"/>
    <cellStyle name="常规 4 3 8 2 6 2 3 3" xfId="22308"/>
    <cellStyle name="常规 4 3 8 2 6 2 3 4" xfId="22309"/>
    <cellStyle name="常规 4 3 8 2 6 2 4" xfId="6493"/>
    <cellStyle name="常规 4 3 8 2 6 2 4 2" xfId="6496"/>
    <cellStyle name="常规 4 3 8 2 6 2 5" xfId="6515"/>
    <cellStyle name="常规 4 3 8 2 6 2 6" xfId="6523"/>
    <cellStyle name="常规 4 3 8 2 6 3" xfId="22310"/>
    <cellStyle name="常规 4 3 8 2 6 3 2" xfId="22311"/>
    <cellStyle name="常规 4 3 8 2 6 3 2 2" xfId="22312"/>
    <cellStyle name="常规 4 3 8 2 6 3 2 2 2" xfId="22314"/>
    <cellStyle name="常规 4 3 8 2 6 3 2 3" xfId="22315"/>
    <cellStyle name="常规 4 3 8 2 6 3 2 4" xfId="22316"/>
    <cellStyle name="常规 4 3 8 2 6 3 3" xfId="22317"/>
    <cellStyle name="常规 4 3 8 2 6 3 3 2" xfId="22318"/>
    <cellStyle name="常规 4 3 8 2 6 3 4" xfId="3454"/>
    <cellStyle name="常规 4 3 8 2 6 3 5" xfId="3497"/>
    <cellStyle name="常规 4 3 8 2 6 4" xfId="22319"/>
    <cellStyle name="常规 4 3 8 2 6 4 2" xfId="22320"/>
    <cellStyle name="常规 4 3 8 2 6 4 2 2" xfId="22321"/>
    <cellStyle name="常规 4 3 8 2 6 4 3" xfId="22322"/>
    <cellStyle name="常规 4 3 8 2 6 4 4" xfId="2050"/>
    <cellStyle name="常规 4 3 8 2 6 5" xfId="22323"/>
    <cellStyle name="常规 4 3 8 2 6 5 2" xfId="22324"/>
    <cellStyle name="常规 4 3 8 2 6 6" xfId="22325"/>
    <cellStyle name="常规 4 3 8 2 6 7" xfId="22326"/>
    <cellStyle name="常规 4 3 8 2 7" xfId="22327"/>
    <cellStyle name="常规 4 3 8 2 7 2" xfId="22328"/>
    <cellStyle name="常规 4 3 8 2 7 2 2" xfId="22329"/>
    <cellStyle name="常规 4 3 8 2 7 2 2 2" xfId="22330"/>
    <cellStyle name="常规 4 3 8 2 7 2 2 2 2" xfId="22333"/>
    <cellStyle name="常规 4 3 8 2 7 2 2 3" xfId="22334"/>
    <cellStyle name="常规 4 3 8 2 7 2 2 4" xfId="22335"/>
    <cellStyle name="常规 4 3 8 2 7 2 3" xfId="22336"/>
    <cellStyle name="常规 4 3 8 2 7 2 3 2" xfId="22337"/>
    <cellStyle name="常规 4 3 8 2 7 2 4" xfId="6612"/>
    <cellStyle name="常规 4 3 8 2 7 2 5" xfId="6624"/>
    <cellStyle name="常规 4 3 8 2 7 3" xfId="22338"/>
    <cellStyle name="常规 4 3 8 2 7 3 2" xfId="22339"/>
    <cellStyle name="常规 4 3 8 2 7 3 2 2" xfId="22340"/>
    <cellStyle name="常规 4 3 8 2 7 3 3" xfId="557"/>
    <cellStyle name="常规 4 3 8 2 7 3 4" xfId="3831"/>
    <cellStyle name="常规 4 3 8 2 7 4" xfId="22341"/>
    <cellStyle name="常规 4 3 8 2 7 4 2" xfId="22342"/>
    <cellStyle name="常规 4 3 8 2 7 5" xfId="22343"/>
    <cellStyle name="常规 4 3 8 2 7 6" xfId="22344"/>
    <cellStyle name="常规 4 3 8 2 8" xfId="22345"/>
    <cellStyle name="常规 4 3 8 2 8 2" xfId="22346"/>
    <cellStyle name="常规 4 3 8 2 8 2 2" xfId="22347"/>
    <cellStyle name="常规 4 3 8 2 8 2 2 2" xfId="22349"/>
    <cellStyle name="常规 4 3 8 2 8 2 3" xfId="22350"/>
    <cellStyle name="常规 4 3 8 2 8 2 4" xfId="2217"/>
    <cellStyle name="常规 4 3 8 2 8 3" xfId="22351"/>
    <cellStyle name="常规 4 3 8 2 8 3 2" xfId="22352"/>
    <cellStyle name="常规 4 3 8 2 8 4" xfId="22354"/>
    <cellStyle name="常规 4 3 8 2 8 5" xfId="22355"/>
    <cellStyle name="常规 4 3 8 2 9" xfId="22356"/>
    <cellStyle name="常规 4 3 8 2 9 2" xfId="22357"/>
    <cellStyle name="常规 4 3 8 2 9 2 2" xfId="3067"/>
    <cellStyle name="常规 4 3 8 2 9 3" xfId="22358"/>
    <cellStyle name="常规 4 3 8 2 9 4" xfId="22359"/>
    <cellStyle name="常规 4 3 8 3" xfId="22362"/>
    <cellStyle name="常规 4 3 8 3 10" xfId="22363"/>
    <cellStyle name="常规 4 3 8 3 11" xfId="22364"/>
    <cellStyle name="常规 4 3 8 3 2" xfId="22366"/>
    <cellStyle name="常规 4 3 8 3 2 2" xfId="22367"/>
    <cellStyle name="常规 4 3 8 3 2 2 2" xfId="22122"/>
    <cellStyle name="常规 4 3 8 3 2 2 2 2" xfId="22369"/>
    <cellStyle name="常规 4 3 8 3 2 2 2 2 2" xfId="22372"/>
    <cellStyle name="常规 4 3 8 3 2 2 2 2 2 2" xfId="22373"/>
    <cellStyle name="常规 4 3 8 3 2 2 2 2 2 2 2" xfId="22374"/>
    <cellStyle name="常规 4 3 8 3 2 2 2 2 2 2 2 2" xfId="22375"/>
    <cellStyle name="常规 4 3 8 3 2 2 2 2 2 2 3" xfId="22376"/>
    <cellStyle name="常规 4 3 8 3 2 2 2 2 2 2 4" xfId="22377"/>
    <cellStyle name="常规 4 3 8 3 2 2 2 2 2 3" xfId="22378"/>
    <cellStyle name="常规 4 3 8 3 2 2 2 2 2 3 2" xfId="13837"/>
    <cellStyle name="常规 4 3 8 3 2 2 2 2 2 4" xfId="19846"/>
    <cellStyle name="常规 4 3 8 3 2 2 2 2 2 5" xfId="22379"/>
    <cellStyle name="常规 4 3 8 3 2 2 2 2 3" xfId="22382"/>
    <cellStyle name="常规 4 3 8 3 2 2 2 2 3 2" xfId="21975"/>
    <cellStyle name="常规 4 3 8 3 2 2 2 2 3 2 2" xfId="22385"/>
    <cellStyle name="常规 4 3 8 3 2 2 2 2 3 3" xfId="22389"/>
    <cellStyle name="常规 4 3 8 3 2 2 2 2 3 4" xfId="22391"/>
    <cellStyle name="常规 4 3 8 3 2 2 2 2 4" xfId="22392"/>
    <cellStyle name="常规 4 3 8 3 2 2 2 2 4 2" xfId="22393"/>
    <cellStyle name="常规 4 3 8 3 2 2 2 2 5" xfId="22394"/>
    <cellStyle name="常规 4 3 8 3 2 2 2 2 6" xfId="22396"/>
    <cellStyle name="常规 4 3 8 3 2 2 2 3" xfId="22397"/>
    <cellStyle name="常规 4 3 8 3 2 2 2 3 2" xfId="2705"/>
    <cellStyle name="常规 4 3 8 3 2 2 2 3 2 2" xfId="2706"/>
    <cellStyle name="常规 4 3 8 3 2 2 2 3 2 2 2" xfId="18257"/>
    <cellStyle name="常规 4 3 8 3 2 2 2 3 2 3" xfId="21228"/>
    <cellStyle name="常规 4 3 8 3 2 2 2 3 2 4" xfId="21230"/>
    <cellStyle name="常规 4 3 8 3 2 2 2 3 3" xfId="2708"/>
    <cellStyle name="常规 4 3 8 3 2 2 2 3 3 2" xfId="22399"/>
    <cellStyle name="常规 4 3 8 3 2 2 2 3 4" xfId="2710"/>
    <cellStyle name="常规 4 3 8 3 2 2 2 3 5" xfId="12469"/>
    <cellStyle name="常规 4 3 8 3 2 2 2 4" xfId="22402"/>
    <cellStyle name="常规 4 3 8 3 2 2 2 4 2" xfId="2722"/>
    <cellStyle name="常规 4 3 8 3 2 2 2 4 2 2" xfId="2725"/>
    <cellStyle name="常规 4 3 8 3 2 2 2 4 3" xfId="2729"/>
    <cellStyle name="常规 4 3 8 3 2 2 2 4 4" xfId="2733"/>
    <cellStyle name="常规 4 3 8 3 2 2 2 5" xfId="22403"/>
    <cellStyle name="常规 4 3 8 3 2 2 2 5 2" xfId="2741"/>
    <cellStyle name="常规 4 3 8 3 2 2 2 6" xfId="22405"/>
    <cellStyle name="常规 4 3 8 3 2 2 2 7" xfId="22406"/>
    <cellStyle name="常规 4 3 8 3 2 2 3" xfId="1602"/>
    <cellStyle name="常规 4 3 8 3 2 2 3 2" xfId="22407"/>
    <cellStyle name="常规 4 3 8 3 2 2 3 2 2" xfId="22410"/>
    <cellStyle name="常规 4 3 8 3 2 2 3 2 2 2" xfId="22411"/>
    <cellStyle name="常规 4 3 8 3 2 2 3 2 2 2 2" xfId="21107"/>
    <cellStyle name="常规 4 3 8 3 2 2 3 2 2 3" xfId="22412"/>
    <cellStyle name="常规 4 3 8 3 2 2 3 2 2 4" xfId="22414"/>
    <cellStyle name="常规 4 3 8 3 2 2 3 2 3" xfId="22415"/>
    <cellStyle name="常规 4 3 8 3 2 2 3 2 3 2" xfId="22159"/>
    <cellStyle name="常规 4 3 8 3 2 2 3 2 4" xfId="22416"/>
    <cellStyle name="常规 4 3 8 3 2 2 3 2 5" xfId="22417"/>
    <cellStyle name="常规 4 3 8 3 2 2 3 3" xfId="22418"/>
    <cellStyle name="常规 4 3 8 3 2 2 3 3 2" xfId="22419"/>
    <cellStyle name="常规 4 3 8 3 2 2 3 3 2 2" xfId="22420"/>
    <cellStyle name="常规 4 3 8 3 2 2 3 3 3" xfId="22421"/>
    <cellStyle name="常规 4 3 8 3 2 2 3 3 4" xfId="22422"/>
    <cellStyle name="常规 4 3 8 3 2 2 3 4" xfId="22423"/>
    <cellStyle name="常规 4 3 8 3 2 2 3 4 2" xfId="22424"/>
    <cellStyle name="常规 4 3 8 3 2 2 3 5" xfId="22425"/>
    <cellStyle name="常规 4 3 8 3 2 2 3 6" xfId="22426"/>
    <cellStyle name="常规 4 3 8 3 2 2 4" xfId="1610"/>
    <cellStyle name="常规 4 3 8 3 2 2 4 2" xfId="22427"/>
    <cellStyle name="常规 4 3 8 3 2 2 4 2 2" xfId="22429"/>
    <cellStyle name="常规 4 3 8 3 2 2 4 2 2 2" xfId="22430"/>
    <cellStyle name="常规 4 3 8 3 2 2 4 2 3" xfId="22431"/>
    <cellStyle name="常规 4 3 8 3 2 2 4 2 4" xfId="22432"/>
    <cellStyle name="常规 4 3 8 3 2 2 4 3" xfId="22434"/>
    <cellStyle name="常规 4 3 8 3 2 2 4 3 2" xfId="22435"/>
    <cellStyle name="常规 4 3 8 3 2 2 4 4" xfId="15933"/>
    <cellStyle name="常规 4 3 8 3 2 2 4 5" xfId="5854"/>
    <cellStyle name="常规 4 3 8 3 2 2 5" xfId="113"/>
    <cellStyle name="常规 4 3 8 3 2 2 5 2" xfId="3276"/>
    <cellStyle name="常规 4 3 8 3 2 2 5 2 2" xfId="3281"/>
    <cellStyle name="常规 4 3 8 3 2 2 5 3" xfId="3318"/>
    <cellStyle name="常规 4 3 8 3 2 2 5 4" xfId="3351"/>
    <cellStyle name="常规 4 3 8 3 2 2 6" xfId="22436"/>
    <cellStyle name="常规 4 3 8 3 2 2 6 2" xfId="3685"/>
    <cellStyle name="常规 4 3 8 3 2 2 7" xfId="22438"/>
    <cellStyle name="常规 4 3 8 3 2 2 8" xfId="22439"/>
    <cellStyle name="常规 4 3 8 3 2 3" xfId="22441"/>
    <cellStyle name="常规 4 3 8 3 2 3 2" xfId="22444"/>
    <cellStyle name="常规 4 3 8 3 2 3 2 2" xfId="22445"/>
    <cellStyle name="常规 4 3 8 3 2 3 2 2 2" xfId="20715"/>
    <cellStyle name="常规 4 3 8 3 2 3 2 2 2 2" xfId="22446"/>
    <cellStyle name="常规 4 3 8 3 2 3 2 2 2 2 2" xfId="22447"/>
    <cellStyle name="常规 4 3 8 3 2 3 2 2 2 3" xfId="22448"/>
    <cellStyle name="常规 4 3 8 3 2 3 2 2 2 4" xfId="22450"/>
    <cellStyle name="常规 4 3 8 3 2 3 2 2 3" xfId="20717"/>
    <cellStyle name="常规 4 3 8 3 2 3 2 2 3 2" xfId="22452"/>
    <cellStyle name="常规 4 3 8 3 2 3 2 2 4" xfId="22453"/>
    <cellStyle name="常规 4 3 8 3 2 3 2 2 5" xfId="6044"/>
    <cellStyle name="常规 4 3 8 3 2 3 2 3" xfId="22454"/>
    <cellStyle name="常规 4 3 8 3 2 3 2 3 2" xfId="22455"/>
    <cellStyle name="常规 4 3 8 3 2 3 2 3 2 2" xfId="22456"/>
    <cellStyle name="常规 4 3 8 3 2 3 2 3 3" xfId="22457"/>
    <cellStyle name="常规 4 3 8 3 2 3 2 3 4" xfId="22458"/>
    <cellStyle name="常规 4 3 8 3 2 3 2 4" xfId="22459"/>
    <cellStyle name="常规 4 3 8 3 2 3 2 4 2" xfId="22461"/>
    <cellStyle name="常规 4 3 8 3 2 3 2 5" xfId="22462"/>
    <cellStyle name="常规 4 3 8 3 2 3 2 6" xfId="22463"/>
    <cellStyle name="常规 4 3 8 3 2 3 3" xfId="22465"/>
    <cellStyle name="常规 4 3 8 3 2 3 3 2" xfId="22466"/>
    <cellStyle name="常规 4 3 8 3 2 3 3 2 2" xfId="22467"/>
    <cellStyle name="常规 4 3 8 3 2 3 3 2 2 2" xfId="22468"/>
    <cellStyle name="常规 4 3 8 3 2 3 3 2 3" xfId="22469"/>
    <cellStyle name="常规 4 3 8 3 2 3 3 2 4" xfId="22470"/>
    <cellStyle name="常规 4 3 8 3 2 3 3 3" xfId="22471"/>
    <cellStyle name="常规 4 3 8 3 2 3 3 3 2" xfId="22472"/>
    <cellStyle name="常规 4 3 8 3 2 3 3 4" xfId="22473"/>
    <cellStyle name="常规 4 3 8 3 2 3 3 5" xfId="22474"/>
    <cellStyle name="常规 4 3 8 3 2 3 4" xfId="16743"/>
    <cellStyle name="常规 4 3 8 3 2 3 4 2" xfId="16746"/>
    <cellStyle name="常规 4 3 8 3 2 3 4 2 2" xfId="22475"/>
    <cellStyle name="常规 4 3 8 3 2 3 4 3" xfId="22476"/>
    <cellStyle name="常规 4 3 8 3 2 3 4 4" xfId="22477"/>
    <cellStyle name="常规 4 3 8 3 2 3 5" xfId="16748"/>
    <cellStyle name="常规 4 3 8 3 2 3 5 2" xfId="22478"/>
    <cellStyle name="常规 4 3 8 3 2 3 6" xfId="16750"/>
    <cellStyle name="常规 4 3 8 3 2 3 7" xfId="22479"/>
    <cellStyle name="常规 4 3 8 3 2 4" xfId="22481"/>
    <cellStyle name="常规 4 3 8 3 2 4 2" xfId="22484"/>
    <cellStyle name="常规 4 3 8 3 2 4 2 2" xfId="22485"/>
    <cellStyle name="常规 4 3 8 3 2 4 2 2 2" xfId="22486"/>
    <cellStyle name="常规 4 3 8 3 2 4 2 2 2 2" xfId="18849"/>
    <cellStyle name="常规 4 3 8 3 2 4 2 2 3" xfId="22487"/>
    <cellStyle name="常规 4 3 8 3 2 4 2 2 4" xfId="22488"/>
    <cellStyle name="常规 4 3 8 3 2 4 2 3" xfId="22489"/>
    <cellStyle name="常规 4 3 8 3 2 4 2 3 2" xfId="22490"/>
    <cellStyle name="常规 4 3 8 3 2 4 2 4" xfId="22491"/>
    <cellStyle name="常规 4 3 8 3 2 4 2 5" xfId="22492"/>
    <cellStyle name="常规 4 3 8 3 2 4 3" xfId="22493"/>
    <cellStyle name="常规 4 3 8 3 2 4 3 2" xfId="22494"/>
    <cellStyle name="常规 4 3 8 3 2 4 3 2 2" xfId="22495"/>
    <cellStyle name="常规 4 3 8 3 2 4 3 3" xfId="22496"/>
    <cellStyle name="常规 4 3 8 3 2 4 3 4" xfId="22497"/>
    <cellStyle name="常规 4 3 8 3 2 4 4" xfId="1692"/>
    <cellStyle name="常规 4 3 8 3 2 4 4 2" xfId="22498"/>
    <cellStyle name="常规 4 3 8 3 2 4 5" xfId="22499"/>
    <cellStyle name="常规 4 3 8 3 2 4 6" xfId="22500"/>
    <cellStyle name="常规 4 3 8 3 2 5" xfId="22502"/>
    <cellStyle name="常规 4 3 8 3 2 5 2" xfId="13023"/>
    <cellStyle name="常规 4 3 8 3 2 5 2 2" xfId="22503"/>
    <cellStyle name="常规 4 3 8 3 2 5 2 2 2" xfId="22504"/>
    <cellStyle name="常规 4 3 8 3 2 5 2 3" xfId="22505"/>
    <cellStyle name="常规 4 3 8 3 2 5 2 4" xfId="22506"/>
    <cellStyle name="常规 4 3 8 3 2 5 3" xfId="22507"/>
    <cellStyle name="常规 4 3 8 3 2 5 3 2" xfId="22509"/>
    <cellStyle name="常规 4 3 8 3 2 5 4" xfId="22511"/>
    <cellStyle name="常规 4 3 8 3 2 5 5" xfId="22514"/>
    <cellStyle name="常规 4 3 8 3 2 6" xfId="22516"/>
    <cellStyle name="常规 4 3 8 3 2 6 2" xfId="416"/>
    <cellStyle name="常规 4 3 8 3 2 6 2 2" xfId="323"/>
    <cellStyle name="常规 4 3 8 3 2 6 3" xfId="437"/>
    <cellStyle name="常规 4 3 8 3 2 6 4" xfId="443"/>
    <cellStyle name="常规 4 3 8 3 2 7" xfId="22517"/>
    <cellStyle name="常规 4 3 8 3 2 7 2" xfId="22519"/>
    <cellStyle name="常规 4 3 8 3 2 8" xfId="22524"/>
    <cellStyle name="常规 4 3 8 3 2 9" xfId="20623"/>
    <cellStyle name="常规 4 3 8 3 3" xfId="22525"/>
    <cellStyle name="常规 4 3 8 3 3 2" xfId="22526"/>
    <cellStyle name="常规 4 3 8 3 3 2 2" xfId="9198"/>
    <cellStyle name="常规 4 3 8 3 3 2 2 2" xfId="22529"/>
    <cellStyle name="常规 4 3 8 3 3 2 2 2 2" xfId="22533"/>
    <cellStyle name="常规 4 3 8 3 3 2 2 2 2 2" xfId="22535"/>
    <cellStyle name="常规 4 3 8 3 3 2 2 2 2 2 2" xfId="22537"/>
    <cellStyle name="常规 4 3 8 3 3 2 2 2 2 2 2 2" xfId="22540"/>
    <cellStyle name="常规 4 3 8 3 3 2 2 2 2 2 3" xfId="22543"/>
    <cellStyle name="常规 4 3 8 3 3 2 2 2 2 2 4" xfId="22547"/>
    <cellStyle name="常规 4 3 8 3 3 2 2 2 2 3" xfId="22549"/>
    <cellStyle name="常规 4 3 8 3 3 2 2 2 2 3 2" xfId="22551"/>
    <cellStyle name="常规 4 3 8 3 3 2 2 2 2 4" xfId="22553"/>
    <cellStyle name="常规 4 3 8 3 3 2 2 2 2 5" xfId="22555"/>
    <cellStyle name="常规 4 3 8 3 3 2 2 2 3" xfId="9651"/>
    <cellStyle name="常规 4 3 8 3 3 2 2 2 3 2" xfId="22558"/>
    <cellStyle name="常规 4 3 8 3 3 2 2 2 3 2 2" xfId="22562"/>
    <cellStyle name="常规 4 3 8 3 3 2 2 2 3 3" xfId="22564"/>
    <cellStyle name="常规 4 3 8 3 3 2 2 2 3 4" xfId="22567"/>
    <cellStyle name="常规 4 3 8 3 3 2 2 2 4" xfId="22569"/>
    <cellStyle name="常规 4 3 8 3 3 2 2 2 4 2" xfId="22571"/>
    <cellStyle name="常规 4 3 8 3 3 2 2 2 5" xfId="22575"/>
    <cellStyle name="常规 4 3 8 3 3 2 2 2 6" xfId="22579"/>
    <cellStyle name="常规 4 3 8 3 3 2 2 3" xfId="22582"/>
    <cellStyle name="常规 4 3 8 3 3 2 2 3 2" xfId="22585"/>
    <cellStyle name="常规 4 3 8 3 3 2 2 3 2 2" xfId="22587"/>
    <cellStyle name="常规 4 3 8 3 3 2 2 3 2 2 2" xfId="19701"/>
    <cellStyle name="常规 4 3 8 3 3 2 2 3 2 3" xfId="21388"/>
    <cellStyle name="常规 4 3 8 3 3 2 2 3 2 4" xfId="16251"/>
    <cellStyle name="常规 4 3 8 3 3 2 2 3 3" xfId="22589"/>
    <cellStyle name="常规 4 3 8 3 3 2 2 3 3 2" xfId="9725"/>
    <cellStyle name="常规 4 3 8 3 3 2 2 3 4" xfId="22591"/>
    <cellStyle name="常规 4 3 8 3 3 2 2 3 5" xfId="12752"/>
    <cellStyle name="常规 4 3 8 3 3 2 2 4" xfId="13355"/>
    <cellStyle name="常规 4 3 8 3 3 2 2 4 2" xfId="22593"/>
    <cellStyle name="常规 4 3 8 3 3 2 2 4 2 2" xfId="22595"/>
    <cellStyle name="常规 4 3 8 3 3 2 2 4 3" xfId="22597"/>
    <cellStyle name="常规 4 3 8 3 3 2 2 4 4" xfId="22599"/>
    <cellStyle name="常规 4 3 8 3 3 2 2 5" xfId="20693"/>
    <cellStyle name="常规 4 3 8 3 3 2 2 5 2" xfId="22601"/>
    <cellStyle name="常规 4 3 8 3 3 2 2 6" xfId="22602"/>
    <cellStyle name="常规 4 3 8 3 3 2 2 7" xfId="22603"/>
    <cellStyle name="常规 4 3 8 3 3 2 3" xfId="22605"/>
    <cellStyle name="常规 4 3 8 3 3 2 3 2" xfId="22608"/>
    <cellStyle name="常规 4 3 8 3 3 2 3 2 2" xfId="22612"/>
    <cellStyle name="常规 4 3 8 3 3 2 3 2 2 2" xfId="2684"/>
    <cellStyle name="常规 4 3 8 3 3 2 3 2 2 2 2" xfId="22614"/>
    <cellStyle name="常规 4 3 8 3 3 2 3 2 2 3" xfId="18518"/>
    <cellStyle name="常规 4 3 8 3 3 2 3 2 2 4" xfId="22616"/>
    <cellStyle name="常规 4 3 8 3 3 2 3 2 3" xfId="22618"/>
    <cellStyle name="常规 4 3 8 3 3 2 3 2 3 2" xfId="18528"/>
    <cellStyle name="常规 4 3 8 3 3 2 3 2 4" xfId="22620"/>
    <cellStyle name="常规 4 3 8 3 3 2 3 2 5" xfId="22624"/>
    <cellStyle name="常规 4 3 8 3 3 2 3 3" xfId="22625"/>
    <cellStyle name="常规 4 3 8 3 3 2 3 3 2" xfId="22627"/>
    <cellStyle name="常规 4 3 8 3 3 2 3 3 2 2" xfId="18547"/>
    <cellStyle name="常规 4 3 8 3 3 2 3 3 3" xfId="22629"/>
    <cellStyle name="常规 4 3 8 3 3 2 3 3 4" xfId="22631"/>
    <cellStyle name="常规 4 3 8 3 3 2 3 4" xfId="22632"/>
    <cellStyle name="常规 4 3 8 3 3 2 3 4 2" xfId="22634"/>
    <cellStyle name="常规 4 3 8 3 3 2 3 5" xfId="22635"/>
    <cellStyle name="常规 4 3 8 3 3 2 3 6" xfId="16877"/>
    <cellStyle name="常规 4 3 8 3 3 2 4" xfId="22636"/>
    <cellStyle name="常规 4 3 8 3 3 2 4 2" xfId="22638"/>
    <cellStyle name="常规 4 3 8 3 3 2 4 2 2" xfId="22640"/>
    <cellStyle name="常规 4 3 8 3 3 2 4 2 2 2" xfId="2509"/>
    <cellStyle name="常规 4 3 8 3 3 2 4 2 3" xfId="22642"/>
    <cellStyle name="常规 4 3 8 3 3 2 4 2 4" xfId="22644"/>
    <cellStyle name="常规 4 3 8 3 3 2 4 3" xfId="22645"/>
    <cellStyle name="常规 4 3 8 3 3 2 4 3 2" xfId="22647"/>
    <cellStyle name="常规 4 3 8 3 3 2 4 4" xfId="21084"/>
    <cellStyle name="常规 4 3 8 3 3 2 4 5" xfId="5982"/>
    <cellStyle name="常规 4 3 8 3 3 2 5" xfId="22648"/>
    <cellStyle name="常规 4 3 8 3 3 2 5 2" xfId="16599"/>
    <cellStyle name="常规 4 3 8 3 3 2 5 2 2" xfId="16602"/>
    <cellStyle name="常规 4 3 8 3 3 2 5 3" xfId="16606"/>
    <cellStyle name="常规 4 3 8 3 3 2 5 4" xfId="16609"/>
    <cellStyle name="常规 4 3 8 3 3 2 6" xfId="22649"/>
    <cellStyle name="常规 4 3 8 3 3 2 6 2" xfId="19987"/>
    <cellStyle name="常规 4 3 8 3 3 2 7" xfId="22650"/>
    <cellStyle name="常规 4 3 8 3 3 2 8" xfId="22651"/>
    <cellStyle name="常规 4 3 8 3 3 3" xfId="9631"/>
    <cellStyle name="常规 4 3 8 3 3 3 2" xfId="22653"/>
    <cellStyle name="常规 4 3 8 3 3 3 2 2" xfId="22657"/>
    <cellStyle name="常规 4 3 8 3 3 3 2 2 2" xfId="22660"/>
    <cellStyle name="常规 4 3 8 3 3 3 2 2 2 2" xfId="22662"/>
    <cellStyle name="常规 4 3 8 3 3 3 2 2 2 2 2" xfId="10188"/>
    <cellStyle name="常规 4 3 8 3 3 3 2 2 2 3" xfId="22664"/>
    <cellStyle name="常规 4 3 8 3 3 3 2 2 2 4" xfId="22667"/>
    <cellStyle name="常规 4 3 8 3 3 3 2 2 3" xfId="22669"/>
    <cellStyle name="常规 4 3 8 3 3 3 2 2 3 2" xfId="22672"/>
    <cellStyle name="常规 4 3 8 3 3 3 2 2 4" xfId="22674"/>
    <cellStyle name="常规 4 3 8 3 3 3 2 2 5" xfId="7585"/>
    <cellStyle name="常规 4 3 8 3 3 3 2 3" xfId="22676"/>
    <cellStyle name="常规 4 3 8 3 3 3 2 3 2" xfId="22679"/>
    <cellStyle name="常规 4 3 8 3 3 3 2 3 2 2" xfId="22681"/>
    <cellStyle name="常规 4 3 8 3 3 3 2 3 3" xfId="22683"/>
    <cellStyle name="常规 4 3 8 3 3 3 2 3 4" xfId="22685"/>
    <cellStyle name="常规 4 3 8 3 3 3 2 4" xfId="22687"/>
    <cellStyle name="常规 4 3 8 3 3 3 2 4 2" xfId="4583"/>
    <cellStyle name="常规 4 3 8 3 3 3 2 5" xfId="22689"/>
    <cellStyle name="常规 4 3 8 3 3 3 2 6" xfId="22690"/>
    <cellStyle name="常规 4 3 8 3 3 3 3" xfId="22691"/>
    <cellStyle name="常规 4 3 8 3 3 3 3 2" xfId="22692"/>
    <cellStyle name="常规 4 3 8 3 3 3 3 2 2" xfId="22694"/>
    <cellStyle name="常规 4 3 8 3 3 3 3 2 2 2" xfId="18640"/>
    <cellStyle name="常规 4 3 8 3 3 3 3 2 3" xfId="22696"/>
    <cellStyle name="常规 4 3 8 3 3 3 3 2 4" xfId="22698"/>
    <cellStyle name="常规 4 3 8 3 3 3 3 3" xfId="22700"/>
    <cellStyle name="常规 4 3 8 3 3 3 3 3 2" xfId="22702"/>
    <cellStyle name="常规 4 3 8 3 3 3 3 4" xfId="22703"/>
    <cellStyle name="常规 4 3 8 3 3 3 3 5" xfId="22704"/>
    <cellStyle name="常规 4 3 8 3 3 3 4" xfId="16764"/>
    <cellStyle name="常规 4 3 8 3 3 3 4 2" xfId="22705"/>
    <cellStyle name="常规 4 3 8 3 3 3 4 2 2" xfId="22707"/>
    <cellStyle name="常规 4 3 8 3 3 3 4 3" xfId="22708"/>
    <cellStyle name="常规 4 3 8 3 3 3 4 4" xfId="14825"/>
    <cellStyle name="常规 4 3 8 3 3 3 5" xfId="22709"/>
    <cellStyle name="常规 4 3 8 3 3 3 5 2" xfId="21140"/>
    <cellStyle name="常规 4 3 8 3 3 3 6" xfId="22710"/>
    <cellStyle name="常规 4 3 8 3 3 3 7" xfId="22711"/>
    <cellStyle name="常规 4 3 8 3 3 4" xfId="22712"/>
    <cellStyle name="常规 4 3 8 3 3 4 2" xfId="22713"/>
    <cellStyle name="常规 4 3 8 3 3 4 2 2" xfId="22714"/>
    <cellStyle name="常规 4 3 8 3 3 4 2 2 2" xfId="22716"/>
    <cellStyle name="常规 4 3 8 3 3 4 2 2 2 2" xfId="22719"/>
    <cellStyle name="常规 4 3 8 3 3 4 2 2 3" xfId="22722"/>
    <cellStyle name="常规 4 3 8 3 3 4 2 2 4" xfId="22725"/>
    <cellStyle name="常规 4 3 8 3 3 4 2 3" xfId="22727"/>
    <cellStyle name="常规 4 3 8 3 3 4 2 3 2" xfId="22729"/>
    <cellStyle name="常规 4 3 8 3 3 4 2 4" xfId="22731"/>
    <cellStyle name="常规 4 3 8 3 3 4 2 5" xfId="22451"/>
    <cellStyle name="常规 4 3 8 3 3 4 3" xfId="22732"/>
    <cellStyle name="常规 4 3 8 3 3 4 3 2" xfId="22733"/>
    <cellStyle name="常规 4 3 8 3 3 4 3 2 2" xfId="22735"/>
    <cellStyle name="常规 4 3 8 3 3 4 3 3" xfId="22737"/>
    <cellStyle name="常规 4 3 8 3 3 4 3 4" xfId="22738"/>
    <cellStyle name="常规 4 3 8 3 3 4 4" xfId="22739"/>
    <cellStyle name="常规 4 3 8 3 3 4 4 2" xfId="22740"/>
    <cellStyle name="常规 4 3 8 3 3 4 5" xfId="22741"/>
    <cellStyle name="常规 4 3 8 3 3 4 6" xfId="22742"/>
    <cellStyle name="常规 4 3 8 3 3 5" xfId="22743"/>
    <cellStyle name="常规 4 3 8 3 3 5 2" xfId="22744"/>
    <cellStyle name="常规 4 3 8 3 3 5 2 2" xfId="22746"/>
    <cellStyle name="常规 4 3 8 3 3 5 2 2 2" xfId="22748"/>
    <cellStyle name="常规 4 3 8 3 3 5 2 3" xfId="22750"/>
    <cellStyle name="常规 4 3 8 3 3 5 2 4" xfId="22751"/>
    <cellStyle name="常规 4 3 8 3 3 5 3" xfId="22752"/>
    <cellStyle name="常规 4 3 8 3 3 5 3 2" xfId="22754"/>
    <cellStyle name="常规 4 3 8 3 3 5 4" xfId="22755"/>
    <cellStyle name="常规 4 3 8 3 3 5 5" xfId="22756"/>
    <cellStyle name="常规 4 3 8 3 3 6" xfId="22757"/>
    <cellStyle name="常规 4 3 8 3 3 6 2" xfId="481"/>
    <cellStyle name="常规 4 3 8 3 3 6 2 2" xfId="490"/>
    <cellStyle name="常规 4 3 8 3 3 6 3" xfId="494"/>
    <cellStyle name="常规 4 3 8 3 3 6 4" xfId="499"/>
    <cellStyle name="常规 4 3 8 3 3 7" xfId="22760"/>
    <cellStyle name="常规 4 3 8 3 3 7 2" xfId="22761"/>
    <cellStyle name="常规 4 3 8 3 3 8" xfId="22763"/>
    <cellStyle name="常规 4 3 8 3 3 9" xfId="22764"/>
    <cellStyle name="常规 4 3 8 3 4" xfId="17408"/>
    <cellStyle name="常规 4 3 8 3 4 2" xfId="17410"/>
    <cellStyle name="常规 4 3 8 3 4 2 2" xfId="17413"/>
    <cellStyle name="常规 4 3 8 3 4 2 2 2" xfId="15838"/>
    <cellStyle name="常规 4 3 8 3 4 2 2 2 2" xfId="15842"/>
    <cellStyle name="常规 4 3 8 3 4 2 2 2 2 2" xfId="15846"/>
    <cellStyle name="常规 4 3 8 3 4 2 2 2 2 2 2" xfId="22766"/>
    <cellStyle name="常规 4 3 8 3 4 2 2 2 2 3" xfId="22768"/>
    <cellStyle name="常规 4 3 8 3 4 2 2 2 2 4" xfId="22772"/>
    <cellStyle name="常规 4 3 8 3 4 2 2 2 3" xfId="15849"/>
    <cellStyle name="常规 4 3 8 3 4 2 2 2 3 2" xfId="22774"/>
    <cellStyle name="常规 4 3 8 3 4 2 2 2 4" xfId="15852"/>
    <cellStyle name="常规 4 3 8 3 4 2 2 2 5" xfId="22779"/>
    <cellStyle name="常规 4 3 8 3 4 2 2 3" xfId="15854"/>
    <cellStyle name="常规 4 3 8 3 4 2 2 3 2" xfId="15857"/>
    <cellStyle name="常规 4 3 8 3 4 2 2 3 2 2" xfId="22781"/>
    <cellStyle name="常规 4 3 8 3 4 2 2 3 3" xfId="22783"/>
    <cellStyle name="常规 4 3 8 3 4 2 2 3 4" xfId="22785"/>
    <cellStyle name="常规 4 3 8 3 4 2 2 4" xfId="15859"/>
    <cellStyle name="常规 4 3 8 3 4 2 2 4 2" xfId="22787"/>
    <cellStyle name="常规 4 3 8 3 4 2 2 5" xfId="15862"/>
    <cellStyle name="常规 4 3 8 3 4 2 2 6" xfId="22788"/>
    <cellStyle name="常规 4 3 8 3 4 2 3" xfId="13852"/>
    <cellStyle name="常规 4 3 8 3 4 2 3 2" xfId="15889"/>
    <cellStyle name="常规 4 3 8 3 4 2 3 2 2" xfId="15892"/>
    <cellStyle name="常规 4 3 8 3 4 2 3 2 2 2" xfId="19816"/>
    <cellStyle name="常规 4 3 8 3 4 2 3 2 3" xfId="22790"/>
    <cellStyle name="常规 4 3 8 3 4 2 3 2 4" xfId="22792"/>
    <cellStyle name="常规 4 3 8 3 4 2 3 3" xfId="15894"/>
    <cellStyle name="常规 4 3 8 3 4 2 3 3 2" xfId="22794"/>
    <cellStyle name="常规 4 3 8 3 4 2 3 4" xfId="15896"/>
    <cellStyle name="常规 4 3 8 3 4 2 3 5" xfId="22795"/>
    <cellStyle name="常规 4 3 8 3 4 2 4" xfId="22796"/>
    <cellStyle name="常规 4 3 8 3 4 2 4 2" xfId="15910"/>
    <cellStyle name="常规 4 3 8 3 4 2 4 2 2" xfId="14793"/>
    <cellStyle name="常规 4 3 8 3 4 2 4 3" xfId="15912"/>
    <cellStyle name="常规 4 3 8 3 4 2 4 4" xfId="22797"/>
    <cellStyle name="常规 4 3 8 3 4 2 5" xfId="22798"/>
    <cellStyle name="常规 4 3 8 3 4 2 5 2" xfId="15925"/>
    <cellStyle name="常规 4 3 8 3 4 2 6" xfId="22799"/>
    <cellStyle name="常规 4 3 8 3 4 2 7" xfId="22800"/>
    <cellStyle name="常规 4 3 8 3 4 3" xfId="17415"/>
    <cellStyle name="常规 4 3 8 3 4 3 2" xfId="1007"/>
    <cellStyle name="常规 4 3 8 3 4 3 2 2" xfId="22801"/>
    <cellStyle name="常规 4 3 8 3 4 3 2 2 2" xfId="22803"/>
    <cellStyle name="常规 4 3 8 3 4 3 2 2 2 2" xfId="22805"/>
    <cellStyle name="常规 4 3 8 3 4 3 2 2 3" xfId="1784"/>
    <cellStyle name="常规 4 3 8 3 4 3 2 2 4" xfId="1826"/>
    <cellStyle name="常规 4 3 8 3 4 3 2 3" xfId="22806"/>
    <cellStyle name="常规 4 3 8 3 4 3 2 3 2" xfId="22808"/>
    <cellStyle name="常规 4 3 8 3 4 3 2 4" xfId="22809"/>
    <cellStyle name="常规 4 3 8 3 4 3 2 5" xfId="22810"/>
    <cellStyle name="常规 4 3 8 3 4 3 3" xfId="14748"/>
    <cellStyle name="常规 4 3 8 3 4 3 3 2" xfId="22811"/>
    <cellStyle name="常规 4 3 8 3 4 3 3 2 2" xfId="22813"/>
    <cellStyle name="常规 4 3 8 3 4 3 3 3" xfId="22814"/>
    <cellStyle name="常规 4 3 8 3 4 3 3 4" xfId="22815"/>
    <cellStyle name="常规 4 3 8 3 4 3 4" xfId="22816"/>
    <cellStyle name="常规 4 3 8 3 4 3 4 2" xfId="22817"/>
    <cellStyle name="常规 4 3 8 3 4 3 5" xfId="22818"/>
    <cellStyle name="常规 4 3 8 3 4 3 6" xfId="22819"/>
    <cellStyle name="常规 4 3 8 3 4 4" xfId="17417"/>
    <cellStyle name="常规 4 3 8 3 4 4 2" xfId="22820"/>
    <cellStyle name="常规 4 3 8 3 4 4 2 2" xfId="22821"/>
    <cellStyle name="常规 4 3 8 3 4 4 2 2 2" xfId="18390"/>
    <cellStyle name="常规 4 3 8 3 4 4 2 3" xfId="22822"/>
    <cellStyle name="常规 4 3 8 3 4 4 2 4" xfId="22823"/>
    <cellStyle name="常规 4 3 8 3 4 4 3" xfId="22824"/>
    <cellStyle name="常规 4 3 8 3 4 4 3 2" xfId="22825"/>
    <cellStyle name="常规 4 3 8 3 4 4 4" xfId="22826"/>
    <cellStyle name="常规 4 3 8 3 4 4 5" xfId="22827"/>
    <cellStyle name="常规 4 3 8 3 4 5" xfId="22828"/>
    <cellStyle name="常规 4 3 8 3 4 5 2" xfId="22829"/>
    <cellStyle name="常规 4 3 8 3 4 5 2 2" xfId="22830"/>
    <cellStyle name="常规 4 3 8 3 4 5 3" xfId="22831"/>
    <cellStyle name="常规 4 3 8 3 4 5 4" xfId="22832"/>
    <cellStyle name="常规 4 3 8 3 4 6" xfId="22834"/>
    <cellStyle name="常规 4 3 8 3 4 6 2" xfId="562"/>
    <cellStyle name="常规 4 3 8 3 4 7" xfId="22835"/>
    <cellStyle name="常规 4 3 8 3 4 8" xfId="22836"/>
    <cellStyle name="常规 4 3 8 3 5" xfId="17419"/>
    <cellStyle name="常规 4 3 8 3 5 2" xfId="17421"/>
    <cellStyle name="常规 4 3 8 3 5 2 2" xfId="22837"/>
    <cellStyle name="常规 4 3 8 3 5 2 2 2" xfId="22838"/>
    <cellStyle name="常规 4 3 8 3 5 2 2 2 2" xfId="22840"/>
    <cellStyle name="常规 4 3 8 3 5 2 2 2 2 2" xfId="22842"/>
    <cellStyle name="常规 4 3 8 3 5 2 2 2 3" xfId="22844"/>
    <cellStyle name="常规 4 3 8 3 5 2 2 2 4" xfId="22846"/>
    <cellStyle name="常规 4 3 8 3 5 2 2 3" xfId="22847"/>
    <cellStyle name="常规 4 3 8 3 5 2 2 3 2" xfId="22849"/>
    <cellStyle name="常规 4 3 8 3 5 2 2 4" xfId="22850"/>
    <cellStyle name="常规 4 3 8 3 5 2 2 5" xfId="22851"/>
    <cellStyle name="常规 4 3 8 3 5 2 3" xfId="22852"/>
    <cellStyle name="常规 4 3 8 3 5 2 3 2" xfId="22853"/>
    <cellStyle name="常规 4 3 8 3 5 2 3 2 2" xfId="22855"/>
    <cellStyle name="常规 4 3 8 3 5 2 3 3" xfId="22856"/>
    <cellStyle name="常规 4 3 8 3 5 2 3 4" xfId="22857"/>
    <cellStyle name="常规 4 3 8 3 5 2 4" xfId="4929"/>
    <cellStyle name="常规 4 3 8 3 5 2 4 2" xfId="6822"/>
    <cellStyle name="常规 4 3 8 3 5 2 5" xfId="6827"/>
    <cellStyle name="常规 4 3 8 3 5 2 6" xfId="6830"/>
    <cellStyle name="常规 4 3 8 3 5 3" xfId="22858"/>
    <cellStyle name="常规 4 3 8 3 5 3 2" xfId="22859"/>
    <cellStyle name="常规 4 3 8 3 5 3 2 2" xfId="22860"/>
    <cellStyle name="常规 4 3 8 3 5 3 2 2 2" xfId="9925"/>
    <cellStyle name="常规 4 3 8 3 5 3 2 3" xfId="22861"/>
    <cellStyle name="常规 4 3 8 3 5 3 2 4" xfId="22862"/>
    <cellStyle name="常规 4 3 8 3 5 3 3" xfId="22863"/>
    <cellStyle name="常规 4 3 8 3 5 3 3 2" xfId="22864"/>
    <cellStyle name="常规 4 3 8 3 5 3 4" xfId="6836"/>
    <cellStyle name="常规 4 3 8 3 5 3 5" xfId="6849"/>
    <cellStyle name="常规 4 3 8 3 5 4" xfId="22865"/>
    <cellStyle name="常规 4 3 8 3 5 4 2" xfId="22866"/>
    <cellStyle name="常规 4 3 8 3 5 4 2 2" xfId="22867"/>
    <cellStyle name="常规 4 3 8 3 5 4 3" xfId="22868"/>
    <cellStyle name="常规 4 3 8 3 5 4 4" xfId="6863"/>
    <cellStyle name="常规 4 3 8 3 5 5" xfId="4942"/>
    <cellStyle name="常规 4 3 8 3 5 5 2" xfId="22869"/>
    <cellStyle name="常规 4 3 8 3 5 6" xfId="22870"/>
    <cellStyle name="常规 4 3 8 3 5 7" xfId="22871"/>
    <cellStyle name="常规 4 3 8 3 6" xfId="17423"/>
    <cellStyle name="常规 4 3 8 3 6 2" xfId="22872"/>
    <cellStyle name="常规 4 3 8 3 6 2 2" xfId="22873"/>
    <cellStyle name="常规 4 3 8 3 6 2 2 2" xfId="22874"/>
    <cellStyle name="常规 4 3 8 3 6 2 2 2 2" xfId="22876"/>
    <cellStyle name="常规 4 3 8 3 6 2 2 3" xfId="22877"/>
    <cellStyle name="常规 4 3 8 3 6 2 2 4" xfId="22878"/>
    <cellStyle name="常规 4 3 8 3 6 2 3" xfId="22879"/>
    <cellStyle name="常规 4 3 8 3 6 2 3 2" xfId="22880"/>
    <cellStyle name="常规 4 3 8 3 6 2 4" xfId="6901"/>
    <cellStyle name="常规 4 3 8 3 6 2 5" xfId="2663"/>
    <cellStyle name="常规 4 3 8 3 6 3" xfId="22883"/>
    <cellStyle name="常规 4 3 8 3 6 3 2" xfId="22885"/>
    <cellStyle name="常规 4 3 8 3 6 3 2 2" xfId="22886"/>
    <cellStyle name="常规 4 3 8 3 6 3 3" xfId="22887"/>
    <cellStyle name="常规 4 3 8 3 6 3 4" xfId="6908"/>
    <cellStyle name="常规 4 3 8 3 6 4" xfId="22889"/>
    <cellStyle name="常规 4 3 8 3 6 4 2" xfId="22890"/>
    <cellStyle name="常规 4 3 8 3 6 5" xfId="22892"/>
    <cellStyle name="常规 4 3 8 3 6 6" xfId="20930"/>
    <cellStyle name="常规 4 3 8 3 7" xfId="17425"/>
    <cellStyle name="常规 4 3 8 3 7 2" xfId="22893"/>
    <cellStyle name="常规 4 3 8 3 7 2 2" xfId="22894"/>
    <cellStyle name="常规 4 3 8 3 7 2 2 2" xfId="22895"/>
    <cellStyle name="常规 4 3 8 3 7 2 3" xfId="22897"/>
    <cellStyle name="常规 4 3 8 3 7 2 4" xfId="6936"/>
    <cellStyle name="常规 4 3 8 3 7 3" xfId="22899"/>
    <cellStyle name="常规 4 3 8 3 7 3 2" xfId="22900"/>
    <cellStyle name="常规 4 3 8 3 7 4" xfId="22901"/>
    <cellStyle name="常规 4 3 8 3 7 5" xfId="22902"/>
    <cellStyle name="常规 4 3 8 3 8" xfId="22903"/>
    <cellStyle name="常规 4 3 8 3 8 2" xfId="811"/>
    <cellStyle name="常规 4 3 8 3 8 2 2" xfId="3636"/>
    <cellStyle name="常规 4 3 8 3 8 3" xfId="22906"/>
    <cellStyle name="常规 4 3 8 3 8 4" xfId="22908"/>
    <cellStyle name="常规 4 3 8 3 9" xfId="22910"/>
    <cellStyle name="常规 4 3 8 3 9 2" xfId="22914"/>
    <cellStyle name="常规 4 3 8 4" xfId="22916"/>
    <cellStyle name="常规 4 3 8 4 2" xfId="178"/>
    <cellStyle name="常规 4 3 8 4 2 2" xfId="22917"/>
    <cellStyle name="常规 4 3 8 4 2 2 2" xfId="22921"/>
    <cellStyle name="常规 4 3 8 4 2 2 2 2" xfId="22924"/>
    <cellStyle name="常规 4 3 8 4 2 2 2 2 2" xfId="18303"/>
    <cellStyle name="常规 4 3 8 4 2 2 2 2 2 2" xfId="18304"/>
    <cellStyle name="常规 4 3 8 4 2 2 2 2 2 2 2" xfId="9007"/>
    <cellStyle name="常规 4 3 8 4 2 2 2 2 2 3" xfId="18308"/>
    <cellStyle name="常规 4 3 8 4 2 2 2 2 2 4" xfId="18313"/>
    <cellStyle name="常规 4 3 8 4 2 2 2 2 3" xfId="18317"/>
    <cellStyle name="常规 4 3 8 4 2 2 2 2 3 2" xfId="18319"/>
    <cellStyle name="常规 4 3 8 4 2 2 2 2 4" xfId="18321"/>
    <cellStyle name="常规 4 3 8 4 2 2 2 2 5" xfId="18323"/>
    <cellStyle name="常规 4 3 8 4 2 2 2 3" xfId="22925"/>
    <cellStyle name="常规 4 3 8 4 2 2 2 3 2" xfId="18357"/>
    <cellStyle name="常规 4 3 8 4 2 2 2 3 2 2" xfId="7152"/>
    <cellStyle name="常规 4 3 8 4 2 2 2 3 3" xfId="18359"/>
    <cellStyle name="常规 4 3 8 4 2 2 2 3 4" xfId="18361"/>
    <cellStyle name="常规 4 3 8 4 2 2 2 4" xfId="22926"/>
    <cellStyle name="常规 4 3 8 4 2 2 2 4 2" xfId="18372"/>
    <cellStyle name="常规 4 3 8 4 2 2 2 5" xfId="22927"/>
    <cellStyle name="常规 4 3 8 4 2 2 2 6" xfId="22928"/>
    <cellStyle name="常规 4 3 8 4 2 2 3" xfId="22931"/>
    <cellStyle name="常规 4 3 8 4 2 2 3 2" xfId="22932"/>
    <cellStyle name="常规 4 3 8 4 2 2 3 2 2" xfId="18415"/>
    <cellStyle name="常规 4 3 8 4 2 2 3 2 2 2" xfId="16520"/>
    <cellStyle name="常规 4 3 8 4 2 2 3 2 3" xfId="18418"/>
    <cellStyle name="常规 4 3 8 4 2 2 3 2 4" xfId="18420"/>
    <cellStyle name="常规 4 3 8 4 2 2 3 3" xfId="22933"/>
    <cellStyle name="常规 4 3 8 4 2 2 3 3 2" xfId="18430"/>
    <cellStyle name="常规 4 3 8 4 2 2 3 4" xfId="22934"/>
    <cellStyle name="常规 4 3 8 4 2 2 3 5" xfId="22935"/>
    <cellStyle name="常规 4 3 8 4 2 2 4" xfId="22939"/>
    <cellStyle name="常规 4 3 8 4 2 2 4 2" xfId="22942"/>
    <cellStyle name="常规 4 3 8 4 2 2 4 2 2" xfId="18458"/>
    <cellStyle name="常规 4 3 8 4 2 2 4 3" xfId="22943"/>
    <cellStyle name="常规 4 3 8 4 2 2 4 4" xfId="22945"/>
    <cellStyle name="常规 4 3 8 4 2 2 5" xfId="22946"/>
    <cellStyle name="常规 4 3 8 4 2 2 5 2" xfId="3911"/>
    <cellStyle name="常规 4 3 8 4 2 2 6" xfId="22947"/>
    <cellStyle name="常规 4 3 8 4 2 2 7" xfId="22948"/>
    <cellStyle name="常规 4 3 8 4 2 3" xfId="22950"/>
    <cellStyle name="常规 4 3 8 4 2 3 2" xfId="22953"/>
    <cellStyle name="常规 4 3 8 4 2 3 2 2" xfId="22954"/>
    <cellStyle name="常规 4 3 8 4 2 3 2 2 2" xfId="18530"/>
    <cellStyle name="常规 4 3 8 4 2 3 2 2 2 2" xfId="18532"/>
    <cellStyle name="常规 4 3 8 4 2 3 2 2 3" xfId="18534"/>
    <cellStyle name="常规 4 3 8 4 2 3 2 2 4" xfId="18536"/>
    <cellStyle name="常规 4 3 8 4 2 3 2 3" xfId="22955"/>
    <cellStyle name="常规 4 3 8 4 2 3 2 3 2" xfId="18551"/>
    <cellStyle name="常规 4 3 8 4 2 3 2 4" xfId="22956"/>
    <cellStyle name="常规 4 3 8 4 2 3 2 5" xfId="22348"/>
    <cellStyle name="常规 4 3 8 4 2 3 3" xfId="22959"/>
    <cellStyle name="常规 4 3 8 4 2 3 3 2" xfId="22960"/>
    <cellStyle name="常规 4 3 8 4 2 3 3 2 2" xfId="18579"/>
    <cellStyle name="常规 4 3 8 4 2 3 3 3" xfId="22961"/>
    <cellStyle name="常规 4 3 8 4 2 3 3 4" xfId="22962"/>
    <cellStyle name="常规 4 3 8 4 2 3 4" xfId="8505"/>
    <cellStyle name="常规 4 3 8 4 2 3 4 2" xfId="22963"/>
    <cellStyle name="常规 4 3 8 4 2 3 5" xfId="22965"/>
    <cellStyle name="常规 4 3 8 4 2 3 6" xfId="22967"/>
    <cellStyle name="常规 4 3 8 4 2 4" xfId="22968"/>
    <cellStyle name="常规 4 3 8 4 2 4 2" xfId="22971"/>
    <cellStyle name="常规 4 3 8 4 2 4 2 2" xfId="22973"/>
    <cellStyle name="常规 4 3 8 4 2 4 2 2 2" xfId="18648"/>
    <cellStyle name="常规 4 3 8 4 2 4 2 3" xfId="22975"/>
    <cellStyle name="常规 4 3 8 4 2 4 2 4" xfId="22976"/>
    <cellStyle name="常规 4 3 8 4 2 4 3" xfId="22977"/>
    <cellStyle name="常规 4 3 8 4 2 4 3 2" xfId="22979"/>
    <cellStyle name="常规 4 3 8 4 2 4 4" xfId="22980"/>
    <cellStyle name="常规 4 3 8 4 2 4 5" xfId="22982"/>
    <cellStyle name="常规 4 3 8 4 2 5" xfId="22983"/>
    <cellStyle name="常规 4 3 8 4 2 5 2" xfId="22984"/>
    <cellStyle name="常规 4 3 8 4 2 5 2 2" xfId="1818"/>
    <cellStyle name="常规 4 3 8 4 2 5 3" xfId="22986"/>
    <cellStyle name="常规 4 3 8 4 2 5 4" xfId="22989"/>
    <cellStyle name="常规 4 3 8 4 2 6" xfId="22990"/>
    <cellStyle name="常规 4 3 8 4 2 6 2" xfId="22991"/>
    <cellStyle name="常规 4 3 8 4 2 7" xfId="22995"/>
    <cellStyle name="常规 4 3 8 4 2 8" xfId="22997"/>
    <cellStyle name="常规 4 3 8 4 3" xfId="1405"/>
    <cellStyle name="常规 4 3 8 4 3 2" xfId="22998"/>
    <cellStyle name="常规 4 3 8 4 3 2 2" xfId="23001"/>
    <cellStyle name="常规 4 3 8 4 3 2 2 2" xfId="23004"/>
    <cellStyle name="常规 4 3 8 4 3 2 2 2 2" xfId="19719"/>
    <cellStyle name="常规 4 3 8 4 3 2 2 2 2 2" xfId="19722"/>
    <cellStyle name="常规 4 3 8 4 3 2 2 2 3" xfId="4160"/>
    <cellStyle name="常规 4 3 8 4 3 2 2 2 4" xfId="29"/>
    <cellStyle name="常规 4 3 8 4 3 2 2 3" xfId="23006"/>
    <cellStyle name="常规 4 3 8 4 3 2 2 3 2" xfId="19738"/>
    <cellStyle name="常规 4 3 8 4 3 2 2 4" xfId="23007"/>
    <cellStyle name="常规 4 3 8 4 3 2 2 5" xfId="23008"/>
    <cellStyle name="常规 4 3 8 4 3 2 3" xfId="23011"/>
    <cellStyle name="常规 4 3 8 4 3 2 3 2" xfId="23013"/>
    <cellStyle name="常规 4 3 8 4 3 2 3 2 2" xfId="19763"/>
    <cellStyle name="常规 4 3 8 4 3 2 3 3" xfId="23014"/>
    <cellStyle name="常规 4 3 8 4 3 2 3 4" xfId="23015"/>
    <cellStyle name="常规 4 3 8 4 3 2 4" xfId="23016"/>
    <cellStyle name="常规 4 3 8 4 3 2 4 2" xfId="23017"/>
    <cellStyle name="常规 4 3 8 4 3 2 5" xfId="23018"/>
    <cellStyle name="常规 4 3 8 4 3 2 6" xfId="23019"/>
    <cellStyle name="常规 4 3 8 4 3 3" xfId="23020"/>
    <cellStyle name="常规 4 3 8 4 3 3 2" xfId="23023"/>
    <cellStyle name="常规 4 3 8 4 3 3 2 2" xfId="23025"/>
    <cellStyle name="常规 4 3 8 4 3 3 2 2 2" xfId="19824"/>
    <cellStyle name="常规 4 3 8 4 3 3 2 3" xfId="23026"/>
    <cellStyle name="常规 4 3 8 4 3 3 2 4" xfId="23027"/>
    <cellStyle name="常规 4 3 8 4 3 3 3" xfId="23028"/>
    <cellStyle name="常规 4 3 8 4 3 3 3 2" xfId="673"/>
    <cellStyle name="常规 4 3 8 4 3 3 4" xfId="23029"/>
    <cellStyle name="常规 4 3 8 4 3 3 5" xfId="23030"/>
    <cellStyle name="常规 4 3 8 4 3 4" xfId="23031"/>
    <cellStyle name="常规 4 3 8 4 3 4 2" xfId="23032"/>
    <cellStyle name="常规 4 3 8 4 3 4 2 2" xfId="23033"/>
    <cellStyle name="常规 4 3 8 4 3 4 3" xfId="23034"/>
    <cellStyle name="常规 4 3 8 4 3 4 4" xfId="23035"/>
    <cellStyle name="常规 4 3 8 4 3 5" xfId="23036"/>
    <cellStyle name="常规 4 3 8 4 3 5 2" xfId="23037"/>
    <cellStyle name="常规 4 3 8 4 3 6" xfId="23039"/>
    <cellStyle name="常规 4 3 8 4 3 7" xfId="23040"/>
    <cellStyle name="常规 4 3 8 4 4" xfId="1077"/>
    <cellStyle name="常规 4 3 8 4 4 2" xfId="17429"/>
    <cellStyle name="常规 4 3 8 4 4 2 2" xfId="23043"/>
    <cellStyle name="常规 4 3 8 4 4 2 2 2" xfId="23045"/>
    <cellStyle name="常规 4 3 8 4 4 2 2 2 2" xfId="23047"/>
    <cellStyle name="常规 4 3 8 4 4 2 2 3" xfId="23048"/>
    <cellStyle name="常规 4 3 8 4 4 2 2 4" xfId="23049"/>
    <cellStyle name="常规 4 3 8 4 4 2 3" xfId="12331"/>
    <cellStyle name="常规 4 3 8 4 4 2 3 2" xfId="23050"/>
    <cellStyle name="常规 4 3 8 4 4 2 4" xfId="23051"/>
    <cellStyle name="常规 4 3 8 4 4 2 5" xfId="23052"/>
    <cellStyle name="常规 4 3 8 4 4 3" xfId="17090"/>
    <cellStyle name="常规 4 3 8 4 4 3 2" xfId="23053"/>
    <cellStyle name="常规 4 3 8 4 4 3 2 2" xfId="16512"/>
    <cellStyle name="常规 4 3 8 4 4 3 3" xfId="23054"/>
    <cellStyle name="常规 4 3 8 4 4 3 4" xfId="23055"/>
    <cellStyle name="常规 4 3 8 4 4 4" xfId="23056"/>
    <cellStyle name="常规 4 3 8 4 4 4 2" xfId="23057"/>
    <cellStyle name="常规 4 3 8 4 4 5" xfId="23058"/>
    <cellStyle name="常规 4 3 8 4 4 6" xfId="23059"/>
    <cellStyle name="常规 4 3 8 4 5" xfId="1114"/>
    <cellStyle name="常规 4 3 8 4 5 2" xfId="23060"/>
    <cellStyle name="常规 4 3 8 4 5 2 2" xfId="23061"/>
    <cellStyle name="常规 4 3 8 4 5 2 2 2" xfId="23062"/>
    <cellStyle name="常规 4 3 8 4 5 2 3" xfId="23063"/>
    <cellStyle name="常规 4 3 8 4 5 2 4" xfId="7015"/>
    <cellStyle name="常规 4 3 8 4 5 3" xfId="23064"/>
    <cellStyle name="常规 4 3 8 4 5 3 2" xfId="23065"/>
    <cellStyle name="常规 4 3 8 4 5 4" xfId="23066"/>
    <cellStyle name="常规 4 3 8 4 5 5" xfId="23067"/>
    <cellStyle name="常规 4 3 8 4 6" xfId="1128"/>
    <cellStyle name="常规 4 3 8 4 6 2" xfId="23068"/>
    <cellStyle name="常规 4 3 8 4 6 2 2" xfId="23070"/>
    <cellStyle name="常规 4 3 8 4 6 3" xfId="23072"/>
    <cellStyle name="常规 4 3 8 4 6 4" xfId="23073"/>
    <cellStyle name="常规 4 3 8 4 7" xfId="229"/>
    <cellStyle name="常规 4 3 8 4 7 2" xfId="23074"/>
    <cellStyle name="常规 4 3 8 4 8" xfId="1285"/>
    <cellStyle name="常规 4 3 8 4 9" xfId="1296"/>
    <cellStyle name="常规 4 3 8 5" xfId="5716"/>
    <cellStyle name="常规 4 3 8 5 2" xfId="23075"/>
    <cellStyle name="常规 4 3 8 5 2 2" xfId="23076"/>
    <cellStyle name="常规 4 3 8 5 2 2 2" xfId="23079"/>
    <cellStyle name="常规 4 3 8 5 2 2 2 2" xfId="23081"/>
    <cellStyle name="常规 4 3 8 5 2 2 2 2 2" xfId="23083"/>
    <cellStyle name="常规 4 3 8 5 2 2 2 2 2 2" xfId="23084"/>
    <cellStyle name="常规 4 3 8 5 2 2 2 2 2 2 2" xfId="23085"/>
    <cellStyle name="常规 4 3 8 5 2 2 2 2 2 3" xfId="14470"/>
    <cellStyle name="常规 4 3 8 5 2 2 2 2 2 4" xfId="23088"/>
    <cellStyle name="常规 4 3 8 5 2 2 2 2 3" xfId="23090"/>
    <cellStyle name="常规 4 3 8 5 2 2 2 2 3 2" xfId="23092"/>
    <cellStyle name="常规 4 3 8 5 2 2 2 2 4" xfId="23093"/>
    <cellStyle name="常规 4 3 8 5 2 2 2 2 5" xfId="23094"/>
    <cellStyle name="常规 4 3 8 5 2 2 2 3" xfId="23097"/>
    <cellStyle name="常规 4 3 8 5 2 2 2 3 2" xfId="23098"/>
    <cellStyle name="常规 4 3 8 5 2 2 2 3 2 2" xfId="23099"/>
    <cellStyle name="常规 4 3 8 5 2 2 2 3 3" xfId="23100"/>
    <cellStyle name="常规 4 3 8 5 2 2 2 3 4" xfId="23101"/>
    <cellStyle name="常规 4 3 8 5 2 2 2 4" xfId="23102"/>
    <cellStyle name="常规 4 3 8 5 2 2 2 4 2" xfId="23103"/>
    <cellStyle name="常规 4 3 8 5 2 2 2 5" xfId="23104"/>
    <cellStyle name="常规 4 3 8 5 2 2 2 6" xfId="20352"/>
    <cellStyle name="常规 4 3 8 5 2 2 3" xfId="23107"/>
    <cellStyle name="常规 4 3 8 5 2 2 3 2" xfId="23109"/>
    <cellStyle name="常规 4 3 8 5 2 2 3 2 2" xfId="23111"/>
    <cellStyle name="常规 4 3 8 5 2 2 3 2 2 2" xfId="23112"/>
    <cellStyle name="常规 4 3 8 5 2 2 3 2 3" xfId="23114"/>
    <cellStyle name="常规 4 3 8 5 2 2 3 2 4" xfId="23116"/>
    <cellStyle name="常规 4 3 8 5 2 2 3 3" xfId="23118"/>
    <cellStyle name="常规 4 3 8 5 2 2 3 3 2" xfId="23119"/>
    <cellStyle name="常规 4 3 8 5 2 2 3 4" xfId="23120"/>
    <cellStyle name="常规 4 3 8 5 2 2 3 5" xfId="23121"/>
    <cellStyle name="常规 4 3 8 5 2 2 4" xfId="23124"/>
    <cellStyle name="常规 4 3 8 5 2 2 4 2" xfId="23125"/>
    <cellStyle name="常规 4 3 8 5 2 2 4 2 2" xfId="23126"/>
    <cellStyle name="常规 4 3 8 5 2 2 4 3" xfId="23127"/>
    <cellStyle name="常规 4 3 8 5 2 2 4 4" xfId="23128"/>
    <cellStyle name="常规 4 3 8 5 2 2 5" xfId="23129"/>
    <cellStyle name="常规 4 3 8 5 2 2 5 2" xfId="796"/>
    <cellStyle name="常规 4 3 8 5 2 2 6" xfId="23131"/>
    <cellStyle name="常规 4 3 8 5 2 2 7" xfId="20767"/>
    <cellStyle name="常规 4 3 8 5 2 3" xfId="23132"/>
    <cellStyle name="常规 4 3 8 5 2 3 2" xfId="23135"/>
    <cellStyle name="常规 4 3 8 5 2 3 2 2" xfId="23138"/>
    <cellStyle name="常规 4 3 8 5 2 3 2 2 2" xfId="23139"/>
    <cellStyle name="常规 4 3 8 5 2 3 2 2 2 2" xfId="23140"/>
    <cellStyle name="常规 4 3 8 5 2 3 2 2 3" xfId="23141"/>
    <cellStyle name="常规 4 3 8 5 2 3 2 2 4" xfId="23142"/>
    <cellStyle name="常规 4 3 8 5 2 3 2 3" xfId="23143"/>
    <cellStyle name="常规 4 3 8 5 2 3 2 3 2" xfId="23144"/>
    <cellStyle name="常规 4 3 8 5 2 3 2 4" xfId="23145"/>
    <cellStyle name="常规 4 3 8 5 2 3 2 5" xfId="23146"/>
    <cellStyle name="常规 4 3 8 5 2 3 3" xfId="23147"/>
    <cellStyle name="常规 4 3 8 5 2 3 3 2" xfId="23150"/>
    <cellStyle name="常规 4 3 8 5 2 3 3 2 2" xfId="23152"/>
    <cellStyle name="常规 4 3 8 5 2 3 3 3" xfId="23153"/>
    <cellStyle name="常规 4 3 8 5 2 3 3 4" xfId="23154"/>
    <cellStyle name="常规 4 3 8 5 2 3 4" xfId="23155"/>
    <cellStyle name="常规 4 3 8 5 2 3 4 2" xfId="23157"/>
    <cellStyle name="常规 4 3 8 5 2 3 5" xfId="23158"/>
    <cellStyle name="常规 4 3 8 5 2 3 6" xfId="23160"/>
    <cellStyle name="常规 4 3 8 5 2 4" xfId="23161"/>
    <cellStyle name="常规 4 3 8 5 2 4 2" xfId="23163"/>
    <cellStyle name="常规 4 3 8 5 2 4 2 2" xfId="23165"/>
    <cellStyle name="常规 4 3 8 5 2 4 2 2 2" xfId="22395"/>
    <cellStyle name="常规 4 3 8 5 2 4 2 3" xfId="23167"/>
    <cellStyle name="常规 4 3 8 5 2 4 2 4" xfId="23168"/>
    <cellStyle name="常规 4 3 8 5 2 4 3" xfId="23169"/>
    <cellStyle name="常规 4 3 8 5 2 4 3 2" xfId="23171"/>
    <cellStyle name="常规 4 3 8 5 2 4 4" xfId="23172"/>
    <cellStyle name="常规 4 3 8 5 2 4 5" xfId="23173"/>
    <cellStyle name="常规 4 3 8 5 2 5" xfId="245"/>
    <cellStyle name="常规 4 3 8 5 2 5 2" xfId="23175"/>
    <cellStyle name="常规 4 3 8 5 2 5 2 2" xfId="23177"/>
    <cellStyle name="常规 4 3 8 5 2 5 3" xfId="23179"/>
    <cellStyle name="常规 4 3 8 5 2 5 4" xfId="23180"/>
    <cellStyle name="常规 4 3 8 5 2 6" xfId="23181"/>
    <cellStyle name="常规 4 3 8 5 2 6 2" xfId="23182"/>
    <cellStyle name="常规 4 3 8 5 2 7" xfId="23185"/>
    <cellStyle name="常规 4 3 8 5 2 8" xfId="23187"/>
    <cellStyle name="常规 4 3 8 5 3" xfId="23188"/>
    <cellStyle name="常规 4 3 8 5 3 2" xfId="1745"/>
    <cellStyle name="常规 4 3 8 5 3 2 2" xfId="100"/>
    <cellStyle name="常规 4 3 8 5 3 2 2 2" xfId="23190"/>
    <cellStyle name="常规 4 3 8 5 3 2 2 2 2" xfId="23192"/>
    <cellStyle name="常规 4 3 8 5 3 2 2 2 2 2" xfId="23194"/>
    <cellStyle name="常规 4 3 8 5 3 2 2 2 3" xfId="12457"/>
    <cellStyle name="常规 4 3 8 5 3 2 2 2 4" xfId="23196"/>
    <cellStyle name="常规 4 3 8 5 3 2 2 3" xfId="23197"/>
    <cellStyle name="常规 4 3 8 5 3 2 2 3 2" xfId="23199"/>
    <cellStyle name="常规 4 3 8 5 3 2 2 4" xfId="23200"/>
    <cellStyle name="常规 4 3 8 5 3 2 2 5" xfId="23201"/>
    <cellStyle name="常规 4 3 8 5 3 2 3" xfId="23203"/>
    <cellStyle name="常规 4 3 8 5 3 2 3 2" xfId="23204"/>
    <cellStyle name="常规 4 3 8 5 3 2 3 2 2" xfId="23206"/>
    <cellStyle name="常规 4 3 8 5 3 2 3 3" xfId="23208"/>
    <cellStyle name="常规 4 3 8 5 3 2 3 4" xfId="23209"/>
    <cellStyle name="常规 4 3 8 5 3 2 4" xfId="23210"/>
    <cellStyle name="常规 4 3 8 5 3 2 4 2" xfId="23211"/>
    <cellStyle name="常规 4 3 8 5 3 2 5" xfId="23212"/>
    <cellStyle name="常规 4 3 8 5 3 2 6" xfId="23213"/>
    <cellStyle name="常规 4 3 8 5 3 3" xfId="1748"/>
    <cellStyle name="常规 4 3 8 5 3 3 2" xfId="23215"/>
    <cellStyle name="常规 4 3 8 5 3 3 2 2" xfId="23216"/>
    <cellStyle name="常规 4 3 8 5 3 3 2 2 2" xfId="23218"/>
    <cellStyle name="常规 4 3 8 5 3 3 2 3" xfId="23219"/>
    <cellStyle name="常规 4 3 8 5 3 3 2 4" xfId="23220"/>
    <cellStyle name="常规 4 3 8 5 3 3 3" xfId="23221"/>
    <cellStyle name="常规 4 3 8 5 3 3 3 2" xfId="23089"/>
    <cellStyle name="常规 4 3 8 5 3 3 4" xfId="23223"/>
    <cellStyle name="常规 4 3 8 5 3 3 5" xfId="23224"/>
    <cellStyle name="常规 4 3 8 5 3 4" xfId="1755"/>
    <cellStyle name="常规 4 3 8 5 3 4 2" xfId="23225"/>
    <cellStyle name="常规 4 3 8 5 3 4 2 2" xfId="23226"/>
    <cellStyle name="常规 4 3 8 5 3 4 3" xfId="23227"/>
    <cellStyle name="常规 4 3 8 5 3 4 4" xfId="23228"/>
    <cellStyle name="常规 4 3 8 5 3 5" xfId="23229"/>
    <cellStyle name="常规 4 3 8 5 3 5 2" xfId="23231"/>
    <cellStyle name="常规 4 3 8 5 3 6" xfId="23232"/>
    <cellStyle name="常规 4 3 8 5 3 7" xfId="23233"/>
    <cellStyle name="常规 4 3 8 5 4" xfId="17434"/>
    <cellStyle name="常规 4 3 8 5 4 2" xfId="1675"/>
    <cellStyle name="常规 4 3 8 5 4 2 2" xfId="23236"/>
    <cellStyle name="常规 4 3 8 5 4 2 2 2" xfId="23237"/>
    <cellStyle name="常规 4 3 8 5 4 2 2 2 2" xfId="23239"/>
    <cellStyle name="常规 4 3 8 5 4 2 2 3" xfId="23240"/>
    <cellStyle name="常规 4 3 8 5 4 2 2 4" xfId="23241"/>
    <cellStyle name="常规 4 3 8 5 4 2 3" xfId="23242"/>
    <cellStyle name="常规 4 3 8 5 4 2 3 2" xfId="23243"/>
    <cellStyle name="常规 4 3 8 5 4 2 4" xfId="18112"/>
    <cellStyle name="常规 4 3 8 5 4 2 5" xfId="18119"/>
    <cellStyle name="常规 4 3 8 5 4 3" xfId="1797"/>
    <cellStyle name="常规 4 3 8 5 4 3 2" xfId="23244"/>
    <cellStyle name="常规 4 3 8 5 4 3 2 2" xfId="23245"/>
    <cellStyle name="常规 4 3 8 5 4 3 3" xfId="23246"/>
    <cellStyle name="常规 4 3 8 5 4 3 4" xfId="18125"/>
    <cellStyle name="常规 4 3 8 5 4 4" xfId="23248"/>
    <cellStyle name="常规 4 3 8 5 4 4 2" xfId="23249"/>
    <cellStyle name="常规 4 3 8 5 4 5" xfId="23250"/>
    <cellStyle name="常规 4 3 8 5 4 6" xfId="23251"/>
    <cellStyle name="常规 4 3 8 5 5" xfId="23252"/>
    <cellStyle name="常规 4 3 8 5 5 2" xfId="23253"/>
    <cellStyle name="常规 4 3 8 5 5 2 2" xfId="23254"/>
    <cellStyle name="常规 4 3 8 5 5 2 2 2" xfId="23255"/>
    <cellStyle name="常规 4 3 8 5 5 2 3" xfId="23256"/>
    <cellStyle name="常规 4 3 8 5 5 2 4" xfId="3278"/>
    <cellStyle name="常规 4 3 8 5 5 3" xfId="23257"/>
    <cellStyle name="常规 4 3 8 5 5 3 2" xfId="23258"/>
    <cellStyle name="常规 4 3 8 5 5 4" xfId="23259"/>
    <cellStyle name="常规 4 3 8 5 5 5" xfId="23260"/>
    <cellStyle name="常规 4 3 8 5 6" xfId="23261"/>
    <cellStyle name="常规 4 3 8 5 6 2" xfId="23262"/>
    <cellStyle name="常规 4 3 8 5 6 2 2" xfId="23264"/>
    <cellStyle name="常规 4 3 8 5 6 3" xfId="23265"/>
    <cellStyle name="常规 4 3 8 5 6 4" xfId="23266"/>
    <cellStyle name="常规 4 3 8 5 7" xfId="23267"/>
    <cellStyle name="常规 4 3 8 5 7 2" xfId="23268"/>
    <cellStyle name="常规 4 3 8 5 8" xfId="23269"/>
    <cellStyle name="常规 4 3 8 5 9" xfId="23136"/>
    <cellStyle name="常规 4 3 8 6" xfId="21089"/>
    <cellStyle name="常规 4 3 8 6 2" xfId="23270"/>
    <cellStyle name="常规 4 3 8 6 2 2" xfId="23271"/>
    <cellStyle name="常规 4 3 8 6 2 2 2" xfId="23275"/>
    <cellStyle name="常规 4 3 8 6 2 2 2 2" xfId="23276"/>
    <cellStyle name="常规 4 3 8 6 2 2 2 2 2" xfId="17588"/>
    <cellStyle name="常规 4 3 8 6 2 2 2 2 2 2" xfId="23277"/>
    <cellStyle name="常规 4 3 8 6 2 2 2 2 3" xfId="23278"/>
    <cellStyle name="常规 4 3 8 6 2 2 2 2 4" xfId="23281"/>
    <cellStyle name="常规 4 3 8 6 2 2 2 3" xfId="23282"/>
    <cellStyle name="常规 4 3 8 6 2 2 2 3 2" xfId="23283"/>
    <cellStyle name="常规 4 3 8 6 2 2 2 4" xfId="23284"/>
    <cellStyle name="常规 4 3 8 6 2 2 2 5" xfId="23285"/>
    <cellStyle name="常规 4 3 8 6 2 2 3" xfId="23288"/>
    <cellStyle name="常规 4 3 8 6 2 2 3 2" xfId="23289"/>
    <cellStyle name="常规 4 3 8 6 2 2 3 2 2" xfId="17757"/>
    <cellStyle name="常规 4 3 8 6 2 2 3 3" xfId="23290"/>
    <cellStyle name="常规 4 3 8 6 2 2 3 4" xfId="23291"/>
    <cellStyle name="常规 4 3 8 6 2 2 4" xfId="23292"/>
    <cellStyle name="常规 4 3 8 6 2 2 4 2" xfId="23293"/>
    <cellStyle name="常规 4 3 8 6 2 2 5" xfId="23295"/>
    <cellStyle name="常规 4 3 8 6 2 2 6" xfId="23297"/>
    <cellStyle name="常规 4 3 8 6 2 3" xfId="23298"/>
    <cellStyle name="常规 4 3 8 6 2 3 2" xfId="23302"/>
    <cellStyle name="常规 4 3 8 6 2 3 2 2" xfId="23304"/>
    <cellStyle name="常规 4 3 8 6 2 3 2 2 2" xfId="23305"/>
    <cellStyle name="常规 4 3 8 6 2 3 2 3" xfId="23306"/>
    <cellStyle name="常规 4 3 8 6 2 3 2 4" xfId="23307"/>
    <cellStyle name="常规 4 3 8 6 2 3 3" xfId="23309"/>
    <cellStyle name="常规 4 3 8 6 2 3 3 2" xfId="23311"/>
    <cellStyle name="常规 4 3 8 6 2 3 4" xfId="23313"/>
    <cellStyle name="常规 4 3 8 6 2 3 5" xfId="23315"/>
    <cellStyle name="常规 4 3 8 6 2 4" xfId="23316"/>
    <cellStyle name="常规 4 3 8 6 2 4 2" xfId="23318"/>
    <cellStyle name="常规 4 3 8 6 2 4 2 2" xfId="23319"/>
    <cellStyle name="常规 4 3 8 6 2 4 3" xfId="23321"/>
    <cellStyle name="常规 4 3 8 6 2 4 4" xfId="23322"/>
    <cellStyle name="常规 4 3 8 6 2 5" xfId="23323"/>
    <cellStyle name="常规 4 3 8 6 2 5 2" xfId="23326"/>
    <cellStyle name="常规 4 3 8 6 2 6" xfId="23327"/>
    <cellStyle name="常规 4 3 8 6 2 7" xfId="23328"/>
    <cellStyle name="常规 4 3 8 6 3" xfId="23329"/>
    <cellStyle name="常规 4 3 8 6 3 2" xfId="907"/>
    <cellStyle name="常规 4 3 8 6 3 2 2" xfId="12090"/>
    <cellStyle name="常规 4 3 8 6 3 2 2 2" xfId="12093"/>
    <cellStyle name="常规 4 3 8 6 3 2 2 2 2" xfId="12099"/>
    <cellStyle name="常规 4 3 8 6 3 2 2 3" xfId="12131"/>
    <cellStyle name="常规 4 3 8 6 3 2 2 4" xfId="12148"/>
    <cellStyle name="常规 4 3 8 6 3 2 3" xfId="12162"/>
    <cellStyle name="常规 4 3 8 6 3 2 3 2" xfId="12165"/>
    <cellStyle name="常规 4 3 8 6 3 2 4" xfId="12196"/>
    <cellStyle name="常规 4 3 8 6 3 2 5" xfId="12210"/>
    <cellStyle name="常规 4 3 8 6 3 3" xfId="1555"/>
    <cellStyle name="常规 4 3 8 6 3 3 2" xfId="12438"/>
    <cellStyle name="常规 4 3 8 6 3 3 2 2" xfId="12441"/>
    <cellStyle name="常规 4 3 8 6 3 3 3" xfId="12453"/>
    <cellStyle name="常规 4 3 8 6 3 3 4" xfId="12460"/>
    <cellStyle name="常规 4 3 8 6 3 4" xfId="23330"/>
    <cellStyle name="常规 4 3 8 6 3 4 2" xfId="12718"/>
    <cellStyle name="常规 4 3 8 6 3 5" xfId="23331"/>
    <cellStyle name="常规 4 3 8 6 3 6" xfId="23332"/>
    <cellStyle name="常规 4 3 8 6 4" xfId="23333"/>
    <cellStyle name="常规 4 3 8 6 4 2" xfId="23334"/>
    <cellStyle name="常规 4 3 8 6 4 2 2" xfId="14077"/>
    <cellStyle name="常规 4 3 8 6 4 2 2 2" xfId="14080"/>
    <cellStyle name="常规 4 3 8 6 4 2 3" xfId="14092"/>
    <cellStyle name="常规 4 3 8 6 4 2 4" xfId="14097"/>
    <cellStyle name="常规 4 3 8 6 4 3" xfId="23335"/>
    <cellStyle name="常规 4 3 8 6 4 3 2" xfId="14312"/>
    <cellStyle name="常规 4 3 8 6 4 4" xfId="19516"/>
    <cellStyle name="常规 4 3 8 6 4 5" xfId="19519"/>
    <cellStyle name="常规 4 3 8 6 5" xfId="23336"/>
    <cellStyle name="常规 4 3 8 6 5 2" xfId="23337"/>
    <cellStyle name="常规 4 3 8 6 5 2 2" xfId="15015"/>
    <cellStyle name="常规 4 3 8 6 5 3" xfId="23338"/>
    <cellStyle name="常规 4 3 8 6 5 4" xfId="19524"/>
    <cellStyle name="常规 4 3 8 6 6" xfId="23339"/>
    <cellStyle name="常规 4 3 8 6 6 2" xfId="23340"/>
    <cellStyle name="常规 4 3 8 6 7" xfId="23341"/>
    <cellStyle name="常规 4 3 8 6 8" xfId="23343"/>
    <cellStyle name="常规 4 3 8 7" xfId="23344"/>
    <cellStyle name="常规 4 3 8 7 2" xfId="23345"/>
    <cellStyle name="常规 4 3 8 7 2 2" xfId="23346"/>
    <cellStyle name="常规 4 3 8 7 2 2 2" xfId="23350"/>
    <cellStyle name="常规 4 3 8 7 2 2 2 2" xfId="22896"/>
    <cellStyle name="常规 4 3 8 7 2 2 2 2 2" xfId="23351"/>
    <cellStyle name="常规 4 3 8 7 2 2 2 3" xfId="6935"/>
    <cellStyle name="常规 4 3 8 7 2 2 2 4" xfId="6939"/>
    <cellStyle name="常规 4 3 8 7 2 2 3" xfId="23353"/>
    <cellStyle name="常规 4 3 8 7 2 2 3 2" xfId="23354"/>
    <cellStyle name="常规 4 3 8 7 2 2 4" xfId="9974"/>
    <cellStyle name="常规 4 3 8 7 2 2 5" xfId="9978"/>
    <cellStyle name="常规 4 3 8 7 2 3" xfId="23355"/>
    <cellStyle name="常规 4 3 8 7 2 3 2" xfId="23358"/>
    <cellStyle name="常规 4 3 8 7 2 3 2 2" xfId="23359"/>
    <cellStyle name="常规 4 3 8 7 2 3 3" xfId="23361"/>
    <cellStyle name="常规 4 3 8 7 2 3 4" xfId="2618"/>
    <cellStyle name="常规 4 3 8 7 2 4" xfId="23362"/>
    <cellStyle name="常规 4 3 8 7 2 4 2" xfId="23364"/>
    <cellStyle name="常规 4 3 8 7 2 5" xfId="23365"/>
    <cellStyle name="常规 4 3 8 7 2 6" xfId="23366"/>
    <cellStyle name="常规 4 3 8 7 3" xfId="23367"/>
    <cellStyle name="常规 4 3 8 7 3 2" xfId="315"/>
    <cellStyle name="常规 4 3 8 7 3 2 2" xfId="23368"/>
    <cellStyle name="常规 4 3 8 7 3 2 2 2" xfId="23369"/>
    <cellStyle name="常规 4 3 8 7 3 2 3" xfId="23370"/>
    <cellStyle name="常规 4 3 8 7 3 2 4" xfId="9983"/>
    <cellStyle name="常规 4 3 8 7 3 3" xfId="327"/>
    <cellStyle name="常规 4 3 8 7 3 3 2" xfId="23372"/>
    <cellStyle name="常规 4 3 8 7 3 4" xfId="352"/>
    <cellStyle name="常规 4 3 8 7 3 5" xfId="23373"/>
    <cellStyle name="常规 4 3 8 7 4" xfId="23374"/>
    <cellStyle name="常规 4 3 8 7 4 2" xfId="23375"/>
    <cellStyle name="常规 4 3 8 7 4 2 2" xfId="8279"/>
    <cellStyle name="常规 4 3 8 7 4 3" xfId="23376"/>
    <cellStyle name="常规 4 3 8 7 4 4" xfId="19534"/>
    <cellStyle name="常规 4 3 8 7 5" xfId="23377"/>
    <cellStyle name="常规 4 3 8 7 5 2" xfId="23378"/>
    <cellStyle name="常规 4 3 8 7 6" xfId="23379"/>
    <cellStyle name="常规 4 3 8 7 7" xfId="23380"/>
    <cellStyle name="常规 4 3 8 8" xfId="23381"/>
    <cellStyle name="常规 4 3 8 8 2" xfId="23382"/>
    <cellStyle name="常规 4 3 8 8 2 2" xfId="23383"/>
    <cellStyle name="常规 4 3 8 8 2 2 2" xfId="23385"/>
    <cellStyle name="常规 4 3 8 8 2 2 2 2" xfId="23386"/>
    <cellStyle name="常规 4 3 8 8 2 2 3" xfId="23388"/>
    <cellStyle name="常规 4 3 8 8 2 2 4" xfId="9997"/>
    <cellStyle name="常规 4 3 8 8 2 3" xfId="23389"/>
    <cellStyle name="常规 4 3 8 8 2 3 2" xfId="23391"/>
    <cellStyle name="常规 4 3 8 8 2 4" xfId="23392"/>
    <cellStyle name="常规 4 3 8 8 2 5" xfId="23393"/>
    <cellStyle name="常规 4 3 8 8 3" xfId="11349"/>
    <cellStyle name="常规 4 3 8 8 3 2" xfId="23394"/>
    <cellStyle name="常规 4 3 8 8 3 2 2" xfId="23395"/>
    <cellStyle name="常规 4 3 8 8 3 3" xfId="23396"/>
    <cellStyle name="常规 4 3 8 8 3 4" xfId="23397"/>
    <cellStyle name="常规 4 3 8 8 4" xfId="10566"/>
    <cellStyle name="常规 4 3 8 8 4 2" xfId="10568"/>
    <cellStyle name="常规 4 3 8 8 5" xfId="10570"/>
    <cellStyle name="常规 4 3 8 8 6" xfId="10572"/>
    <cellStyle name="常规 4 3 8 9" xfId="10841"/>
    <cellStyle name="常规 4 3 8 9 2" xfId="10843"/>
    <cellStyle name="常规 4 3 8 9 2 2" xfId="10845"/>
    <cellStyle name="常规 4 3 8 9 2 2 2" xfId="10848"/>
    <cellStyle name="常规 4 3 8 9 2 3" xfId="10851"/>
    <cellStyle name="常规 4 3 8 9 2 4" xfId="10856"/>
    <cellStyle name="常规 4 3 8 9 3" xfId="10858"/>
    <cellStyle name="常规 4 3 8 9 3 2" xfId="10860"/>
    <cellStyle name="常规 4 3 8 9 4" xfId="10576"/>
    <cellStyle name="常规 4 3 8 9 5" xfId="10864"/>
    <cellStyle name="常规 4 3 9" xfId="18179"/>
    <cellStyle name="常规 4 3 9 10" xfId="22964"/>
    <cellStyle name="常规 4 3 9 10 2" xfId="23398"/>
    <cellStyle name="常规 4 3 9 11" xfId="22966"/>
    <cellStyle name="常规 4 3 9 12" xfId="23399"/>
    <cellStyle name="常规 4 3 9 2" xfId="23400"/>
    <cellStyle name="常规 4 3 9 2 10" xfId="23401"/>
    <cellStyle name="常规 4 3 9 2 11" xfId="23403"/>
    <cellStyle name="常规 4 3 9 2 2" xfId="23404"/>
    <cellStyle name="常规 4 3 9 2 2 2" xfId="23405"/>
    <cellStyle name="常规 4 3 9 2 2 2 2" xfId="22220"/>
    <cellStyle name="常规 4 3 9 2 2 2 2 2" xfId="23407"/>
    <cellStyle name="常规 4 3 9 2 2 2 2 2 2" xfId="23409"/>
    <cellStyle name="常规 4 3 9 2 2 2 2 2 2 2" xfId="23410"/>
    <cellStyle name="常规 4 3 9 2 2 2 2 2 2 2 2" xfId="23411"/>
    <cellStyle name="常规 4 3 9 2 2 2 2 2 2 2 2 2" xfId="23412"/>
    <cellStyle name="常规 4 3 9 2 2 2 2 2 2 2 3" xfId="23415"/>
    <cellStyle name="常规 4 3 9 2 2 2 2 2 2 2 4" xfId="23419"/>
    <cellStyle name="常规 4 3 9 2 2 2 2 2 2 3" xfId="2457"/>
    <cellStyle name="常规 4 3 9 2 2 2 2 2 2 3 2" xfId="23420"/>
    <cellStyle name="常规 4 3 9 2 2 2 2 2 2 4" xfId="2460"/>
    <cellStyle name="常规 4 3 9 2 2 2 2 2 2 5" xfId="23421"/>
    <cellStyle name="常规 4 3 9 2 2 2 2 2 3" xfId="23422"/>
    <cellStyle name="常规 4 3 9 2 2 2 2 2 3 2" xfId="23423"/>
    <cellStyle name="常规 4 3 9 2 2 2 2 2 3 2 2" xfId="23424"/>
    <cellStyle name="常规 4 3 9 2 2 2 2 2 3 3" xfId="2465"/>
    <cellStyle name="常规 4 3 9 2 2 2 2 2 3 4" xfId="23425"/>
    <cellStyle name="常规 4 3 9 2 2 2 2 2 4" xfId="23426"/>
    <cellStyle name="常规 4 3 9 2 2 2 2 2 4 2" xfId="23427"/>
    <cellStyle name="常规 4 3 9 2 2 2 2 2 5" xfId="23428"/>
    <cellStyle name="常规 4 3 9 2 2 2 2 2 6" xfId="23430"/>
    <cellStyle name="常规 4 3 9 2 2 2 2 3" xfId="23431"/>
    <cellStyle name="常规 4 3 9 2 2 2 2 3 2" xfId="23432"/>
    <cellStyle name="常规 4 3 9 2 2 2 2 3 2 2" xfId="23433"/>
    <cellStyle name="常规 4 3 9 2 2 2 2 3 2 2 2" xfId="23434"/>
    <cellStyle name="常规 4 3 9 2 2 2 2 3 2 3" xfId="2484"/>
    <cellStyle name="常规 4 3 9 2 2 2 2 3 2 4" xfId="2486"/>
    <cellStyle name="常规 4 3 9 2 2 2 2 3 3" xfId="23435"/>
    <cellStyle name="常规 4 3 9 2 2 2 2 3 3 2" xfId="23436"/>
    <cellStyle name="常规 4 3 9 2 2 2 2 3 4" xfId="23437"/>
    <cellStyle name="常规 4 3 9 2 2 2 2 3 5" xfId="23438"/>
    <cellStyle name="常规 4 3 9 2 2 2 2 4" xfId="23439"/>
    <cellStyle name="常规 4 3 9 2 2 2 2 4 2" xfId="23440"/>
    <cellStyle name="常规 4 3 9 2 2 2 2 4 2 2" xfId="2205"/>
    <cellStyle name="常规 4 3 9 2 2 2 2 4 3" xfId="23441"/>
    <cellStyle name="常规 4 3 9 2 2 2 2 4 4" xfId="23442"/>
    <cellStyle name="常规 4 3 9 2 2 2 2 5" xfId="9548"/>
    <cellStyle name="常规 4 3 9 2 2 2 2 5 2" xfId="9550"/>
    <cellStyle name="常规 4 3 9 2 2 2 2 6" xfId="9554"/>
    <cellStyle name="常规 4 3 9 2 2 2 2 7" xfId="9558"/>
    <cellStyle name="常规 4 3 9 2 2 2 3" xfId="22223"/>
    <cellStyle name="常规 4 3 9 2 2 2 3 2" xfId="23443"/>
    <cellStyle name="常规 4 3 9 2 2 2 3 2 2" xfId="23444"/>
    <cellStyle name="常规 4 3 9 2 2 2 3 2 2 2" xfId="578"/>
    <cellStyle name="常规 4 3 9 2 2 2 3 2 2 2 2" xfId="19276"/>
    <cellStyle name="常规 4 3 9 2 2 2 3 2 2 3" xfId="583"/>
    <cellStyle name="常规 4 3 9 2 2 2 3 2 2 4" xfId="23445"/>
    <cellStyle name="常规 4 3 9 2 2 2 3 2 3" xfId="23446"/>
    <cellStyle name="常规 4 3 9 2 2 2 3 2 3 2" xfId="610"/>
    <cellStyle name="常规 4 3 9 2 2 2 3 2 4" xfId="23447"/>
    <cellStyle name="常规 4 3 9 2 2 2 3 2 5" xfId="23448"/>
    <cellStyle name="常规 4 3 9 2 2 2 3 3" xfId="23449"/>
    <cellStyle name="常规 4 3 9 2 2 2 3 3 2" xfId="23450"/>
    <cellStyle name="常规 4 3 9 2 2 2 3 3 2 2" xfId="23451"/>
    <cellStyle name="常规 4 3 9 2 2 2 3 3 3" xfId="23452"/>
    <cellStyle name="常规 4 3 9 2 2 2 3 3 4" xfId="23453"/>
    <cellStyle name="常规 4 3 9 2 2 2 3 4" xfId="23454"/>
    <cellStyle name="常规 4 3 9 2 2 2 3 4 2" xfId="23455"/>
    <cellStyle name="常规 4 3 9 2 2 2 3 5" xfId="9566"/>
    <cellStyle name="常规 4 3 9 2 2 2 3 6" xfId="9569"/>
    <cellStyle name="常规 4 3 9 2 2 2 4" xfId="13423"/>
    <cellStyle name="常规 4 3 9 2 2 2 4 2" xfId="4893"/>
    <cellStyle name="常规 4 3 9 2 2 2 4 2 2" xfId="23456"/>
    <cellStyle name="常规 4 3 9 2 2 2 4 2 2 2" xfId="20056"/>
    <cellStyle name="常规 4 3 9 2 2 2 4 2 3" xfId="23457"/>
    <cellStyle name="常规 4 3 9 2 2 2 4 2 4" xfId="23458"/>
    <cellStyle name="常规 4 3 9 2 2 2 4 3" xfId="23459"/>
    <cellStyle name="常规 4 3 9 2 2 2 4 3 2" xfId="23460"/>
    <cellStyle name="常规 4 3 9 2 2 2 4 4" xfId="23461"/>
    <cellStyle name="常规 4 3 9 2 2 2 4 5" xfId="9574"/>
    <cellStyle name="常规 4 3 9 2 2 2 5" xfId="13427"/>
    <cellStyle name="常规 4 3 9 2 2 2 5 2" xfId="23462"/>
    <cellStyle name="常规 4 3 9 2 2 2 5 2 2" xfId="23463"/>
    <cellStyle name="常规 4 3 9 2 2 2 5 3" xfId="23464"/>
    <cellStyle name="常规 4 3 9 2 2 2 5 4" xfId="23465"/>
    <cellStyle name="常规 4 3 9 2 2 2 6" xfId="13430"/>
    <cellStyle name="常规 4 3 9 2 2 2 6 2" xfId="23466"/>
    <cellStyle name="常规 4 3 9 2 2 2 7" xfId="23467"/>
    <cellStyle name="常规 4 3 9 2 2 2 8" xfId="23468"/>
    <cellStyle name="常规 4 3 9 2 2 3" xfId="23469"/>
    <cellStyle name="常规 4 3 9 2 2 3 2" xfId="23472"/>
    <cellStyle name="常规 4 3 9 2 2 3 2 2" xfId="23473"/>
    <cellStyle name="常规 4 3 9 2 2 3 2 2 2" xfId="23474"/>
    <cellStyle name="常规 4 3 9 2 2 3 2 2 2 2" xfId="16923"/>
    <cellStyle name="常规 4 3 9 2 2 3 2 2 2 2 2" xfId="16926"/>
    <cellStyle name="常规 4 3 9 2 2 3 2 2 2 3" xfId="16929"/>
    <cellStyle name="常规 4 3 9 2 2 3 2 2 2 4" xfId="16933"/>
    <cellStyle name="常规 4 3 9 2 2 3 2 2 3" xfId="10010"/>
    <cellStyle name="常规 4 3 9 2 2 3 2 2 3 2" xfId="16937"/>
    <cellStyle name="常规 4 3 9 2 2 3 2 2 4" xfId="23475"/>
    <cellStyle name="常规 4 3 9 2 2 3 2 2 5" xfId="23476"/>
    <cellStyle name="常规 4 3 9 2 2 3 2 3" xfId="23477"/>
    <cellStyle name="常规 4 3 9 2 2 3 2 3 2" xfId="23478"/>
    <cellStyle name="常规 4 3 9 2 2 3 2 3 2 2" xfId="16976"/>
    <cellStyle name="常规 4 3 9 2 2 3 2 3 3" xfId="23479"/>
    <cellStyle name="常规 4 3 9 2 2 3 2 3 4" xfId="23480"/>
    <cellStyle name="常规 4 3 9 2 2 3 2 4" xfId="23481"/>
    <cellStyle name="常规 4 3 9 2 2 3 2 4 2" xfId="23482"/>
    <cellStyle name="常规 4 3 9 2 2 3 2 5" xfId="9584"/>
    <cellStyle name="常规 4 3 9 2 2 3 2 6" xfId="9587"/>
    <cellStyle name="常规 4 3 9 2 2 3 3" xfId="23484"/>
    <cellStyle name="常规 4 3 9 2 2 3 3 2" xfId="23485"/>
    <cellStyle name="常规 4 3 9 2 2 3 3 2 2" xfId="23486"/>
    <cellStyle name="常规 4 3 9 2 2 3 3 2 2 2" xfId="17132"/>
    <cellStyle name="常规 4 3 9 2 2 3 3 2 3" xfId="23487"/>
    <cellStyle name="常规 4 3 9 2 2 3 3 2 4" xfId="23488"/>
    <cellStyle name="常规 4 3 9 2 2 3 3 3" xfId="23489"/>
    <cellStyle name="常规 4 3 9 2 2 3 3 3 2" xfId="23490"/>
    <cellStyle name="常规 4 3 9 2 2 3 3 4" xfId="23491"/>
    <cellStyle name="常规 4 3 9 2 2 3 3 5" xfId="9591"/>
    <cellStyle name="常规 4 3 9 2 2 3 4" xfId="13438"/>
    <cellStyle name="常规 4 3 9 2 2 3 4 2" xfId="23492"/>
    <cellStyle name="常规 4 3 9 2 2 3 4 2 2" xfId="23493"/>
    <cellStyle name="常规 4 3 9 2 2 3 4 3" xfId="23494"/>
    <cellStyle name="常规 4 3 9 2 2 3 4 4" xfId="23495"/>
    <cellStyle name="常规 4 3 9 2 2 3 5" xfId="23496"/>
    <cellStyle name="常规 4 3 9 2 2 3 5 2" xfId="23497"/>
    <cellStyle name="常规 4 3 9 2 2 3 6" xfId="23498"/>
    <cellStyle name="常规 4 3 9 2 2 3 7" xfId="23499"/>
    <cellStyle name="常规 4 3 9 2 2 4" xfId="18379"/>
    <cellStyle name="常规 4 3 9 2 2 4 2" xfId="23501"/>
    <cellStyle name="常规 4 3 9 2 2 4 2 2" xfId="23502"/>
    <cellStyle name="常规 4 3 9 2 2 4 2 2 2" xfId="23503"/>
    <cellStyle name="常规 4 3 9 2 2 4 2 2 2 2" xfId="17667"/>
    <cellStyle name="常规 4 3 9 2 2 4 2 2 3" xfId="23504"/>
    <cellStyle name="常规 4 3 9 2 2 4 2 2 4" xfId="23505"/>
    <cellStyle name="常规 4 3 9 2 2 4 2 3" xfId="23506"/>
    <cellStyle name="常规 4 3 9 2 2 4 2 3 2" xfId="23508"/>
    <cellStyle name="常规 4 3 9 2 2 4 2 4" xfId="23509"/>
    <cellStyle name="常规 4 3 9 2 2 4 2 5" xfId="9597"/>
    <cellStyle name="常规 4 3 9 2 2 4 3" xfId="23510"/>
    <cellStyle name="常规 4 3 9 2 2 4 3 2" xfId="23511"/>
    <cellStyle name="常规 4 3 9 2 2 4 3 2 2" xfId="20099"/>
    <cellStyle name="常规 4 3 9 2 2 4 3 3" xfId="23512"/>
    <cellStyle name="常规 4 3 9 2 2 4 3 4" xfId="23513"/>
    <cellStyle name="常规 4 3 9 2 2 4 4" xfId="23514"/>
    <cellStyle name="常规 4 3 9 2 2 4 4 2" xfId="23516"/>
    <cellStyle name="常规 4 3 9 2 2 4 5" xfId="23517"/>
    <cellStyle name="常规 4 3 9 2 2 4 6" xfId="19937"/>
    <cellStyle name="常规 4 3 9 2 2 5" xfId="23518"/>
    <cellStyle name="常规 4 3 9 2 2 5 2" xfId="4253"/>
    <cellStyle name="常规 4 3 9 2 2 5 2 2" xfId="23519"/>
    <cellStyle name="常规 4 3 9 2 2 5 2 2 2" xfId="23520"/>
    <cellStyle name="常规 4 3 9 2 2 5 2 3" xfId="23521"/>
    <cellStyle name="常规 4 3 9 2 2 5 2 4" xfId="23522"/>
    <cellStyle name="常规 4 3 9 2 2 5 3" xfId="4259"/>
    <cellStyle name="常规 4 3 9 2 2 5 3 2" xfId="23523"/>
    <cellStyle name="常规 4 3 9 2 2 5 4" xfId="23525"/>
    <cellStyle name="常规 4 3 9 2 2 5 5" xfId="4000"/>
    <cellStyle name="常规 4 3 9 2 2 6" xfId="23526"/>
    <cellStyle name="常规 4 3 9 2 2 6 2" xfId="23528"/>
    <cellStyle name="常规 4 3 9 2 2 6 2 2" xfId="23530"/>
    <cellStyle name="常规 4 3 9 2 2 6 3" xfId="23532"/>
    <cellStyle name="常规 4 3 9 2 2 6 4" xfId="23536"/>
    <cellStyle name="常规 4 3 9 2 2 7" xfId="23537"/>
    <cellStyle name="常规 4 3 9 2 2 7 2" xfId="23540"/>
    <cellStyle name="常规 4 3 9 2 2 8" xfId="7767"/>
    <cellStyle name="常规 4 3 9 2 2 9" xfId="9661"/>
    <cellStyle name="常规 4 3 9 2 3" xfId="23541"/>
    <cellStyle name="常规 4 3 9 2 3 2" xfId="23542"/>
    <cellStyle name="常规 4 3 9 2 3 2 2" xfId="23546"/>
    <cellStyle name="常规 4 3 9 2 3 2 2 2" xfId="23548"/>
    <cellStyle name="常规 4 3 9 2 3 2 2 2 2" xfId="23549"/>
    <cellStyle name="常规 4 3 9 2 3 2 2 2 2 2" xfId="23550"/>
    <cellStyle name="常规 4 3 9 2 3 2 2 2 2 2 2" xfId="23551"/>
    <cellStyle name="常规 4 3 9 2 3 2 2 2 2 2 2 2" xfId="23552"/>
    <cellStyle name="常规 4 3 9 2 3 2 2 2 2 2 3" xfId="23554"/>
    <cellStyle name="常规 4 3 9 2 3 2 2 2 2 2 4" xfId="23558"/>
    <cellStyle name="常规 4 3 9 2 3 2 2 2 2 3" xfId="23559"/>
    <cellStyle name="常规 4 3 9 2 3 2 2 2 2 3 2" xfId="23560"/>
    <cellStyle name="常规 4 3 9 2 3 2 2 2 2 4" xfId="23562"/>
    <cellStyle name="常规 4 3 9 2 3 2 2 2 2 5" xfId="23564"/>
    <cellStyle name="常规 4 3 9 2 3 2 2 2 3" xfId="23565"/>
    <cellStyle name="常规 4 3 9 2 3 2 2 2 3 2" xfId="23566"/>
    <cellStyle name="常规 4 3 9 2 3 2 2 2 3 2 2" xfId="23567"/>
    <cellStyle name="常规 4 3 9 2 3 2 2 2 3 3" xfId="21294"/>
    <cellStyle name="常规 4 3 9 2 3 2 2 2 3 4" xfId="23569"/>
    <cellStyle name="常规 4 3 9 2 3 2 2 2 4" xfId="22460"/>
    <cellStyle name="常规 4 3 9 2 3 2 2 2 4 2" xfId="23571"/>
    <cellStyle name="常规 4 3 9 2 3 2 2 2 5" xfId="23572"/>
    <cellStyle name="常规 4 3 9 2 3 2 2 2 6" xfId="23573"/>
    <cellStyle name="常规 4 3 9 2 3 2 2 3" xfId="23575"/>
    <cellStyle name="常规 4 3 9 2 3 2 2 3 2" xfId="23576"/>
    <cellStyle name="常规 4 3 9 2 3 2 2 3 2 2" xfId="23577"/>
    <cellStyle name="常规 4 3 9 2 3 2 2 3 2 2 2" xfId="23578"/>
    <cellStyle name="常规 4 3 9 2 3 2 2 3 2 3" xfId="23579"/>
    <cellStyle name="常规 4 3 9 2 3 2 2 3 2 4" xfId="23581"/>
    <cellStyle name="常规 4 3 9 2 3 2 2 3 3" xfId="23582"/>
    <cellStyle name="常规 4 3 9 2 3 2 2 3 3 2" xfId="23583"/>
    <cellStyle name="常规 4 3 9 2 3 2 2 3 4" xfId="23584"/>
    <cellStyle name="常规 4 3 9 2 3 2 2 3 5" xfId="23585"/>
    <cellStyle name="常规 4 3 9 2 3 2 2 4" xfId="23586"/>
    <cellStyle name="常规 4 3 9 2 3 2 2 4 2" xfId="22440"/>
    <cellStyle name="常规 4 3 9 2 3 2 2 4 2 2" xfId="22443"/>
    <cellStyle name="常规 4 3 9 2 3 2 2 4 3" xfId="22480"/>
    <cellStyle name="常规 4 3 9 2 3 2 2 4 4" xfId="22501"/>
    <cellStyle name="常规 4 3 9 2 3 2 2 5" xfId="9628"/>
    <cellStyle name="常规 4 3 9 2 3 2 2 5 2" xfId="9630"/>
    <cellStyle name="常规 4 3 9 2 3 2 2 6" xfId="9633"/>
    <cellStyle name="常规 4 3 9 2 3 2 2 7" xfId="9635"/>
    <cellStyle name="常规 4 3 9 2 3 2 3" xfId="23591"/>
    <cellStyle name="常规 4 3 9 2 3 2 3 2" xfId="23594"/>
    <cellStyle name="常规 4 3 9 2 3 2 3 2 2" xfId="23595"/>
    <cellStyle name="常规 4 3 9 2 3 2 3 2 2 2" xfId="23596"/>
    <cellStyle name="常规 4 3 9 2 3 2 3 2 2 2 2" xfId="23597"/>
    <cellStyle name="常规 4 3 9 2 3 2 3 2 2 3" xfId="23598"/>
    <cellStyle name="常规 4 3 9 2 3 2 3 2 2 4" xfId="23600"/>
    <cellStyle name="常规 4 3 9 2 3 2 3 2 3" xfId="23601"/>
    <cellStyle name="常规 4 3 9 2 3 2 3 2 3 2" xfId="23602"/>
    <cellStyle name="常规 4 3 9 2 3 2 3 2 4" xfId="23603"/>
    <cellStyle name="常规 4 3 9 2 3 2 3 2 5" xfId="23604"/>
    <cellStyle name="常规 4 3 9 2 3 2 3 3" xfId="3509"/>
    <cellStyle name="常规 4 3 9 2 3 2 3 3 2" xfId="23605"/>
    <cellStyle name="常规 4 3 9 2 3 2 3 3 2 2" xfId="21080"/>
    <cellStyle name="常规 4 3 9 2 3 2 3 3 3" xfId="23606"/>
    <cellStyle name="常规 4 3 9 2 3 2 3 3 4" xfId="23607"/>
    <cellStyle name="常规 4 3 9 2 3 2 3 4" xfId="23608"/>
    <cellStyle name="常规 4 3 9 2 3 2 3 4 2" xfId="22949"/>
    <cellStyle name="常规 4 3 9 2 3 2 3 5" xfId="9640"/>
    <cellStyle name="常规 4 3 9 2 3 2 3 6" xfId="17088"/>
    <cellStyle name="常规 4 3 9 2 3 2 4" xfId="13494"/>
    <cellStyle name="常规 4 3 9 2 3 2 4 2" xfId="23609"/>
    <cellStyle name="常规 4 3 9 2 3 2 4 2 2" xfId="23610"/>
    <cellStyle name="常规 4 3 9 2 3 2 4 2 2 2" xfId="23612"/>
    <cellStyle name="常规 4 3 9 2 3 2 4 2 3" xfId="23613"/>
    <cellStyle name="常规 4 3 9 2 3 2 4 2 4" xfId="23614"/>
    <cellStyle name="常规 4 3 9 2 3 2 4 3" xfId="23615"/>
    <cellStyle name="常规 4 3 9 2 3 2 4 3 2" xfId="23616"/>
    <cellStyle name="常规 4 3 9 2 3 2 4 4" xfId="23617"/>
    <cellStyle name="常规 4 3 9 2 3 2 4 5" xfId="23618"/>
    <cellStyle name="常规 4 3 9 2 3 2 5" xfId="23620"/>
    <cellStyle name="常规 4 3 9 2 3 2 5 2" xfId="23621"/>
    <cellStyle name="常规 4 3 9 2 3 2 5 2 2" xfId="23622"/>
    <cellStyle name="常规 4 3 9 2 3 2 5 3" xfId="23623"/>
    <cellStyle name="常规 4 3 9 2 3 2 5 4" xfId="23624"/>
    <cellStyle name="常规 4 3 9 2 3 2 6" xfId="23625"/>
    <cellStyle name="常规 4 3 9 2 3 2 6 2" xfId="23626"/>
    <cellStyle name="常规 4 3 9 2 3 2 7" xfId="23627"/>
    <cellStyle name="常规 4 3 9 2 3 2 8" xfId="23628"/>
    <cellStyle name="常规 4 3 9 2 3 3" xfId="23629"/>
    <cellStyle name="常规 4 3 9 2 3 3 2" xfId="23633"/>
    <cellStyle name="常规 4 3 9 2 3 3 2 2" xfId="23636"/>
    <cellStyle name="常规 4 3 9 2 3 3 2 2 2" xfId="23637"/>
    <cellStyle name="常规 4 3 9 2 3 3 2 2 2 2" xfId="18903"/>
    <cellStyle name="常规 4 3 9 2 3 3 2 2 2 2 2" xfId="21256"/>
    <cellStyle name="常规 4 3 9 2 3 3 2 2 2 3" xfId="23638"/>
    <cellStyle name="常规 4 3 9 2 3 3 2 2 2 4" xfId="23640"/>
    <cellStyle name="常规 4 3 9 2 3 3 2 2 3" xfId="23641"/>
    <cellStyle name="常规 4 3 9 2 3 3 2 2 3 2" xfId="23642"/>
    <cellStyle name="常规 4 3 9 2 3 3 2 2 4" xfId="23643"/>
    <cellStyle name="常规 4 3 9 2 3 3 2 2 5" xfId="23644"/>
    <cellStyle name="常规 4 3 9 2 3 3 2 3" xfId="23645"/>
    <cellStyle name="常规 4 3 9 2 3 3 2 3 2" xfId="23646"/>
    <cellStyle name="常规 4 3 9 2 3 3 2 3 2 2" xfId="23647"/>
    <cellStyle name="常规 4 3 9 2 3 3 2 3 3" xfId="23648"/>
    <cellStyle name="常规 4 3 9 2 3 3 2 3 4" xfId="23649"/>
    <cellStyle name="常规 4 3 9 2 3 3 2 4" xfId="23650"/>
    <cellStyle name="常规 4 3 9 2 3 3 2 4 2" xfId="23652"/>
    <cellStyle name="常规 4 3 9 2 3 3 2 5" xfId="9645"/>
    <cellStyle name="常规 4 3 9 2 3 3 2 6" xfId="23653"/>
    <cellStyle name="常规 4 3 9 2 3 3 3" xfId="23656"/>
    <cellStyle name="常规 4 3 9 2 3 3 3 2" xfId="23657"/>
    <cellStyle name="常规 4 3 9 2 3 3 3 2 2" xfId="23658"/>
    <cellStyle name="常规 4 3 9 2 3 3 3 2 2 2" xfId="19140"/>
    <cellStyle name="常规 4 3 9 2 3 3 3 2 3" xfId="23659"/>
    <cellStyle name="常规 4 3 9 2 3 3 3 2 4" xfId="23660"/>
    <cellStyle name="常规 4 3 9 2 3 3 3 3" xfId="23661"/>
    <cellStyle name="常规 4 3 9 2 3 3 3 3 2" xfId="23662"/>
    <cellStyle name="常规 4 3 9 2 3 3 3 4" xfId="23663"/>
    <cellStyle name="常规 4 3 9 2 3 3 3 5" xfId="23664"/>
    <cellStyle name="常规 4 3 9 2 3 3 4" xfId="23666"/>
    <cellStyle name="常规 4 3 9 2 3 3 4 2" xfId="23667"/>
    <cellStyle name="常规 4 3 9 2 3 3 4 2 2" xfId="23668"/>
    <cellStyle name="常规 4 3 9 2 3 3 4 3" xfId="23669"/>
    <cellStyle name="常规 4 3 9 2 3 3 4 4" xfId="15232"/>
    <cellStyle name="常规 4 3 9 2 3 3 5" xfId="23670"/>
    <cellStyle name="常规 4 3 9 2 3 3 5 2" xfId="23671"/>
    <cellStyle name="常规 4 3 9 2 3 3 6" xfId="23672"/>
    <cellStyle name="常规 4 3 9 2 3 3 7" xfId="23673"/>
    <cellStyle name="常规 4 3 9 2 3 4" xfId="23674"/>
    <cellStyle name="常规 4 3 9 2 3 4 2" xfId="23676"/>
    <cellStyle name="常规 4 3 9 2 3 4 2 2" xfId="23677"/>
    <cellStyle name="常规 4 3 9 2 3 4 2 2 2" xfId="23678"/>
    <cellStyle name="常规 4 3 9 2 3 4 2 2 2 2" xfId="23679"/>
    <cellStyle name="常规 4 3 9 2 3 4 2 2 3" xfId="23680"/>
    <cellStyle name="常规 4 3 9 2 3 4 2 2 4" xfId="23681"/>
    <cellStyle name="常规 4 3 9 2 3 4 2 3" xfId="23682"/>
    <cellStyle name="常规 4 3 9 2 3 4 2 3 2" xfId="23683"/>
    <cellStyle name="常规 4 3 9 2 3 4 2 4" xfId="23684"/>
    <cellStyle name="常规 4 3 9 2 3 4 2 5" xfId="22557"/>
    <cellStyle name="常规 4 3 9 2 3 4 3" xfId="23686"/>
    <cellStyle name="常规 4 3 9 2 3 4 3 2" xfId="23687"/>
    <cellStyle name="常规 4 3 9 2 3 4 3 2 2" xfId="23689"/>
    <cellStyle name="常规 4 3 9 2 3 4 3 3" xfId="23690"/>
    <cellStyle name="常规 4 3 9 2 3 4 3 4" xfId="23692"/>
    <cellStyle name="常规 4 3 9 2 3 4 4" xfId="23693"/>
    <cellStyle name="常规 4 3 9 2 3 4 4 2" xfId="23696"/>
    <cellStyle name="常规 4 3 9 2 3 4 5" xfId="23697"/>
    <cellStyle name="常规 4 3 9 2 3 4 6" xfId="23698"/>
    <cellStyle name="常规 4 3 9 2 3 5" xfId="23700"/>
    <cellStyle name="常规 4 3 9 2 3 5 2" xfId="23702"/>
    <cellStyle name="常规 4 3 9 2 3 5 2 2" xfId="23703"/>
    <cellStyle name="常规 4 3 9 2 3 5 2 2 2" xfId="23704"/>
    <cellStyle name="常规 4 3 9 2 3 5 2 3" xfId="23705"/>
    <cellStyle name="常规 4 3 9 2 3 5 2 4" xfId="9721"/>
    <cellStyle name="常规 4 3 9 2 3 5 3" xfId="23706"/>
    <cellStyle name="常规 4 3 9 2 3 5 3 2" xfId="23707"/>
    <cellStyle name="常规 4 3 9 2 3 5 4" xfId="23709"/>
    <cellStyle name="常规 4 3 9 2 3 5 5" xfId="23710"/>
    <cellStyle name="常规 4 3 9 2 3 6" xfId="23712"/>
    <cellStyle name="常规 4 3 9 2 3 6 2" xfId="23714"/>
    <cellStyle name="常规 4 3 9 2 3 6 2 2" xfId="23716"/>
    <cellStyle name="常规 4 3 9 2 3 6 3" xfId="23718"/>
    <cellStyle name="常规 4 3 9 2 3 6 4" xfId="23720"/>
    <cellStyle name="常规 4 3 9 2 3 7" xfId="23724"/>
    <cellStyle name="常规 4 3 9 2 3 7 2" xfId="23726"/>
    <cellStyle name="常规 4 3 9 2 3 8" xfId="9667"/>
    <cellStyle name="常规 4 3 9 2 3 9" xfId="9671"/>
    <cellStyle name="常规 4 3 9 2 4" xfId="23727"/>
    <cellStyle name="常规 4 3 9 2 4 2" xfId="23728"/>
    <cellStyle name="常规 4 3 9 2 4 2 2" xfId="4387"/>
    <cellStyle name="常规 4 3 9 2 4 2 2 2" xfId="23731"/>
    <cellStyle name="常规 4 3 9 2 4 2 2 2 2" xfId="4576"/>
    <cellStyle name="常规 4 3 9 2 4 2 2 2 2 2" xfId="2845"/>
    <cellStyle name="常规 4 3 9 2 4 2 2 2 2 2 2" xfId="2848"/>
    <cellStyle name="常规 4 3 9 2 4 2 2 2 2 3" xfId="2858"/>
    <cellStyle name="常规 4 3 9 2 4 2 2 2 2 4" xfId="2865"/>
    <cellStyle name="常规 4 3 9 2 4 2 2 2 3" xfId="4579"/>
    <cellStyle name="常规 4 3 9 2 4 2 2 2 3 2" xfId="2888"/>
    <cellStyle name="常规 4 3 9 2 4 2 2 2 4" xfId="4582"/>
    <cellStyle name="常规 4 3 9 2 4 2 2 2 5" xfId="2341"/>
    <cellStyle name="常规 4 3 9 2 4 2 2 3" xfId="23732"/>
    <cellStyle name="常规 4 3 9 2 4 2 2 3 2" xfId="4904"/>
    <cellStyle name="常规 4 3 9 2 4 2 2 3 2 2" xfId="3124"/>
    <cellStyle name="常规 4 3 9 2 4 2 2 3 3" xfId="4910"/>
    <cellStyle name="常规 4 3 9 2 4 2 2 3 4" xfId="4916"/>
    <cellStyle name="常规 4 3 9 2 4 2 2 4" xfId="23733"/>
    <cellStyle name="常规 4 3 9 2 4 2 2 4 2" xfId="5016"/>
    <cellStyle name="常规 4 3 9 2 4 2 2 5" xfId="9669"/>
    <cellStyle name="常规 4 3 9 2 4 2 2 6" xfId="13092"/>
    <cellStyle name="常规 4 3 9 2 4 2 3" xfId="4392"/>
    <cellStyle name="常规 4 3 9 2 4 2 3 2" xfId="23734"/>
    <cellStyle name="常规 4 3 9 2 4 2 3 2 2" xfId="5409"/>
    <cellStyle name="常规 4 3 9 2 4 2 3 2 2 2" xfId="4585"/>
    <cellStyle name="常规 4 3 9 2 4 2 3 2 3" xfId="5412"/>
    <cellStyle name="常规 4 3 9 2 4 2 3 2 4" xfId="5416"/>
    <cellStyle name="常规 4 3 9 2 4 2 3 3" xfId="23735"/>
    <cellStyle name="常规 4 3 9 2 4 2 3 3 2" xfId="5429"/>
    <cellStyle name="常规 4 3 9 2 4 2 3 4" xfId="23736"/>
    <cellStyle name="常规 4 3 9 2 4 2 3 5" xfId="23737"/>
    <cellStyle name="常规 4 3 9 2 4 2 4" xfId="18764"/>
    <cellStyle name="常规 4 3 9 2 4 2 4 2" xfId="23738"/>
    <cellStyle name="常规 4 3 9 2 4 2 4 2 2" xfId="5682"/>
    <cellStyle name="常规 4 3 9 2 4 2 4 3" xfId="23739"/>
    <cellStyle name="常规 4 3 9 2 4 2 4 4" xfId="23740"/>
    <cellStyle name="常规 4 3 9 2 4 2 5" xfId="18766"/>
    <cellStyle name="常规 4 3 9 2 4 2 5 2" xfId="23741"/>
    <cellStyle name="常规 4 3 9 2 4 2 6" xfId="23743"/>
    <cellStyle name="常规 4 3 9 2 4 2 7" xfId="3918"/>
    <cellStyle name="常规 4 3 9 2 4 3" xfId="23744"/>
    <cellStyle name="常规 4 3 9 2 4 3 2" xfId="4441"/>
    <cellStyle name="常规 4 3 9 2 4 3 2 2" xfId="23745"/>
    <cellStyle name="常规 4 3 9 2 4 3 2 2 2" xfId="6304"/>
    <cellStyle name="常规 4 3 9 2 4 3 2 2 2 2" xfId="6307"/>
    <cellStyle name="常规 4 3 9 2 4 3 2 2 3" xfId="6311"/>
    <cellStyle name="常规 4 3 9 2 4 3 2 2 4" xfId="6315"/>
    <cellStyle name="常规 4 3 9 2 4 3 2 3" xfId="23746"/>
    <cellStyle name="常规 4 3 9 2 4 3 2 3 2" xfId="5732"/>
    <cellStyle name="常规 4 3 9 2 4 3 2 4" xfId="23747"/>
    <cellStyle name="常规 4 3 9 2 4 3 2 5" xfId="23748"/>
    <cellStyle name="常规 4 3 9 2 4 3 3" xfId="7495"/>
    <cellStyle name="常规 4 3 9 2 4 3 3 2" xfId="23749"/>
    <cellStyle name="常规 4 3 9 2 4 3 3 2 2" xfId="6480"/>
    <cellStyle name="常规 4 3 9 2 4 3 3 3" xfId="23750"/>
    <cellStyle name="常规 4 3 9 2 4 3 3 4" xfId="23751"/>
    <cellStyle name="常规 4 3 9 2 4 3 4" xfId="23752"/>
    <cellStyle name="常规 4 3 9 2 4 3 4 2" xfId="23753"/>
    <cellStyle name="常规 4 3 9 2 4 3 5" xfId="23754"/>
    <cellStyle name="常规 4 3 9 2 4 3 6" xfId="23755"/>
    <cellStyle name="常规 4 3 9 2 4 4" xfId="23756"/>
    <cellStyle name="常规 4 3 9 2 4 4 2" xfId="791"/>
    <cellStyle name="常规 4 3 9 2 4 4 2 2" xfId="23757"/>
    <cellStyle name="常规 4 3 9 2 4 4 2 2 2" xfId="6816"/>
    <cellStyle name="常规 4 3 9 2 4 4 2 3" xfId="18521"/>
    <cellStyle name="常规 4 3 9 2 4 4 2 4" xfId="18524"/>
    <cellStyle name="常规 4 3 9 2 4 4 3" xfId="23758"/>
    <cellStyle name="常规 4 3 9 2 4 4 3 2" xfId="23759"/>
    <cellStyle name="常规 4 3 9 2 4 4 4" xfId="23760"/>
    <cellStyle name="常规 4 3 9 2 4 4 5" xfId="23761"/>
    <cellStyle name="常规 4 3 9 2 4 5" xfId="23763"/>
    <cellStyle name="常规 4 3 9 2 4 5 2" xfId="7486"/>
    <cellStyle name="常规 4 3 9 2 4 5 2 2" xfId="21657"/>
    <cellStyle name="常规 4 3 9 2 4 5 3" xfId="23764"/>
    <cellStyle name="常规 4 3 9 2 4 5 4" xfId="23765"/>
    <cellStyle name="常规 4 3 9 2 4 6" xfId="23766"/>
    <cellStyle name="常规 4 3 9 2 4 6 2" xfId="23768"/>
    <cellStyle name="常规 4 3 9 2 4 7" xfId="23769"/>
    <cellStyle name="常规 4 3 9 2 4 8" xfId="2513"/>
    <cellStyle name="常规 4 3 9 2 5" xfId="23770"/>
    <cellStyle name="常规 4 3 9 2 5 2" xfId="23771"/>
    <cellStyle name="常规 4 3 9 2 5 2 2" xfId="23772"/>
    <cellStyle name="常规 4 3 9 2 5 2 2 2" xfId="23773"/>
    <cellStyle name="常规 4 3 9 2 5 2 2 2 2" xfId="7391"/>
    <cellStyle name="常规 4 3 9 2 5 2 2 2 2 2" xfId="7393"/>
    <cellStyle name="常规 4 3 9 2 5 2 2 2 3" xfId="7396"/>
    <cellStyle name="常规 4 3 9 2 5 2 2 2 4" xfId="1584"/>
    <cellStyle name="常规 4 3 9 2 5 2 2 3" xfId="23774"/>
    <cellStyle name="常规 4 3 9 2 5 2 2 3 2" xfId="6502"/>
    <cellStyle name="常规 4 3 9 2 5 2 2 4" xfId="23775"/>
    <cellStyle name="常规 4 3 9 2 5 2 2 5" xfId="23776"/>
    <cellStyle name="常规 4 3 9 2 5 2 3" xfId="23777"/>
    <cellStyle name="常规 4 3 9 2 5 2 3 2" xfId="23778"/>
    <cellStyle name="常规 4 3 9 2 5 2 3 2 2" xfId="3429"/>
    <cellStyle name="常规 4 3 9 2 5 2 3 3" xfId="23779"/>
    <cellStyle name="常规 4 3 9 2 5 2 3 4" xfId="23780"/>
    <cellStyle name="常规 4 3 9 2 5 2 4" xfId="7644"/>
    <cellStyle name="常规 4 3 9 2 5 2 4 2" xfId="7646"/>
    <cellStyle name="常规 4 3 9 2 5 2 5" xfId="7651"/>
    <cellStyle name="常规 4 3 9 2 5 2 6" xfId="7657"/>
    <cellStyle name="常规 4 3 9 2 5 3" xfId="23781"/>
    <cellStyle name="常规 4 3 9 2 5 3 2" xfId="7501"/>
    <cellStyle name="常规 4 3 9 2 5 3 2 2" xfId="23782"/>
    <cellStyle name="常规 4 3 9 2 5 3 2 2 2" xfId="5510"/>
    <cellStyle name="常规 4 3 9 2 5 3 2 3" xfId="23783"/>
    <cellStyle name="常规 4 3 9 2 5 3 2 4" xfId="23784"/>
    <cellStyle name="常规 4 3 9 2 5 3 3" xfId="23785"/>
    <cellStyle name="常规 4 3 9 2 5 3 3 2" xfId="23786"/>
    <cellStyle name="常规 4 3 9 2 5 3 4" xfId="7661"/>
    <cellStyle name="常规 4 3 9 2 5 3 5" xfId="7666"/>
    <cellStyle name="常规 4 3 9 2 5 4" xfId="23787"/>
    <cellStyle name="常规 4 3 9 2 5 4 2" xfId="345"/>
    <cellStyle name="常规 4 3 9 2 5 4 2 2" xfId="831"/>
    <cellStyle name="常规 4 3 9 2 5 4 3" xfId="397"/>
    <cellStyle name="常规 4 3 9 2 5 4 4" xfId="858"/>
    <cellStyle name="常规 4 3 9 2 5 5" xfId="23789"/>
    <cellStyle name="常规 4 3 9 2 5 5 2" xfId="23790"/>
    <cellStyle name="常规 4 3 9 2 5 6" xfId="23792"/>
    <cellStyle name="常规 4 3 9 2 5 7" xfId="22610"/>
    <cellStyle name="常规 4 3 9 2 6" xfId="23793"/>
    <cellStyle name="常规 4 3 9 2 6 2" xfId="23794"/>
    <cellStyle name="常规 4 3 9 2 6 2 2" xfId="23795"/>
    <cellStyle name="常规 4 3 9 2 6 2 2 2" xfId="23796"/>
    <cellStyle name="常规 4 3 9 2 6 2 2 2 2" xfId="8258"/>
    <cellStyle name="常规 4 3 9 2 6 2 2 3" xfId="23797"/>
    <cellStyle name="常规 4 3 9 2 6 2 2 4" xfId="23798"/>
    <cellStyle name="常规 4 3 9 2 6 2 3" xfId="23799"/>
    <cellStyle name="常规 4 3 9 2 6 2 3 2" xfId="23800"/>
    <cellStyle name="常规 4 3 9 2 6 2 4" xfId="7683"/>
    <cellStyle name="常规 4 3 9 2 6 2 5" xfId="7685"/>
    <cellStyle name="常规 4 3 9 2 6 3" xfId="23801"/>
    <cellStyle name="常规 4 3 9 2 6 3 2" xfId="23802"/>
    <cellStyle name="常规 4 3 9 2 6 3 2 2" xfId="23803"/>
    <cellStyle name="常规 4 3 9 2 6 3 3" xfId="23804"/>
    <cellStyle name="常规 4 3 9 2 6 3 4" xfId="7690"/>
    <cellStyle name="常规 4 3 9 2 6 4" xfId="23805"/>
    <cellStyle name="常规 4 3 9 2 6 4 2" xfId="23806"/>
    <cellStyle name="常规 4 3 9 2 6 5" xfId="23807"/>
    <cellStyle name="常规 4 3 9 2 6 6" xfId="23809"/>
    <cellStyle name="常规 4 3 9 2 7" xfId="23810"/>
    <cellStyle name="常规 4 3 9 2 7 2" xfId="23811"/>
    <cellStyle name="常规 4 3 9 2 7 2 2" xfId="23813"/>
    <cellStyle name="常规 4 3 9 2 7 2 2 2" xfId="23816"/>
    <cellStyle name="常规 4 3 9 2 7 2 3" xfId="23818"/>
    <cellStyle name="常规 4 3 9 2 7 2 4" xfId="7709"/>
    <cellStyle name="常规 4 3 9 2 7 3" xfId="23819"/>
    <cellStyle name="常规 4 3 9 2 7 3 2" xfId="23820"/>
    <cellStyle name="常规 4 3 9 2 7 4" xfId="23821"/>
    <cellStyle name="常规 4 3 9 2 7 5" xfId="23822"/>
    <cellStyle name="常规 4 3 9 2 8" xfId="23823"/>
    <cellStyle name="常规 4 3 9 2 8 2" xfId="23824"/>
    <cellStyle name="常规 4 3 9 2 8 2 2" xfId="23825"/>
    <cellStyle name="常规 4 3 9 2 8 3" xfId="23826"/>
    <cellStyle name="常规 4 3 9 2 8 4" xfId="23827"/>
    <cellStyle name="常规 4 3 9 2 9" xfId="23828"/>
    <cellStyle name="常规 4 3 9 2 9 2" xfId="23829"/>
    <cellStyle name="常规 4 3 9 3" xfId="23831"/>
    <cellStyle name="常规 4 3 9 3 2" xfId="23832"/>
    <cellStyle name="常规 4 3 9 3 2 2" xfId="23833"/>
    <cellStyle name="常规 4 3 9 3 2 2 2" xfId="23835"/>
    <cellStyle name="常规 4 3 9 3 2 2 2 2" xfId="23837"/>
    <cellStyle name="常规 4 3 9 3 2 2 2 2 2" xfId="9915"/>
    <cellStyle name="常规 4 3 9 3 2 2 2 2 2 2" xfId="23839"/>
    <cellStyle name="常规 4 3 9 3 2 2 2 2 2 2 2" xfId="23841"/>
    <cellStyle name="常规 4 3 9 3 2 2 2 2 2 3" xfId="23843"/>
    <cellStyle name="常规 4 3 9 3 2 2 2 2 2 4" xfId="23845"/>
    <cellStyle name="常规 4 3 9 3 2 2 2 2 3" xfId="23846"/>
    <cellStyle name="常规 4 3 9 3 2 2 2 2 3 2" xfId="23848"/>
    <cellStyle name="常规 4 3 9 3 2 2 2 2 4" xfId="23849"/>
    <cellStyle name="常规 4 3 9 3 2 2 2 2 5" xfId="23850"/>
    <cellStyle name="常规 4 3 9 3 2 2 2 3" xfId="23851"/>
    <cellStyle name="常规 4 3 9 3 2 2 2 3 2" xfId="23852"/>
    <cellStyle name="常规 4 3 9 3 2 2 2 3 2 2" xfId="13831"/>
    <cellStyle name="常规 4 3 9 3 2 2 2 3 3" xfId="23854"/>
    <cellStyle name="常规 4 3 9 3 2 2 2 3 4" xfId="22332"/>
    <cellStyle name="常规 4 3 9 3 2 2 2 4" xfId="23856"/>
    <cellStyle name="常规 4 3 9 3 2 2 2 4 2" xfId="23861"/>
    <cellStyle name="常规 4 3 9 3 2 2 2 5" xfId="23864"/>
    <cellStyle name="常规 4 3 9 3 2 2 2 6" xfId="23866"/>
    <cellStyle name="常规 4 3 9 3 2 2 3" xfId="23868"/>
    <cellStyle name="常规 4 3 9 3 2 2 3 2" xfId="23869"/>
    <cellStyle name="常规 4 3 9 3 2 2 3 2 2" xfId="23870"/>
    <cellStyle name="常规 4 3 9 3 2 2 3 2 2 2" xfId="23872"/>
    <cellStyle name="常规 4 3 9 3 2 2 3 2 3" xfId="21114"/>
    <cellStyle name="常规 4 3 9 3 2 2 3 2 4" xfId="21116"/>
    <cellStyle name="常规 4 3 9 3 2 2 3 3" xfId="23874"/>
    <cellStyle name="常规 4 3 9 3 2 2 3 3 2" xfId="23876"/>
    <cellStyle name="常规 4 3 9 3 2 2 3 4" xfId="23879"/>
    <cellStyle name="常规 4 3 9 3 2 2 3 5" xfId="23882"/>
    <cellStyle name="常规 4 3 9 3 2 2 4" xfId="13605"/>
    <cellStyle name="常规 4 3 9 3 2 2 4 2" xfId="23883"/>
    <cellStyle name="常规 4 3 9 3 2 2 4 2 2" xfId="23884"/>
    <cellStyle name="常规 4 3 9 3 2 2 4 3" xfId="23886"/>
    <cellStyle name="常规 4 3 9 3 2 2 4 4" xfId="23889"/>
    <cellStyle name="常规 4 3 9 3 2 2 5" xfId="23890"/>
    <cellStyle name="常规 4 3 9 3 2 2 5 2" xfId="326"/>
    <cellStyle name="常规 4 3 9 3 2 2 6" xfId="23891"/>
    <cellStyle name="常规 4 3 9 3 2 2 7" xfId="23892"/>
    <cellStyle name="常规 4 3 9 3 2 3" xfId="23651"/>
    <cellStyle name="常规 4 3 9 3 2 3 2" xfId="23894"/>
    <cellStyle name="常规 4 3 9 3 2 3 2 2" xfId="23895"/>
    <cellStyle name="常规 4 3 9 3 2 3 2 2 2" xfId="23896"/>
    <cellStyle name="常规 4 3 9 3 2 3 2 2 2 2" xfId="23"/>
    <cellStyle name="常规 4 3 9 3 2 3 2 2 3" xfId="23897"/>
    <cellStyle name="常规 4 3 9 3 2 3 2 2 4" xfId="23898"/>
    <cellStyle name="常规 4 3 9 3 2 3 2 3" xfId="23899"/>
    <cellStyle name="常规 4 3 9 3 2 3 2 3 2" xfId="23900"/>
    <cellStyle name="常规 4 3 9 3 2 3 2 4" xfId="13045"/>
    <cellStyle name="常规 4 3 9 3 2 3 2 5" xfId="13072"/>
    <cellStyle name="常规 4 3 9 3 2 3 3" xfId="23902"/>
    <cellStyle name="常规 4 3 9 3 2 3 3 2" xfId="23903"/>
    <cellStyle name="常规 4 3 9 3 2 3 3 2 2" xfId="23904"/>
    <cellStyle name="常规 4 3 9 3 2 3 3 3" xfId="23906"/>
    <cellStyle name="常规 4 3 9 3 2 3 3 4" xfId="23909"/>
    <cellStyle name="常规 4 3 9 3 2 3 4" xfId="16776"/>
    <cellStyle name="常规 4 3 9 3 2 3 4 2" xfId="23910"/>
    <cellStyle name="常规 4 3 9 3 2 3 5" xfId="23911"/>
    <cellStyle name="常规 4 3 9 3 2 3 6" xfId="23912"/>
    <cellStyle name="常规 4 3 9 3 2 4" xfId="23913"/>
    <cellStyle name="常规 4 3 9 3 2 4 2" xfId="23916"/>
    <cellStyle name="常规 4 3 9 3 2 4 2 2" xfId="23918"/>
    <cellStyle name="常规 4 3 9 3 2 4 2 2 2" xfId="19145"/>
    <cellStyle name="常规 4 3 9 3 2 4 2 3" xfId="23920"/>
    <cellStyle name="常规 4 3 9 3 2 4 2 4" xfId="14618"/>
    <cellStyle name="常规 4 3 9 3 2 4 3" xfId="23922"/>
    <cellStyle name="常规 4 3 9 3 2 4 3 2" xfId="23924"/>
    <cellStyle name="常规 4 3 9 3 2 4 4" xfId="23926"/>
    <cellStyle name="常规 4 3 9 3 2 4 5" xfId="23928"/>
    <cellStyle name="常规 4 3 9 3 2 5" xfId="23930"/>
    <cellStyle name="常规 4 3 9 3 2 5 2" xfId="23932"/>
    <cellStyle name="常规 4 3 9 3 2 5 2 2" xfId="23934"/>
    <cellStyle name="常规 4 3 9 3 2 5 3" xfId="23936"/>
    <cellStyle name="常规 4 3 9 3 2 5 4" xfId="23940"/>
    <cellStyle name="常规 4 3 9 3 2 6" xfId="23942"/>
    <cellStyle name="常规 4 3 9 3 2 6 2" xfId="23947"/>
    <cellStyle name="常规 4 3 9 3 2 7" xfId="23949"/>
    <cellStyle name="常规 4 3 9 3 2 8" xfId="9677"/>
    <cellStyle name="常规 4 3 9 3 3" xfId="23952"/>
    <cellStyle name="常规 4 3 9 3 3 2" xfId="23954"/>
    <cellStyle name="常规 4 3 9 3 3 2 2" xfId="23958"/>
    <cellStyle name="常规 4 3 9 3 3 2 2 2" xfId="18557"/>
    <cellStyle name="常规 4 3 9 3 3 2 2 2 2" xfId="10139"/>
    <cellStyle name="常规 4 3 9 3 3 2 2 2 2 2" xfId="18558"/>
    <cellStyle name="常规 4 3 9 3 3 2 2 2 3" xfId="18560"/>
    <cellStyle name="常规 4 3 9 3 3 2 2 2 4" xfId="18562"/>
    <cellStyle name="常规 4 3 9 3 3 2 2 3" xfId="18564"/>
    <cellStyle name="常规 4 3 9 3 3 2 2 3 2" xfId="18566"/>
    <cellStyle name="常规 4 3 9 3 3 2 2 4" xfId="18570"/>
    <cellStyle name="常规 4 3 9 3 3 2 2 5" xfId="18573"/>
    <cellStyle name="常规 4 3 9 3 3 2 3" xfId="23962"/>
    <cellStyle name="常规 4 3 9 3 3 2 3 2" xfId="18587"/>
    <cellStyle name="常规 4 3 9 3 3 2 3 2 2" xfId="18589"/>
    <cellStyle name="常规 4 3 9 3 3 2 3 3" xfId="18592"/>
    <cellStyle name="常规 4 3 9 3 3 2 3 4" xfId="18597"/>
    <cellStyle name="常规 4 3 9 3 3 2 4" xfId="23964"/>
    <cellStyle name="常规 4 3 9 3 3 2 4 2" xfId="18608"/>
    <cellStyle name="常规 4 3 9 3 3 2 5" xfId="23965"/>
    <cellStyle name="常规 4 3 9 3 3 2 6" xfId="23966"/>
    <cellStyle name="常规 4 3 9 3 3 3" xfId="23968"/>
    <cellStyle name="常规 4 3 9 3 3 3 2" xfId="23972"/>
    <cellStyle name="常规 4 3 9 3 3 3 2 2" xfId="18664"/>
    <cellStyle name="常规 4 3 9 3 3 3 2 2 2" xfId="18666"/>
    <cellStyle name="常规 4 3 9 3 3 3 2 3" xfId="18670"/>
    <cellStyle name="常规 4 3 9 3 3 3 2 4" xfId="18676"/>
    <cellStyle name="常规 4 3 9 3 3 3 3" xfId="23974"/>
    <cellStyle name="常规 4 3 9 3 3 3 3 2" xfId="18692"/>
    <cellStyle name="常规 4 3 9 3 3 3 4" xfId="23975"/>
    <cellStyle name="常规 4 3 9 3 3 3 5" xfId="23976"/>
    <cellStyle name="常规 4 3 9 3 3 4" xfId="23978"/>
    <cellStyle name="常规 4 3 9 3 3 4 2" xfId="23980"/>
    <cellStyle name="常规 4 3 9 3 3 4 2 2" xfId="18726"/>
    <cellStyle name="常规 4 3 9 3 3 4 3" xfId="23982"/>
    <cellStyle name="常规 4 3 9 3 3 4 4" xfId="23984"/>
    <cellStyle name="常规 4 3 9 3 3 5" xfId="23989"/>
    <cellStyle name="常规 4 3 9 3 3 5 2" xfId="23993"/>
    <cellStyle name="常规 4 3 9 3 3 6" xfId="23997"/>
    <cellStyle name="常规 4 3 9 3 3 7" xfId="24001"/>
    <cellStyle name="常规 4 3 9 3 4" xfId="17439"/>
    <cellStyle name="常规 4 3 9 3 4 2" xfId="17442"/>
    <cellStyle name="常规 4 3 9 3 4 2 2" xfId="9852"/>
    <cellStyle name="常规 4 3 9 3 4 2 2 2" xfId="19832"/>
    <cellStyle name="常规 4 3 9 3 4 2 2 2 2" xfId="19834"/>
    <cellStyle name="常规 4 3 9 3 4 2 2 3" xfId="19836"/>
    <cellStyle name="常规 4 3 9 3 4 2 2 4" xfId="19840"/>
    <cellStyle name="常规 4 3 9 3 4 2 3" xfId="9854"/>
    <cellStyle name="常规 4 3 9 3 4 2 3 2" xfId="1472"/>
    <cellStyle name="常规 4 3 9 3 4 2 4" xfId="24004"/>
    <cellStyle name="常规 4 3 9 3 4 2 5" xfId="24005"/>
    <cellStyle name="常规 4 3 9 3 4 3" xfId="24007"/>
    <cellStyle name="常规 4 3 9 3 4 3 2" xfId="4794"/>
    <cellStyle name="常规 4 3 9 3 4 3 2 2" xfId="19902"/>
    <cellStyle name="常规 4 3 9 3 4 3 3" xfId="24008"/>
    <cellStyle name="常规 4 3 9 3 4 3 4" xfId="24009"/>
    <cellStyle name="常规 4 3 9 3 4 4" xfId="24011"/>
    <cellStyle name="常规 4 3 9 3 4 4 2" xfId="24013"/>
    <cellStyle name="常规 4 3 9 3 4 5" xfId="24017"/>
    <cellStyle name="常规 4 3 9 3 4 6" xfId="24021"/>
    <cellStyle name="常规 4 3 9 3 5" xfId="17445"/>
    <cellStyle name="常规 4 3 9 3 5 2" xfId="24024"/>
    <cellStyle name="常规 4 3 9 3 5 2 2" xfId="2380"/>
    <cellStyle name="常规 4 3 9 3 5 2 2 2" xfId="1400"/>
    <cellStyle name="常规 4 3 9 3 5 2 3" xfId="24025"/>
    <cellStyle name="常规 4 3 9 3 5 2 4" xfId="7807"/>
    <cellStyle name="常规 4 3 9 3 5 3" xfId="24026"/>
    <cellStyle name="常规 4 3 9 3 5 3 2" xfId="2402"/>
    <cellStyle name="常规 4 3 9 3 5 4" xfId="24027"/>
    <cellStyle name="常规 4 3 9 3 5 5" xfId="24030"/>
    <cellStyle name="常规 4 3 9 3 6" xfId="17448"/>
    <cellStyle name="常规 4 3 9 3 6 2" xfId="24031"/>
    <cellStyle name="常规 4 3 9 3 6 2 2" xfId="24032"/>
    <cellStyle name="常规 4 3 9 3 6 3" xfId="24034"/>
    <cellStyle name="常规 4 3 9 3 6 4" xfId="24035"/>
    <cellStyle name="常规 4 3 9 3 7" xfId="24037"/>
    <cellStyle name="常规 4 3 9 3 7 2" xfId="24038"/>
    <cellStyle name="常规 4 3 9 3 8" xfId="24039"/>
    <cellStyle name="常规 4 3 9 3 9" xfId="24041"/>
    <cellStyle name="常规 4 3 9 4" xfId="24042"/>
    <cellStyle name="常规 4 3 9 4 2" xfId="24043"/>
    <cellStyle name="常规 4 3 9 4 2 2" xfId="24044"/>
    <cellStyle name="常规 4 3 9 4 2 2 2" xfId="24049"/>
    <cellStyle name="常规 4 3 9 4 2 2 2 2" xfId="16533"/>
    <cellStyle name="常规 4 3 9 4 2 2 2 2 2" xfId="16537"/>
    <cellStyle name="常规 4 3 9 4 2 2 2 2 2 2" xfId="24050"/>
    <cellStyle name="常规 4 3 9 4 2 2 2 2 2 2 2" xfId="6432"/>
    <cellStyle name="常规 4 3 9 4 2 2 2 2 2 3" xfId="24052"/>
    <cellStyle name="常规 4 3 9 4 2 2 2 2 2 4" xfId="24054"/>
    <cellStyle name="常规 4 3 9 4 2 2 2 2 3" xfId="24055"/>
    <cellStyle name="常规 4 3 9 4 2 2 2 2 3 2" xfId="24056"/>
    <cellStyle name="常规 4 3 9 4 2 2 2 2 4" xfId="24057"/>
    <cellStyle name="常规 4 3 9 4 2 2 2 2 5" xfId="24058"/>
    <cellStyle name="常规 4 3 9 4 2 2 2 3" xfId="16539"/>
    <cellStyle name="常规 4 3 9 4 2 2 2 3 2" xfId="24059"/>
    <cellStyle name="常规 4 3 9 4 2 2 2 3 2 2" xfId="24060"/>
    <cellStyle name="常规 4 3 9 4 2 2 2 3 3" xfId="24062"/>
    <cellStyle name="常规 4 3 9 4 2 2 2 3 4" xfId="24064"/>
    <cellStyle name="常规 4 3 9 4 2 2 2 4" xfId="16542"/>
    <cellStyle name="常规 4 3 9 4 2 2 2 4 2" xfId="17457"/>
    <cellStyle name="常规 4 3 9 4 2 2 2 5" xfId="17460"/>
    <cellStyle name="常规 4 3 9 4 2 2 2 6" xfId="17463"/>
    <cellStyle name="常规 4 3 9 4 2 2 3" xfId="24069"/>
    <cellStyle name="常规 4 3 9 4 2 2 3 2" xfId="24070"/>
    <cellStyle name="常规 4 3 9 4 2 2 3 2 2" xfId="24071"/>
    <cellStyle name="常规 4 3 9 4 2 2 3 2 2 2" xfId="24072"/>
    <cellStyle name="常规 4 3 9 4 2 2 3 2 3" xfId="24073"/>
    <cellStyle name="常规 4 3 9 4 2 2 3 2 4" xfId="24074"/>
    <cellStyle name="常规 4 3 9 4 2 2 3 3" xfId="24075"/>
    <cellStyle name="常规 4 3 9 4 2 2 3 3 2" xfId="24076"/>
    <cellStyle name="常规 4 3 9 4 2 2 3 4" xfId="10708"/>
    <cellStyle name="常规 4 3 9 4 2 2 3 5" xfId="24078"/>
    <cellStyle name="常规 4 3 9 4 2 2 4" xfId="24080"/>
    <cellStyle name="常规 4 3 9 4 2 2 4 2" xfId="24082"/>
    <cellStyle name="常规 4 3 9 4 2 2 4 2 2" xfId="24083"/>
    <cellStyle name="常规 4 3 9 4 2 2 4 3" xfId="24085"/>
    <cellStyle name="常规 4 3 9 4 2 2 4 4" xfId="24087"/>
    <cellStyle name="常规 4 3 9 4 2 2 5" xfId="24088"/>
    <cellStyle name="常规 4 3 9 4 2 2 5 2" xfId="4096"/>
    <cellStyle name="常规 4 3 9 4 2 2 6" xfId="24089"/>
    <cellStyle name="常规 4 3 9 4 2 2 7" xfId="24090"/>
    <cellStyle name="常规 4 3 9 4 2 3" xfId="24091"/>
    <cellStyle name="常规 4 3 9 4 2 3 2" xfId="24096"/>
    <cellStyle name="常规 4 3 9 4 2 3 2 2" xfId="24097"/>
    <cellStyle name="常规 4 3 9 4 2 3 2 2 2" xfId="24098"/>
    <cellStyle name="常规 4 3 9 4 2 3 2 2 2 2" xfId="24099"/>
    <cellStyle name="常规 4 3 9 4 2 3 2 2 3" xfId="12238"/>
    <cellStyle name="常规 4 3 9 4 2 3 2 2 4" xfId="12250"/>
    <cellStyle name="常规 4 3 9 4 2 3 2 3" xfId="24100"/>
    <cellStyle name="常规 4 3 9 4 2 3 2 3 2" xfId="24101"/>
    <cellStyle name="常规 4 3 9 4 2 3 2 4" xfId="17507"/>
    <cellStyle name="常规 4 3 9 4 2 3 2 5" xfId="24103"/>
    <cellStyle name="常规 4 3 9 4 2 3 3" xfId="24104"/>
    <cellStyle name="常规 4 3 9 4 2 3 3 2" xfId="24105"/>
    <cellStyle name="常规 4 3 9 4 2 3 3 2 2" xfId="24106"/>
    <cellStyle name="常规 4 3 9 4 2 3 3 3" xfId="24107"/>
    <cellStyle name="常规 4 3 9 4 2 3 3 4" xfId="24109"/>
    <cellStyle name="常规 4 3 9 4 2 3 4" xfId="24110"/>
    <cellStyle name="常规 4 3 9 4 2 3 4 2" xfId="24111"/>
    <cellStyle name="常规 4 3 9 4 2 3 5" xfId="24112"/>
    <cellStyle name="常规 4 3 9 4 2 3 6" xfId="24113"/>
    <cellStyle name="常规 4 3 9 4 2 4" xfId="24114"/>
    <cellStyle name="常规 4 3 9 4 2 4 2" xfId="24116"/>
    <cellStyle name="常规 4 3 9 4 2 4 2 2" xfId="24118"/>
    <cellStyle name="常规 4 3 9 4 2 4 2 2 2" xfId="23429"/>
    <cellStyle name="常规 4 3 9 4 2 4 2 3" xfId="24120"/>
    <cellStyle name="常规 4 3 9 4 2 4 2 4" xfId="24122"/>
    <cellStyle name="常规 4 3 9 4 2 4 3" xfId="24123"/>
    <cellStyle name="常规 4 3 9 4 2 4 3 2" xfId="24125"/>
    <cellStyle name="常规 4 3 9 4 2 4 4" xfId="24126"/>
    <cellStyle name="常规 4 3 9 4 2 4 5" xfId="24128"/>
    <cellStyle name="常规 4 3 9 4 2 5" xfId="24129"/>
    <cellStyle name="常规 4 3 9 4 2 5 2" xfId="24131"/>
    <cellStyle name="常规 4 3 9 4 2 5 2 2" xfId="24134"/>
    <cellStyle name="常规 4 3 9 4 2 5 3" xfId="24135"/>
    <cellStyle name="常规 4 3 9 4 2 5 4" xfId="24136"/>
    <cellStyle name="常规 4 3 9 4 2 6" xfId="24137"/>
    <cellStyle name="常规 4 3 9 4 2 6 2" xfId="24141"/>
    <cellStyle name="常规 4 3 9 4 2 7" xfId="16573"/>
    <cellStyle name="常规 4 3 9 4 2 8" xfId="9690"/>
    <cellStyle name="常规 4 3 9 4 3" xfId="24143"/>
    <cellStyle name="常规 4 3 9 4 3 2" xfId="24145"/>
    <cellStyle name="常规 4 3 9 4 3 2 2" xfId="24150"/>
    <cellStyle name="常规 4 3 9 4 3 2 2 2" xfId="24151"/>
    <cellStyle name="常规 4 3 9 4 3 2 2 2 2" xfId="24152"/>
    <cellStyle name="常规 4 3 9 4 3 2 2 2 2 2" xfId="24155"/>
    <cellStyle name="常规 4 3 9 4 3 2 2 2 3" xfId="24156"/>
    <cellStyle name="常规 4 3 9 4 3 2 2 2 4" xfId="24157"/>
    <cellStyle name="常规 4 3 9 4 3 2 2 3" xfId="24158"/>
    <cellStyle name="常规 4 3 9 4 3 2 2 3 2" xfId="24159"/>
    <cellStyle name="常规 4 3 9 4 3 2 2 4" xfId="18051"/>
    <cellStyle name="常规 4 3 9 4 3 2 2 5" xfId="24161"/>
    <cellStyle name="常规 4 3 9 4 3 2 3" xfId="332"/>
    <cellStyle name="常规 4 3 9 4 3 2 3 2" xfId="24162"/>
    <cellStyle name="常规 4 3 9 4 3 2 3 2 2" xfId="24163"/>
    <cellStyle name="常规 4 3 9 4 3 2 3 3" xfId="24164"/>
    <cellStyle name="常规 4 3 9 4 3 2 3 4" xfId="24166"/>
    <cellStyle name="常规 4 3 9 4 3 2 4" xfId="4024"/>
    <cellStyle name="常规 4 3 9 4 3 2 4 2" xfId="2587"/>
    <cellStyle name="常规 4 3 9 4 3 2 5" xfId="4029"/>
    <cellStyle name="常规 4 3 9 4 3 2 6" xfId="604"/>
    <cellStyle name="常规 4 3 9 4 3 3" xfId="24168"/>
    <cellStyle name="常规 4 3 9 4 3 3 2" xfId="24169"/>
    <cellStyle name="常规 4 3 9 4 3 3 2 2" xfId="24170"/>
    <cellStyle name="常规 4 3 9 4 3 3 2 2 2" xfId="2732"/>
    <cellStyle name="常规 4 3 9 4 3 3 2 3" xfId="24172"/>
    <cellStyle name="常规 4 3 9 4 3 3 2 4" xfId="24175"/>
    <cellStyle name="常规 4 3 9 4 3 3 3" xfId="24176"/>
    <cellStyle name="常规 4 3 9 4 3 3 3 2" xfId="24177"/>
    <cellStyle name="常规 4 3 9 4 3 3 4" xfId="4046"/>
    <cellStyle name="常规 4 3 9 4 3 3 5" xfId="4051"/>
    <cellStyle name="常规 4 3 9 4 3 4" xfId="24179"/>
    <cellStyle name="常规 4 3 9 4 3 4 2" xfId="24181"/>
    <cellStyle name="常规 4 3 9 4 3 4 2 2" xfId="24183"/>
    <cellStyle name="常规 4 3 9 4 3 4 3" xfId="11005"/>
    <cellStyle name="常规 4 3 9 4 3 4 4" xfId="4062"/>
    <cellStyle name="常规 4 3 9 4 3 5" xfId="24185"/>
    <cellStyle name="常规 4 3 9 4 3 5 2" xfId="24188"/>
    <cellStyle name="常规 4 3 9 4 3 6" xfId="24189"/>
    <cellStyle name="常规 4 3 9 4 3 7" xfId="16589"/>
    <cellStyle name="常规 4 3 9 4 4" xfId="17452"/>
    <cellStyle name="常规 4 3 9 4 4 2" xfId="24192"/>
    <cellStyle name="常规 4 3 9 4 4 2 2" xfId="10066"/>
    <cellStyle name="常规 4 3 9 4 4 2 2 2" xfId="24193"/>
    <cellStyle name="常规 4 3 9 4 4 2 2 2 2" xfId="24194"/>
    <cellStyle name="常规 4 3 9 4 4 2 2 3" xfId="24195"/>
    <cellStyle name="常规 4 3 9 4 4 2 2 4" xfId="24197"/>
    <cellStyle name="常规 4 3 9 4 4 2 3" xfId="10068"/>
    <cellStyle name="常规 4 3 9 4 4 2 3 2" xfId="24198"/>
    <cellStyle name="常规 4 3 9 4 4 2 4" xfId="24199"/>
    <cellStyle name="常规 4 3 9 4 4 2 5" xfId="24200"/>
    <cellStyle name="常规 4 3 9 4 4 3" xfId="24201"/>
    <cellStyle name="常规 4 3 9 4 4 3 2" xfId="16202"/>
    <cellStyle name="常规 4 3 9 4 4 3 2 2" xfId="24202"/>
    <cellStyle name="常规 4 3 9 4 4 3 3" xfId="24203"/>
    <cellStyle name="常规 4 3 9 4 4 3 4" xfId="24204"/>
    <cellStyle name="常规 4 3 9 4 4 4" xfId="24205"/>
    <cellStyle name="常规 4 3 9 4 4 4 2" xfId="24207"/>
    <cellStyle name="常规 4 3 9 4 4 5" xfId="24209"/>
    <cellStyle name="常规 4 3 9 4 4 6" xfId="24210"/>
    <cellStyle name="常规 4 3 9 4 5" xfId="24212"/>
    <cellStyle name="常规 4 3 9 4 5 2" xfId="24213"/>
    <cellStyle name="常规 4 3 9 4 5 2 2" xfId="24214"/>
    <cellStyle name="常规 4 3 9 4 5 2 2 2" xfId="24215"/>
    <cellStyle name="常规 4 3 9 4 5 2 3" xfId="24216"/>
    <cellStyle name="常规 4 3 9 4 5 2 4" xfId="7977"/>
    <cellStyle name="常规 4 3 9 4 5 3" xfId="24217"/>
    <cellStyle name="常规 4 3 9 4 5 3 2" xfId="24218"/>
    <cellStyle name="常规 4 3 9 4 5 4" xfId="24219"/>
    <cellStyle name="常规 4 3 9 4 5 5" xfId="24220"/>
    <cellStyle name="常规 4 3 9 4 6" xfId="24222"/>
    <cellStyle name="常规 4 3 9 4 6 2" xfId="24223"/>
    <cellStyle name="常规 4 3 9 4 6 2 2" xfId="24225"/>
    <cellStyle name="常规 4 3 9 4 6 3" xfId="24226"/>
    <cellStyle name="常规 4 3 9 4 6 4" xfId="24227"/>
    <cellStyle name="常规 4 3 9 4 7" xfId="24228"/>
    <cellStyle name="常规 4 3 9 4 7 2" xfId="24229"/>
    <cellStyle name="常规 4 3 9 4 8" xfId="24231"/>
    <cellStyle name="常规 4 3 9 4 9" xfId="24232"/>
    <cellStyle name="常规 4 3 9 5" xfId="13649"/>
    <cellStyle name="常规 4 3 9 5 2" xfId="24233"/>
    <cellStyle name="常规 4 3 9 5 2 2" xfId="24234"/>
    <cellStyle name="常规 4 3 9 5 2 2 2" xfId="24238"/>
    <cellStyle name="常规 4 3 9 5 2 2 2 2" xfId="24239"/>
    <cellStyle name="常规 4 3 9 5 2 2 2 2 2" xfId="24240"/>
    <cellStyle name="常规 4 3 9 5 2 2 2 2 2 2" xfId="24241"/>
    <cellStyle name="常规 4 3 9 5 2 2 2 2 3" xfId="24242"/>
    <cellStyle name="常规 4 3 9 5 2 2 2 2 4" xfId="24243"/>
    <cellStyle name="常规 4 3 9 5 2 2 2 3" xfId="24244"/>
    <cellStyle name="常规 4 3 9 5 2 2 2 3 2" xfId="2728"/>
    <cellStyle name="常规 4 3 9 5 2 2 2 4" xfId="19398"/>
    <cellStyle name="常规 4 3 9 5 2 2 2 5" xfId="24246"/>
    <cellStyle name="常规 4 3 9 5 2 2 3" xfId="2454"/>
    <cellStyle name="常规 4 3 9 5 2 2 3 2" xfId="24247"/>
    <cellStyle name="常规 4 3 9 5 2 2 3 2 2" xfId="24248"/>
    <cellStyle name="常规 4 3 9 5 2 2 3 3" xfId="24252"/>
    <cellStyle name="常规 4 3 9 5 2 2 3 4" xfId="24257"/>
    <cellStyle name="常规 4 3 9 5 2 2 4" xfId="24258"/>
    <cellStyle name="常规 4 3 9 5 2 2 4 2" xfId="24259"/>
    <cellStyle name="常规 4 3 9 5 2 2 5" xfId="24260"/>
    <cellStyle name="常规 4 3 9 5 2 2 6" xfId="24261"/>
    <cellStyle name="常规 4 3 9 5 2 3" xfId="15234"/>
    <cellStyle name="常规 4 3 9 5 2 3 2" xfId="15236"/>
    <cellStyle name="常规 4 3 9 5 2 3 2 2" xfId="15238"/>
    <cellStyle name="常规 4 3 9 5 2 3 2 2 2" xfId="24262"/>
    <cellStyle name="常规 4 3 9 5 2 3 2 3" xfId="24263"/>
    <cellStyle name="常规 4 3 9 5 2 3 2 4" xfId="24265"/>
    <cellStyle name="常规 4 3 9 5 2 3 3" xfId="15240"/>
    <cellStyle name="常规 4 3 9 5 2 3 3 2" xfId="16732"/>
    <cellStyle name="常规 4 3 9 5 2 3 4" xfId="15243"/>
    <cellStyle name="常规 4 3 9 5 2 3 5" xfId="24266"/>
    <cellStyle name="常规 4 3 9 5 2 4" xfId="15245"/>
    <cellStyle name="常规 4 3 9 5 2 4 2" xfId="15248"/>
    <cellStyle name="常规 4 3 9 5 2 4 2 2" xfId="24267"/>
    <cellStyle name="常规 4 3 9 5 2 4 3" xfId="24268"/>
    <cellStyle name="常规 4 3 9 5 2 4 4" xfId="24269"/>
    <cellStyle name="常规 4 3 9 5 2 5" xfId="15252"/>
    <cellStyle name="常规 4 3 9 5 2 5 2" xfId="24271"/>
    <cellStyle name="常规 4 3 9 5 2 6" xfId="15257"/>
    <cellStyle name="常规 4 3 9 5 2 7" xfId="19969"/>
    <cellStyle name="常规 4 3 9 5 3" xfId="24273"/>
    <cellStyle name="常规 4 3 9 5 3 2" xfId="7099"/>
    <cellStyle name="常规 4 3 9 5 3 2 2" xfId="411"/>
    <cellStyle name="常规 4 3 9 5 3 2 2 2" xfId="24275"/>
    <cellStyle name="常规 4 3 9 5 3 2 2 2 2" xfId="24276"/>
    <cellStyle name="常规 4 3 9 5 3 2 2 3" xfId="24277"/>
    <cellStyle name="常规 4 3 9 5 3 2 2 4" xfId="24279"/>
    <cellStyle name="常规 4 3 9 5 3 2 3" xfId="434"/>
    <cellStyle name="常规 4 3 9 5 3 2 3 2" xfId="24280"/>
    <cellStyle name="常规 4 3 9 5 3 2 4" xfId="20061"/>
    <cellStyle name="常规 4 3 9 5 3 2 5" xfId="20063"/>
    <cellStyle name="常规 4 3 9 5 3 3" xfId="7105"/>
    <cellStyle name="常规 4 3 9 5 3 3 2" xfId="935"/>
    <cellStyle name="常规 4 3 9 5 3 3 2 2" xfId="24281"/>
    <cellStyle name="常规 4 3 9 5 3 3 3" xfId="938"/>
    <cellStyle name="常规 4 3 9 5 3 3 4" xfId="20067"/>
    <cellStyle name="常规 4 3 9 5 3 4" xfId="15261"/>
    <cellStyle name="常规 4 3 9 5 3 4 2" xfId="981"/>
    <cellStyle name="常规 4 3 9 5 3 5" xfId="15266"/>
    <cellStyle name="常规 4 3 9 5 3 6" xfId="24282"/>
    <cellStyle name="常规 4 3 9 5 4" xfId="24284"/>
    <cellStyle name="常规 4 3 9 5 4 2" xfId="24286"/>
    <cellStyle name="常规 4 3 9 5 4 2 2" xfId="24288"/>
    <cellStyle name="常规 4 3 9 5 4 2 2 2" xfId="24289"/>
    <cellStyle name="常规 4 3 9 5 4 2 3" xfId="24290"/>
    <cellStyle name="常规 4 3 9 5 4 2 4" xfId="18166"/>
    <cellStyle name="常规 4 3 9 5 4 3" xfId="15269"/>
    <cellStyle name="常规 4 3 9 5 4 3 2" xfId="24291"/>
    <cellStyle name="常规 4 3 9 5 4 4" xfId="24293"/>
    <cellStyle name="常规 4 3 9 5 4 5" xfId="24294"/>
    <cellStyle name="常规 4 3 9 5 5" xfId="24296"/>
    <cellStyle name="常规 4 3 9 5 5 2" xfId="24298"/>
    <cellStyle name="常规 4 3 9 5 5 2 2" xfId="24299"/>
    <cellStyle name="常规 4 3 9 5 5 3" xfId="24301"/>
    <cellStyle name="常规 4 3 9 5 5 4" xfId="24302"/>
    <cellStyle name="常规 4 3 9 5 6" xfId="24303"/>
    <cellStyle name="常规 4 3 9 5 6 2" xfId="24305"/>
    <cellStyle name="常规 4 3 9 5 7" xfId="24306"/>
    <cellStyle name="常规 4 3 9 5 8" xfId="24308"/>
    <cellStyle name="常规 4 3 9 6" xfId="24310"/>
    <cellStyle name="常规 4 3 9 6 2" xfId="24311"/>
    <cellStyle name="常规 4 3 9 6 2 2" xfId="24313"/>
    <cellStyle name="常规 4 3 9 6 2 2 2" xfId="24315"/>
    <cellStyle name="常规 4 3 9 6 2 2 2 2" xfId="24316"/>
    <cellStyle name="常规 4 3 9 6 2 2 2 2 2" xfId="24317"/>
    <cellStyle name="常规 4 3 9 6 2 2 2 3" xfId="24318"/>
    <cellStyle name="常规 4 3 9 6 2 2 2 4" xfId="24320"/>
    <cellStyle name="常规 4 3 9 6 2 2 3" xfId="24321"/>
    <cellStyle name="常规 4 3 9 6 2 2 3 2" xfId="11039"/>
    <cellStyle name="常规 4 3 9 6 2 2 4" xfId="24322"/>
    <cellStyle name="常规 4 3 9 6 2 2 5" xfId="24324"/>
    <cellStyle name="常规 4 3 9 6 2 3" xfId="15275"/>
    <cellStyle name="常规 4 3 9 6 2 3 2" xfId="15278"/>
    <cellStyle name="常规 4 3 9 6 2 3 2 2" xfId="24325"/>
    <cellStyle name="常规 4 3 9 6 2 3 3" xfId="24327"/>
    <cellStyle name="常规 4 3 9 6 2 3 4" xfId="24328"/>
    <cellStyle name="常规 4 3 9 6 2 4" xfId="15280"/>
    <cellStyle name="常规 4 3 9 6 2 4 2" xfId="24330"/>
    <cellStyle name="常规 4 3 9 6 2 5" xfId="15283"/>
    <cellStyle name="常规 4 3 9 6 2 6" xfId="24331"/>
    <cellStyle name="常规 4 3 9 6 3" xfId="24333"/>
    <cellStyle name="常规 4 3 9 6 3 2" xfId="24334"/>
    <cellStyle name="常规 4 3 9 6 3 2 2" xfId="24335"/>
    <cellStyle name="常规 4 3 9 6 3 2 2 2" xfId="24336"/>
    <cellStyle name="常规 4 3 9 6 3 2 3" xfId="24337"/>
    <cellStyle name="常规 4 3 9 6 3 2 4" xfId="24339"/>
    <cellStyle name="常规 4 3 9 6 3 3" xfId="15286"/>
    <cellStyle name="常规 4 3 9 6 3 3 2" xfId="24341"/>
    <cellStyle name="常规 4 3 9 6 3 4" xfId="24342"/>
    <cellStyle name="常规 4 3 9 6 3 5" xfId="24343"/>
    <cellStyle name="常规 4 3 9 6 4" xfId="24344"/>
    <cellStyle name="常规 4 3 9 6 4 2" xfId="24345"/>
    <cellStyle name="常规 4 3 9 6 4 2 2" xfId="1443"/>
    <cellStyle name="常规 4 3 9 6 4 3" xfId="24346"/>
    <cellStyle name="常规 4 3 9 6 4 4" xfId="19550"/>
    <cellStyle name="常规 4 3 9 6 5" xfId="24347"/>
    <cellStyle name="常规 4 3 9 6 5 2" xfId="24348"/>
    <cellStyle name="常规 4 3 9 6 6" xfId="24349"/>
    <cellStyle name="常规 4 3 9 6 7" xfId="24350"/>
    <cellStyle name="常规 4 3 9 7" xfId="24351"/>
    <cellStyle name="常规 4 3 9 7 2" xfId="24352"/>
    <cellStyle name="常规 4 3 9 7 2 2" xfId="24353"/>
    <cellStyle name="常规 4 3 9 7 2 2 2" xfId="24354"/>
    <cellStyle name="常规 4 3 9 7 2 2 2 2" xfId="24355"/>
    <cellStyle name="常规 4 3 9 7 2 2 3" xfId="24356"/>
    <cellStyle name="常规 4 3 9 7 2 2 4" xfId="10028"/>
    <cellStyle name="常规 4 3 9 7 2 3" xfId="15294"/>
    <cellStyle name="常规 4 3 9 7 2 3 2" xfId="24358"/>
    <cellStyle name="常规 4 3 9 7 2 4" xfId="24359"/>
    <cellStyle name="常规 4 3 9 7 2 5" xfId="2660"/>
    <cellStyle name="常规 4 3 9 7 3" xfId="24360"/>
    <cellStyle name="常规 4 3 9 7 3 2" xfId="24361"/>
    <cellStyle name="常规 4 3 9 7 3 2 2" xfId="24362"/>
    <cellStyle name="常规 4 3 9 7 3 3" xfId="24363"/>
    <cellStyle name="常规 4 3 9 7 3 4" xfId="24364"/>
    <cellStyle name="常规 4 3 9 7 4" xfId="24365"/>
    <cellStyle name="常规 4 3 9 7 4 2" xfId="24366"/>
    <cellStyle name="常规 4 3 9 7 5" xfId="24367"/>
    <cellStyle name="常规 4 3 9 7 6" xfId="24368"/>
    <cellStyle name="常规 4 3 9 8" xfId="24369"/>
    <cellStyle name="常规 4 3 9 8 2" xfId="24370"/>
    <cellStyle name="常规 4 3 9 8 2 2" xfId="24371"/>
    <cellStyle name="常规 4 3 9 8 2 2 2" xfId="24372"/>
    <cellStyle name="常规 4 3 9 8 2 3" xfId="24373"/>
    <cellStyle name="常规 4 3 9 8 2 4" xfId="795"/>
    <cellStyle name="常规 4 3 9 8 3" xfId="24374"/>
    <cellStyle name="常规 4 3 9 8 3 2" xfId="24375"/>
    <cellStyle name="常规 4 3 9 8 4" xfId="10581"/>
    <cellStyle name="常规 4 3 9 8 5" xfId="24376"/>
    <cellStyle name="常规 4 3 9 9" xfId="10878"/>
    <cellStyle name="常规 4 3 9 9 2" xfId="10880"/>
    <cellStyle name="常规 4 3 9 9 2 2" xfId="10882"/>
    <cellStyle name="常规 4 3 9 9 3" xfId="10885"/>
    <cellStyle name="常规 4 3 9 9 4" xfId="10887"/>
    <cellStyle name="常规 4 3_Sheet2" xfId="6422"/>
    <cellStyle name="常规 4 4" xfId="24377"/>
    <cellStyle name="常规 4 4 2" xfId="24378"/>
    <cellStyle name="常规 4 4 2 2" xfId="24379"/>
    <cellStyle name="常规 4 4 2 2 2" xfId="24380"/>
    <cellStyle name="常规 4 4 2 2 2 2" xfId="24381"/>
    <cellStyle name="常规 4 4 2 2 2 3" xfId="24382"/>
    <cellStyle name="常规 4 4 2 2 3" xfId="24384"/>
    <cellStyle name="常规 4 4 2 2 3 2" xfId="24387"/>
    <cellStyle name="常规 4 4 2 2 3 3" xfId="24390"/>
    <cellStyle name="常规 4 4 2 2 4" xfId="24392"/>
    <cellStyle name="常规 4 4 2 2 5" xfId="24394"/>
    <cellStyle name="常规 4 4 2 2 6" xfId="24396"/>
    <cellStyle name="常规 4 4 2 3" xfId="24397"/>
    <cellStyle name="常规 4 4 2 3 2" xfId="24398"/>
    <cellStyle name="常规 4 4 2 3 3" xfId="24400"/>
    <cellStyle name="常规 4 4 2 4" xfId="24401"/>
    <cellStyle name="常规 4 4 2 4 2" xfId="24402"/>
    <cellStyle name="常规 4 4 2 4 3" xfId="24404"/>
    <cellStyle name="常规 4 4 2 5" xfId="24405"/>
    <cellStyle name="常规 4 4 2 6" xfId="24406"/>
    <cellStyle name="常规 4 4 2 7" xfId="24407"/>
    <cellStyle name="常规 4 4 3" xfId="24408"/>
    <cellStyle name="常规 4 4 3 2" xfId="10275"/>
    <cellStyle name="常规 4 4 3 2 2" xfId="24409"/>
    <cellStyle name="常规 4 4 3 2 3" xfId="24411"/>
    <cellStyle name="常规 4 4 3 3" xfId="24412"/>
    <cellStyle name="常规 4 4 3 3 2" xfId="24413"/>
    <cellStyle name="常规 4 4 3 3 3" xfId="18059"/>
    <cellStyle name="常规 4 4 3 4" xfId="24414"/>
    <cellStyle name="常规 4 4 3 5" xfId="24415"/>
    <cellStyle name="常规 4 4 3 6" xfId="24416"/>
    <cellStyle name="常规 4 4 4" xfId="1091"/>
    <cellStyle name="常规 4 4 4 2" xfId="24418"/>
    <cellStyle name="常规 4 4 4 3" xfId="24419"/>
    <cellStyle name="常规 4 4 4 4" xfId="24420"/>
    <cellStyle name="常规 4 4 5" xfId="1093"/>
    <cellStyle name="常规 4 4 5 2" xfId="8075"/>
    <cellStyle name="常规 4 4 5 3" xfId="8083"/>
    <cellStyle name="常规 4 4 6" xfId="8088"/>
    <cellStyle name="常规 4 4 6 2" xfId="8091"/>
    <cellStyle name="常规 4 4 6 3" xfId="8096"/>
    <cellStyle name="常规 4 4 7" xfId="8099"/>
    <cellStyle name="常规 4 4 8" xfId="8103"/>
    <cellStyle name="常规 4 4_Sheet2" xfId="1031"/>
    <cellStyle name="常规 4 5" xfId="1716"/>
    <cellStyle name="常规 4 5 2" xfId="24422"/>
    <cellStyle name="常规 4 5 2 2" xfId="24423"/>
    <cellStyle name="常规 4 5 2 2 2" xfId="24425"/>
    <cellStyle name="常规 4 5 2 2 3" xfId="24429"/>
    <cellStyle name="常规 4 5 2 3" xfId="24430"/>
    <cellStyle name="常规 4 5 2 3 2" xfId="24432"/>
    <cellStyle name="常规 4 5 2 3 3" xfId="24435"/>
    <cellStyle name="常规 4 5 2 4" xfId="24436"/>
    <cellStyle name="常规 4 5 2 5" xfId="24437"/>
    <cellStyle name="常规 4 5 2 6" xfId="24438"/>
    <cellStyle name="常规 4 5 3" xfId="24440"/>
    <cellStyle name="常规 4 5 3 2" xfId="24441"/>
    <cellStyle name="常规 4 5 3 3" xfId="24442"/>
    <cellStyle name="常规 4 5 4" xfId="1100"/>
    <cellStyle name="常规 4 5 4 2" xfId="24443"/>
    <cellStyle name="常规 4 5 4 3" xfId="24444"/>
    <cellStyle name="常规 4 5 5" xfId="8109"/>
    <cellStyle name="常规 4 5 6" xfId="8123"/>
    <cellStyle name="常规 4 5 7" xfId="8128"/>
    <cellStyle name="常规 4 6" xfId="421"/>
    <cellStyle name="常规 4 6 2" xfId="24446"/>
    <cellStyle name="常规 4 6 2 2" xfId="24447"/>
    <cellStyle name="常规 4 6 2 3" xfId="24448"/>
    <cellStyle name="常规 4 6 3" xfId="24449"/>
    <cellStyle name="常规 4 6 3 2" xfId="21816"/>
    <cellStyle name="常规 4 6 3 3" xfId="24450"/>
    <cellStyle name="常规 4 6 4" xfId="24451"/>
    <cellStyle name="常规 4 6 5" xfId="8135"/>
    <cellStyle name="常规 4 6 6" xfId="8140"/>
    <cellStyle name="常规 4 7" xfId="1718"/>
    <cellStyle name="常规 4 7 2" xfId="24452"/>
    <cellStyle name="常规 4 7 3" xfId="24453"/>
    <cellStyle name="常规 4 7 4" xfId="24454"/>
    <cellStyle name="常规 4 8" xfId="1721"/>
    <cellStyle name="常规 4 8 2" xfId="19844"/>
    <cellStyle name="常规 4 8 3" xfId="19849"/>
    <cellStyle name="常规 4 9" xfId="1725"/>
    <cellStyle name="常规 4 9 2" xfId="19853"/>
    <cellStyle name="常规 4 9 3" xfId="24456"/>
    <cellStyle name="常规 4_Sheet2" xfId="24457"/>
    <cellStyle name="常规 40" xfId="4154"/>
    <cellStyle name="常规 41" xfId="4156"/>
    <cellStyle name="常规 42" xfId="4158"/>
    <cellStyle name="常规 43" xfId="4164"/>
    <cellStyle name="常规 44" xfId="33"/>
    <cellStyle name="常规 45" xfId="24458"/>
    <cellStyle name="常规 46" xfId="24460"/>
    <cellStyle name="常规 47" xfId="24462"/>
    <cellStyle name="常规 48" xfId="24465"/>
    <cellStyle name="常规 49" xfId="24467"/>
    <cellStyle name="常规 5" xfId="24469"/>
    <cellStyle name="常规 5 10" xfId="24470"/>
    <cellStyle name="常规 5 10 2" xfId="24472"/>
    <cellStyle name="常规 5 10 2 2" xfId="24473"/>
    <cellStyle name="常规 5 10 2 2 2" xfId="24474"/>
    <cellStyle name="常规 5 10 2 2 2 2" xfId="10855"/>
    <cellStyle name="常规 5 10 2 2 2 2 2" xfId="16943"/>
    <cellStyle name="常规 5 10 2 2 2 3" xfId="16945"/>
    <cellStyle name="常规 5 10 2 2 2 4" xfId="16947"/>
    <cellStyle name="常规 5 10 2 2 3" xfId="24475"/>
    <cellStyle name="常规 5 10 2 2 3 2" xfId="16984"/>
    <cellStyle name="常规 5 10 2 2 4" xfId="19545"/>
    <cellStyle name="常规 5 10 2 2 5" xfId="24477"/>
    <cellStyle name="常规 5 10 2 3" xfId="4094"/>
    <cellStyle name="常规 5 10 2 3 2" xfId="24478"/>
    <cellStyle name="常规 5 10 2 3 2 2" xfId="17136"/>
    <cellStyle name="常规 5 10 2 3 3" xfId="24480"/>
    <cellStyle name="常规 5 10 2 3 4" xfId="24483"/>
    <cellStyle name="常规 5 10 2 4" xfId="19997"/>
    <cellStyle name="常规 5 10 2 4 2" xfId="19999"/>
    <cellStyle name="常规 5 10 2 5" xfId="20028"/>
    <cellStyle name="常规 5 10 2 6" xfId="20035"/>
    <cellStyle name="常规 5 10 3" xfId="7092"/>
    <cellStyle name="常规 5 10 3 2" xfId="824"/>
    <cellStyle name="常规 5 10 3 2 2" xfId="24488"/>
    <cellStyle name="常规 5 10 3 2 2 2" xfId="17671"/>
    <cellStyle name="常规 5 10 3 2 3" xfId="24489"/>
    <cellStyle name="常规 5 10 3 2 4" xfId="24491"/>
    <cellStyle name="常规 5 10 3 3" xfId="826"/>
    <cellStyle name="常规 5 10 3 3 2" xfId="24492"/>
    <cellStyle name="常规 5 10 3 4" xfId="20043"/>
    <cellStyle name="常规 5 10 3 5" xfId="20050"/>
    <cellStyle name="常规 5 10 4" xfId="7097"/>
    <cellStyle name="常规 5 10 4 2" xfId="410"/>
    <cellStyle name="常规 5 10 4 2 2" xfId="24274"/>
    <cellStyle name="常规 5 10 4 3" xfId="433"/>
    <cellStyle name="常规 5 10 4 4" xfId="20060"/>
    <cellStyle name="常规 5 10 5" xfId="7104"/>
    <cellStyle name="常规 5 10 5 2" xfId="934"/>
    <cellStyle name="常规 5 10 6" xfId="15263"/>
    <cellStyle name="常规 5 10 7" xfId="15265"/>
    <cellStyle name="常规 5 11" xfId="24493"/>
    <cellStyle name="常规 5 11 2" xfId="24494"/>
    <cellStyle name="常规 5 11 2 2" xfId="10231"/>
    <cellStyle name="常规 5 11 2 2 2" xfId="10234"/>
    <cellStyle name="常规 5 11 2 2 2 2" xfId="18907"/>
    <cellStyle name="常规 5 11 2 2 3" xfId="24495"/>
    <cellStyle name="常规 5 11 2 2 4" xfId="19639"/>
    <cellStyle name="常规 5 11 2 3" xfId="10238"/>
    <cellStyle name="常规 5 11 2 3 2" xfId="24496"/>
    <cellStyle name="常规 5 11 2 4" xfId="10241"/>
    <cellStyle name="常规 5 11 2 5" xfId="21154"/>
    <cellStyle name="常规 5 11 3" xfId="2544"/>
    <cellStyle name="常规 5 11 3 2" xfId="10250"/>
    <cellStyle name="常规 5 11 3 2 2" xfId="24497"/>
    <cellStyle name="常规 5 11 3 3" xfId="10253"/>
    <cellStyle name="常规 5 11 3 4" xfId="21157"/>
    <cellStyle name="常规 5 11 4" xfId="24285"/>
    <cellStyle name="常规 5 11 4 2" xfId="24287"/>
    <cellStyle name="常规 5 11 5" xfId="15268"/>
    <cellStyle name="常规 5 11 6" xfId="24292"/>
    <cellStyle name="常规 5 12" xfId="24499"/>
    <cellStyle name="常规 5 12 2" xfId="24500"/>
    <cellStyle name="常规 5 12 2 2" xfId="10283"/>
    <cellStyle name="常规 5 12 2 2 2" xfId="24501"/>
    <cellStyle name="常规 5 12 2 3" xfId="10286"/>
    <cellStyle name="常规 5 12 2 4" xfId="24417"/>
    <cellStyle name="常规 5 12 3" xfId="24502"/>
    <cellStyle name="常规 5 12 3 2" xfId="24503"/>
    <cellStyle name="常规 5 12 4" xfId="24297"/>
    <cellStyle name="常规 5 12 5" xfId="24300"/>
    <cellStyle name="常规 5 13" xfId="24504"/>
    <cellStyle name="常规 5 13 2" xfId="24505"/>
    <cellStyle name="常规 5 13 2 2" xfId="24506"/>
    <cellStyle name="常规 5 13 3" xfId="24507"/>
    <cellStyle name="常规 5 13 4" xfId="24304"/>
    <cellStyle name="常规 5 14" xfId="24508"/>
    <cellStyle name="常规 5 14 2" xfId="24509"/>
    <cellStyle name="常规 5 15" xfId="24510"/>
    <cellStyle name="常规 5 16" xfId="24512"/>
    <cellStyle name="常规 5 17" xfId="2530"/>
    <cellStyle name="常规 5 18" xfId="24171"/>
    <cellStyle name="常规 5 19" xfId="24173"/>
    <cellStyle name="常规 5 2" xfId="1822"/>
    <cellStyle name="常规 5 2 10" xfId="24513"/>
    <cellStyle name="常规 5 2 10 2" xfId="729"/>
    <cellStyle name="常规 5 2 10 2 2" xfId="24514"/>
    <cellStyle name="常规 5 2 10 2 2 2" xfId="24515"/>
    <cellStyle name="常规 5 2 10 2 2 2 2" xfId="4033"/>
    <cellStyle name="常规 5 2 10 2 2 3" xfId="17585"/>
    <cellStyle name="常规 5 2 10 2 2 4" xfId="24516"/>
    <cellStyle name="常规 5 2 10 2 3" xfId="24517"/>
    <cellStyle name="常规 5 2 10 2 3 2" xfId="18417"/>
    <cellStyle name="常规 5 2 10 2 4" xfId="24518"/>
    <cellStyle name="常规 5 2 10 2 5" xfId="24520"/>
    <cellStyle name="常规 5 2 10 3" xfId="5892"/>
    <cellStyle name="常规 5 2 10 3 2" xfId="24523"/>
    <cellStyle name="常规 5 2 10 3 2 2" xfId="24524"/>
    <cellStyle name="常规 5 2 10 3 3" xfId="24525"/>
    <cellStyle name="常规 5 2 10 3 4" xfId="24526"/>
    <cellStyle name="常规 5 2 10 4" xfId="24527"/>
    <cellStyle name="常规 5 2 10 4 2" xfId="24528"/>
    <cellStyle name="常规 5 2 10 5" xfId="24529"/>
    <cellStyle name="常规 5 2 10 6" xfId="24531"/>
    <cellStyle name="常规 5 2 11" xfId="24532"/>
    <cellStyle name="常规 5 2 11 2" xfId="740"/>
    <cellStyle name="常规 5 2 11 2 2" xfId="12474"/>
    <cellStyle name="常规 5 2 11 2 2 2" xfId="24533"/>
    <cellStyle name="常规 5 2 11 2 3" xfId="12476"/>
    <cellStyle name="常规 5 2 11 2 4" xfId="24534"/>
    <cellStyle name="常规 5 2 11 3" xfId="9265"/>
    <cellStyle name="常规 5 2 11 3 2" xfId="24535"/>
    <cellStyle name="常规 5 2 11 4" xfId="24536"/>
    <cellStyle name="常规 5 2 11 5" xfId="24537"/>
    <cellStyle name="常规 5 2 12" xfId="24538"/>
    <cellStyle name="常规 5 2 12 2" xfId="24539"/>
    <cellStyle name="常规 5 2 12 2 2" xfId="24540"/>
    <cellStyle name="常规 5 2 12 3" xfId="24541"/>
    <cellStyle name="常规 5 2 12 4" xfId="24542"/>
    <cellStyle name="常规 5 2 13" xfId="24543"/>
    <cellStyle name="常规 5 2 13 2" xfId="24544"/>
    <cellStyle name="常规 5 2 14" xfId="24545"/>
    <cellStyle name="常规 5 2 15" xfId="24546"/>
    <cellStyle name="常规 5 2 16" xfId="24548"/>
    <cellStyle name="常规 5 2 17" xfId="24549"/>
    <cellStyle name="常规 5 2 18" xfId="24550"/>
    <cellStyle name="常规 5 2 19" xfId="24551"/>
    <cellStyle name="常规 5 2 2" xfId="21443"/>
    <cellStyle name="常规 5 2 2 10" xfId="24552"/>
    <cellStyle name="常规 5 2 2 10 2" xfId="24553"/>
    <cellStyle name="常规 5 2 2 10 2 2" xfId="24554"/>
    <cellStyle name="常规 5 2 2 10 2 2 2" xfId="15214"/>
    <cellStyle name="常规 5 2 2 10 2 3" xfId="24555"/>
    <cellStyle name="常规 5 2 2 10 2 4" xfId="24556"/>
    <cellStyle name="常规 5 2 2 10 3" xfId="13360"/>
    <cellStyle name="常规 5 2 2 10 3 2" xfId="24557"/>
    <cellStyle name="常规 5 2 2 10 4" xfId="20703"/>
    <cellStyle name="常规 5 2 2 10 5" xfId="24558"/>
    <cellStyle name="常规 5 2 2 11" xfId="24559"/>
    <cellStyle name="常规 5 2 2 11 2" xfId="22675"/>
    <cellStyle name="常规 5 2 2 11 2 2" xfId="22678"/>
    <cellStyle name="常规 5 2 2 11 3" xfId="22686"/>
    <cellStyle name="常规 5 2 2 11 4" xfId="22688"/>
    <cellStyle name="常规 5 2 2 12" xfId="24560"/>
    <cellStyle name="常规 5 2 2 12 2" xfId="22699"/>
    <cellStyle name="常规 5 2 2 13" xfId="24561"/>
    <cellStyle name="常规 5 2 2 14" xfId="24562"/>
    <cellStyle name="常规 5 2 2 15" xfId="24563"/>
    <cellStyle name="常规 5 2 2 16" xfId="24564"/>
    <cellStyle name="常规 5 2 2 17" xfId="24565"/>
    <cellStyle name="常规 5 2 2 18" xfId="24566"/>
    <cellStyle name="常规 5 2 2 19" xfId="24567"/>
    <cellStyle name="常规 5 2 2 2" xfId="24568"/>
    <cellStyle name="常规 5 2 2 2 10" xfId="11515"/>
    <cellStyle name="常规 5 2 2 2 10 2" xfId="8947"/>
    <cellStyle name="常规 5 2 2 2 10 2 2" xfId="24569"/>
    <cellStyle name="常规 5 2 2 2 10 3" xfId="15032"/>
    <cellStyle name="常规 5 2 2 2 10 4" xfId="15040"/>
    <cellStyle name="常规 5 2 2 2 11" xfId="11517"/>
    <cellStyle name="常规 5 2 2 2 11 2" xfId="24570"/>
    <cellStyle name="常规 5 2 2 2 12" xfId="24571"/>
    <cellStyle name="常规 5 2 2 2 13" xfId="24572"/>
    <cellStyle name="常规 5 2 2 2 2" xfId="24573"/>
    <cellStyle name="常规 5 2 2 2 2 10" xfId="18669"/>
    <cellStyle name="常规 5 2 2 2 2 10 2" xfId="21276"/>
    <cellStyle name="常规 5 2 2 2 2 11" xfId="18675"/>
    <cellStyle name="常规 5 2 2 2 2 12" xfId="24575"/>
    <cellStyle name="常规 5 2 2 2 2 2" xfId="24577"/>
    <cellStyle name="常规 5 2 2 2 2 2 10" xfId="24579"/>
    <cellStyle name="常规 5 2 2 2 2 2 11" xfId="24581"/>
    <cellStyle name="常规 5 2 2 2 2 2 2" xfId="24583"/>
    <cellStyle name="常规 5 2 2 2 2 2 2 2" xfId="24585"/>
    <cellStyle name="常规 5 2 2 2 2 2 2 2 2" xfId="24589"/>
    <cellStyle name="常规 5 2 2 2 2 2 2 2 2 2" xfId="24593"/>
    <cellStyle name="常规 5 2 2 2 2 2 2 2 2 2 2" xfId="24595"/>
    <cellStyle name="常规 5 2 2 2 2 2 2 2 2 2 2 2" xfId="24604"/>
    <cellStyle name="常规 5 2 2 2 2 2 2 2 2 2 2 2 2" xfId="24607"/>
    <cellStyle name="常规 5 2 2 2 2 2 2 2 2 2 2 2 2 2" xfId="18214"/>
    <cellStyle name="常规 5 2 2 2 2 2 2 2 2 2 2 2 3" xfId="24608"/>
    <cellStyle name="常规 5 2 2 2 2 2 2 2 2 2 2 2 4" xfId="24609"/>
    <cellStyle name="常规 5 2 2 2 2 2 2 2 2 2 2 3" xfId="24613"/>
    <cellStyle name="常规 5 2 2 2 2 2 2 2 2 2 2 3 2" xfId="24614"/>
    <cellStyle name="常规 5 2 2 2 2 2 2 2 2 2 2 4" xfId="24617"/>
    <cellStyle name="常规 5 2 2 2 2 2 2 2 2 2 2 5" xfId="20436"/>
    <cellStyle name="常规 5 2 2 2 2 2 2 2 2 2 3" xfId="24622"/>
    <cellStyle name="常规 5 2 2 2 2 2 2 2 2 2 3 2" xfId="24625"/>
    <cellStyle name="常规 5 2 2 2 2 2 2 2 2 2 3 2 2" xfId="22944"/>
    <cellStyle name="常规 5 2 2 2 2 2 2 2 2 2 3 3" xfId="24626"/>
    <cellStyle name="常规 5 2 2 2 2 2 2 2 2 2 3 4" xfId="24627"/>
    <cellStyle name="常规 5 2 2 2 2 2 2 2 2 2 4" xfId="24631"/>
    <cellStyle name="常规 5 2 2 2 2 2 2 2 2 2 4 2" xfId="24632"/>
    <cellStyle name="常规 5 2 2 2 2 2 2 2 2 2 5" xfId="10994"/>
    <cellStyle name="常规 5 2 2 2 2 2 2 2 2 2 6" xfId="11098"/>
    <cellStyle name="常规 5 2 2 2 2 2 2 2 2 3" xfId="19330"/>
    <cellStyle name="常规 5 2 2 2 2 2 2 2 2 3 2" xfId="19336"/>
    <cellStyle name="常规 5 2 2 2 2 2 2 2 2 3 2 2" xfId="24635"/>
    <cellStyle name="常规 5 2 2 2 2 2 2 2 2 3 2 2 2" xfId="24636"/>
    <cellStyle name="常规 5 2 2 2 2 2 2 2 2 3 2 3" xfId="24638"/>
    <cellStyle name="常规 5 2 2 2 2 2 2 2 2 3 2 4" xfId="24640"/>
    <cellStyle name="常规 5 2 2 2 2 2 2 2 2 3 3" xfId="24646"/>
    <cellStyle name="常规 5 2 2 2 2 2 2 2 2 3 3 2" xfId="24648"/>
    <cellStyle name="常规 5 2 2 2 2 2 2 2 2 3 4" xfId="24652"/>
    <cellStyle name="常规 5 2 2 2 2 2 2 2 2 3 5" xfId="11179"/>
    <cellStyle name="常规 5 2 2 2 2 2 2 2 2 4" xfId="19341"/>
    <cellStyle name="常规 5 2 2 2 2 2 2 2 2 4 2" xfId="24655"/>
    <cellStyle name="常规 5 2 2 2 2 2 2 2 2 4 2 2" xfId="24656"/>
    <cellStyle name="常规 5 2 2 2 2 2 2 2 2 4 3" xfId="24658"/>
    <cellStyle name="常规 5 2 2 2 2 2 2 2 2 4 4" xfId="24660"/>
    <cellStyle name="常规 5 2 2 2 2 2 2 2 2 5" xfId="19345"/>
    <cellStyle name="常规 5 2 2 2 2 2 2 2 2 5 2" xfId="24661"/>
    <cellStyle name="常规 5 2 2 2 2 2 2 2 2 6" xfId="24667"/>
    <cellStyle name="常规 5 2 2 2 2 2 2 2 2 7" xfId="24668"/>
    <cellStyle name="常规 5 2 2 2 2 2 2 2 3" xfId="21952"/>
    <cellStyle name="常规 5 2 2 2 2 2 2 2 3 2" xfId="21957"/>
    <cellStyle name="常规 5 2 2 2 2 2 2 2 3 2 2" xfId="24673"/>
    <cellStyle name="常规 5 2 2 2 2 2 2 2 3 2 2 2" xfId="24676"/>
    <cellStyle name="常规 5 2 2 2 2 2 2 2 3 2 2 2 2" xfId="24678"/>
    <cellStyle name="常规 5 2 2 2 2 2 2 2 3 2 2 3" xfId="24679"/>
    <cellStyle name="常规 5 2 2 2 2 2 2 2 3 2 2 4" xfId="24681"/>
    <cellStyle name="常规 5 2 2 2 2 2 2 2 3 2 3" xfId="24685"/>
    <cellStyle name="常规 5 2 2 2 2 2 2 2 3 2 3 2" xfId="24688"/>
    <cellStyle name="常规 5 2 2 2 2 2 2 2 3 2 4" xfId="24691"/>
    <cellStyle name="常规 5 2 2 2 2 2 2 2 3 2 5" xfId="11981"/>
    <cellStyle name="常规 5 2 2 2 2 2 2 2 3 3" xfId="19350"/>
    <cellStyle name="常规 5 2 2 2 2 2 2 2 3 3 2" xfId="24694"/>
    <cellStyle name="常规 5 2 2 2 2 2 2 2 3 3 2 2" xfId="24695"/>
    <cellStyle name="常规 5 2 2 2 2 2 2 2 3 3 3" xfId="24697"/>
    <cellStyle name="常规 5 2 2 2 2 2 2 2 3 3 4" xfId="24698"/>
    <cellStyle name="常规 5 2 2 2 2 2 2 2 3 4" xfId="24701"/>
    <cellStyle name="常规 5 2 2 2 2 2 2 2 3 4 2" xfId="24702"/>
    <cellStyle name="常规 5 2 2 2 2 2 2 2 3 5" xfId="24705"/>
    <cellStyle name="常规 5 2 2 2 2 2 2 2 3 6" xfId="10050"/>
    <cellStyle name="常规 5 2 2 2 2 2 2 2 4" xfId="21962"/>
    <cellStyle name="常规 5 2 2 2 2 2 2 2 4 2" xfId="24708"/>
    <cellStyle name="常规 5 2 2 2 2 2 2 2 4 2 2" xfId="24711"/>
    <cellStyle name="常规 5 2 2 2 2 2 2 2 4 2 2 2" xfId="24713"/>
    <cellStyle name="常规 5 2 2 2 2 2 2 2 4 2 3" xfId="24714"/>
    <cellStyle name="常规 5 2 2 2 2 2 2 2 4 2 4" xfId="24716"/>
    <cellStyle name="常规 5 2 2 2 2 2 2 2 4 3" xfId="24719"/>
    <cellStyle name="常规 5 2 2 2 2 2 2 2 4 3 2" xfId="24720"/>
    <cellStyle name="常规 5 2 2 2 2 2 2 2 4 4" xfId="24725"/>
    <cellStyle name="常规 5 2 2 2 2 2 2 2 4 5" xfId="24726"/>
    <cellStyle name="常规 5 2 2 2 2 2 2 2 5" xfId="21967"/>
    <cellStyle name="常规 5 2 2 2 2 2 2 2 5 2" xfId="20565"/>
    <cellStyle name="常规 5 2 2 2 2 2 2 2 5 2 2" xfId="20566"/>
    <cellStyle name="常规 5 2 2 2 2 2 2 2 5 3" xfId="20570"/>
    <cellStyle name="常规 5 2 2 2 2 2 2 2 5 4" xfId="20573"/>
    <cellStyle name="常规 5 2 2 2 2 2 2 2 6" xfId="24730"/>
    <cellStyle name="常规 5 2 2 2 2 2 2 2 6 2" xfId="20583"/>
    <cellStyle name="常规 5 2 2 2 2 2 2 2 7" xfId="24735"/>
    <cellStyle name="常规 5 2 2 2 2 2 2 2 8" xfId="24738"/>
    <cellStyle name="常规 5 2 2 2 2 2 2 3" xfId="24741"/>
    <cellStyle name="常规 5 2 2 2 2 2 2 3 2" xfId="24746"/>
    <cellStyle name="常规 5 2 2 2 2 2 2 3 2 2" xfId="24750"/>
    <cellStyle name="常规 5 2 2 2 2 2 2 3 2 2 2" xfId="24756"/>
    <cellStyle name="常规 5 2 2 2 2 2 2 3 2 2 2 2" xfId="24758"/>
    <cellStyle name="常规 5 2 2 2 2 2 2 3 2 2 2 2 2" xfId="24759"/>
    <cellStyle name="常规 5 2 2 2 2 2 2 3 2 2 2 3" xfId="24760"/>
    <cellStyle name="常规 5 2 2 2 2 2 2 3 2 2 2 4" xfId="24761"/>
    <cellStyle name="常规 5 2 2 2 2 2 2 3 2 2 3" xfId="6571"/>
    <cellStyle name="常规 5 2 2 2 2 2 2 3 2 2 3 2" xfId="24762"/>
    <cellStyle name="常规 5 2 2 2 2 2 2 3 2 2 4" xfId="24764"/>
    <cellStyle name="常规 5 2 2 2 2 2 2 3 2 2 5" xfId="13642"/>
    <cellStyle name="常规 5 2 2 2 2 2 2 3 2 3" xfId="1470"/>
    <cellStyle name="常规 5 2 2 2 2 2 2 3 2 3 2" xfId="24766"/>
    <cellStyle name="常规 5 2 2 2 2 2 2 3 2 3 2 2" xfId="24767"/>
    <cellStyle name="常规 5 2 2 2 2 2 2 3 2 3 3" xfId="24769"/>
    <cellStyle name="常规 5 2 2 2 2 2 2 3 2 3 4" xfId="24770"/>
    <cellStyle name="常规 5 2 2 2 2 2 2 3 2 4" xfId="24774"/>
    <cellStyle name="常规 5 2 2 2 2 2 2 3 2 4 2" xfId="24776"/>
    <cellStyle name="常规 5 2 2 2 2 2 2 3 2 5" xfId="24779"/>
    <cellStyle name="常规 5 2 2 2 2 2 2 3 2 6" xfId="24780"/>
    <cellStyle name="常规 5 2 2 2 2 2 2 3 3" xfId="21973"/>
    <cellStyle name="常规 5 2 2 2 2 2 2 3 3 2" xfId="24784"/>
    <cellStyle name="常规 5 2 2 2 2 2 2 3 3 2 2" xfId="24786"/>
    <cellStyle name="常规 5 2 2 2 2 2 2 3 3 2 2 2" xfId="24789"/>
    <cellStyle name="常规 5 2 2 2 2 2 2 3 3 2 3" xfId="24790"/>
    <cellStyle name="常规 5 2 2 2 2 2 2 3 3 2 4" xfId="24791"/>
    <cellStyle name="常规 5 2 2 2 2 2 2 3 3 3" xfId="24793"/>
    <cellStyle name="常规 5 2 2 2 2 2 2 3 3 3 2" xfId="24794"/>
    <cellStyle name="常规 5 2 2 2 2 2 2 3 3 4" xfId="24796"/>
    <cellStyle name="常规 5 2 2 2 2 2 2 3 3 5" xfId="24797"/>
    <cellStyle name="常规 5 2 2 2 2 2 2 3 4" xfId="24801"/>
    <cellStyle name="常规 5 2 2 2 2 2 2 3 4 2" xfId="24803"/>
    <cellStyle name="常规 5 2 2 2 2 2 2 3 4 2 2" xfId="24805"/>
    <cellStyle name="常规 5 2 2 2 2 2 2 3 4 3" xfId="24807"/>
    <cellStyle name="常规 5 2 2 2 2 2 2 3 4 4" xfId="24808"/>
    <cellStyle name="常规 5 2 2 2 2 2 2 3 5" xfId="24812"/>
    <cellStyle name="常规 5 2 2 2 2 2 2 3 5 2" xfId="20613"/>
    <cellStyle name="常规 5 2 2 2 2 2 2 3 6" xfId="24816"/>
    <cellStyle name="常规 5 2 2 2 2 2 2 3 7" xfId="24817"/>
    <cellStyle name="常规 5 2 2 2 2 2 2 4" xfId="24819"/>
    <cellStyle name="常规 5 2 2 2 2 2 2 4 2" xfId="24823"/>
    <cellStyle name="常规 5 2 2 2 2 2 2 4 2 2" xfId="24827"/>
    <cellStyle name="常规 5 2 2 2 2 2 2 4 2 2 2" xfId="9317"/>
    <cellStyle name="常规 5 2 2 2 2 2 2 4 2 2 2 2" xfId="9318"/>
    <cellStyle name="常规 5 2 2 2 2 2 2 4 2 2 3" xfId="9348"/>
    <cellStyle name="常规 5 2 2 2 2 2 2 4 2 2 4" xfId="9353"/>
    <cellStyle name="常规 5 2 2 2 2 2 2 4 2 3" xfId="24830"/>
    <cellStyle name="常规 5 2 2 2 2 2 2 4 2 3 2" xfId="9401"/>
    <cellStyle name="常规 5 2 2 2 2 2 2 4 2 4" xfId="24835"/>
    <cellStyle name="常规 5 2 2 2 2 2 2 4 2 5" xfId="24836"/>
    <cellStyle name="常规 5 2 2 2 2 2 2 4 3" xfId="24840"/>
    <cellStyle name="常规 5 2 2 2 2 2 2 4 3 2" xfId="24843"/>
    <cellStyle name="常规 5 2 2 2 2 2 2 4 3 2 2" xfId="9564"/>
    <cellStyle name="常规 5 2 2 2 2 2 2 4 3 3" xfId="24844"/>
    <cellStyle name="常规 5 2 2 2 2 2 2 4 3 4" xfId="24845"/>
    <cellStyle name="常规 5 2 2 2 2 2 2 4 4" xfId="24849"/>
    <cellStyle name="常规 5 2 2 2 2 2 2 4 4 2" xfId="24850"/>
    <cellStyle name="常规 5 2 2 2 2 2 2 4 5" xfId="24853"/>
    <cellStyle name="常规 5 2 2 2 2 2 2 4 6" xfId="8447"/>
    <cellStyle name="常规 5 2 2 2 2 2 2 5" xfId="24856"/>
    <cellStyle name="常规 5 2 2 2 2 2 2 5 2" xfId="24861"/>
    <cellStyle name="常规 5 2 2 2 2 2 2 5 2 2" xfId="24865"/>
    <cellStyle name="常规 5 2 2 2 2 2 2 5 2 2 2" xfId="24867"/>
    <cellStyle name="常规 5 2 2 2 2 2 2 5 2 3" xfId="24868"/>
    <cellStyle name="常规 5 2 2 2 2 2 2 5 2 4" xfId="3575"/>
    <cellStyle name="常规 5 2 2 2 2 2 2 5 3" xfId="22388"/>
    <cellStyle name="常规 5 2 2 2 2 2 2 5 3 2" xfId="24869"/>
    <cellStyle name="常规 5 2 2 2 2 2 2 5 4" xfId="24873"/>
    <cellStyle name="常规 5 2 2 2 2 2 2 5 5" xfId="24874"/>
    <cellStyle name="常规 5 2 2 2 2 2 2 6" xfId="23862"/>
    <cellStyle name="常规 5 2 2 2 2 2 2 6 2" xfId="13944"/>
    <cellStyle name="常规 5 2 2 2 2 2 2 6 2 2" xfId="24877"/>
    <cellStyle name="常规 5 2 2 2 2 2 2 6 3" xfId="13950"/>
    <cellStyle name="常规 5 2 2 2 2 2 2 6 4" xfId="24880"/>
    <cellStyle name="常规 5 2 2 2 2 2 2 7" xfId="24885"/>
    <cellStyle name="常规 5 2 2 2 2 2 2 7 2" xfId="13981"/>
    <cellStyle name="常规 5 2 2 2 2 2 2 8" xfId="24890"/>
    <cellStyle name="常规 5 2 2 2 2 2 2 9" xfId="24893"/>
    <cellStyle name="常规 5 2 2 2 2 2 3" xfId="16004"/>
    <cellStyle name="常规 5 2 2 2 2 2 3 2" xfId="24895"/>
    <cellStyle name="常规 5 2 2 2 2 2 3 2 2" xfId="24899"/>
    <cellStyle name="常规 5 2 2 2 2 2 3 2 2 2" xfId="19473"/>
    <cellStyle name="常规 5 2 2 2 2 2 3 2 2 2 2" xfId="24904"/>
    <cellStyle name="常规 5 2 2 2 2 2 3 2 2 2 2 2" xfId="24907"/>
    <cellStyle name="常规 5 2 2 2 2 2 3 2 2 2 2 2 2" xfId="18490"/>
    <cellStyle name="常规 5 2 2 2 2 2 3 2 2 2 2 2 2 2" xfId="24908"/>
    <cellStyle name="常规 5 2 2 2 2 2 3 2 2 2 2 2 3" xfId="18492"/>
    <cellStyle name="常规 5 2 2 2 2 2 3 2 2 2 2 2 4" xfId="24910"/>
    <cellStyle name="常规 5 2 2 2 2 2 3 2 2 2 2 3" xfId="24913"/>
    <cellStyle name="常规 5 2 2 2 2 2 3 2 2 2 2 3 2" xfId="24914"/>
    <cellStyle name="常规 5 2 2 2 2 2 3 2 2 2 2 4" xfId="24915"/>
    <cellStyle name="常规 5 2 2 2 2 2 3 2 2 2 2 5" xfId="24916"/>
    <cellStyle name="常规 5 2 2 2 2 2 3 2 2 2 3" xfId="3562"/>
    <cellStyle name="常规 5 2 2 2 2 2 3 2 2 2 3 2" xfId="24917"/>
    <cellStyle name="常规 5 2 2 2 2 2 3 2 2 2 3 2 2" xfId="24918"/>
    <cellStyle name="常规 5 2 2 2 2 2 3 2 2 2 3 3" xfId="24919"/>
    <cellStyle name="常规 5 2 2 2 2 2 3 2 2 2 3 4" xfId="23611"/>
    <cellStyle name="常规 5 2 2 2 2 2 3 2 2 2 4" xfId="24921"/>
    <cellStyle name="常规 5 2 2 2 2 2 3 2 2 2 4 2" xfId="24922"/>
    <cellStyle name="常规 5 2 2 2 2 2 3 2 2 2 5" xfId="24923"/>
    <cellStyle name="常规 5 2 2 2 2 2 3 2 2 2 6" xfId="3970"/>
    <cellStyle name="常规 5 2 2 2 2 2 3 2 2 3" xfId="19376"/>
    <cellStyle name="常规 5 2 2 2 2 2 3 2 2 3 2" xfId="24925"/>
    <cellStyle name="常规 5 2 2 2 2 2 3 2 2 3 2 2" xfId="24926"/>
    <cellStyle name="常规 5 2 2 2 2 2 3 2 2 3 2 2 2" xfId="24927"/>
    <cellStyle name="常规 5 2 2 2 2 2 3 2 2 3 2 3" xfId="24929"/>
    <cellStyle name="常规 5 2 2 2 2 2 3 2 2 3 2 4" xfId="24930"/>
    <cellStyle name="常规 5 2 2 2 2 2 3 2 2 3 3" xfId="24932"/>
    <cellStyle name="常规 5 2 2 2 2 2 3 2 2 3 3 2" xfId="24933"/>
    <cellStyle name="常规 5 2 2 2 2 2 3 2 2 3 4" xfId="23069"/>
    <cellStyle name="常规 5 2 2 2 2 2 3 2 2 3 5" xfId="24934"/>
    <cellStyle name="常规 5 2 2 2 2 2 3 2 2 4" xfId="24938"/>
    <cellStyle name="常规 5 2 2 2 2 2 3 2 2 4 2" xfId="24939"/>
    <cellStyle name="常规 5 2 2 2 2 2 3 2 2 4 2 2" xfId="24940"/>
    <cellStyle name="常规 5 2 2 2 2 2 3 2 2 4 3" xfId="24941"/>
    <cellStyle name="常规 5 2 2 2 2 2 3 2 2 4 4" xfId="24942"/>
    <cellStyle name="常规 5 2 2 2 2 2 3 2 2 5" xfId="20271"/>
    <cellStyle name="常规 5 2 2 2 2 2 3 2 2 5 2" xfId="20273"/>
    <cellStyle name="常规 5 2 2 2 2 2 3 2 2 6" xfId="20284"/>
    <cellStyle name="常规 5 2 2 2 2 2 3 2 2 7" xfId="20289"/>
    <cellStyle name="常规 5 2 2 2 2 2 3 2 3" xfId="21984"/>
    <cellStyle name="常规 5 2 2 2 2 2 3 2 3 2" xfId="24946"/>
    <cellStyle name="常规 5 2 2 2 2 2 3 2 3 2 2" xfId="24948"/>
    <cellStyle name="常规 5 2 2 2 2 2 3 2 3 2 2 2" xfId="24949"/>
    <cellStyle name="常规 5 2 2 2 2 2 3 2 3 2 2 2 2" xfId="24950"/>
    <cellStyle name="常规 5 2 2 2 2 2 3 2 3 2 2 3" xfId="24951"/>
    <cellStyle name="常规 5 2 2 2 2 2 3 2 3 2 2 4" xfId="24952"/>
    <cellStyle name="常规 5 2 2 2 2 2 3 2 3 2 3" xfId="24953"/>
    <cellStyle name="常规 5 2 2 2 2 2 3 2 3 2 3 2" xfId="24955"/>
    <cellStyle name="常规 5 2 2 2 2 2 3 2 3 2 4" xfId="24956"/>
    <cellStyle name="常规 5 2 2 2 2 2 3 2 3 2 5" xfId="24957"/>
    <cellStyle name="常规 5 2 2 2 2 2 3 2 3 3" xfId="24959"/>
    <cellStyle name="常规 5 2 2 2 2 2 3 2 3 3 2" xfId="24960"/>
    <cellStyle name="常规 5 2 2 2 2 2 3 2 3 3 2 2" xfId="24961"/>
    <cellStyle name="常规 5 2 2 2 2 2 3 2 3 3 3" xfId="24962"/>
    <cellStyle name="常规 5 2 2 2 2 2 3 2 3 3 4" xfId="24963"/>
    <cellStyle name="常规 5 2 2 2 2 2 3 2 3 4" xfId="2447"/>
    <cellStyle name="常规 5 2 2 2 2 2 3 2 3 4 2" xfId="13223"/>
    <cellStyle name="常规 5 2 2 2 2 2 3 2 3 5" xfId="13225"/>
    <cellStyle name="常规 5 2 2 2 2 2 3 2 3 6" xfId="10113"/>
    <cellStyle name="常规 5 2 2 2 2 2 3 2 4" xfId="24967"/>
    <cellStyle name="常规 5 2 2 2 2 2 3 2 4 2" xfId="24969"/>
    <cellStyle name="常规 5 2 2 2 2 2 3 2 4 2 2" xfId="24970"/>
    <cellStyle name="常规 5 2 2 2 2 2 3 2 4 2 2 2" xfId="24971"/>
    <cellStyle name="常规 5 2 2 2 2 2 3 2 4 2 3" xfId="24972"/>
    <cellStyle name="常规 5 2 2 2 2 2 3 2 4 2 4" xfId="24973"/>
    <cellStyle name="常规 5 2 2 2 2 2 3 2 4 3" xfId="24974"/>
    <cellStyle name="常规 5 2 2 2 2 2 3 2 4 3 2" xfId="24975"/>
    <cellStyle name="常规 5 2 2 2 2 2 3 2 4 4" xfId="13231"/>
    <cellStyle name="常规 5 2 2 2 2 2 3 2 4 5" xfId="20300"/>
    <cellStyle name="常规 5 2 2 2 2 2 3 2 5" xfId="24979"/>
    <cellStyle name="常规 5 2 2 2 2 2 3 2 5 2" xfId="20956"/>
    <cellStyle name="常规 5 2 2 2 2 2 3 2 5 2 2" xfId="20958"/>
    <cellStyle name="常规 5 2 2 2 2 2 3 2 5 3" xfId="20960"/>
    <cellStyle name="常规 5 2 2 2 2 2 3 2 5 4" xfId="20962"/>
    <cellStyle name="常规 5 2 2 2 2 2 3 2 6" xfId="24983"/>
    <cellStyle name="常规 5 2 2 2 2 2 3 2 6 2" xfId="20966"/>
    <cellStyle name="常规 5 2 2 2 2 2 3 2 7" xfId="24984"/>
    <cellStyle name="常规 5 2 2 2 2 2 3 2 8" xfId="24985"/>
    <cellStyle name="常规 5 2 2 2 2 2 3 3" xfId="24987"/>
    <cellStyle name="常规 5 2 2 2 2 2 3 3 2" xfId="24991"/>
    <cellStyle name="常规 5 2 2 2 2 2 3 3 2 2" xfId="24995"/>
    <cellStyle name="常规 5 2 2 2 2 2 3 3 2 2 2" xfId="24999"/>
    <cellStyle name="常规 5 2 2 2 2 2 3 3 2 2 2 2" xfId="25000"/>
    <cellStyle name="常规 5 2 2 2 2 2 3 3 2 2 2 2 2" xfId="25001"/>
    <cellStyle name="常规 5 2 2 2 2 2 3 3 2 2 2 3" xfId="25002"/>
    <cellStyle name="常规 5 2 2 2 2 2 3 3 2 2 2 4" xfId="25003"/>
    <cellStyle name="常规 5 2 2 2 2 2 3 3 2 2 3" xfId="25004"/>
    <cellStyle name="常规 5 2 2 2 2 2 3 3 2 2 3 2" xfId="5653"/>
    <cellStyle name="常规 5 2 2 2 2 2 3 3 2 2 4" xfId="25005"/>
    <cellStyle name="常规 5 2 2 2 2 2 3 3 2 2 5" xfId="8234"/>
    <cellStyle name="常规 5 2 2 2 2 2 3 3 2 3" xfId="25008"/>
    <cellStyle name="常规 5 2 2 2 2 2 3 3 2 3 2" xfId="25009"/>
    <cellStyle name="常规 5 2 2 2 2 2 3 3 2 3 2 2" xfId="25010"/>
    <cellStyle name="常规 5 2 2 2 2 2 3 3 2 3 3" xfId="14204"/>
    <cellStyle name="常规 5 2 2 2 2 2 3 3 2 3 4" xfId="23263"/>
    <cellStyle name="常规 5 2 2 2 2 2 3 3 2 4" xfId="17257"/>
    <cellStyle name="常规 5 2 2 2 2 2 3 3 2 4 2" xfId="25011"/>
    <cellStyle name="常规 5 2 2 2 2 2 3 3 2 5" xfId="20315"/>
    <cellStyle name="常规 5 2 2 2 2 2 3 3 2 6" xfId="20320"/>
    <cellStyle name="常规 5 2 2 2 2 2 3 3 3" xfId="25015"/>
    <cellStyle name="常规 5 2 2 2 2 2 3 3 3 2" xfId="25018"/>
    <cellStyle name="常规 5 2 2 2 2 2 3 3 3 2 2" xfId="25019"/>
    <cellStyle name="常规 5 2 2 2 2 2 3 3 3 2 2 2" xfId="25020"/>
    <cellStyle name="常规 5 2 2 2 2 2 3 3 3 2 3" xfId="25021"/>
    <cellStyle name="常规 5 2 2 2 2 2 3 3 3 2 4" xfId="25022"/>
    <cellStyle name="常规 5 2 2 2 2 2 3 3 3 3" xfId="25023"/>
    <cellStyle name="常规 5 2 2 2 2 2 3 3 3 3 2" xfId="25024"/>
    <cellStyle name="常规 5 2 2 2 2 2 3 3 3 4" xfId="13239"/>
    <cellStyle name="常规 5 2 2 2 2 2 3 3 3 5" xfId="20324"/>
    <cellStyle name="常规 5 2 2 2 2 2 3 3 4" xfId="25028"/>
    <cellStyle name="常规 5 2 2 2 2 2 3 3 4 2" xfId="25029"/>
    <cellStyle name="常规 5 2 2 2 2 2 3 3 4 2 2" xfId="25031"/>
    <cellStyle name="常规 5 2 2 2 2 2 3 3 4 3" xfId="25033"/>
    <cellStyle name="常规 5 2 2 2 2 2 3 3 4 4" xfId="25034"/>
    <cellStyle name="常规 5 2 2 2 2 2 3 3 5" xfId="25037"/>
    <cellStyle name="常规 5 2 2 2 2 2 3 3 5 2" xfId="20983"/>
    <cellStyle name="常规 5 2 2 2 2 2 3 3 6" xfId="25038"/>
    <cellStyle name="常规 5 2 2 2 2 2 3 3 7" xfId="25039"/>
    <cellStyle name="常规 5 2 2 2 2 2 3 4" xfId="25041"/>
    <cellStyle name="常规 5 2 2 2 2 2 3 4 2" xfId="25045"/>
    <cellStyle name="常规 5 2 2 2 2 2 3 4 2 2" xfId="25049"/>
    <cellStyle name="常规 5 2 2 2 2 2 3 4 2 2 2" xfId="15432"/>
    <cellStyle name="常规 5 2 2 2 2 2 3 4 2 2 2 2" xfId="15433"/>
    <cellStyle name="常规 5 2 2 2 2 2 3 4 2 2 3" xfId="15457"/>
    <cellStyle name="常规 5 2 2 2 2 2 3 4 2 2 4" xfId="15460"/>
    <cellStyle name="常规 5 2 2 2 2 2 3 4 2 3" xfId="25050"/>
    <cellStyle name="常规 5 2 2 2 2 2 3 4 2 3 2" xfId="15572"/>
    <cellStyle name="常规 5 2 2 2 2 2 3 4 2 4" xfId="25051"/>
    <cellStyle name="常规 5 2 2 2 2 2 3 4 2 5" xfId="20336"/>
    <cellStyle name="常规 5 2 2 2 2 2 3 4 3" xfId="25055"/>
    <cellStyle name="常规 5 2 2 2 2 2 3 4 3 2" xfId="25056"/>
    <cellStyle name="常规 5 2 2 2 2 2 3 4 3 2 2" xfId="15746"/>
    <cellStyle name="常规 5 2 2 2 2 2 3 4 3 3" xfId="25057"/>
    <cellStyle name="常规 5 2 2 2 2 2 3 4 3 4" xfId="25058"/>
    <cellStyle name="常规 5 2 2 2 2 2 3 4 4" xfId="25061"/>
    <cellStyle name="常规 5 2 2 2 2 2 3 4 4 2" xfId="25062"/>
    <cellStyle name="常规 5 2 2 2 2 2 3 4 5" xfId="25063"/>
    <cellStyle name="常规 5 2 2 2 2 2 3 4 6" xfId="8459"/>
    <cellStyle name="常规 5 2 2 2 2 2 3 5" xfId="4605"/>
    <cellStyle name="常规 5 2 2 2 2 2 3 5 2" xfId="25068"/>
    <cellStyle name="常规 5 2 2 2 2 2 3 5 2 2" xfId="25069"/>
    <cellStyle name="常规 5 2 2 2 2 2 3 5 2 2 2" xfId="4346"/>
    <cellStyle name="常规 5 2 2 2 2 2 3 5 2 3" xfId="16712"/>
    <cellStyle name="常规 5 2 2 2 2 2 3 5 2 4" xfId="16714"/>
    <cellStyle name="常规 5 2 2 2 2 2 3 5 3" xfId="25071"/>
    <cellStyle name="常规 5 2 2 2 2 2 3 5 3 2" xfId="25072"/>
    <cellStyle name="常规 5 2 2 2 2 2 3 5 4" xfId="25073"/>
    <cellStyle name="常规 5 2 2 2 2 2 3 5 5" xfId="25074"/>
    <cellStyle name="常规 5 2 2 2 2 2 3 6" xfId="25078"/>
    <cellStyle name="常规 5 2 2 2 2 2 3 6 2" xfId="14029"/>
    <cellStyle name="常规 5 2 2 2 2 2 3 6 2 2" xfId="25080"/>
    <cellStyle name="常规 5 2 2 2 2 2 3 6 3" xfId="16789"/>
    <cellStyle name="常规 5 2 2 2 2 2 3 6 4" xfId="25083"/>
    <cellStyle name="常规 5 2 2 2 2 2 3 7" xfId="25088"/>
    <cellStyle name="常规 5 2 2 2 2 2 3 7 2" xfId="25091"/>
    <cellStyle name="常规 5 2 2 2 2 2 3 8" xfId="25094"/>
    <cellStyle name="常规 5 2 2 2 2 2 3 9" xfId="25097"/>
    <cellStyle name="常规 5 2 2 2 2 2 4" xfId="25099"/>
    <cellStyle name="常规 5 2 2 2 2 2 4 2" xfId="25101"/>
    <cellStyle name="常规 5 2 2 2 2 2 4 2 2" xfId="25105"/>
    <cellStyle name="常规 5 2 2 2 2 2 4 2 2 2" xfId="25109"/>
    <cellStyle name="常规 5 2 2 2 2 2 4 2 2 2 2" xfId="25113"/>
    <cellStyle name="常规 5 2 2 2 2 2 4 2 2 2 2 2" xfId="20364"/>
    <cellStyle name="常规 5 2 2 2 2 2 4 2 2 2 2 2 2" xfId="20365"/>
    <cellStyle name="常规 5 2 2 2 2 2 4 2 2 2 2 3" xfId="20369"/>
    <cellStyle name="常规 5 2 2 2 2 2 4 2 2 2 2 4" xfId="18605"/>
    <cellStyle name="常规 5 2 2 2 2 2 4 2 2 2 3" xfId="10156"/>
    <cellStyle name="常规 5 2 2 2 2 2 4 2 2 2 3 2" xfId="20375"/>
    <cellStyle name="常规 5 2 2 2 2 2 4 2 2 2 4" xfId="194"/>
    <cellStyle name="常规 5 2 2 2 2 2 4 2 2 2 5" xfId="25114"/>
    <cellStyle name="常规 5 2 2 2 2 2 4 2 2 3" xfId="25116"/>
    <cellStyle name="常规 5 2 2 2 2 2 4 2 2 3 2" xfId="25118"/>
    <cellStyle name="常规 5 2 2 2 2 2 4 2 2 3 2 2" xfId="20388"/>
    <cellStyle name="常规 5 2 2 2 2 2 4 2 2 3 3" xfId="25120"/>
    <cellStyle name="常规 5 2 2 2 2 2 4 2 2 3 4" xfId="24224"/>
    <cellStyle name="常规 5 2 2 2 2 2 4 2 2 4" xfId="25122"/>
    <cellStyle name="常规 5 2 2 2 2 2 4 2 2 4 2" xfId="25123"/>
    <cellStyle name="常规 5 2 2 2 2 2 4 2 2 5" xfId="20356"/>
    <cellStyle name="常规 5 2 2 2 2 2 4 2 2 6" xfId="20363"/>
    <cellStyle name="常规 5 2 2 2 2 2 4 2 3" xfId="25127"/>
    <cellStyle name="常规 5 2 2 2 2 2 4 2 3 2" xfId="25129"/>
    <cellStyle name="常规 5 2 2 2 2 2 4 2 3 2 2" xfId="21335"/>
    <cellStyle name="常规 5 2 2 2 2 2 4 2 3 2 2 2" xfId="20409"/>
    <cellStyle name="常规 5 2 2 2 2 2 4 2 3 2 3" xfId="21341"/>
    <cellStyle name="常规 5 2 2 2 2 2 4 2 3 2 4" xfId="21343"/>
    <cellStyle name="常规 5 2 2 2 2 2 4 2 3 3" xfId="25130"/>
    <cellStyle name="常规 5 2 2 2 2 2 4 2 3 3 2" xfId="21352"/>
    <cellStyle name="常规 5 2 2 2 2 2 4 2 3 4" xfId="13253"/>
    <cellStyle name="常规 5 2 2 2 2 2 4 2 3 5" xfId="20372"/>
    <cellStyle name="常规 5 2 2 2 2 2 4 2 4" xfId="25134"/>
    <cellStyle name="常规 5 2 2 2 2 2 4 2 4 2" xfId="25135"/>
    <cellStyle name="常规 5 2 2 2 2 2 4 2 4 2 2" xfId="21533"/>
    <cellStyle name="常规 5 2 2 2 2 2 4 2 4 3" xfId="25136"/>
    <cellStyle name="常规 5 2 2 2 2 2 4 2 4 4" xfId="25137"/>
    <cellStyle name="常规 5 2 2 2 2 2 4 2 5" xfId="25140"/>
    <cellStyle name="常规 5 2 2 2 2 2 4 2 5 2" xfId="25141"/>
    <cellStyle name="常规 5 2 2 2 2 2 4 2 6" xfId="25142"/>
    <cellStyle name="常规 5 2 2 2 2 2 4 2 7" xfId="25143"/>
    <cellStyle name="常规 5 2 2 2 2 2 4 3" xfId="25145"/>
    <cellStyle name="常规 5 2 2 2 2 2 4 3 2" xfId="25149"/>
    <cellStyle name="常规 5 2 2 2 2 2 4 3 2 2" xfId="25151"/>
    <cellStyle name="常规 5 2 2 2 2 2 4 3 2 2 2" xfId="25153"/>
    <cellStyle name="常规 5 2 2 2 2 2 4 3 2 2 2 2" xfId="20514"/>
    <cellStyle name="常规 5 2 2 2 2 2 4 3 2 2 3" xfId="25155"/>
    <cellStyle name="常规 5 2 2 2 2 2 4 3 2 2 4" xfId="25156"/>
    <cellStyle name="常规 5 2 2 2 2 2 4 3 2 3" xfId="25157"/>
    <cellStyle name="常规 5 2 2 2 2 2 4 3 2 3 2" xfId="25158"/>
    <cellStyle name="常规 5 2 2 2 2 2 4 3 2 4" xfId="25159"/>
    <cellStyle name="常规 5 2 2 2 2 2 4 3 2 5" xfId="20385"/>
    <cellStyle name="常规 5 2 2 2 2 2 4 3 3" xfId="25163"/>
    <cellStyle name="常规 5 2 2 2 2 2 4 3 3 2" xfId="25164"/>
    <cellStyle name="常规 5 2 2 2 2 2 4 3 3 2 2" xfId="21865"/>
    <cellStyle name="常规 5 2 2 2 2 2 4 3 3 3" xfId="25165"/>
    <cellStyle name="常规 5 2 2 2 2 2 4 3 3 4" xfId="25166"/>
    <cellStyle name="常规 5 2 2 2 2 2 4 3 4" xfId="17380"/>
    <cellStyle name="常规 5 2 2 2 2 2 4 3 4 2" xfId="25167"/>
    <cellStyle name="常规 5 2 2 2 2 2 4 3 5" xfId="25168"/>
    <cellStyle name="常规 5 2 2 2 2 2 4 3 6" xfId="25169"/>
    <cellStyle name="常规 5 2 2 2 2 2 4 4" xfId="25171"/>
    <cellStyle name="常规 5 2 2 2 2 2 4 4 2" xfId="25175"/>
    <cellStyle name="常规 5 2 2 2 2 2 4 4 2 2" xfId="25176"/>
    <cellStyle name="常规 5 2 2 2 2 2 4 4 2 2 2" xfId="25178"/>
    <cellStyle name="常规 5 2 2 2 2 2 4 4 2 3" xfId="25179"/>
    <cellStyle name="常规 5 2 2 2 2 2 4 4 2 4" xfId="25180"/>
    <cellStyle name="常规 5 2 2 2 2 2 4 4 3" xfId="14690"/>
    <cellStyle name="常规 5 2 2 2 2 2 4 4 3 2" xfId="14692"/>
    <cellStyle name="常规 5 2 2 2 2 2 4 4 4" xfId="14694"/>
    <cellStyle name="常规 5 2 2 2 2 2 4 4 5" xfId="14696"/>
    <cellStyle name="常规 5 2 2 2 2 2 4 5" xfId="17938"/>
    <cellStyle name="常规 5 2 2 2 2 2 4 5 2" xfId="17940"/>
    <cellStyle name="常规 5 2 2 2 2 2 4 5 2 2" xfId="25182"/>
    <cellStyle name="常规 5 2 2 2 2 2 4 5 3" xfId="14699"/>
    <cellStyle name="常规 5 2 2 2 2 2 4 5 4" xfId="25183"/>
    <cellStyle name="常规 5 2 2 2 2 2 4 6" xfId="17944"/>
    <cellStyle name="常规 5 2 2 2 2 2 4 6 2" xfId="25185"/>
    <cellStyle name="常规 5 2 2 2 2 2 4 7" xfId="17948"/>
    <cellStyle name="常规 5 2 2 2 2 2 4 8" xfId="25187"/>
    <cellStyle name="常规 5 2 2 2 2 2 5" xfId="25189"/>
    <cellStyle name="常规 5 2 2 2 2 2 5 2" xfId="25191"/>
    <cellStyle name="常规 5 2 2 2 2 2 5 2 2" xfId="25195"/>
    <cellStyle name="常规 5 2 2 2 2 2 5 2 2 2" xfId="25198"/>
    <cellStyle name="常规 5 2 2 2 2 2 5 2 2 2 2" xfId="25200"/>
    <cellStyle name="常规 5 2 2 2 2 2 5 2 2 2 2 2" xfId="20863"/>
    <cellStyle name="常规 5 2 2 2 2 2 5 2 2 2 3" xfId="25202"/>
    <cellStyle name="常规 5 2 2 2 2 2 5 2 2 2 4" xfId="25203"/>
    <cellStyle name="常规 5 2 2 2 2 2 5 2 2 3" xfId="25206"/>
    <cellStyle name="常规 5 2 2 2 2 2 5 2 2 3 2" xfId="25207"/>
    <cellStyle name="常规 5 2 2 2 2 2 5 2 2 4" xfId="25208"/>
    <cellStyle name="常规 5 2 2 2 2 2 5 2 2 5" xfId="20406"/>
    <cellStyle name="常规 5 2 2 2 2 2 5 2 3" xfId="25211"/>
    <cellStyle name="常规 5 2 2 2 2 2 5 2 3 2" xfId="25213"/>
    <cellStyle name="常规 5 2 2 2 2 2 5 2 3 2 2" xfId="22433"/>
    <cellStyle name="常规 5 2 2 2 2 2 5 2 3 3" xfId="25214"/>
    <cellStyle name="常规 5 2 2 2 2 2 5 2 3 4" xfId="25216"/>
    <cellStyle name="常规 5 2 2 2 2 2 5 2 4" xfId="25219"/>
    <cellStyle name="常规 5 2 2 2 2 2 5 2 4 2" xfId="25220"/>
    <cellStyle name="常规 5 2 2 2 2 2 5 2 5" xfId="25222"/>
    <cellStyle name="常规 5 2 2 2 2 2 5 2 6" xfId="25223"/>
    <cellStyle name="常规 5 2 2 2 2 2 5 3" xfId="25225"/>
    <cellStyle name="常规 5 2 2 2 2 2 5 3 2" xfId="25228"/>
    <cellStyle name="常规 5 2 2 2 2 2 5 3 2 2" xfId="25229"/>
    <cellStyle name="常规 5 2 2 2 2 2 5 3 2 2 2" xfId="25230"/>
    <cellStyle name="常规 5 2 2 2 2 2 5 3 2 3" xfId="25231"/>
    <cellStyle name="常规 5 2 2 2 2 2 5 3 2 4" xfId="25232"/>
    <cellStyle name="常规 5 2 2 2 2 2 5 3 3" xfId="25234"/>
    <cellStyle name="常规 5 2 2 2 2 2 5 3 3 2" xfId="25235"/>
    <cellStyle name="常规 5 2 2 2 2 2 5 3 4" xfId="25236"/>
    <cellStyle name="常规 5 2 2 2 2 2 5 3 5" xfId="25237"/>
    <cellStyle name="常规 5 2 2 2 2 2 5 4" xfId="25240"/>
    <cellStyle name="常规 5 2 2 2 2 2 5 4 2" xfId="25242"/>
    <cellStyle name="常规 5 2 2 2 2 2 5 4 2 2" xfId="25243"/>
    <cellStyle name="常规 5 2 2 2 2 2 5 4 3" xfId="14706"/>
    <cellStyle name="常规 5 2 2 2 2 2 5 4 4" xfId="25244"/>
    <cellStyle name="常规 5 2 2 2 2 2 5 5" xfId="17951"/>
    <cellStyle name="常规 5 2 2 2 2 2 5 5 2" xfId="25245"/>
    <cellStyle name="常规 5 2 2 2 2 2 5 6" xfId="25247"/>
    <cellStyle name="常规 5 2 2 2 2 2 5 7" xfId="25250"/>
    <cellStyle name="常规 5 2 2 2 2 2 6" xfId="24588"/>
    <cellStyle name="常规 5 2 2 2 2 2 6 2" xfId="24592"/>
    <cellStyle name="常规 5 2 2 2 2 2 6 2 2" xfId="24600"/>
    <cellStyle name="常规 5 2 2 2 2 2 6 2 2 2" xfId="24603"/>
    <cellStyle name="常规 5 2 2 2 2 2 6 2 2 2 2" xfId="24606"/>
    <cellStyle name="常规 5 2 2 2 2 2 6 2 2 3" xfId="24612"/>
    <cellStyle name="常规 5 2 2 2 2 2 6 2 2 4" xfId="24616"/>
    <cellStyle name="常规 5 2 2 2 2 2 6 2 3" xfId="24621"/>
    <cellStyle name="常规 5 2 2 2 2 2 6 2 3 2" xfId="24624"/>
    <cellStyle name="常规 5 2 2 2 2 2 6 2 4" xfId="24630"/>
    <cellStyle name="常规 5 2 2 2 2 2 6 2 5" xfId="10993"/>
    <cellStyle name="常规 5 2 2 2 2 2 6 3" xfId="19329"/>
    <cellStyle name="常规 5 2 2 2 2 2 6 3 2" xfId="19335"/>
    <cellStyle name="常规 5 2 2 2 2 2 6 3 2 2" xfId="24634"/>
    <cellStyle name="常规 5 2 2 2 2 2 6 3 3" xfId="24645"/>
    <cellStyle name="常规 5 2 2 2 2 2 6 3 4" xfId="24651"/>
    <cellStyle name="常规 5 2 2 2 2 2 6 4" xfId="19340"/>
    <cellStyle name="常规 5 2 2 2 2 2 6 4 2" xfId="24654"/>
    <cellStyle name="常规 5 2 2 2 2 2 6 5" xfId="19344"/>
    <cellStyle name="常规 5 2 2 2 2 2 6 6" xfId="24666"/>
    <cellStyle name="常规 5 2 2 2 2 2 7" xfId="21950"/>
    <cellStyle name="常规 5 2 2 2 2 2 7 2" xfId="21955"/>
    <cellStyle name="常规 5 2 2 2 2 2 7 2 2" xfId="24672"/>
    <cellStyle name="常规 5 2 2 2 2 2 7 2 2 2" xfId="24675"/>
    <cellStyle name="常规 5 2 2 2 2 2 7 2 3" xfId="24684"/>
    <cellStyle name="常规 5 2 2 2 2 2 7 2 4" xfId="24690"/>
    <cellStyle name="常规 5 2 2 2 2 2 7 3" xfId="19349"/>
    <cellStyle name="常规 5 2 2 2 2 2 7 3 2" xfId="24693"/>
    <cellStyle name="常规 5 2 2 2 2 2 7 4" xfId="24700"/>
    <cellStyle name="常规 5 2 2 2 2 2 7 5" xfId="24704"/>
    <cellStyle name="常规 5 2 2 2 2 2 8" xfId="21960"/>
    <cellStyle name="常规 5 2 2 2 2 2 8 2" xfId="24707"/>
    <cellStyle name="常规 5 2 2 2 2 2 8 2 2" xfId="24710"/>
    <cellStyle name="常规 5 2 2 2 2 2 8 3" xfId="24718"/>
    <cellStyle name="常规 5 2 2 2 2 2 8 4" xfId="24723"/>
    <cellStyle name="常规 5 2 2 2 2 2 9" xfId="21965"/>
    <cellStyle name="常规 5 2 2 2 2 2 9 2" xfId="20564"/>
    <cellStyle name="常规 5 2 2 2 2 3" xfId="25252"/>
    <cellStyle name="常规 5 2 2 2 2 3 2" xfId="25254"/>
    <cellStyle name="常规 5 2 2 2 2 3 2 2" xfId="25257"/>
    <cellStyle name="常规 5 2 2 2 2 3 2 2 2" xfId="25262"/>
    <cellStyle name="常规 5 2 2 2 2 3 2 2 2 2" xfId="25266"/>
    <cellStyle name="常规 5 2 2 2 2 3 2 2 2 2 2" xfId="25271"/>
    <cellStyle name="常规 5 2 2 2 2 3 2 2 2 2 2 2" xfId="25274"/>
    <cellStyle name="常规 5 2 2 2 2 3 2 2 2 2 2 2 2" xfId="25276"/>
    <cellStyle name="常规 5 2 2 2 2 3 2 2 2 2 2 3" xfId="25278"/>
    <cellStyle name="常规 5 2 2 2 2 3 2 2 2 2 2 4" xfId="25280"/>
    <cellStyle name="常规 5 2 2 2 2 3 2 2 2 2 3" xfId="25283"/>
    <cellStyle name="常规 5 2 2 2 2 3 2 2 2 2 3 2" xfId="25285"/>
    <cellStyle name="常规 5 2 2 2 2 3 2 2 2 2 4" xfId="25288"/>
    <cellStyle name="常规 5 2 2 2 2 3 2 2 2 2 5" xfId="25290"/>
    <cellStyle name="常规 5 2 2 2 2 3 2 2 2 3" xfId="19409"/>
    <cellStyle name="常规 5 2 2 2 2 3 2 2 2 3 2" xfId="25293"/>
    <cellStyle name="常规 5 2 2 2 2 3 2 2 2 3 2 2" xfId="25295"/>
    <cellStyle name="常规 5 2 2 2 2 3 2 2 2 3 3" xfId="25299"/>
    <cellStyle name="常规 5 2 2 2 2 3 2 2 2 3 4" xfId="25302"/>
    <cellStyle name="常规 5 2 2 2 2 3 2 2 2 4" xfId="25306"/>
    <cellStyle name="常规 5 2 2 2 2 3 2 2 2 4 2" xfId="25308"/>
    <cellStyle name="常规 5 2 2 2 2 3 2 2 2 5" xfId="25310"/>
    <cellStyle name="常规 5 2 2 2 2 3 2 2 2 6" xfId="25312"/>
    <cellStyle name="常规 5 2 2 2 2 3 2 2 3" xfId="21998"/>
    <cellStyle name="常规 5 2 2 2 2 3 2 2 3 2" xfId="25316"/>
    <cellStyle name="常规 5 2 2 2 2 3 2 2 3 2 2" xfId="25319"/>
    <cellStyle name="常规 5 2 2 2 2 3 2 2 3 2 2 2" xfId="23096"/>
    <cellStyle name="常规 5 2 2 2 2 3 2 2 3 2 3" xfId="25322"/>
    <cellStyle name="常规 5 2 2 2 2 3 2 2 3 2 4" xfId="24687"/>
    <cellStyle name="常规 5 2 2 2 2 3 2 2 3 3" xfId="25324"/>
    <cellStyle name="常规 5 2 2 2 2 3 2 2 3 3 2" xfId="25326"/>
    <cellStyle name="常规 5 2 2 2 2 3 2 2 3 4" xfId="25328"/>
    <cellStyle name="常规 5 2 2 2 2 3 2 2 3 5" xfId="25330"/>
    <cellStyle name="常规 5 2 2 2 2 3 2 2 4" xfId="25334"/>
    <cellStyle name="常规 5 2 2 2 2 3 2 2 4 2" xfId="25336"/>
    <cellStyle name="常规 5 2 2 2 2 3 2 2 4 2 2" xfId="25338"/>
    <cellStyle name="常规 5 2 2 2 2 3 2 2 4 3" xfId="25340"/>
    <cellStyle name="常规 5 2 2 2 2 3 2 2 4 4" xfId="25342"/>
    <cellStyle name="常规 5 2 2 2 2 3 2 2 5" xfId="25346"/>
    <cellStyle name="常规 5 2 2 2 2 3 2 2 5 2" xfId="25351"/>
    <cellStyle name="常规 5 2 2 2 2 3 2 2 6" xfId="25355"/>
    <cellStyle name="常规 5 2 2 2 2 3 2 2 7" xfId="15336"/>
    <cellStyle name="常规 5 2 2 2 2 3 2 3" xfId="25358"/>
    <cellStyle name="常规 5 2 2 2 2 3 2 3 2" xfId="292"/>
    <cellStyle name="常规 5 2 2 2 2 3 2 3 2 2" xfId="25362"/>
    <cellStyle name="常规 5 2 2 2 2 3 2 3 2 2 2" xfId="25369"/>
    <cellStyle name="常规 5 2 2 2 2 3 2 3 2 2 2 2" xfId="2543"/>
    <cellStyle name="常规 5 2 2 2 2 3 2 3 2 2 3" xfId="3184"/>
    <cellStyle name="常规 5 2 2 2 2 3 2 3 2 2 4" xfId="25372"/>
    <cellStyle name="常规 5 2 2 2 2 3 2 3 2 3" xfId="25375"/>
    <cellStyle name="常规 5 2 2 2 2 3 2 3 2 3 2" xfId="25378"/>
    <cellStyle name="常规 5 2 2 2 2 3 2 3 2 4" xfId="25381"/>
    <cellStyle name="常规 5 2 2 2 2 3 2 3 2 5" xfId="25383"/>
    <cellStyle name="常规 5 2 2 2 2 3 2 3 3" xfId="25387"/>
    <cellStyle name="常规 5 2 2 2 2 3 2 3 3 2" xfId="25390"/>
    <cellStyle name="常规 5 2 2 2 2 3 2 3 3 2 2" xfId="25393"/>
    <cellStyle name="常规 5 2 2 2 2 3 2 3 3 3" xfId="25395"/>
    <cellStyle name="常规 5 2 2 2 2 3 2 3 3 4" xfId="25397"/>
    <cellStyle name="常规 5 2 2 2 2 3 2 3 4" xfId="25401"/>
    <cellStyle name="常规 5 2 2 2 2 3 2 3 4 2" xfId="25403"/>
    <cellStyle name="常规 5 2 2 2 2 3 2 3 5" xfId="25406"/>
    <cellStyle name="常规 5 2 2 2 2 3 2 3 6" xfId="25409"/>
    <cellStyle name="常规 5 2 2 2 2 3 2 4" xfId="25412"/>
    <cellStyle name="常规 5 2 2 2 2 3 2 4 2" xfId="25416"/>
    <cellStyle name="常规 5 2 2 2 2 3 2 4 2 2" xfId="25419"/>
    <cellStyle name="常规 5 2 2 2 2 3 2 4 2 2 2" xfId="6609"/>
    <cellStyle name="常规 5 2 2 2 2 3 2 4 2 3" xfId="25421"/>
    <cellStyle name="常规 5 2 2 2 2 3 2 4 2 4" xfId="25424"/>
    <cellStyle name="常规 5 2 2 2 2 3 2 4 3" xfId="25428"/>
    <cellStyle name="常规 5 2 2 2 2 3 2 4 3 2" xfId="25430"/>
    <cellStyle name="常规 5 2 2 2 2 3 2 4 4" xfId="25433"/>
    <cellStyle name="常规 5 2 2 2 2 3 2 4 5" xfId="25435"/>
    <cellStyle name="常规 5 2 2 2 2 3 2 5" xfId="25438"/>
    <cellStyle name="常规 5 2 2 2 2 3 2 5 2" xfId="18279"/>
    <cellStyle name="常规 5 2 2 2 2 3 2 5 2 2" xfId="25440"/>
    <cellStyle name="常规 5 2 2 2 2 3 2 5 3" xfId="18284"/>
    <cellStyle name="常规 5 2 2 2 2 3 2 5 4" xfId="25442"/>
    <cellStyle name="常规 5 2 2 2 2 3 2 6" xfId="25447"/>
    <cellStyle name="常规 5 2 2 2 2 3 2 6 2" xfId="14235"/>
    <cellStyle name="常规 5 2 2 2 2 3 2 7" xfId="25453"/>
    <cellStyle name="常规 5 2 2 2 2 3 2 8" xfId="25458"/>
    <cellStyle name="常规 5 2 2 2 2 3 3" xfId="25460"/>
    <cellStyle name="常规 5 2 2 2 2 3 3 2" xfId="25463"/>
    <cellStyle name="常规 5 2 2 2 2 3 3 2 2" xfId="25468"/>
    <cellStyle name="常规 5 2 2 2 2 3 3 2 2 2" xfId="12602"/>
    <cellStyle name="常规 5 2 2 2 2 3 3 2 2 2 2" xfId="13189"/>
    <cellStyle name="常规 5 2 2 2 2 3 3 2 2 2 2 2" xfId="3959"/>
    <cellStyle name="常规 5 2 2 2 2 3 3 2 2 2 3" xfId="3748"/>
    <cellStyle name="常规 5 2 2 2 2 3 3 2 2 2 4" xfId="25472"/>
    <cellStyle name="常规 5 2 2 2 2 3 3 2 2 3" xfId="12604"/>
    <cellStyle name="常规 5 2 2 2 2 3 3 2 2 3 2" xfId="25474"/>
    <cellStyle name="常规 5 2 2 2 2 3 3 2 2 4" xfId="25476"/>
    <cellStyle name="常规 5 2 2 2 2 3 3 2 2 5" xfId="20473"/>
    <cellStyle name="常规 5 2 2 2 2 3 3 2 3" xfId="25480"/>
    <cellStyle name="常规 5 2 2 2 2 3 3 2 3 2" xfId="12667"/>
    <cellStyle name="常规 5 2 2 2 2 3 3 2 3 2 2" xfId="25482"/>
    <cellStyle name="常规 5 2 2 2 2 3 3 2 3 3" xfId="25484"/>
    <cellStyle name="常规 5 2 2 2 2 3 3 2 3 4" xfId="13300"/>
    <cellStyle name="常规 5 2 2 2 2 3 3 2 4" xfId="6969"/>
    <cellStyle name="常规 5 2 2 2 2 3 3 2 4 2" xfId="5672"/>
    <cellStyle name="常规 5 2 2 2 2 3 3 2 5" xfId="6976"/>
    <cellStyle name="常规 5 2 2 2 2 3 3 2 6" xfId="6986"/>
    <cellStyle name="常规 5 2 2 2 2 3 3 3" xfId="25487"/>
    <cellStyle name="常规 5 2 2 2 2 3 3 3 2" xfId="25491"/>
    <cellStyle name="常规 5 2 2 2 2 3 3 3 2 2" xfId="12836"/>
    <cellStyle name="常规 5 2 2 2 2 3 3 3 2 2 2" xfId="25494"/>
    <cellStyle name="常规 5 2 2 2 2 3 3 3 2 3" xfId="25496"/>
    <cellStyle name="常规 5 2 2 2 2 3 3 3 2 4" xfId="25498"/>
    <cellStyle name="常规 5 2 2 2 2 3 3 3 3" xfId="25502"/>
    <cellStyle name="常规 5 2 2 2 2 3 3 3 3 2" xfId="25504"/>
    <cellStyle name="常规 5 2 2 2 2 3 3 3 4" xfId="6990"/>
    <cellStyle name="常规 5 2 2 2 2 3 3 3 5" xfId="6994"/>
    <cellStyle name="常规 5 2 2 2 2 3 3 4" xfId="25506"/>
    <cellStyle name="常规 5 2 2 2 2 3 3 4 2" xfId="8985"/>
    <cellStyle name="常规 5 2 2 2 2 3 3 4 2 2" xfId="8988"/>
    <cellStyle name="常规 5 2 2 2 2 3 3 4 3" xfId="8991"/>
    <cellStyle name="常规 5 2 2 2 2 3 3 4 4" xfId="1508"/>
    <cellStyle name="常规 5 2 2 2 2 3 3 5" xfId="25509"/>
    <cellStyle name="常规 5 2 2 2 2 3 3 5 2" xfId="9014"/>
    <cellStyle name="常规 5 2 2 2 2 3 3 6" xfId="25513"/>
    <cellStyle name="常规 5 2 2 2 2 3 3 7" xfId="25518"/>
    <cellStyle name="常规 5 2 2 2 2 3 4" xfId="25521"/>
    <cellStyle name="常规 5 2 2 2 2 3 4 2" xfId="25525"/>
    <cellStyle name="常规 5 2 2 2 2 3 4 2 2" xfId="25529"/>
    <cellStyle name="常规 5 2 2 2 2 3 4 2 2 2" xfId="10682"/>
    <cellStyle name="常规 5 2 2 2 2 3 4 2 2 2 2" xfId="3847"/>
    <cellStyle name="常规 5 2 2 2 2 3 4 2 2 3" xfId="25531"/>
    <cellStyle name="常规 5 2 2 2 2 3 4 2 2 4" xfId="25533"/>
    <cellStyle name="常规 5 2 2 2 2 3 4 2 3" xfId="25536"/>
    <cellStyle name="常规 5 2 2 2 2 3 4 2 3 2" xfId="25538"/>
    <cellStyle name="常规 5 2 2 2 2 3 4 2 4" xfId="7001"/>
    <cellStyle name="常规 5 2 2 2 2 3 4 2 5" xfId="7005"/>
    <cellStyle name="常规 5 2 2 2 2 3 4 3" xfId="25540"/>
    <cellStyle name="常规 5 2 2 2 2 3 4 3 2" xfId="17027"/>
    <cellStyle name="常规 5 2 2 2 2 3 4 3 2 2" xfId="10976"/>
    <cellStyle name="常规 5 2 2 2 2 3 4 3 3" xfId="17031"/>
    <cellStyle name="常规 5 2 2 2 2 3 4 3 4" xfId="4851"/>
    <cellStyle name="常规 5 2 2 2 2 3 4 4" xfId="25542"/>
    <cellStyle name="常规 5 2 2 2 2 3 4 4 2" xfId="9067"/>
    <cellStyle name="常规 5 2 2 2 2 3 4 5" xfId="17961"/>
    <cellStyle name="常规 5 2 2 2 2 3 4 6" xfId="25546"/>
    <cellStyle name="常规 5 2 2 2 2 3 5" xfId="25549"/>
    <cellStyle name="常规 5 2 2 2 2 3 5 2" xfId="25551"/>
    <cellStyle name="常规 5 2 2 2 2 3 5 2 2" xfId="25555"/>
    <cellStyle name="常规 5 2 2 2 2 3 5 2 2 2" xfId="11806"/>
    <cellStyle name="常规 5 2 2 2 2 3 5 2 3" xfId="25558"/>
    <cellStyle name="常规 5 2 2 2 2 3 5 2 4" xfId="5695"/>
    <cellStyle name="常规 5 2 2 2 2 3 5 3" xfId="25560"/>
    <cellStyle name="常规 5 2 2 2 2 3 5 3 2" xfId="17043"/>
    <cellStyle name="常规 5 2 2 2 2 3 5 4" xfId="25562"/>
    <cellStyle name="常规 5 2 2 2 2 3 5 5" xfId="25564"/>
    <cellStyle name="常规 5 2 2 2 2 3 6" xfId="24745"/>
    <cellStyle name="常规 5 2 2 2 2 3 6 2" xfId="24749"/>
    <cellStyle name="常规 5 2 2 2 2 3 6 2 2" xfId="24755"/>
    <cellStyle name="常规 5 2 2 2 2 3 6 3" xfId="1469"/>
    <cellStyle name="常规 5 2 2 2 2 3 6 4" xfId="24773"/>
    <cellStyle name="常规 5 2 2 2 2 3 7" xfId="21971"/>
    <cellStyle name="常规 5 2 2 2 2 3 7 2" xfId="24783"/>
    <cellStyle name="常规 5 2 2 2 2 3 8" xfId="24800"/>
    <cellStyle name="常规 5 2 2 2 2 3 9" xfId="24811"/>
    <cellStyle name="常规 5 2 2 2 2 4" xfId="25566"/>
    <cellStyle name="常规 5 2 2 2 2 4 2" xfId="13163"/>
    <cellStyle name="常规 5 2 2 2 2 4 2 2" xfId="25569"/>
    <cellStyle name="常规 5 2 2 2 2 4 2 2 2" xfId="25573"/>
    <cellStyle name="常规 5 2 2 2 2 4 2 2 2 2" xfId="25578"/>
    <cellStyle name="常规 5 2 2 2 2 4 2 2 2 2 2" xfId="25583"/>
    <cellStyle name="常规 5 2 2 2 2 4 2 2 2 2 2 2" xfId="25585"/>
    <cellStyle name="常规 5 2 2 2 2 4 2 2 2 2 2 2 2" xfId="20734"/>
    <cellStyle name="常规 5 2 2 2 2 4 2 2 2 2 2 3" xfId="24081"/>
    <cellStyle name="常规 5 2 2 2 2 4 2 2 2 2 2 4" xfId="24084"/>
    <cellStyle name="常规 5 2 2 2 2 4 2 2 2 2 3" xfId="25588"/>
    <cellStyle name="常规 5 2 2 2 2 4 2 2 2 2 3 2" xfId="25589"/>
    <cellStyle name="常规 5 2 2 2 2 4 2 2 2 2 4" xfId="25591"/>
    <cellStyle name="常规 5 2 2 2 2 4 2 2 2 2 5" xfId="3835"/>
    <cellStyle name="常规 5 2 2 2 2 4 2 2 2 3" xfId="25594"/>
    <cellStyle name="常规 5 2 2 2 2 4 2 2 2 3 2" xfId="25596"/>
    <cellStyle name="常规 5 2 2 2 2 4 2 2 2 3 2 2" xfId="25597"/>
    <cellStyle name="常规 5 2 2 2 2 4 2 2 2 3 3" xfId="25598"/>
    <cellStyle name="常规 5 2 2 2 2 4 2 2 2 3 4" xfId="25599"/>
    <cellStyle name="常规 5 2 2 2 2 4 2 2 2 4" xfId="3188"/>
    <cellStyle name="常规 5 2 2 2 2 4 2 2 2 4 2" xfId="25600"/>
    <cellStyle name="常规 5 2 2 2 2 4 2 2 2 5" xfId="25602"/>
    <cellStyle name="常规 5 2 2 2 2 4 2 2 2 6" xfId="25603"/>
    <cellStyle name="常规 5 2 2 2 2 4 2 2 3" xfId="25604"/>
    <cellStyle name="常规 5 2 2 2 2 4 2 2 3 2" xfId="25610"/>
    <cellStyle name="常规 5 2 2 2 2 4 2 2 3 2 2" xfId="25613"/>
    <cellStyle name="常规 5 2 2 2 2 4 2 2 3 2 2 2" xfId="25616"/>
    <cellStyle name="常规 5 2 2 2 2 4 2 2 3 2 3" xfId="25617"/>
    <cellStyle name="常规 5 2 2 2 2 4 2 2 3 2 4" xfId="24954"/>
    <cellStyle name="常规 5 2 2 2 2 4 2 2 3 3" xfId="25365"/>
    <cellStyle name="常规 5 2 2 2 2 4 2 2 3 3 2" xfId="2542"/>
    <cellStyle name="常规 5 2 2 2 2 4 2 2 3 4" xfId="3179"/>
    <cellStyle name="常规 5 2 2 2 2 4 2 2 3 5" xfId="25371"/>
    <cellStyle name="常规 5 2 2 2 2 4 2 2 4" xfId="25618"/>
    <cellStyle name="常规 5 2 2 2 2 4 2 2 4 2" xfId="25623"/>
    <cellStyle name="常规 5 2 2 2 2 4 2 2 4 2 2" xfId="25626"/>
    <cellStyle name="常规 5 2 2 2 2 4 2 2 4 3" xfId="25377"/>
    <cellStyle name="常规 5 2 2 2 2 4 2 2 4 4" xfId="25627"/>
    <cellStyle name="常规 5 2 2 2 2 4 2 2 5" xfId="25628"/>
    <cellStyle name="常规 5 2 2 2 2 4 2 2 5 2" xfId="25634"/>
    <cellStyle name="常规 5 2 2 2 2 4 2 2 6" xfId="25635"/>
    <cellStyle name="常规 5 2 2 2 2 4 2 2 7" xfId="25638"/>
    <cellStyle name="常规 5 2 2 2 2 4 2 3" xfId="25641"/>
    <cellStyle name="常规 5 2 2 2 2 4 2 3 2" xfId="25646"/>
    <cellStyle name="常规 5 2 2 2 2 4 2 3 2 2" xfId="25648"/>
    <cellStyle name="常规 5 2 2 2 2 4 2 3 2 2 2" xfId="25653"/>
    <cellStyle name="常规 5 2 2 2 2 4 2 3 2 2 2 2" xfId="25655"/>
    <cellStyle name="常规 5 2 2 2 2 4 2 3 2 2 3" xfId="25659"/>
    <cellStyle name="常规 5 2 2 2 2 4 2 3 2 2 4" xfId="25661"/>
    <cellStyle name="常规 5 2 2 2 2 4 2 3 2 3" xfId="25663"/>
    <cellStyle name="常规 5 2 2 2 2 4 2 3 2 3 2" xfId="25665"/>
    <cellStyle name="常规 5 2 2 2 2 4 2 3 2 4" xfId="25667"/>
    <cellStyle name="常规 5 2 2 2 2 4 2 3 2 5" xfId="24712"/>
    <cellStyle name="常规 5 2 2 2 2 4 2 3 3" xfId="25668"/>
    <cellStyle name="常规 5 2 2 2 2 4 2 3 3 2" xfId="25673"/>
    <cellStyle name="常规 5 2 2 2 2 4 2 3 3 2 2" xfId="25677"/>
    <cellStyle name="常规 5 2 2 2 2 4 2 3 3 3" xfId="25392"/>
    <cellStyle name="常规 5 2 2 2 2 4 2 3 3 4" xfId="25678"/>
    <cellStyle name="常规 5 2 2 2 2 4 2 3 4" xfId="25679"/>
    <cellStyle name="常规 5 2 2 2 2 4 2 3 4 2" xfId="25682"/>
    <cellStyle name="常规 5 2 2 2 2 4 2 3 5" xfId="25683"/>
    <cellStyle name="常规 5 2 2 2 2 4 2 3 6" xfId="25687"/>
    <cellStyle name="常规 5 2 2 2 2 4 2 4" xfId="25689"/>
    <cellStyle name="常规 5 2 2 2 2 4 2 4 2" xfId="25693"/>
    <cellStyle name="常规 5 2 2 2 2 4 2 4 2 2" xfId="25695"/>
    <cellStyle name="常规 5 2 2 2 2 4 2 4 2 2 2" xfId="11097"/>
    <cellStyle name="常规 5 2 2 2 2 4 2 4 2 3" xfId="25696"/>
    <cellStyle name="常规 5 2 2 2 2 4 2 4 2 4" xfId="25697"/>
    <cellStyle name="常规 5 2 2 2 2 4 2 4 3" xfId="25698"/>
    <cellStyle name="常规 5 2 2 2 2 4 2 4 3 2" xfId="25704"/>
    <cellStyle name="常规 5 2 2 2 2 4 2 4 4" xfId="25706"/>
    <cellStyle name="常规 5 2 2 2 2 4 2 4 5" xfId="25707"/>
    <cellStyle name="常规 5 2 2 2 2 4 2 5" xfId="25710"/>
    <cellStyle name="常规 5 2 2 2 2 4 2 5 2" xfId="25712"/>
    <cellStyle name="常规 5 2 2 2 2 4 2 5 2 2" xfId="25713"/>
    <cellStyle name="常规 5 2 2 2 2 4 2 5 3" xfId="25715"/>
    <cellStyle name="常规 5 2 2 2 2 4 2 5 4" xfId="25717"/>
    <cellStyle name="常规 5 2 2 2 2 4 2 6" xfId="25722"/>
    <cellStyle name="常规 5 2 2 2 2 4 2 6 2" xfId="14412"/>
    <cellStyle name="常规 5 2 2 2 2 4 2 7" xfId="25728"/>
    <cellStyle name="常规 5 2 2 2 2 4 2 8" xfId="2269"/>
    <cellStyle name="常规 5 2 2 2 2 4 3" xfId="13166"/>
    <cellStyle name="常规 5 2 2 2 2 4 3 2" xfId="25731"/>
    <cellStyle name="常规 5 2 2 2 2 4 3 2 2" xfId="3605"/>
    <cellStyle name="常规 5 2 2 2 2 4 3 2 2 2" xfId="5194"/>
    <cellStyle name="常规 5 2 2 2 2 4 3 2 2 2 2" xfId="3359"/>
    <cellStyle name="常规 5 2 2 2 2 4 3 2 2 2 2 2" xfId="2580"/>
    <cellStyle name="常规 5 2 2 2 2 4 3 2 2 2 3" xfId="6452"/>
    <cellStyle name="常规 5 2 2 2 2 4 3 2 2 2 4" xfId="6466"/>
    <cellStyle name="常规 5 2 2 2 2 4 3 2 2 3" xfId="6490"/>
    <cellStyle name="常规 5 2 2 2 2 4 3 2 2 3 2" xfId="6492"/>
    <cellStyle name="常规 5 2 2 2 2 4 3 2 2 4" xfId="6535"/>
    <cellStyle name="常规 5 2 2 2 2 4 3 2 2 5" xfId="6550"/>
    <cellStyle name="常规 5 2 2 2 2 4 3 2 3" xfId="3609"/>
    <cellStyle name="常规 5 2 2 2 2 4 3 2 3 2" xfId="6574"/>
    <cellStyle name="常规 5 2 2 2 2 4 3 2 3 2 2" xfId="3383"/>
    <cellStyle name="常规 5 2 2 2 2 4 3 2 3 3" xfId="6608"/>
    <cellStyle name="常规 5 2 2 2 2 4 3 2 3 4" xfId="6630"/>
    <cellStyle name="常规 5 2 2 2 2 4 3 2 4" xfId="6653"/>
    <cellStyle name="常规 5 2 2 2 2 4 3 2 4 2" xfId="6663"/>
    <cellStyle name="常规 5 2 2 2 2 4 3 2 5" xfId="6708"/>
    <cellStyle name="常规 5 2 2 2 2 4 3 2 6" xfId="6741"/>
    <cellStyle name="常规 5 2 2 2 2 4 3 3" xfId="25733"/>
    <cellStyle name="常规 5 2 2 2 2 4 3 3 2" xfId="1633"/>
    <cellStyle name="常规 5 2 2 2 2 4 3 3 2 2" xfId="6620"/>
    <cellStyle name="常规 5 2 2 2 2 4 3 3 2 2 2" xfId="3768"/>
    <cellStyle name="常规 5 2 2 2 2 4 3 3 2 3" xfId="1689"/>
    <cellStyle name="常规 5 2 2 2 2 4 3 3 2 4" xfId="6903"/>
    <cellStyle name="常规 5 2 2 2 2 4 3 3 3" xfId="1639"/>
    <cellStyle name="常规 5 2 2 2 2 4 3 3 3 2" xfId="6922"/>
    <cellStyle name="常规 5 2 2 2 2 4 3 3 4" xfId="1341"/>
    <cellStyle name="常规 5 2 2 2 2 4 3 3 5" xfId="1359"/>
    <cellStyle name="常规 5 2 2 2 2 4 3 4" xfId="6770"/>
    <cellStyle name="常规 5 2 2 2 2 4 3 4 2" xfId="3670"/>
    <cellStyle name="常规 5 2 2 2 2 4 3 4 2 2" xfId="7040"/>
    <cellStyle name="常规 5 2 2 2 2 4 3 4 3" xfId="7082"/>
    <cellStyle name="常规 5 2 2 2 2 4 3 4 4" xfId="7126"/>
    <cellStyle name="常规 5 2 2 2 2 4 3 5" xfId="6092"/>
    <cellStyle name="常规 5 2 2 2 2 4 3 5 2" xfId="3715"/>
    <cellStyle name="常规 5 2 2 2 2 4 3 6" xfId="5577"/>
    <cellStyle name="常规 5 2 2 2 2 4 3 7" xfId="5586"/>
    <cellStyle name="常规 5 2 2 2 2 4 4" xfId="25736"/>
    <cellStyle name="常规 5 2 2 2 2 4 4 2" xfId="25738"/>
    <cellStyle name="常规 5 2 2 2 2 4 4 2 2" xfId="3905"/>
    <cellStyle name="常规 5 2 2 2 2 4 4 2 2 2" xfId="6680"/>
    <cellStyle name="常规 5 2 2 2 2 4 4 2 2 2 2" xfId="7675"/>
    <cellStyle name="常规 5 2 2 2 2 4 4 2 2 3" xfId="7680"/>
    <cellStyle name="常规 5 2 2 2 2 4 4 2 2 4" xfId="7687"/>
    <cellStyle name="常规 5 2 2 2 2 4 4 2 3" xfId="6777"/>
    <cellStyle name="常规 5 2 2 2 2 4 4 2 3 2" xfId="7702"/>
    <cellStyle name="常规 5 2 2 2 2 4 4 2 4" xfId="6786"/>
    <cellStyle name="常规 5 2 2 2 2 4 4 2 5" xfId="7723"/>
    <cellStyle name="常规 5 2 2 2 2 4 4 3" xfId="25740"/>
    <cellStyle name="常规 5 2 2 2 2 4 4 3 2" xfId="51"/>
    <cellStyle name="常规 5 2 2 2 2 4 4 3 2 2" xfId="7827"/>
    <cellStyle name="常规 5 2 2 2 2 4 4 3 3" xfId="7869"/>
    <cellStyle name="常规 5 2 2 2 2 4 4 3 4" xfId="7912"/>
    <cellStyle name="常规 5 2 2 2 2 4 4 4" xfId="6795"/>
    <cellStyle name="常规 5 2 2 2 2 4 4 4 2" xfId="195"/>
    <cellStyle name="常规 5 2 2 2 2 4 4 5" xfId="6800"/>
    <cellStyle name="常规 5 2 2 2 2 4 4 6" xfId="5601"/>
    <cellStyle name="常规 5 2 2 2 2 4 5" xfId="25742"/>
    <cellStyle name="常规 5 2 2 2 2 4 5 2" xfId="25744"/>
    <cellStyle name="常规 5 2 2 2 2 4 5 2 2" xfId="8602"/>
    <cellStyle name="常规 5 2 2 2 2 4 5 2 2 2" xfId="8604"/>
    <cellStyle name="常规 5 2 2 2 2 4 5 2 3" xfId="8684"/>
    <cellStyle name="常规 5 2 2 2 2 4 5 2 4" xfId="8690"/>
    <cellStyle name="常规 5 2 2 2 2 4 5 3" xfId="20277"/>
    <cellStyle name="常规 5 2 2 2 2 4 5 3 2" xfId="8792"/>
    <cellStyle name="常规 5 2 2 2 2 4 5 4" xfId="6811"/>
    <cellStyle name="常规 5 2 2 2 2 4 5 5" xfId="25746"/>
    <cellStyle name="常规 5 2 2 2 2 4 6" xfId="24822"/>
    <cellStyle name="常规 5 2 2 2 2 4 6 2" xfId="24826"/>
    <cellStyle name="常规 5 2 2 2 2 4 6 2 2" xfId="9315"/>
    <cellStyle name="常规 5 2 2 2 2 4 6 3" xfId="24829"/>
    <cellStyle name="常规 5 2 2 2 2 4 6 4" xfId="24834"/>
    <cellStyle name="常规 5 2 2 2 2 4 7" xfId="24839"/>
    <cellStyle name="常规 5 2 2 2 2 4 7 2" xfId="24842"/>
    <cellStyle name="常规 5 2 2 2 2 4 8" xfId="24848"/>
    <cellStyle name="常规 5 2 2 2 2 4 9" xfId="24852"/>
    <cellStyle name="常规 5 2 2 2 2 5" xfId="25748"/>
    <cellStyle name="常规 5 2 2 2 2 5 2" xfId="13174"/>
    <cellStyle name="常规 5 2 2 2 2 5 2 2" xfId="25750"/>
    <cellStyle name="常规 5 2 2 2 2 5 2 2 2" xfId="25754"/>
    <cellStyle name="常规 5 2 2 2 2 5 2 2 2 2" xfId="22771"/>
    <cellStyle name="常规 5 2 2 2 2 5 2 2 2 2 2" xfId="25757"/>
    <cellStyle name="常规 5 2 2 2 2 5 2 2 2 2 2 2" xfId="25759"/>
    <cellStyle name="常规 5 2 2 2 2 5 2 2 2 2 3" xfId="25761"/>
    <cellStyle name="常规 5 2 2 2 2 5 2 2 2 2 4" xfId="21308"/>
    <cellStyle name="常规 5 2 2 2 2 5 2 2 2 3" xfId="25764"/>
    <cellStyle name="常规 5 2 2 2 2 5 2 2 2 3 2" xfId="25765"/>
    <cellStyle name="常规 5 2 2 2 2 5 2 2 2 4" xfId="25769"/>
    <cellStyle name="常规 5 2 2 2 2 5 2 2 2 5" xfId="25772"/>
    <cellStyle name="常规 5 2 2 2 2 5 2 2 3" xfId="13265"/>
    <cellStyle name="常规 5 2 2 2 2 5 2 2 3 2" xfId="13270"/>
    <cellStyle name="常规 5 2 2 2 2 5 2 2 3 2 2" xfId="25215"/>
    <cellStyle name="常规 5 2 2 2 2 5 2 2 3 3" xfId="25493"/>
    <cellStyle name="常规 5 2 2 2 2 5 2 2 3 4" xfId="25775"/>
    <cellStyle name="常规 5 2 2 2 2 5 2 2 4" xfId="13275"/>
    <cellStyle name="常规 5 2 2 2 2 5 2 2 4 2" xfId="25776"/>
    <cellStyle name="常规 5 2 2 2 2 5 2 2 5" xfId="13279"/>
    <cellStyle name="常规 5 2 2 2 2 5 2 2 6" xfId="25778"/>
    <cellStyle name="常规 5 2 2 2 2 5 2 3" xfId="25780"/>
    <cellStyle name="常规 5 2 2 2 2 5 2 3 2" xfId="16314"/>
    <cellStyle name="常规 5 2 2 2 2 5 2 3 2 2" xfId="25783"/>
    <cellStyle name="常规 5 2 2 2 2 5 2 3 2 2 2" xfId="25784"/>
    <cellStyle name="常规 5 2 2 2 2 5 2 3 2 3" xfId="25785"/>
    <cellStyle name="常规 5 2 2 2 2 5 2 3 2 4" xfId="25788"/>
    <cellStyle name="常规 5 2 2 2 2 5 2 3 3" xfId="13285"/>
    <cellStyle name="常规 5 2 2 2 2 5 2 3 3 2" xfId="25789"/>
    <cellStyle name="常规 5 2 2 2 2 5 2 3 4" xfId="25791"/>
    <cellStyle name="常规 5 2 2 2 2 5 2 3 5" xfId="25792"/>
    <cellStyle name="常规 5 2 2 2 2 5 2 4" xfId="25794"/>
    <cellStyle name="常规 5 2 2 2 2 5 2 4 2" xfId="25796"/>
    <cellStyle name="常规 5 2 2 2 2 5 2 4 2 2" xfId="25797"/>
    <cellStyle name="常规 5 2 2 2 2 5 2 4 3" xfId="25798"/>
    <cellStyle name="常规 5 2 2 2 2 5 2 4 4" xfId="25799"/>
    <cellStyle name="常规 5 2 2 2 2 5 2 5" xfId="25801"/>
    <cellStyle name="常规 5 2 2 2 2 5 2 5 2" xfId="25802"/>
    <cellStyle name="常规 5 2 2 2 2 5 2 6" xfId="25807"/>
    <cellStyle name="常规 5 2 2 2 2 5 2 7" xfId="25810"/>
    <cellStyle name="常规 5 2 2 2 2 5 3" xfId="25812"/>
    <cellStyle name="常规 5 2 2 2 2 5 3 2" xfId="25814"/>
    <cellStyle name="常规 5 2 2 2 2 5 3 2 2" xfId="6152"/>
    <cellStyle name="常规 5 2 2 2 2 5 3 2 2 2" xfId="6157"/>
    <cellStyle name="常规 5 2 2 2 2 5 3 2 2 2 2" xfId="25815"/>
    <cellStyle name="常规 5 2 2 2 2 5 3 2 2 3" xfId="25816"/>
    <cellStyle name="常规 5 2 2 2 2 5 3 2 2 4" xfId="25820"/>
    <cellStyle name="常规 5 2 2 2 2 5 3 2 3" xfId="6161"/>
    <cellStyle name="常规 5 2 2 2 2 5 3 2 3 2" xfId="25823"/>
    <cellStyle name="常规 5 2 2 2 2 5 3 2 4" xfId="6168"/>
    <cellStyle name="常规 5 2 2 2 2 5 3 2 5" xfId="25824"/>
    <cellStyle name="常规 5 2 2 2 2 5 3 3" xfId="25826"/>
    <cellStyle name="常规 5 2 2 2 2 5 3 3 2" xfId="6185"/>
    <cellStyle name="常规 5 2 2 2 2 5 3 3 2 2" xfId="25827"/>
    <cellStyle name="常规 5 2 2 2 2 5 3 3 3" xfId="5675"/>
    <cellStyle name="常规 5 2 2 2 2 5 3 3 4" xfId="25828"/>
    <cellStyle name="常规 5 2 2 2 2 5 3 4" xfId="7835"/>
    <cellStyle name="常规 5 2 2 2 2 5 3 4 2" xfId="6207"/>
    <cellStyle name="常规 5 2 2 2 2 5 3 5" xfId="7838"/>
    <cellStyle name="常规 5 2 2 2 2 5 3 6" xfId="5644"/>
    <cellStyle name="常规 5 2 2 2 2 5 4" xfId="25830"/>
    <cellStyle name="常规 5 2 2 2 2 5 4 2" xfId="25832"/>
    <cellStyle name="常规 5 2 2 2 2 5 4 2 2" xfId="6247"/>
    <cellStyle name="常规 5 2 2 2 2 5 4 2 2 2" xfId="16448"/>
    <cellStyle name="常规 5 2 2 2 2 5 4 2 3" xfId="6250"/>
    <cellStyle name="常规 5 2 2 2 2 5 4 2 4" xfId="7320"/>
    <cellStyle name="常规 5 2 2 2 2 5 4 3" xfId="25834"/>
    <cellStyle name="常规 5 2 2 2 2 5 4 3 2" xfId="5218"/>
    <cellStyle name="常规 5 2 2 2 2 5 4 4" xfId="7842"/>
    <cellStyle name="常规 5 2 2 2 2 5 4 5" xfId="25835"/>
    <cellStyle name="常规 5 2 2 2 2 5 5" xfId="25837"/>
    <cellStyle name="常规 5 2 2 2 2 5 5 2" xfId="25839"/>
    <cellStyle name="常规 5 2 2 2 2 5 5 2 2" xfId="6279"/>
    <cellStyle name="常规 5 2 2 2 2 5 5 3" xfId="25840"/>
    <cellStyle name="常规 5 2 2 2 2 5 5 4" xfId="25842"/>
    <cellStyle name="常规 5 2 2 2 2 5 6" xfId="24859"/>
    <cellStyle name="常规 5 2 2 2 2 5 6 2" xfId="24863"/>
    <cellStyle name="常规 5 2 2 2 2 5 7" xfId="22386"/>
    <cellStyle name="常规 5 2 2 2 2 5 8" xfId="24871"/>
    <cellStyle name="常规 5 2 2 2 2 6" xfId="14965"/>
    <cellStyle name="常规 5 2 2 2 2 6 2" xfId="25844"/>
    <cellStyle name="常规 5 2 2 2 2 6 2 2" xfId="25846"/>
    <cellStyle name="常规 5 2 2 2 2 6 2 2 2" xfId="1841"/>
    <cellStyle name="常规 5 2 2 2 2 6 2 2 2 2" xfId="25849"/>
    <cellStyle name="常规 5 2 2 2 2 6 2 2 2 2 2" xfId="25850"/>
    <cellStyle name="常规 5 2 2 2 2 6 2 2 2 3" xfId="25852"/>
    <cellStyle name="常规 5 2 2 2 2 6 2 2 2 4" xfId="11529"/>
    <cellStyle name="常规 5 2 2 2 2 6 2 2 3" xfId="13478"/>
    <cellStyle name="常规 5 2 2 2 2 6 2 2 3 2" xfId="1806"/>
    <cellStyle name="常规 5 2 2 2 2 6 2 2 4" xfId="13489"/>
    <cellStyle name="常规 5 2 2 2 2 6 2 2 5" xfId="13492"/>
    <cellStyle name="常规 5 2 2 2 2 6 2 3" xfId="25854"/>
    <cellStyle name="常规 5 2 2 2 2 6 2 3 2" xfId="23590"/>
    <cellStyle name="常规 5 2 2 2 2 6 2 3 2 2" xfId="23593"/>
    <cellStyle name="常规 5 2 2 2 2 6 2 3 3" xfId="13496"/>
    <cellStyle name="常规 5 2 2 2 2 6 2 3 4" xfId="23619"/>
    <cellStyle name="常规 5 2 2 2 2 6 2 4" xfId="25856"/>
    <cellStyle name="常规 5 2 2 2 2 6 2 4 2" xfId="23654"/>
    <cellStyle name="常规 5 2 2 2 2 6 2 5" xfId="25858"/>
    <cellStyle name="常规 5 2 2 2 2 6 2 6" xfId="25861"/>
    <cellStyle name="常规 5 2 2 2 2 6 3" xfId="13899"/>
    <cellStyle name="常规 5 2 2 2 2 6 3 2" xfId="13902"/>
    <cellStyle name="常规 5 2 2 2 2 6 3 2 2" xfId="3443"/>
    <cellStyle name="常规 5 2 2 2 2 6 3 2 2 2" xfId="13905"/>
    <cellStyle name="常规 5 2 2 2 2 6 3 2 3" xfId="4341"/>
    <cellStyle name="常规 5 2 2 2 2 6 3 2 4" xfId="13907"/>
    <cellStyle name="常规 5 2 2 2 2 6 3 3" xfId="13910"/>
    <cellStyle name="常规 5 2 2 2 2 6 3 3 2" xfId="4391"/>
    <cellStyle name="常规 5 2 2 2 2 6 3 4" xfId="7852"/>
    <cellStyle name="常规 5 2 2 2 2 6 3 5" xfId="13912"/>
    <cellStyle name="常规 5 2 2 2 2 6 4" xfId="13916"/>
    <cellStyle name="常规 5 2 2 2 2 6 4 2" xfId="13919"/>
    <cellStyle name="常规 5 2 2 2 2 6 4 2 2" xfId="4498"/>
    <cellStyle name="常规 5 2 2 2 2 6 4 3" xfId="13921"/>
    <cellStyle name="常规 5 2 2 2 2 6 4 4" xfId="13923"/>
    <cellStyle name="常规 5 2 2 2 2 6 5" xfId="13928"/>
    <cellStyle name="常规 5 2 2 2 2 6 5 2" xfId="13934"/>
    <cellStyle name="常规 5 2 2 2 2 6 6" xfId="13940"/>
    <cellStyle name="常规 5 2 2 2 2 6 7" xfId="13948"/>
    <cellStyle name="常规 5 2 2 2 2 7" xfId="25863"/>
    <cellStyle name="常规 5 2 2 2 2 7 2" xfId="25865"/>
    <cellStyle name="常规 5 2 2 2 2 7 2 2" xfId="25867"/>
    <cellStyle name="常规 5 2 2 2 2 7 2 2 2" xfId="25871"/>
    <cellStyle name="常规 5 2 2 2 2 7 2 2 2 2" xfId="18436"/>
    <cellStyle name="常规 5 2 2 2 2 7 2 2 3" xfId="13630"/>
    <cellStyle name="常规 5 2 2 2 2 7 2 2 4" xfId="25872"/>
    <cellStyle name="常规 5 2 2 2 2 7 2 3" xfId="25874"/>
    <cellStyle name="常规 5 2 2 2 2 7 2 3 2" xfId="23960"/>
    <cellStyle name="常规 5 2 2 2 2 7 2 4" xfId="25876"/>
    <cellStyle name="常规 5 2 2 2 2 7 2 5" xfId="25877"/>
    <cellStyle name="常规 5 2 2 2 2 7 3" xfId="13955"/>
    <cellStyle name="常规 5 2 2 2 2 7 3 2" xfId="13959"/>
    <cellStyle name="常规 5 2 2 2 2 7 3 2 2" xfId="4703"/>
    <cellStyle name="常规 5 2 2 2 2 7 3 3" xfId="13961"/>
    <cellStyle name="常规 5 2 2 2 2 7 3 4" xfId="13963"/>
    <cellStyle name="常规 5 2 2 2 2 7 4" xfId="13967"/>
    <cellStyle name="常规 5 2 2 2 2 7 4 2" xfId="13969"/>
    <cellStyle name="常规 5 2 2 2 2 7 5" xfId="13974"/>
    <cellStyle name="常规 5 2 2 2 2 7 6" xfId="13979"/>
    <cellStyle name="常规 5 2 2 2 2 8" xfId="25879"/>
    <cellStyle name="常规 5 2 2 2 2 8 2" xfId="25880"/>
    <cellStyle name="常规 5 2 2 2 2 8 2 2" xfId="25881"/>
    <cellStyle name="常规 5 2 2 2 2 8 2 2 2" xfId="25884"/>
    <cellStyle name="常规 5 2 2 2 2 8 2 3" xfId="25885"/>
    <cellStyle name="常规 5 2 2 2 2 8 2 4" xfId="25886"/>
    <cellStyle name="常规 5 2 2 2 2 8 3" xfId="13984"/>
    <cellStyle name="常规 5 2 2 2 2 8 3 2" xfId="13986"/>
    <cellStyle name="常规 5 2 2 2 2 8 4" xfId="1705"/>
    <cellStyle name="常规 5 2 2 2 2 8 5" xfId="13988"/>
    <cellStyle name="常规 5 2 2 2 2 9" xfId="25887"/>
    <cellStyle name="常规 5 2 2 2 2 9 2" xfId="25888"/>
    <cellStyle name="常规 5 2 2 2 2 9 2 2" xfId="4099"/>
    <cellStyle name="常规 5 2 2 2 2 9 3" xfId="13992"/>
    <cellStyle name="常规 5 2 2 2 2 9 4" xfId="1709"/>
    <cellStyle name="常规 5 2 2 2 3" xfId="25890"/>
    <cellStyle name="常规 5 2 2 2 3 10" xfId="25892"/>
    <cellStyle name="常规 5 2 2 2 3 11" xfId="25893"/>
    <cellStyle name="常规 5 2 2 2 3 2" xfId="25896"/>
    <cellStyle name="常规 5 2 2 2 3 2 2" xfId="12589"/>
    <cellStyle name="常规 5 2 2 2 3 2 2 2" xfId="1974"/>
    <cellStyle name="常规 5 2 2 2 3 2 2 2 2" xfId="25898"/>
    <cellStyle name="常规 5 2 2 2 3 2 2 2 2 2" xfId="25900"/>
    <cellStyle name="常规 5 2 2 2 3 2 2 2 2 2 2" xfId="25903"/>
    <cellStyle name="常规 5 2 2 2 3 2 2 2 2 2 2 2" xfId="25906"/>
    <cellStyle name="常规 5 2 2 2 3 2 2 2 2 2 2 2 2" xfId="22909"/>
    <cellStyle name="常规 5 2 2 2 3 2 2 2 2 2 2 3" xfId="25908"/>
    <cellStyle name="常规 5 2 2 2 3 2 2 2 2 2 2 4" xfId="25910"/>
    <cellStyle name="常规 5 2 2 2 3 2 2 2 2 2 3" xfId="25350"/>
    <cellStyle name="常规 5 2 2 2 3 2 2 2 2 2 3 2" xfId="25912"/>
    <cellStyle name="常规 5 2 2 2 3 2 2 2 2 2 4" xfId="25915"/>
    <cellStyle name="常规 5 2 2 2 3 2 2 2 2 2 5" xfId="25917"/>
    <cellStyle name="常规 5 2 2 2 3 2 2 2 2 3" xfId="25919"/>
    <cellStyle name="常规 5 2 2 2 3 2 2 2 2 3 2" xfId="25922"/>
    <cellStyle name="常规 5 2 2 2 3 2 2 2 2 3 2 2" xfId="25925"/>
    <cellStyle name="常规 5 2 2 2 3 2 2 2 2 3 3" xfId="25928"/>
    <cellStyle name="常规 5 2 2 2 3 2 2 2 2 3 4" xfId="25930"/>
    <cellStyle name="常规 5 2 2 2 3 2 2 2 2 4" xfId="25932"/>
    <cellStyle name="常规 5 2 2 2 3 2 2 2 2 4 2" xfId="25934"/>
    <cellStyle name="常规 5 2 2 2 3 2 2 2 2 5" xfId="25936"/>
    <cellStyle name="常规 5 2 2 2 3 2 2 2 2 6" xfId="25939"/>
    <cellStyle name="常规 5 2 2 2 3 2 2 2 3" xfId="22144"/>
    <cellStyle name="常规 5 2 2 2 3 2 2 2 3 2" xfId="22147"/>
    <cellStyle name="常规 5 2 2 2 3 2 2 2 3 2 2" xfId="25942"/>
    <cellStyle name="常规 5 2 2 2 3 2 2 2 3 2 2 2" xfId="25944"/>
    <cellStyle name="常规 5 2 2 2 3 2 2 2 3 2 3" xfId="25947"/>
    <cellStyle name="常规 5 2 2 2 3 2 2 2 3 2 4" xfId="25949"/>
    <cellStyle name="常规 5 2 2 2 3 2 2 2 3 3" xfId="25951"/>
    <cellStyle name="常规 5 2 2 2 3 2 2 2 3 3 2" xfId="25953"/>
    <cellStyle name="常规 5 2 2 2 3 2 2 2 3 4" xfId="25955"/>
    <cellStyle name="常规 5 2 2 2 3 2 2 2 3 5" xfId="25957"/>
    <cellStyle name="常规 5 2 2 2 3 2 2 2 4" xfId="22150"/>
    <cellStyle name="常规 5 2 2 2 3 2 2 2 4 2" xfId="25959"/>
    <cellStyle name="常规 5 2 2 2 3 2 2 2 4 2 2" xfId="18138"/>
    <cellStyle name="常规 5 2 2 2 3 2 2 2 4 3" xfId="25961"/>
    <cellStyle name="常规 5 2 2 2 3 2 2 2 4 4" xfId="10902"/>
    <cellStyle name="常规 5 2 2 2 3 2 2 2 5" xfId="22153"/>
    <cellStyle name="常规 5 2 2 2 3 2 2 2 5 2" xfId="25963"/>
    <cellStyle name="常规 5 2 2 2 3 2 2 2 6" xfId="25967"/>
    <cellStyle name="常规 5 2 2 2 3 2 2 2 7" xfId="25972"/>
    <cellStyle name="常规 5 2 2 2 3 2 2 3" xfId="25974"/>
    <cellStyle name="常规 5 2 2 2 3 2 2 3 2" xfId="25976"/>
    <cellStyle name="常规 5 2 2 2 3 2 2 3 2 2" xfId="25978"/>
    <cellStyle name="常规 5 2 2 2 3 2 2 3 2 2 2" xfId="25981"/>
    <cellStyle name="常规 5 2 2 2 3 2 2 3 2 2 2 2" xfId="25983"/>
    <cellStyle name="常规 5 2 2 2 3 2 2 3 2 2 3" xfId="6979"/>
    <cellStyle name="常规 5 2 2 2 3 2 2 3 2 2 4" xfId="25985"/>
    <cellStyle name="常规 5 2 2 2 3 2 2 3 2 3" xfId="25987"/>
    <cellStyle name="常规 5 2 2 2 3 2 2 3 2 3 2" xfId="25989"/>
    <cellStyle name="常规 5 2 2 2 3 2 2 3 2 4" xfId="25992"/>
    <cellStyle name="常规 5 2 2 2 3 2 2 3 2 5" xfId="25994"/>
    <cellStyle name="常规 5 2 2 2 3 2 2 3 3" xfId="22157"/>
    <cellStyle name="常规 5 2 2 2 3 2 2 3 3 2" xfId="25996"/>
    <cellStyle name="常规 5 2 2 2 3 2 2 3 3 2 2" xfId="25998"/>
    <cellStyle name="常规 5 2 2 2 3 2 2 3 3 3" xfId="26000"/>
    <cellStyle name="常规 5 2 2 2 3 2 2 3 3 4" xfId="26002"/>
    <cellStyle name="常规 5 2 2 2 3 2 2 3 4" xfId="22920"/>
    <cellStyle name="常规 5 2 2 2 3 2 2 3 4 2" xfId="22923"/>
    <cellStyle name="常规 5 2 2 2 3 2 2 3 5" xfId="22930"/>
    <cellStyle name="常规 5 2 2 2 3 2 2 3 6" xfId="22941"/>
    <cellStyle name="常规 5 2 2 2 3 2 2 4" xfId="26004"/>
    <cellStyle name="常规 5 2 2 2 3 2 2 4 2" xfId="26006"/>
    <cellStyle name="常规 5 2 2 2 3 2 2 4 2 2" xfId="26008"/>
    <cellStyle name="常规 5 2 2 2 3 2 2 4 2 2 2" xfId="26011"/>
    <cellStyle name="常规 5 2 2 2 3 2 2 4 2 3" xfId="26013"/>
    <cellStyle name="常规 5 2 2 2 3 2 2 4 2 4" xfId="26016"/>
    <cellStyle name="常规 5 2 2 2 3 2 2 4 3" xfId="26018"/>
    <cellStyle name="常规 5 2 2 2 3 2 2 4 3 2" xfId="26020"/>
    <cellStyle name="常规 5 2 2 2 3 2 2 4 4" xfId="22952"/>
    <cellStyle name="常规 5 2 2 2 3 2 2 4 5" xfId="22958"/>
    <cellStyle name="常规 5 2 2 2 3 2 2 5" xfId="26023"/>
    <cellStyle name="常规 5 2 2 2 3 2 2 5 2" xfId="26026"/>
    <cellStyle name="常规 5 2 2 2 3 2 2 5 2 2" xfId="26029"/>
    <cellStyle name="常规 5 2 2 2 3 2 2 5 3" xfId="26031"/>
    <cellStyle name="常规 5 2 2 2 3 2 2 5 4" xfId="22970"/>
    <cellStyle name="常规 5 2 2 2 3 2 2 6" xfId="13050"/>
    <cellStyle name="常规 5 2 2 2 3 2 2 6 2" xfId="13054"/>
    <cellStyle name="常规 5 2 2 2 3 2 2 7" xfId="13062"/>
    <cellStyle name="常规 5 2 2 2 3 2 2 8" xfId="13069"/>
    <cellStyle name="常规 5 2 2 2 3 2 3" xfId="12593"/>
    <cellStyle name="常规 5 2 2 2 3 2 3 2" xfId="2280"/>
    <cellStyle name="常规 5 2 2 2 3 2 3 2 2" xfId="9513"/>
    <cellStyle name="常规 5 2 2 2 3 2 3 2 2 2" xfId="17205"/>
    <cellStyle name="常规 5 2 2 2 3 2 3 2 2 2 2" xfId="26034"/>
    <cellStyle name="常规 5 2 2 2 3 2 3 2 2 2 2 2" xfId="20308"/>
    <cellStyle name="常规 5 2 2 2 3 2 3 2 2 2 3" xfId="25633"/>
    <cellStyle name="常规 5 2 2 2 3 2 3 2 2 2 4" xfId="26036"/>
    <cellStyle name="常规 5 2 2 2 3 2 3 2 2 3" xfId="17209"/>
    <cellStyle name="常规 5 2 2 2 3 2 3 2 2 3 2" xfId="26038"/>
    <cellStyle name="常规 5 2 2 2 3 2 3 2 2 4" xfId="1013"/>
    <cellStyle name="常规 5 2 2 2 3 2 3 2 2 5" xfId="1022"/>
    <cellStyle name="常规 5 2 2 2 3 2 3 2 3" xfId="9517"/>
    <cellStyle name="常规 5 2 2 2 3 2 3 2 3 2" xfId="26040"/>
    <cellStyle name="常规 5 2 2 2 3 2 3 2 3 2 2" xfId="26042"/>
    <cellStyle name="常规 5 2 2 2 3 2 3 2 3 3" xfId="26044"/>
    <cellStyle name="常规 5 2 2 2 3 2 3 2 3 4" xfId="1037"/>
    <cellStyle name="常规 5 2 2 2 3 2 3 2 4" xfId="26046"/>
    <cellStyle name="常规 5 2 2 2 3 2 3 2 4 2" xfId="26050"/>
    <cellStyle name="常规 5 2 2 2 3 2 3 2 5" xfId="26052"/>
    <cellStyle name="常规 5 2 2 2 3 2 3 2 6" xfId="26056"/>
    <cellStyle name="常规 5 2 2 2 3 2 3 3" xfId="26058"/>
    <cellStyle name="常规 5 2 2 2 3 2 3 3 2" xfId="9530"/>
    <cellStyle name="常规 5 2 2 2 3 2 3 3 2 2" xfId="26060"/>
    <cellStyle name="常规 5 2 2 2 3 2 3 3 2 2 2" xfId="26063"/>
    <cellStyle name="常规 5 2 2 2 3 2 3 3 2 3" xfId="26065"/>
    <cellStyle name="常规 5 2 2 2 3 2 3 3 2 4" xfId="4937"/>
    <cellStyle name="常规 5 2 2 2 3 2 3 3 3" xfId="16499"/>
    <cellStyle name="常规 5 2 2 2 3 2 3 3 3 2" xfId="26067"/>
    <cellStyle name="常规 5 2 2 2 3 2 3 3 4" xfId="23000"/>
    <cellStyle name="常规 5 2 2 2 3 2 3 3 5" xfId="23010"/>
    <cellStyle name="常规 5 2 2 2 3 2 3 4" xfId="26069"/>
    <cellStyle name="常规 5 2 2 2 3 2 3 4 2" xfId="26071"/>
    <cellStyle name="常规 5 2 2 2 3 2 3 4 2 2" xfId="26073"/>
    <cellStyle name="常规 5 2 2 2 3 2 3 4 3" xfId="18862"/>
    <cellStyle name="常规 5 2 2 2 3 2 3 4 4" xfId="23022"/>
    <cellStyle name="常规 5 2 2 2 3 2 3 5" xfId="26077"/>
    <cellStyle name="常规 5 2 2 2 3 2 3 5 2" xfId="26079"/>
    <cellStyle name="常规 5 2 2 2 3 2 3 6" xfId="13076"/>
    <cellStyle name="常规 5 2 2 2 3 2 3 7" xfId="26085"/>
    <cellStyle name="常规 5 2 2 2 3 2 4" xfId="2594"/>
    <cellStyle name="常规 5 2 2 2 3 2 4 2" xfId="26087"/>
    <cellStyle name="常规 5 2 2 2 3 2 4 2 2" xfId="9561"/>
    <cellStyle name="常规 5 2 2 2 3 2 4 2 2 2" xfId="26089"/>
    <cellStyle name="常规 5 2 2 2 3 2 4 2 2 2 2" xfId="26091"/>
    <cellStyle name="常规 5 2 2 2 3 2 4 2 2 3" xfId="26093"/>
    <cellStyle name="常规 5 2 2 2 3 2 4 2 2 4" xfId="1090"/>
    <cellStyle name="常规 5 2 2 2 3 2 4 2 3" xfId="26095"/>
    <cellStyle name="常规 5 2 2 2 3 2 4 2 3 2" xfId="26097"/>
    <cellStyle name="常规 5 2 2 2 3 2 4 2 4" xfId="26099"/>
    <cellStyle name="常规 5 2 2 2 3 2 4 2 5" xfId="13878"/>
    <cellStyle name="常规 5 2 2 2 3 2 4 3" xfId="26101"/>
    <cellStyle name="常规 5 2 2 2 3 2 4 3 2" xfId="26103"/>
    <cellStyle name="常规 5 2 2 2 3 2 4 3 2 2" xfId="26105"/>
    <cellStyle name="常规 5 2 2 2 3 2 4 3 3" xfId="26107"/>
    <cellStyle name="常规 5 2 2 2 3 2 4 3 4" xfId="23042"/>
    <cellStyle name="常规 5 2 2 2 3 2 4 4" xfId="26109"/>
    <cellStyle name="常规 5 2 2 2 3 2 4 4 2" xfId="7442"/>
    <cellStyle name="常规 5 2 2 2 3 2 4 5" xfId="17976"/>
    <cellStyle name="常规 5 2 2 2 3 2 4 6" xfId="26112"/>
    <cellStyle name="常规 5 2 2 2 3 2 5" xfId="26114"/>
    <cellStyle name="常规 5 2 2 2 3 2 5 2" xfId="26116"/>
    <cellStyle name="常规 5 2 2 2 3 2 5 2 2" xfId="26118"/>
    <cellStyle name="常规 5 2 2 2 3 2 5 2 2 2" xfId="26120"/>
    <cellStyle name="常规 5 2 2 2 3 2 5 2 3" xfId="26122"/>
    <cellStyle name="常规 5 2 2 2 3 2 5 2 4" xfId="26124"/>
    <cellStyle name="常规 5 2 2 2 3 2 5 3" xfId="26126"/>
    <cellStyle name="常规 5 2 2 2 3 2 5 3 2" xfId="26128"/>
    <cellStyle name="常规 5 2 2 2 3 2 5 4" xfId="15816"/>
    <cellStyle name="常规 5 2 2 2 3 2 5 5" xfId="26130"/>
    <cellStyle name="常规 5 2 2 2 3 2 6" xfId="24898"/>
    <cellStyle name="常规 5 2 2 2 3 2 6 2" xfId="19472"/>
    <cellStyle name="常规 5 2 2 2 3 2 6 2 2" xfId="24903"/>
    <cellStyle name="常规 5 2 2 2 3 2 6 3" xfId="19375"/>
    <cellStyle name="常规 5 2 2 2 3 2 6 4" xfId="24937"/>
    <cellStyle name="常规 5 2 2 2 3 2 7" xfId="21982"/>
    <cellStyle name="常规 5 2 2 2 3 2 7 2" xfId="24945"/>
    <cellStyle name="常规 5 2 2 2 3 2 8" xfId="24966"/>
    <cellStyle name="常规 5 2 2 2 3 2 9" xfId="24978"/>
    <cellStyle name="常规 5 2 2 2 3 3" xfId="26133"/>
    <cellStyle name="常规 5 2 2 2 3 3 2" xfId="26136"/>
    <cellStyle name="常规 5 2 2 2 3 3 2 2" xfId="3789"/>
    <cellStyle name="常规 5 2 2 2 3 3 2 2 2" xfId="26138"/>
    <cellStyle name="常规 5 2 2 2 3 3 2 2 2 2" xfId="26140"/>
    <cellStyle name="常规 5 2 2 2 3 3 2 2 2 2 2" xfId="26143"/>
    <cellStyle name="常规 5 2 2 2 3 3 2 2 2 2 2 2" xfId="24309"/>
    <cellStyle name="常规 5 2 2 2 3 3 2 2 2 2 2 2 2" xfId="26144"/>
    <cellStyle name="常规 5 2 2 2 3 3 2 2 2 2 2 3" xfId="23164"/>
    <cellStyle name="常规 5 2 2 2 3 3 2 2 2 2 2 4" xfId="23166"/>
    <cellStyle name="常规 5 2 2 2 3 3 2 2 2 2 3" xfId="26148"/>
    <cellStyle name="常规 5 2 2 2 3 3 2 2 2 2 3 2" xfId="26149"/>
    <cellStyle name="常规 5 2 2 2 3 3 2 2 2 2 4" xfId="26151"/>
    <cellStyle name="常规 5 2 2 2 3 3 2 2 2 2 5" xfId="26152"/>
    <cellStyle name="常规 5 2 2 2 3 3 2 2 2 3" xfId="26154"/>
    <cellStyle name="常规 5 2 2 2 3 3 2 2 2 3 2" xfId="26156"/>
    <cellStyle name="常规 5 2 2 2 3 3 2 2 2 3 2 2" xfId="26157"/>
    <cellStyle name="常规 5 2 2 2 3 3 2 2 2 3 3" xfId="26158"/>
    <cellStyle name="常规 5 2 2 2 3 3 2 2 2 3 4" xfId="24677"/>
    <cellStyle name="常规 5 2 2 2 3 3 2 2 2 4" xfId="26160"/>
    <cellStyle name="常规 5 2 2 2 3 3 2 2 2 4 2" xfId="26161"/>
    <cellStyle name="常规 5 2 2 2 3 3 2 2 2 5" xfId="26163"/>
    <cellStyle name="常规 5 2 2 2 3 3 2 2 2 6" xfId="26164"/>
    <cellStyle name="常规 5 2 2 2 3 3 2 2 3" xfId="22172"/>
    <cellStyle name="常规 5 2 2 2 3 3 2 2 3 2" xfId="26166"/>
    <cellStyle name="常规 5 2 2 2 3 3 2 2 3 2 2" xfId="26168"/>
    <cellStyle name="常规 5 2 2 2 3 3 2 2 3 2 2 2" xfId="26169"/>
    <cellStyle name="常规 5 2 2 2 3 3 2 2 3 2 3" xfId="23108"/>
    <cellStyle name="常规 5 2 2 2 3 3 2 2 3 2 4" xfId="23117"/>
    <cellStyle name="常规 5 2 2 2 3 3 2 2 3 3" xfId="26171"/>
    <cellStyle name="常规 5 2 2 2 3 3 2 2 3 3 2" xfId="26172"/>
    <cellStyle name="常规 5 2 2 2 3 3 2 2 3 4" xfId="26174"/>
    <cellStyle name="常规 5 2 2 2 3 3 2 2 3 5" xfId="26175"/>
    <cellStyle name="常规 5 2 2 2 3 3 2 2 4" xfId="26177"/>
    <cellStyle name="常规 5 2 2 2 3 3 2 2 4 2" xfId="26179"/>
    <cellStyle name="常规 5 2 2 2 3 3 2 2 4 2 2" xfId="23342"/>
    <cellStyle name="常规 5 2 2 2 3 3 2 2 4 3" xfId="26180"/>
    <cellStyle name="常规 5 2 2 2 3 3 2 2 4 4" xfId="26181"/>
    <cellStyle name="常规 5 2 2 2 3 3 2 2 5" xfId="26183"/>
    <cellStyle name="常规 5 2 2 2 3 3 2 2 5 2" xfId="26147"/>
    <cellStyle name="常规 5 2 2 2 3 3 2 2 6" xfId="26187"/>
    <cellStyle name="常规 5 2 2 2 3 3 2 2 7" xfId="26189"/>
    <cellStyle name="常规 5 2 2 2 3 3 2 3" xfId="26191"/>
    <cellStyle name="常规 5 2 2 2 3 3 2 3 2" xfId="26193"/>
    <cellStyle name="常规 5 2 2 2 3 3 2 3 2 2" xfId="26195"/>
    <cellStyle name="常规 5 2 2 2 3 3 2 3 2 2 2" xfId="26198"/>
    <cellStyle name="常规 5 2 2 2 3 3 2 3 2 2 2 2" xfId="20505"/>
    <cellStyle name="常规 5 2 2 2 3 3 2 3 2 2 3" xfId="26200"/>
    <cellStyle name="常规 5 2 2 2 3 3 2 3 2 2 4" xfId="26201"/>
    <cellStyle name="常规 5 2 2 2 3 3 2 3 2 3" xfId="26203"/>
    <cellStyle name="常规 5 2 2 2 3 3 2 3 2 3 2" xfId="26204"/>
    <cellStyle name="常规 5 2 2 2 3 3 2 3 2 4" xfId="26206"/>
    <cellStyle name="常规 5 2 2 2 3 3 2 3 2 5" xfId="26207"/>
    <cellStyle name="常规 5 2 2 2 3 3 2 3 3" xfId="26209"/>
    <cellStyle name="常规 5 2 2 2 3 3 2 3 3 2" xfId="21199"/>
    <cellStyle name="常规 5 2 2 2 3 3 2 3 3 2 2" xfId="26210"/>
    <cellStyle name="常规 5 2 2 2 3 3 2 3 3 3" xfId="21201"/>
    <cellStyle name="常规 5 2 2 2 3 3 2 3 3 4" xfId="26211"/>
    <cellStyle name="常规 5 2 2 2 3 3 2 3 4" xfId="23078"/>
    <cellStyle name="常规 5 2 2 2 3 3 2 3 4 2" xfId="23080"/>
    <cellStyle name="常规 5 2 2 2 3 3 2 3 5" xfId="23106"/>
    <cellStyle name="常规 5 2 2 2 3 3 2 3 6" xfId="23123"/>
    <cellStyle name="常规 5 2 2 2 3 3 2 4" xfId="26213"/>
    <cellStyle name="常规 5 2 2 2 3 3 2 4 2" xfId="26215"/>
    <cellStyle name="常规 5 2 2 2 3 3 2 4 2 2" xfId="22912"/>
    <cellStyle name="常规 5 2 2 2 3 3 2 4 2 2 2" xfId="22913"/>
    <cellStyle name="常规 5 2 2 2 3 3 2 4 2 3" xfId="26216"/>
    <cellStyle name="常规 5 2 2 2 3 3 2 4 2 4" xfId="26217"/>
    <cellStyle name="常规 5 2 2 2 3 3 2 4 3" xfId="26219"/>
    <cellStyle name="常规 5 2 2 2 3 3 2 4 3 2" xfId="1295"/>
    <cellStyle name="常规 5 2 2 2 3 3 2 4 4" xfId="23134"/>
    <cellStyle name="常规 5 2 2 2 3 3 2 4 5" xfId="23149"/>
    <cellStyle name="常规 5 2 2 2 3 3 2 5" xfId="26222"/>
    <cellStyle name="常规 5 2 2 2 3 3 2 5 2" xfId="26224"/>
    <cellStyle name="常规 5 2 2 2 3 3 2 5 2 2" xfId="24040"/>
    <cellStyle name="常规 5 2 2 2 3 3 2 5 3" xfId="26225"/>
    <cellStyle name="常规 5 2 2 2 3 3 2 5 4" xfId="23162"/>
    <cellStyle name="常规 5 2 2 2 3 3 2 6" xfId="26229"/>
    <cellStyle name="常规 5 2 2 2 3 3 2 6 2" xfId="15076"/>
    <cellStyle name="常规 5 2 2 2 3 3 2 7" xfId="26235"/>
    <cellStyle name="常规 5 2 2 2 3 3 2 8" xfId="26239"/>
    <cellStyle name="常规 5 2 2 2 3 3 3" xfId="26241"/>
    <cellStyle name="常规 5 2 2 2 3 3 3 2" xfId="3819"/>
    <cellStyle name="常规 5 2 2 2 3 3 3 2 2" xfId="9617"/>
    <cellStyle name="常规 5 2 2 2 3 3 3 2 2 2" xfId="26243"/>
    <cellStyle name="常规 5 2 2 2 3 3 3 2 2 2 2" xfId="26245"/>
    <cellStyle name="常规 5 2 2 2 3 3 3 2 2 2 2 2" xfId="26246"/>
    <cellStyle name="常规 5 2 2 2 3 3 3 2 2 2 3" xfId="26247"/>
    <cellStyle name="常规 5 2 2 2 3 3 3 2 2 2 4" xfId="26248"/>
    <cellStyle name="常规 5 2 2 2 3 3 3 2 2 3" xfId="26250"/>
    <cellStyle name="常规 5 2 2 2 3 3 3 2 2 3 2" xfId="26251"/>
    <cellStyle name="常规 5 2 2 2 3 3 3 2 2 4" xfId="4798"/>
    <cellStyle name="常规 5 2 2 2 3 3 3 2 2 5" xfId="20907"/>
    <cellStyle name="常规 5 2 2 2 3 3 3 2 3" xfId="26253"/>
    <cellStyle name="常规 5 2 2 2 3 3 3 2 3 2" xfId="26255"/>
    <cellStyle name="常规 5 2 2 2 3 3 3 2 3 2 2" xfId="26256"/>
    <cellStyle name="常规 5 2 2 2 3 3 3 2 3 3" xfId="26257"/>
    <cellStyle name="常规 5 2 2 2 3 3 3 2 3 4" xfId="13506"/>
    <cellStyle name="常规 5 2 2 2 3 3 3 2 4" xfId="7048"/>
    <cellStyle name="常规 5 2 2 2 3 3 3 2 4 2" xfId="378"/>
    <cellStyle name="常规 5 2 2 2 3 3 3 2 5" xfId="7051"/>
    <cellStyle name="常规 5 2 2 2 3 3 3 2 6" xfId="7052"/>
    <cellStyle name="常规 5 2 2 2 3 3 3 3" xfId="26259"/>
    <cellStyle name="常规 5 2 2 2 3 3 3 3 2" xfId="26261"/>
    <cellStyle name="常规 5 2 2 2 3 3 3 3 2 2" xfId="26263"/>
    <cellStyle name="常规 5 2 2 2 3 3 3 3 2 2 2" xfId="24659"/>
    <cellStyle name="常规 5 2 2 2 3 3 3 3 2 3" xfId="1210"/>
    <cellStyle name="常规 5 2 2 2 3 3 3 3 2 4" xfId="26264"/>
    <cellStyle name="常规 5 2 2 2 3 3 3 3 3" xfId="26266"/>
    <cellStyle name="常规 5 2 2 2 3 3 3 3 3 2" xfId="26267"/>
    <cellStyle name="常规 5 2 2 2 3 3 3 3 4" xfId="99"/>
    <cellStyle name="常规 5 2 2 2 3 3 3 3 5" xfId="23202"/>
    <cellStyle name="常规 5 2 2 2 3 3 3 4" xfId="26269"/>
    <cellStyle name="常规 5 2 2 2 3 3 3 4 2" xfId="9269"/>
    <cellStyle name="常规 5 2 2 2 3 3 3 4 2 2" xfId="26270"/>
    <cellStyle name="常规 5 2 2 2 3 3 3 4 3" xfId="9271"/>
    <cellStyle name="常规 5 2 2 2 3 3 3 4 4" xfId="23214"/>
    <cellStyle name="常规 5 2 2 2 3 3 3 5" xfId="26272"/>
    <cellStyle name="常规 5 2 2 2 3 3 3 5 2" xfId="9276"/>
    <cellStyle name="常规 5 2 2 2 3 3 3 6" xfId="26276"/>
    <cellStyle name="常规 5 2 2 2 3 3 3 7" xfId="26280"/>
    <cellStyle name="常规 5 2 2 2 3 3 4" xfId="26283"/>
    <cellStyle name="常规 5 2 2 2 3 3 4 2" xfId="26285"/>
    <cellStyle name="常规 5 2 2 2 3 3 4 2 2" xfId="26287"/>
    <cellStyle name="常规 5 2 2 2 3 3 4 2 2 2" xfId="22882"/>
    <cellStyle name="常规 5 2 2 2 3 3 4 2 2 2 2" xfId="22884"/>
    <cellStyle name="常规 5 2 2 2 3 3 4 2 2 3" xfId="22888"/>
    <cellStyle name="常规 5 2 2 2 3 3 4 2 2 4" xfId="22891"/>
    <cellStyle name="常规 5 2 2 2 3 3 4 2 3" xfId="26289"/>
    <cellStyle name="常规 5 2 2 2 3 3 4 2 3 2" xfId="22898"/>
    <cellStyle name="常规 5 2 2 2 3 3 4 2 4" xfId="7057"/>
    <cellStyle name="常规 5 2 2 2 3 3 4 2 5" xfId="26290"/>
    <cellStyle name="常规 5 2 2 2 3 3 4 3" xfId="26292"/>
    <cellStyle name="常规 5 2 2 2 3 3 4 3 2" xfId="17095"/>
    <cellStyle name="常规 5 2 2 2 3 3 4 3 2 2" xfId="23071"/>
    <cellStyle name="常规 5 2 2 2 3 3 4 3 3" xfId="26293"/>
    <cellStyle name="常规 5 2 2 2 3 3 4 3 4" xfId="23234"/>
    <cellStyle name="常规 5 2 2 2 3 3 4 4" xfId="26295"/>
    <cellStyle name="常规 5 2 2 2 3 3 4 4 2" xfId="9288"/>
    <cellStyle name="常规 5 2 2 2 3 3 4 5" xfId="26297"/>
    <cellStyle name="常规 5 2 2 2 3 3 4 6" xfId="26299"/>
    <cellStyle name="常规 5 2 2 2 3 3 5" xfId="26301"/>
    <cellStyle name="常规 5 2 2 2 3 3 5 2" xfId="26303"/>
    <cellStyle name="常规 5 2 2 2 3 3 5 2 2" xfId="26305"/>
    <cellStyle name="常规 5 2 2 2 3 3 5 2 2 2" xfId="24033"/>
    <cellStyle name="常规 5 2 2 2 3 3 5 2 3" xfId="26306"/>
    <cellStyle name="常规 5 2 2 2 3 3 5 2 4" xfId="26307"/>
    <cellStyle name="常规 5 2 2 2 3 3 5 3" xfId="26309"/>
    <cellStyle name="常规 5 2 2 2 3 3 5 3 2" xfId="26310"/>
    <cellStyle name="常规 5 2 2 2 3 3 5 4" xfId="26312"/>
    <cellStyle name="常规 5 2 2 2 3 3 5 5" xfId="26313"/>
    <cellStyle name="常规 5 2 2 2 3 3 6" xfId="24990"/>
    <cellStyle name="常规 5 2 2 2 3 3 6 2" xfId="24994"/>
    <cellStyle name="常规 5 2 2 2 3 3 6 2 2" xfId="24998"/>
    <cellStyle name="常规 5 2 2 2 3 3 6 3" xfId="25007"/>
    <cellStyle name="常规 5 2 2 2 3 3 6 4" xfId="17256"/>
    <cellStyle name="常规 5 2 2 2 3 3 7" xfId="25014"/>
    <cellStyle name="常规 5 2 2 2 3 3 7 2" xfId="25017"/>
    <cellStyle name="常规 5 2 2 2 3 3 8" xfId="25027"/>
    <cellStyle name="常规 5 2 2 2 3 3 9" xfId="25036"/>
    <cellStyle name="常规 5 2 2 2 3 4" xfId="26316"/>
    <cellStyle name="常规 5 2 2 2 3 4 2" xfId="3747"/>
    <cellStyle name="常规 5 2 2 2 3 4 2 2" xfId="3993"/>
    <cellStyle name="常规 5 2 2 2 3 4 2 2 2" xfId="26319"/>
    <cellStyle name="常规 5 2 2 2 3 4 2 2 2 2" xfId="26322"/>
    <cellStyle name="常规 5 2 2 2 3 4 2 2 2 2 2" xfId="26325"/>
    <cellStyle name="常规 5 2 2 2 3 4 2 2 2 2 2 2" xfId="26327"/>
    <cellStyle name="常规 5 2 2 2 3 4 2 2 2 2 3" xfId="1420"/>
    <cellStyle name="常规 5 2 2 2 3 4 2 2 2 2 4" xfId="1430"/>
    <cellStyle name="常规 5 2 2 2 3 4 2 2 2 3" xfId="26330"/>
    <cellStyle name="常规 5 2 2 2 3 4 2 2 2 3 2" xfId="26332"/>
    <cellStyle name="常规 5 2 2 2 3 4 2 2 2 4" xfId="26335"/>
    <cellStyle name="常规 5 2 2 2 3 4 2 2 2 5" xfId="26337"/>
    <cellStyle name="常规 5 2 2 2 3 4 2 2 3" xfId="26339"/>
    <cellStyle name="常规 5 2 2 2 3 4 2 2 3 2" xfId="26343"/>
    <cellStyle name="常规 5 2 2 2 3 4 2 2 3 2 2" xfId="26348"/>
    <cellStyle name="常规 5 2 2 2 3 4 2 2 3 3" xfId="25651"/>
    <cellStyle name="常规 5 2 2 2 3 4 2 2 3 4" xfId="25657"/>
    <cellStyle name="常规 5 2 2 2 3 4 2 2 4" xfId="26350"/>
    <cellStyle name="常规 5 2 2 2 3 4 2 2 4 2" xfId="26354"/>
    <cellStyle name="常规 5 2 2 2 3 4 2 2 5" xfId="26356"/>
    <cellStyle name="常规 5 2 2 2 3 4 2 2 6" xfId="26360"/>
    <cellStyle name="常规 5 2 2 2 3 4 2 3" xfId="26363"/>
    <cellStyle name="常规 5 2 2 2 3 4 2 3 2" xfId="26366"/>
    <cellStyle name="常规 5 2 2 2 3 4 2 3 2 2" xfId="26369"/>
    <cellStyle name="常规 5 2 2 2 3 4 2 3 2 2 2" xfId="26371"/>
    <cellStyle name="常规 5 2 2 2 3 4 2 3 2 3" xfId="2396"/>
    <cellStyle name="常规 5 2 2 2 3 4 2 3 2 4" xfId="26373"/>
    <cellStyle name="常规 5 2 2 2 3 4 2 3 3" xfId="26375"/>
    <cellStyle name="常规 5 2 2 2 3 4 2 3 3 2" xfId="26379"/>
    <cellStyle name="常规 5 2 2 2 3 4 2 3 4" xfId="23274"/>
    <cellStyle name="常规 5 2 2 2 3 4 2 3 5" xfId="23287"/>
    <cellStyle name="常规 5 2 2 2 3 4 2 4" xfId="26382"/>
    <cellStyle name="常规 5 2 2 2 3 4 2 4 2" xfId="26385"/>
    <cellStyle name="常规 5 2 2 2 3 4 2 4 2 2" xfId="26387"/>
    <cellStyle name="常规 5 2 2 2 3 4 2 4 3" xfId="26389"/>
    <cellStyle name="常规 5 2 2 2 3 4 2 4 4" xfId="23300"/>
    <cellStyle name="常规 5 2 2 2 3 4 2 5" xfId="26392"/>
    <cellStyle name="常规 5 2 2 2 3 4 2 5 2" xfId="26394"/>
    <cellStyle name="常规 5 2 2 2 3 4 2 6" xfId="26400"/>
    <cellStyle name="常规 5 2 2 2 3 4 2 7" xfId="26405"/>
    <cellStyle name="常规 5 2 2 2 3 4 3" xfId="25471"/>
    <cellStyle name="常规 5 2 2 2 3 4 3 2" xfId="4017"/>
    <cellStyle name="常规 5 2 2 2 3 4 3 2 2" xfId="10692"/>
    <cellStyle name="常规 5 2 2 2 3 4 3 2 2 2" xfId="10696"/>
    <cellStyle name="常规 5 2 2 2 3 4 3 2 2 2 2" xfId="10699"/>
    <cellStyle name="常规 5 2 2 2 3 4 3 2 2 3" xfId="10838"/>
    <cellStyle name="常规 5 2 2 2 3 4 3 2 2 4" xfId="10918"/>
    <cellStyle name="常规 5 2 2 2 3 4 3 2 3" xfId="10985"/>
    <cellStyle name="常规 5 2 2 2 3 4 3 2 3 2" xfId="10992"/>
    <cellStyle name="常规 5 2 2 2 3 4 3 2 4" xfId="6889"/>
    <cellStyle name="常规 5 2 2 2 3 4 3 2 5" xfId="11274"/>
    <cellStyle name="常规 5 2 2 2 3 4 3 3" xfId="26408"/>
    <cellStyle name="常规 5 2 2 2 3 4 3 3 2" xfId="11817"/>
    <cellStyle name="常规 5 2 2 2 3 4 3 3 2 2" xfId="11820"/>
    <cellStyle name="常规 5 2 2 2 3 4 3 3 3" xfId="11978"/>
    <cellStyle name="常规 5 2 2 2 3 4 3 3 4" xfId="12089"/>
    <cellStyle name="常规 5 2 2 2 3 4 3 4" xfId="7875"/>
    <cellStyle name="常规 5 2 2 2 3 4 3 4 2" xfId="7878"/>
    <cellStyle name="常规 5 2 2 2 3 4 3 5" xfId="7886"/>
    <cellStyle name="常规 5 2 2 2 3 4 3 6" xfId="5756"/>
    <cellStyle name="常规 5 2 2 2 3 4 4" xfId="26410"/>
    <cellStyle name="常规 5 2 2 2 3 4 4 2" xfId="26413"/>
    <cellStyle name="常规 5 2 2 2 3 4 4 2 2" xfId="13539"/>
    <cellStyle name="常规 5 2 2 2 3 4 4 2 2 2" xfId="6531"/>
    <cellStyle name="常规 5 2 2 2 3 4 4 2 3" xfId="13639"/>
    <cellStyle name="常规 5 2 2 2 3 4 4 2 4" xfId="13698"/>
    <cellStyle name="常规 5 2 2 2 3 4 4 3" xfId="26416"/>
    <cellStyle name="常规 5 2 2 2 3 4 4 3 2" xfId="13996"/>
    <cellStyle name="常规 5 2 2 2 3 4 4 4" xfId="7891"/>
    <cellStyle name="常规 5 2 2 2 3 4 4 5" xfId="26418"/>
    <cellStyle name="常规 5 2 2 2 3 4 5" xfId="26420"/>
    <cellStyle name="常规 5 2 2 2 3 4 5 2" xfId="26423"/>
    <cellStyle name="常规 5 2 2 2 3 4 5 2 2" xfId="14797"/>
    <cellStyle name="常规 5 2 2 2 3 4 5 3" xfId="26425"/>
    <cellStyle name="常规 5 2 2 2 3 4 5 4" xfId="26428"/>
    <cellStyle name="常规 5 2 2 2 3 4 6" xfId="25044"/>
    <cellStyle name="常规 5 2 2 2 3 4 6 2" xfId="25048"/>
    <cellStyle name="常规 5 2 2 2 3 4 7" xfId="25054"/>
    <cellStyle name="常规 5 2 2 2 3 4 8" xfId="25060"/>
    <cellStyle name="常规 5 2 2 2 3 5" xfId="26431"/>
    <cellStyle name="常规 5 2 2 2 3 5 2" xfId="26433"/>
    <cellStyle name="常规 5 2 2 2 3 5 2 2" xfId="26436"/>
    <cellStyle name="常规 5 2 2 2 3 5 2 2 2" xfId="26439"/>
    <cellStyle name="常规 5 2 2 2 3 5 2 2 2 2" xfId="26444"/>
    <cellStyle name="常规 5 2 2 2 3 5 2 2 2 2 2" xfId="26446"/>
    <cellStyle name="常规 5 2 2 2 3 5 2 2 2 3" xfId="26448"/>
    <cellStyle name="常规 5 2 2 2 3 5 2 2 2 4" xfId="26450"/>
    <cellStyle name="常规 5 2 2 2 3 5 2 2 3" xfId="13864"/>
    <cellStyle name="常规 5 2 2 2 3 5 2 2 3 2" xfId="26452"/>
    <cellStyle name="常规 5 2 2 2 3 5 2 2 4" xfId="26455"/>
    <cellStyle name="常规 5 2 2 2 3 5 2 2 5" xfId="26457"/>
    <cellStyle name="常规 5 2 2 2 3 5 2 3" xfId="26460"/>
    <cellStyle name="常规 5 2 2 2 3 5 2 3 2" xfId="26463"/>
    <cellStyle name="常规 5 2 2 2 3 5 2 3 2 2" xfId="26465"/>
    <cellStyle name="常规 5 2 2 2 3 5 2 3 3" xfId="26468"/>
    <cellStyle name="常规 5 2 2 2 3 5 2 3 4" xfId="23349"/>
    <cellStyle name="常规 5 2 2 2 3 5 2 4" xfId="26471"/>
    <cellStyle name="常规 5 2 2 2 3 5 2 4 2" xfId="26473"/>
    <cellStyle name="常规 5 2 2 2 3 5 2 5" xfId="26477"/>
    <cellStyle name="常规 5 2 2 2 3 5 2 6" xfId="26481"/>
    <cellStyle name="常规 5 2 2 2 3 5 3" xfId="26483"/>
    <cellStyle name="常规 5 2 2 2 3 5 3 2" xfId="26486"/>
    <cellStyle name="常规 5 2 2 2 3 5 3 2 2" xfId="3034"/>
    <cellStyle name="常规 5 2 2 2 3 5 3 2 2 2" xfId="6425"/>
    <cellStyle name="常规 5 2 2 2 3 5 3 2 3" xfId="3966"/>
    <cellStyle name="常规 5 2 2 2 3 5 3 2 4" xfId="3977"/>
    <cellStyle name="常规 5 2 2 2 3 5 3 3" xfId="26489"/>
    <cellStyle name="常规 5 2 2 2 3 5 3 3 2" xfId="6435"/>
    <cellStyle name="常规 5 2 2 2 3 5 3 4" xfId="7900"/>
    <cellStyle name="常规 5 2 2 2 3 5 3 5" xfId="26491"/>
    <cellStyle name="常规 5 2 2 2 3 5 4" xfId="26493"/>
    <cellStyle name="常规 5 2 2 2 3 5 4 2" xfId="26496"/>
    <cellStyle name="常规 5 2 2 2 3 5 4 2 2" xfId="4228"/>
    <cellStyle name="常规 5 2 2 2 3 5 4 3" xfId="16654"/>
    <cellStyle name="常规 5 2 2 2 3 5 4 4" xfId="16661"/>
    <cellStyle name="常规 5 2 2 2 3 5 5" xfId="26498"/>
    <cellStyle name="常规 5 2 2 2 3 5 5 2" xfId="26500"/>
    <cellStyle name="常规 5 2 2 2 3 5 6" xfId="25066"/>
    <cellStyle name="常规 5 2 2 2 3 5 7" xfId="25070"/>
    <cellStyle name="常规 5 2 2 2 3 6" xfId="26502"/>
    <cellStyle name="常规 5 2 2 2 3 6 2" xfId="26504"/>
    <cellStyle name="常规 5 2 2 2 3 6 2 2" xfId="26507"/>
    <cellStyle name="常规 5 2 2 2 3 6 2 2 2" xfId="26511"/>
    <cellStyle name="常规 5 2 2 2 3 6 2 2 2 2" xfId="9931"/>
    <cellStyle name="常规 5 2 2 2 3 6 2 2 3" xfId="26514"/>
    <cellStyle name="常规 5 2 2 2 3 6 2 2 4" xfId="26516"/>
    <cellStyle name="常规 5 2 2 2 3 6 2 3" xfId="26519"/>
    <cellStyle name="常规 5 2 2 2 3 6 2 3 2" xfId="26521"/>
    <cellStyle name="常规 5 2 2 2 3 6 2 4" xfId="26524"/>
    <cellStyle name="常规 5 2 2 2 3 6 2 5" xfId="26526"/>
    <cellStyle name="常规 5 2 2 2 3 6 3" xfId="14002"/>
    <cellStyle name="常规 5 2 2 2 3 6 3 2" xfId="14006"/>
    <cellStyle name="常规 5 2 2 2 3 6 3 2 2" xfId="5277"/>
    <cellStyle name="常规 5 2 2 2 3 6 3 3" xfId="14009"/>
    <cellStyle name="常规 5 2 2 2 3 6 3 4" xfId="14012"/>
    <cellStyle name="常规 5 2 2 2 3 6 4" xfId="14016"/>
    <cellStyle name="常规 5 2 2 2 3 6 4 2" xfId="14019"/>
    <cellStyle name="常规 5 2 2 2 3 6 5" xfId="14023"/>
    <cellStyle name="常规 5 2 2 2 3 6 6" xfId="14027"/>
    <cellStyle name="常规 5 2 2 2 3 7" xfId="26528"/>
    <cellStyle name="常规 5 2 2 2 3 7 2" xfId="20478"/>
    <cellStyle name="常规 5 2 2 2 3 7 2 2" xfId="26531"/>
    <cellStyle name="常规 5 2 2 2 3 7 2 2 2" xfId="26533"/>
    <cellStyle name="常规 5 2 2 2 3 7 2 3" xfId="26535"/>
    <cellStyle name="常规 5 2 2 2 3 7 2 4" xfId="26537"/>
    <cellStyle name="常规 5 2 2 2 3 7 3" xfId="14034"/>
    <cellStyle name="常规 5 2 2 2 3 7 3 2" xfId="14038"/>
    <cellStyle name="常规 5 2 2 2 3 7 4" xfId="14041"/>
    <cellStyle name="常规 5 2 2 2 3 7 5" xfId="14043"/>
    <cellStyle name="常规 5 2 2 2 3 8" xfId="26538"/>
    <cellStyle name="常规 5 2 2 2 3 8 2" xfId="26539"/>
    <cellStyle name="常规 5 2 2 2 3 8 2 2" xfId="26541"/>
    <cellStyle name="常规 5 2 2 2 3 8 3" xfId="14047"/>
    <cellStyle name="常规 5 2 2 2 3 8 4" xfId="1732"/>
    <cellStyle name="常规 5 2 2 2 3 9" xfId="26542"/>
    <cellStyle name="常规 5 2 2 2 3 9 2" xfId="26543"/>
    <cellStyle name="常规 5 2 2 2 4" xfId="26545"/>
    <cellStyle name="常规 5 2 2 2 4 2" xfId="26548"/>
    <cellStyle name="常规 5 2 2 2 4 2 2" xfId="26551"/>
    <cellStyle name="常规 5 2 2 2 4 2 2 2" xfId="26553"/>
    <cellStyle name="常规 5 2 2 2 4 2 2 2 2" xfId="26556"/>
    <cellStyle name="常规 5 2 2 2 4 2 2 2 2 2" xfId="26560"/>
    <cellStyle name="常规 5 2 2 2 4 2 2 2 2 2 2" xfId="26565"/>
    <cellStyle name="常规 5 2 2 2 4 2 2 2 2 2 2 2" xfId="26567"/>
    <cellStyle name="常规 5 2 2 2 4 2 2 2 2 2 3" xfId="26571"/>
    <cellStyle name="常规 5 2 2 2 4 2 2 2 2 2 4" xfId="26573"/>
    <cellStyle name="常规 5 2 2 2 4 2 2 2 2 3" xfId="15666"/>
    <cellStyle name="常规 5 2 2 2 4 2 2 2 2 3 2" xfId="26575"/>
    <cellStyle name="常规 5 2 2 2 4 2 2 2 2 4" xfId="17250"/>
    <cellStyle name="常规 5 2 2 2 4 2 2 2 2 5" xfId="17272"/>
    <cellStyle name="常规 5 2 2 2 4 2 2 2 3" xfId="22275"/>
    <cellStyle name="常规 5 2 2 2 4 2 2 2 3 2" xfId="26578"/>
    <cellStyle name="常规 5 2 2 2 4 2 2 2 3 2 2" xfId="26580"/>
    <cellStyle name="常规 5 2 2 2 4 2 2 2 3 3" xfId="26582"/>
    <cellStyle name="常规 5 2 2 2 4 2 2 2 3 4" xfId="17293"/>
    <cellStyle name="常规 5 2 2 2 4 2 2 2 4" xfId="26585"/>
    <cellStyle name="常规 5 2 2 2 4 2 2 2 4 2" xfId="26587"/>
    <cellStyle name="常规 5 2 2 2 4 2 2 2 5" xfId="26590"/>
    <cellStyle name="常规 5 2 2 2 4 2 2 2 6" xfId="13680"/>
    <cellStyle name="常规 5 2 2 2 4 2 2 3" xfId="19176"/>
    <cellStyle name="常规 5 2 2 2 4 2 2 3 2" xfId="19180"/>
    <cellStyle name="常规 5 2 2 2 4 2 2 3 2 2" xfId="26593"/>
    <cellStyle name="常规 5 2 2 2 4 2 2 3 2 2 2" xfId="26598"/>
    <cellStyle name="常规 5 2 2 2 4 2 2 3 2 3" xfId="26603"/>
    <cellStyle name="常规 5 2 2 2 4 2 2 3 2 4" xfId="17404"/>
    <cellStyle name="常规 5 2 2 2 4 2 2 3 3" xfId="26607"/>
    <cellStyle name="常规 5 2 2 2 4 2 2 3 3 2" xfId="26613"/>
    <cellStyle name="常规 5 2 2 2 4 2 2 3 4" xfId="24046"/>
    <cellStyle name="常规 5 2 2 2 4 2 2 3 5" xfId="24066"/>
    <cellStyle name="常规 5 2 2 2 4 2 2 4" xfId="19186"/>
    <cellStyle name="常规 5 2 2 2 4 2 2 4 2" xfId="26617"/>
    <cellStyle name="常规 5 2 2 2 4 2 2 4 2 2" xfId="26623"/>
    <cellStyle name="常规 5 2 2 2 4 2 2 4 3" xfId="26627"/>
    <cellStyle name="常规 5 2 2 2 4 2 2 4 4" xfId="24093"/>
    <cellStyle name="常规 5 2 2 2 4 2 2 5" xfId="19190"/>
    <cellStyle name="常规 5 2 2 2 4 2 2 5 2" xfId="26631"/>
    <cellStyle name="常规 5 2 2 2 4 2 2 6" xfId="14623"/>
    <cellStyle name="常规 5 2 2 2 4 2 2 7" xfId="26639"/>
    <cellStyle name="常规 5 2 2 2 4 2 3" xfId="26644"/>
    <cellStyle name="常规 5 2 2 2 4 2 3 2" xfId="26646"/>
    <cellStyle name="常规 5 2 2 2 4 2 3 2 2" xfId="26650"/>
    <cellStyle name="常规 5 2 2 2 4 2 3 2 2 2" xfId="26654"/>
    <cellStyle name="常规 5 2 2 2 4 2 3 2 2 2 2" xfId="26656"/>
    <cellStyle name="常规 5 2 2 2 4 2 3 2 2 3" xfId="26658"/>
    <cellStyle name="常规 5 2 2 2 4 2 3 2 2 4" xfId="15947"/>
    <cellStyle name="常规 5 2 2 2 4 2 3 2 3" xfId="26662"/>
    <cellStyle name="常规 5 2 2 2 4 2 3 2 3 2" xfId="26664"/>
    <cellStyle name="常规 5 2 2 2 4 2 3 2 4" xfId="26668"/>
    <cellStyle name="常规 5 2 2 2 4 2 3 2 5" xfId="25883"/>
    <cellStyle name="常规 5 2 2 2 4 2 3 3" xfId="19196"/>
    <cellStyle name="常规 5 2 2 2 4 2 3 3 2" xfId="26670"/>
    <cellStyle name="常规 5 2 2 2 4 2 3 3 2 2" xfId="26677"/>
    <cellStyle name="常规 5 2 2 2 4 2 3 3 3" xfId="26680"/>
    <cellStyle name="常规 5 2 2 2 4 2 3 3 4" xfId="24147"/>
    <cellStyle name="常规 5 2 2 2 4 2 3 4" xfId="26686"/>
    <cellStyle name="常规 5 2 2 2 4 2 3 4 2" xfId="26689"/>
    <cellStyle name="常规 5 2 2 2 4 2 3 5" xfId="26694"/>
    <cellStyle name="常规 5 2 2 2 4 2 3 6" xfId="26697"/>
    <cellStyle name="常规 5 2 2 2 4 2 4" xfId="26701"/>
    <cellStyle name="常规 5 2 2 2 4 2 4 2" xfId="26704"/>
    <cellStyle name="常规 5 2 2 2 4 2 4 2 2" xfId="26708"/>
    <cellStyle name="常规 5 2 2 2 4 2 4 2 2 2" xfId="24665"/>
    <cellStyle name="常规 5 2 2 2 4 2 4 2 3" xfId="1029"/>
    <cellStyle name="常规 5 2 2 2 4 2 4 2 4" xfId="10058"/>
    <cellStyle name="常规 5 2 2 2 4 2 4 3" xfId="26711"/>
    <cellStyle name="常规 5 2 2 2 4 2 4 3 2" xfId="26714"/>
    <cellStyle name="常规 5 2 2 2 4 2 4 4" xfId="26719"/>
    <cellStyle name="常规 5 2 2 2 4 2 4 5" xfId="26722"/>
    <cellStyle name="常规 5 2 2 2 4 2 5" xfId="26726"/>
    <cellStyle name="常规 5 2 2 2 4 2 5 2" xfId="26728"/>
    <cellStyle name="常规 5 2 2 2 4 2 5 2 2" xfId="26731"/>
    <cellStyle name="常规 5 2 2 2 4 2 5 3" xfId="26733"/>
    <cellStyle name="常规 5 2 2 2 4 2 5 4" xfId="26736"/>
    <cellStyle name="常规 5 2 2 2 4 2 6" xfId="25104"/>
    <cellStyle name="常规 5 2 2 2 4 2 6 2" xfId="25108"/>
    <cellStyle name="常规 5 2 2 2 4 2 7" xfId="25126"/>
    <cellStyle name="常规 5 2 2 2 4 2 8" xfId="25133"/>
    <cellStyle name="常规 5 2 2 2 4 3" xfId="26739"/>
    <cellStyle name="常规 5 2 2 2 4 3 2" xfId="26741"/>
    <cellStyle name="常规 5 2 2 2 4 3 2 2" xfId="1427"/>
    <cellStyle name="常规 5 2 2 2 4 3 2 2 2" xfId="26744"/>
    <cellStyle name="常规 5 2 2 2 4 3 2 2 2 2" xfId="241"/>
    <cellStyle name="常规 5 2 2 2 4 3 2 2 2 2 2" xfId="26746"/>
    <cellStyle name="常规 5 2 2 2 4 3 2 2 2 3" xfId="26748"/>
    <cellStyle name="常规 5 2 2 2 4 3 2 2 2 4" xfId="19263"/>
    <cellStyle name="常规 5 2 2 2 4 3 2 2 3" xfId="26751"/>
    <cellStyle name="常规 5 2 2 2 4 3 2 2 3 2" xfId="26753"/>
    <cellStyle name="常规 5 2 2 2 4 3 2 2 4" xfId="26756"/>
    <cellStyle name="常规 5 2 2 2 4 3 2 2 5" xfId="1416"/>
    <cellStyle name="常规 5 2 2 2 4 3 2 3" xfId="1432"/>
    <cellStyle name="常规 5 2 2 2 4 3 2 3 2" xfId="26758"/>
    <cellStyle name="常规 5 2 2 2 4 3 2 3 2 2" xfId="26764"/>
    <cellStyle name="常规 5 2 2 2 4 3 2 3 3" xfId="26767"/>
    <cellStyle name="常规 5 2 2 2 4 3 2 3 4" xfId="24236"/>
    <cellStyle name="常规 5 2 2 2 4 3 2 4" xfId="26772"/>
    <cellStyle name="常规 5 2 2 2 4 3 2 4 2" xfId="26775"/>
    <cellStyle name="常规 5 2 2 2 4 3 2 5" xfId="26780"/>
    <cellStyle name="常规 5 2 2 2 4 3 2 6" xfId="21164"/>
    <cellStyle name="常规 5 2 2 2 4 3 3" xfId="24788"/>
    <cellStyle name="常规 5 2 2 2 4 3 3 2" xfId="26783"/>
    <cellStyle name="常规 5 2 2 2 4 3 3 2 2" xfId="26787"/>
    <cellStyle name="常规 5 2 2 2 4 3 3 2 2 2" xfId="26790"/>
    <cellStyle name="常规 5 2 2 2 4 3 3 2 3" xfId="782"/>
    <cellStyle name="常规 5 2 2 2 4 3 3 2 4" xfId="825"/>
    <cellStyle name="常规 5 2 2 2 4 3 3 3" xfId="26792"/>
    <cellStyle name="常规 5 2 2 2 4 3 3 3 2" xfId="26796"/>
    <cellStyle name="常规 5 2 2 2 4 3 3 4" xfId="26801"/>
    <cellStyle name="常规 5 2 2 2 4 3 3 5" xfId="26804"/>
    <cellStyle name="常规 5 2 2 2 4 3 4" xfId="26807"/>
    <cellStyle name="常规 5 2 2 2 4 3 4 2" xfId="26809"/>
    <cellStyle name="常规 5 2 2 2 4 3 4 2 2" xfId="26812"/>
    <cellStyle name="常规 5 2 2 2 4 3 4 3" xfId="26814"/>
    <cellStyle name="常规 5 2 2 2 4 3 4 4" xfId="26817"/>
    <cellStyle name="常规 5 2 2 2 4 3 5" xfId="26819"/>
    <cellStyle name="常规 5 2 2 2 4 3 5 2" xfId="26821"/>
    <cellStyle name="常规 5 2 2 2 4 3 6" xfId="25148"/>
    <cellStyle name="常规 5 2 2 2 4 3 7" xfId="25162"/>
    <cellStyle name="常规 5 2 2 2 4 4" xfId="26824"/>
    <cellStyle name="常规 5 2 2 2 4 4 2" xfId="26826"/>
    <cellStyle name="常规 5 2 2 2 4 4 2 2" xfId="24251"/>
    <cellStyle name="常规 5 2 2 2 4 4 2 2 2" xfId="26830"/>
    <cellStyle name="常规 5 2 2 2 4 4 2 2 2 2" xfId="26833"/>
    <cellStyle name="常规 5 2 2 2 4 4 2 2 3" xfId="26835"/>
    <cellStyle name="常规 5 2 2 2 4 4 2 2 4" xfId="26841"/>
    <cellStyle name="常规 5 2 2 2 4 4 2 3" xfId="24255"/>
    <cellStyle name="常规 5 2 2 2 4 4 2 3 2" xfId="26845"/>
    <cellStyle name="常规 5 2 2 2 4 4 2 4" xfId="26851"/>
    <cellStyle name="常规 5 2 2 2 4 4 2 5" xfId="26855"/>
    <cellStyle name="常规 5 2 2 2 4 4 3" xfId="26858"/>
    <cellStyle name="常规 5 2 2 2 4 4 3 2" xfId="26861"/>
    <cellStyle name="常规 5 2 2 2 4 4 3 2 2" xfId="26865"/>
    <cellStyle name="常规 5 2 2 2 4 4 3 3" xfId="26868"/>
    <cellStyle name="常规 5 2 2 2 4 4 3 4" xfId="7918"/>
    <cellStyle name="常规 5 2 2 2 4 4 4" xfId="26871"/>
    <cellStyle name="常规 5 2 2 2 4 4 4 2" xfId="26874"/>
    <cellStyle name="常规 5 2 2 2 4 4 5" xfId="26876"/>
    <cellStyle name="常规 5 2 2 2 4 4 6" xfId="25174"/>
    <cellStyle name="常规 5 2 2 2 4 5" xfId="26878"/>
    <cellStyle name="常规 5 2 2 2 4 5 2" xfId="26880"/>
    <cellStyle name="常规 5 2 2 2 4 5 2 2" xfId="26883"/>
    <cellStyle name="常规 5 2 2 2 4 5 2 2 2" xfId="26887"/>
    <cellStyle name="常规 5 2 2 2 4 5 2 3" xfId="26890"/>
    <cellStyle name="常规 5 2 2 2 4 5 2 4" xfId="26894"/>
    <cellStyle name="常规 5 2 2 2 4 5 3" xfId="26896"/>
    <cellStyle name="常规 5 2 2 2 4 5 3 2" xfId="26899"/>
    <cellStyle name="常规 5 2 2 2 4 5 4" xfId="26901"/>
    <cellStyle name="常规 5 2 2 2 4 5 5" xfId="26903"/>
    <cellStyle name="常规 5 2 2 2 4 6" xfId="26906"/>
    <cellStyle name="常规 5 2 2 2 4 6 2" xfId="26909"/>
    <cellStyle name="常规 5 2 2 2 4 6 2 2" xfId="26912"/>
    <cellStyle name="常规 5 2 2 2 4 6 3" xfId="14057"/>
    <cellStyle name="常规 5 2 2 2 4 6 4" xfId="14064"/>
    <cellStyle name="常规 5 2 2 2 4 7" xfId="26914"/>
    <cellStyle name="常规 5 2 2 2 4 7 2" xfId="26916"/>
    <cellStyle name="常规 5 2 2 2 4 8" xfId="26917"/>
    <cellStyle name="常规 5 2 2 2 4 9" xfId="26918"/>
    <cellStyle name="常规 5 2 2 2 5" xfId="26920"/>
    <cellStyle name="常规 5 2 2 2 5 2" xfId="8172"/>
    <cellStyle name="常规 5 2 2 2 5 2 2" xfId="26922"/>
    <cellStyle name="常规 5 2 2 2 5 2 2 2" xfId="24482"/>
    <cellStyle name="常规 5 2 2 2 5 2 2 2 2" xfId="26925"/>
    <cellStyle name="常规 5 2 2 2 5 2 2 2 2 2" xfId="26928"/>
    <cellStyle name="常规 5 2 2 2 5 2 2 2 2 2 2" xfId="11059"/>
    <cellStyle name="常规 5 2 2 2 5 2 2 2 2 2 2 2" xfId="26929"/>
    <cellStyle name="常规 5 2 2 2 5 2 2 2 2 2 3" xfId="26930"/>
    <cellStyle name="常规 5 2 2 2 5 2 2 2 2 2 4" xfId="20195"/>
    <cellStyle name="常规 5 2 2 2 5 2 2 2 2 3" xfId="26931"/>
    <cellStyle name="常规 5 2 2 2 5 2 2 2 2 3 2" xfId="26932"/>
    <cellStyle name="常规 5 2 2 2 5 2 2 2 2 4" xfId="26933"/>
    <cellStyle name="常规 5 2 2 2 5 2 2 2 2 5" xfId="26934"/>
    <cellStyle name="常规 5 2 2 2 5 2 2 2 3" xfId="26937"/>
    <cellStyle name="常规 5 2 2 2 5 2 2 2 3 2" xfId="26938"/>
    <cellStyle name="常规 5 2 2 2 5 2 2 2 3 2 2" xfId="26939"/>
    <cellStyle name="常规 5 2 2 2 5 2 2 2 3 3" xfId="26940"/>
    <cellStyle name="常规 5 2 2 2 5 2 2 2 3 4" xfId="2774"/>
    <cellStyle name="常规 5 2 2 2 5 2 2 2 4" xfId="26943"/>
    <cellStyle name="常规 5 2 2 2 5 2 2 2 4 2" xfId="26944"/>
    <cellStyle name="常规 5 2 2 2 5 2 2 2 5" xfId="26945"/>
    <cellStyle name="常规 5 2 2 2 5 2 2 2 6" xfId="26946"/>
    <cellStyle name="常规 5 2 2 2 5 2 2 3" xfId="24485"/>
    <cellStyle name="常规 5 2 2 2 5 2 2 3 2" xfId="26948"/>
    <cellStyle name="常规 5 2 2 2 5 2 2 3 2 2" xfId="26954"/>
    <cellStyle name="常规 5 2 2 2 5 2 2 3 2 2 2" xfId="26956"/>
    <cellStyle name="常规 5 2 2 2 5 2 2 3 2 3" xfId="26961"/>
    <cellStyle name="常规 5 2 2 2 5 2 2 3 2 4" xfId="26963"/>
    <cellStyle name="常规 5 2 2 2 5 2 2 3 3" xfId="26966"/>
    <cellStyle name="常规 5 2 2 2 5 2 2 3 3 2" xfId="26970"/>
    <cellStyle name="常规 5 2 2 2 5 2 2 3 4" xfId="26973"/>
    <cellStyle name="常规 5 2 2 2 5 2 2 3 5" xfId="26976"/>
    <cellStyle name="常规 5 2 2 2 5 2 2 4" xfId="26980"/>
    <cellStyle name="常规 5 2 2 2 5 2 2 4 2" xfId="26983"/>
    <cellStyle name="常规 5 2 2 2 5 2 2 4 2 2" xfId="26987"/>
    <cellStyle name="常规 5 2 2 2 5 2 2 4 3" xfId="26990"/>
    <cellStyle name="常规 5 2 2 2 5 2 2 4 4" xfId="26993"/>
    <cellStyle name="常规 5 2 2 2 5 2 2 5" xfId="26997"/>
    <cellStyle name="常规 5 2 2 2 5 2 2 5 2" xfId="27001"/>
    <cellStyle name="常规 5 2 2 2 5 2 2 6" xfId="27005"/>
    <cellStyle name="常规 5 2 2 2 5 2 2 7" xfId="27011"/>
    <cellStyle name="常规 5 2 2 2 5 2 3" xfId="27018"/>
    <cellStyle name="常规 5 2 2 2 5 2 3 2" xfId="20003"/>
    <cellStyle name="常规 5 2 2 2 5 2 3 2 2" xfId="20008"/>
    <cellStyle name="常规 5 2 2 2 5 2 3 2 2 2" xfId="20598"/>
    <cellStyle name="常规 5 2 2 2 5 2 3 2 2 2 2" xfId="27019"/>
    <cellStyle name="常规 5 2 2 2 5 2 3 2 2 3" xfId="20600"/>
    <cellStyle name="常规 5 2 2 2 5 2 3 2 2 4" xfId="27020"/>
    <cellStyle name="常规 5 2 2 2 5 2 3 2 3" xfId="20011"/>
    <cellStyle name="常规 5 2 2 2 5 2 3 2 3 2" xfId="20630"/>
    <cellStyle name="常规 5 2 2 2 5 2 3 2 4" xfId="27022"/>
    <cellStyle name="常规 5 2 2 2 5 2 3 2 5" xfId="27023"/>
    <cellStyle name="常规 5 2 2 2 5 2 3 3" xfId="20013"/>
    <cellStyle name="常规 5 2 2 2 5 2 3 3 2" xfId="27024"/>
    <cellStyle name="常规 5 2 2 2 5 2 3 3 2 2" xfId="20975"/>
    <cellStyle name="常规 5 2 2 2 5 2 3 3 3" xfId="27028"/>
    <cellStyle name="常规 5 2 2 2 5 2 3 3 4" xfId="27032"/>
    <cellStyle name="常规 5 2 2 2 5 2 3 4" xfId="20018"/>
    <cellStyle name="常规 5 2 2 2 5 2 3 4 2" xfId="27035"/>
    <cellStyle name="常规 5 2 2 2 5 2 3 5" xfId="20022"/>
    <cellStyle name="常规 5 2 2 2 5 2 3 6" xfId="27039"/>
    <cellStyle name="常规 5 2 2 2 5 2 4" xfId="27044"/>
    <cellStyle name="常规 5 2 2 2 5 2 4 2" xfId="20032"/>
    <cellStyle name="常规 5 2 2 2 5 2 4 2 2" xfId="27046"/>
    <cellStyle name="常规 5 2 2 2 5 2 4 2 2 2" xfId="25938"/>
    <cellStyle name="常规 5 2 2 2 5 2 4 2 3" xfId="2072"/>
    <cellStyle name="常规 5 2 2 2 5 2 4 2 4" xfId="16050"/>
    <cellStyle name="常规 5 2 2 2 5 2 4 3" xfId="27047"/>
    <cellStyle name="常规 5 2 2 2 5 2 4 3 2" xfId="27050"/>
    <cellStyle name="常规 5 2 2 2 5 2 4 4" xfId="27054"/>
    <cellStyle name="常规 5 2 2 2 5 2 4 5" xfId="27057"/>
    <cellStyle name="常规 5 2 2 2 5 2 5" xfId="27062"/>
    <cellStyle name="常规 5 2 2 2 5 2 5 2" xfId="20038"/>
    <cellStyle name="常规 5 2 2 2 5 2 5 2 2" xfId="27064"/>
    <cellStyle name="常规 5 2 2 2 5 2 5 3" xfId="27065"/>
    <cellStyle name="常规 5 2 2 2 5 2 5 4" xfId="27070"/>
    <cellStyle name="常规 5 2 2 2 5 2 6" xfId="25194"/>
    <cellStyle name="常规 5 2 2 2 5 2 6 2" xfId="25197"/>
    <cellStyle name="常规 5 2 2 2 5 2 7" xfId="25210"/>
    <cellStyle name="常规 5 2 2 2 5 2 8" xfId="25218"/>
    <cellStyle name="常规 5 2 2 2 5 3" xfId="27072"/>
    <cellStyle name="常规 5 2 2 2 5 3 2" xfId="27074"/>
    <cellStyle name="常规 5 2 2 2 5 3 2 2" xfId="27076"/>
    <cellStyle name="常规 5 2 2 2 5 3 2 2 2" xfId="27080"/>
    <cellStyle name="常规 5 2 2 2 5 3 2 2 2 2" xfId="27082"/>
    <cellStyle name="常规 5 2 2 2 5 3 2 2 2 2 2" xfId="27083"/>
    <cellStyle name="常规 5 2 2 2 5 3 2 2 2 3" xfId="27084"/>
    <cellStyle name="常规 5 2 2 2 5 3 2 2 2 4" xfId="27085"/>
    <cellStyle name="常规 5 2 2 2 5 3 2 2 3" xfId="27088"/>
    <cellStyle name="常规 5 2 2 2 5 3 2 2 3 2" xfId="27089"/>
    <cellStyle name="常规 5 2 2 2 5 3 2 2 4" xfId="27091"/>
    <cellStyle name="常规 5 2 2 2 5 3 2 2 5" xfId="27092"/>
    <cellStyle name="常规 5 2 2 2 5 3 2 3" xfId="27094"/>
    <cellStyle name="常规 5 2 2 2 5 3 2 3 2" xfId="27098"/>
    <cellStyle name="常规 5 2 2 2 5 3 2 3 2 2" xfId="27102"/>
    <cellStyle name="常规 5 2 2 2 5 3 2 3 3" xfId="27107"/>
    <cellStyle name="常规 5 2 2 2 5 3 2 3 4" xfId="27110"/>
    <cellStyle name="常规 5 2 2 2 5 3 2 4" xfId="27114"/>
    <cellStyle name="常规 5 2 2 2 5 3 2 4 2" xfId="27119"/>
    <cellStyle name="常规 5 2 2 2 5 3 2 5" xfId="27122"/>
    <cellStyle name="常规 5 2 2 2 5 3 2 6" xfId="27125"/>
    <cellStyle name="常规 5 2 2 2 5 3 3" xfId="27130"/>
    <cellStyle name="常规 5 2 2 2 5 3 3 2" xfId="20047"/>
    <cellStyle name="常规 5 2 2 2 5 3 3 2 2" xfId="27132"/>
    <cellStyle name="常规 5 2 2 2 5 3 3 2 2 2" xfId="27133"/>
    <cellStyle name="常规 5 2 2 2 5 3 3 2 3" xfId="27134"/>
    <cellStyle name="常规 5 2 2 2 5 3 3 2 4" xfId="27135"/>
    <cellStyle name="常规 5 2 2 2 5 3 3 3" xfId="3208"/>
    <cellStyle name="常规 5 2 2 2 5 3 3 3 2" xfId="27137"/>
    <cellStyle name="常规 5 2 2 2 5 3 3 4" xfId="27140"/>
    <cellStyle name="常规 5 2 2 2 5 3 3 5" xfId="27143"/>
    <cellStyle name="常规 5 2 2 2 5 3 4" xfId="27147"/>
    <cellStyle name="常规 5 2 2 2 5 3 4 2" xfId="20053"/>
    <cellStyle name="常规 5 2 2 2 5 3 4 2 2" xfId="27148"/>
    <cellStyle name="常规 5 2 2 2 5 3 4 3" xfId="27149"/>
    <cellStyle name="常规 5 2 2 2 5 3 4 4" xfId="27153"/>
    <cellStyle name="常规 5 2 2 2 5 3 5" xfId="27155"/>
    <cellStyle name="常规 5 2 2 2 5 3 5 2" xfId="27156"/>
    <cellStyle name="常规 5 2 2 2 5 3 6" xfId="25227"/>
    <cellStyle name="常规 5 2 2 2 5 3 7" xfId="25233"/>
    <cellStyle name="常规 5 2 2 2 5 4" xfId="27160"/>
    <cellStyle name="常规 5 2 2 2 5 4 2" xfId="27163"/>
    <cellStyle name="常规 5 2 2 2 5 4 2 2" xfId="27166"/>
    <cellStyle name="常规 5 2 2 2 5 4 2 2 2" xfId="1380"/>
    <cellStyle name="常规 5 2 2 2 5 4 2 2 2 2" xfId="27168"/>
    <cellStyle name="常规 5 2 2 2 5 4 2 2 3" xfId="1389"/>
    <cellStyle name="常规 5 2 2 2 5 4 2 2 4" xfId="1397"/>
    <cellStyle name="常规 5 2 2 2 5 4 2 3" xfId="27170"/>
    <cellStyle name="常规 5 2 2 2 5 4 2 3 2" xfId="27174"/>
    <cellStyle name="常规 5 2 2 2 5 4 2 4" xfId="27181"/>
    <cellStyle name="常规 5 2 2 2 5 4 2 5" xfId="27185"/>
    <cellStyle name="常规 5 2 2 2 5 4 3" xfId="27190"/>
    <cellStyle name="常规 5 2 2 2 5 4 3 2" xfId="27192"/>
    <cellStyle name="常规 5 2 2 2 5 4 3 2 2" xfId="27196"/>
    <cellStyle name="常规 5 2 2 2 5 4 3 3" xfId="27198"/>
    <cellStyle name="常规 5 2 2 2 5 4 3 4" xfId="27203"/>
    <cellStyle name="常规 5 2 2 2 5 4 4" xfId="27205"/>
    <cellStyle name="常规 5 2 2 2 5 4 4 2" xfId="27207"/>
    <cellStyle name="常规 5 2 2 2 5 4 5" xfId="27208"/>
    <cellStyle name="常规 5 2 2 2 5 4 6" xfId="25241"/>
    <cellStyle name="常规 5 2 2 2 5 5" xfId="27211"/>
    <cellStyle name="常规 5 2 2 2 5 5 2" xfId="27213"/>
    <cellStyle name="常规 5 2 2 2 5 5 2 2" xfId="23280"/>
    <cellStyle name="常规 5 2 2 2 5 5 2 2 2" xfId="27217"/>
    <cellStyle name="常规 5 2 2 2 5 5 2 3" xfId="27219"/>
    <cellStyle name="常规 5 2 2 2 5 5 2 4" xfId="27224"/>
    <cellStyle name="常规 5 2 2 2 5 5 3" xfId="27225"/>
    <cellStyle name="常规 5 2 2 2 5 5 3 2" xfId="27227"/>
    <cellStyle name="常规 5 2 2 2 5 5 4" xfId="27228"/>
    <cellStyle name="常规 5 2 2 2 5 5 5" xfId="27229"/>
    <cellStyle name="常规 5 2 2 2 5 6" xfId="27230"/>
    <cellStyle name="常规 5 2 2 2 5 6 2" xfId="27234"/>
    <cellStyle name="常规 5 2 2 2 5 6 2 2" xfId="27237"/>
    <cellStyle name="常规 5 2 2 2 5 6 3" xfId="14085"/>
    <cellStyle name="常规 5 2 2 2 5 6 4" xfId="27240"/>
    <cellStyle name="常规 5 2 2 2 5 7" xfId="27242"/>
    <cellStyle name="常规 5 2 2 2 5 7 2" xfId="27245"/>
    <cellStyle name="常规 5 2 2 2 5 8" xfId="27247"/>
    <cellStyle name="常规 5 2 2 2 5 9" xfId="27249"/>
    <cellStyle name="常规 5 2 2 2 6" xfId="27253"/>
    <cellStyle name="常规 5 2 2 2 6 2" xfId="27255"/>
    <cellStyle name="常规 5 2 2 2 6 2 2" xfId="27257"/>
    <cellStyle name="常规 5 2 2 2 6 2 2 2" xfId="27259"/>
    <cellStyle name="常规 5 2 2 2 6 2 2 2 2" xfId="27262"/>
    <cellStyle name="常规 5 2 2 2 6 2 2 2 2 2" xfId="15516"/>
    <cellStyle name="常规 5 2 2 2 6 2 2 2 2 2 2" xfId="23130"/>
    <cellStyle name="常规 5 2 2 2 6 2 2 2 2 3" xfId="27263"/>
    <cellStyle name="常规 5 2 2 2 6 2 2 2 2 4" xfId="27265"/>
    <cellStyle name="常规 5 2 2 2 6 2 2 2 3" xfId="27268"/>
    <cellStyle name="常规 5 2 2 2 6 2 2 2 3 2" xfId="27269"/>
    <cellStyle name="常规 5 2 2 2 6 2 2 2 4" xfId="27271"/>
    <cellStyle name="常规 5 2 2 2 6 2 2 2 5" xfId="27272"/>
    <cellStyle name="常规 5 2 2 2 6 2 2 3" xfId="27274"/>
    <cellStyle name="常规 5 2 2 2 6 2 2 3 2" xfId="26637"/>
    <cellStyle name="常规 5 2 2 2 6 2 2 3 2 2" xfId="27279"/>
    <cellStyle name="常规 5 2 2 2 6 2 2 3 3" xfId="27284"/>
    <cellStyle name="常规 5 2 2 2 6 2 2 3 4" xfId="27289"/>
    <cellStyle name="常规 5 2 2 2 6 2 2 4" xfId="27295"/>
    <cellStyle name="常规 5 2 2 2 6 2 2 4 2" xfId="27299"/>
    <cellStyle name="常规 5 2 2 2 6 2 2 5" xfId="27306"/>
    <cellStyle name="常规 5 2 2 2 6 2 2 6" xfId="27311"/>
    <cellStyle name="常规 5 2 2 2 6 2 3" xfId="27318"/>
    <cellStyle name="常规 5 2 2 2 6 2 3 2" xfId="27320"/>
    <cellStyle name="常规 5 2 2 2 6 2 3 2 2" xfId="27324"/>
    <cellStyle name="常规 5 2 2 2 6 2 3 2 2 2" xfId="27325"/>
    <cellStyle name="常规 5 2 2 2 6 2 3 2 3" xfId="27327"/>
    <cellStyle name="常规 5 2 2 2 6 2 3 2 4" xfId="27329"/>
    <cellStyle name="常规 5 2 2 2 6 2 3 3" xfId="27331"/>
    <cellStyle name="常规 5 2 2 2 6 2 3 3 2" xfId="21173"/>
    <cellStyle name="常规 5 2 2 2 6 2 3 4" xfId="27336"/>
    <cellStyle name="常规 5 2 2 2 6 2 3 5" xfId="27340"/>
    <cellStyle name="常规 5 2 2 2 6 2 4" xfId="27345"/>
    <cellStyle name="常规 5 2 2 2 6 2 4 2" xfId="27347"/>
    <cellStyle name="常规 5 2 2 2 6 2 4 2 2" xfId="27348"/>
    <cellStyle name="常规 5 2 2 2 6 2 4 3" xfId="27349"/>
    <cellStyle name="常规 5 2 2 2 6 2 4 4" xfId="27354"/>
    <cellStyle name="常规 5 2 2 2 6 2 5" xfId="27357"/>
    <cellStyle name="常规 5 2 2 2 6 2 5 2" xfId="27359"/>
    <cellStyle name="常规 5 2 2 2 6 2 6" xfId="24599"/>
    <cellStyle name="常规 5 2 2 2 6 2 7" xfId="24620"/>
    <cellStyle name="常规 5 2 2 2 6 3" xfId="27361"/>
    <cellStyle name="常规 5 2 2 2 6 3 2" xfId="27363"/>
    <cellStyle name="常规 5 2 2 2 6 3 2 2" xfId="27365"/>
    <cellStyle name="常规 5 2 2 2 6 3 2 2 2" xfId="27368"/>
    <cellStyle name="常规 5 2 2 2 6 3 2 2 2 2" xfId="27369"/>
    <cellStyle name="常规 5 2 2 2 6 3 2 2 3" xfId="27371"/>
    <cellStyle name="常规 5 2 2 2 6 3 2 2 4" xfId="27372"/>
    <cellStyle name="常规 5 2 2 2 6 3 2 3" xfId="27374"/>
    <cellStyle name="常规 5 2 2 2 6 3 2 3 2" xfId="27009"/>
    <cellStyle name="常规 5 2 2 2 6 3 2 4" xfId="27379"/>
    <cellStyle name="常规 5 2 2 2 6 3 2 5" xfId="8844"/>
    <cellStyle name="常规 5 2 2 2 6 3 3" xfId="27384"/>
    <cellStyle name="常规 5 2 2 2 6 3 3 2" xfId="27386"/>
    <cellStyle name="常规 5 2 2 2 6 3 3 2 2" xfId="27388"/>
    <cellStyle name="常规 5 2 2 2 6 3 3 3" xfId="27389"/>
    <cellStyle name="常规 5 2 2 2 6 3 3 4" xfId="27394"/>
    <cellStyle name="常规 5 2 2 2 6 3 4" xfId="27396"/>
    <cellStyle name="常规 5 2 2 2 6 3 4 2" xfId="27397"/>
    <cellStyle name="常规 5 2 2 2 6 3 5" xfId="27400"/>
    <cellStyle name="常规 5 2 2 2 6 3 6" xfId="19334"/>
    <cellStyle name="常规 5 2 2 2 6 4" xfId="27403"/>
    <cellStyle name="常规 5 2 2 2 6 4 2" xfId="7254"/>
    <cellStyle name="常规 5 2 2 2 6 4 2 2" xfId="27406"/>
    <cellStyle name="常规 5 2 2 2 6 4 2 2 2" xfId="27410"/>
    <cellStyle name="常规 5 2 2 2 6 4 2 3" xfId="27412"/>
    <cellStyle name="常规 5 2 2 2 6 4 2 4" xfId="27418"/>
    <cellStyle name="常规 5 2 2 2 6 4 3" xfId="27420"/>
    <cellStyle name="常规 5 2 2 2 6 4 3 2" xfId="27422"/>
    <cellStyle name="常规 5 2 2 2 6 4 4" xfId="27424"/>
    <cellStyle name="常规 5 2 2 2 6 4 5" xfId="27426"/>
    <cellStyle name="常规 5 2 2 2 6 5" xfId="27428"/>
    <cellStyle name="常规 5 2 2 2 6 5 2" xfId="27430"/>
    <cellStyle name="常规 5 2 2 2 6 5 2 2" xfId="27432"/>
    <cellStyle name="常规 5 2 2 2 6 5 3" xfId="27433"/>
    <cellStyle name="常规 5 2 2 2 6 5 4" xfId="27434"/>
    <cellStyle name="常规 5 2 2 2 6 6" xfId="27435"/>
    <cellStyle name="常规 5 2 2 2 6 6 2" xfId="21594"/>
    <cellStyle name="常规 5 2 2 2 6 7" xfId="27438"/>
    <cellStyle name="常规 5 2 2 2 6 8" xfId="27441"/>
    <cellStyle name="常规 5 2 2 2 7" xfId="27446"/>
    <cellStyle name="常规 5 2 2 2 7 2" xfId="27449"/>
    <cellStyle name="常规 5 2 2 2 7 2 2" xfId="27451"/>
    <cellStyle name="常规 5 2 2 2 7 2 2 2" xfId="27453"/>
    <cellStyle name="常规 5 2 2 2 7 2 2 2 2" xfId="27456"/>
    <cellStyle name="常规 5 2 2 2 7 2 2 2 2 2" xfId="27457"/>
    <cellStyle name="常规 5 2 2 2 7 2 2 2 3" xfId="27460"/>
    <cellStyle name="常规 5 2 2 2 7 2 2 2 4" xfId="27462"/>
    <cellStyle name="常规 5 2 2 2 7 2 2 3" xfId="27464"/>
    <cellStyle name="常规 5 2 2 2 7 2 2 3 2" xfId="27470"/>
    <cellStyle name="常规 5 2 2 2 7 2 2 4" xfId="27476"/>
    <cellStyle name="常规 5 2 2 2 7 2 2 5" xfId="16951"/>
    <cellStyle name="常规 5 2 2 2 7 2 3" xfId="27481"/>
    <cellStyle name="常规 5 2 2 2 7 2 3 2" xfId="27483"/>
    <cellStyle name="常规 5 2 2 2 7 2 3 2 2" xfId="27485"/>
    <cellStyle name="常规 5 2 2 2 7 2 3 3" xfId="27486"/>
    <cellStyle name="常规 5 2 2 2 7 2 3 4" xfId="27491"/>
    <cellStyle name="常规 5 2 2 2 7 2 4" xfId="18067"/>
    <cellStyle name="常规 5 2 2 2 7 2 4 2" xfId="27492"/>
    <cellStyle name="常规 5 2 2 2 7 2 5" xfId="27495"/>
    <cellStyle name="常规 5 2 2 2 7 2 6" xfId="24671"/>
    <cellStyle name="常规 5 2 2 2 7 3" xfId="27497"/>
    <cellStyle name="常规 5 2 2 2 7 3 2" xfId="27499"/>
    <cellStyle name="常规 5 2 2 2 7 3 2 2" xfId="27501"/>
    <cellStyle name="常规 5 2 2 2 7 3 2 2 2" xfId="27503"/>
    <cellStyle name="常规 5 2 2 2 7 3 2 3" xfId="27504"/>
    <cellStyle name="常规 5 2 2 2 7 3 2 4" xfId="27510"/>
    <cellStyle name="常规 5 2 2 2 7 3 3" xfId="27512"/>
    <cellStyle name="常规 5 2 2 2 7 3 3 2" xfId="8079"/>
    <cellStyle name="常规 5 2 2 2 7 3 4" xfId="27515"/>
    <cellStyle name="常规 5 2 2 2 7 3 5" xfId="3792"/>
    <cellStyle name="常规 5 2 2 2 7 4" xfId="27517"/>
    <cellStyle name="常规 5 2 2 2 7 4 2" xfId="27519"/>
    <cellStyle name="常规 5 2 2 2 7 4 2 2" xfId="27521"/>
    <cellStyle name="常规 5 2 2 2 7 4 3" xfId="27522"/>
    <cellStyle name="常规 5 2 2 2 7 4 4" xfId="27523"/>
    <cellStyle name="常规 5 2 2 2 7 5" xfId="27525"/>
    <cellStyle name="常规 5 2 2 2 7 5 2" xfId="27526"/>
    <cellStyle name="常规 5 2 2 2 7 6" xfId="27527"/>
    <cellStyle name="常规 5 2 2 2 7 7" xfId="27530"/>
    <cellStyle name="常规 5 2 2 2 8" xfId="27533"/>
    <cellStyle name="常规 5 2 2 2 8 2" xfId="27535"/>
    <cellStyle name="常规 5 2 2 2 8 2 2" xfId="27538"/>
    <cellStyle name="常规 5 2 2 2 8 2 2 2" xfId="27542"/>
    <cellStyle name="常规 5 2 2 2 8 2 2 2 2" xfId="27543"/>
    <cellStyle name="常规 5 2 2 2 8 2 2 3" xfId="27545"/>
    <cellStyle name="常规 5 2 2 2 8 2 2 4" xfId="27551"/>
    <cellStyle name="常规 5 2 2 2 8 2 3" xfId="27554"/>
    <cellStyle name="常规 5 2 2 2 8 2 3 2" xfId="27557"/>
    <cellStyle name="常规 5 2 2 2 8 2 4" xfId="27559"/>
    <cellStyle name="常规 5 2 2 2 8 2 5" xfId="27561"/>
    <cellStyle name="常规 5 2 2 2 8 3" xfId="27563"/>
    <cellStyle name="常规 5 2 2 2 8 3 2" xfId="27565"/>
    <cellStyle name="常规 5 2 2 2 8 3 2 2" xfId="8455"/>
    <cellStyle name="常规 5 2 2 2 8 3 3" xfId="27566"/>
    <cellStyle name="常规 5 2 2 2 8 3 4" xfId="27567"/>
    <cellStyle name="常规 5 2 2 2 8 4" xfId="27569"/>
    <cellStyle name="常规 5 2 2 2 8 4 2" xfId="27570"/>
    <cellStyle name="常规 5 2 2 2 8 5" xfId="27572"/>
    <cellStyle name="常规 5 2 2 2 8 6" xfId="27573"/>
    <cellStyle name="常规 5 2 2 2 9" xfId="27576"/>
    <cellStyle name="常规 5 2 2 2 9 2" xfId="2162"/>
    <cellStyle name="常规 5 2 2 2 9 2 2" xfId="27578"/>
    <cellStyle name="常规 5 2 2 2 9 2 2 2" xfId="16754"/>
    <cellStyle name="常规 5 2 2 2 9 2 3" xfId="27579"/>
    <cellStyle name="常规 5 2 2 2 9 2 4" xfId="27580"/>
    <cellStyle name="常规 5 2 2 2 9 3" xfId="27583"/>
    <cellStyle name="常规 5 2 2 2 9 3 2" xfId="27584"/>
    <cellStyle name="常规 5 2 2 2 9 4" xfId="27587"/>
    <cellStyle name="常规 5 2 2 2 9 5" xfId="27588"/>
    <cellStyle name="常规 5 2 2 3" xfId="27591"/>
    <cellStyle name="常规 5 2 2 3 10" xfId="15332"/>
    <cellStyle name="常规 5 2 2 3 10 2" xfId="15335"/>
    <cellStyle name="常规 5 2 2 3 11" xfId="15338"/>
    <cellStyle name="常规 5 2 2 3 12" xfId="15340"/>
    <cellStyle name="常规 5 2 2 3 2" xfId="27592"/>
    <cellStyle name="常规 5 2 2 3 2 10" xfId="27593"/>
    <cellStyle name="常规 5 2 2 3 2 11" xfId="27594"/>
    <cellStyle name="常规 5 2 2 3 2 2" xfId="27596"/>
    <cellStyle name="常规 5 2 2 3 2 2 2" xfId="27599"/>
    <cellStyle name="常规 5 2 2 3 2 2 2 2" xfId="21054"/>
    <cellStyle name="常规 5 2 2 3 2 2 2 2 2" xfId="27602"/>
    <cellStyle name="常规 5 2 2 3 2 2 2 2 2 2" xfId="27604"/>
    <cellStyle name="常规 5 2 2 3 2 2 2 2 2 2 2" xfId="27607"/>
    <cellStyle name="常规 5 2 2 3 2 2 2 2 2 2 2 2" xfId="27610"/>
    <cellStyle name="常规 5 2 2 3 2 2 2 2 2 2 2 2 2" xfId="10125"/>
    <cellStyle name="常规 5 2 2 3 2 2 2 2 2 2 2 3" xfId="27614"/>
    <cellStyle name="常规 5 2 2 3 2 2 2 2 2 2 2 4" xfId="27617"/>
    <cellStyle name="常规 5 2 2 3 2 2 2 2 2 2 3" xfId="27619"/>
    <cellStyle name="常规 5 2 2 3 2 2 2 2 2 2 3 2" xfId="27624"/>
    <cellStyle name="常规 5 2 2 3 2 2 2 2 2 2 4" xfId="24806"/>
    <cellStyle name="常规 5 2 2 3 2 2 2 2 2 2 5" xfId="27626"/>
    <cellStyle name="常规 5 2 2 3 2 2 2 2 2 3" xfId="27628"/>
    <cellStyle name="常规 5 2 2 3 2 2 2 2 2 3 2" xfId="27630"/>
    <cellStyle name="常规 5 2 2 3 2 2 2 2 2 3 2 2" xfId="27634"/>
    <cellStyle name="常规 5 2 2 3 2 2 2 2 2 3 3" xfId="27636"/>
    <cellStyle name="常规 5 2 2 3 2 2 2 2 2 3 4" xfId="27638"/>
    <cellStyle name="常规 5 2 2 3 2 2 2 2 2 4" xfId="27641"/>
    <cellStyle name="常规 5 2 2 3 2 2 2 2 2 4 2" xfId="27643"/>
    <cellStyle name="常规 5 2 2 3 2 2 2 2 2 5" xfId="27645"/>
    <cellStyle name="常规 5 2 2 3 2 2 2 2 2 6" xfId="4698"/>
    <cellStyle name="常规 5 2 2 3 2 2 2 2 3" xfId="22717"/>
    <cellStyle name="常规 5 2 2 3 2 2 2 2 3 2" xfId="22720"/>
    <cellStyle name="常规 5 2 2 3 2 2 2 2 3 2 2" xfId="22014"/>
    <cellStyle name="常规 5 2 2 3 2 2 2 2 3 2 2 2" xfId="22020"/>
    <cellStyle name="常规 5 2 2 3 2 2 2 2 3 2 3" xfId="22022"/>
    <cellStyle name="常规 5 2 2 3 2 2 2 2 3 2 4" xfId="20616"/>
    <cellStyle name="常规 5 2 2 3 2 2 2 2 3 3" xfId="27647"/>
    <cellStyle name="常规 5 2 2 3 2 2 2 2 3 3 2" xfId="22189"/>
    <cellStyle name="常规 5 2 2 3 2 2 2 2 3 4" xfId="27649"/>
    <cellStyle name="常规 5 2 2 3 2 2 2 2 3 5" xfId="27651"/>
    <cellStyle name="常规 5 2 2 3 2 2 2 2 4" xfId="22723"/>
    <cellStyle name="常规 5 2 2 3 2 2 2 2 4 2" xfId="27653"/>
    <cellStyle name="常规 5 2 2 3 2 2 2 2 4 2 2" xfId="22759"/>
    <cellStyle name="常规 5 2 2 3 2 2 2 2 4 3" xfId="27655"/>
    <cellStyle name="常规 5 2 2 3 2 2 2 2 4 4" xfId="27658"/>
    <cellStyle name="常规 5 2 2 3 2 2 2 2 5" xfId="22726"/>
    <cellStyle name="常规 5 2 2 3 2 2 2 2 5 2" xfId="27660"/>
    <cellStyle name="常规 5 2 2 3 2 2 2 2 6" xfId="16353"/>
    <cellStyle name="常规 5 2 2 3 2 2 2 2 7" xfId="27662"/>
    <cellStyle name="常规 5 2 2 3 2 2 2 3" xfId="27664"/>
    <cellStyle name="常规 5 2 2 3 2 2 2 3 2" xfId="27666"/>
    <cellStyle name="常规 5 2 2 3 2 2 2 3 2 2" xfId="27668"/>
    <cellStyle name="常规 5 2 2 3 2 2 2 3 2 2 2" xfId="27671"/>
    <cellStyle name="常规 5 2 2 3 2 2 2 3 2 2 2 2" xfId="27673"/>
    <cellStyle name="常规 5 2 2 3 2 2 2 3 2 2 3" xfId="7752"/>
    <cellStyle name="常规 5 2 2 3 2 2 2 3 2 2 4" xfId="9639"/>
    <cellStyle name="常规 5 2 2 3 2 2 2 3 2 3" xfId="21525"/>
    <cellStyle name="常规 5 2 2 3 2 2 2 3 2 3 2" xfId="27676"/>
    <cellStyle name="常规 5 2 2 3 2 2 2 3 2 4" xfId="22528"/>
    <cellStyle name="常规 5 2 2 3 2 2 2 3 2 5" xfId="22581"/>
    <cellStyle name="常规 5 2 2 3 2 2 2 3 3" xfId="22730"/>
    <cellStyle name="常规 5 2 2 3 2 2 2 3 3 2" xfId="27678"/>
    <cellStyle name="常规 5 2 2 3 2 2 2 3 3 2 2" xfId="23723"/>
    <cellStyle name="常规 5 2 2 3 2 2 2 3 3 3" xfId="27680"/>
    <cellStyle name="常规 5 2 2 3 2 2 2 3 3 4" xfId="22607"/>
    <cellStyle name="常规 5 2 2 3 2 2 2 3 4" xfId="27682"/>
    <cellStyle name="常规 5 2 2 3 2 2 2 3 4 2" xfId="27684"/>
    <cellStyle name="常规 5 2 2 3 2 2 2 3 5" xfId="27686"/>
    <cellStyle name="常规 5 2 2 3 2 2 2 3 6" xfId="12883"/>
    <cellStyle name="常规 5 2 2 3 2 2 2 4" xfId="27688"/>
    <cellStyle name="常规 5 2 2 3 2 2 2 4 2" xfId="6310"/>
    <cellStyle name="常规 5 2 2 3 2 2 2 4 2 2" xfId="27690"/>
    <cellStyle name="常规 5 2 2 3 2 2 2 4 2 2 2" xfId="21018"/>
    <cellStyle name="常规 5 2 2 3 2 2 2 4 2 3" xfId="27692"/>
    <cellStyle name="常规 5 2 2 3 2 2 2 4 2 4" xfId="22656"/>
    <cellStyle name="常规 5 2 2 3 2 2 2 4 3" xfId="6314"/>
    <cellStyle name="常规 5 2 2 3 2 2 2 4 3 2" xfId="27694"/>
    <cellStyle name="常规 5 2 2 3 2 2 2 4 4" xfId="27696"/>
    <cellStyle name="常规 5 2 2 3 2 2 2 4 5" xfId="27698"/>
    <cellStyle name="常规 5 2 2 3 2 2 2 5" xfId="27700"/>
    <cellStyle name="常规 5 2 2 3 2 2 2 5 2" xfId="5749"/>
    <cellStyle name="常规 5 2 2 3 2 2 2 5 2 2" xfId="27702"/>
    <cellStyle name="常规 5 2 2 3 2 2 2 5 3" xfId="27704"/>
    <cellStyle name="常规 5 2 2 3 2 2 2 5 4" xfId="27707"/>
    <cellStyle name="常规 5 2 2 3 2 2 2 6" xfId="27710"/>
    <cellStyle name="常规 5 2 2 3 2 2 2 6 2" xfId="27713"/>
    <cellStyle name="常规 5 2 2 3 2 2 2 7" xfId="27717"/>
    <cellStyle name="常规 5 2 2 3 2 2 2 8" xfId="27721"/>
    <cellStyle name="常规 5 2 2 3 2 2 3" xfId="27724"/>
    <cellStyle name="常规 5 2 2 3 2 2 3 2" xfId="27726"/>
    <cellStyle name="常规 5 2 2 3 2 2 3 2 2" xfId="27728"/>
    <cellStyle name="常规 5 2 2 3 2 2 3 2 2 2" xfId="21412"/>
    <cellStyle name="常规 5 2 2 3 2 2 3 2 2 2 2" xfId="27730"/>
    <cellStyle name="常规 5 2 2 3 2 2 3 2 2 2 2 2" xfId="27734"/>
    <cellStyle name="常规 5 2 2 3 2 2 3 2 2 2 3" xfId="27736"/>
    <cellStyle name="常规 5 2 2 3 2 2 3 2 2 2 4" xfId="25032"/>
    <cellStyle name="常规 5 2 2 3 2 2 3 2 2 3" xfId="21415"/>
    <cellStyle name="常规 5 2 2 3 2 2 3 2 2 3 2" xfId="27738"/>
    <cellStyle name="常规 5 2 2 3 2 2 3 2 2 4" xfId="27740"/>
    <cellStyle name="常规 5 2 2 3 2 2 3 2 2 5" xfId="27742"/>
    <cellStyle name="常规 5 2 2 3 2 2 3 2 3" xfId="22736"/>
    <cellStyle name="常规 5 2 2 3 2 2 3 2 3 2" xfId="21421"/>
    <cellStyle name="常规 5 2 2 3 2 2 3 2 3 2 2" xfId="381"/>
    <cellStyle name="常规 5 2 2 3 2 2 3 2 3 3" xfId="27744"/>
    <cellStyle name="常规 5 2 2 3 2 2 3 2 3 4" xfId="13846"/>
    <cellStyle name="常规 5 2 2 3 2 2 3 2 4" xfId="27746"/>
    <cellStyle name="常规 5 2 2 3 2 2 3 2 4 2" xfId="27749"/>
    <cellStyle name="常规 5 2 2 3 2 2 3 2 5" xfId="27751"/>
    <cellStyle name="常规 5 2 2 3 2 2 3 2 6" xfId="27753"/>
    <cellStyle name="常规 5 2 2 3 2 2 3 3" xfId="27755"/>
    <cellStyle name="常规 5 2 2 3 2 2 3 3 2" xfId="15789"/>
    <cellStyle name="常规 5 2 2 3 2 2 3 3 2 2" xfId="15793"/>
    <cellStyle name="常规 5 2 2 3 2 2 3 3 2 2 2" xfId="15798"/>
    <cellStyle name="常规 5 2 2 3 2 2 3 3 2 3" xfId="15823"/>
    <cellStyle name="常规 5 2 2 3 2 2 3 3 2 4" xfId="15837"/>
    <cellStyle name="常规 5 2 2 3 2 2 3 3 3" xfId="15865"/>
    <cellStyle name="常规 5 2 2 3 2 2 3 3 3 2" xfId="15869"/>
    <cellStyle name="常规 5 2 2 3 2 2 3 3 4" xfId="15899"/>
    <cellStyle name="常规 5 2 2 3 2 2 3 3 5" xfId="15915"/>
    <cellStyle name="常规 5 2 2 3 2 2 3 4" xfId="27757"/>
    <cellStyle name="常规 5 2 2 3 2 2 3 4 2" xfId="243"/>
    <cellStyle name="常规 5 2 2 3 2 2 3 4 2 2" xfId="27759"/>
    <cellStyle name="常规 5 2 2 3 2 2 3 4 3" xfId="4089"/>
    <cellStyle name="常规 5 2 2 3 2 2 3 4 4" xfId="27761"/>
    <cellStyle name="常规 5 2 2 3 2 2 3 5" xfId="27763"/>
    <cellStyle name="常规 5 2 2 3 2 2 3 5 2" xfId="5821"/>
    <cellStyle name="常规 5 2 2 3 2 2 3 6" xfId="27766"/>
    <cellStyle name="常规 5 2 2 3 2 2 3 7" xfId="27770"/>
    <cellStyle name="常规 5 2 2 3 2 2 4" xfId="27772"/>
    <cellStyle name="常规 5 2 2 3 2 2 4 2" xfId="27774"/>
    <cellStyle name="常规 5 2 2 3 2 2 4 2 2" xfId="27776"/>
    <cellStyle name="常规 5 2 2 3 2 2 4 2 2 2" xfId="21493"/>
    <cellStyle name="常规 5 2 2 3 2 2 4 2 2 2 2" xfId="27778"/>
    <cellStyle name="常规 5 2 2 3 2 2 4 2 2 3" xfId="27780"/>
    <cellStyle name="常规 5 2 2 3 2 2 4 2 2 4" xfId="27782"/>
    <cellStyle name="常规 5 2 2 3 2 2 4 2 3" xfId="27784"/>
    <cellStyle name="常规 5 2 2 3 2 2 4 2 3 2" xfId="27786"/>
    <cellStyle name="常规 5 2 2 3 2 2 4 2 4" xfId="27788"/>
    <cellStyle name="常规 5 2 2 3 2 2 4 2 5" xfId="27790"/>
    <cellStyle name="常规 5 2 2 3 2 2 4 3" xfId="27792"/>
    <cellStyle name="常规 5 2 2 3 2 2 4 3 2" xfId="27794"/>
    <cellStyle name="常规 5 2 2 3 2 2 4 3 2 2" xfId="27796"/>
    <cellStyle name="常规 5 2 2 3 2 2 4 3 3" xfId="923"/>
    <cellStyle name="常规 5 2 2 3 2 2 4 3 4" xfId="27798"/>
    <cellStyle name="常规 5 2 2 3 2 2 4 4" xfId="27800"/>
    <cellStyle name="常规 5 2 2 3 2 2 4 4 2" xfId="4644"/>
    <cellStyle name="常规 5 2 2 3 2 2 4 5" xfId="18031"/>
    <cellStyle name="常规 5 2 2 3 2 2 4 6" xfId="27803"/>
    <cellStyle name="常规 5 2 2 3 2 2 5" xfId="27805"/>
    <cellStyle name="常规 5 2 2 3 2 2 5 2" xfId="27807"/>
    <cellStyle name="常规 5 2 2 3 2 2 5 2 2" xfId="27809"/>
    <cellStyle name="常规 5 2 2 3 2 2 5 2 2 2" xfId="27811"/>
    <cellStyle name="常规 5 2 2 3 2 2 5 2 3" xfId="27813"/>
    <cellStyle name="常规 5 2 2 3 2 2 5 2 4" xfId="27815"/>
    <cellStyle name="常规 5 2 2 3 2 2 5 3" xfId="27817"/>
    <cellStyle name="常规 5 2 2 3 2 2 5 3 2" xfId="27819"/>
    <cellStyle name="常规 5 2 2 3 2 2 5 4" xfId="27821"/>
    <cellStyle name="常规 5 2 2 3 2 2 5 5" xfId="27823"/>
    <cellStyle name="常规 5 2 2 3 2 2 6" xfId="25261"/>
    <cellStyle name="常规 5 2 2 3 2 2 6 2" xfId="25265"/>
    <cellStyle name="常规 5 2 2 3 2 2 6 2 2" xfId="25270"/>
    <cellStyle name="常规 5 2 2 3 2 2 6 3" xfId="19408"/>
    <cellStyle name="常规 5 2 2 3 2 2 6 4" xfId="25305"/>
    <cellStyle name="常规 5 2 2 3 2 2 7" xfId="21996"/>
    <cellStyle name="常规 5 2 2 3 2 2 7 2" xfId="25315"/>
    <cellStyle name="常规 5 2 2 3 2 2 8" xfId="25333"/>
    <cellStyle name="常规 5 2 2 3 2 2 9" xfId="25345"/>
    <cellStyle name="常规 5 2 2 3 2 3" xfId="27825"/>
    <cellStyle name="常规 5 2 2 3 2 3 2" xfId="27827"/>
    <cellStyle name="常规 5 2 2 3 2 3 2 2" xfId="27829"/>
    <cellStyle name="常规 5 2 2 3 2 3 2 2 2" xfId="27831"/>
    <cellStyle name="常规 5 2 2 3 2 3 2 2 2 2" xfId="27833"/>
    <cellStyle name="常规 5 2 2 3 2 3 2 2 2 2 2" xfId="27835"/>
    <cellStyle name="常规 5 2 2 3 2 3 2 2 2 2 2 2" xfId="11891"/>
    <cellStyle name="常规 5 2 2 3 2 3 2 2 2 2 2 2 2" xfId="11894"/>
    <cellStyle name="常规 5 2 2 3 2 3 2 2 2 2 2 3" xfId="11943"/>
    <cellStyle name="常规 5 2 2 3 2 3 2 2 2 2 2 4" xfId="11963"/>
    <cellStyle name="常规 5 2 2 3 2 3 2 2 2 2 3" xfId="25702"/>
    <cellStyle name="常规 5 2 2 3 2 3 2 2 2 2 3 2" xfId="12040"/>
    <cellStyle name="常规 5 2 2 3 2 3 2 2 2 2 4" xfId="27837"/>
    <cellStyle name="常规 5 2 2 3 2 3 2 2 2 2 5" xfId="27839"/>
    <cellStyle name="常规 5 2 2 3 2 3 2 2 2 3" xfId="27841"/>
    <cellStyle name="常规 5 2 2 3 2 3 2 2 2 3 2" xfId="27843"/>
    <cellStyle name="常规 5 2 2 3 2 3 2 2 2 3 2 2" xfId="12405"/>
    <cellStyle name="常规 5 2 2 3 2 3 2 2 2 3 3" xfId="27844"/>
    <cellStyle name="常规 5 2 2 3 2 3 2 2 2 3 4" xfId="27845"/>
    <cellStyle name="常规 5 2 2 3 2 3 2 2 2 4" xfId="26049"/>
    <cellStyle name="常规 5 2 2 3 2 3 2 2 2 4 2" xfId="19602"/>
    <cellStyle name="常规 5 2 2 3 2 3 2 2 2 5" xfId="27847"/>
    <cellStyle name="常规 5 2 2 3 2 3 2 2 2 6" xfId="13456"/>
    <cellStyle name="常规 5 2 2 3 2 3 2 2 3" xfId="22749"/>
    <cellStyle name="常规 5 2 2 3 2 3 2 2 3 2" xfId="976"/>
    <cellStyle name="常规 5 2 2 3 2 3 2 2 3 2 2" xfId="27849"/>
    <cellStyle name="常规 5 2 2 3 2 3 2 2 3 2 2 2" xfId="14030"/>
    <cellStyle name="常规 5 2 2 3 2 3 2 2 3 2 3" xfId="27850"/>
    <cellStyle name="常规 5 2 2 3 2 3 2 2 3 2 4" xfId="27851"/>
    <cellStyle name="常规 5 2 2 3 2 3 2 2 3 3" xfId="979"/>
    <cellStyle name="常规 5 2 2 3 2 3 2 2 3 3 2" xfId="27852"/>
    <cellStyle name="常规 5 2 2 3 2 3 2 2 3 4" xfId="27854"/>
    <cellStyle name="常规 5 2 2 3 2 3 2 2 3 5" xfId="27855"/>
    <cellStyle name="常规 5 2 2 3 2 3 2 2 4" xfId="27857"/>
    <cellStyle name="常规 5 2 2 3 2 3 2 2 4 2" xfId="27859"/>
    <cellStyle name="常规 5 2 2 3 2 3 2 2 4 2 2" xfId="27860"/>
    <cellStyle name="常规 5 2 2 3 2 3 2 2 4 3" xfId="27861"/>
    <cellStyle name="常规 5 2 2 3 2 3 2 2 4 4" xfId="27862"/>
    <cellStyle name="常规 5 2 2 3 2 3 2 2 5" xfId="27864"/>
    <cellStyle name="常规 5 2 2 3 2 3 2 2 5 2" xfId="26570"/>
    <cellStyle name="常规 5 2 2 3 2 3 2 2 6" xfId="27866"/>
    <cellStyle name="常规 5 2 2 3 2 3 2 2 7" xfId="27867"/>
    <cellStyle name="常规 5 2 2 3 2 3 2 3" xfId="27869"/>
    <cellStyle name="常规 5 2 2 3 2 3 2 3 2" xfId="27871"/>
    <cellStyle name="常规 5 2 2 3 2 3 2 3 2 2" xfId="27873"/>
    <cellStyle name="常规 5 2 2 3 2 3 2 3 2 2 2" xfId="27876"/>
    <cellStyle name="常规 5 2 2 3 2 3 2 3 2 2 2 2" xfId="27877"/>
    <cellStyle name="常规 5 2 2 3 2 3 2 3 2 2 3" xfId="7088"/>
    <cellStyle name="常规 5 2 2 3 2 3 2 3 2 2 4" xfId="2743"/>
    <cellStyle name="常规 5 2 2 3 2 3 2 3 2 3" xfId="27879"/>
    <cellStyle name="常规 5 2 2 3 2 3 2 3 2 3 2" xfId="27880"/>
    <cellStyle name="常规 5 2 2 3 2 3 2 3 2 4" xfId="23003"/>
    <cellStyle name="常规 5 2 2 3 2 3 2 3 2 5" xfId="23005"/>
    <cellStyle name="常规 5 2 2 3 2 3 2 3 3" xfId="27882"/>
    <cellStyle name="常规 5 2 2 3 2 3 2 3 3 2" xfId="1052"/>
    <cellStyle name="常规 5 2 2 3 2 3 2 3 3 2 2" xfId="27883"/>
    <cellStyle name="常规 5 2 2 3 2 3 2 3 3 3" xfId="1063"/>
    <cellStyle name="常规 5 2 2 3 2 3 2 3 3 4" xfId="23012"/>
    <cellStyle name="常规 5 2 2 3 2 3 2 3 4" xfId="27885"/>
    <cellStyle name="常规 5 2 2 3 2 3 2 3 4 2" xfId="27886"/>
    <cellStyle name="常规 5 2 2 3 2 3 2 3 5" xfId="27888"/>
    <cellStyle name="常规 5 2 2 3 2 3 2 3 6" xfId="27890"/>
    <cellStyle name="常规 5 2 2 3 2 3 2 4" xfId="27892"/>
    <cellStyle name="常规 5 2 2 3 2 3 2 4 2" xfId="6819"/>
    <cellStyle name="常规 5 2 2 3 2 3 2 4 2 2" xfId="27894"/>
    <cellStyle name="常规 5 2 2 3 2 3 2 4 2 2 2" xfId="27896"/>
    <cellStyle name="常规 5 2 2 3 2 3 2 4 2 3" xfId="27897"/>
    <cellStyle name="常规 5 2 2 3 2 3 2 4 2 4" xfId="23024"/>
    <cellStyle name="常规 5 2 2 3 2 3 2 4 3" xfId="27899"/>
    <cellStyle name="常规 5 2 2 3 2 3 2 4 3 2" xfId="1106"/>
    <cellStyle name="常规 5 2 2 3 2 3 2 4 4" xfId="27901"/>
    <cellStyle name="常规 5 2 2 3 2 3 2 4 5" xfId="27902"/>
    <cellStyle name="常规 5 2 2 3 2 3 2 5" xfId="27904"/>
    <cellStyle name="常规 5 2 2 3 2 3 2 5 2" xfId="27906"/>
    <cellStyle name="常规 5 2 2 3 2 3 2 5 2 2" xfId="882"/>
    <cellStyle name="常规 5 2 2 3 2 3 2 5 3" xfId="27907"/>
    <cellStyle name="常规 5 2 2 3 2 3 2 5 4" xfId="27908"/>
    <cellStyle name="常规 5 2 2 3 2 3 2 6" xfId="27912"/>
    <cellStyle name="常规 5 2 2 3 2 3 2 6 2" xfId="27913"/>
    <cellStyle name="常规 5 2 2 3 2 3 2 7" xfId="27921"/>
    <cellStyle name="常规 5 2 2 3 2 3 2 8" xfId="27924"/>
    <cellStyle name="常规 5 2 2 3 2 3 3" xfId="27926"/>
    <cellStyle name="常规 5 2 2 3 2 3 3 2" xfId="27928"/>
    <cellStyle name="常规 5 2 2 3 2 3 3 2 2" xfId="27931"/>
    <cellStyle name="常规 5 2 2 3 2 3 3 2 2 2" xfId="21590"/>
    <cellStyle name="常规 5 2 2 3 2 3 3 2 2 2 2" xfId="27933"/>
    <cellStyle name="常规 5 2 2 3 2 3 3 2 2 2 2 2" xfId="24680"/>
    <cellStyle name="常规 5 2 2 3 2 3 3 2 2 2 3" xfId="27934"/>
    <cellStyle name="常规 5 2 2 3 2 3 3 2 2 2 4" xfId="27935"/>
    <cellStyle name="常规 5 2 2 3 2 3 3 2 2 3" xfId="27937"/>
    <cellStyle name="常规 5 2 2 3 2 3 3 2 2 3 2" xfId="27938"/>
    <cellStyle name="常规 5 2 2 3 2 3 3 2 2 4" xfId="27940"/>
    <cellStyle name="常规 5 2 2 3 2 3 3 2 2 5" xfId="27941"/>
    <cellStyle name="常规 5 2 2 3 2 3 3 2 3" xfId="27943"/>
    <cellStyle name="常规 5 2 2 3 2 3 3 2 3 2" xfId="27945"/>
    <cellStyle name="常规 5 2 2 3 2 3 3 2 3 2 2" xfId="27946"/>
    <cellStyle name="常规 5 2 2 3 2 3 3 2 3 3" xfId="27947"/>
    <cellStyle name="常规 5 2 2 3 2 3 3 2 3 4" xfId="27948"/>
    <cellStyle name="常规 5 2 2 3 2 3 3 2 4" xfId="7096"/>
    <cellStyle name="常规 5 2 2 3 2 3 3 2 4 2" xfId="407"/>
    <cellStyle name="常规 5 2 2 3 2 3 3 2 5" xfId="7103"/>
    <cellStyle name="常规 5 2 2 3 2 3 3 2 6" xfId="7155"/>
    <cellStyle name="常规 5 2 2 3 2 3 3 3" xfId="27950"/>
    <cellStyle name="常规 5 2 2 3 2 3 3 3 2" xfId="27952"/>
    <cellStyle name="常规 5 2 2 3 2 3 3 3 2 2" xfId="27954"/>
    <cellStyle name="常规 5 2 2 3 2 3 3 3 2 2 2" xfId="27956"/>
    <cellStyle name="常规 5 2 2 3 2 3 3 3 2 3" xfId="27957"/>
    <cellStyle name="常规 5 2 2 3 2 3 3 3 2 4" xfId="23044"/>
    <cellStyle name="常规 5 2 2 3 2 3 3 3 3" xfId="27959"/>
    <cellStyle name="常规 5 2 2 3 2 3 3 3 3 2" xfId="27960"/>
    <cellStyle name="常规 5 2 2 3 2 3 3 3 4" xfId="5098"/>
    <cellStyle name="常规 5 2 2 3 2 3 3 3 5" xfId="27961"/>
    <cellStyle name="常规 5 2 2 3 2 3 3 4" xfId="27963"/>
    <cellStyle name="常规 5 2 2 3 2 3 3 4 2" xfId="9496"/>
    <cellStyle name="常规 5 2 2 3 2 3 3 4 2 2" xfId="16507"/>
    <cellStyle name="常规 5 2 2 3 2 3 3 4 3" xfId="27964"/>
    <cellStyle name="常规 5 2 2 3 2 3 3 4 4" xfId="27965"/>
    <cellStyle name="常规 5 2 2 3 2 3 3 5" xfId="27967"/>
    <cellStyle name="常规 5 2 2 3 2 3 3 5 2" xfId="27968"/>
    <cellStyle name="常规 5 2 2 3 2 3 3 6" xfId="27972"/>
    <cellStyle name="常规 5 2 2 3 2 3 3 7" xfId="27974"/>
    <cellStyle name="常规 5 2 2 3 2 3 4" xfId="27977"/>
    <cellStyle name="常规 5 2 2 3 2 3 4 2" xfId="27979"/>
    <cellStyle name="常规 5 2 2 3 2 3 4 2 2" xfId="27981"/>
    <cellStyle name="常规 5 2 2 3 2 3 4 2 2 2" xfId="27983"/>
    <cellStyle name="常规 5 2 2 3 2 3 4 2 2 2 2" xfId="27984"/>
    <cellStyle name="常规 5 2 2 3 2 3 4 2 2 3" xfId="27985"/>
    <cellStyle name="常规 5 2 2 3 2 3 4 2 2 4" xfId="27986"/>
    <cellStyle name="常规 5 2 2 3 2 3 4 2 3" xfId="27988"/>
    <cellStyle name="常规 5 2 2 3 2 3 4 2 3 2" xfId="27989"/>
    <cellStyle name="常规 5 2 2 3 2 3 4 2 4" xfId="7159"/>
    <cellStyle name="常规 5 2 2 3 2 3 4 2 5" xfId="10324"/>
    <cellStyle name="常规 5 2 2 3 2 3 4 3" xfId="27991"/>
    <cellStyle name="常规 5 2 2 3 2 3 4 3 2" xfId="17180"/>
    <cellStyle name="常规 5 2 2 3 2 3 4 3 2 2" xfId="27992"/>
    <cellStyle name="常规 5 2 2 3 2 3 4 3 3" xfId="17181"/>
    <cellStyle name="常规 5 2 2 3 2 3 4 3 4" xfId="27993"/>
    <cellStyle name="常规 5 2 2 3 2 3 4 4" xfId="27995"/>
    <cellStyle name="常规 5 2 2 3 2 3 4 4 2" xfId="17185"/>
    <cellStyle name="常规 5 2 2 3 2 3 4 5" xfId="27997"/>
    <cellStyle name="常规 5 2 2 3 2 3 4 6" xfId="27999"/>
    <cellStyle name="常规 5 2 2 3 2 3 5" xfId="28001"/>
    <cellStyle name="常规 5 2 2 3 2 3 5 2" xfId="28003"/>
    <cellStyle name="常规 5 2 2 3 2 3 5 2 2" xfId="28005"/>
    <cellStyle name="常规 5 2 2 3 2 3 5 2 2 2" xfId="28007"/>
    <cellStyle name="常规 5 2 2 3 2 3 5 2 3" xfId="28008"/>
    <cellStyle name="常规 5 2 2 3 2 3 5 2 4" xfId="28009"/>
    <cellStyle name="常规 5 2 2 3 2 3 5 3" xfId="28011"/>
    <cellStyle name="常规 5 2 2 3 2 3 5 3 2" xfId="17194"/>
    <cellStyle name="常规 5 2 2 3 2 3 5 4" xfId="28013"/>
    <cellStyle name="常规 5 2 2 3 2 3 5 5" xfId="28014"/>
    <cellStyle name="常规 5 2 2 3 2 3 6" xfId="289"/>
    <cellStyle name="常规 5 2 2 3 2 3 6 2" xfId="25361"/>
    <cellStyle name="常规 5 2 2 3 2 3 6 2 2" xfId="25363"/>
    <cellStyle name="常规 5 2 2 3 2 3 6 3" xfId="25374"/>
    <cellStyle name="常规 5 2 2 3 2 3 6 4" xfId="25380"/>
    <cellStyle name="常规 5 2 2 3 2 3 7" xfId="25386"/>
    <cellStyle name="常规 5 2 2 3 2 3 7 2" xfId="25389"/>
    <cellStyle name="常规 5 2 2 3 2 3 8" xfId="25400"/>
    <cellStyle name="常规 5 2 2 3 2 3 9" xfId="25405"/>
    <cellStyle name="常规 5 2 2 3 2 4" xfId="28016"/>
    <cellStyle name="常规 5 2 2 3 2 4 2" xfId="13257"/>
    <cellStyle name="常规 5 2 2 3 2 4 2 2" xfId="28018"/>
    <cellStyle name="常规 5 2 2 3 2 4 2 2 2" xfId="28020"/>
    <cellStyle name="常规 5 2 2 3 2 4 2 2 2 2" xfId="28022"/>
    <cellStyle name="常规 5 2 2 3 2 4 2 2 2 2 2" xfId="28024"/>
    <cellStyle name="常规 5 2 2 3 2 4 2 2 2 2 2 2" xfId="28025"/>
    <cellStyle name="常规 5 2 2 3 2 4 2 2 2 2 3" xfId="28027"/>
    <cellStyle name="常规 5 2 2 3 2 4 2 2 2 2 4" xfId="28029"/>
    <cellStyle name="常规 5 2 2 3 2 4 2 2 2 3" xfId="28031"/>
    <cellStyle name="常规 5 2 2 3 2 4 2 2 2 3 2" xfId="28032"/>
    <cellStyle name="常规 5 2 2 3 2 4 2 2 2 4" xfId="377"/>
    <cellStyle name="常规 5 2 2 3 2 4 2 2 2 5" xfId="28033"/>
    <cellStyle name="常规 5 2 2 3 2 4 2 2 3" xfId="28034"/>
    <cellStyle name="常规 5 2 2 3 2 4 2 2 3 2" xfId="28037"/>
    <cellStyle name="常规 5 2 2 3 2 4 2 2 3 2 2" xfId="20499"/>
    <cellStyle name="常规 5 2 2 3 2 4 2 2 3 3" xfId="26197"/>
    <cellStyle name="常规 5 2 2 3 2 4 2 2 3 4" xfId="26199"/>
    <cellStyle name="常规 5 2 2 3 2 4 2 2 4" xfId="28040"/>
    <cellStyle name="常规 5 2 2 3 2 4 2 2 4 2" xfId="28043"/>
    <cellStyle name="常规 5 2 2 3 2 4 2 2 5" xfId="28044"/>
    <cellStyle name="常规 5 2 2 3 2 4 2 2 6" xfId="28048"/>
    <cellStyle name="常规 5 2 2 3 2 4 2 3" xfId="28050"/>
    <cellStyle name="常规 5 2 2 3 2 4 2 3 2" xfId="28052"/>
    <cellStyle name="常规 5 2 2 3 2 4 2 3 2 2" xfId="28054"/>
    <cellStyle name="常规 5 2 2 3 2 4 2 3 2 2 2" xfId="24715"/>
    <cellStyle name="常规 5 2 2 3 2 4 2 3 2 3" xfId="21195"/>
    <cellStyle name="常规 5 2 2 3 2 4 2 3 2 4" xfId="23189"/>
    <cellStyle name="常规 5 2 2 3 2 4 2 3 3" xfId="28055"/>
    <cellStyle name="常规 5 2 2 3 2 4 2 3 3 2" xfId="28058"/>
    <cellStyle name="常规 5 2 2 3 2 4 2 3 4" xfId="28060"/>
    <cellStyle name="常规 5 2 2 3 2 4 2 3 5" xfId="28061"/>
    <cellStyle name="常规 5 2 2 3 2 4 2 4" xfId="28063"/>
    <cellStyle name="常规 5 2 2 3 2 4 2 4 2" xfId="7012"/>
    <cellStyle name="常规 5 2 2 3 2 4 2 4 2 2" xfId="28064"/>
    <cellStyle name="常规 5 2 2 3 2 4 2 4 3" xfId="28065"/>
    <cellStyle name="常规 5 2 2 3 2 4 2 4 4" xfId="28066"/>
    <cellStyle name="常规 5 2 2 3 2 4 2 5" xfId="28068"/>
    <cellStyle name="常规 5 2 2 3 2 4 2 5 2" xfId="28069"/>
    <cellStyle name="常规 5 2 2 3 2 4 2 6" xfId="28074"/>
    <cellStyle name="常规 5 2 2 3 2 4 2 7" xfId="28077"/>
    <cellStyle name="常规 5 2 2 3 2 4 3" xfId="28079"/>
    <cellStyle name="常规 5 2 2 3 2 4 3 2" xfId="28081"/>
    <cellStyle name="常规 5 2 2 3 2 4 3 2 2" xfId="28083"/>
    <cellStyle name="常规 5 2 2 3 2 4 3 2 2 2" xfId="28085"/>
    <cellStyle name="常规 5 2 2 3 2 4 3 2 2 2 2" xfId="28086"/>
    <cellStyle name="常规 5 2 2 3 2 4 3 2 2 3" xfId="809"/>
    <cellStyle name="常规 5 2 2 3 2 4 3 2 2 4" xfId="22904"/>
    <cellStyle name="常规 5 2 2 3 2 4 3 2 3" xfId="28087"/>
    <cellStyle name="常规 5 2 2 3 2 4 3 2 3 2" xfId="28091"/>
    <cellStyle name="常规 5 2 2 3 2 4 3 2 4" xfId="6983"/>
    <cellStyle name="常规 5 2 2 3 2 4 3 2 5" xfId="28092"/>
    <cellStyle name="常规 5 2 2 3 2 4 3 3" xfId="28094"/>
    <cellStyle name="常规 5 2 2 3 2 4 3 3 2" xfId="28096"/>
    <cellStyle name="常规 5 2 2 3 2 4 3 3 2 2" xfId="28097"/>
    <cellStyle name="常规 5 2 2 3 2 4 3 3 3" xfId="28098"/>
    <cellStyle name="常规 5 2 2 3 2 4 3 3 4" xfId="28099"/>
    <cellStyle name="常规 5 2 2 3 2 4 3 4" xfId="8003"/>
    <cellStyle name="常规 5 2 2 3 2 4 3 4 2" xfId="8005"/>
    <cellStyle name="常规 5 2 2 3 2 4 3 5" xfId="8008"/>
    <cellStyle name="常规 5 2 2 3 2 4 3 6" xfId="5889"/>
    <cellStyle name="常规 5 2 2 3 2 4 4" xfId="28101"/>
    <cellStyle name="常规 5 2 2 3 2 4 4 2" xfId="28103"/>
    <cellStyle name="常规 5 2 2 3 2 4 4 2 2" xfId="28105"/>
    <cellStyle name="常规 5 2 2 3 2 4 4 2 2 2" xfId="28106"/>
    <cellStyle name="常规 5 2 2 3 2 4 4 2 3" xfId="28107"/>
    <cellStyle name="常规 5 2 2 3 2 4 4 2 4" xfId="28108"/>
    <cellStyle name="常规 5 2 2 3 2 4 4 3" xfId="28110"/>
    <cellStyle name="常规 5 2 2 3 2 4 4 3 2" xfId="17220"/>
    <cellStyle name="常规 5 2 2 3 2 4 4 4" xfId="8012"/>
    <cellStyle name="常规 5 2 2 3 2 4 4 5" xfId="28111"/>
    <cellStyle name="常规 5 2 2 3 2 4 5" xfId="28113"/>
    <cellStyle name="常规 5 2 2 3 2 4 5 2" xfId="28115"/>
    <cellStyle name="常规 5 2 2 3 2 4 5 2 2" xfId="5696"/>
    <cellStyle name="常规 5 2 2 3 2 4 5 3" xfId="28116"/>
    <cellStyle name="常规 5 2 2 3 2 4 5 4" xfId="18775"/>
    <cellStyle name="常规 5 2 2 3 2 4 6" xfId="25415"/>
    <cellStyle name="常规 5 2 2 3 2 4 6 2" xfId="25418"/>
    <cellStyle name="常规 5 2 2 3 2 4 7" xfId="25427"/>
    <cellStyle name="常规 5 2 2 3 2 4 8" xfId="25432"/>
    <cellStyle name="常规 5 2 2 3 2 5" xfId="28118"/>
    <cellStyle name="常规 5 2 2 3 2 5 2" xfId="28120"/>
    <cellStyle name="常规 5 2 2 3 2 5 2 2" xfId="28122"/>
    <cellStyle name="常规 5 2 2 3 2 5 2 2 2" xfId="28124"/>
    <cellStyle name="常规 5 2 2 3 2 5 2 2 2 2" xfId="24643"/>
    <cellStyle name="常规 5 2 2 3 2 5 2 2 2 2 2" xfId="24647"/>
    <cellStyle name="常规 5 2 2 3 2 5 2 2 2 3" xfId="24649"/>
    <cellStyle name="常规 5 2 2 3 2 5 2 2 2 4" xfId="11178"/>
    <cellStyle name="常规 5 2 2 3 2 5 2 2 3" xfId="14713"/>
    <cellStyle name="常规 5 2 2 3 2 5 2 2 3 2" xfId="24657"/>
    <cellStyle name="常规 5 2 2 3 2 5 2 2 4" xfId="28126"/>
    <cellStyle name="常规 5 2 2 3 2 5 2 2 5" xfId="1534"/>
    <cellStyle name="常规 5 2 2 3 2 5 2 3" xfId="28128"/>
    <cellStyle name="常规 5 2 2 3 2 5 2 3 2" xfId="28130"/>
    <cellStyle name="常规 5 2 2 3 2 5 2 3 2 2" xfId="24696"/>
    <cellStyle name="常规 5 2 2 3 2 5 2 3 3" xfId="28131"/>
    <cellStyle name="常规 5 2 2 3 2 5 2 3 4" xfId="28132"/>
    <cellStyle name="常规 5 2 2 3 2 5 2 4" xfId="28134"/>
    <cellStyle name="常规 5 2 2 3 2 5 2 4 2" xfId="28135"/>
    <cellStyle name="常规 5 2 2 3 2 5 2 5" xfId="28137"/>
    <cellStyle name="常规 5 2 2 3 2 5 2 6" xfId="28140"/>
    <cellStyle name="常规 5 2 2 3 2 5 3" xfId="28142"/>
    <cellStyle name="常规 5 2 2 3 2 5 3 2" xfId="28144"/>
    <cellStyle name="常规 5 2 2 3 2 5 3 2 2" xfId="6660"/>
    <cellStyle name="常规 5 2 2 3 2 5 3 2 2 2" xfId="24768"/>
    <cellStyle name="常规 5 2 2 3 2 5 3 2 3" xfId="6713"/>
    <cellStyle name="常规 5 2 2 3 2 5 3 2 4" xfId="12491"/>
    <cellStyle name="常规 5 2 2 3 2 5 3 3" xfId="28146"/>
    <cellStyle name="常规 5 2 2 3 2 5 3 3 2" xfId="1343"/>
    <cellStyle name="常规 5 2 2 3 2 5 3 4" xfId="8023"/>
    <cellStyle name="常规 5 2 2 3 2 5 3 5" xfId="28147"/>
    <cellStyle name="常规 5 2 2 3 2 5 4" xfId="28149"/>
    <cellStyle name="常规 5 2 2 3 2 5 4 2" xfId="28151"/>
    <cellStyle name="常规 5 2 2 3 2 5 4 2 2" xfId="6791"/>
    <cellStyle name="常规 5 2 2 3 2 5 4 3" xfId="28152"/>
    <cellStyle name="常规 5 2 2 3 2 5 4 4" xfId="28153"/>
    <cellStyle name="常规 5 2 2 3 2 5 5" xfId="18269"/>
    <cellStyle name="常规 5 2 2 3 2 5 5 2" xfId="18272"/>
    <cellStyle name="常规 5 2 2 3 2 5 6" xfId="18277"/>
    <cellStyle name="常规 5 2 2 3 2 5 7" xfId="18283"/>
    <cellStyle name="常规 5 2 2 3 2 6" xfId="28155"/>
    <cellStyle name="常规 5 2 2 3 2 6 2" xfId="28157"/>
    <cellStyle name="常规 5 2 2 3 2 6 2 2" xfId="28159"/>
    <cellStyle name="常规 5 2 2 3 2 6 2 2 2" xfId="28162"/>
    <cellStyle name="常规 5 2 2 3 2 6 2 2 2 2" xfId="24931"/>
    <cellStyle name="常规 5 2 2 3 2 6 2 2 3" xfId="28163"/>
    <cellStyle name="常规 5 2 2 3 2 6 2 2 4" xfId="28164"/>
    <cellStyle name="常规 5 2 2 3 2 6 2 3" xfId="28166"/>
    <cellStyle name="常规 5 2 2 3 2 6 2 3 2" xfId="28167"/>
    <cellStyle name="常规 5 2 2 3 2 6 2 4" xfId="28169"/>
    <cellStyle name="常规 5 2 2 3 2 6 2 5" xfId="28170"/>
    <cellStyle name="常规 5 2 2 3 2 6 3" xfId="14200"/>
    <cellStyle name="常规 5 2 2 3 2 6 3 2" xfId="14203"/>
    <cellStyle name="常规 5 2 2 3 2 6 3 2 2" xfId="6172"/>
    <cellStyle name="常规 5 2 2 3 2 6 3 3" xfId="14208"/>
    <cellStyle name="常规 5 2 2 3 2 6 3 4" xfId="14211"/>
    <cellStyle name="常规 5 2 2 3 2 6 4" xfId="14216"/>
    <cellStyle name="常规 5 2 2 3 2 6 4 2" xfId="14218"/>
    <cellStyle name="常规 5 2 2 3 2 6 5" xfId="14225"/>
    <cellStyle name="常规 5 2 2 3 2 6 6" xfId="14240"/>
    <cellStyle name="常规 5 2 2 3 2 7" xfId="28172"/>
    <cellStyle name="常规 5 2 2 3 2 7 2" xfId="28174"/>
    <cellStyle name="常规 5 2 2 3 2 7 2 2" xfId="28176"/>
    <cellStyle name="常规 5 2 2 3 2 7 2 2 2" xfId="10158"/>
    <cellStyle name="常规 5 2 2 3 2 7 2 3" xfId="28177"/>
    <cellStyle name="常规 5 2 2 3 2 7 2 4" xfId="28178"/>
    <cellStyle name="常规 5 2 2 3 2 7 3" xfId="14250"/>
    <cellStyle name="常规 5 2 2 3 2 7 3 2" xfId="14252"/>
    <cellStyle name="常规 5 2 2 3 2 7 4" xfId="14257"/>
    <cellStyle name="常规 5 2 2 3 2 7 5" xfId="14261"/>
    <cellStyle name="常规 5 2 2 3 2 8" xfId="28179"/>
    <cellStyle name="常规 5 2 2 3 2 8 2" xfId="28180"/>
    <cellStyle name="常规 5 2 2 3 2 8 2 2" xfId="28181"/>
    <cellStyle name="常规 5 2 2 3 2 8 3" xfId="14270"/>
    <cellStyle name="常规 5 2 2 3 2 8 4" xfId="14273"/>
    <cellStyle name="常规 5 2 2 3 2 9" xfId="28182"/>
    <cellStyle name="常规 5 2 2 3 2 9 2" xfId="28183"/>
    <cellStyle name="常规 5 2 2 3 3" xfId="28185"/>
    <cellStyle name="常规 5 2 2 3 3 2" xfId="28188"/>
    <cellStyle name="常规 5 2 2 3 3 2 2" xfId="28191"/>
    <cellStyle name="常规 5 2 2 3 3 2 2 2" xfId="18243"/>
    <cellStyle name="常规 5 2 2 3 3 2 2 2 2" xfId="18246"/>
    <cellStyle name="常规 5 2 2 3 3 2 2 2 2 2" xfId="139"/>
    <cellStyle name="常规 5 2 2 3 3 2 2 2 2 2 2" xfId="2193"/>
    <cellStyle name="常规 5 2 2 3 3 2 2 2 2 2 2 2" xfId="18249"/>
    <cellStyle name="常规 5 2 2 3 3 2 2 2 2 2 3" xfId="18266"/>
    <cellStyle name="常规 5 2 2 3 3 2 2 2 2 2 4" xfId="18301"/>
    <cellStyle name="常规 5 2 2 3 3 2 2 2 2 3" xfId="18327"/>
    <cellStyle name="常规 5 2 2 3 3 2 2 2 2 3 2" xfId="18330"/>
    <cellStyle name="常规 5 2 2 3 3 2 2 2 2 4" xfId="18366"/>
    <cellStyle name="常规 5 2 2 3 3 2 2 2 2 5" xfId="18377"/>
    <cellStyle name="常规 5 2 2 3 3 2 2 2 3" xfId="18391"/>
    <cellStyle name="常规 5 2 2 3 3 2 2 2 3 2" xfId="3652"/>
    <cellStyle name="常规 5 2 2 3 3 2 2 2 3 2 2" xfId="665"/>
    <cellStyle name="常规 5 2 2 3 3 2 2 2 3 3" xfId="18424"/>
    <cellStyle name="常规 5 2 2 3 3 2 2 2 3 4" xfId="18435"/>
    <cellStyle name="常规 5 2 2 3 3 2 2 2 4" xfId="3627"/>
    <cellStyle name="常规 5 2 2 3 3 2 2 2 4 2" xfId="15964"/>
    <cellStyle name="常规 5 2 2 3 3 2 2 2 5" xfId="15968"/>
    <cellStyle name="常规 5 2 2 3 3 2 2 2 6" xfId="7313"/>
    <cellStyle name="常规 5 2 2 3 3 2 2 3" xfId="18500"/>
    <cellStyle name="常规 5 2 2 3 3 2 2 3 2" xfId="18503"/>
    <cellStyle name="常规 5 2 2 3 3 2 2 3 2 2" xfId="1491"/>
    <cellStyle name="常规 5 2 2 3 3 2 2 3 2 2 2" xfId="18507"/>
    <cellStyle name="常规 5 2 2 3 3 2 2 3 2 3" xfId="18540"/>
    <cellStyle name="常规 5 2 2 3 3 2 2 3 2 4" xfId="18555"/>
    <cellStyle name="常规 5 2 2 3 3 2 2 3 3" xfId="18576"/>
    <cellStyle name="常规 5 2 2 3 3 2 2 3 3 2" xfId="3702"/>
    <cellStyle name="常规 5 2 2 3 3 2 2 3 4" xfId="15972"/>
    <cellStyle name="常规 5 2 2 3 3 2 2 3 5" xfId="18614"/>
    <cellStyle name="常规 5 2 2 3 3 2 2 4" xfId="18626"/>
    <cellStyle name="常规 5 2 2 3 3 2 2 4 2" xfId="1623"/>
    <cellStyle name="常规 5 2 2 3 3 2 2 4 2 2" xfId="18630"/>
    <cellStyle name="常规 5 2 2 3 3 2 2 4 3" xfId="18679"/>
    <cellStyle name="常规 5 2 2 3 3 2 2 4 4" xfId="18698"/>
    <cellStyle name="常规 5 2 2 3 3 2 2 5" xfId="18710"/>
    <cellStyle name="常规 5 2 2 3 3 2 2 5 2" xfId="18713"/>
    <cellStyle name="常规 5 2 2 3 3 2 2 6" xfId="18744"/>
    <cellStyle name="常规 5 2 2 3 3 2 2 7" xfId="28197"/>
    <cellStyle name="常规 5 2 2 3 3 2 3" xfId="28199"/>
    <cellStyle name="常规 5 2 2 3 3 2 3 2" xfId="19683"/>
    <cellStyle name="常规 5 2 2 3 3 2 3 2 2" xfId="19686"/>
    <cellStyle name="常规 5 2 2 3 3 2 3 2 2 2" xfId="19690"/>
    <cellStyle name="常规 5 2 2 3 3 2 3 2 2 2 2" xfId="19693"/>
    <cellStyle name="常规 5 2 2 3 3 2 3 2 2 3" xfId="19727"/>
    <cellStyle name="常规 5 2 2 3 3 2 3 2 2 4" xfId="9847"/>
    <cellStyle name="常规 5 2 2 3 3 2 3 2 3" xfId="19752"/>
    <cellStyle name="常规 5 2 2 3 3 2 3 2 3 2" xfId="263"/>
    <cellStyle name="常规 5 2 2 3 3 2 3 2 4" xfId="15994"/>
    <cellStyle name="常规 5 2 2 3 3 2 3 2 5" xfId="19798"/>
    <cellStyle name="常规 5 2 2 3 3 2 3 3" xfId="19808"/>
    <cellStyle name="常规 5 2 2 3 3 2 3 3 2" xfId="19811"/>
    <cellStyle name="常规 5 2 2 3 3 2 3 3 2 2" xfId="4143"/>
    <cellStyle name="常规 5 2 2 3 3 2 3 3 3" xfId="19843"/>
    <cellStyle name="常规 5 2 2 3 3 2 3 3 4" xfId="19857"/>
    <cellStyle name="常规 5 2 2 3 3 2 3 4" xfId="19871"/>
    <cellStyle name="常规 5 2 2 3 3 2 3 4 2" xfId="19875"/>
    <cellStyle name="常规 5 2 2 3 3 2 3 5" xfId="19918"/>
    <cellStyle name="常规 5 2 2 3 3 2 3 6" xfId="19934"/>
    <cellStyle name="常规 5 2 2 3 3 2 4" xfId="28201"/>
    <cellStyle name="常规 5 2 2 3 3 2 4 2" xfId="28203"/>
    <cellStyle name="常规 5 2 2 3 3 2 4 2 2" xfId="4193"/>
    <cellStyle name="常规 5 2 2 3 3 2 4 2 2 2" xfId="4199"/>
    <cellStyle name="常规 5 2 2 3 3 2 4 2 3" xfId="3693"/>
    <cellStyle name="常规 5 2 2 3 3 2 4 2 4" xfId="3698"/>
    <cellStyle name="常规 5 2 2 3 3 2 4 3" xfId="28205"/>
    <cellStyle name="常规 5 2 2 3 3 2 4 3 2" xfId="13130"/>
    <cellStyle name="常规 5 2 2 3 3 2 4 4" xfId="28207"/>
    <cellStyle name="常规 5 2 2 3 3 2 4 5" xfId="28209"/>
    <cellStyle name="常规 5 2 2 3 3 2 5" xfId="28211"/>
    <cellStyle name="常规 5 2 2 3 3 2 5 2" xfId="28213"/>
    <cellStyle name="常规 5 2 2 3 3 2 5 2 2" xfId="13158"/>
    <cellStyle name="常规 5 2 2 3 3 2 5 3" xfId="28215"/>
    <cellStyle name="常规 5 2 2 3 3 2 5 4" xfId="28217"/>
    <cellStyle name="常规 5 2 2 3 3 2 6" xfId="25467"/>
    <cellStyle name="常规 5 2 2 3 3 2 6 2" xfId="12601"/>
    <cellStyle name="常规 5 2 2 3 3 2 7" xfId="25479"/>
    <cellStyle name="常规 5 2 2 3 3 2 8" xfId="6968"/>
    <cellStyle name="常规 5 2 2 3 3 3" xfId="3030"/>
    <cellStyle name="常规 5 2 2 3 3 3 2" xfId="25768"/>
    <cellStyle name="常规 5 2 2 3 3 3 2 2" xfId="28219"/>
    <cellStyle name="常规 5 2 2 3 3 3 2 2 2" xfId="28221"/>
    <cellStyle name="常规 5 2 2 3 3 3 2 2 2 2" xfId="28223"/>
    <cellStyle name="常规 5 2 2 3 3 3 2 2 2 2 2" xfId="28225"/>
    <cellStyle name="常规 5 2 2 3 3 3 2 2 2 3" xfId="28227"/>
    <cellStyle name="常规 5 2 2 3 3 3 2 2 2 4" xfId="28229"/>
    <cellStyle name="常规 5 2 2 3 3 3 2 2 3" xfId="28231"/>
    <cellStyle name="常规 5 2 2 3 3 3 2 2 3 2" xfId="28233"/>
    <cellStyle name="常规 5 2 2 3 3 3 2 2 4" xfId="2142"/>
    <cellStyle name="常规 5 2 2 3 3 3 2 2 5" xfId="8237"/>
    <cellStyle name="常规 5 2 2 3 3 3 2 3" xfId="28235"/>
    <cellStyle name="常规 5 2 2 3 3 3 2 3 2" xfId="28237"/>
    <cellStyle name="常规 5 2 2 3 3 3 2 3 2 2" xfId="28239"/>
    <cellStyle name="常规 5 2 2 3 3 3 2 3 3" xfId="28241"/>
    <cellStyle name="常规 5 2 2 3 3 3 2 3 4" xfId="8241"/>
    <cellStyle name="常规 5 2 2 3 3 3 2 4" xfId="28243"/>
    <cellStyle name="常规 5 2 2 3 3 3 2 4 2" xfId="7804"/>
    <cellStyle name="常规 5 2 2 3 3 3 2 5" xfId="28245"/>
    <cellStyle name="常规 5 2 2 3 3 3 2 6" xfId="28249"/>
    <cellStyle name="常规 5 2 2 3 3 3 3" xfId="25771"/>
    <cellStyle name="常规 5 2 2 3 3 3 3 2" xfId="28251"/>
    <cellStyle name="常规 5 2 2 3 3 3 3 2 2" xfId="28253"/>
    <cellStyle name="常规 5 2 2 3 3 3 3 2 2 2" xfId="24724"/>
    <cellStyle name="常规 5 2 2 3 3 3 3 2 3" xfId="28255"/>
    <cellStyle name="常规 5 2 2 3 3 3 3 2 4" xfId="255"/>
    <cellStyle name="常规 5 2 2 3 3 3 3 3" xfId="28257"/>
    <cellStyle name="常规 5 2 2 3 3 3 3 3 2" xfId="28259"/>
    <cellStyle name="常规 5 2 2 3 3 3 3 4" xfId="28261"/>
    <cellStyle name="常规 5 2 2 3 3 3 3 5" xfId="28263"/>
    <cellStyle name="常规 5 2 2 3 3 3 4" xfId="28265"/>
    <cellStyle name="常规 5 2 2 3 3 3 4 2" xfId="28267"/>
    <cellStyle name="常规 5 2 2 3 3 3 4 2 2" xfId="13230"/>
    <cellStyle name="常规 5 2 2 3 3 3 4 3" xfId="28269"/>
    <cellStyle name="常规 5 2 2 3 3 3 4 4" xfId="28271"/>
    <cellStyle name="常规 5 2 2 3 3 3 5" xfId="28273"/>
    <cellStyle name="常规 5 2 2 3 3 3 5 2" xfId="28276"/>
    <cellStyle name="常规 5 2 2 3 3 3 6" xfId="25490"/>
    <cellStyle name="常规 5 2 2 3 3 3 7" xfId="25501"/>
    <cellStyle name="常规 5 2 2 3 3 4" xfId="28279"/>
    <cellStyle name="常规 5 2 2 3 3 4 2" xfId="25774"/>
    <cellStyle name="常规 5 2 2 3 3 4 2 2" xfId="28282"/>
    <cellStyle name="常规 5 2 2 3 3 4 2 2 2" xfId="28285"/>
    <cellStyle name="常规 5 2 2 3 3 4 2 2 2 2" xfId="28288"/>
    <cellStyle name="常规 5 2 2 3 3 4 2 2 3" xfId="28290"/>
    <cellStyle name="常规 5 2 2 3 3 4 2 2 4" xfId="8248"/>
    <cellStyle name="常规 5 2 2 3 3 4 2 3" xfId="28295"/>
    <cellStyle name="常规 5 2 2 3 3 4 2 3 2" xfId="28298"/>
    <cellStyle name="常规 5 2 2 3 3 4 2 4" xfId="28301"/>
    <cellStyle name="常规 5 2 2 3 3 4 2 5" xfId="28304"/>
    <cellStyle name="常规 5 2 2 3 3 4 3" xfId="28306"/>
    <cellStyle name="常规 5 2 2 3 3 4 3 2" xfId="28309"/>
    <cellStyle name="常规 5 2 2 3 3 4 3 2 2" xfId="28312"/>
    <cellStyle name="常规 5 2 2 3 3 4 3 3" xfId="28315"/>
    <cellStyle name="常规 5 2 2 3 3 4 3 4" xfId="8043"/>
    <cellStyle name="常规 5 2 2 3 3 4 4" xfId="8959"/>
    <cellStyle name="常规 5 2 2 3 3 4 4 2" xfId="8963"/>
    <cellStyle name="常规 5 2 2 3 3 4 5" xfId="8976"/>
    <cellStyle name="常规 5 2 2 3 3 4 6" xfId="8984"/>
    <cellStyle name="常规 5 2 2 3 3 5" xfId="14280"/>
    <cellStyle name="常规 5 2 2 3 3 5 2" xfId="28317"/>
    <cellStyle name="常规 5 2 2 3 3 5 2 2" xfId="28320"/>
    <cellStyle name="常规 5 2 2 3 3 5 2 2 2" xfId="28323"/>
    <cellStyle name="常规 5 2 2 3 3 5 2 3" xfId="28326"/>
    <cellStyle name="常规 5 2 2 3 3 5 2 4" xfId="28329"/>
    <cellStyle name="常规 5 2 2 3 3 5 3" xfId="28331"/>
    <cellStyle name="常规 5 2 2 3 3 5 3 2" xfId="28334"/>
    <cellStyle name="常规 5 2 2 3 3 5 4" xfId="8995"/>
    <cellStyle name="常规 5 2 2 3 3 5 5" xfId="9008"/>
    <cellStyle name="常规 5 2 2 3 3 6" xfId="28336"/>
    <cellStyle name="常规 5 2 2 3 3 6 2" xfId="28338"/>
    <cellStyle name="常规 5 2 2 3 3 6 2 2" xfId="28341"/>
    <cellStyle name="常规 5 2 2 3 3 6 3" xfId="9716"/>
    <cellStyle name="常规 5 2 2 3 3 6 4" xfId="9020"/>
    <cellStyle name="常规 5 2 2 3 3 7" xfId="28343"/>
    <cellStyle name="常规 5 2 2 3 3 7 2" xfId="28345"/>
    <cellStyle name="常规 5 2 2 3 3 8" xfId="28346"/>
    <cellStyle name="常规 5 2 2 3 3 9" xfId="28347"/>
    <cellStyle name="常规 5 2 2 3 4" xfId="28349"/>
    <cellStyle name="常规 5 2 2 3 4 2" xfId="28352"/>
    <cellStyle name="常规 5 2 2 3 4 2 2" xfId="28354"/>
    <cellStyle name="常规 5 2 2 3 4 2 2 2" xfId="10509"/>
    <cellStyle name="常规 5 2 2 3 4 2 2 2 2" xfId="10512"/>
    <cellStyle name="常规 5 2 2 3 4 2 2 2 2 2" xfId="10516"/>
    <cellStyle name="常规 5 2 2 3 4 2 2 2 2 2 2" xfId="334"/>
    <cellStyle name="常规 5 2 2 3 4 2 2 2 2 2 2 2" xfId="28355"/>
    <cellStyle name="常规 5 2 2 3 4 2 2 2 2 2 3" xfId="28356"/>
    <cellStyle name="常规 5 2 2 3 4 2 2 2 2 2 4" xfId="16535"/>
    <cellStyle name="常规 5 2 2 3 4 2 2 2 2 3" xfId="10519"/>
    <cellStyle name="常规 5 2 2 3 4 2 2 2 2 3 2" xfId="28357"/>
    <cellStyle name="常规 5 2 2 3 4 2 2 2 2 4" xfId="10521"/>
    <cellStyle name="常规 5 2 2 3 4 2 2 2 2 5" xfId="28358"/>
    <cellStyle name="常规 5 2 2 3 4 2 2 2 3" xfId="10524"/>
    <cellStyle name="常规 5 2 2 3 4 2 2 2 3 2" xfId="10527"/>
    <cellStyle name="常规 5 2 2 3 4 2 2 2 3 2 2" xfId="28359"/>
    <cellStyle name="常规 5 2 2 3 4 2 2 2 3 3" xfId="28360"/>
    <cellStyle name="常规 5 2 2 3 4 2 2 2 3 4" xfId="28361"/>
    <cellStyle name="常规 5 2 2 3 4 2 2 2 4" xfId="1334"/>
    <cellStyle name="常规 5 2 2 3 4 2 2 2 4 2" xfId="16039"/>
    <cellStyle name="常规 5 2 2 3 4 2 2 2 5" xfId="10529"/>
    <cellStyle name="常规 5 2 2 3 4 2 2 2 6" xfId="16042"/>
    <cellStyle name="常规 5 2 2 3 4 2 2 3" xfId="10534"/>
    <cellStyle name="常规 5 2 2 3 4 2 2 3 2" xfId="10538"/>
    <cellStyle name="常规 5 2 2 3 4 2 2 3 2 2" xfId="10543"/>
    <cellStyle name="常规 5 2 2 3 4 2 2 3 2 2 2" xfId="28362"/>
    <cellStyle name="常规 5 2 2 3 4 2 2 3 2 3" xfId="28365"/>
    <cellStyle name="常规 5 2 2 3 4 2 2 3 2 4" xfId="28367"/>
    <cellStyle name="常规 5 2 2 3 4 2 2 3 3" xfId="10546"/>
    <cellStyle name="常规 5 2 2 3 4 2 2 3 3 2" xfId="28369"/>
    <cellStyle name="常规 5 2 2 3 4 2 2 3 4" xfId="10549"/>
    <cellStyle name="常规 5 2 2 3 4 2 2 3 5" xfId="28371"/>
    <cellStyle name="常规 5 2 2 3 4 2 2 4" xfId="10555"/>
    <cellStyle name="常规 5 2 2 3 4 2 2 4 2" xfId="8489"/>
    <cellStyle name="常规 5 2 2 3 4 2 2 4 2 2" xfId="28373"/>
    <cellStyle name="常规 5 2 2 3 4 2 2 4 3" xfId="28375"/>
    <cellStyle name="常规 5 2 2 3 4 2 2 4 4" xfId="28377"/>
    <cellStyle name="常规 5 2 2 3 4 2 2 5" xfId="10560"/>
    <cellStyle name="常规 5 2 2 3 4 2 2 5 2" xfId="28379"/>
    <cellStyle name="常规 5 2 2 3 4 2 2 6" xfId="3038"/>
    <cellStyle name="常规 5 2 2 3 4 2 2 7" xfId="27468"/>
    <cellStyle name="常规 5 2 2 3 4 2 3" xfId="27623"/>
    <cellStyle name="常规 5 2 2 3 4 2 3 2" xfId="10595"/>
    <cellStyle name="常规 5 2 2 3 4 2 3 2 2" xfId="10598"/>
    <cellStyle name="常规 5 2 2 3 4 2 3 2 2 2" xfId="10601"/>
    <cellStyle name="常规 5 2 2 3 4 2 3 2 2 2 2" xfId="28381"/>
    <cellStyle name="常规 5 2 2 3 4 2 3 2 2 3" xfId="28382"/>
    <cellStyle name="常规 5 2 2 3 4 2 3 2 2 4" xfId="16023"/>
    <cellStyle name="常规 5 2 2 3 4 2 3 2 3" xfId="10603"/>
    <cellStyle name="常规 5 2 2 3 4 2 3 2 3 2" xfId="28383"/>
    <cellStyle name="常规 5 2 2 3 4 2 3 2 4" xfId="10605"/>
    <cellStyle name="常规 5 2 2 3 4 2 3 2 5" xfId="28384"/>
    <cellStyle name="常规 5 2 2 3 4 2 3 3" xfId="10610"/>
    <cellStyle name="常规 5 2 2 3 4 2 3 3 2" xfId="10613"/>
    <cellStyle name="常规 5 2 2 3 4 2 3 3 2 2" xfId="22400"/>
    <cellStyle name="常规 5 2 2 3 4 2 3 3 3" xfId="28385"/>
    <cellStyle name="常规 5 2 2 3 4 2 3 3 4" xfId="28387"/>
    <cellStyle name="常规 5 2 2 3 4 2 3 4" xfId="10617"/>
    <cellStyle name="常规 5 2 2 3 4 2 3 4 2" xfId="28389"/>
    <cellStyle name="常规 5 2 2 3 4 2 3 5" xfId="10620"/>
    <cellStyle name="常规 5 2 2 3 4 2 3 6" xfId="28392"/>
    <cellStyle name="常规 5 2 2 3 4 2 4" xfId="28396"/>
    <cellStyle name="常规 5 2 2 3 4 2 4 2" xfId="10645"/>
    <cellStyle name="常规 5 2 2 3 4 2 4 2 2" xfId="4693"/>
    <cellStyle name="常规 5 2 2 3 4 2 4 2 2 2" xfId="4697"/>
    <cellStyle name="常规 5 2 2 3 4 2 4 2 3" xfId="4706"/>
    <cellStyle name="常规 5 2 2 3 4 2 4 2 4" xfId="4710"/>
    <cellStyle name="常规 5 2 2 3 4 2 4 3" xfId="10647"/>
    <cellStyle name="常规 5 2 2 3 4 2 4 3 2" xfId="4747"/>
    <cellStyle name="常规 5 2 2 3 4 2 4 4" xfId="10650"/>
    <cellStyle name="常规 5 2 2 3 4 2 4 5" xfId="28397"/>
    <cellStyle name="常规 5 2 2 3 4 2 5" xfId="28401"/>
    <cellStyle name="常规 5 2 2 3 4 2 5 2" xfId="10664"/>
    <cellStyle name="常规 5 2 2 3 4 2 5 2 2" xfId="2324"/>
    <cellStyle name="常规 5 2 2 3 4 2 5 3" xfId="10666"/>
    <cellStyle name="常规 5 2 2 3 4 2 5 4" xfId="28402"/>
    <cellStyle name="常规 5 2 2 3 4 2 6" xfId="25528"/>
    <cellStyle name="常规 5 2 2 3 4 2 6 2" xfId="10681"/>
    <cellStyle name="常规 5 2 2 3 4 2 7" xfId="25535"/>
    <cellStyle name="常规 5 2 2 3 4 2 8" xfId="7000"/>
    <cellStyle name="常规 5 2 2 3 4 3" xfId="28404"/>
    <cellStyle name="常规 5 2 2 3 4 3 2" xfId="25787"/>
    <cellStyle name="常规 5 2 2 3 4 3 2 2" xfId="10796"/>
    <cellStyle name="常规 5 2 2 3 4 3 2 2 2" xfId="10799"/>
    <cellStyle name="常规 5 2 2 3 4 3 2 2 2 2" xfId="10801"/>
    <cellStyle name="常规 5 2 2 3 4 3 2 2 2 2 2" xfId="9758"/>
    <cellStyle name="常规 5 2 2 3 4 3 2 2 2 3" xfId="10804"/>
    <cellStyle name="常规 5 2 2 3 4 3 2 2 2 4" xfId="10807"/>
    <cellStyle name="常规 5 2 2 3 4 3 2 2 3" xfId="10809"/>
    <cellStyle name="常规 5 2 2 3 4 3 2 2 3 2" xfId="10811"/>
    <cellStyle name="常规 5 2 2 3 4 3 2 2 4" xfId="8270"/>
    <cellStyle name="常规 5 2 2 3 4 3 2 2 5" xfId="10814"/>
    <cellStyle name="常规 5 2 2 3 4 3 2 3" xfId="10817"/>
    <cellStyle name="常规 5 2 2 3 4 3 2 3 2" xfId="2251"/>
    <cellStyle name="常规 5 2 2 3 4 3 2 3 2 2" xfId="10820"/>
    <cellStyle name="常规 5 2 2 3 4 3 2 3 3" xfId="2258"/>
    <cellStyle name="常规 5 2 2 3 4 3 2 3 4" xfId="4151"/>
    <cellStyle name="常规 5 2 2 3 4 3 2 4" xfId="10825"/>
    <cellStyle name="常规 5 2 2 3 4 3 2 4 2" xfId="10828"/>
    <cellStyle name="常规 5 2 2 3 4 3 2 5" xfId="10831"/>
    <cellStyle name="常规 5 2 2 3 4 3 2 6" xfId="10834"/>
    <cellStyle name="常规 5 2 2 3 4 3 3" xfId="28406"/>
    <cellStyle name="常规 5 2 2 3 4 3 3 2" xfId="10896"/>
    <cellStyle name="常规 5 2 2 3 4 3 3 2 2" xfId="10898"/>
    <cellStyle name="常规 5 2 2 3 4 3 3 2 2 2" xfId="10901"/>
    <cellStyle name="常规 5 2 2 3 4 3 3 2 3" xfId="10904"/>
    <cellStyle name="常规 5 2 2 3 4 3 3 2 4" xfId="10906"/>
    <cellStyle name="常规 5 2 2 3 4 3 3 3" xfId="3780"/>
    <cellStyle name="常规 5 2 2 3 4 3 3 3 2" xfId="10909"/>
    <cellStyle name="常规 5 2 2 3 4 3 3 4" xfId="10912"/>
    <cellStyle name="常规 5 2 2 3 4 3 3 5" xfId="10915"/>
    <cellStyle name="常规 5 2 2 3 4 3 4" xfId="17019"/>
    <cellStyle name="常规 5 2 2 3 4 3 4 2" xfId="10944"/>
    <cellStyle name="常规 5 2 2 3 4 3 4 2 2" xfId="1047"/>
    <cellStyle name="常规 5 2 2 3 4 3 4 3" xfId="10947"/>
    <cellStyle name="常规 5 2 2 3 4 3 4 4" xfId="10951"/>
    <cellStyle name="常规 5 2 2 3 4 3 5" xfId="17022"/>
    <cellStyle name="常规 5 2 2 3 4 3 5 2" xfId="10964"/>
    <cellStyle name="常规 5 2 2 3 4 3 6" xfId="17026"/>
    <cellStyle name="常规 5 2 2 3 4 3 7" xfId="17030"/>
    <cellStyle name="常规 5 2 2 3 4 4" xfId="28408"/>
    <cellStyle name="常规 5 2 2 3 4 4 2" xfId="28410"/>
    <cellStyle name="常规 5 2 2 3 4 4 2 2" xfId="11065"/>
    <cellStyle name="常规 5 2 2 3 4 4 2 2 2" xfId="11068"/>
    <cellStyle name="常规 5 2 2 3 4 4 2 2 2 2" xfId="11071"/>
    <cellStyle name="常规 5 2 2 3 4 4 2 2 3" xfId="11074"/>
    <cellStyle name="常规 5 2 2 3 4 4 2 2 4" xfId="11077"/>
    <cellStyle name="常规 5 2 2 3 4 4 2 3" xfId="11080"/>
    <cellStyle name="常规 5 2 2 3 4 4 2 3 2" xfId="11084"/>
    <cellStyle name="常规 5 2 2 3 4 4 2 4" xfId="11089"/>
    <cellStyle name="常规 5 2 2 3 4 4 2 5" xfId="11093"/>
    <cellStyle name="常规 5 2 2 3 4 4 3" xfId="28412"/>
    <cellStyle name="常规 5 2 2 3 4 4 3 2" xfId="11132"/>
    <cellStyle name="常规 5 2 2 3 4 4 3 2 2" xfId="11135"/>
    <cellStyle name="常规 5 2 2 3 4 4 3 3" xfId="11138"/>
    <cellStyle name="常规 5 2 2 3 4 4 3 4" xfId="11142"/>
    <cellStyle name="常规 5 2 2 3 4 4 4" xfId="9050"/>
    <cellStyle name="常规 5 2 2 3 4 4 4 2" xfId="2548"/>
    <cellStyle name="常规 5 2 2 3 4 4 5" xfId="9058"/>
    <cellStyle name="常规 5 2 2 3 4 4 6" xfId="9066"/>
    <cellStyle name="常规 5 2 2 3 4 5" xfId="28414"/>
    <cellStyle name="常规 5 2 2 3 4 5 2" xfId="28416"/>
    <cellStyle name="常规 5 2 2 3 4 5 2 2" xfId="11223"/>
    <cellStyle name="常规 5 2 2 3 4 5 2 2 2" xfId="11226"/>
    <cellStyle name="常规 5 2 2 3 4 5 2 3" xfId="11229"/>
    <cellStyle name="常规 5 2 2 3 4 5 2 4" xfId="11233"/>
    <cellStyle name="常规 5 2 2 3 4 5 3" xfId="28417"/>
    <cellStyle name="常规 5 2 2 3 4 5 3 2" xfId="11254"/>
    <cellStyle name="常规 5 2 2 3 4 5 4" xfId="9071"/>
    <cellStyle name="常规 5 2 2 3 4 5 5" xfId="9077"/>
    <cellStyle name="常规 5 2 2 3 4 6" xfId="28419"/>
    <cellStyle name="常规 5 2 2 3 4 6 2" xfId="28420"/>
    <cellStyle name="常规 5 2 2 3 4 6 2 2" xfId="11300"/>
    <cellStyle name="常规 5 2 2 3 4 6 3" xfId="14300"/>
    <cellStyle name="常规 5 2 2 3 4 6 4" xfId="9084"/>
    <cellStyle name="常规 5 2 2 3 4 7" xfId="28422"/>
    <cellStyle name="常规 5 2 2 3 4 7 2" xfId="28423"/>
    <cellStyle name="常规 5 2 2 3 4 8" xfId="28424"/>
    <cellStyle name="常规 5 2 2 3 4 9" xfId="28425"/>
    <cellStyle name="常规 5 2 2 3 5" xfId="18802"/>
    <cellStyle name="常规 5 2 2 3 5 2" xfId="8619"/>
    <cellStyle name="常规 5 2 2 3 5 2 2" xfId="28427"/>
    <cellStyle name="常规 5 2 2 3 5 2 2 2" xfId="11571"/>
    <cellStyle name="常规 5 2 2 3 5 2 2 2 2" xfId="11574"/>
    <cellStyle name="常规 5 2 2 3 5 2 2 2 2 2" xfId="11577"/>
    <cellStyle name="常规 5 2 2 3 5 2 2 2 2 2 2" xfId="11579"/>
    <cellStyle name="常规 5 2 2 3 5 2 2 2 2 3" xfId="11581"/>
    <cellStyle name="常规 5 2 2 3 5 2 2 2 2 4" xfId="11584"/>
    <cellStyle name="常规 5 2 2 3 5 2 2 2 3" xfId="11587"/>
    <cellStyle name="常规 5 2 2 3 5 2 2 2 3 2" xfId="11589"/>
    <cellStyle name="常规 5 2 2 3 5 2 2 2 4" xfId="11592"/>
    <cellStyle name="常规 5 2 2 3 5 2 2 2 5" xfId="11596"/>
    <cellStyle name="常规 5 2 2 3 5 2 2 3" xfId="11599"/>
    <cellStyle name="常规 5 2 2 3 5 2 2 3 2" xfId="11604"/>
    <cellStyle name="常规 5 2 2 3 5 2 2 3 2 2" xfId="11608"/>
    <cellStyle name="常规 5 2 2 3 5 2 2 3 3" xfId="11612"/>
    <cellStyle name="常规 5 2 2 3 5 2 2 3 4" xfId="11616"/>
    <cellStyle name="常规 5 2 2 3 5 2 2 4" xfId="11621"/>
    <cellStyle name="常规 5 2 2 3 5 2 2 4 2" xfId="11625"/>
    <cellStyle name="常规 5 2 2 3 5 2 2 5" xfId="11630"/>
    <cellStyle name="常规 5 2 2 3 5 2 2 6" xfId="11634"/>
    <cellStyle name="常规 5 2 2 3 5 2 3" xfId="28429"/>
    <cellStyle name="常规 5 2 2 3 5 2 3 2" xfId="11713"/>
    <cellStyle name="常规 5 2 2 3 5 2 3 2 2" xfId="11717"/>
    <cellStyle name="常规 5 2 2 3 5 2 3 2 2 2" xfId="11721"/>
    <cellStyle name="常规 5 2 2 3 5 2 3 2 3" xfId="11724"/>
    <cellStyle name="常规 5 2 2 3 5 2 3 2 4" xfId="11727"/>
    <cellStyle name="常规 5 2 2 3 5 2 3 3" xfId="11730"/>
    <cellStyle name="常规 5 2 2 3 5 2 3 3 2" xfId="11735"/>
    <cellStyle name="常规 5 2 2 3 5 2 3 4" xfId="11742"/>
    <cellStyle name="常规 5 2 2 3 5 2 3 5" xfId="11748"/>
    <cellStyle name="常规 5 2 2 3 5 2 4" xfId="28431"/>
    <cellStyle name="常规 5 2 2 3 5 2 4 2" xfId="11769"/>
    <cellStyle name="常规 5 2 2 3 5 2 4 2 2" xfId="3464"/>
    <cellStyle name="常规 5 2 2 3 5 2 4 3" xfId="11771"/>
    <cellStyle name="常规 5 2 2 3 5 2 4 4" xfId="11777"/>
    <cellStyle name="常规 5 2 2 3 5 2 5" xfId="28433"/>
    <cellStyle name="常规 5 2 2 3 5 2 5 2" xfId="11791"/>
    <cellStyle name="常规 5 2 2 3 5 2 6" xfId="25554"/>
    <cellStyle name="常规 5 2 2 3 5 2 7" xfId="25557"/>
    <cellStyle name="常规 5 2 2 3 5 3" xfId="28435"/>
    <cellStyle name="常规 5 2 2 3 5 3 2" xfId="28438"/>
    <cellStyle name="常规 5 2 2 3 5 3 2 2" xfId="11862"/>
    <cellStyle name="常规 5 2 2 3 5 3 2 2 2" xfId="11865"/>
    <cellStyle name="常规 5 2 2 3 5 3 2 2 2 2" xfId="11867"/>
    <cellStyle name="常规 5 2 2 3 5 3 2 2 3" xfId="11869"/>
    <cellStyle name="常规 5 2 2 3 5 3 2 2 4" xfId="11871"/>
    <cellStyle name="常规 5 2 2 3 5 3 2 3" xfId="11874"/>
    <cellStyle name="常规 5 2 2 3 5 3 2 3 2" xfId="11878"/>
    <cellStyle name="常规 5 2 2 3 5 3 2 4" xfId="11883"/>
    <cellStyle name="常规 5 2 2 3 5 3 2 5" xfId="11887"/>
    <cellStyle name="常规 5 2 2 3 5 3 3" xfId="28440"/>
    <cellStyle name="常规 5 2 2 3 5 3 3 2" xfId="11932"/>
    <cellStyle name="常规 5 2 2 3 5 3 3 2 2" xfId="2002"/>
    <cellStyle name="常规 5 2 2 3 5 3 3 3" xfId="11934"/>
    <cellStyle name="常规 5 2 2 3 5 3 3 4" xfId="11942"/>
    <cellStyle name="常规 5 2 2 3 5 3 4" xfId="17035"/>
    <cellStyle name="常规 5 2 2 3 5 3 4 2" xfId="11958"/>
    <cellStyle name="常规 5 2 2 3 5 3 5" xfId="17038"/>
    <cellStyle name="常规 5 2 2 3 5 3 6" xfId="17042"/>
    <cellStyle name="常规 5 2 2 3 5 4" xfId="28443"/>
    <cellStyle name="常规 5 2 2 3 5 4 2" xfId="28445"/>
    <cellStyle name="常规 5 2 2 3 5 4 2 2" xfId="12026"/>
    <cellStyle name="常规 5 2 2 3 5 4 2 2 2" xfId="12029"/>
    <cellStyle name="常规 5 2 2 3 5 4 2 3" xfId="12032"/>
    <cellStyle name="常规 5 2 2 3 5 4 2 4" xfId="12039"/>
    <cellStyle name="常规 5 2 2 3 5 4 3" xfId="28447"/>
    <cellStyle name="常规 5 2 2 3 5 4 3 2" xfId="12068"/>
    <cellStyle name="常规 5 2 2 3 5 4 4" xfId="9091"/>
    <cellStyle name="常规 5 2 2 3 5 4 5" xfId="9099"/>
    <cellStyle name="常规 5 2 2 3 5 5" xfId="28449"/>
    <cellStyle name="常规 5 2 2 3 5 5 2" xfId="28451"/>
    <cellStyle name="常规 5 2 2 3 5 5 2 2" xfId="12124"/>
    <cellStyle name="常规 5 2 2 3 5 5 3" xfId="28452"/>
    <cellStyle name="常规 5 2 2 3 5 5 4" xfId="9104"/>
    <cellStyle name="常规 5 2 2 3 5 6" xfId="28453"/>
    <cellStyle name="常规 5 2 2 3 5 6 2" xfId="28456"/>
    <cellStyle name="常规 5 2 2 3 5 7" xfId="28458"/>
    <cellStyle name="常规 5 2 2 3 5 8" xfId="28461"/>
    <cellStyle name="常规 5 2 2 3 6" xfId="28465"/>
    <cellStyle name="常规 5 2 2 3 6 2" xfId="28468"/>
    <cellStyle name="常规 5 2 2 3 6 2 2" xfId="28470"/>
    <cellStyle name="常规 5 2 2 3 6 2 2 2" xfId="12342"/>
    <cellStyle name="常规 5 2 2 3 6 2 2 2 2" xfId="12345"/>
    <cellStyle name="常规 5 2 2 3 6 2 2 2 2 2" xfId="28471"/>
    <cellStyle name="常规 5 2 2 3 6 2 2 2 3" xfId="28472"/>
    <cellStyle name="常规 5 2 2 3 6 2 2 2 4" xfId="28473"/>
    <cellStyle name="常规 5 2 2 3 6 2 2 3" xfId="12348"/>
    <cellStyle name="常规 5 2 2 3 6 2 2 3 2" xfId="28474"/>
    <cellStyle name="常规 5 2 2 3 6 2 2 4" xfId="12354"/>
    <cellStyle name="常规 5 2 2 3 6 2 2 5" xfId="28479"/>
    <cellStyle name="常规 5 2 2 3 6 2 3" xfId="28484"/>
    <cellStyle name="常规 5 2 2 3 6 2 3 2" xfId="12370"/>
    <cellStyle name="常规 5 2 2 3 6 2 3 2 2" xfId="28485"/>
    <cellStyle name="常规 5 2 2 3 6 2 3 3" xfId="12372"/>
    <cellStyle name="常规 5 2 2 3 6 2 3 4" xfId="28489"/>
    <cellStyle name="常规 5 2 2 3 6 2 4" xfId="28491"/>
    <cellStyle name="常规 5 2 2 3 6 2 4 2" xfId="12381"/>
    <cellStyle name="常规 5 2 2 3 6 2 5" xfId="5203"/>
    <cellStyle name="常规 5 2 2 3 6 2 6" xfId="24754"/>
    <cellStyle name="常规 5 2 2 3 6 3" xfId="28494"/>
    <cellStyle name="常规 5 2 2 3 6 3 2" xfId="28496"/>
    <cellStyle name="常规 5 2 2 3 6 3 2 2" xfId="12399"/>
    <cellStyle name="常规 5 2 2 3 6 3 2 2 2" xfId="28497"/>
    <cellStyle name="常规 5 2 2 3 6 3 2 3" xfId="12401"/>
    <cellStyle name="常规 5 2 2 3 6 3 2 4" xfId="28500"/>
    <cellStyle name="常规 5 2 2 3 6 3 3" xfId="28502"/>
    <cellStyle name="常规 5 2 2 3 6 3 3 2" xfId="12411"/>
    <cellStyle name="常规 5 2 2 3 6 3 4" xfId="17047"/>
    <cellStyle name="常规 5 2 2 3 6 3 5" xfId="28504"/>
    <cellStyle name="常规 5 2 2 3 6 4" xfId="28506"/>
    <cellStyle name="常规 5 2 2 3 6 4 2" xfId="28508"/>
    <cellStyle name="常规 5 2 2 3 6 4 2 2" xfId="12428"/>
    <cellStyle name="常规 5 2 2 3 6 4 3" xfId="28510"/>
    <cellStyle name="常规 5 2 2 3 6 4 4" xfId="9112"/>
    <cellStyle name="常规 5 2 2 3 6 5" xfId="28512"/>
    <cellStyle name="常规 5 2 2 3 6 5 2" xfId="28513"/>
    <cellStyle name="常规 5 2 2 3 6 6" xfId="28514"/>
    <cellStyle name="常规 5 2 2 3 6 7" xfId="28517"/>
    <cellStyle name="常规 5 2 2 3 7" xfId="21474"/>
    <cellStyle name="常规 5 2 2 3 7 2" xfId="28520"/>
    <cellStyle name="常规 5 2 2 3 7 2 2" xfId="28522"/>
    <cellStyle name="常规 5 2 2 3 7 2 2 2" xfId="6068"/>
    <cellStyle name="常规 5 2 2 3 7 2 2 2 2" xfId="12623"/>
    <cellStyle name="常规 5 2 2 3 7 2 2 3" xfId="12625"/>
    <cellStyle name="常规 5 2 2 3 7 2 2 4" xfId="12634"/>
    <cellStyle name="常规 5 2 2 3 7 2 3" xfId="28524"/>
    <cellStyle name="常规 5 2 2 3 7 2 3 2" xfId="12647"/>
    <cellStyle name="常规 5 2 2 3 7 2 4" xfId="28526"/>
    <cellStyle name="常规 5 2 2 3 7 2 5" xfId="28528"/>
    <cellStyle name="常规 5 2 2 3 7 3" xfId="28530"/>
    <cellStyle name="常规 5 2 2 3 7 3 2" xfId="28532"/>
    <cellStyle name="常规 5 2 2 3 7 3 2 2" xfId="12678"/>
    <cellStyle name="常规 5 2 2 3 7 3 3" xfId="28533"/>
    <cellStyle name="常规 5 2 2 3 7 3 4" xfId="28534"/>
    <cellStyle name="常规 5 2 2 3 7 4" xfId="28536"/>
    <cellStyle name="常规 5 2 2 3 7 4 2" xfId="28537"/>
    <cellStyle name="常规 5 2 2 3 7 5" xfId="28539"/>
    <cellStyle name="常规 5 2 2 3 7 6" xfId="28540"/>
    <cellStyle name="常规 5 2 2 3 8" xfId="28542"/>
    <cellStyle name="常规 5 2 2 3 8 2" xfId="28544"/>
    <cellStyle name="常规 5 2 2 3 8 2 2" xfId="28546"/>
    <cellStyle name="常规 5 2 2 3 8 2 2 2" xfId="12853"/>
    <cellStyle name="常规 5 2 2 3 8 2 3" xfId="28547"/>
    <cellStyle name="常规 5 2 2 3 8 2 4" xfId="27606"/>
    <cellStyle name="常规 5 2 2 3 8 3" xfId="28549"/>
    <cellStyle name="常规 5 2 2 3 8 3 2" xfId="28550"/>
    <cellStyle name="常规 5 2 2 3 8 4" xfId="28552"/>
    <cellStyle name="常规 5 2 2 3 8 5" xfId="28553"/>
    <cellStyle name="常规 5 2 2 3 9" xfId="28554"/>
    <cellStyle name="常规 5 2 2 3 9 2" xfId="28556"/>
    <cellStyle name="常规 5 2 2 3 9 2 2" xfId="21991"/>
    <cellStyle name="常规 5 2 2 3 9 3" xfId="28559"/>
    <cellStyle name="常规 5 2 2 3 9 4" xfId="28560"/>
    <cellStyle name="常规 5 2 2 4" xfId="15918"/>
    <cellStyle name="常规 5 2 2 4 10" xfId="28561"/>
    <cellStyle name="常规 5 2 2 4 11" xfId="17728"/>
    <cellStyle name="常规 5 2 2 4 2" xfId="15920"/>
    <cellStyle name="常规 5 2 2 4 2 2" xfId="28563"/>
    <cellStyle name="常规 5 2 2 4 2 2 2" xfId="28565"/>
    <cellStyle name="常规 5 2 2 4 2 2 2 2" xfId="28567"/>
    <cellStyle name="常规 5 2 2 4 2 2 2 2 2" xfId="19889"/>
    <cellStyle name="常规 5 2 2 4 2 2 2 2 2 2" xfId="28570"/>
    <cellStyle name="常规 5 2 2 4 2 2 2 2 2 2 2" xfId="23991"/>
    <cellStyle name="常规 5 2 2 4 2 2 2 2 2 2 2 2" xfId="23995"/>
    <cellStyle name="常规 5 2 2 4 2 2 2 2 2 2 3" xfId="23999"/>
    <cellStyle name="常规 5 2 2 4 2 2 2 2 2 2 4" xfId="24003"/>
    <cellStyle name="常规 5 2 2 4 2 2 2 2 2 3" xfId="28574"/>
    <cellStyle name="常规 5 2 2 4 2 2 2 2 2 3 2" xfId="24019"/>
    <cellStyle name="常规 5 2 2 4 2 2 2 2 2 4" xfId="5104"/>
    <cellStyle name="常规 5 2 2 4 2 2 2 2 2 5" xfId="17172"/>
    <cellStyle name="常规 5 2 2 4 2 2 2 2 3" xfId="19895"/>
    <cellStyle name="常规 5 2 2 4 2 2 2 2 3 2" xfId="28578"/>
    <cellStyle name="常规 5 2 2 4 2 2 2 2 3 2 2" xfId="24187"/>
    <cellStyle name="常规 5 2 2 4 2 2 2 2 3 3" xfId="28581"/>
    <cellStyle name="常规 5 2 2 4 2 2 2 2 3 4" xfId="28584"/>
    <cellStyle name="常规 5 2 2 4 2 2 2 2 4" xfId="28589"/>
    <cellStyle name="常规 5 2 2 4 2 2 2 2 4 2" xfId="5954"/>
    <cellStyle name="常规 5 2 2 4 2 2 2 2 5" xfId="28594"/>
    <cellStyle name="常规 5 2 2 4 2 2 2 2 6" xfId="28598"/>
    <cellStyle name="常规 5 2 2 4 2 2 2 3" xfId="28600"/>
    <cellStyle name="常规 5 2 2 4 2 2 2 3 2" xfId="21796"/>
    <cellStyle name="常规 5 2 2 4 2 2 2 3 2 2" xfId="28603"/>
    <cellStyle name="常规 5 2 2 4 2 2 2 3 2 2 2" xfId="28608"/>
    <cellStyle name="常规 5 2 2 4 2 2 2 3 2 3" xfId="28612"/>
    <cellStyle name="常规 5 2 2 4 2 2 2 3 2 4" xfId="28616"/>
    <cellStyle name="常规 5 2 2 4 2 2 2 3 3" xfId="28620"/>
    <cellStyle name="常规 5 2 2 4 2 2 2 3 3 2" xfId="28623"/>
    <cellStyle name="常规 5 2 2 4 2 2 2 3 4" xfId="28627"/>
    <cellStyle name="常规 5 2 2 4 2 2 2 3 5" xfId="28630"/>
    <cellStyle name="常规 5 2 2 4 2 2 2 4" xfId="28632"/>
    <cellStyle name="常规 5 2 2 4 2 2 2 4 2" xfId="28635"/>
    <cellStyle name="常规 5 2 2 4 2 2 2 4 2 2" xfId="28638"/>
    <cellStyle name="常规 5 2 2 4 2 2 2 4 3" xfId="28641"/>
    <cellStyle name="常规 5 2 2 4 2 2 2 4 4" xfId="28644"/>
    <cellStyle name="常规 5 2 2 4 2 2 2 5" xfId="28647"/>
    <cellStyle name="常规 5 2 2 4 2 2 2 5 2" xfId="28651"/>
    <cellStyle name="常规 5 2 2 4 2 2 2 6" xfId="28655"/>
    <cellStyle name="常规 5 2 2 4 2 2 2 7" xfId="28661"/>
    <cellStyle name="常规 5 2 2 4 2 2 3" xfId="28663"/>
    <cellStyle name="常规 5 2 2 4 2 2 3 2" xfId="28665"/>
    <cellStyle name="常规 5 2 2 4 2 2 3 2 2" xfId="21831"/>
    <cellStyle name="常规 5 2 2 4 2 2 3 2 2 2" xfId="28668"/>
    <cellStyle name="常规 5 2 2 4 2 2 3 2 2 2 2" xfId="28671"/>
    <cellStyle name="常规 5 2 2 4 2 2 3 2 2 3" xfId="28674"/>
    <cellStyle name="常规 5 2 2 4 2 2 3 2 2 4" xfId="28677"/>
    <cellStyle name="常规 5 2 2 4 2 2 3 2 3" xfId="28681"/>
    <cellStyle name="常规 5 2 2 4 2 2 3 2 3 2" xfId="28683"/>
    <cellStyle name="常规 5 2 2 4 2 2 3 2 4" xfId="28687"/>
    <cellStyle name="常规 5 2 2 4 2 2 3 2 5" xfId="28689"/>
    <cellStyle name="常规 5 2 2 4 2 2 3 3" xfId="28691"/>
    <cellStyle name="常规 5 2 2 4 2 2 3 3 2" xfId="28694"/>
    <cellStyle name="常规 5 2 2 4 2 2 3 3 2 2" xfId="28696"/>
    <cellStyle name="常规 5 2 2 4 2 2 3 3 3" xfId="28699"/>
    <cellStyle name="常规 5 2 2 4 2 2 3 3 4" xfId="28701"/>
    <cellStyle name="常规 5 2 2 4 2 2 3 4" xfId="28703"/>
    <cellStyle name="常规 5 2 2 4 2 2 3 4 2" xfId="28706"/>
    <cellStyle name="常规 5 2 2 4 2 2 3 5" xfId="28709"/>
    <cellStyle name="常规 5 2 2 4 2 2 3 6" xfId="28712"/>
    <cellStyle name="常规 5 2 2 4 2 2 4" xfId="28714"/>
    <cellStyle name="常规 5 2 2 4 2 2 4 2" xfId="28716"/>
    <cellStyle name="常规 5 2 2 4 2 2 4 2 2" xfId="28719"/>
    <cellStyle name="常规 5 2 2 4 2 2 4 2 2 2" xfId="28722"/>
    <cellStyle name="常规 5 2 2 4 2 2 4 2 3" xfId="28725"/>
    <cellStyle name="常规 5 2 2 4 2 2 4 2 4" xfId="28728"/>
    <cellStyle name="常规 5 2 2 4 2 2 4 3" xfId="28730"/>
    <cellStyle name="常规 5 2 2 4 2 2 4 3 2" xfId="28733"/>
    <cellStyle name="常规 5 2 2 4 2 2 4 4" xfId="28735"/>
    <cellStyle name="常规 5 2 2 4 2 2 4 5" xfId="28737"/>
    <cellStyle name="常规 5 2 2 4 2 2 5" xfId="28739"/>
    <cellStyle name="常规 5 2 2 4 2 2 5 2" xfId="28742"/>
    <cellStyle name="常规 5 2 2 4 2 2 5 2 2" xfId="28746"/>
    <cellStyle name="常规 5 2 2 4 2 2 5 3" xfId="28749"/>
    <cellStyle name="常规 5 2 2 4 2 2 5 4" xfId="28752"/>
    <cellStyle name="常规 5 2 2 4 2 2 6" xfId="25572"/>
    <cellStyle name="常规 5 2 2 4 2 2 6 2" xfId="25577"/>
    <cellStyle name="常规 5 2 2 4 2 2 7" xfId="25608"/>
    <cellStyle name="常规 5 2 2 4 2 2 8" xfId="25622"/>
    <cellStyle name="常规 5 2 2 4 2 3" xfId="28754"/>
    <cellStyle name="常规 5 2 2 4 2 3 2" xfId="28756"/>
    <cellStyle name="常规 5 2 2 4 2 3 2 2" xfId="28758"/>
    <cellStyle name="常规 5 2 2 4 2 3 2 2 2" xfId="21905"/>
    <cellStyle name="常规 5 2 2 4 2 3 2 2 2 2" xfId="28761"/>
    <cellStyle name="常规 5 2 2 4 2 3 2 2 2 2 2" xfId="28764"/>
    <cellStyle name="常规 5 2 2 4 2 3 2 2 2 3" xfId="593"/>
    <cellStyle name="常规 5 2 2 4 2 3 2 2 2 4" xfId="19781"/>
    <cellStyle name="常规 5 2 2 4 2 3 2 2 3" xfId="28768"/>
    <cellStyle name="常规 5 2 2 4 2 3 2 2 3 2" xfId="28770"/>
    <cellStyle name="常规 5 2 2 4 2 3 2 2 4" xfId="28774"/>
    <cellStyle name="常规 5 2 2 4 2 3 2 2 5" xfId="28776"/>
    <cellStyle name="常规 5 2 2 4 2 3 2 3" xfId="28778"/>
    <cellStyle name="常规 5 2 2 4 2 3 2 3 2" xfId="16645"/>
    <cellStyle name="常规 5 2 2 4 2 3 2 3 2 2" xfId="28782"/>
    <cellStyle name="常规 5 2 2 4 2 3 2 3 3" xfId="16649"/>
    <cellStyle name="常规 5 2 2 4 2 3 2 3 4" xfId="28784"/>
    <cellStyle name="常规 5 2 2 4 2 3 2 4" xfId="28786"/>
    <cellStyle name="常规 5 2 2 4 2 3 2 4 2" xfId="28789"/>
    <cellStyle name="常规 5 2 2 4 2 3 2 5" xfId="27541"/>
    <cellStyle name="常规 5 2 2 4 2 3 2 6" xfId="27549"/>
    <cellStyle name="常规 5 2 2 4 2 3 3" xfId="28791"/>
    <cellStyle name="常规 5 2 2 4 2 3 3 2" xfId="28793"/>
    <cellStyle name="常规 5 2 2 4 2 3 3 2 2" xfId="28796"/>
    <cellStyle name="常规 5 2 2 4 2 3 3 2 2 2" xfId="96"/>
    <cellStyle name="常规 5 2 2 4 2 3 3 2 3" xfId="28799"/>
    <cellStyle name="常规 5 2 2 4 2 3 3 2 4" xfId="1754"/>
    <cellStyle name="常规 5 2 2 4 2 3 3 3" xfId="28801"/>
    <cellStyle name="常规 5 2 2 4 2 3 3 3 2" xfId="1681"/>
    <cellStyle name="常规 5 2 2 4 2 3 3 4" xfId="28803"/>
    <cellStyle name="常规 5 2 2 4 2 3 3 5" xfId="27556"/>
    <cellStyle name="常规 5 2 2 4 2 3 4" xfId="28805"/>
    <cellStyle name="常规 5 2 2 4 2 3 4 2" xfId="28807"/>
    <cellStyle name="常规 5 2 2 4 2 3 4 2 2" xfId="28811"/>
    <cellStyle name="常规 5 2 2 4 2 3 4 3" xfId="28813"/>
    <cellStyle name="常规 5 2 2 4 2 3 4 4" xfId="28815"/>
    <cellStyle name="常规 5 2 2 4 2 3 5" xfId="28817"/>
    <cellStyle name="常规 5 2 2 4 2 3 5 2" xfId="28819"/>
    <cellStyle name="常规 5 2 2 4 2 3 6" xfId="25645"/>
    <cellStyle name="常规 5 2 2 4 2 3 7" xfId="25672"/>
    <cellStyle name="常规 5 2 2 4 2 4" xfId="28821"/>
    <cellStyle name="常规 5 2 2 4 2 4 2" xfId="28823"/>
    <cellStyle name="常规 5 2 2 4 2 4 2 2" xfId="28825"/>
    <cellStyle name="常规 5 2 2 4 2 4 2 2 2" xfId="24729"/>
    <cellStyle name="常规 5 2 2 4 2 4 2 2 2 2" xfId="20582"/>
    <cellStyle name="常规 5 2 2 4 2 4 2 2 3" xfId="24731"/>
    <cellStyle name="常规 5 2 2 4 2 4 2 2 4" xfId="24737"/>
    <cellStyle name="常规 5 2 2 4 2 4 2 3" xfId="28827"/>
    <cellStyle name="常规 5 2 2 4 2 4 2 3 2" xfId="24815"/>
    <cellStyle name="常规 5 2 2 4 2 4 2 4" xfId="8446"/>
    <cellStyle name="常规 5 2 2 4 2 4 2 5" xfId="8454"/>
    <cellStyle name="常规 5 2 2 4 2 4 3" xfId="28829"/>
    <cellStyle name="常规 5 2 2 4 2 4 3 2" xfId="28831"/>
    <cellStyle name="常规 5 2 2 4 2 4 3 2 2" xfId="24982"/>
    <cellStyle name="常规 5 2 2 4 2 4 3 3" xfId="28833"/>
    <cellStyle name="常规 5 2 2 4 2 4 3 4" xfId="8115"/>
    <cellStyle name="常规 5 2 2 4 2 4 4" xfId="28835"/>
    <cellStyle name="常规 5 2 2 4 2 4 4 2" xfId="28837"/>
    <cellStyle name="常规 5 2 2 4 2 4 5" xfId="28839"/>
    <cellStyle name="常规 5 2 2 4 2 4 6" xfId="25692"/>
    <cellStyle name="常规 5 2 2 4 2 5" xfId="28841"/>
    <cellStyle name="常规 5 2 2 4 2 5 2" xfId="28843"/>
    <cellStyle name="常规 5 2 2 4 2 5 2 2" xfId="28845"/>
    <cellStyle name="常规 5 2 2 4 2 5 2 2 2" xfId="25354"/>
    <cellStyle name="常规 5 2 2 4 2 5 2 3" xfId="28847"/>
    <cellStyle name="常规 5 2 2 4 2 5 2 4" xfId="8470"/>
    <cellStyle name="常规 5 2 2 4 2 5 3" xfId="28850"/>
    <cellStyle name="常规 5 2 2 4 2 5 3 2" xfId="28852"/>
    <cellStyle name="常规 5 2 2 4 2 5 4" xfId="28854"/>
    <cellStyle name="常规 5 2 2 4 2 5 5" xfId="18345"/>
    <cellStyle name="常规 5 2 2 4 2 6" xfId="28857"/>
    <cellStyle name="常规 5 2 2 4 2 6 2" xfId="28859"/>
    <cellStyle name="常规 5 2 2 4 2 6 2 2" xfId="28861"/>
    <cellStyle name="常规 5 2 2 4 2 6 3" xfId="14399"/>
    <cellStyle name="常规 5 2 2 4 2 6 4" xfId="14405"/>
    <cellStyle name="常规 5 2 2 4 2 7" xfId="28864"/>
    <cellStyle name="常规 5 2 2 4 2 7 2" xfId="28867"/>
    <cellStyle name="常规 5 2 2 4 2 8" xfId="22214"/>
    <cellStyle name="常规 5 2 2 4 2 9" xfId="22219"/>
    <cellStyle name="常规 5 2 2 4 3" xfId="28869"/>
    <cellStyle name="常规 5 2 2 4 3 2" xfId="28873"/>
    <cellStyle name="常规 5 2 2 4 3 2 2" xfId="6144"/>
    <cellStyle name="常规 5 2 2 4 3 2 2 2" xfId="28877"/>
    <cellStyle name="常规 5 2 2 4 3 2 2 2 2" xfId="22048"/>
    <cellStyle name="常规 5 2 2 4 3 2 2 2 2 2" xfId="1687"/>
    <cellStyle name="常规 5 2 2 4 3 2 2 2 2 2 2" xfId="28878"/>
    <cellStyle name="常规 5 2 2 4 3 2 2 2 2 2 2 2" xfId="28879"/>
    <cellStyle name="常规 5 2 2 4 3 2 2 2 2 2 3" xfId="28881"/>
    <cellStyle name="常规 5 2 2 4 3 2 2 2 2 2 4" xfId="18599"/>
    <cellStyle name="常规 5 2 2 4 3 2 2 2 2 3" xfId="25112"/>
    <cellStyle name="常规 5 2 2 4 3 2 2 2 2 3 2" xfId="20362"/>
    <cellStyle name="常规 5 2 2 4 3 2 2 2 2 4" xfId="10155"/>
    <cellStyle name="常规 5 2 2 4 3 2 2 2 2 5" xfId="193"/>
    <cellStyle name="常规 5 2 2 4 3 2 2 2 3" xfId="22052"/>
    <cellStyle name="常规 5 2 2 4 3 2 2 2 3 2" xfId="21192"/>
    <cellStyle name="常规 5 2 2 4 3 2 2 2 3 2 2" xfId="28882"/>
    <cellStyle name="常规 5 2 2 4 3 2 2 2 3 3" xfId="25117"/>
    <cellStyle name="常规 5 2 2 4 3 2 2 2 3 4" xfId="25119"/>
    <cellStyle name="常规 5 2 2 4 3 2 2 2 4" xfId="1860"/>
    <cellStyle name="常规 5 2 2 4 3 2 2 2 4 2" xfId="16211"/>
    <cellStyle name="常规 5 2 2 4 3 2 2 2 5" xfId="16215"/>
    <cellStyle name="常规 5 2 2 4 3 2 2 2 6" xfId="1902"/>
    <cellStyle name="常规 5 2 2 4 3 2 2 3" xfId="28886"/>
    <cellStyle name="常规 5 2 2 4 3 2 2 3 2" xfId="1569"/>
    <cellStyle name="常规 5 2 2 4 3 2 2 3 2 2" xfId="21321"/>
    <cellStyle name="常规 5 2 2 4 3 2 2 3 2 2 2" xfId="21324"/>
    <cellStyle name="常规 5 2 2 4 3 2 2 3 2 3" xfId="21334"/>
    <cellStyle name="常规 5 2 2 4 3 2 2 3 2 4" xfId="21340"/>
    <cellStyle name="常规 5 2 2 4 3 2 2 3 3" xfId="1578"/>
    <cellStyle name="常规 5 2 2 4 3 2 2 3 3 2" xfId="21348"/>
    <cellStyle name="常规 5 2 2 4 3 2 2 3 4" xfId="16220"/>
    <cellStyle name="常规 5 2 2 4 3 2 2 3 5" xfId="21363"/>
    <cellStyle name="常规 5 2 2 4 3 2 2 4" xfId="28890"/>
    <cellStyle name="常规 5 2 2 4 3 2 2 4 2" xfId="21518"/>
    <cellStyle name="常规 5 2 2 4 3 2 2 4 2 2" xfId="21522"/>
    <cellStyle name="常规 5 2 2 4 3 2 2 4 3" xfId="21545"/>
    <cellStyle name="常规 5 2 2 4 3 2 2 4 4" xfId="21556"/>
    <cellStyle name="常规 5 2 2 4 3 2 2 5" xfId="28894"/>
    <cellStyle name="常规 5 2 2 4 3 2 2 5 2" xfId="21641"/>
    <cellStyle name="常规 5 2 2 4 3 2 2 6" xfId="28897"/>
    <cellStyle name="常规 5 2 2 4 3 2 2 7" xfId="28900"/>
    <cellStyle name="常规 5 2 2 4 3 2 3" xfId="21746"/>
    <cellStyle name="常规 5 2 2 4 3 2 3 2" xfId="21750"/>
    <cellStyle name="常规 5 2 2 4 3 2 3 2 2" xfId="22077"/>
    <cellStyle name="常规 5 2 2 4 3 2 3 2 2 2" xfId="28904"/>
    <cellStyle name="常规 5 2 2 4 3 2 3 2 2 2 2" xfId="28905"/>
    <cellStyle name="常规 5 2 2 4 3 2 3 2 2 3" xfId="25152"/>
    <cellStyle name="常规 5 2 2 4 3 2 3 2 2 4" xfId="25154"/>
    <cellStyle name="常规 5 2 2 4 3 2 3 2 3" xfId="28907"/>
    <cellStyle name="常规 5 2 2 4 3 2 3 2 3 2" xfId="28908"/>
    <cellStyle name="常规 5 2 2 4 3 2 3 2 4" xfId="16232"/>
    <cellStyle name="常规 5 2 2 4 3 2 3 2 5" xfId="28910"/>
    <cellStyle name="常规 5 2 2 4 3 2 3 3" xfId="28914"/>
    <cellStyle name="常规 5 2 2 4 3 2 3 3 2" xfId="21848"/>
    <cellStyle name="常规 5 2 2 4 3 2 3 3 2 2" xfId="21851"/>
    <cellStyle name="常规 5 2 2 4 3 2 3 3 3" xfId="21875"/>
    <cellStyle name="常规 5 2 2 4 3 2 3 3 4" xfId="21884"/>
    <cellStyle name="常规 5 2 2 4 3 2 3 4" xfId="28917"/>
    <cellStyle name="常规 5 2 2 4 3 2 3 4 2" xfId="21936"/>
    <cellStyle name="常规 5 2 2 4 3 2 3 5" xfId="28919"/>
    <cellStyle name="常规 5 2 2 4 3 2 3 6" xfId="28921"/>
    <cellStyle name="常规 5 2 2 4 3 2 4" xfId="21754"/>
    <cellStyle name="常规 5 2 2 4 3 2 4 2" xfId="28923"/>
    <cellStyle name="常规 5 2 2 4 3 2 4 2 2" xfId="13788"/>
    <cellStyle name="常规 5 2 2 4 3 2 4 2 2 2" xfId="13791"/>
    <cellStyle name="常规 5 2 2 4 3 2 4 2 3" xfId="13794"/>
    <cellStyle name="常规 5 2 2 4 3 2 4 2 4" xfId="13796"/>
    <cellStyle name="常规 5 2 2 4 3 2 4 3" xfId="28925"/>
    <cellStyle name="常规 5 2 2 4 3 2 4 3 2" xfId="13807"/>
    <cellStyle name="常规 5 2 2 4 3 2 4 4" xfId="28927"/>
    <cellStyle name="常规 5 2 2 4 3 2 4 5" xfId="28929"/>
    <cellStyle name="常规 5 2 2 4 3 2 5" xfId="3598"/>
    <cellStyle name="常规 5 2 2 4 3 2 5 2" xfId="5162"/>
    <cellStyle name="常规 5 2 2 4 3 2 5 2 2" xfId="3327"/>
    <cellStyle name="常规 5 2 2 4 3 2 5 3" xfId="5167"/>
    <cellStyle name="常规 5 2 2 4 3 2 5 4" xfId="6344"/>
    <cellStyle name="常规 5 2 2 4 3 2 6" xfId="3604"/>
    <cellStyle name="常规 5 2 2 4 3 2 6 2" xfId="5193"/>
    <cellStyle name="常规 5 2 2 4 3 2 7" xfId="3612"/>
    <cellStyle name="常规 5 2 2 4 3 2 8" xfId="6657"/>
    <cellStyle name="常规 5 2 2 4 3 3" xfId="28932"/>
    <cellStyle name="常规 5 2 2 4 3 3 2" xfId="25819"/>
    <cellStyle name="常规 5 2 2 4 3 3 2 2" xfId="28934"/>
    <cellStyle name="常规 5 2 2 4 3 3 2 2 2" xfId="22114"/>
    <cellStyle name="常规 5 2 2 4 3 3 2 2 2 2" xfId="28936"/>
    <cellStyle name="常规 5 2 2 4 3 3 2 2 2 2 2" xfId="4990"/>
    <cellStyle name="常规 5 2 2 4 3 3 2 2 2 3" xfId="25199"/>
    <cellStyle name="常规 5 2 2 4 3 3 2 2 2 4" xfId="25201"/>
    <cellStyle name="常规 5 2 2 4 3 3 2 2 3" xfId="28938"/>
    <cellStyle name="常规 5 2 2 4 3 3 2 2 3 2" xfId="28939"/>
    <cellStyle name="常规 5 2 2 4 3 3 2 2 4" xfId="8343"/>
    <cellStyle name="常规 5 2 2 4 3 3 2 2 5" xfId="28940"/>
    <cellStyle name="常规 5 2 2 4 3 3 2 3" xfId="28943"/>
    <cellStyle name="常规 5 2 2 4 3 3 2 3 2" xfId="1611"/>
    <cellStyle name="常规 5 2 2 4 3 3 2 3 2 2" xfId="22428"/>
    <cellStyle name="常规 5 2 2 4 3 3 2 3 3" xfId="114"/>
    <cellStyle name="常规 5 2 2 4 3 3 2 3 4" xfId="22437"/>
    <cellStyle name="常规 5 2 2 4 3 3 2 4" xfId="16741"/>
    <cellStyle name="常规 5 2 2 4 3 3 2 4 2" xfId="16744"/>
    <cellStyle name="常规 5 2 2 4 3 3 2 5" xfId="16753"/>
    <cellStyle name="常规 5 2 2 4 3 3 2 6" xfId="16757"/>
    <cellStyle name="常规 5 2 2 4 3 3 3" xfId="20609"/>
    <cellStyle name="常规 5 2 2 4 3 3 3 2" xfId="28945"/>
    <cellStyle name="常规 5 2 2 4 3 3 3 2 2" xfId="28947"/>
    <cellStyle name="常规 5 2 2 4 3 3 3 2 2 2" xfId="27657"/>
    <cellStyle name="常规 5 2 2 4 3 3 3 2 3" xfId="28948"/>
    <cellStyle name="常规 5 2 2 4 3 3 3 2 4" xfId="28949"/>
    <cellStyle name="常规 5 2 2 4 3 3 3 3" xfId="28951"/>
    <cellStyle name="常规 5 2 2 4 3 3 3 3 2" xfId="22637"/>
    <cellStyle name="常规 5 2 2 4 3 3 3 4" xfId="16762"/>
    <cellStyle name="常规 5 2 2 4 3 3 3 5" xfId="16766"/>
    <cellStyle name="常规 5 2 2 4 3 3 4" xfId="28953"/>
    <cellStyle name="常规 5 2 2 4 3 3 4 2" xfId="28954"/>
    <cellStyle name="常规 5 2 2 4 3 3 4 2 2" xfId="13848"/>
    <cellStyle name="常规 5 2 2 4 3 3 4 3" xfId="28955"/>
    <cellStyle name="常规 5 2 2 4 3 3 4 4" xfId="16771"/>
    <cellStyle name="常规 5 2 2 4 3 3 5" xfId="1627"/>
    <cellStyle name="常规 5 2 2 4 3 3 5 2" xfId="3516"/>
    <cellStyle name="常规 5 2 2 4 3 3 6" xfId="1632"/>
    <cellStyle name="常规 5 2 2 4 3 3 7" xfId="1642"/>
    <cellStyle name="常规 5 2 2 4 3 4" xfId="28958"/>
    <cellStyle name="常规 5 2 2 4 3 4 2" xfId="28960"/>
    <cellStyle name="常规 5 2 2 4 3 4 2 2" xfId="28964"/>
    <cellStyle name="常规 5 2 2 4 3 4 2 2 2" xfId="25966"/>
    <cellStyle name="常规 5 2 2 4 3 4 2 2 2 2" xfId="28966"/>
    <cellStyle name="常规 5 2 2 4 3 4 2 2 3" xfId="25970"/>
    <cellStyle name="常规 5 2 2 4 3 4 2 2 4" xfId="28968"/>
    <cellStyle name="常规 5 2 2 4 3 4 2 3" xfId="28972"/>
    <cellStyle name="常规 5 2 2 4 3 4 2 3 2" xfId="22940"/>
    <cellStyle name="常规 5 2 2 4 3 4 2 4" xfId="8502"/>
    <cellStyle name="常规 5 2 2 4 3 4 2 5" xfId="8511"/>
    <cellStyle name="常规 5 2 2 4 3 4 3" xfId="28974"/>
    <cellStyle name="常规 5 2 2 4 3 4 3 2" xfId="28977"/>
    <cellStyle name="常规 5 2 2 4 3 4 3 2 2" xfId="26055"/>
    <cellStyle name="常规 5 2 2 4 3 4 3 3" xfId="28980"/>
    <cellStyle name="常规 5 2 2 4 3 4 3 4" xfId="8519"/>
    <cellStyle name="常规 5 2 2 4 3 4 4" xfId="9135"/>
    <cellStyle name="常规 5 2 2 4 3 4 4 2" xfId="9138"/>
    <cellStyle name="常规 5 2 2 4 3 4 5" xfId="3664"/>
    <cellStyle name="常规 5 2 2 4 3 4 6" xfId="3669"/>
    <cellStyle name="常规 5 2 2 4 3 5" xfId="28983"/>
    <cellStyle name="常规 5 2 2 4 3 5 2" xfId="28985"/>
    <cellStyle name="常规 5 2 2 4 3 5 2 2" xfId="28988"/>
    <cellStyle name="常规 5 2 2 4 3 5 2 2 2" xfId="26186"/>
    <cellStyle name="常规 5 2 2 4 3 5 2 3" xfId="28991"/>
    <cellStyle name="常规 5 2 2 4 3 5 2 4" xfId="8531"/>
    <cellStyle name="常规 5 2 2 4 3 5 3" xfId="28992"/>
    <cellStyle name="常规 5 2 2 4 3 5 3 2" xfId="28994"/>
    <cellStyle name="常规 5 2 2 4 3 5 4" xfId="9146"/>
    <cellStyle name="常规 5 2 2 4 3 5 5" xfId="3711"/>
    <cellStyle name="常规 5 2 2 4 3 6" xfId="28996"/>
    <cellStyle name="常规 5 2 2 4 3 6 2" xfId="28997"/>
    <cellStyle name="常规 5 2 2 4 3 6 2 2" xfId="28999"/>
    <cellStyle name="常规 5 2 2 4 3 6 3" xfId="14439"/>
    <cellStyle name="常规 5 2 2 4 3 6 4" xfId="9150"/>
    <cellStyle name="常规 5 2 2 4 3 7" xfId="29002"/>
    <cellStyle name="常规 5 2 2 4 3 7 2" xfId="29004"/>
    <cellStyle name="常规 5 2 2 4 3 8" xfId="22227"/>
    <cellStyle name="常规 5 2 2 4 3 9" xfId="23471"/>
    <cellStyle name="常规 5 2 2 4 4" xfId="29006"/>
    <cellStyle name="常规 5 2 2 4 4 2" xfId="16826"/>
    <cellStyle name="常规 5 2 2 4 4 2 2" xfId="29009"/>
    <cellStyle name="常规 5 2 2 4 4 2 2 2" xfId="13389"/>
    <cellStyle name="常规 5 2 2 4 4 2 2 2 2" xfId="13394"/>
    <cellStyle name="常规 5 2 2 4 4 2 2 2 2 2" xfId="745"/>
    <cellStyle name="常规 5 2 2 4 4 2 2 2 2 2 2" xfId="13397"/>
    <cellStyle name="常规 5 2 2 4 4 2 2 2 2 3" xfId="3844"/>
    <cellStyle name="常规 5 2 2 4 4 2 2 2 2 4" xfId="13399"/>
    <cellStyle name="常规 5 2 2 4 4 2 2 2 3" xfId="13404"/>
    <cellStyle name="常规 5 2 2 4 4 2 2 2 3 2" xfId="4869"/>
    <cellStyle name="常规 5 2 2 4 4 2 2 2 4" xfId="13408"/>
    <cellStyle name="常规 5 2 2 4 4 2 2 2 5" xfId="13412"/>
    <cellStyle name="常规 5 2 2 4 4 2 2 3" xfId="13416"/>
    <cellStyle name="常规 5 2 2 4 4 2 2 3 2" xfId="13424"/>
    <cellStyle name="常规 5 2 2 4 4 2 2 3 2 2" xfId="4894"/>
    <cellStyle name="常规 5 2 2 4 4 2 2 3 3" xfId="13428"/>
    <cellStyle name="常规 5 2 2 4 4 2 2 3 4" xfId="13431"/>
    <cellStyle name="常规 5 2 2 4 4 2 2 4" xfId="13435"/>
    <cellStyle name="常规 5 2 2 4 4 2 2 4 2" xfId="13439"/>
    <cellStyle name="常规 5 2 2 4 4 2 2 5" xfId="13443"/>
    <cellStyle name="常规 5 2 2 4 4 2 2 6" xfId="13447"/>
    <cellStyle name="常规 5 2 2 4 4 2 3" xfId="29011"/>
    <cellStyle name="常规 5 2 2 4 4 2 3 2" xfId="13477"/>
    <cellStyle name="常规 5 2 2 4 4 2 3 2 2" xfId="13485"/>
    <cellStyle name="常规 5 2 2 4 4 2 3 2 2 2" xfId="1805"/>
    <cellStyle name="常规 5 2 2 4 4 2 3 2 3" xfId="13488"/>
    <cellStyle name="常规 5 2 2 4 4 2 3 2 4" xfId="13491"/>
    <cellStyle name="常规 5 2 2 4 4 2 3 3" xfId="2043"/>
    <cellStyle name="常规 5 2 2 4 4 2 3 3 2" xfId="13495"/>
    <cellStyle name="常规 5 2 2 4 4 2 3 4" xfId="13499"/>
    <cellStyle name="常规 5 2 2 4 4 2 3 5" xfId="13501"/>
    <cellStyle name="常规 5 2 2 4 4 2 4" xfId="29013"/>
    <cellStyle name="常规 5 2 2 4 4 2 4 2" xfId="13513"/>
    <cellStyle name="常规 5 2 2 4 4 2 4 2 2" xfId="4339"/>
    <cellStyle name="常规 5 2 2 4 4 2 4 3" xfId="13515"/>
    <cellStyle name="常规 5 2 2 4 4 2 4 4" xfId="13517"/>
    <cellStyle name="常规 5 2 2 4 4 2 5" xfId="2807"/>
    <cellStyle name="常规 5 2 2 4 4 2 5 2" xfId="7601"/>
    <cellStyle name="常规 5 2 2 4 4 2 6" xfId="3904"/>
    <cellStyle name="常规 5 2 2 4 4 2 7" xfId="6781"/>
    <cellStyle name="常规 5 2 2 4 4 3" xfId="29016"/>
    <cellStyle name="常规 5 2 2 4 4 3 2" xfId="29018"/>
    <cellStyle name="常规 5 2 2 4 4 3 2 2" xfId="13582"/>
    <cellStyle name="常规 5 2 2 4 4 3 2 2 2" xfId="13587"/>
    <cellStyle name="常规 5 2 2 4 4 3 2 2 2 2" xfId="13589"/>
    <cellStyle name="常规 5 2 2 4 4 3 2 2 3" xfId="13593"/>
    <cellStyle name="常规 5 2 2 4 4 3 2 2 4" xfId="13595"/>
    <cellStyle name="常规 5 2 2 4 4 3 2 3" xfId="13599"/>
    <cellStyle name="常规 5 2 2 4 4 3 2 3 2" xfId="13606"/>
    <cellStyle name="常规 5 2 2 4 4 3 2 4" xfId="13610"/>
    <cellStyle name="常规 5 2 2 4 4 3 2 5" xfId="13615"/>
    <cellStyle name="常规 5 2 2 4 4 3 3" xfId="29020"/>
    <cellStyle name="常规 5 2 2 4 4 3 3 2" xfId="2136"/>
    <cellStyle name="常规 5 2 2 4 4 3 3 2 2" xfId="13629"/>
    <cellStyle name="常规 5 2 2 4 4 3 3 3" xfId="2150"/>
    <cellStyle name="常规 5 2 2 4 4 3 3 4" xfId="2153"/>
    <cellStyle name="常规 5 2 2 4 4 3 4" xfId="17058"/>
    <cellStyle name="常规 5 2 2 4 4 3 4 2" xfId="2187"/>
    <cellStyle name="常规 5 2 2 4 4 3 5" xfId="1614"/>
    <cellStyle name="常规 5 2 2 4 4 3 6" xfId="50"/>
    <cellStyle name="常规 5 2 2 4 4 4" xfId="29023"/>
    <cellStyle name="常规 5 2 2 4 4 4 2" xfId="29025"/>
    <cellStyle name="常规 5 2 2 4 4 4 2 2" xfId="13674"/>
    <cellStyle name="常规 5 2 2 4 4 4 2 2 2" xfId="13679"/>
    <cellStyle name="常规 5 2 2 4 4 4 2 3" xfId="13684"/>
    <cellStyle name="常规 5 2 2 4 4 4 2 4" xfId="8555"/>
    <cellStyle name="常规 5 2 2 4 4 4 3" xfId="29027"/>
    <cellStyle name="常规 5 2 2 4 4 4 3 2" xfId="536"/>
    <cellStyle name="常规 5 2 2 4 4 4 4" xfId="9157"/>
    <cellStyle name="常规 5 2 2 4 4 4 5" xfId="7942"/>
    <cellStyle name="常规 5 2 2 4 4 5" xfId="17594"/>
    <cellStyle name="常规 5 2 2 4 4 5 2" xfId="17597"/>
    <cellStyle name="常规 5 2 2 4 4 5 2 2" xfId="13716"/>
    <cellStyle name="常规 5 2 2 4 4 5 3" xfId="17599"/>
    <cellStyle name="常规 5 2 2 4 4 5 4" xfId="9162"/>
    <cellStyle name="常规 5 2 2 4 4 6" xfId="17602"/>
    <cellStyle name="常规 5 2 2 4 4 6 2" xfId="17604"/>
    <cellStyle name="常规 5 2 2 4 4 7" xfId="17608"/>
    <cellStyle name="常规 5 2 2 4 4 8" xfId="17611"/>
    <cellStyle name="常规 5 2 2 4 5" xfId="29030"/>
    <cellStyle name="常规 5 2 2 4 5 2" xfId="29034"/>
    <cellStyle name="常规 5 2 2 4 5 2 2" xfId="29036"/>
    <cellStyle name="常规 5 2 2 4 5 2 2 2" xfId="13929"/>
    <cellStyle name="常规 5 2 2 4 5 2 2 2 2" xfId="13935"/>
    <cellStyle name="常规 5 2 2 4 5 2 2 2 2 2" xfId="29037"/>
    <cellStyle name="常规 5 2 2 4 5 2 2 2 3" xfId="29038"/>
    <cellStyle name="常规 5 2 2 4 5 2 2 2 4" xfId="29039"/>
    <cellStyle name="常规 5 2 2 4 5 2 2 3" xfId="13941"/>
    <cellStyle name="常规 5 2 2 4 5 2 2 3 2" xfId="24876"/>
    <cellStyle name="常规 5 2 2 4 5 2 2 4" xfId="13949"/>
    <cellStyle name="常规 5 2 2 4 5 2 2 5" xfId="24879"/>
    <cellStyle name="常规 5 2 2 4 5 2 3" xfId="29041"/>
    <cellStyle name="常规 5 2 2 4 5 2 3 2" xfId="13975"/>
    <cellStyle name="常规 5 2 2 4 5 2 3 2 2" xfId="26512"/>
    <cellStyle name="常规 5 2 2 4 5 2 3 3" xfId="13980"/>
    <cellStyle name="常规 5 2 2 4 5 2 3 4" xfId="29045"/>
    <cellStyle name="常规 5 2 2 4 5 2 4" xfId="29047"/>
    <cellStyle name="常规 5 2 2 4 5 2 4 2" xfId="13989"/>
    <cellStyle name="常规 5 2 2 4 5 2 5" xfId="8439"/>
    <cellStyle name="常规 5 2 2 4 5 2 6" xfId="8601"/>
    <cellStyle name="常规 5 2 2 4 5 3" xfId="29050"/>
    <cellStyle name="常规 5 2 2 4 5 3 2" xfId="29052"/>
    <cellStyle name="常规 5 2 2 4 5 3 2 2" xfId="14024"/>
    <cellStyle name="常规 5 2 2 4 5 3 2 2 2" xfId="29054"/>
    <cellStyle name="常规 5 2 2 4 5 3 2 3" xfId="14028"/>
    <cellStyle name="常规 5 2 2 4 5 3 2 4" xfId="16788"/>
    <cellStyle name="常规 5 2 2 4 5 3 3" xfId="29056"/>
    <cellStyle name="常规 5 2 2 4 5 3 3 2" xfId="14044"/>
    <cellStyle name="常规 5 2 2 4 5 3 4" xfId="17063"/>
    <cellStyle name="常规 5 2 2 4 5 3 5" xfId="8706"/>
    <cellStyle name="常规 5 2 2 4 5 4" xfId="29058"/>
    <cellStyle name="常规 5 2 2 4 5 4 2" xfId="29060"/>
    <cellStyle name="常规 5 2 2 4 5 4 2 2" xfId="14067"/>
    <cellStyle name="常规 5 2 2 4 5 4 3" xfId="29061"/>
    <cellStyle name="常规 5 2 2 4 5 4 4" xfId="9176"/>
    <cellStyle name="常规 5 2 2 4 5 5" xfId="17615"/>
    <cellStyle name="常规 5 2 2 4 5 5 2" xfId="17617"/>
    <cellStyle name="常规 5 2 2 4 5 6" xfId="17619"/>
    <cellStyle name="常规 5 2 2 4 5 7" xfId="14558"/>
    <cellStyle name="常规 5 2 2 4 6" xfId="29064"/>
    <cellStyle name="常规 5 2 2 4 6 2" xfId="29067"/>
    <cellStyle name="常规 5 2 2 4 6 2 2" xfId="18289"/>
    <cellStyle name="常规 5 2 2 4 6 2 2 2" xfId="14226"/>
    <cellStyle name="常规 5 2 2 4 6 2 2 2 2" xfId="14233"/>
    <cellStyle name="常规 5 2 2 4 6 2 2 3" xfId="14241"/>
    <cellStyle name="常规 5 2 2 4 6 2 2 4" xfId="14246"/>
    <cellStyle name="常规 5 2 2 4 6 2 3" xfId="18293"/>
    <cellStyle name="常规 5 2 2 4 6 2 3 2" xfId="14262"/>
    <cellStyle name="常规 5 2 2 4 6 2 4" xfId="18297"/>
    <cellStyle name="常规 5 2 2 4 6 2 5" xfId="9257"/>
    <cellStyle name="常规 5 2 2 4 6 3" xfId="18934"/>
    <cellStyle name="常规 5 2 2 4 6 3 2" xfId="18309"/>
    <cellStyle name="常规 5 2 2 4 6 3 2 2" xfId="9027"/>
    <cellStyle name="常规 5 2 2 4 6 3 3" xfId="18314"/>
    <cellStyle name="常规 5 2 2 4 6 3 4" xfId="18943"/>
    <cellStyle name="常规 5 2 2 4 6 4" xfId="18947"/>
    <cellStyle name="常规 5 2 2 4 6 4 2" xfId="18951"/>
    <cellStyle name="常规 5 2 2 4 6 5" xfId="17627"/>
    <cellStyle name="常规 5 2 2 4 6 6" xfId="18961"/>
    <cellStyle name="常规 5 2 2 4 7" xfId="21760"/>
    <cellStyle name="常规 5 2 2 4 7 2" xfId="21764"/>
    <cellStyle name="常规 5 2 2 4 7 2 2" xfId="18350"/>
    <cellStyle name="常规 5 2 2 4 7 2 2 2" xfId="14409"/>
    <cellStyle name="常规 5 2 2 4 7 2 3" xfId="18354"/>
    <cellStyle name="常规 5 2 2 4 7 2 4" xfId="21767"/>
    <cellStyle name="常规 5 2 2 4 7 3" xfId="18970"/>
    <cellStyle name="常规 5 2 2 4 7 3 2" xfId="7180"/>
    <cellStyle name="常规 5 2 2 4 7 4" xfId="18975"/>
    <cellStyle name="常规 5 2 2 4 7 5" xfId="18979"/>
    <cellStyle name="常规 5 2 2 4 8" xfId="21770"/>
    <cellStyle name="常规 5 2 2 4 8 2" xfId="21774"/>
    <cellStyle name="常规 5 2 2 4 8 2 2" xfId="21777"/>
    <cellStyle name="常规 5 2 2 4 8 3" xfId="18985"/>
    <cellStyle name="常规 5 2 2 4 8 4" xfId="18990"/>
    <cellStyle name="常规 5 2 2 4 9" xfId="19879"/>
    <cellStyle name="常规 5 2 2 4 9 2" xfId="19884"/>
    <cellStyle name="常规 5 2 2 5" xfId="15922"/>
    <cellStyle name="常规 5 2 2 5 2" xfId="14922"/>
    <cellStyle name="常规 5 2 2 5 2 2" xfId="14925"/>
    <cellStyle name="常规 5 2 2 5 2 2 2" xfId="29069"/>
    <cellStyle name="常规 5 2 2 5 2 2 2 2" xfId="29071"/>
    <cellStyle name="常规 5 2 2 5 2 2 2 2 2" xfId="22574"/>
    <cellStyle name="常规 5 2 2 5 2 2 2 2 2 2" xfId="15316"/>
    <cellStyle name="常规 5 2 2 5 2 2 2 2 2 2 2" xfId="15317"/>
    <cellStyle name="常规 5 2 2 5 2 2 2 2 2 3" xfId="15321"/>
    <cellStyle name="常规 5 2 2 5 2 2 2 2 2 4" xfId="15323"/>
    <cellStyle name="常规 5 2 2 5 2 2 2 2 3" xfId="22578"/>
    <cellStyle name="常规 5 2 2 5 2 2 2 2 3 2" xfId="15328"/>
    <cellStyle name="常规 5 2 2 5 2 2 2 2 4" xfId="29074"/>
    <cellStyle name="常规 5 2 2 5 2 2 2 2 5" xfId="29075"/>
    <cellStyle name="常规 5 2 2 5 2 2 2 3" xfId="12746"/>
    <cellStyle name="常规 5 2 2 5 2 2 2 3 2" xfId="12750"/>
    <cellStyle name="常规 5 2 2 5 2 2 2 3 2 2" xfId="12753"/>
    <cellStyle name="常规 5 2 2 5 2 2 2 3 3" xfId="12761"/>
    <cellStyle name="常规 5 2 2 5 2 2 2 3 4" xfId="12764"/>
    <cellStyle name="常规 5 2 2 5 2 2 2 4" xfId="12768"/>
    <cellStyle name="常规 5 2 2 5 2 2 2 4 2" xfId="12771"/>
    <cellStyle name="常规 5 2 2 5 2 2 2 5" xfId="12778"/>
    <cellStyle name="常规 5 2 2 5 2 2 2 6" xfId="12782"/>
    <cellStyle name="常规 5 2 2 5 2 2 3" xfId="29078"/>
    <cellStyle name="常规 5 2 2 5 2 2 3 2" xfId="29081"/>
    <cellStyle name="常规 5 2 2 5 2 2 3 2 2" xfId="22623"/>
    <cellStyle name="常规 5 2 2 5 2 2 3 2 2 2" xfId="15397"/>
    <cellStyle name="常规 5 2 2 5 2 2 3 2 3" xfId="29083"/>
    <cellStyle name="常规 5 2 2 5 2 2 3 2 4" xfId="29086"/>
    <cellStyle name="常规 5 2 2 5 2 2 3 3" xfId="12790"/>
    <cellStyle name="常规 5 2 2 5 2 2 3 3 2" xfId="12794"/>
    <cellStyle name="常规 5 2 2 5 2 2 3 4" xfId="12805"/>
    <cellStyle name="常规 5 2 2 5 2 2 3 5" xfId="12812"/>
    <cellStyle name="常规 5 2 2 5 2 2 4" xfId="29088"/>
    <cellStyle name="常规 5 2 2 5 2 2 4 2" xfId="29090"/>
    <cellStyle name="常规 5 2 2 5 2 2 4 2 2" xfId="29092"/>
    <cellStyle name="常规 5 2 2 5 2 2 4 3" xfId="12820"/>
    <cellStyle name="常规 5 2 2 5 2 2 4 4" xfId="12825"/>
    <cellStyle name="常规 5 2 2 5 2 2 5" xfId="29094"/>
    <cellStyle name="常规 5 2 2 5 2 2 5 2" xfId="29096"/>
    <cellStyle name="常规 5 2 2 5 2 2 6" xfId="25753"/>
    <cellStyle name="常规 5 2 2 5 2 2 7" xfId="13268"/>
    <cellStyle name="常规 5 2 2 5 2 3" xfId="29098"/>
    <cellStyle name="常规 5 2 2 5 2 3 2" xfId="16294"/>
    <cellStyle name="常规 5 2 2 5 2 3 2 2" xfId="7578"/>
    <cellStyle name="常规 5 2 2 5 2 3 2 2 2" xfId="7584"/>
    <cellStyle name="常规 5 2 2 5 2 3 2 2 2 2" xfId="15506"/>
    <cellStyle name="常规 5 2 2 5 2 3 2 2 3" xfId="16296"/>
    <cellStyle name="常规 5 2 2 5 2 3 2 2 4" xfId="16298"/>
    <cellStyle name="常规 5 2 2 5 2 3 2 3" xfId="6364"/>
    <cellStyle name="常规 5 2 2 5 2 3 2 3 2" xfId="12844"/>
    <cellStyle name="常规 5 2 2 5 2 3 2 4" xfId="6371"/>
    <cellStyle name="常规 5 2 2 5 2 3 2 5" xfId="12851"/>
    <cellStyle name="常规 5 2 2 5 2 3 3" xfId="16302"/>
    <cellStyle name="常规 5 2 2 5 2 3 3 2" xfId="7592"/>
    <cellStyle name="常规 5 2 2 5 2 3 3 2 2" xfId="16304"/>
    <cellStyle name="常规 5 2 2 5 2 3 3 3" xfId="6382"/>
    <cellStyle name="常规 5 2 2 5 2 3 3 4" xfId="12863"/>
    <cellStyle name="常规 5 2 2 5 2 3 4" xfId="16308"/>
    <cellStyle name="常规 5 2 2 5 2 3 4 2" xfId="6757"/>
    <cellStyle name="常规 5 2 2 5 2 3 5" xfId="16311"/>
    <cellStyle name="常规 5 2 2 5 2 3 6" xfId="16313"/>
    <cellStyle name="常规 5 2 2 5 2 4" xfId="29100"/>
    <cellStyle name="常规 5 2 2 5 2 4 2" xfId="16350"/>
    <cellStyle name="常规 5 2 2 5 2 4 2 2" xfId="7730"/>
    <cellStyle name="常规 5 2 2 5 2 4 2 2 2" xfId="16352"/>
    <cellStyle name="常规 5 2 2 5 2 4 2 3" xfId="12878"/>
    <cellStyle name="常规 5 2 2 5 2 4 2 4" xfId="8609"/>
    <cellStyle name="常规 5 2 2 5 2 4 3" xfId="16357"/>
    <cellStyle name="常规 5 2 2 5 2 4 3 2" xfId="16358"/>
    <cellStyle name="常规 5 2 2 5 2 4 4" xfId="16362"/>
    <cellStyle name="常规 5 2 2 5 2 4 5" xfId="16363"/>
    <cellStyle name="常规 5 2 2 5 2 5" xfId="29102"/>
    <cellStyle name="常规 5 2 2 5 2 5 2" xfId="16388"/>
    <cellStyle name="常规 5 2 2 5 2 5 2 2" xfId="4040"/>
    <cellStyle name="常规 5 2 2 5 2 5 3" xfId="16390"/>
    <cellStyle name="常规 5 2 2 5 2 5 4" xfId="16393"/>
    <cellStyle name="常规 5 2 2 5 2 6" xfId="29106"/>
    <cellStyle name="常规 5 2 2 5 2 6 2" xfId="16408"/>
    <cellStyle name="常规 5 2 2 5 2 7" xfId="29111"/>
    <cellStyle name="常规 5 2 2 5 2 8" xfId="22243"/>
    <cellStyle name="常规 5 2 2 5 3" xfId="14929"/>
    <cellStyle name="常规 5 2 2 5 3 2" xfId="29114"/>
    <cellStyle name="常规 5 2 2 5 3 2 2" xfId="29117"/>
    <cellStyle name="常规 5 2 2 5 3 2 2 2" xfId="29120"/>
    <cellStyle name="常规 5 2 2 5 3 2 2 2 2" xfId="22778"/>
    <cellStyle name="常规 5 2 2 5 3 2 2 2 2 2" xfId="29122"/>
    <cellStyle name="常规 5 2 2 5 3 2 2 2 3" xfId="29125"/>
    <cellStyle name="常规 5 2 2 5 3 2 2 2 4" xfId="4354"/>
    <cellStyle name="常规 5 2 2 5 3 2 2 3" xfId="12916"/>
    <cellStyle name="常规 5 2 2 5 3 2 2 3 2" xfId="12921"/>
    <cellStyle name="常规 5 2 2 5 3 2 2 4" xfId="12929"/>
    <cellStyle name="常规 5 2 2 5 3 2 2 5" xfId="12934"/>
    <cellStyle name="常规 5 2 2 5 3 2 3" xfId="29127"/>
    <cellStyle name="常规 5 2 2 5 3 2 3 2" xfId="18790"/>
    <cellStyle name="常规 5 2 2 5 3 2 3 2 2" xfId="29130"/>
    <cellStyle name="常规 5 2 2 5 3 2 3 3" xfId="12947"/>
    <cellStyle name="常规 5 2 2 5 3 2 3 4" xfId="12953"/>
    <cellStyle name="常规 5 2 2 5 3 2 4" xfId="6121"/>
    <cellStyle name="常规 5 2 2 5 3 2 4 2" xfId="6125"/>
    <cellStyle name="常规 5 2 2 5 3 2 5" xfId="6138"/>
    <cellStyle name="常规 5 2 2 5 3 2 6" xfId="6151"/>
    <cellStyle name="常规 5 2 2 5 3 3" xfId="29133"/>
    <cellStyle name="常规 5 2 2 5 3 3 2" xfId="16458"/>
    <cellStyle name="常规 5 2 2 5 3 3 2 2" xfId="8429"/>
    <cellStyle name="常规 5 2 2 5 3 3 2 2 2" xfId="1865"/>
    <cellStyle name="常规 5 2 2 5 3 3 2 3" xfId="12973"/>
    <cellStyle name="常规 5 2 2 5 3 3 2 4" xfId="12977"/>
    <cellStyle name="常规 5 2 2 5 3 3 3" xfId="16461"/>
    <cellStyle name="常规 5 2 2 5 3 3 3 2" xfId="18822"/>
    <cellStyle name="常规 5 2 2 5 3 3 4" xfId="6177"/>
    <cellStyle name="常规 5 2 2 5 3 3 5" xfId="6182"/>
    <cellStyle name="常规 5 2 2 5 3 4" xfId="29136"/>
    <cellStyle name="常规 5 2 2 5 3 4 2" xfId="7298"/>
    <cellStyle name="常规 5 2 2 5 3 4 2 2" xfId="7308"/>
    <cellStyle name="常规 5 2 2 5 3 4 3" xfId="7200"/>
    <cellStyle name="常规 5 2 2 5 3 4 4" xfId="6198"/>
    <cellStyle name="常规 5 2 2 5 3 5" xfId="29139"/>
    <cellStyle name="常规 5 2 2 5 3 5 2" xfId="7358"/>
    <cellStyle name="常规 5 2 2 5 3 6" xfId="29143"/>
    <cellStyle name="常规 5 2 2 5 3 7" xfId="29148"/>
    <cellStyle name="常规 5 2 2 5 4" xfId="14931"/>
    <cellStyle name="常规 5 2 2 5 4 2" xfId="29151"/>
    <cellStyle name="常规 5 2 2 5 4 2 2" xfId="29153"/>
    <cellStyle name="常规 5 2 2 5 4 2 2 2" xfId="14759"/>
    <cellStyle name="常规 5 2 2 5 4 2 2 2 2" xfId="14764"/>
    <cellStyle name="常规 5 2 2 5 4 2 2 3" xfId="13015"/>
    <cellStyle name="常规 5 2 2 5 4 2 2 4" xfId="13021"/>
    <cellStyle name="常规 5 2 2 5 4 2 3" xfId="29155"/>
    <cellStyle name="常规 5 2 2 5 4 2 3 2" xfId="14779"/>
    <cellStyle name="常规 5 2 2 5 4 2 4" xfId="6231"/>
    <cellStyle name="常规 5 2 2 5 4 2 5" xfId="6242"/>
    <cellStyle name="常规 5 2 2 5 4 3" xfId="29158"/>
    <cellStyle name="常规 5 2 2 5 4 3 2" xfId="16480"/>
    <cellStyle name="常规 5 2 2 5 4 3 2 2" xfId="9242"/>
    <cellStyle name="常规 5 2 2 5 4 3 3" xfId="16483"/>
    <cellStyle name="常规 5 2 2 5 4 3 4" xfId="6259"/>
    <cellStyle name="常规 5 2 2 5 4 4" xfId="1133"/>
    <cellStyle name="常规 5 2 2 5 4 4 2" xfId="1139"/>
    <cellStyle name="常规 5 2 2 5 4 5" xfId="1165"/>
    <cellStyle name="常规 5 2 2 5 4 6" xfId="622"/>
    <cellStyle name="常规 5 2 2 5 5" xfId="29160"/>
    <cellStyle name="常规 5 2 2 5 5 2" xfId="29162"/>
    <cellStyle name="常规 5 2 2 5 5 2 2" xfId="29165"/>
    <cellStyle name="常规 5 2 2 5 5 2 2 2" xfId="14948"/>
    <cellStyle name="常规 5 2 2 5 5 2 3" xfId="29167"/>
    <cellStyle name="常规 5 2 2 5 5 2 4" xfId="639"/>
    <cellStyle name="常规 5 2 2 5 5 3" xfId="29169"/>
    <cellStyle name="常规 5 2 2 5 5 3 2" xfId="16506"/>
    <cellStyle name="常规 5 2 2 5 5 4" xfId="29171"/>
    <cellStyle name="常规 5 2 2 5 5 5" xfId="17639"/>
    <cellStyle name="常规 5 2 2 5 6" xfId="29173"/>
    <cellStyle name="常规 5 2 2 5 6 2" xfId="29176"/>
    <cellStyle name="常规 5 2 2 5 6 2 2" xfId="18410"/>
    <cellStyle name="常规 5 2 2 5 6 3" xfId="19011"/>
    <cellStyle name="常规 5 2 2 5 6 4" xfId="19022"/>
    <cellStyle name="常规 5 2 2 5 7" xfId="21780"/>
    <cellStyle name="常规 5 2 2 5 7 2" xfId="21784"/>
    <cellStyle name="常规 5 2 2 5 8" xfId="21789"/>
    <cellStyle name="常规 5 2 2 5 9" xfId="19900"/>
    <cellStyle name="常规 5 2 2 6" xfId="15924"/>
    <cellStyle name="常规 5 2 2 6 2" xfId="14981"/>
    <cellStyle name="常规 5 2 2 6 2 2" xfId="29178"/>
    <cellStyle name="常规 5 2 2 6 2 2 2" xfId="29180"/>
    <cellStyle name="常规 5 2 2 6 2 2 2 2" xfId="16158"/>
    <cellStyle name="常规 5 2 2 6 2 2 2 2 2" xfId="7148"/>
    <cellStyle name="常规 5 2 2 6 2 2 2 2 2 2" xfId="29183"/>
    <cellStyle name="常规 5 2 2 6 2 2 2 2 2 2 2" xfId="29184"/>
    <cellStyle name="常规 5 2 2 6 2 2 2 2 2 3" xfId="29186"/>
    <cellStyle name="常规 5 2 2 6 2 2 2 2 2 4" xfId="4270"/>
    <cellStyle name="常规 5 2 2 6 2 2 2 2 3" xfId="12727"/>
    <cellStyle name="常规 5 2 2 6 2 2 2 2 3 2" xfId="29187"/>
    <cellStyle name="常规 5 2 2 6 2 2 2 2 4" xfId="29191"/>
    <cellStyle name="常规 5 2 2 6 2 2 2 2 5" xfId="29193"/>
    <cellStyle name="常规 5 2 2 6 2 2 2 3" xfId="14482"/>
    <cellStyle name="常规 5 2 2 6 2 2 2 3 2" xfId="14488"/>
    <cellStyle name="常规 5 2 2 6 2 2 2 3 2 2" xfId="14490"/>
    <cellStyle name="常规 5 2 2 6 2 2 2 3 3" xfId="14492"/>
    <cellStyle name="常规 5 2 2 6 2 2 2 3 4" xfId="14496"/>
    <cellStyle name="常规 5 2 2 6 2 2 2 4" xfId="5212"/>
    <cellStyle name="常规 5 2 2 6 2 2 2 4 2" xfId="5221"/>
    <cellStyle name="常规 5 2 2 6 2 2 2 5" xfId="5233"/>
    <cellStyle name="常规 5 2 2 6 2 2 2 6" xfId="5240"/>
    <cellStyle name="常规 5 2 2 6 2 2 3" xfId="29196"/>
    <cellStyle name="常规 5 2 2 6 2 2 3 2" xfId="16175"/>
    <cellStyle name="常规 5 2 2 6 2 2 3 2 2" xfId="29200"/>
    <cellStyle name="常规 5 2 2 6 2 2 3 2 2 2" xfId="4275"/>
    <cellStyle name="常规 5 2 2 6 2 2 3 2 3" xfId="29202"/>
    <cellStyle name="常规 5 2 2 6 2 2 3 2 4" xfId="29205"/>
    <cellStyle name="常规 5 2 2 6 2 2 3 3" xfId="14503"/>
    <cellStyle name="常规 5 2 2 6 2 2 3 3 2" xfId="14508"/>
    <cellStyle name="常规 5 2 2 6 2 2 3 4" xfId="5248"/>
    <cellStyle name="常规 5 2 2 6 2 2 3 5" xfId="5253"/>
    <cellStyle name="常规 5 2 2 6 2 2 4" xfId="22233"/>
    <cellStyle name="常规 5 2 2 6 2 2 4 2" xfId="16187"/>
    <cellStyle name="常规 5 2 2 6 2 2 4 2 2" xfId="29207"/>
    <cellStyle name="常规 5 2 2 6 2 2 4 3" xfId="14513"/>
    <cellStyle name="常规 5 2 2 6 2 2 4 4" xfId="5268"/>
    <cellStyle name="常规 5 2 2 6 2 2 5" xfId="22237"/>
    <cellStyle name="常规 5 2 2 6 2 2 5 2" xfId="29210"/>
    <cellStyle name="常规 5 2 2 6 2 2 6" xfId="1840"/>
    <cellStyle name="常规 5 2 2 6 2 2 7" xfId="13483"/>
    <cellStyle name="常规 5 2 2 6 2 3" xfId="29213"/>
    <cellStyle name="常规 5 2 2 6 2 3 2" xfId="29105"/>
    <cellStyle name="常规 5 2 2 6 2 3 2 2" xfId="16407"/>
    <cellStyle name="常规 5 2 2 6 2 3 2 2 2" xfId="29216"/>
    <cellStyle name="常规 5 2 2 6 2 3 2 2 2 2" xfId="28047"/>
    <cellStyle name="常规 5 2 2 6 2 3 2 2 3" xfId="29218"/>
    <cellStyle name="常规 5 2 2 6 2 3 2 2 4" xfId="29220"/>
    <cellStyle name="常规 5 2 2 6 2 3 2 3" xfId="14520"/>
    <cellStyle name="常规 5 2 2 6 2 3 2 3 2" xfId="14525"/>
    <cellStyle name="常规 5 2 2 6 2 3 2 4" xfId="5287"/>
    <cellStyle name="常规 5 2 2 6 2 3 2 5" xfId="5294"/>
    <cellStyle name="常规 5 2 2 6 2 3 3" xfId="29110"/>
    <cellStyle name="常规 5 2 2 6 2 3 3 2" xfId="16419"/>
    <cellStyle name="常规 5 2 2 6 2 3 3 2 2" xfId="29223"/>
    <cellStyle name="常规 5 2 2 6 2 3 3 3" xfId="14530"/>
    <cellStyle name="常规 5 2 2 6 2 3 3 4" xfId="5301"/>
    <cellStyle name="常规 5 2 2 6 2 3 4" xfId="22242"/>
    <cellStyle name="常规 5 2 2 6 2 3 4 2" xfId="29225"/>
    <cellStyle name="常规 5 2 2 6 2 3 5" xfId="23545"/>
    <cellStyle name="常规 5 2 2 6 2 3 6" xfId="23589"/>
    <cellStyle name="常规 5 2 2 6 2 4" xfId="29227"/>
    <cellStyle name="常规 5 2 2 6 2 4 2" xfId="29142"/>
    <cellStyle name="常规 5 2 2 6 2 4 2 2" xfId="7384"/>
    <cellStyle name="常规 5 2 2 6 2 4 2 2 2" xfId="28596"/>
    <cellStyle name="常规 5 2 2 6 2 4 2 3" xfId="7386"/>
    <cellStyle name="常规 5 2 2 6 2 4 2 4" xfId="5319"/>
    <cellStyle name="常规 5 2 2 6 2 4 3" xfId="29147"/>
    <cellStyle name="常规 5 2 2 6 2 4 3 2" xfId="7222"/>
    <cellStyle name="常规 5 2 2 6 2 4 4" xfId="29230"/>
    <cellStyle name="常规 5 2 2 6 2 4 5" xfId="23631"/>
    <cellStyle name="常规 5 2 2 6 2 5" xfId="614"/>
    <cellStyle name="常规 5 2 2 6 2 5 2" xfId="621"/>
    <cellStyle name="常规 5 2 2 6 2 5 2 2" xfId="7432"/>
    <cellStyle name="常规 5 2 2 6 2 5 3" xfId="634"/>
    <cellStyle name="常规 5 2 2 6 2 5 4" xfId="29231"/>
    <cellStyle name="常规 5 2 2 6 2 6" xfId="29235"/>
    <cellStyle name="常规 5 2 2 6 2 6 2" xfId="29238"/>
    <cellStyle name="常规 5 2 2 6 2 7" xfId="29243"/>
    <cellStyle name="常规 5 2 2 6 2 8" xfId="4378"/>
    <cellStyle name="常规 5 2 2 6 3" xfId="14984"/>
    <cellStyle name="常规 5 2 2 6 3 2" xfId="29248"/>
    <cellStyle name="常规 5 2 2 6 3 2 2" xfId="29250"/>
    <cellStyle name="常规 5 2 2 6 3 2 2 2" xfId="17622"/>
    <cellStyle name="常规 5 2 2 6 3 2 2 2 2" xfId="29253"/>
    <cellStyle name="常规 5 2 2 6 3 2 2 2 2 2" xfId="29254"/>
    <cellStyle name="常规 5 2 2 6 3 2 2 2 3" xfId="29256"/>
    <cellStyle name="常规 5 2 2 6 3 2 2 2 4" xfId="4221"/>
    <cellStyle name="常规 5 2 2 6 3 2 2 3" xfId="14561"/>
    <cellStyle name="常规 5 2 2 6 3 2 2 3 2" xfId="14564"/>
    <cellStyle name="常规 5 2 2 6 3 2 2 4" xfId="4242"/>
    <cellStyle name="常规 5 2 2 6 3 2 2 5" xfId="4251"/>
    <cellStyle name="常规 5 2 2 6 3 2 3" xfId="29259"/>
    <cellStyle name="常规 5 2 2 6 3 2 3 2" xfId="18965"/>
    <cellStyle name="常规 5 2 2 6 3 2 3 2 2" xfId="29262"/>
    <cellStyle name="常规 5 2 2 6 3 2 3 3" xfId="14568"/>
    <cellStyle name="常规 5 2 2 6 3 2 3 4" xfId="4287"/>
    <cellStyle name="常规 5 2 2 6 3 2 4" xfId="4298"/>
    <cellStyle name="常规 5 2 2 6 3 2 4 2" xfId="4304"/>
    <cellStyle name="常规 5 2 2 6 3 2 5" xfId="4327"/>
    <cellStyle name="常规 5 2 2 6 3 2 6" xfId="3441"/>
    <cellStyle name="常规 5 2 2 6 3 3" xfId="29266"/>
    <cellStyle name="常规 5 2 2 6 3 3 2" xfId="29234"/>
    <cellStyle name="常规 5 2 2 6 3 3 2 2" xfId="29237"/>
    <cellStyle name="常规 5 2 2 6 3 3 2 2 2" xfId="29267"/>
    <cellStyle name="常规 5 2 2 6 3 3 2 3" xfId="14576"/>
    <cellStyle name="常规 5 2 2 6 3 3 2 4" xfId="4200"/>
    <cellStyle name="常规 5 2 2 6 3 3 3" xfId="29242"/>
    <cellStyle name="常规 5 2 2 6 3 3 3 2" xfId="19028"/>
    <cellStyle name="常规 5 2 2 6 3 3 4" xfId="4377"/>
    <cellStyle name="常规 5 2 2 6 3 3 5" xfId="4386"/>
    <cellStyle name="常规 5 2 2 6 3 4" xfId="4398"/>
    <cellStyle name="常规 5 2 2 6 3 4 2" xfId="4405"/>
    <cellStyle name="常规 5 2 2 6 3 4 2 2" xfId="4413"/>
    <cellStyle name="常规 5 2 2 6 3 4 3" xfId="4432"/>
    <cellStyle name="常规 5 2 2 6 3 4 4" xfId="428"/>
    <cellStyle name="常规 5 2 2 6 3 5" xfId="4447"/>
    <cellStyle name="常规 5 2 2 6 3 5 2" xfId="1178"/>
    <cellStyle name="常规 5 2 2 6 3 6" xfId="4404"/>
    <cellStyle name="常规 5 2 2 6 3 7" xfId="4431"/>
    <cellStyle name="常规 5 2 2 6 4" xfId="14124"/>
    <cellStyle name="常规 5 2 2 6 4 2" xfId="14127"/>
    <cellStyle name="常规 5 2 2 6 4 2 2" xfId="29269"/>
    <cellStyle name="常规 5 2 2 6 4 2 2 2" xfId="15379"/>
    <cellStyle name="常规 5 2 2 6 4 2 2 2 2" xfId="15383"/>
    <cellStyle name="常规 5 2 2 6 4 2 2 3" xfId="14597"/>
    <cellStyle name="常规 5 2 2 6 4 2 2 4" xfId="4474"/>
    <cellStyle name="常规 5 2 2 6 4 2 3" xfId="29272"/>
    <cellStyle name="常规 5 2 2 6 4 2 3 2" xfId="15409"/>
    <cellStyle name="常规 5 2 2 6 4 2 4" xfId="4482"/>
    <cellStyle name="常规 5 2 2 6 4 2 5" xfId="4493"/>
    <cellStyle name="常规 5 2 2 6 4 3" xfId="29274"/>
    <cellStyle name="常规 5 2 2 6 4 3 2" xfId="29277"/>
    <cellStyle name="常规 5 2 2 6 4 3 2 2" xfId="15439"/>
    <cellStyle name="常规 5 2 2 6 4 3 3" xfId="29280"/>
    <cellStyle name="常规 5 2 2 6 4 3 4" xfId="4522"/>
    <cellStyle name="常规 5 2 2 6 4 4" xfId="119"/>
    <cellStyle name="常规 5 2 2 6 4 4 2" xfId="143"/>
    <cellStyle name="常规 5 2 2 6 4 5" xfId="1170"/>
    <cellStyle name="常规 5 2 2 6 4 6" xfId="1177"/>
    <cellStyle name="常规 5 2 2 6 5" xfId="4529"/>
    <cellStyle name="常规 5 2 2 6 5 2" xfId="29282"/>
    <cellStyle name="常规 5 2 2 6 5 2 2" xfId="29284"/>
    <cellStyle name="常规 5 2 2 6 5 2 2 2" xfId="15548"/>
    <cellStyle name="常规 5 2 2 6 5 2 3" xfId="29286"/>
    <cellStyle name="常规 5 2 2 6 5 2 4" xfId="154"/>
    <cellStyle name="常规 5 2 2 6 5 3" xfId="29288"/>
    <cellStyle name="常规 5 2 2 6 5 3 2" xfId="29290"/>
    <cellStyle name="常规 5 2 2 6 5 4" xfId="2790"/>
    <cellStyle name="常规 5 2 2 6 5 5" xfId="4560"/>
    <cellStyle name="常规 5 2 2 6 6" xfId="14130"/>
    <cellStyle name="常规 5 2 2 6 6 2" xfId="29293"/>
    <cellStyle name="常规 5 2 2 6 6 2 2" xfId="29295"/>
    <cellStyle name="常规 5 2 2 6 6 3" xfId="19052"/>
    <cellStyle name="常规 5 2 2 6 6 4" xfId="2824"/>
    <cellStyle name="常规 5 2 2 6 7" xfId="21799"/>
    <cellStyle name="常规 5 2 2 6 7 2" xfId="21803"/>
    <cellStyle name="常规 5 2 2 6 8" xfId="21806"/>
    <cellStyle name="常规 5 2 2 6 9" xfId="21809"/>
    <cellStyle name="常规 5 2 2 7" xfId="29296"/>
    <cellStyle name="常规 5 2 2 7 2" xfId="15001"/>
    <cellStyle name="常规 5 2 2 7 2 2" xfId="29298"/>
    <cellStyle name="常规 5 2 2 7 2 2 2" xfId="29300"/>
    <cellStyle name="常规 5 2 2 7 2 2 2 2" xfId="17712"/>
    <cellStyle name="常规 5 2 2 7 2 2 2 2 2" xfId="17715"/>
    <cellStyle name="常规 5 2 2 7 2 2 2 2 2 2" xfId="29301"/>
    <cellStyle name="常规 5 2 2 7 2 2 2 2 3" xfId="29302"/>
    <cellStyle name="常规 5 2 2 7 2 2 2 2 4" xfId="29304"/>
    <cellStyle name="常规 5 2 2 7 2 2 2 3" xfId="15166"/>
    <cellStyle name="常规 5 2 2 7 2 2 2 3 2" xfId="15169"/>
    <cellStyle name="常规 5 2 2 7 2 2 2 4" xfId="3079"/>
    <cellStyle name="常规 5 2 2 7 2 2 2 5" xfId="4886"/>
    <cellStyle name="常规 5 2 2 7 2 2 3" xfId="29307"/>
    <cellStyle name="常规 5 2 2 7 2 2 3 2" xfId="17720"/>
    <cellStyle name="常规 5 2 2 7 2 2 3 2 2" xfId="29311"/>
    <cellStyle name="常规 5 2 2 7 2 2 3 3" xfId="15174"/>
    <cellStyle name="常规 5 2 2 7 2 2 3 4" xfId="4898"/>
    <cellStyle name="常规 5 2 2 7 2 2 4" xfId="22265"/>
    <cellStyle name="常规 5 2 2 7 2 2 4 2" xfId="29313"/>
    <cellStyle name="常规 5 2 2 7 2 2 5" xfId="29315"/>
    <cellStyle name="常规 5 2 2 7 2 2 6" xfId="25870"/>
    <cellStyle name="常规 5 2 2 7 2 3" xfId="29317"/>
    <cellStyle name="常规 5 2 2 7 2 3 2" xfId="29319"/>
    <cellStyle name="常规 5 2 2 7 2 3 2 2" xfId="17738"/>
    <cellStyle name="常规 5 2 2 7 2 3 2 2 2" xfId="29320"/>
    <cellStyle name="常规 5 2 2 7 2 3 2 3" xfId="15179"/>
    <cellStyle name="常规 5 2 2 7 2 3 2 4" xfId="3126"/>
    <cellStyle name="常规 5 2 2 7 2 3 3" xfId="29322"/>
    <cellStyle name="常规 5 2 2 7 2 3 3 2" xfId="29324"/>
    <cellStyle name="常规 5 2 2 7 2 3 4" xfId="29326"/>
    <cellStyle name="常规 5 2 2 7 2 3 5" xfId="23956"/>
    <cellStyle name="常规 5 2 2 7 2 4" xfId="29328"/>
    <cellStyle name="常规 5 2 2 7 2 4 2" xfId="29329"/>
    <cellStyle name="常规 5 2 2 7 2 4 2 2" xfId="7639"/>
    <cellStyle name="常规 5 2 2 7 2 4 3" xfId="29331"/>
    <cellStyle name="常规 5 2 2 7 2 4 4" xfId="29333"/>
    <cellStyle name="常规 5 2 2 7 2 5" xfId="29335"/>
    <cellStyle name="常规 5 2 2 7 2 5 2" xfId="29336"/>
    <cellStyle name="常规 5 2 2 7 2 6" xfId="29276"/>
    <cellStyle name="常规 5 2 2 7 2 7" xfId="29279"/>
    <cellStyle name="常规 5 2 2 7 3" xfId="29337"/>
    <cellStyle name="常规 5 2 2 7 3 2" xfId="29339"/>
    <cellStyle name="常规 5 2 2 7 3 2 2" xfId="29341"/>
    <cellStyle name="常规 5 2 2 7 3 2 2 2" xfId="17771"/>
    <cellStyle name="常规 5 2 2 7 3 2 2 2 2" xfId="29343"/>
    <cellStyle name="常规 5 2 2 7 3 2 2 3" xfId="15196"/>
    <cellStyle name="常规 5 2 2 7 3 2 2 4" xfId="4634"/>
    <cellStyle name="常规 5 2 2 7 3 2 3" xfId="29345"/>
    <cellStyle name="常规 5 2 2 7 3 2 3 2" xfId="19229"/>
    <cellStyle name="常规 5 2 2 7 3 2 4" xfId="4664"/>
    <cellStyle name="常规 5 2 2 7 3 2 5" xfId="4690"/>
    <cellStyle name="常规 5 2 2 7 3 3" xfId="29347"/>
    <cellStyle name="常规 5 2 2 7 3 3 2" xfId="29348"/>
    <cellStyle name="常规 5 2 2 7 3 3 2 2" xfId="29349"/>
    <cellStyle name="常规 5 2 2 7 3 3 3" xfId="29351"/>
    <cellStyle name="常规 5 2 2 7 3 3 4" xfId="4739"/>
    <cellStyle name="常规 5 2 2 7 3 4" xfId="4756"/>
    <cellStyle name="常规 5 2 2 7 3 4 2" xfId="4760"/>
    <cellStyle name="常规 5 2 2 7 3 5" xfId="4802"/>
    <cellStyle name="常规 5 2 2 7 3 6" xfId="142"/>
    <cellStyle name="常规 5 2 2 7 4" xfId="14133"/>
    <cellStyle name="常规 5 2 2 7 4 2" xfId="2286"/>
    <cellStyle name="常规 5 2 2 7 4 2 2" xfId="2289"/>
    <cellStyle name="常规 5 2 2 7 4 2 2 2" xfId="2294"/>
    <cellStyle name="常规 5 2 2 7 4 2 3" xfId="2305"/>
    <cellStyle name="常规 5 2 2 7 4 2 4" xfId="2319"/>
    <cellStyle name="常规 5 2 2 7 4 3" xfId="2336"/>
    <cellStyle name="常规 5 2 2 7 4 3 2" xfId="2344"/>
    <cellStyle name="常规 5 2 2 7 4 4" xfId="1196"/>
    <cellStyle name="常规 5 2 2 7 4 5" xfId="1217"/>
    <cellStyle name="常规 5 2 2 7 5" xfId="29352"/>
    <cellStyle name="常规 5 2 2 7 5 2" xfId="29354"/>
    <cellStyle name="常规 5 2 2 7 5 2 2" xfId="29355"/>
    <cellStyle name="常规 5 2 2 7 5 3" xfId="29356"/>
    <cellStyle name="常规 5 2 2 7 5 4" xfId="3060"/>
    <cellStyle name="常规 5 2 2 7 6" xfId="29358"/>
    <cellStyle name="常规 5 2 2 7 6 2" xfId="29360"/>
    <cellStyle name="常规 5 2 2 7 7" xfId="21813"/>
    <cellStyle name="常规 5 2 2 7 8" xfId="29362"/>
    <cellStyle name="常规 5 2 2 8" xfId="29363"/>
    <cellStyle name="常规 5 2 2 8 2" xfId="320"/>
    <cellStyle name="常规 5 2 2 8 2 2" xfId="29364"/>
    <cellStyle name="常规 5 2 2 8 2 2 2" xfId="29366"/>
    <cellStyle name="常规 5 2 2 8 2 2 2 2" xfId="17887"/>
    <cellStyle name="常规 5 2 2 8 2 2 2 2 2" xfId="12130"/>
    <cellStyle name="常规 5 2 2 8 2 2 2 3" xfId="15688"/>
    <cellStyle name="常规 5 2 2 8 2 2 2 4" xfId="5445"/>
    <cellStyle name="常规 5 2 2 8 2 2 3" xfId="26649"/>
    <cellStyle name="常规 5 2 2 8 2 2 3 2" xfId="26653"/>
    <cellStyle name="常规 5 2 2 8 2 2 4" xfId="26661"/>
    <cellStyle name="常规 5 2 2 8 2 2 5" xfId="26667"/>
    <cellStyle name="常规 5 2 2 8 2 3" xfId="29367"/>
    <cellStyle name="常规 5 2 2 8 2 3 2" xfId="29370"/>
    <cellStyle name="常规 5 2 2 8 2 3 2 2" xfId="29373"/>
    <cellStyle name="常规 5 2 2 8 2 3 3" xfId="26674"/>
    <cellStyle name="常规 5 2 2 8 2 3 4" xfId="26684"/>
    <cellStyle name="常规 5 2 2 8 2 4" xfId="29374"/>
    <cellStyle name="常规 5 2 2 8 2 4 2" xfId="29377"/>
    <cellStyle name="常规 5 2 2 8 2 5" xfId="29378"/>
    <cellStyle name="常规 5 2 2 8 2 6" xfId="29289"/>
    <cellStyle name="常规 5 2 2 8 3" xfId="29379"/>
    <cellStyle name="常规 5 2 2 8 3 2" xfId="29380"/>
    <cellStyle name="常规 5 2 2 8 3 2 2" xfId="29382"/>
    <cellStyle name="常规 5 2 2 8 3 2 2 2" xfId="25248"/>
    <cellStyle name="常规 5 2 2 8 3 2 3" xfId="26707"/>
    <cellStyle name="常规 5 2 2 8 3 2 4" xfId="1028"/>
    <cellStyle name="常规 5 2 2 8 3 3" xfId="29383"/>
    <cellStyle name="常规 5 2 2 8 3 3 2" xfId="29386"/>
    <cellStyle name="常规 5 2 2 8 3 4" xfId="1067"/>
    <cellStyle name="常规 5 2 2 8 3 5" xfId="4974"/>
    <cellStyle name="常规 5 2 2 8 4" xfId="29387"/>
    <cellStyle name="常规 5 2 2 8 4 2" xfId="29388"/>
    <cellStyle name="常规 5 2 2 8 4 2 2" xfId="13081"/>
    <cellStyle name="常规 5 2 2 8 4 3" xfId="29389"/>
    <cellStyle name="常规 5 2 2 8 4 4" xfId="1120"/>
    <cellStyle name="常规 5 2 2 8 5" xfId="28875"/>
    <cellStyle name="常规 5 2 2 8 5 2" xfId="22045"/>
    <cellStyle name="常规 5 2 2 8 6" xfId="28883"/>
    <cellStyle name="常规 5 2 2 8 7" xfId="28887"/>
    <cellStyle name="常规 5 2 2 9" xfId="5530"/>
    <cellStyle name="常规 5 2 2 9 2" xfId="29390"/>
    <cellStyle name="常规 5 2 2 9 2 2" xfId="29391"/>
    <cellStyle name="常规 5 2 2 9 2 2 2" xfId="29393"/>
    <cellStyle name="常规 5 2 2 9 2 2 2 2" xfId="29395"/>
    <cellStyle name="常规 5 2 2 9 2 2 3" xfId="26786"/>
    <cellStyle name="常规 5 2 2 9 2 2 4" xfId="781"/>
    <cellStyle name="常规 5 2 2 9 2 3" xfId="29396"/>
    <cellStyle name="常规 5 2 2 9 2 3 2" xfId="29399"/>
    <cellStyle name="常规 5 2 2 9 2 4" xfId="29400"/>
    <cellStyle name="常规 5 2 2 9 2 5" xfId="29401"/>
    <cellStyle name="常规 5 2 2 9 3" xfId="29402"/>
    <cellStyle name="常规 5 2 2 9 3 2" xfId="29403"/>
    <cellStyle name="常规 5 2 2 9 3 2 2" xfId="29405"/>
    <cellStyle name="常规 5 2 2 9 3 3" xfId="29406"/>
    <cellStyle name="常规 5 2 2 9 3 4" xfId="5054"/>
    <cellStyle name="常规 5 2 2 9 4" xfId="29407"/>
    <cellStyle name="常规 5 2 2 9 4 2" xfId="29408"/>
    <cellStyle name="常规 5 2 2 9 5" xfId="21748"/>
    <cellStyle name="常规 5 2 2 9 6" xfId="28911"/>
    <cellStyle name="常规 5 2 3" xfId="13754"/>
    <cellStyle name="常规 5 2 3 2" xfId="29409"/>
    <cellStyle name="常规 5 2 3 3" xfId="29410"/>
    <cellStyle name="常规 5 2 3 4" xfId="15929"/>
    <cellStyle name="常规 5 2 4" xfId="29411"/>
    <cellStyle name="常规 5 2 4 10" xfId="10103"/>
    <cellStyle name="常规 5 2 4 10 2" xfId="10105"/>
    <cellStyle name="常规 5 2 4 10 2 2" xfId="24498"/>
    <cellStyle name="常规 5 2 4 10 3" xfId="29412"/>
    <cellStyle name="常规 5 2 4 10 4" xfId="29413"/>
    <cellStyle name="常规 5 2 4 11" xfId="720"/>
    <cellStyle name="常规 5 2 4 11 2" xfId="724"/>
    <cellStyle name="常规 5 2 4 12" xfId="767"/>
    <cellStyle name="常规 5 2 4 13" xfId="776"/>
    <cellStyle name="常规 5 2 4 2" xfId="29414"/>
    <cellStyle name="常规 5 2 4 2 10" xfId="29417"/>
    <cellStyle name="常规 5 2 4 2 10 2" xfId="29419"/>
    <cellStyle name="常规 5 2 4 2 11" xfId="29422"/>
    <cellStyle name="常规 5 2 4 2 12" xfId="29424"/>
    <cellStyle name="常规 5 2 4 2 2" xfId="11690"/>
    <cellStyle name="常规 5 2 4 2 2 10" xfId="24471"/>
    <cellStyle name="常规 5 2 4 2 2 11" xfId="7091"/>
    <cellStyle name="常规 5 2 4 2 2 2" xfId="11692"/>
    <cellStyle name="常规 5 2 4 2 2 2 2" xfId="11694"/>
    <cellStyle name="常规 5 2 4 2 2 2 2 2" xfId="9793"/>
    <cellStyle name="常规 5 2 4 2 2 2 2 2 2" xfId="24487"/>
    <cellStyle name="常规 5 2 4 2 2 2 2 2 2 2" xfId="26951"/>
    <cellStyle name="常规 5 2 4 2 2 2 2 2 2 2 2" xfId="26952"/>
    <cellStyle name="常规 5 2 4 2 2 2 2 2 2 2 2 2" xfId="26958"/>
    <cellStyle name="常规 5 2 4 2 2 2 2 2 2 2 2 2 2" xfId="29425"/>
    <cellStyle name="常规 5 2 4 2 2 2 2 2 2 2 2 3" xfId="29426"/>
    <cellStyle name="常规 5 2 4 2 2 2 2 2 2 2 2 4" xfId="29427"/>
    <cellStyle name="常规 5 2 4 2 2 2 2 2 2 2 3" xfId="26959"/>
    <cellStyle name="常规 5 2 4 2 2 2 2 2 2 2 3 2" xfId="29428"/>
    <cellStyle name="常规 5 2 4 2 2 2 2 2 2 2 4" xfId="26965"/>
    <cellStyle name="常规 5 2 4 2 2 2 2 2 2 2 5" xfId="29429"/>
    <cellStyle name="常规 5 2 4 2 2 2 2 2 2 3" xfId="26969"/>
    <cellStyle name="常规 5 2 4 2 2 2 2 2 2 3 2" xfId="26972"/>
    <cellStyle name="常规 5 2 4 2 2 2 2 2 2 3 2 2" xfId="29430"/>
    <cellStyle name="常规 5 2 4 2 2 2 2 2 2 3 3" xfId="29431"/>
    <cellStyle name="常规 5 2 4 2 2 2 2 2 2 3 4" xfId="2125"/>
    <cellStyle name="常规 5 2 4 2 2 2 2 2 2 4" xfId="26975"/>
    <cellStyle name="常规 5 2 4 2 2 2 2 2 2 4 2" xfId="29432"/>
    <cellStyle name="常规 5 2 4 2 2 2 2 2 2 5" xfId="26978"/>
    <cellStyle name="常规 5 2 4 2 2 2 2 2 2 6" xfId="29435"/>
    <cellStyle name="常规 5 2 4 2 2 2 2 2 3" xfId="26982"/>
    <cellStyle name="常规 5 2 4 2 2 2 2 2 3 2" xfId="26986"/>
    <cellStyle name="常规 5 2 4 2 2 2 2 2 3 2 2" xfId="26989"/>
    <cellStyle name="常规 5 2 4 2 2 2 2 2 3 2 2 2" xfId="9741"/>
    <cellStyle name="常规 5 2 4 2 2 2 2 2 3 2 3" xfId="29436"/>
    <cellStyle name="常规 5 2 4 2 2 2 2 2 3 2 4" xfId="29437"/>
    <cellStyle name="常规 5 2 4 2 2 2 2 2 3 3" xfId="26992"/>
    <cellStyle name="常规 5 2 4 2 2 2 2 2 3 3 2" xfId="29438"/>
    <cellStyle name="常规 5 2 4 2 2 2 2 2 3 4" xfId="26995"/>
    <cellStyle name="常规 5 2 4 2 2 2 2 2 3 5" xfId="2649"/>
    <cellStyle name="常规 5 2 4 2 2 2 2 2 4" xfId="26999"/>
    <cellStyle name="常规 5 2 4 2 2 2 2 2 4 2" xfId="27004"/>
    <cellStyle name="常规 5 2 4 2 2 2 2 2 4 2 2" xfId="29440"/>
    <cellStyle name="常规 5 2 4 2 2 2 2 2 4 3" xfId="29443"/>
    <cellStyle name="常规 5 2 4 2 2 2 2 2 4 4" xfId="29446"/>
    <cellStyle name="常规 5 2 4 2 2 2 2 2 5" xfId="27008"/>
    <cellStyle name="常规 5 2 4 2 2 2 2 2 5 2" xfId="29450"/>
    <cellStyle name="常规 5 2 4 2 2 2 2 2 6" xfId="27016"/>
    <cellStyle name="常规 5 2 4 2 2 2 2 2 7" xfId="29453"/>
    <cellStyle name="常规 5 2 4 2 2 2 2 3" xfId="19548"/>
    <cellStyle name="常规 5 2 4 2 2 2 2 3 2" xfId="20015"/>
    <cellStyle name="常规 5 2 4 2 2 2 2 3 2 2" xfId="27027"/>
    <cellStyle name="常规 5 2 4 2 2 2 2 3 2 2 2" xfId="20977"/>
    <cellStyle name="常规 5 2 4 2 2 2 2 3 2 2 2 2" xfId="29454"/>
    <cellStyle name="常规 5 2 4 2 2 2 2 3 2 2 3" xfId="29455"/>
    <cellStyle name="常规 5 2 4 2 2 2 2 3 2 2 4" xfId="29457"/>
    <cellStyle name="常规 5 2 4 2 2 2 2 3 2 3" xfId="27031"/>
    <cellStyle name="常规 5 2 4 2 2 2 2 3 2 3 2" xfId="29458"/>
    <cellStyle name="常规 5 2 4 2 2 2 2 3 2 4" xfId="27034"/>
    <cellStyle name="常规 5 2 4 2 2 2 2 3 2 5" xfId="29459"/>
    <cellStyle name="常规 5 2 4 2 2 2 2 3 3" xfId="20020"/>
    <cellStyle name="常规 5 2 4 2 2 2 2 3 3 2" xfId="27038"/>
    <cellStyle name="常规 5 2 4 2 2 2 2 3 3 2 2" xfId="29460"/>
    <cellStyle name="常规 5 2 4 2 2 2 2 3 3 3" xfId="29461"/>
    <cellStyle name="常规 5 2 4 2 2 2 2 3 3 4" xfId="29462"/>
    <cellStyle name="常规 5 2 4 2 2 2 2 3 4" xfId="20024"/>
    <cellStyle name="常规 5 2 4 2 2 2 2 3 4 2" xfId="29465"/>
    <cellStyle name="常规 5 2 4 2 2 2 2 3 5" xfId="27042"/>
    <cellStyle name="常规 5 2 4 2 2 2 2 3 6" xfId="29467"/>
    <cellStyle name="常规 5 2 4 2 2 2 2 4" xfId="29469"/>
    <cellStyle name="常规 5 2 4 2 2 2 2 4 2" xfId="27049"/>
    <cellStyle name="常规 5 2 4 2 2 2 2 4 2 2" xfId="27053"/>
    <cellStyle name="常规 5 2 4 2 2 2 2 4 2 2 2" xfId="29471"/>
    <cellStyle name="常规 5 2 4 2 2 2 2 4 2 3" xfId="16054"/>
    <cellStyle name="常规 5 2 4 2 2 2 2 4 2 4" xfId="29473"/>
    <cellStyle name="常规 5 2 4 2 2 2 2 4 3" xfId="27056"/>
    <cellStyle name="常规 5 2 4 2 2 2 2 4 3 2" xfId="16257"/>
    <cellStyle name="常规 5 2 4 2 2 2 2 4 4" xfId="27060"/>
    <cellStyle name="常规 5 2 4 2 2 2 2 4 5" xfId="29474"/>
    <cellStyle name="常规 5 2 4 2 2 2 2 5" xfId="29476"/>
    <cellStyle name="常规 5 2 4 2 2 2 2 5 2" xfId="27067"/>
    <cellStyle name="常规 5 2 4 2 2 2 2 5 2 2" xfId="29477"/>
    <cellStyle name="常规 5 2 4 2 2 2 2 5 3" xfId="27069"/>
    <cellStyle name="常规 5 2 4 2 2 2 2 5 4" xfId="29478"/>
    <cellStyle name="常规 5 2 4 2 2 2 2 6" xfId="29481"/>
    <cellStyle name="常规 5 2 4 2 2 2 2 6 2" xfId="25205"/>
    <cellStyle name="常规 5 2 4 2 2 2 2 7" xfId="29485"/>
    <cellStyle name="常规 5 2 4 2 2 2 2 8" xfId="29487"/>
    <cellStyle name="常规 5 2 4 2 2 2 3" xfId="11697"/>
    <cellStyle name="常规 5 2 4 2 2 2 3 2" xfId="19569"/>
    <cellStyle name="常规 5 2 4 2 2 2 3 2 2" xfId="27096"/>
    <cellStyle name="常规 5 2 4 2 2 2 3 2 2 2" xfId="27101"/>
    <cellStyle name="常规 5 2 4 2 2 2 3 2 2 2 2" xfId="27105"/>
    <cellStyle name="常规 5 2 4 2 2 2 3 2 2 2 2 2" xfId="29488"/>
    <cellStyle name="常规 5 2 4 2 2 2 3 2 2 2 3" xfId="29489"/>
    <cellStyle name="常规 5 2 4 2 2 2 3 2 2 2 4" xfId="20795"/>
    <cellStyle name="常规 5 2 4 2 2 2 3 2 2 3" xfId="27109"/>
    <cellStyle name="常规 5 2 4 2 2 2 3 2 2 3 2" xfId="29490"/>
    <cellStyle name="常规 5 2 4 2 2 2 3 2 2 4" xfId="27112"/>
    <cellStyle name="常规 5 2 4 2 2 2 3 2 2 5" xfId="29491"/>
    <cellStyle name="常规 5 2 4 2 2 2 3 2 3" xfId="27116"/>
    <cellStyle name="常规 5 2 4 2 2 2 3 2 3 2" xfId="27121"/>
    <cellStyle name="常规 5 2 4 2 2 2 3 2 3 2 2" xfId="3055"/>
    <cellStyle name="常规 5 2 4 2 2 2 3 2 3 3" xfId="29492"/>
    <cellStyle name="常规 5 2 4 2 2 2 3 2 3 4" xfId="15308"/>
    <cellStyle name="常规 5 2 4 2 2 2 3 2 4" xfId="27124"/>
    <cellStyle name="常规 5 2 4 2 2 2 3 2 4 2" xfId="29496"/>
    <cellStyle name="常规 5 2 4 2 2 2 3 2 5" xfId="27128"/>
    <cellStyle name="常规 5 2 4 2 2 2 3 2 6" xfId="29498"/>
    <cellStyle name="常规 5 2 4 2 2 2 3 3" xfId="29500"/>
    <cellStyle name="常规 5 2 4 2 2 2 3 3 2" xfId="3211"/>
    <cellStyle name="常规 5 2 4 2 2 2 3 3 2 2" xfId="27139"/>
    <cellStyle name="常规 5 2 4 2 2 2 3 3 2 2 2" xfId="29501"/>
    <cellStyle name="常规 5 2 4 2 2 2 3 3 2 3" xfId="29502"/>
    <cellStyle name="常规 5 2 4 2 2 2 3 3 2 4" xfId="29503"/>
    <cellStyle name="常规 5 2 4 2 2 2 3 3 3" xfId="27142"/>
    <cellStyle name="常规 5 2 4 2 2 2 3 3 3 2" xfId="29504"/>
    <cellStyle name="常规 5 2 4 2 2 2 3 3 4" xfId="27145"/>
    <cellStyle name="常规 5 2 4 2 2 2 3 3 5" xfId="29505"/>
    <cellStyle name="常规 5 2 4 2 2 2 3 4" xfId="29507"/>
    <cellStyle name="常规 5 2 4 2 2 2 3 4 2" xfId="27151"/>
    <cellStyle name="常规 5 2 4 2 2 2 3 4 2 2" xfId="29508"/>
    <cellStyle name="常规 5 2 4 2 2 2 3 4 3" xfId="27152"/>
    <cellStyle name="常规 5 2 4 2 2 2 3 4 4" xfId="29510"/>
    <cellStyle name="常规 5 2 4 2 2 2 3 5" xfId="29512"/>
    <cellStyle name="常规 5 2 4 2 2 2 3 5 2" xfId="29513"/>
    <cellStyle name="常规 5 2 4 2 2 2 3 6" xfId="29516"/>
    <cellStyle name="常规 5 2 4 2 2 2 3 7" xfId="21217"/>
    <cellStyle name="常规 5 2 4 2 2 2 4" xfId="10750"/>
    <cellStyle name="常规 5 2 4 2 2 2 4 2" xfId="29518"/>
    <cellStyle name="常规 5 2 4 2 2 2 4 2 2" xfId="27172"/>
    <cellStyle name="常规 5 2 4 2 2 2 4 2 2 2" xfId="27179"/>
    <cellStyle name="常规 5 2 4 2 2 2 4 2 2 2 2" xfId="24912"/>
    <cellStyle name="常规 5 2 4 2 2 2 4 2 2 3" xfId="29519"/>
    <cellStyle name="常规 5 2 4 2 2 2 4 2 2 4" xfId="29520"/>
    <cellStyle name="常规 5 2 4 2 2 2 4 2 3" xfId="27183"/>
    <cellStyle name="常规 5 2 4 2 2 2 4 2 3 2" xfId="29521"/>
    <cellStyle name="常规 5 2 4 2 2 2 4 2 4" xfId="27188"/>
    <cellStyle name="常规 5 2 4 2 2 2 4 2 5" xfId="29523"/>
    <cellStyle name="常规 5 2 4 2 2 2 4 3" xfId="29525"/>
    <cellStyle name="常规 5 2 4 2 2 2 4 3 2" xfId="27200"/>
    <cellStyle name="常规 5 2 4 2 2 2 4 3 2 2" xfId="29526"/>
    <cellStyle name="常规 5 2 4 2 2 2 4 3 3" xfId="27201"/>
    <cellStyle name="常规 5 2 4 2 2 2 4 3 4" xfId="29528"/>
    <cellStyle name="常规 5 2 4 2 2 2 4 4" xfId="29530"/>
    <cellStyle name="常规 5 2 4 2 2 2 4 4 2" xfId="29531"/>
    <cellStyle name="常规 5 2 4 2 2 2 4 5" xfId="29533"/>
    <cellStyle name="常规 5 2 4 2 2 2 4 6" xfId="29534"/>
    <cellStyle name="常规 5 2 4 2 2 2 5" xfId="29535"/>
    <cellStyle name="常规 5 2 4 2 2 2 5 2" xfId="29537"/>
    <cellStyle name="常规 5 2 4 2 2 2 5 2 2" xfId="27221"/>
    <cellStyle name="常规 5 2 4 2 2 2 5 2 2 2" xfId="29539"/>
    <cellStyle name="常规 5 2 4 2 2 2 5 2 3" xfId="27222"/>
    <cellStyle name="常规 5 2 4 2 2 2 5 2 4" xfId="29541"/>
    <cellStyle name="常规 5 2 4 2 2 2 5 3" xfId="15650"/>
    <cellStyle name="常规 5 2 4 2 2 2 5 3 2" xfId="15652"/>
    <cellStyle name="常规 5 2 4 2 2 2 5 4" xfId="15655"/>
    <cellStyle name="常规 5 2 4 2 2 2 5 5" xfId="15658"/>
    <cellStyle name="常规 5 2 4 2 2 2 6" xfId="26555"/>
    <cellStyle name="常规 5 2 4 2 2 2 6 2" xfId="26559"/>
    <cellStyle name="常规 5 2 4 2 2 2 6 2 2" xfId="26564"/>
    <cellStyle name="常规 5 2 4 2 2 2 6 3" xfId="15665"/>
    <cellStyle name="常规 5 2 4 2 2 2 6 4" xfId="17248"/>
    <cellStyle name="常规 5 2 4 2 2 2 7" xfId="22273"/>
    <cellStyle name="常规 5 2 4 2 2 2 7 2" xfId="26577"/>
    <cellStyle name="常规 5 2 4 2 2 2 8" xfId="26584"/>
    <cellStyle name="常规 5 2 4 2 2 2 9" xfId="26589"/>
    <cellStyle name="常规 5 2 4 2 2 3" xfId="11700"/>
    <cellStyle name="常规 5 2 4 2 2 3 2" xfId="11703"/>
    <cellStyle name="常规 5 2 4 2 2 3 2 2" xfId="19644"/>
    <cellStyle name="常规 5 2 4 2 2 3 2 2 2" xfId="27277"/>
    <cellStyle name="常规 5 2 4 2 2 3 2 2 2 2" xfId="26642"/>
    <cellStyle name="常规 5 2 4 2 2 3 2 2 2 2 2" xfId="27283"/>
    <cellStyle name="常规 5 2 4 2 2 3 2 2 2 2 2 2" xfId="23294"/>
    <cellStyle name="常规 5 2 4 2 2 3 2 2 2 2 2 2 2" xfId="29542"/>
    <cellStyle name="常规 5 2 4 2 2 3 2 2 2 2 2 3" xfId="23296"/>
    <cellStyle name="常规 5 2 4 2 2 3 2 2 2 2 2 4" xfId="29543"/>
    <cellStyle name="常规 5 2 4 2 2 3 2 2 2 2 3" xfId="29544"/>
    <cellStyle name="常规 5 2 4 2 2 3 2 2 2 2 3 2" xfId="23314"/>
    <cellStyle name="常规 5 2 4 2 2 3 2 2 2 2 4" xfId="24139"/>
    <cellStyle name="常规 5 2 4 2 2 3 2 2 2 2 5" xfId="29545"/>
    <cellStyle name="常规 5 2 4 2 2 3 2 2 2 3" xfId="27288"/>
    <cellStyle name="常规 5 2 4 2 2 3 2 2 2 3 2" xfId="29546"/>
    <cellStyle name="常规 5 2 4 2 2 3 2 2 2 3 2 2" xfId="12209"/>
    <cellStyle name="常规 5 2 4 2 2 3 2 2 2 3 3" xfId="29547"/>
    <cellStyle name="常规 5 2 4 2 2 3 2 2 2 3 4" xfId="16577"/>
    <cellStyle name="常规 5 2 4 2 2 3 2 2 2 4" xfId="27293"/>
    <cellStyle name="常规 5 2 4 2 2 3 2 2 2 4 2" xfId="29548"/>
    <cellStyle name="常规 5 2 4 2 2 3 2 2 2 5" xfId="29549"/>
    <cellStyle name="常规 5 2 4 2 2 3 2 2 2 6" xfId="29550"/>
    <cellStyle name="常规 5 2 4 2 2 3 2 2 3" xfId="27298"/>
    <cellStyle name="常规 5 2 4 2 2 3 2 2 3 2" xfId="27304"/>
    <cellStyle name="常规 5 2 4 2 2 3 2 2 3 2 2" xfId="29551"/>
    <cellStyle name="常规 5 2 4 2 2 3 2 2 3 2 2 2" xfId="9977"/>
    <cellStyle name="常规 5 2 4 2 2 3 2 2 3 2 3" xfId="29552"/>
    <cellStyle name="常规 5 2 4 2 2 3 2 2 3 2 4" xfId="29553"/>
    <cellStyle name="常规 5 2 4 2 2 3 2 2 3 3" xfId="29555"/>
    <cellStyle name="常规 5 2 4 2 2 3 2 2 3 3 2" xfId="29556"/>
    <cellStyle name="常规 5 2 4 2 2 3 2 2 3 4" xfId="29557"/>
    <cellStyle name="常规 5 2 4 2 2 3 2 2 3 5" xfId="29558"/>
    <cellStyle name="常规 5 2 4 2 2 3 2 2 4" xfId="27309"/>
    <cellStyle name="常规 5 2 4 2 2 3 2 2 4 2" xfId="13089"/>
    <cellStyle name="常规 5 2 4 2 2 3 2 2 4 2 2" xfId="29559"/>
    <cellStyle name="常规 5 2 4 2 2 3 2 2 4 3" xfId="29560"/>
    <cellStyle name="常规 5 2 4 2 2 3 2 2 4 4" xfId="29561"/>
    <cellStyle name="常规 5 2 4 2 2 3 2 2 5" xfId="27316"/>
    <cellStyle name="常规 5 2 4 2 2 3 2 2 5 2" xfId="28880"/>
    <cellStyle name="常规 5 2 4 2 2 3 2 2 6" xfId="29563"/>
    <cellStyle name="常规 5 2 4 2 2 3 2 2 7" xfId="2203"/>
    <cellStyle name="常规 5 2 4 2 2 3 2 3" xfId="19648"/>
    <cellStyle name="常规 5 2 4 2 2 3 2 3 2" xfId="27334"/>
    <cellStyle name="常规 5 2 4 2 2 3 2 3 2 2" xfId="21177"/>
    <cellStyle name="常规 5 2 4 2 2 3 2 3 2 2 2" xfId="29565"/>
    <cellStyle name="常规 5 2 4 2 2 3 2 3 2 2 2 2" xfId="24323"/>
    <cellStyle name="常规 5 2 4 2 2 3 2 3 2 2 3" xfId="29567"/>
    <cellStyle name="常规 5 2 4 2 2 3 2 3 2 2 4" xfId="29568"/>
    <cellStyle name="常规 5 2 4 2 2 3 2 3 2 3" xfId="21180"/>
    <cellStyle name="常规 5 2 4 2 2 3 2 3 2 3 2" xfId="2127"/>
    <cellStyle name="常规 5 2 4 2 2 3 2 3 2 4" xfId="29569"/>
    <cellStyle name="常规 5 2 4 2 2 3 2 3 2 5" xfId="29570"/>
    <cellStyle name="常规 5 2 4 2 2 3 2 3 3" xfId="27339"/>
    <cellStyle name="常规 5 2 4 2 2 3 2 3 3 2" xfId="29571"/>
    <cellStyle name="常规 5 2 4 2 2 3 2 3 3 2 2" xfId="29572"/>
    <cellStyle name="常规 5 2 4 2 2 3 2 3 3 3" xfId="29573"/>
    <cellStyle name="常规 5 2 4 2 2 3 2 3 3 4" xfId="29574"/>
    <cellStyle name="常规 5 2 4 2 2 3 2 3 4" xfId="27343"/>
    <cellStyle name="常规 5 2 4 2 2 3 2 3 4 2" xfId="29575"/>
    <cellStyle name="常规 5 2 4 2 2 3 2 3 5" xfId="29576"/>
    <cellStyle name="常规 5 2 4 2 2 3 2 3 6" xfId="29579"/>
    <cellStyle name="常规 5 2 4 2 2 3 2 4" xfId="29582"/>
    <cellStyle name="常规 5 2 4 2 2 3 2 4 2" xfId="27352"/>
    <cellStyle name="常规 5 2 4 2 2 3 2 4 2 2" xfId="29583"/>
    <cellStyle name="常规 5 2 4 2 2 3 2 4 2 2 2" xfId="17432"/>
    <cellStyle name="常规 5 2 4 2 2 3 2 4 2 3" xfId="29584"/>
    <cellStyle name="常规 5 2 4 2 2 3 2 4 2 4" xfId="29585"/>
    <cellStyle name="常规 5 2 4 2 2 3 2 4 3" xfId="27353"/>
    <cellStyle name="常规 5 2 4 2 2 3 2 4 3 2" xfId="29586"/>
    <cellStyle name="常规 5 2 4 2 2 3 2 4 4" xfId="29587"/>
    <cellStyle name="常规 5 2 4 2 2 3 2 4 5" xfId="29588"/>
    <cellStyle name="常规 5 2 4 2 2 3 2 5" xfId="29591"/>
    <cellStyle name="常规 5 2 4 2 2 3 2 5 2" xfId="29593"/>
    <cellStyle name="常规 5 2 4 2 2 3 2 5 2 2" xfId="29594"/>
    <cellStyle name="常规 5 2 4 2 2 3 2 5 3" xfId="29596"/>
    <cellStyle name="常规 5 2 4 2 2 3 2 5 4" xfId="29597"/>
    <cellStyle name="常规 5 2 4 2 2 3 2 6" xfId="26848"/>
    <cellStyle name="常规 5 2 4 2 2 3 2 6 2" xfId="24610"/>
    <cellStyle name="常规 5 2 4 2 2 3 2 7" xfId="29598"/>
    <cellStyle name="常规 5 2 4 2 2 3 2 8" xfId="24314"/>
    <cellStyle name="常规 5 2 4 2 2 3 3" xfId="29600"/>
    <cellStyle name="常规 5 2 4 2 2 3 3 2" xfId="19663"/>
    <cellStyle name="常规 5 2 4 2 2 3 3 2 2" xfId="27377"/>
    <cellStyle name="常规 5 2 4 2 2 3 3 2 2 2" xfId="27015"/>
    <cellStyle name="常规 5 2 4 2 2 3 3 2 2 2 2" xfId="20145"/>
    <cellStyle name="常规 5 2 4 2 2 3 3 2 2 2 2 2" xfId="29601"/>
    <cellStyle name="常规 5 2 4 2 2 3 3 2 2 2 3" xfId="20147"/>
    <cellStyle name="常规 5 2 4 2 2 3 3 2 2 2 4" xfId="29602"/>
    <cellStyle name="常规 5 2 4 2 2 3 3 2 2 3" xfId="29452"/>
    <cellStyle name="常规 5 2 4 2 2 3 3 2 2 3 2" xfId="20153"/>
    <cellStyle name="常规 5 2 4 2 2 3 3 2 2 4" xfId="29603"/>
    <cellStyle name="常规 5 2 4 2 2 3 3 2 2 5" xfId="29605"/>
    <cellStyle name="常规 5 2 4 2 2 3 3 2 3" xfId="27382"/>
    <cellStyle name="常规 5 2 4 2 2 3 3 2 3 2" xfId="29466"/>
    <cellStyle name="常规 5 2 4 2 2 3 3 2 3 2 2" xfId="3227"/>
    <cellStyle name="常规 5 2 4 2 2 3 3 2 3 3" xfId="29606"/>
    <cellStyle name="常规 5 2 4 2 2 3 3 2 3 4" xfId="14628"/>
    <cellStyle name="常规 5 2 4 2 2 3 3 2 4" xfId="8848"/>
    <cellStyle name="常规 5 2 4 2 2 3 3 2 4 2" xfId="29607"/>
    <cellStyle name="常规 5 2 4 2 2 3 3 2 5" xfId="29608"/>
    <cellStyle name="常规 5 2 4 2 2 3 3 2 6" xfId="29610"/>
    <cellStyle name="常规 5 2 4 2 2 3 3 3" xfId="29613"/>
    <cellStyle name="常规 5 2 4 2 2 3 3 3 2" xfId="27392"/>
    <cellStyle name="常规 5 2 4 2 2 3 3 3 2 2" xfId="29497"/>
    <cellStyle name="常规 5 2 4 2 2 3 3 3 2 2 2" xfId="20200"/>
    <cellStyle name="常规 5 2 4 2 2 3 3 3 2 3" xfId="29614"/>
    <cellStyle name="常规 5 2 4 2 2 3 3 3 2 4" xfId="29615"/>
    <cellStyle name="常规 5 2 4 2 2 3 3 3 3" xfId="27393"/>
    <cellStyle name="常规 5 2 4 2 2 3 3 3 3 2" xfId="29616"/>
    <cellStyle name="常规 5 2 4 2 2 3 3 3 4" xfId="29617"/>
    <cellStyle name="常规 5 2 4 2 2 3 3 3 5" xfId="29618"/>
    <cellStyle name="常规 5 2 4 2 2 3 3 4" xfId="29621"/>
    <cellStyle name="常规 5 2 4 2 2 3 3 4 2" xfId="29622"/>
    <cellStyle name="常规 5 2 4 2 2 3 3 4 2 2" xfId="29623"/>
    <cellStyle name="常规 5 2 4 2 2 3 3 4 3" xfId="29625"/>
    <cellStyle name="常规 5 2 4 2 2 3 3 4 4" xfId="29626"/>
    <cellStyle name="常规 5 2 4 2 2 3 3 5" xfId="29629"/>
    <cellStyle name="常规 5 2 4 2 2 3 3 5 2" xfId="29630"/>
    <cellStyle name="常规 5 2 4 2 2 3 3 6" xfId="29631"/>
    <cellStyle name="常规 5 2 4 2 2 3 3 7" xfId="29632"/>
    <cellStyle name="常规 5 2 4 2 2 3 4" xfId="29634"/>
    <cellStyle name="常规 5 2 4 2 2 3 4 2" xfId="29637"/>
    <cellStyle name="常规 5 2 4 2 2 3 4 2 2" xfId="27415"/>
    <cellStyle name="常规 5 2 4 2 2 3 4 2 2 2" xfId="29562"/>
    <cellStyle name="常规 5 2 4 2 2 3 4 2 2 2 2" xfId="20368"/>
    <cellStyle name="常规 5 2 4 2 2 3 4 2 2 3" xfId="2202"/>
    <cellStyle name="常规 5 2 4 2 2 3 4 2 2 4" xfId="29638"/>
    <cellStyle name="常规 5 2 4 2 2 3 4 2 3" xfId="27416"/>
    <cellStyle name="常规 5 2 4 2 2 3 4 2 3 2" xfId="29577"/>
    <cellStyle name="常规 5 2 4 2 2 3 4 2 4" xfId="29640"/>
    <cellStyle name="常规 5 2 4 2 2 3 4 2 5" xfId="29641"/>
    <cellStyle name="常规 5 2 4 2 2 3 4 3" xfId="29644"/>
    <cellStyle name="常规 5 2 4 2 2 3 4 3 2" xfId="29645"/>
    <cellStyle name="常规 5 2 4 2 2 3 4 3 2 2" xfId="29609"/>
    <cellStyle name="常规 5 2 4 2 2 3 4 3 3" xfId="29646"/>
    <cellStyle name="常规 5 2 4 2 2 3 4 3 4" xfId="29647"/>
    <cellStyle name="常规 5 2 4 2 2 3 4 4" xfId="29650"/>
    <cellStyle name="常规 5 2 4 2 2 3 4 4 2" xfId="29651"/>
    <cellStyle name="常规 5 2 4 2 2 3 4 5" xfId="29652"/>
    <cellStyle name="常规 5 2 4 2 2 3 4 6" xfId="29653"/>
    <cellStyle name="常规 5 2 4 2 2 3 5" xfId="29655"/>
    <cellStyle name="常规 5 2 4 2 2 3 5 2" xfId="29658"/>
    <cellStyle name="常规 5 2 4 2 2 3 5 2 2" xfId="29659"/>
    <cellStyle name="常规 5 2 4 2 2 3 5 2 2 2" xfId="29661"/>
    <cellStyle name="常规 5 2 4 2 2 3 5 2 3" xfId="29662"/>
    <cellStyle name="常规 5 2 4 2 2 3 5 2 4" xfId="29663"/>
    <cellStyle name="常规 5 2 4 2 2 3 5 3" xfId="15672"/>
    <cellStyle name="常规 5 2 4 2 2 3 5 3 2" xfId="29664"/>
    <cellStyle name="常规 5 2 4 2 2 3 5 4" xfId="17349"/>
    <cellStyle name="常规 5 2 4 2 2 3 5 5" xfId="17374"/>
    <cellStyle name="常规 5 2 4 2 2 3 6" xfId="19183"/>
    <cellStyle name="常规 5 2 4 2 2 3 6 2" xfId="26595"/>
    <cellStyle name="常规 5 2 4 2 2 3 6 2 2" xfId="26600"/>
    <cellStyle name="常规 5 2 4 2 2 3 6 3" xfId="26605"/>
    <cellStyle name="常规 5 2 4 2 2 3 6 4" xfId="17407"/>
    <cellStyle name="常规 5 2 4 2 2 3 7" xfId="26610"/>
    <cellStyle name="常规 5 2 4 2 2 3 7 2" xfId="26615"/>
    <cellStyle name="常规 5 2 4 2 2 3 8" xfId="24048"/>
    <cellStyle name="常规 5 2 4 2 2 3 9" xfId="24068"/>
    <cellStyle name="常规 5 2 4 2 2 4" xfId="11705"/>
    <cellStyle name="常规 5 2 4 2 2 4 2" xfId="13572"/>
    <cellStyle name="常规 5 2 4 2 2 4 2 2" xfId="19778"/>
    <cellStyle name="常规 5 2 4 2 2 4 2 2 2" xfId="27467"/>
    <cellStyle name="常规 5 2 4 2 2 4 2 2 2 2" xfId="27474"/>
    <cellStyle name="常规 5 2 4 2 2 4 2 2 2 2 2" xfId="29665"/>
    <cellStyle name="常规 5 2 4 2 2 4 2 2 2 2 2 2" xfId="29667"/>
    <cellStyle name="常规 5 2 4 2 2 4 2 2 2 2 3" xfId="29668"/>
    <cellStyle name="常规 5 2 4 2 2 4 2 2 2 2 4" xfId="29669"/>
    <cellStyle name="常规 5 2 4 2 2 4 2 2 2 3" xfId="29672"/>
    <cellStyle name="常规 5 2 4 2 2 4 2 2 2 3 2" xfId="29674"/>
    <cellStyle name="常规 5 2 4 2 2 4 2 2 2 4" xfId="29677"/>
    <cellStyle name="常规 5 2 4 2 2 4 2 2 2 5" xfId="29679"/>
    <cellStyle name="常规 5 2 4 2 2 4 2 2 3" xfId="27479"/>
    <cellStyle name="常规 5 2 4 2 2 4 2 2 3 2" xfId="29680"/>
    <cellStyle name="常规 5 2 4 2 2 4 2 2 3 2 2" xfId="29681"/>
    <cellStyle name="常规 5 2 4 2 2 4 2 2 3 3" xfId="29683"/>
    <cellStyle name="常规 5 2 4 2 2 4 2 2 3 4" xfId="29685"/>
    <cellStyle name="常规 5 2 4 2 2 4 2 2 4" xfId="16954"/>
    <cellStyle name="常规 5 2 4 2 2 4 2 2 4 2" xfId="29686"/>
    <cellStyle name="常规 5 2 4 2 2 4 2 2 5" xfId="29687"/>
    <cellStyle name="常规 5 2 4 2 2 4 2 2 6" xfId="29660"/>
    <cellStyle name="常规 5 2 4 2 2 4 2 3" xfId="29690"/>
    <cellStyle name="常规 5 2 4 2 2 4 2 3 2" xfId="27489"/>
    <cellStyle name="常规 5 2 4 2 2 4 2 3 2 2" xfId="29691"/>
    <cellStyle name="常规 5 2 4 2 2 4 2 3 2 2 2" xfId="29692"/>
    <cellStyle name="常规 5 2 4 2 2 4 2 3 2 3" xfId="29693"/>
    <cellStyle name="常规 5 2 4 2 2 4 2 3 2 4" xfId="29694"/>
    <cellStyle name="常规 5 2 4 2 2 4 2 3 3" xfId="27490"/>
    <cellStyle name="常规 5 2 4 2 2 4 2 3 3 2" xfId="29695"/>
    <cellStyle name="常规 5 2 4 2 2 4 2 3 4" xfId="29696"/>
    <cellStyle name="常规 5 2 4 2 2 4 2 3 5" xfId="29697"/>
    <cellStyle name="常规 5 2 4 2 2 4 2 4" xfId="29701"/>
    <cellStyle name="常规 5 2 4 2 2 4 2 4 2" xfId="29702"/>
    <cellStyle name="常规 5 2 4 2 2 4 2 4 2 2" xfId="29703"/>
    <cellStyle name="常规 5 2 4 2 2 4 2 4 3" xfId="29704"/>
    <cellStyle name="常规 5 2 4 2 2 4 2 4 4" xfId="29705"/>
    <cellStyle name="常规 5 2 4 2 2 4 2 5" xfId="29708"/>
    <cellStyle name="常规 5 2 4 2 2 4 2 5 2" xfId="29709"/>
    <cellStyle name="常规 5 2 4 2 2 4 2 6" xfId="29710"/>
    <cellStyle name="常规 5 2 4 2 2 4 2 7" xfId="29711"/>
    <cellStyle name="常规 5 2 4 2 2 4 3" xfId="29713"/>
    <cellStyle name="常规 5 2 4 2 2 4 3 2" xfId="2469"/>
    <cellStyle name="常规 5 2 4 2 2 4 3 2 2" xfId="27508"/>
    <cellStyle name="常规 5 2 4 2 2 4 3 2 2 2" xfId="29715"/>
    <cellStyle name="常规 5 2 4 2 2 4 3 2 2 2 2" xfId="20733"/>
    <cellStyle name="常规 5 2 4 2 2 4 3 2 2 3" xfId="29716"/>
    <cellStyle name="常规 5 2 4 2 2 4 3 2 2 4" xfId="29717"/>
    <cellStyle name="常规 5 2 4 2 2 4 3 2 3" xfId="27509"/>
    <cellStyle name="常规 5 2 4 2 2 4 3 2 3 2" xfId="29720"/>
    <cellStyle name="常规 5 2 4 2 2 4 3 2 4" xfId="29721"/>
    <cellStyle name="常规 5 2 4 2 2 4 3 2 5" xfId="29722"/>
    <cellStyle name="常规 5 2 4 2 2 4 3 3" xfId="29725"/>
    <cellStyle name="常规 5 2 4 2 2 4 3 3 2" xfId="8081"/>
    <cellStyle name="常规 5 2 4 2 2 4 3 3 2 2" xfId="29726"/>
    <cellStyle name="常规 5 2 4 2 2 4 3 3 3" xfId="29727"/>
    <cellStyle name="常规 5 2 4 2 2 4 3 3 4" xfId="29728"/>
    <cellStyle name="常规 5 2 4 2 2 4 3 4" xfId="9407"/>
    <cellStyle name="常规 5 2 4 2 2 4 3 4 2" xfId="29729"/>
    <cellStyle name="常规 5 2 4 2 2 4 3 5" xfId="29730"/>
    <cellStyle name="常规 5 2 4 2 2 4 3 6" xfId="29731"/>
    <cellStyle name="常规 5 2 4 2 2 4 4" xfId="29733"/>
    <cellStyle name="常规 5 2 4 2 2 4 4 2" xfId="29736"/>
    <cellStyle name="常规 5 2 4 2 2 4 4 2 2" xfId="29737"/>
    <cellStyle name="常规 5 2 4 2 2 4 4 2 2 2" xfId="29738"/>
    <cellStyle name="常规 5 2 4 2 2 4 4 2 3" xfId="29739"/>
    <cellStyle name="常规 5 2 4 2 2 4 4 2 4" xfId="29740"/>
    <cellStyle name="常规 5 2 4 2 2 4 4 3" xfId="29742"/>
    <cellStyle name="常规 5 2 4 2 2 4 4 3 2" xfId="29743"/>
    <cellStyle name="常规 5 2 4 2 2 4 4 4" xfId="29744"/>
    <cellStyle name="常规 5 2 4 2 2 4 4 5" xfId="29745"/>
    <cellStyle name="常规 5 2 4 2 2 4 5" xfId="29747"/>
    <cellStyle name="常规 5 2 4 2 2 4 5 2" xfId="29748"/>
    <cellStyle name="常规 5 2 4 2 2 4 5 2 2" xfId="29749"/>
    <cellStyle name="常规 5 2 4 2 2 4 5 3" xfId="29750"/>
    <cellStyle name="常规 5 2 4 2 2 4 5 4" xfId="17467"/>
    <cellStyle name="常规 5 2 4 2 2 4 6" xfId="26620"/>
    <cellStyle name="常规 5 2 4 2 2 4 6 2" xfId="26625"/>
    <cellStyle name="常规 5 2 4 2 2 4 7" xfId="26629"/>
    <cellStyle name="常规 5 2 4 2 2 4 8" xfId="24095"/>
    <cellStyle name="常规 5 2 4 2 2 5" xfId="11708"/>
    <cellStyle name="常规 5 2 4 2 2 5 2" xfId="29752"/>
    <cellStyle name="常规 5 2 4 2 2 5 2 2" xfId="1497"/>
    <cellStyle name="常规 5 2 4 2 2 5 2 2 2" xfId="27548"/>
    <cellStyle name="常规 5 2 4 2 2 5 2 2 2 2" xfId="29754"/>
    <cellStyle name="常规 5 2 4 2 2 5 2 2 2 2 2" xfId="23534"/>
    <cellStyle name="常规 5 2 4 2 2 5 2 2 2 3" xfId="29756"/>
    <cellStyle name="常规 5 2 4 2 2 5 2 2 2 4" xfId="29758"/>
    <cellStyle name="常规 5 2 4 2 2 5 2 2 3" xfId="27550"/>
    <cellStyle name="常规 5 2 4 2 2 5 2 2 3 2" xfId="29760"/>
    <cellStyle name="常规 5 2 4 2 2 5 2 2 4" xfId="29761"/>
    <cellStyle name="常规 5 2 4 2 2 5 2 2 5" xfId="29762"/>
    <cellStyle name="常规 5 2 4 2 2 5 2 3" xfId="946"/>
    <cellStyle name="常规 5 2 4 2 2 5 2 3 2" xfId="29763"/>
    <cellStyle name="常规 5 2 4 2 2 5 2 3 2 2" xfId="29765"/>
    <cellStyle name="常规 5 2 4 2 2 5 2 3 3" xfId="29766"/>
    <cellStyle name="常规 5 2 4 2 2 5 2 3 4" xfId="29767"/>
    <cellStyle name="常规 5 2 4 2 2 5 2 4" xfId="956"/>
    <cellStyle name="常规 5 2 4 2 2 5 2 4 2" xfId="29768"/>
    <cellStyle name="常规 5 2 4 2 2 5 2 5" xfId="1414"/>
    <cellStyle name="常规 5 2 4 2 2 5 2 6" xfId="1438"/>
    <cellStyle name="常规 5 2 4 2 2 5 3" xfId="29770"/>
    <cellStyle name="常规 5 2 4 2 2 5 3 2" xfId="29773"/>
    <cellStyle name="常规 5 2 4 2 2 5 3 2 2" xfId="1313"/>
    <cellStyle name="常规 5 2 4 2 2 5 3 2 2 2" xfId="29776"/>
    <cellStyle name="常规 5 2 4 2 2 5 3 2 3" xfId="8457"/>
    <cellStyle name="常规 5 2 4 2 2 5 3 2 4" xfId="29777"/>
    <cellStyle name="常规 5 2 4 2 2 5 3 3" xfId="5997"/>
    <cellStyle name="常规 5 2 4 2 2 5 3 3 2" xfId="8462"/>
    <cellStyle name="常规 5 2 4 2 2 5 3 4" xfId="29778"/>
    <cellStyle name="常规 5 2 4 2 2 5 3 5" xfId="16236"/>
    <cellStyle name="常规 5 2 4 2 2 5 4" xfId="17675"/>
    <cellStyle name="常规 5 2 4 2 2 5 4 2" xfId="29779"/>
    <cellStyle name="常规 5 2 4 2 2 5 4 2 2" xfId="8473"/>
    <cellStyle name="常规 5 2 4 2 2 5 4 3" xfId="29780"/>
    <cellStyle name="常规 5 2 4 2 2 5 4 4" xfId="29781"/>
    <cellStyle name="常规 5 2 4 2 2 5 5" xfId="29783"/>
    <cellStyle name="常规 5 2 4 2 2 5 5 2" xfId="29784"/>
    <cellStyle name="常规 5 2 4 2 2 5 6" xfId="26633"/>
    <cellStyle name="常规 5 2 4 2 2 5 7" xfId="29785"/>
    <cellStyle name="常规 5 2 4 2 2 6" xfId="29786"/>
    <cellStyle name="常规 5 2 4 2 2 6 2" xfId="29788"/>
    <cellStyle name="常规 5 2 4 2 2 6 2 2" xfId="29791"/>
    <cellStyle name="常规 5 2 4 2 2 6 2 2 2" xfId="16756"/>
    <cellStyle name="常规 5 2 4 2 2 6 2 2 2 2" xfId="22513"/>
    <cellStyle name="常规 5 2 4 2 2 6 2 2 3" xfId="16759"/>
    <cellStyle name="常规 5 2 4 2 2 6 2 2 4" xfId="29792"/>
    <cellStyle name="常规 5 2 4 2 2 6 2 3" xfId="29794"/>
    <cellStyle name="常规 5 2 4 2 2 6 2 3 2" xfId="16768"/>
    <cellStyle name="常规 5 2 4 2 2 6 2 4" xfId="29795"/>
    <cellStyle name="常规 5 2 4 2 2 6 2 5" xfId="29796"/>
    <cellStyle name="常规 5 2 4 2 2 6 3" xfId="15535"/>
    <cellStyle name="常规 5 2 4 2 2 6 3 2" xfId="15537"/>
    <cellStyle name="常规 5 2 4 2 2 6 3 2 2" xfId="8514"/>
    <cellStyle name="常规 5 2 4 2 2 6 3 3" xfId="15539"/>
    <cellStyle name="常规 5 2 4 2 2 6 3 4" xfId="15541"/>
    <cellStyle name="常规 5 2 4 2 2 6 4" xfId="15544"/>
    <cellStyle name="常规 5 2 4 2 2 6 4 2" xfId="15546"/>
    <cellStyle name="常规 5 2 4 2 2 6 5" xfId="15549"/>
    <cellStyle name="常规 5 2 4 2 2 6 6" xfId="15552"/>
    <cellStyle name="常规 5 2 4 2 2 7" xfId="19113"/>
    <cellStyle name="常规 5 2 4 2 2 7 2" xfId="19117"/>
    <cellStyle name="常规 5 2 4 2 2 7 2 2" xfId="19120"/>
    <cellStyle name="常规 5 2 4 2 2 7 2 2 2" xfId="16779"/>
    <cellStyle name="常规 5 2 4 2 2 7 2 3" xfId="29798"/>
    <cellStyle name="常规 5 2 4 2 2 7 2 4" xfId="29800"/>
    <cellStyle name="常规 5 2 4 2 2 7 3" xfId="3808"/>
    <cellStyle name="常规 5 2 4 2 2 7 3 2" xfId="15556"/>
    <cellStyle name="常规 5 2 4 2 2 7 4" xfId="15559"/>
    <cellStyle name="常规 5 2 4 2 2 7 5" xfId="15563"/>
    <cellStyle name="常规 5 2 4 2 2 8" xfId="19122"/>
    <cellStyle name="常规 5 2 4 2 2 8 2" xfId="19125"/>
    <cellStyle name="常规 5 2 4 2 2 8 2 2" xfId="29802"/>
    <cellStyle name="常规 5 2 4 2 2 8 3" xfId="15567"/>
    <cellStyle name="常规 5 2 4 2 2 8 4" xfId="29804"/>
    <cellStyle name="常规 5 2 4 2 2 9" xfId="19127"/>
    <cellStyle name="常规 5 2 4 2 2 9 2" xfId="29806"/>
    <cellStyle name="常规 5 2 4 2 3" xfId="11711"/>
    <cellStyle name="常规 5 2 4 2 3 2" xfId="11715"/>
    <cellStyle name="常规 5 2 4 2 3 2 2" xfId="11719"/>
    <cellStyle name="常规 5 2 4 2 3 2 2 2" xfId="29808"/>
    <cellStyle name="常规 5 2 4 2 3 2 2 2 2" xfId="11601"/>
    <cellStyle name="常规 5 2 4 2 3 2 2 2 2 2" xfId="11606"/>
    <cellStyle name="常规 5 2 4 2 3 2 2 2 2 2 2" xfId="11610"/>
    <cellStyle name="常规 5 2 4 2 3 2 2 2 2 2 2 2" xfId="29809"/>
    <cellStyle name="常规 5 2 4 2 3 2 2 2 2 2 3" xfId="29811"/>
    <cellStyle name="常规 5 2 4 2 3 2 2 2 2 2 4" xfId="29812"/>
    <cellStyle name="常规 5 2 4 2 3 2 2 2 2 3" xfId="11614"/>
    <cellStyle name="常规 5 2 4 2 3 2 2 2 2 3 2" xfId="29813"/>
    <cellStyle name="常规 5 2 4 2 3 2 2 2 2 4" xfId="11618"/>
    <cellStyle name="常规 5 2 4 2 3 2 2 2 2 5" xfId="29814"/>
    <cellStyle name="常规 5 2 4 2 3 2 2 2 3" xfId="11623"/>
    <cellStyle name="常规 5 2 4 2 3 2 2 2 3 2" xfId="11627"/>
    <cellStyle name="常规 5 2 4 2 3 2 2 2 3 2 2" xfId="29815"/>
    <cellStyle name="常规 5 2 4 2 3 2 2 2 3 3" xfId="29816"/>
    <cellStyle name="常规 5 2 4 2 3 2 2 2 3 4" xfId="29818"/>
    <cellStyle name="常规 5 2 4 2 3 2 2 2 4" xfId="11632"/>
    <cellStyle name="常规 5 2 4 2 3 2 2 2 4 2" xfId="29820"/>
    <cellStyle name="常规 5 2 4 2 3 2 2 2 5" xfId="11637"/>
    <cellStyle name="常规 5 2 4 2 3 2 2 2 6" xfId="29714"/>
    <cellStyle name="常规 5 2 4 2 3 2 2 3" xfId="29822"/>
    <cellStyle name="常规 5 2 4 2 3 2 2 3 2" xfId="11733"/>
    <cellStyle name="常规 5 2 4 2 3 2 2 3 2 2" xfId="11738"/>
    <cellStyle name="常规 5 2 4 2 3 2 2 3 2 2 2" xfId="23857"/>
    <cellStyle name="常规 5 2 4 2 3 2 2 3 2 3" xfId="29824"/>
    <cellStyle name="常规 5 2 4 2 3 2 2 3 2 4" xfId="29826"/>
    <cellStyle name="常规 5 2 4 2 3 2 2 3 3" xfId="11745"/>
    <cellStyle name="常规 5 2 4 2 3 2 2 3 3 2" xfId="13040"/>
    <cellStyle name="常规 5 2 4 2 3 2 2 3 4" xfId="11751"/>
    <cellStyle name="常规 5 2 4 2 3 2 2 3 5" xfId="29829"/>
    <cellStyle name="常规 5 2 4 2 3 2 2 4" xfId="29831"/>
    <cellStyle name="常规 5 2 4 2 3 2 2 4 2" xfId="11774"/>
    <cellStyle name="常规 5 2 4 2 3 2 2 4 2 2" xfId="13557"/>
    <cellStyle name="常规 5 2 4 2 3 2 2 4 3" xfId="11780"/>
    <cellStyle name="常规 5 2 4 2 3 2 2 4 4" xfId="29835"/>
    <cellStyle name="常规 5 2 4 2 3 2 2 5" xfId="29837"/>
    <cellStyle name="常规 5 2 4 2 3 2 2 5 2" xfId="11793"/>
    <cellStyle name="常规 5 2 4 2 3 2 2 6" xfId="29840"/>
    <cellStyle name="常规 5 2 4 2 3 2 2 7" xfId="14151"/>
    <cellStyle name="常规 5 2 4 2 3 2 3" xfId="29841"/>
    <cellStyle name="常规 5 2 4 2 3 2 3 2" xfId="29843"/>
    <cellStyle name="常规 5 2 4 2 3 2 3 2 2" xfId="11876"/>
    <cellStyle name="常规 5 2 4 2 3 2 3 2 2 2" xfId="11880"/>
    <cellStyle name="常规 5 2 4 2 3 2 3 2 2 2 2" xfId="29844"/>
    <cellStyle name="常规 5 2 4 2 3 2 3 2 2 3" xfId="29845"/>
    <cellStyle name="常规 5 2 4 2 3 2 3 2 2 4" xfId="29846"/>
    <cellStyle name="常规 5 2 4 2 3 2 3 2 3" xfId="11885"/>
    <cellStyle name="常规 5 2 4 2 3 2 3 2 3 2" xfId="29847"/>
    <cellStyle name="常规 5 2 4 2 3 2 3 2 4" xfId="11889"/>
    <cellStyle name="常规 5 2 4 2 3 2 3 2 5" xfId="29848"/>
    <cellStyle name="常规 5 2 4 2 3 2 3 3" xfId="29850"/>
    <cellStyle name="常规 5 2 4 2 3 2 3 3 2" xfId="11937"/>
    <cellStyle name="常规 5 2 4 2 3 2 3 3 2 2" xfId="2048"/>
    <cellStyle name="常规 5 2 4 2 3 2 3 3 3" xfId="11940"/>
    <cellStyle name="常规 5 2 4 2 3 2 3 3 4" xfId="29854"/>
    <cellStyle name="常规 5 2 4 2 3 2 3 4" xfId="29856"/>
    <cellStyle name="常规 5 2 4 2 3 2 3 4 2" xfId="11961"/>
    <cellStyle name="常规 5 2 4 2 3 2 3 5" xfId="29858"/>
    <cellStyle name="常规 5 2 4 2 3 2 3 6" xfId="29859"/>
    <cellStyle name="常规 5 2 4 2 3 2 4" xfId="29861"/>
    <cellStyle name="常规 5 2 4 2 3 2 4 2" xfId="17869"/>
    <cellStyle name="常规 5 2 4 2 3 2 4 2 2" xfId="12034"/>
    <cellStyle name="常规 5 2 4 2 3 2 4 2 2 2" xfId="20205"/>
    <cellStyle name="常规 5 2 4 2 3 2 4 2 3" xfId="12036"/>
    <cellStyle name="常规 5 2 4 2 3 2 4 2 4" xfId="29863"/>
    <cellStyle name="常规 5 2 4 2 3 2 4 3" xfId="17872"/>
    <cellStyle name="常规 5 2 4 2 3 2 4 3 2" xfId="12070"/>
    <cellStyle name="常规 5 2 4 2 3 2 4 4" xfId="17875"/>
    <cellStyle name="常规 5 2 4 2 3 2 4 5" xfId="29864"/>
    <cellStyle name="常规 5 2 4 2 3 2 5" xfId="29365"/>
    <cellStyle name="常规 5 2 4 2 3 2 5 2" xfId="17886"/>
    <cellStyle name="常规 5 2 4 2 3 2 5 2 2" xfId="12129"/>
    <cellStyle name="常规 5 2 4 2 3 2 5 3" xfId="15687"/>
    <cellStyle name="常规 5 2 4 2 3 2 5 4" xfId="5443"/>
    <cellStyle name="常规 5 2 4 2 3 2 6" xfId="26648"/>
    <cellStyle name="常规 5 2 4 2 3 2 6 2" xfId="26652"/>
    <cellStyle name="常规 5 2 4 2 3 2 7" xfId="26660"/>
    <cellStyle name="常规 5 2 4 2 3 2 8" xfId="26666"/>
    <cellStyle name="常规 5 2 4 2 3 3" xfId="11722"/>
    <cellStyle name="常规 5 2 4 2 3 3 2" xfId="29866"/>
    <cellStyle name="常规 5 2 4 2 3 3 2 2" xfId="29869"/>
    <cellStyle name="常规 5 2 4 2 3 3 2 2 2" xfId="12351"/>
    <cellStyle name="常规 5 2 4 2 3 3 2 2 2 2" xfId="28478"/>
    <cellStyle name="常规 5 2 4 2 3 3 2 2 2 2 2" xfId="29871"/>
    <cellStyle name="常规 5 2 4 2 3 3 2 2 2 3" xfId="29874"/>
    <cellStyle name="常规 5 2 4 2 3 3 2 2 2 4" xfId="29876"/>
    <cellStyle name="常规 5 2 4 2 3 3 2 2 3" xfId="12357"/>
    <cellStyle name="常规 5 2 4 2 3 3 2 2 3 2" xfId="29878"/>
    <cellStyle name="常规 5 2 4 2 3 3 2 2 4" xfId="28482"/>
    <cellStyle name="常规 5 2 4 2 3 3 2 2 5" xfId="29880"/>
    <cellStyle name="常规 5 2 4 2 3 3 2 3" xfId="29883"/>
    <cellStyle name="常规 5 2 4 2 3 3 2 3 2" xfId="12375"/>
    <cellStyle name="常规 5 2 4 2 3 3 2 3 2 2" xfId="29885"/>
    <cellStyle name="常规 5 2 4 2 3 3 2 3 3" xfId="28488"/>
    <cellStyle name="常规 5 2 4 2 3 3 2 3 4" xfId="29888"/>
    <cellStyle name="常规 5 2 4 2 3 3 2 4" xfId="29891"/>
    <cellStyle name="常规 5 2 4 2 3 3 2 4 2" xfId="29893"/>
    <cellStyle name="常规 5 2 4 2 3 3 2 5" xfId="29896"/>
    <cellStyle name="常规 5 2 4 2 3 3 2 6" xfId="29898"/>
    <cellStyle name="常规 5 2 4 2 3 3 3" xfId="29900"/>
    <cellStyle name="常规 5 2 4 2 3 3 3 2" xfId="29903"/>
    <cellStyle name="常规 5 2 4 2 3 3 3 2 2" xfId="12404"/>
    <cellStyle name="常规 5 2 4 2 3 3 3 2 2 2" xfId="29906"/>
    <cellStyle name="常规 5 2 4 2 3 3 3 2 3" xfId="28499"/>
    <cellStyle name="常规 5 2 4 2 3 3 3 2 4" xfId="29908"/>
    <cellStyle name="常规 5 2 4 2 3 3 3 3" xfId="29911"/>
    <cellStyle name="常规 5 2 4 2 3 3 3 3 2" xfId="29913"/>
    <cellStyle name="常规 5 2 4 2 3 3 3 4" xfId="29916"/>
    <cellStyle name="常规 5 2 4 2 3 3 3 5" xfId="29919"/>
    <cellStyle name="常规 5 2 4 2 3 3 4" xfId="29921"/>
    <cellStyle name="常规 5 2 4 2 3 3 4 2" xfId="17907"/>
    <cellStyle name="常规 5 2 4 2 3 3 4 2 2" xfId="29923"/>
    <cellStyle name="常规 5 2 4 2 3 3 4 3" xfId="17911"/>
    <cellStyle name="常规 5 2 4 2 3 3 4 4" xfId="29925"/>
    <cellStyle name="常规 5 2 4 2 3 3 5" xfId="29369"/>
    <cellStyle name="常规 5 2 4 2 3 3 5 2" xfId="29372"/>
    <cellStyle name="常规 5 2 4 2 3 3 6" xfId="26673"/>
    <cellStyle name="常规 5 2 4 2 3 3 7" xfId="26683"/>
    <cellStyle name="常规 5 2 4 2 3 4" xfId="11725"/>
    <cellStyle name="常规 5 2 4 2 3 4 2" xfId="29927"/>
    <cellStyle name="常规 5 2 4 2 3 4 2 2" xfId="29931"/>
    <cellStyle name="常规 5 2 4 2 3 4 2 2 2" xfId="12629"/>
    <cellStyle name="常规 5 2 4 2 3 4 2 2 2 2" xfId="22523"/>
    <cellStyle name="常规 5 2 4 2 3 4 2 2 3" xfId="12632"/>
    <cellStyle name="常规 5 2 4 2 3 4 2 2 4" xfId="29934"/>
    <cellStyle name="常规 5 2 4 2 3 4 2 3" xfId="29938"/>
    <cellStyle name="常规 5 2 4 2 3 4 2 3 2" xfId="12652"/>
    <cellStyle name="常规 5 2 4 2 3 4 2 4" xfId="5179"/>
    <cellStyle name="常规 5 2 4 2 3 4 2 5" xfId="6583"/>
    <cellStyle name="常规 5 2 4 2 3 4 3" xfId="29940"/>
    <cellStyle name="常规 5 2 4 2 3 4 3 2" xfId="7779"/>
    <cellStyle name="常规 5 2 4 2 3 4 3 2 2" xfId="1269"/>
    <cellStyle name="常规 5 2 4 2 3 4 3 3" xfId="2969"/>
    <cellStyle name="常规 5 2 4 2 3 4 3 4" xfId="6588"/>
    <cellStyle name="常规 5 2 4 2 3 4 4" xfId="29942"/>
    <cellStyle name="常规 5 2 4 2 3 4 4 2" xfId="7797"/>
    <cellStyle name="常规 5 2 4 2 3 4 5" xfId="29376"/>
    <cellStyle name="常规 5 2 4 2 3 4 6" xfId="26692"/>
    <cellStyle name="常规 5 2 4 2 3 5" xfId="29943"/>
    <cellStyle name="常规 5 2 4 2 3 5 2" xfId="29945"/>
    <cellStyle name="常规 5 2 4 2 3 5 2 2" xfId="29949"/>
    <cellStyle name="常规 5 2 4 2 3 5 2 2 2" xfId="12857"/>
    <cellStyle name="常规 5 2 4 2 3 5 2 3" xfId="29953"/>
    <cellStyle name="常规 5 2 4 2 3 5 2 4" xfId="6596"/>
    <cellStyle name="常规 5 2 4 2 3 5 3" xfId="29955"/>
    <cellStyle name="常规 5 2 4 2 3 5 3 2" xfId="6080"/>
    <cellStyle name="常规 5 2 4 2 3 5 4" xfId="29957"/>
    <cellStyle name="常规 5 2 4 2 3 5 5" xfId="29959"/>
    <cellStyle name="常规 5 2 4 2 3 6" xfId="29960"/>
    <cellStyle name="常规 5 2 4 2 3 6 2" xfId="29962"/>
    <cellStyle name="常规 5 2 4 2 3 6 2 2" xfId="29965"/>
    <cellStyle name="常规 5 2 4 2 3 6 3" xfId="15577"/>
    <cellStyle name="常规 5 2 4 2 3 6 4" xfId="15580"/>
    <cellStyle name="常规 5 2 4 2 3 7" xfId="19131"/>
    <cellStyle name="常规 5 2 4 2 3 7 2" xfId="19135"/>
    <cellStyle name="常规 5 2 4 2 3 8" xfId="19137"/>
    <cellStyle name="常规 5 2 4 2 3 9" xfId="19139"/>
    <cellStyle name="常规 5 2 4 2 4" xfId="11732"/>
    <cellStyle name="常规 5 2 4 2 4 2" xfId="11737"/>
    <cellStyle name="常规 5 2 4 2 4 2 2" xfId="23855"/>
    <cellStyle name="常规 5 2 4 2 4 2 2 2" xfId="23860"/>
    <cellStyle name="常规 5 2 4 2 4 2 2 2 2" xfId="13943"/>
    <cellStyle name="常规 5 2 4 2 4 2 2 2 2 2" xfId="24875"/>
    <cellStyle name="常规 5 2 4 2 4 2 2 2 2 2 2" xfId="29967"/>
    <cellStyle name="常规 5 2 4 2 4 2 2 2 2 2 2 2" xfId="29968"/>
    <cellStyle name="常规 5 2 4 2 4 2 2 2 2 2 3" xfId="7704"/>
    <cellStyle name="常规 5 2 4 2 4 2 2 2 2 2 4" xfId="7706"/>
    <cellStyle name="常规 5 2 4 2 4 2 2 2 2 3" xfId="29969"/>
    <cellStyle name="常规 5 2 4 2 4 2 2 2 2 3 2" xfId="23817"/>
    <cellStyle name="常规 5 2 4 2 4 2 2 2 2 4" xfId="29970"/>
    <cellStyle name="常规 5 2 4 2 4 2 2 2 2 5" xfId="29971"/>
    <cellStyle name="常规 5 2 4 2 4 2 2 2 3" xfId="13946"/>
    <cellStyle name="常规 5 2 4 2 4 2 2 2 3 2" xfId="29972"/>
    <cellStyle name="常规 5 2 4 2 4 2 2 2 3 2 2" xfId="29973"/>
    <cellStyle name="常规 5 2 4 2 4 2 2 2 3 3" xfId="29974"/>
    <cellStyle name="常规 5 2 4 2 4 2 2 2 3 4" xfId="29975"/>
    <cellStyle name="常规 5 2 4 2 4 2 2 2 4" xfId="24878"/>
    <cellStyle name="常规 5 2 4 2 4 2 2 2 4 2" xfId="29977"/>
    <cellStyle name="常规 5 2 4 2 4 2 2 2 5" xfId="29978"/>
    <cellStyle name="常规 5 2 4 2 4 2 2 2 6" xfId="29774"/>
    <cellStyle name="常规 5 2 4 2 4 2 2 3" xfId="24881"/>
    <cellStyle name="常规 5 2 4 2 4 2 2 3 2" xfId="13976"/>
    <cellStyle name="常规 5 2 4 2 4 2 2 3 2 2" xfId="29980"/>
    <cellStyle name="常规 5 2 4 2 4 2 2 3 2 2 2" xfId="29982"/>
    <cellStyle name="常规 5 2 4 2 4 2 2 3 2 3" xfId="23384"/>
    <cellStyle name="常规 5 2 4 2 4 2 2 3 2 4" xfId="23387"/>
    <cellStyle name="常规 5 2 4 2 4 2 2 3 3" xfId="29043"/>
    <cellStyle name="常规 5 2 4 2 4 2 2 3 3 2" xfId="29985"/>
    <cellStyle name="常规 5 2 4 2 4 2 2 3 4" xfId="29987"/>
    <cellStyle name="常规 5 2 4 2 4 2 2 3 5" xfId="29990"/>
    <cellStyle name="常规 5 2 4 2 4 2 2 4" xfId="24886"/>
    <cellStyle name="常规 5 2 4 2 4 2 2 4 2" xfId="29992"/>
    <cellStyle name="常规 5 2 4 2 4 2 2 4 2 2" xfId="29994"/>
    <cellStyle name="常规 5 2 4 2 4 2 2 4 3" xfId="29997"/>
    <cellStyle name="常规 5 2 4 2 4 2 2 4 4" xfId="29999"/>
    <cellStyle name="常规 5 2 4 2 4 2 2 5" xfId="24891"/>
    <cellStyle name="常规 5 2 4 2 4 2 2 5 2" xfId="8493"/>
    <cellStyle name="常规 5 2 4 2 4 2 2 6" xfId="30000"/>
    <cellStyle name="常规 5 2 4 2 4 2 2 7" xfId="30005"/>
    <cellStyle name="常规 5 2 4 2 4 2 3" xfId="23863"/>
    <cellStyle name="常规 5 2 4 2 4 2 3 2" xfId="25077"/>
    <cellStyle name="常规 5 2 4 2 4 2 3 2 2" xfId="14025"/>
    <cellStyle name="常规 5 2 4 2 4 2 3 2 2 2" xfId="25079"/>
    <cellStyle name="常规 5 2 4 2 4 2 3 2 2 2 2" xfId="5282"/>
    <cellStyle name="常规 5 2 4 2 4 2 3 2 2 3" xfId="16852"/>
    <cellStyle name="常规 5 2 4 2 4 2 3 2 2 4" xfId="16854"/>
    <cellStyle name="常规 5 2 4 2 4 2 3 2 3" xfId="16787"/>
    <cellStyle name="常规 5 2 4 2 4 2 3 2 3 2" xfId="30006"/>
    <cellStyle name="常规 5 2 4 2 4 2 3 2 4" xfId="25081"/>
    <cellStyle name="常规 5 2 4 2 4 2 3 2 5" xfId="30007"/>
    <cellStyle name="常规 5 2 4 2 4 2 3 3" xfId="25084"/>
    <cellStyle name="常规 5 2 4 2 4 2 3 3 2" xfId="25089"/>
    <cellStyle name="常规 5 2 4 2 4 2 3 3 2 2" xfId="30009"/>
    <cellStyle name="常规 5 2 4 2 4 2 3 3 3" xfId="30011"/>
    <cellStyle name="常规 5 2 4 2 4 2 3 3 4" xfId="30012"/>
    <cellStyle name="常规 5 2 4 2 4 2 3 4" xfId="25092"/>
    <cellStyle name="常规 5 2 4 2 4 2 3 4 2" xfId="803"/>
    <cellStyle name="常规 5 2 4 2 4 2 3 5" xfId="25095"/>
    <cellStyle name="常规 5 2 4 2 4 2 3 6" xfId="30013"/>
    <cellStyle name="常规 5 2 4 2 4 2 4" xfId="23865"/>
    <cellStyle name="常规 5 2 4 2 4 2 4 2" xfId="17943"/>
    <cellStyle name="常规 5 2 4 2 4 2 4 2 2" xfId="25184"/>
    <cellStyle name="常规 5 2 4 2 4 2 4 2 2 2" xfId="29434"/>
    <cellStyle name="常规 5 2 4 2 4 2 4 2 3" xfId="30014"/>
    <cellStyle name="常规 5 2 4 2 4 2 4 2 4" xfId="30016"/>
    <cellStyle name="常规 5 2 4 2 4 2 4 3" xfId="17946"/>
    <cellStyle name="常规 5 2 4 2 4 2 4 3 2" xfId="30018"/>
    <cellStyle name="常规 5 2 4 2 4 2 4 4" xfId="25186"/>
    <cellStyle name="常规 5 2 4 2 4 2 4 5" xfId="30020"/>
    <cellStyle name="常规 5 2 4 2 4 2 5" xfId="29381"/>
    <cellStyle name="常规 5 2 4 2 4 2 5 2" xfId="25246"/>
    <cellStyle name="常规 5 2 4 2 4 2 5 2 2" xfId="30021"/>
    <cellStyle name="常规 5 2 4 2 4 2 5 3" xfId="25249"/>
    <cellStyle name="常规 5 2 4 2 4 2 5 4" xfId="15955"/>
    <cellStyle name="常规 5 2 4 2 4 2 6" xfId="26706"/>
    <cellStyle name="常规 5 2 4 2 4 2 6 2" xfId="24663"/>
    <cellStyle name="常规 5 2 4 2 4 2 7" xfId="1026"/>
    <cellStyle name="常规 5 2 4 2 4 2 8" xfId="10057"/>
    <cellStyle name="常规 5 2 4 2 4 3" xfId="29823"/>
    <cellStyle name="常规 5 2 4 2 4 3 2" xfId="23878"/>
    <cellStyle name="常规 5 2 4 2 4 3 2 2" xfId="25446"/>
    <cellStyle name="常规 5 2 4 2 4 3 2 2 2" xfId="14238"/>
    <cellStyle name="常规 5 2 4 2 4 3 2 2 2 2" xfId="30004"/>
    <cellStyle name="常规 5 2 4 2 4 3 2 2 2 2 2" xfId="8688"/>
    <cellStyle name="常规 5 2 4 2 4 3 2 2 2 3" xfId="30023"/>
    <cellStyle name="常规 5 2 4 2 4 3 2 2 2 4" xfId="30025"/>
    <cellStyle name="常规 5 2 4 2 4 3 2 2 3" xfId="14244"/>
    <cellStyle name="常规 5 2 4 2 4 3 2 2 3 2" xfId="30027"/>
    <cellStyle name="常规 5 2 4 2 4 3 2 2 4" xfId="5878"/>
    <cellStyle name="常规 5 2 4 2 4 3 2 2 5" xfId="30028"/>
    <cellStyle name="常规 5 2 4 2 4 3 2 3" xfId="25448"/>
    <cellStyle name="常规 5 2 4 2 4 3 2 3 2" xfId="14263"/>
    <cellStyle name="常规 5 2 4 2 4 3 2 3 2 2" xfId="30032"/>
    <cellStyle name="常规 5 2 4 2 4 3 2 3 3" xfId="30035"/>
    <cellStyle name="常规 5 2 4 2 4 3 2 3 4" xfId="30037"/>
    <cellStyle name="常规 5 2 4 2 4 3 2 4" xfId="25454"/>
    <cellStyle name="常规 5 2 4 2 4 3 2 4 2" xfId="30039"/>
    <cellStyle name="常规 5 2 4 2 4 3 2 5" xfId="30040"/>
    <cellStyle name="常规 5 2 4 2 4 3 2 6" xfId="30043"/>
    <cellStyle name="常规 5 2 4 2 4 3 3" xfId="23881"/>
    <cellStyle name="常规 5 2 4 2 4 3 3 2" xfId="25512"/>
    <cellStyle name="常规 5 2 4 2 4 3 3 2 2" xfId="9033"/>
    <cellStyle name="常规 5 2 4 2 4 3 3 2 2 2" xfId="30045"/>
    <cellStyle name="常规 5 2 4 2 4 3 3 2 3" xfId="18940"/>
    <cellStyle name="常规 5 2 4 2 4 3 3 2 4" xfId="24522"/>
    <cellStyle name="常规 5 2 4 2 4 3 3 3" xfId="25514"/>
    <cellStyle name="常规 5 2 4 2 4 3 3 3 2" xfId="30047"/>
    <cellStyle name="常规 5 2 4 2 4 3 3 4" xfId="30049"/>
    <cellStyle name="常规 5 2 4 2 4 3 3 5" xfId="30051"/>
    <cellStyle name="常规 5 2 4 2 4 3 4" xfId="30053"/>
    <cellStyle name="常规 5 2 4 2 4 3 4 2" xfId="25545"/>
    <cellStyle name="常规 5 2 4 2 4 3 4 2 2" xfId="30055"/>
    <cellStyle name="常规 5 2 4 2 4 3 4 3" xfId="30056"/>
    <cellStyle name="常规 5 2 4 2 4 3 4 4" xfId="30057"/>
    <cellStyle name="常规 5 2 4 2 4 3 5" xfId="29385"/>
    <cellStyle name="常规 5 2 4 2 4 3 5 2" xfId="30058"/>
    <cellStyle name="常规 5 2 4 2 4 3 6" xfId="26717"/>
    <cellStyle name="常规 5 2 4 2 4 3 7" xfId="10063"/>
    <cellStyle name="常规 5 2 4 2 4 4" xfId="29825"/>
    <cellStyle name="常规 5 2 4 2 4 4 2" xfId="23888"/>
    <cellStyle name="常规 5 2 4 2 4 4 2 2" xfId="25721"/>
    <cellStyle name="常规 5 2 4 2 4 4 2 2 2" xfId="14416"/>
    <cellStyle name="常规 5 2 4 2 4 4 2 2 2 2" xfId="30062"/>
    <cellStyle name="常规 5 2 4 2 4 4 2 2 3" xfId="30067"/>
    <cellStyle name="常规 5 2 4 2 4 4 2 2 4" xfId="30071"/>
    <cellStyle name="常规 5 2 4 2 4 4 2 3" xfId="25724"/>
    <cellStyle name="常规 5 2 4 2 4 4 2 3 2" xfId="30074"/>
    <cellStyle name="常规 5 2 4 2 4 4 2 4" xfId="2268"/>
    <cellStyle name="常规 5 2 4 2 4 4 2 5" xfId="30076"/>
    <cellStyle name="常规 5 2 4 2 4 4 3" xfId="5569"/>
    <cellStyle name="常规 5 2 4 2 4 4 3 2" xfId="5576"/>
    <cellStyle name="常规 5 2 4 2 4 4 3 2 2" xfId="3758"/>
    <cellStyle name="常规 5 2 4 2 4 4 3 3" xfId="5585"/>
    <cellStyle name="常规 5 2 4 2 4 4 3 4" xfId="5591"/>
    <cellStyle name="常规 5 2 4 2 4 4 4" xfId="5595"/>
    <cellStyle name="常规 5 2 4 2 4 4 4 2" xfId="5600"/>
    <cellStyle name="常规 5 2 4 2 4 4 5" xfId="4947"/>
    <cellStyle name="常规 5 2 4 2 4 4 6" xfId="4959"/>
    <cellStyle name="常规 5 2 4 2 4 5" xfId="30077"/>
    <cellStyle name="常规 5 2 4 2 4 5 2" xfId="30079"/>
    <cellStyle name="常规 5 2 4 2 4 5 2 2" xfId="25806"/>
    <cellStyle name="常规 5 2 4 2 4 5 2 2 2" xfId="572"/>
    <cellStyle name="常规 5 2 4 2 4 5 2 3" xfId="25809"/>
    <cellStyle name="常规 5 2 4 2 4 5 2 4" xfId="30081"/>
    <cellStyle name="常规 5 2 4 2 4 5 3" xfId="5637"/>
    <cellStyle name="常规 5 2 4 2 4 5 3 2" xfId="5643"/>
    <cellStyle name="常规 5 2 4 2 4 5 4" xfId="5649"/>
    <cellStyle name="常规 5 2 4 2 4 5 5" xfId="4978"/>
    <cellStyle name="常规 5 2 4 2 4 6" xfId="30082"/>
    <cellStyle name="常规 5 2 4 2 4 6 2" xfId="30084"/>
    <cellStyle name="常规 5 2 4 2 4 6 2 2" xfId="25860"/>
    <cellStyle name="常规 5 2 4 2 4 6 3" xfId="5664"/>
    <cellStyle name="常规 5 2 4 2 4 6 4" xfId="30086"/>
    <cellStyle name="常规 5 2 4 2 4 7" xfId="19143"/>
    <cellStyle name="常规 5 2 4 2 4 7 2" xfId="30088"/>
    <cellStyle name="常规 5 2 4 2 4 8" xfId="30089"/>
    <cellStyle name="常规 5 2 4 2 4 9" xfId="30090"/>
    <cellStyle name="常规 5 2 4 2 5" xfId="11744"/>
    <cellStyle name="常规 5 2 4 2 5 2" xfId="13039"/>
    <cellStyle name="常规 5 2 4 2 5 2 2" xfId="13044"/>
    <cellStyle name="常规 5 2 4 2 5 2 2 2" xfId="13049"/>
    <cellStyle name="常规 5 2 4 2 5 2 2 2 2" xfId="13053"/>
    <cellStyle name="常规 5 2 4 2 5 2 2 2 2 2" xfId="30091"/>
    <cellStyle name="常规 5 2 4 2 5 2 2 2 2 2 2" xfId="30092"/>
    <cellStyle name="常规 5 2 4 2 5 2 2 2 2 3" xfId="2281"/>
    <cellStyle name="常规 5 2 4 2 5 2 2 2 2 4" xfId="3837"/>
    <cellStyle name="常规 5 2 4 2 5 2 2 2 3" xfId="14952"/>
    <cellStyle name="常规 5 2 4 2 5 2 2 2 3 2" xfId="30093"/>
    <cellStyle name="常规 5 2 4 2 5 2 2 2 4" xfId="22985"/>
    <cellStyle name="常规 5 2 4 2 5 2 2 2 5" xfId="22987"/>
    <cellStyle name="常规 5 2 4 2 5 2 2 3" xfId="13057"/>
    <cellStyle name="常规 5 2 4 2 5 2 2 3 2" xfId="14968"/>
    <cellStyle name="常规 5 2 4 2 5 2 2 3 2 2" xfId="26907"/>
    <cellStyle name="常规 5 2 4 2 5 2 2 3 3" xfId="30094"/>
    <cellStyle name="常规 5 2 4 2 5 2 2 3 4" xfId="22992"/>
    <cellStyle name="常规 5 2 4 2 5 2 2 4" xfId="13065"/>
    <cellStyle name="常规 5 2 4 2 5 2 2 4 2" xfId="30099"/>
    <cellStyle name="常规 5 2 4 2 5 2 2 5" xfId="30100"/>
    <cellStyle name="常规 5 2 4 2 5 2 2 6" xfId="30104"/>
    <cellStyle name="常规 5 2 4 2 5 2 3" xfId="13071"/>
    <cellStyle name="常规 5 2 4 2 5 2 3 2" xfId="13075"/>
    <cellStyle name="常规 5 2 4 2 5 2 3 2 2" xfId="14991"/>
    <cellStyle name="常规 5 2 4 2 5 2 3 2 2 2" xfId="30105"/>
    <cellStyle name="常规 5 2 4 2 5 2 3 2 3" xfId="30106"/>
    <cellStyle name="常规 5 2 4 2 5 2 3 2 4" xfId="23038"/>
    <cellStyle name="常规 5 2 4 2 5 2 3 3" xfId="26080"/>
    <cellStyle name="常规 5 2 4 2 5 2 3 3 2" xfId="30108"/>
    <cellStyle name="常规 5 2 4 2 5 2 3 4" xfId="30111"/>
    <cellStyle name="常规 5 2 4 2 5 2 3 5" xfId="30113"/>
    <cellStyle name="常规 5 2 4 2 5 2 4" xfId="13078"/>
    <cellStyle name="常规 5 2 4 2 5 2 4 2" xfId="26111"/>
    <cellStyle name="常规 5 2 4 2 5 2 4 2 2" xfId="30114"/>
    <cellStyle name="常规 5 2 4 2 5 2 4 3" xfId="30117"/>
    <cellStyle name="常规 5 2 4 2 5 2 4 4" xfId="30118"/>
    <cellStyle name="常规 5 2 4 2 5 2 5" xfId="13080"/>
    <cellStyle name="常规 5 2 4 2 5 2 5 2" xfId="30119"/>
    <cellStyle name="常规 5 2 4 2 5 2 6" xfId="26730"/>
    <cellStyle name="常规 5 2 4 2 5 2 7" xfId="10111"/>
    <cellStyle name="常规 5 2 4 2 5 3" xfId="30121"/>
    <cellStyle name="常规 5 2 4 2 5 3 2" xfId="23908"/>
    <cellStyle name="常规 5 2 4 2 5 3 2 2" xfId="26228"/>
    <cellStyle name="常规 5 2 4 2 5 3 2 2 2" xfId="15079"/>
    <cellStyle name="常规 5 2 4 2 5 3 2 2 2 2" xfId="30123"/>
    <cellStyle name="常规 5 2 4 2 5 3 2 2 3" xfId="30125"/>
    <cellStyle name="常规 5 2 4 2 5 3 2 2 4" xfId="23176"/>
    <cellStyle name="常规 5 2 4 2 5 3 2 3" xfId="26230"/>
    <cellStyle name="常规 5 2 4 2 5 3 2 3 2" xfId="30128"/>
    <cellStyle name="常规 5 2 4 2 5 3 2 4" xfId="26238"/>
    <cellStyle name="常规 5 2 4 2 5 3 2 5" xfId="30131"/>
    <cellStyle name="常规 5 2 4 2 5 3 3" xfId="30133"/>
    <cellStyle name="常规 5 2 4 2 5 3 3 2" xfId="26275"/>
    <cellStyle name="常规 5 2 4 2 5 3 3 2 2" xfId="30135"/>
    <cellStyle name="常规 5 2 4 2 5 3 3 3" xfId="26279"/>
    <cellStyle name="常规 5 2 4 2 5 3 3 4" xfId="30136"/>
    <cellStyle name="常规 5 2 4 2 5 3 4" xfId="30138"/>
    <cellStyle name="常规 5 2 4 2 5 3 4 2" xfId="26298"/>
    <cellStyle name="常规 5 2 4 2 5 3 5" xfId="30140"/>
    <cellStyle name="常规 5 2 4 2 5 3 6" xfId="30141"/>
    <cellStyle name="常规 5 2 4 2 5 4" xfId="30143"/>
    <cellStyle name="常规 5 2 4 2 5 4 2" xfId="30145"/>
    <cellStyle name="常规 5 2 4 2 5 4 2 2" xfId="26398"/>
    <cellStyle name="常规 5 2 4 2 5 4 2 2 2" xfId="30148"/>
    <cellStyle name="常规 5 2 4 2 5 4 2 3" xfId="26403"/>
    <cellStyle name="常规 5 2 4 2 5 4 2 4" xfId="10766"/>
    <cellStyle name="常规 5 2 4 2 5 4 3" xfId="5746"/>
    <cellStyle name="常规 5 2 4 2 5 4 3 2" xfId="5754"/>
    <cellStyle name="常规 5 2 4 2 5 4 4" xfId="5761"/>
    <cellStyle name="常规 5 2 4 2 5 4 5" xfId="74"/>
    <cellStyle name="常规 5 2 4 2 5 5" xfId="30149"/>
    <cellStyle name="常规 5 2 4 2 5 5 2" xfId="30151"/>
    <cellStyle name="常规 5 2 4 2 5 5 2 2" xfId="26479"/>
    <cellStyle name="常规 5 2 4 2 5 5 3" xfId="5781"/>
    <cellStyle name="常规 5 2 4 2 5 5 4" xfId="30152"/>
    <cellStyle name="常规 5 2 4 2 5 6" xfId="30153"/>
    <cellStyle name="常规 5 2 4 2 5 6 2" xfId="30155"/>
    <cellStyle name="常规 5 2 4 2 5 7" xfId="30157"/>
    <cellStyle name="常规 5 2 4 2 5 8" xfId="30159"/>
    <cellStyle name="常规 5 2 4 2 6" xfId="11750"/>
    <cellStyle name="常规 5 2 4 2 6 2" xfId="14616"/>
    <cellStyle name="常规 5 2 4 2 6 2 2" xfId="14620"/>
    <cellStyle name="常规 5 2 4 2 6 2 2 2" xfId="14625"/>
    <cellStyle name="常规 5 2 4 2 6 2 2 2 2" xfId="15550"/>
    <cellStyle name="常规 5 2 4 2 6 2 2 2 2 2" xfId="30161"/>
    <cellStyle name="常规 5 2 4 2 6 2 2 2 3" xfId="30162"/>
    <cellStyle name="常规 5 2 4 2 6 2 2 2 4" xfId="24132"/>
    <cellStyle name="常规 5 2 4 2 6 2 2 3" xfId="26634"/>
    <cellStyle name="常规 5 2 4 2 6 2 2 3 2" xfId="27282"/>
    <cellStyle name="常规 5 2 4 2 6 2 2 4" xfId="27287"/>
    <cellStyle name="常规 5 2 4 2 6 2 2 5" xfId="27292"/>
    <cellStyle name="常规 5 2 4 2 6 2 3" xfId="1664"/>
    <cellStyle name="常规 5 2 4 2 6 2 3 2" xfId="26699"/>
    <cellStyle name="常规 5 2 4 2 6 2 3 2 2" xfId="30163"/>
    <cellStyle name="常规 5 2 4 2 6 2 3 3" xfId="27303"/>
    <cellStyle name="常规 5 2 4 2 6 2 3 4" xfId="29554"/>
    <cellStyle name="常规 5 2 4 2 6 2 4" xfId="1671"/>
    <cellStyle name="常规 5 2 4 2 6 2 4 2" xfId="13085"/>
    <cellStyle name="常规 5 2 4 2 6 2 5" xfId="1686"/>
    <cellStyle name="常规 5 2 4 2 6 2 6" xfId="25111"/>
    <cellStyle name="常规 5 2 4 2 6 3" xfId="30164"/>
    <cellStyle name="常规 5 2 4 2 6 3 2" xfId="21161"/>
    <cellStyle name="常规 5 2 4 2 6 3 2 2" xfId="21167"/>
    <cellStyle name="常规 5 2 4 2 6 3 2 2 2" xfId="21170"/>
    <cellStyle name="常规 5 2 4 2 6 3 2 3" xfId="21176"/>
    <cellStyle name="常规 5 2 4 2 6 3 2 4" xfId="21179"/>
    <cellStyle name="常规 5 2 4 2 6 3 3" xfId="21183"/>
    <cellStyle name="常规 5 2 4 2 6 3 3 2" xfId="21185"/>
    <cellStyle name="常规 5 2 4 2 6 3 4" xfId="21188"/>
    <cellStyle name="常规 5 2 4 2 6 3 5" xfId="21190"/>
    <cellStyle name="常规 5 2 4 2 6 4" xfId="30165"/>
    <cellStyle name="常规 5 2 4 2 6 4 2" xfId="30168"/>
    <cellStyle name="常规 5 2 4 2 6 4 2 2" xfId="30171"/>
    <cellStyle name="常规 5 2 4 2 6 4 3" xfId="5817"/>
    <cellStyle name="常规 5 2 4 2 6 4 4" xfId="16282"/>
    <cellStyle name="常规 5 2 4 2 6 5" xfId="30172"/>
    <cellStyle name="常规 5 2 4 2 6 5 2" xfId="30174"/>
    <cellStyle name="常规 5 2 4 2 6 6" xfId="30175"/>
    <cellStyle name="常规 5 2 4 2 6 7" xfId="30177"/>
    <cellStyle name="常规 5 2 4 2 7" xfId="29828"/>
    <cellStyle name="常规 5 2 4 2 7 2" xfId="15217"/>
    <cellStyle name="常规 5 2 4 2 7 2 2" xfId="15219"/>
    <cellStyle name="常规 5 2 4 2 7 2 2 2" xfId="27007"/>
    <cellStyle name="常规 5 2 4 2 7 2 2 2 2" xfId="29449"/>
    <cellStyle name="常规 5 2 4 2 7 2 2 3" xfId="27014"/>
    <cellStyle name="常规 5 2 4 2 7 2 2 4" xfId="29451"/>
    <cellStyle name="常规 5 2 4 2 7 2 3" xfId="30178"/>
    <cellStyle name="常规 5 2 4 2 7 2 3 2" xfId="27041"/>
    <cellStyle name="常规 5 2 4 2 7 2 4" xfId="30179"/>
    <cellStyle name="常规 5 2 4 2 7 2 5" xfId="21319"/>
    <cellStyle name="常规 5 2 4 2 7 3" xfId="30180"/>
    <cellStyle name="常规 5 2 4 2 7 3 2" xfId="30182"/>
    <cellStyle name="常规 5 2 4 2 7 3 2 2" xfId="27127"/>
    <cellStyle name="常规 5 2 4 2 7 3 3" xfId="30184"/>
    <cellStyle name="常规 5 2 4 2 7 3 4" xfId="30185"/>
    <cellStyle name="常规 5 2 4 2 7 4" xfId="30186"/>
    <cellStyle name="常规 5 2 4 2 7 4 2" xfId="30188"/>
    <cellStyle name="常规 5 2 4 2 7 5" xfId="30189"/>
    <cellStyle name="常规 5 2 4 2 7 6" xfId="30190"/>
    <cellStyle name="常规 5 2 4 2 8" xfId="29719"/>
    <cellStyle name="常规 5 2 4 2 8 2" xfId="15706"/>
    <cellStyle name="常规 5 2 4 2 8 2 2" xfId="30191"/>
    <cellStyle name="常规 5 2 4 2 8 2 2 2" xfId="27315"/>
    <cellStyle name="常规 5 2 4 2 8 2 3" xfId="30192"/>
    <cellStyle name="常规 5 2 4 2 8 2 4" xfId="30193"/>
    <cellStyle name="常规 5 2 4 2 8 3" xfId="30194"/>
    <cellStyle name="常规 5 2 4 2 8 3 2" xfId="30195"/>
    <cellStyle name="常规 5 2 4 2 8 4" xfId="30196"/>
    <cellStyle name="常规 5 2 4 2 8 5" xfId="30197"/>
    <cellStyle name="常规 5 2 4 2 9" xfId="30198"/>
    <cellStyle name="常规 5 2 4 2 9 2" xfId="30199"/>
    <cellStyle name="常规 5 2 4 2 9 2 2" xfId="30200"/>
    <cellStyle name="常规 5 2 4 2 9 3" xfId="30201"/>
    <cellStyle name="常规 5 2 4 2 9 4" xfId="30202"/>
    <cellStyle name="常规 5 2 4 3" xfId="30203"/>
    <cellStyle name="常规 5 2 4 3 10" xfId="30204"/>
    <cellStyle name="常规 5 2 4 3 11" xfId="30205"/>
    <cellStyle name="常规 5 2 4 3 2" xfId="11759"/>
    <cellStyle name="常规 5 2 4 3 2 2" xfId="11761"/>
    <cellStyle name="常规 5 2 4 3 2 2 2" xfId="11764"/>
    <cellStyle name="常规 5 2 4 3 2 2 2 2" xfId="10015"/>
    <cellStyle name="常规 5 2 4 3 2 2 2 2 2" xfId="30206"/>
    <cellStyle name="常规 5 2 4 3 2 2 2 2 2 2" xfId="8773"/>
    <cellStyle name="常规 5 2 4 3 2 2 2 2 2 2 2" xfId="30207"/>
    <cellStyle name="常规 5 2 4 3 2 2 2 2 2 2 2 2" xfId="10201"/>
    <cellStyle name="常规 5 2 4 3 2 2 2 2 2 2 3" xfId="30208"/>
    <cellStyle name="常规 5 2 4 3 2 2 2 2 2 2 4" xfId="30209"/>
    <cellStyle name="常规 5 2 4 3 2 2 2 2 2 3" xfId="30210"/>
    <cellStyle name="常规 5 2 4 3 2 2 2 2 2 3 2" xfId="30211"/>
    <cellStyle name="常规 5 2 4 3 2 2 2 2 2 4" xfId="30212"/>
    <cellStyle name="常规 5 2 4 3 2 2 2 2 2 5" xfId="30213"/>
    <cellStyle name="常规 5 2 4 3 2 2 2 2 3" xfId="30214"/>
    <cellStyle name="常规 5 2 4 3 2 2 2 2 3 2" xfId="4539"/>
    <cellStyle name="常规 5 2 4 3 2 2 2 2 3 2 2" xfId="30215"/>
    <cellStyle name="常规 5 2 4 3 2 2 2 2 3 3" xfId="4541"/>
    <cellStyle name="常规 5 2 4 3 2 2 2 2 3 4" xfId="30216"/>
    <cellStyle name="常规 5 2 4 3 2 2 2 2 4" xfId="30217"/>
    <cellStyle name="常规 5 2 4 3 2 2 2 2 4 2" xfId="30220"/>
    <cellStyle name="常规 5 2 4 3 2 2 2 2 5" xfId="30222"/>
    <cellStyle name="常规 5 2 4 3 2 2 2 2 6" xfId="29905"/>
    <cellStyle name="常规 5 2 4 3 2 2 2 3" xfId="1353"/>
    <cellStyle name="常规 5 2 4 3 2 2 2 3 2" xfId="30224"/>
    <cellStyle name="常规 5 2 4 3 2 2 2 3 2 2" xfId="30226"/>
    <cellStyle name="常规 5 2 4 3 2 2 2 3 2 2 2" xfId="4073"/>
    <cellStyle name="常规 5 2 4 3 2 2 2 3 2 3" xfId="30228"/>
    <cellStyle name="常规 5 2 4 3 2 2 2 3 2 4" xfId="30230"/>
    <cellStyle name="常规 5 2 4 3 2 2 2 3 3" xfId="30232"/>
    <cellStyle name="常规 5 2 4 3 2 2 2 3 3 2" xfId="30234"/>
    <cellStyle name="常规 5 2 4 3 2 2 2 3 4" xfId="30236"/>
    <cellStyle name="常规 5 2 4 3 2 2 2 3 5" xfId="30238"/>
    <cellStyle name="常规 5 2 4 3 2 2 2 4" xfId="30239"/>
    <cellStyle name="常规 5 2 4 3 2 2 2 4 2" xfId="17299"/>
    <cellStyle name="常规 5 2 4 3 2 2 2 4 2 2" xfId="30241"/>
    <cellStyle name="常规 5 2 4 3 2 2 2 4 3" xfId="30243"/>
    <cellStyle name="常规 5 2 4 3 2 2 2 4 4" xfId="30247"/>
    <cellStyle name="常规 5 2 4 3 2 2 2 5" xfId="30248"/>
    <cellStyle name="常规 5 2 4 3 2 2 2 5 2" xfId="30250"/>
    <cellStyle name="常规 5 2 4 3 2 2 2 6" xfId="30252"/>
    <cellStyle name="常规 5 2 4 3 2 2 2 7" xfId="30254"/>
    <cellStyle name="常规 5 2 4 3 2 2 3" xfId="18159"/>
    <cellStyle name="常规 5 2 4 3 2 2 3 2" xfId="30255"/>
    <cellStyle name="常规 5 2 4 3 2 2 3 2 2" xfId="30256"/>
    <cellStyle name="常规 5 2 4 3 2 2 3 2 2 2" xfId="30258"/>
    <cellStyle name="常规 5 2 4 3 2 2 3 2 2 2 2" xfId="30259"/>
    <cellStyle name="常规 5 2 4 3 2 2 3 2 2 3" xfId="30260"/>
    <cellStyle name="常规 5 2 4 3 2 2 3 2 2 4" xfId="30261"/>
    <cellStyle name="常规 5 2 4 3 2 2 3 2 3" xfId="30262"/>
    <cellStyle name="常规 5 2 4 3 2 2 3 2 3 2" xfId="30263"/>
    <cellStyle name="常规 5 2 4 3 2 2 3 2 4" xfId="30264"/>
    <cellStyle name="常规 5 2 4 3 2 2 3 2 5" xfId="3047"/>
    <cellStyle name="常规 5 2 4 3 2 2 3 3" xfId="30265"/>
    <cellStyle name="常规 5 2 4 3 2 2 3 3 2" xfId="30267"/>
    <cellStyle name="常规 5 2 4 3 2 2 3 3 2 2" xfId="30269"/>
    <cellStyle name="常规 5 2 4 3 2 2 3 3 3" xfId="30271"/>
    <cellStyle name="常规 5 2 4 3 2 2 3 3 4" xfId="30273"/>
    <cellStyle name="常规 5 2 4 3 2 2 3 4" xfId="30274"/>
    <cellStyle name="常规 5 2 4 3 2 2 3 4 2" xfId="30276"/>
    <cellStyle name="常规 5 2 4 3 2 2 3 5" xfId="30277"/>
    <cellStyle name="常规 5 2 4 3 2 2 3 6" xfId="30279"/>
    <cellStyle name="常规 5 2 4 3 2 2 4" xfId="18161"/>
    <cellStyle name="常规 5 2 4 3 2 2 4 2" xfId="30280"/>
    <cellStyle name="常规 5 2 4 3 2 2 4 2 2" xfId="30281"/>
    <cellStyle name="常规 5 2 4 3 2 2 4 2 2 2" xfId="20901"/>
    <cellStyle name="常规 5 2 4 3 2 2 4 2 3" xfId="5812"/>
    <cellStyle name="常规 5 2 4 3 2 2 4 2 4" xfId="30283"/>
    <cellStyle name="常规 5 2 4 3 2 2 4 3" xfId="30284"/>
    <cellStyle name="常规 5 2 4 3 2 2 4 3 2" xfId="30286"/>
    <cellStyle name="常规 5 2 4 3 2 2 4 4" xfId="30287"/>
    <cellStyle name="常规 5 2 4 3 2 2 4 5" xfId="30288"/>
    <cellStyle name="常规 5 2 4 3 2 2 5" xfId="30289"/>
    <cellStyle name="常规 5 2 4 3 2 2 5 2" xfId="30290"/>
    <cellStyle name="常规 5 2 4 3 2 2 5 2 2" xfId="30291"/>
    <cellStyle name="常规 5 2 4 3 2 2 5 3" xfId="30292"/>
    <cellStyle name="常规 5 2 4 3 2 2 5 4" xfId="19205"/>
    <cellStyle name="常规 5 2 4 3 2 2 6" xfId="26743"/>
    <cellStyle name="常规 5 2 4 3 2 2 6 2" xfId="240"/>
    <cellStyle name="常规 5 2 4 3 2 2 7" xfId="26750"/>
    <cellStyle name="常规 5 2 4 3 2 2 8" xfId="26755"/>
    <cellStyle name="常规 5 2 4 3 2 3" xfId="11670"/>
    <cellStyle name="常规 5 2 4 3 2 3 2" xfId="11675"/>
    <cellStyle name="常规 5 2 4 3 2 3 2 2" xfId="30294"/>
    <cellStyle name="常规 5 2 4 3 2 3 2 2 2" xfId="30296"/>
    <cellStyle name="常规 5 2 4 3 2 3 2 2 2 2" xfId="30298"/>
    <cellStyle name="常规 5 2 4 3 2 3 2 2 2 2 2" xfId="30300"/>
    <cellStyle name="常规 5 2 4 3 2 3 2 2 2 3" xfId="30302"/>
    <cellStyle name="常规 5 2 4 3 2 3 2 2 2 4" xfId="30304"/>
    <cellStyle name="常规 5 2 4 3 2 3 2 2 3" xfId="30306"/>
    <cellStyle name="常规 5 2 4 3 2 3 2 2 3 2" xfId="4856"/>
    <cellStyle name="常规 5 2 4 3 2 3 2 2 4" xfId="20763"/>
    <cellStyle name="常规 5 2 4 3 2 3 2 2 5" xfId="20774"/>
    <cellStyle name="常规 5 2 4 3 2 3 2 3" xfId="30308"/>
    <cellStyle name="常规 5 2 4 3 2 3 2 3 2" xfId="30311"/>
    <cellStyle name="常规 5 2 4 3 2 3 2 3 2 2" xfId="17527"/>
    <cellStyle name="常规 5 2 4 3 2 3 2 3 3" xfId="30314"/>
    <cellStyle name="常规 5 2 4 3 2 3 2 3 4" xfId="20782"/>
    <cellStyle name="常规 5 2 4 3 2 3 2 4" xfId="30316"/>
    <cellStyle name="常规 5 2 4 3 2 3 2 4 2" xfId="30320"/>
    <cellStyle name="常规 5 2 4 3 2 3 2 5" xfId="30323"/>
    <cellStyle name="常规 5 2 4 3 2 3 2 6" xfId="27178"/>
    <cellStyle name="常规 5 2 4 3 2 3 3" xfId="18200"/>
    <cellStyle name="常规 5 2 4 3 2 3 3 2" xfId="30325"/>
    <cellStyle name="常规 5 2 4 3 2 3 3 2 2" xfId="20220"/>
    <cellStyle name="常规 5 2 4 3 2 3 3 2 2 2" xfId="20225"/>
    <cellStyle name="常规 5 2 4 3 2 3 3 2 3" xfId="20228"/>
    <cellStyle name="常规 5 2 4 3 2 3 3 2 4" xfId="20231"/>
    <cellStyle name="常规 5 2 4 3 2 3 3 3" xfId="30327"/>
    <cellStyle name="常规 5 2 4 3 2 3 3 3 2" xfId="20243"/>
    <cellStyle name="常规 5 2 4 3 2 3 3 4" xfId="30329"/>
    <cellStyle name="常规 5 2 4 3 2 3 3 5" xfId="30332"/>
    <cellStyle name="常规 5 2 4 3 2 3 4" xfId="30334"/>
    <cellStyle name="常规 5 2 4 3 2 3 4 2" xfId="30336"/>
    <cellStyle name="常规 5 2 4 3 2 3 4 2 2" xfId="20426"/>
    <cellStyle name="常规 5 2 4 3 2 3 4 3" xfId="30338"/>
    <cellStyle name="常规 5 2 4 3 2 3 4 4" xfId="30342"/>
    <cellStyle name="常规 5 2 4 3 2 3 5" xfId="30344"/>
    <cellStyle name="常规 5 2 4 3 2 3 5 2" xfId="30346"/>
    <cellStyle name="常规 5 2 4 3 2 3 6" xfId="26761"/>
    <cellStyle name="常规 5 2 4 3 2 3 7" xfId="26770"/>
    <cellStyle name="常规 5 2 4 3 2 4" xfId="11677"/>
    <cellStyle name="常规 5 2 4 3 2 4 2" xfId="18220"/>
    <cellStyle name="常规 5 2 4 3 2 4 2 2" xfId="30348"/>
    <cellStyle name="常规 5 2 4 3 2 4 2 2 2" xfId="30350"/>
    <cellStyle name="常规 5 2 4 3 2 4 2 2 2 2" xfId="30245"/>
    <cellStyle name="常规 5 2 4 3 2 4 2 2 3" xfId="30352"/>
    <cellStyle name="常规 5 2 4 3 2 4 2 2 4" xfId="20882"/>
    <cellStyle name="常规 5 2 4 3 2 4 2 3" xfId="30354"/>
    <cellStyle name="常规 5 2 4 3 2 4 2 3 2" xfId="30357"/>
    <cellStyle name="常规 5 2 4 3 2 4 2 4" xfId="30359"/>
    <cellStyle name="常规 5 2 4 3 2 4 2 5" xfId="30362"/>
    <cellStyle name="常规 5 2 4 3 2 4 3" xfId="30364"/>
    <cellStyle name="常规 5 2 4 3 2 4 3 2" xfId="30366"/>
    <cellStyle name="常规 5 2 4 3 2 4 3 2 2" xfId="20789"/>
    <cellStyle name="常规 5 2 4 3 2 4 3 3" xfId="30368"/>
    <cellStyle name="常规 5 2 4 3 2 4 3 4" xfId="30370"/>
    <cellStyle name="常规 5 2 4 3 2 4 4" xfId="30372"/>
    <cellStyle name="常规 5 2 4 3 2 4 4 2" xfId="30374"/>
    <cellStyle name="常规 5 2 4 3 2 4 5" xfId="30376"/>
    <cellStyle name="常规 5 2 4 3 2 4 6" xfId="26778"/>
    <cellStyle name="常规 5 2 4 3 2 5" xfId="10736"/>
    <cellStyle name="常规 5 2 4 3 2 5 2" xfId="30378"/>
    <cellStyle name="常规 5 2 4 3 2 5 2 2" xfId="30380"/>
    <cellStyle name="常规 5 2 4 3 2 5 2 2 2" xfId="30382"/>
    <cellStyle name="常规 5 2 4 3 2 5 2 3" xfId="30384"/>
    <cellStyle name="常规 5 2 4 3 2 5 2 4" xfId="30387"/>
    <cellStyle name="常规 5 2 4 3 2 5 3" xfId="30389"/>
    <cellStyle name="常规 5 2 4 3 2 5 3 2" xfId="30391"/>
    <cellStyle name="常规 5 2 4 3 2 5 4" xfId="30393"/>
    <cellStyle name="常规 5 2 4 3 2 5 5" xfId="30395"/>
    <cellStyle name="常规 5 2 4 3 2 6" xfId="30396"/>
    <cellStyle name="常规 5 2 4 3 2 6 2" xfId="30398"/>
    <cellStyle name="常规 5 2 4 3 2 6 2 2" xfId="30400"/>
    <cellStyle name="常规 5 2 4 3 2 6 3" xfId="15621"/>
    <cellStyle name="常规 5 2 4 3 2 6 4" xfId="15625"/>
    <cellStyle name="常规 5 2 4 3 2 7" xfId="19152"/>
    <cellStyle name="常规 5 2 4 3 2 7 2" xfId="19157"/>
    <cellStyle name="常规 5 2 4 3 2 8" xfId="19160"/>
    <cellStyle name="常规 5 2 4 3 2 9" xfId="19163"/>
    <cellStyle name="常规 5 2 4 3 3" xfId="11767"/>
    <cellStyle name="常规 5 2 4 3 3 2" xfId="3462"/>
    <cellStyle name="常规 5 2 4 3 3 2 2" xfId="13550"/>
    <cellStyle name="常规 5 2 4 3 3 2 2 2" xfId="18383"/>
    <cellStyle name="常规 5 2 4 3 3 2 2 2 2" xfId="23914"/>
    <cellStyle name="常规 5 2 4 3 3 2 2 2 2 2" xfId="23917"/>
    <cellStyle name="常规 5 2 4 3 3 2 2 2 2 2 2" xfId="23919"/>
    <cellStyle name="常规 5 2 4 3 3 2 2 2 2 2 2 2" xfId="19146"/>
    <cellStyle name="常规 5 2 4 3 3 2 2 2 2 2 3" xfId="23921"/>
    <cellStyle name="常规 5 2 4 3 3 2 2 2 2 2 4" xfId="14619"/>
    <cellStyle name="常规 5 2 4 3 3 2 2 2 2 3" xfId="23923"/>
    <cellStyle name="常规 5 2 4 3 3 2 2 2 2 3 2" xfId="23925"/>
    <cellStyle name="常规 5 2 4 3 3 2 2 2 2 4" xfId="23927"/>
    <cellStyle name="常规 5 2 4 3 3 2 2 2 2 5" xfId="23929"/>
    <cellStyle name="常规 5 2 4 3 3 2 2 2 3" xfId="23931"/>
    <cellStyle name="常规 5 2 4 3 3 2 2 2 3 2" xfId="23933"/>
    <cellStyle name="常规 5 2 4 3 3 2 2 2 3 2 2" xfId="23935"/>
    <cellStyle name="常规 5 2 4 3 3 2 2 2 3 3" xfId="23937"/>
    <cellStyle name="常规 5 2 4 3 3 2 2 2 3 4" xfId="23941"/>
    <cellStyle name="常规 5 2 4 3 3 2 2 2 4" xfId="23943"/>
    <cellStyle name="常规 5 2 4 3 3 2 2 2 4 2" xfId="23948"/>
    <cellStyle name="常规 5 2 4 3 3 2 2 2 5" xfId="23950"/>
    <cellStyle name="常规 5 2 4 3 3 2 2 2 6" xfId="9678"/>
    <cellStyle name="常规 5 2 4 3 3 2 2 3" xfId="30401"/>
    <cellStyle name="常规 5 2 4 3 3 2 2 3 2" xfId="23979"/>
    <cellStyle name="常规 5 2 4 3 3 2 2 3 2 2" xfId="23981"/>
    <cellStyle name="常规 5 2 4 3 3 2 2 3 2 2 2" xfId="18727"/>
    <cellStyle name="常规 5 2 4 3 3 2 2 3 2 3" xfId="23983"/>
    <cellStyle name="常规 5 2 4 3 3 2 2 3 2 4" xfId="23985"/>
    <cellStyle name="常规 5 2 4 3 3 2 2 3 3" xfId="23990"/>
    <cellStyle name="常规 5 2 4 3 3 2 2 3 3 2" xfId="23994"/>
    <cellStyle name="常规 5 2 4 3 3 2 2 3 4" xfId="23998"/>
    <cellStyle name="常规 5 2 4 3 3 2 2 3 5" xfId="24002"/>
    <cellStyle name="常规 5 2 4 3 3 2 2 4" xfId="30402"/>
    <cellStyle name="常规 5 2 4 3 3 2 2 4 2" xfId="24012"/>
    <cellStyle name="常规 5 2 4 3 3 2 2 4 2 2" xfId="24014"/>
    <cellStyle name="常规 5 2 4 3 3 2 2 4 3" xfId="24018"/>
    <cellStyle name="常规 5 2 4 3 3 2 2 4 4" xfId="24022"/>
    <cellStyle name="常规 5 2 4 3 3 2 2 5" xfId="30403"/>
    <cellStyle name="常规 5 2 4 3 3 2 2 5 2" xfId="24028"/>
    <cellStyle name="常规 5 2 4 3 3 2 2 6" xfId="30405"/>
    <cellStyle name="常规 5 2 4 3 3 2 2 7" xfId="30407"/>
    <cellStyle name="常规 5 2 4 3 3 2 3" xfId="18385"/>
    <cellStyle name="常规 5 2 4 3 3 2 3 2" xfId="30408"/>
    <cellStyle name="常规 5 2 4 3 3 2 3 2 2" xfId="24115"/>
    <cellStyle name="常规 5 2 4 3 3 2 3 2 2 2" xfId="24117"/>
    <cellStyle name="常规 5 2 4 3 3 2 3 2 2 2 2" xfId="24119"/>
    <cellStyle name="常规 5 2 4 3 3 2 3 2 2 3" xfId="24124"/>
    <cellStyle name="常规 5 2 4 3 3 2 3 2 2 4" xfId="24127"/>
    <cellStyle name="常规 5 2 4 3 3 2 3 2 3" xfId="24130"/>
    <cellStyle name="常规 5 2 4 3 3 2 3 2 3 2" xfId="24133"/>
    <cellStyle name="常规 5 2 4 3 3 2 3 2 4" xfId="24138"/>
    <cellStyle name="常规 5 2 4 3 3 2 3 2 5" xfId="16574"/>
    <cellStyle name="常规 5 2 4 3 3 2 3 3" xfId="30409"/>
    <cellStyle name="常规 5 2 4 3 3 2 3 3 2" xfId="24180"/>
    <cellStyle name="常规 5 2 4 3 3 2 3 3 2 2" xfId="24182"/>
    <cellStyle name="常规 5 2 4 3 3 2 3 3 3" xfId="24186"/>
    <cellStyle name="常规 5 2 4 3 3 2 3 3 4" xfId="24190"/>
    <cellStyle name="常规 5 2 4 3 3 2 3 4" xfId="30410"/>
    <cellStyle name="常规 5 2 4 3 3 2 3 4 2" xfId="24206"/>
    <cellStyle name="常规 5 2 4 3 3 2 3 5" xfId="30411"/>
    <cellStyle name="常规 5 2 4 3 3 2 3 6" xfId="30412"/>
    <cellStyle name="常规 5 2 4 3 3 2 4" xfId="18387"/>
    <cellStyle name="常规 5 2 4 3 3 2 4 2" xfId="18006"/>
    <cellStyle name="常规 5 2 4 3 3 2 4 2 2" xfId="15246"/>
    <cellStyle name="常规 5 2 4 3 3 2 4 2 2 2" xfId="15249"/>
    <cellStyle name="常规 5 2 4 3 3 2 4 2 3" xfId="15253"/>
    <cellStyle name="常规 5 2 4 3 3 2 4 2 4" xfId="15258"/>
    <cellStyle name="常规 5 2 4 3 3 2 4 3" xfId="18008"/>
    <cellStyle name="常规 5 2 4 3 3 2 4 3 2" xfId="15262"/>
    <cellStyle name="常规 5 2 4 3 3 2 4 4" xfId="30413"/>
    <cellStyle name="常规 5 2 4 3 3 2 4 5" xfId="30414"/>
    <cellStyle name="常规 5 2 4 3 3 2 5" xfId="29392"/>
    <cellStyle name="常规 5 2 4 3 3 2 5 2" xfId="29394"/>
    <cellStyle name="常规 5 2 4 3 3 2 5 2 2" xfId="15281"/>
    <cellStyle name="常规 5 2 4 3 3 2 5 3" xfId="30415"/>
    <cellStyle name="常规 5 2 4 3 3 2 5 4" xfId="15976"/>
    <cellStyle name="常规 5 2 4 3 3 2 6" xfId="26785"/>
    <cellStyle name="常规 5 2 4 3 3 2 6 2" xfId="26789"/>
    <cellStyle name="常规 5 2 4 3 3 2 7" xfId="780"/>
    <cellStyle name="常规 5 2 4 3 3 2 8" xfId="823"/>
    <cellStyle name="常规 5 2 4 3 3 3" xfId="11683"/>
    <cellStyle name="常规 5 2 4 3 3 3 2" xfId="18445"/>
    <cellStyle name="常规 5 2 4 3 3 3 2 2" xfId="30417"/>
    <cellStyle name="常规 5 2 4 3 3 3 2 2 2" xfId="30420"/>
    <cellStyle name="常规 5 2 4 3 3 3 2 2 2 2" xfId="30422"/>
    <cellStyle name="常规 5 2 4 3 3 3 2 2 2 2 2" xfId="30423"/>
    <cellStyle name="常规 5 2 4 3 3 3 2 2 2 3" xfId="30424"/>
    <cellStyle name="常规 5 2 4 3 3 3 2 2 2 4" xfId="30425"/>
    <cellStyle name="常规 5 2 4 3 3 3 2 2 3" xfId="30428"/>
    <cellStyle name="常规 5 2 4 3 3 3 2 2 3 2" xfId="30429"/>
    <cellStyle name="常规 5 2 4 3 3 3 2 2 4" xfId="8715"/>
    <cellStyle name="常规 5 2 4 3 3 3 2 2 5" xfId="30430"/>
    <cellStyle name="常规 5 2 4 3 3 3 2 3" xfId="30432"/>
    <cellStyle name="常规 5 2 4 3 3 3 2 3 2" xfId="30437"/>
    <cellStyle name="常规 5 2 4 3 3 3 2 3 2 2" xfId="30438"/>
    <cellStyle name="常规 5 2 4 3 3 3 2 3 3" xfId="28607"/>
    <cellStyle name="常规 5 2 4 3 3 3 2 3 4" xfId="30439"/>
    <cellStyle name="常规 5 2 4 3 3 3 2 4" xfId="30441"/>
    <cellStyle name="常规 5 2 4 3 3 3 2 4 2" xfId="30443"/>
    <cellStyle name="常规 5 2 4 3 3 3 2 5" xfId="30446"/>
    <cellStyle name="常规 5 2 4 3 3 3 2 6" xfId="29538"/>
    <cellStyle name="常规 5 2 4 3 3 3 3" xfId="18448"/>
    <cellStyle name="常规 5 2 4 3 3 3 3 2" xfId="30448"/>
    <cellStyle name="常规 5 2 4 3 3 3 3 2 2" xfId="30451"/>
    <cellStyle name="常规 5 2 4 3 3 3 3 2 2 2" xfId="29445"/>
    <cellStyle name="常规 5 2 4 3 3 3 3 2 3" xfId="30452"/>
    <cellStyle name="常规 5 2 4 3 3 3 3 2 4" xfId="30453"/>
    <cellStyle name="常规 5 2 4 3 3 3 3 3" xfId="30455"/>
    <cellStyle name="常规 5 2 4 3 3 3 3 3 2" xfId="30456"/>
    <cellStyle name="常规 5 2 4 3 3 3 3 4" xfId="30458"/>
    <cellStyle name="常规 5 2 4 3 3 3 3 5" xfId="30460"/>
    <cellStyle name="常规 5 2 4 3 3 3 4" xfId="30462"/>
    <cellStyle name="常规 5 2 4 3 3 3 4 2" xfId="30464"/>
    <cellStyle name="常规 5 2 4 3 3 3 4 2 2" xfId="15310"/>
    <cellStyle name="常规 5 2 4 3 3 3 4 3" xfId="30465"/>
    <cellStyle name="常规 5 2 4 3 3 3 4 4" xfId="30467"/>
    <cellStyle name="常规 5 2 4 3 3 3 5" xfId="29398"/>
    <cellStyle name="常规 5 2 4 3 3 3 5 2" xfId="30468"/>
    <cellStyle name="常规 5 2 4 3 3 3 6" xfId="26799"/>
    <cellStyle name="常规 5 2 4 3 3 3 7" xfId="250"/>
    <cellStyle name="常规 5 2 4 3 3 4" xfId="13552"/>
    <cellStyle name="常规 5 2 4 3 3 4 2" xfId="18475"/>
    <cellStyle name="常规 5 2 4 3 3 4 2 2" xfId="30472"/>
    <cellStyle name="常规 5 2 4 3 3 4 2 2 2" xfId="30476"/>
    <cellStyle name="常规 5 2 4 3 3 4 2 2 2 2" xfId="30478"/>
    <cellStyle name="常规 5 2 4 3 3 4 2 2 3" xfId="30480"/>
    <cellStyle name="常规 5 2 4 3 3 4 2 2 4" xfId="30482"/>
    <cellStyle name="常规 5 2 4 3 3 4 2 3" xfId="30485"/>
    <cellStyle name="常规 5 2 4 3 3 4 2 3 2" xfId="30488"/>
    <cellStyle name="常规 5 2 4 3 3 4 2 4" xfId="6677"/>
    <cellStyle name="常规 5 2 4 3 3 4 2 5" xfId="30490"/>
    <cellStyle name="常规 5 2 4 3 3 4 3" xfId="30492"/>
    <cellStyle name="常规 5 2 4 3 3 4 3 2" xfId="7959"/>
    <cellStyle name="常规 5 2 4 3 3 4 3 2 2" xfId="30494"/>
    <cellStyle name="常规 5 2 4 3 3 4 3 3" xfId="7962"/>
    <cellStyle name="常规 5 2 4 3 3 4 3 4" xfId="30496"/>
    <cellStyle name="常规 5 2 4 3 3 4 4" xfId="9375"/>
    <cellStyle name="常规 5 2 4 3 3 4 4 2" xfId="7969"/>
    <cellStyle name="常规 5 2 4 3 3 4 5" xfId="9378"/>
    <cellStyle name="常规 5 2 4 3 3 4 6" xfId="9380"/>
    <cellStyle name="常规 5 2 4 3 3 5" xfId="30497"/>
    <cellStyle name="常规 5 2 4 3 3 5 2" xfId="30499"/>
    <cellStyle name="常规 5 2 4 3 3 5 2 2" xfId="30502"/>
    <cellStyle name="常规 5 2 4 3 3 5 2 2 2" xfId="30504"/>
    <cellStyle name="常规 5 2 4 3 3 5 2 3" xfId="30506"/>
    <cellStyle name="常规 5 2 4 3 3 5 2 4" xfId="30509"/>
    <cellStyle name="常规 5 2 4 3 3 5 3" xfId="30511"/>
    <cellStyle name="常规 5 2 4 3 3 5 3 2" xfId="7983"/>
    <cellStyle name="常规 5 2 4 3 3 5 4" xfId="9384"/>
    <cellStyle name="常规 5 2 4 3 3 5 5" xfId="30512"/>
    <cellStyle name="常规 5 2 4 3 3 6" xfId="30514"/>
    <cellStyle name="常规 5 2 4 3 3 6 2" xfId="30516"/>
    <cellStyle name="常规 5 2 4 3 3 6 2 2" xfId="30518"/>
    <cellStyle name="常规 5 2 4 3 3 6 3" xfId="15641"/>
    <cellStyle name="常规 5 2 4 3 3 6 4" xfId="30519"/>
    <cellStyle name="常规 5 2 4 3 3 7" xfId="19168"/>
    <cellStyle name="常规 5 2 4 3 3 7 2" xfId="23418"/>
    <cellStyle name="常规 5 2 4 3 3 8" xfId="30521"/>
    <cellStyle name="常规 5 2 4 3 3 9" xfId="30523"/>
    <cellStyle name="常规 5 2 4 3 4" xfId="11773"/>
    <cellStyle name="常规 5 2 4 3 4 2" xfId="13556"/>
    <cellStyle name="常规 5 2 4 3 4 2 2" xfId="18569"/>
    <cellStyle name="常规 5 2 4 3 4 2 2 2" xfId="27709"/>
    <cellStyle name="常规 5 2 4 3 4 2 2 2 2" xfId="27712"/>
    <cellStyle name="常规 5 2 4 3 4 2 2 2 2 2" xfId="30524"/>
    <cellStyle name="常规 5 2 4 3 4 2 2 2 2 2 2" xfId="30525"/>
    <cellStyle name="常规 5 2 4 3 4 2 2 2 2 3" xfId="30526"/>
    <cellStyle name="常规 5 2 4 3 4 2 2 2 2 4" xfId="22745"/>
    <cellStyle name="常规 5 2 4 3 4 2 2 2 3" xfId="30527"/>
    <cellStyle name="常规 5 2 4 3 4 2 2 2 3 2" xfId="30528"/>
    <cellStyle name="常规 5 2 4 3 4 2 2 2 4" xfId="16881"/>
    <cellStyle name="常规 5 2 4 3 4 2 2 2 5" xfId="30529"/>
    <cellStyle name="常规 5 2 4 3 4 2 2 3" xfId="27715"/>
    <cellStyle name="常规 5 2 4 3 4 2 2 3 2" xfId="30532"/>
    <cellStyle name="常规 5 2 4 3 4 2 2 3 2 2" xfId="30534"/>
    <cellStyle name="常规 5 2 4 3 4 2 2 3 3" xfId="28670"/>
    <cellStyle name="常规 5 2 4 3 4 2 2 3 4" xfId="30535"/>
    <cellStyle name="常规 5 2 4 3 4 2 2 4" xfId="27719"/>
    <cellStyle name="常规 5 2 4 3 4 2 2 4 2" xfId="14686"/>
    <cellStyle name="常规 5 2 4 3 4 2 2 5" xfId="30536"/>
    <cellStyle name="常规 5 2 4 3 4 2 2 6" xfId="30538"/>
    <cellStyle name="常规 5 2 4 3 4 2 3" xfId="18572"/>
    <cellStyle name="常规 5 2 4 3 4 2 3 2" xfId="27765"/>
    <cellStyle name="常规 5 2 4 3 4 2 3 2 2" xfId="16046"/>
    <cellStyle name="常规 5 2 4 3 4 2 3 2 2 2" xfId="30539"/>
    <cellStyle name="常规 5 2 4 3 4 2 3 2 3" xfId="30540"/>
    <cellStyle name="常规 5 2 4 3 4 2 3 2 4" xfId="30541"/>
    <cellStyle name="常规 5 2 4 3 4 2 3 3" xfId="27768"/>
    <cellStyle name="常规 5 2 4 3 4 2 3 3 2" xfId="30542"/>
    <cellStyle name="常规 5 2 4 3 4 2 3 4" xfId="30543"/>
    <cellStyle name="常规 5 2 4 3 4 2 3 5" xfId="30544"/>
    <cellStyle name="常规 5 2 4 3 4 2 4" xfId="30545"/>
    <cellStyle name="常规 5 2 4 3 4 2 4 2" xfId="27802"/>
    <cellStyle name="常规 5 2 4 3 4 2 4 2 2" xfId="15365"/>
    <cellStyle name="常规 5 2 4 3 4 2 4 3" xfId="30546"/>
    <cellStyle name="常规 5 2 4 3 4 2 4 4" xfId="30547"/>
    <cellStyle name="常规 5 2 4 3 4 2 5" xfId="29404"/>
    <cellStyle name="常规 5 2 4 3 4 2 5 2" xfId="30548"/>
    <cellStyle name="常规 5 2 4 3 4 2 6" xfId="26811"/>
    <cellStyle name="常规 5 2 4 3 4 2 7" xfId="10245"/>
    <cellStyle name="常规 5 2 4 3 4 3" xfId="13559"/>
    <cellStyle name="常规 5 2 4 3 4 3 2" xfId="18596"/>
    <cellStyle name="常规 5 2 4 3 4 3 2 2" xfId="27911"/>
    <cellStyle name="常规 5 2 4 3 4 3 2 2 2" xfId="27916"/>
    <cellStyle name="常规 5 2 4 3 4 3 2 2 2 2" xfId="30550"/>
    <cellStyle name="常规 5 2 4 3 4 3 2 2 3" xfId="30552"/>
    <cellStyle name="常规 5 2 4 3 4 3 2 2 4" xfId="30554"/>
    <cellStyle name="常规 5 2 4 3 4 3 2 3" xfId="27918"/>
    <cellStyle name="常规 5 2 4 3 4 3 2 3 2" xfId="30557"/>
    <cellStyle name="常规 5 2 4 3 4 3 2 4" xfId="27923"/>
    <cellStyle name="常规 5 2 4 3 4 3 2 5" xfId="30558"/>
    <cellStyle name="常规 5 2 4 3 4 3 3" xfId="30560"/>
    <cellStyle name="常规 5 2 4 3 4 3 3 2" xfId="27971"/>
    <cellStyle name="常规 5 2 4 3 4 3 3 2 2" xfId="30562"/>
    <cellStyle name="常规 5 2 4 3 4 3 3 3" xfId="27973"/>
    <cellStyle name="常规 5 2 4 3 4 3 3 4" xfId="30563"/>
    <cellStyle name="常规 5 2 4 3 4 3 4" xfId="17121"/>
    <cellStyle name="常规 5 2 4 3 4 3 4 2" xfId="27998"/>
    <cellStyle name="常规 5 2 4 3 4 3 5" xfId="30565"/>
    <cellStyle name="常规 5 2 4 3 4 3 6" xfId="30566"/>
    <cellStyle name="常规 5 2 4 3 4 4" xfId="30567"/>
    <cellStyle name="常规 5 2 4 3 4 4 2" xfId="30569"/>
    <cellStyle name="常规 5 2 4 3 4 4 2 2" xfId="28073"/>
    <cellStyle name="常规 5 2 4 3 4 4 2 2 2" xfId="30572"/>
    <cellStyle name="常规 5 2 4 3 4 4 2 3" xfId="28076"/>
    <cellStyle name="常规 5 2 4 3 4 4 2 4" xfId="30574"/>
    <cellStyle name="常规 5 2 4 3 4 4 3" xfId="5883"/>
    <cellStyle name="常规 5 2 4 3 4 4 3 2" xfId="5888"/>
    <cellStyle name="常规 5 2 4 3 4 4 4" xfId="5897"/>
    <cellStyle name="常规 5 2 4 3 4 4 5" xfId="5059"/>
    <cellStyle name="常规 5 2 4 3 4 5" xfId="30575"/>
    <cellStyle name="常规 5 2 4 3 4 5 2" xfId="30577"/>
    <cellStyle name="常规 5 2 4 3 4 5 2 2" xfId="28139"/>
    <cellStyle name="常规 5 2 4 3 4 5 3" xfId="5909"/>
    <cellStyle name="常规 5 2 4 3 4 5 4" xfId="30578"/>
    <cellStyle name="常规 5 2 4 3 4 6" xfId="30579"/>
    <cellStyle name="常规 5 2 4 3 4 6 2" xfId="30580"/>
    <cellStyle name="常规 5 2 4 3 4 7" xfId="30582"/>
    <cellStyle name="常规 5 2 4 3 4 8" xfId="30584"/>
    <cellStyle name="常规 5 2 4 3 5" xfId="11779"/>
    <cellStyle name="常规 5 2 4 3 5 2" xfId="30587"/>
    <cellStyle name="常规 5 2 4 3 5 2 2" xfId="18674"/>
    <cellStyle name="常规 5 2 4 3 5 2 2 2" xfId="18743"/>
    <cellStyle name="常规 5 2 4 3 5 2 2 2 2" xfId="18745"/>
    <cellStyle name="常规 5 2 4 3 5 2 2 2 2 2" xfId="18747"/>
    <cellStyle name="常规 5 2 4 3 5 2 2 2 3" xfId="18753"/>
    <cellStyle name="常规 5 2 4 3 5 2 2 2 4" xfId="18755"/>
    <cellStyle name="常规 5 2 4 3 5 2 2 3" xfId="28194"/>
    <cellStyle name="常规 5 2 4 3 5 2 2 3 2" xfId="30589"/>
    <cellStyle name="常规 5 2 4 3 5 2 2 4" xfId="30591"/>
    <cellStyle name="常规 5 2 4 3 5 2 2 5" xfId="30593"/>
    <cellStyle name="常规 5 2 4 3 5 2 3" xfId="24574"/>
    <cellStyle name="常规 5 2 4 3 5 2 3 2" xfId="19933"/>
    <cellStyle name="常规 5 2 4 3 5 2 3 2 2" xfId="19935"/>
    <cellStyle name="常规 5 2 4 3 5 2 3 3" xfId="30596"/>
    <cellStyle name="常规 5 2 4 3 5 2 3 4" xfId="28763"/>
    <cellStyle name="常规 5 2 4 3 5 2 4" xfId="30597"/>
    <cellStyle name="常规 5 2 4 3 5 2 4 2" xfId="30598"/>
    <cellStyle name="常规 5 2 4 3 5 2 5" xfId="30599"/>
    <cellStyle name="常规 5 2 4 3 5 2 6" xfId="30600"/>
    <cellStyle name="常规 5 2 4 3 5 3" xfId="30602"/>
    <cellStyle name="常规 5 2 4 3 5 3 2" xfId="30604"/>
    <cellStyle name="常规 5 2 4 3 5 3 2 2" xfId="28248"/>
    <cellStyle name="常规 5 2 4 3 5 3 2 2 2" xfId="3857"/>
    <cellStyle name="常规 5 2 4 3 5 3 2 3" xfId="30606"/>
    <cellStyle name="常规 5 2 4 3 5 3 2 4" xfId="30607"/>
    <cellStyle name="常规 5 2 4 3 5 3 3" xfId="30609"/>
    <cellStyle name="常规 5 2 4 3 5 3 3 2" xfId="30610"/>
    <cellStyle name="常规 5 2 4 3 5 3 4" xfId="30612"/>
    <cellStyle name="常规 5 2 4 3 5 3 5" xfId="30613"/>
    <cellStyle name="常规 5 2 4 3 5 4" xfId="15470"/>
    <cellStyle name="常规 5 2 4 3 5 4 2" xfId="15473"/>
    <cellStyle name="常规 5 2 4 3 5 4 2 2" xfId="15476"/>
    <cellStyle name="常规 5 2 4 3 5 4 3" xfId="5931"/>
    <cellStyle name="常规 5 2 4 3 5 4 4" xfId="15482"/>
    <cellStyle name="常规 5 2 4 3 5 5" xfId="15484"/>
    <cellStyle name="常规 5 2 4 3 5 5 2" xfId="15486"/>
    <cellStyle name="常规 5 2 4 3 5 6" xfId="15491"/>
    <cellStyle name="常规 5 2 4 3 5 7" xfId="15496"/>
    <cellStyle name="常规 5 2 4 3 6" xfId="29834"/>
    <cellStyle name="常规 5 2 4 3 6 2" xfId="30615"/>
    <cellStyle name="常规 5 2 4 3 6 2 2" xfId="30616"/>
    <cellStyle name="常规 5 2 4 3 6 2 2 2" xfId="3040"/>
    <cellStyle name="常规 5 2 4 3 6 2 2 2 2" xfId="4477"/>
    <cellStyle name="常规 5 2 4 3 6 2 2 3" xfId="27473"/>
    <cellStyle name="常规 5 2 4 3 6 2 2 4" xfId="29671"/>
    <cellStyle name="常规 5 2 4 3 6 2 3" xfId="22671"/>
    <cellStyle name="常规 5 2 4 3 6 2 3 2" xfId="28394"/>
    <cellStyle name="常规 5 2 4 3 6 2 4" xfId="30618"/>
    <cellStyle name="常规 5 2 4 3 6 2 5" xfId="28903"/>
    <cellStyle name="常规 5 2 4 3 6 3" xfId="30619"/>
    <cellStyle name="常规 5 2 4 3 6 3 2" xfId="2657"/>
    <cellStyle name="常规 5 2 4 3 6 3 2 2" xfId="10836"/>
    <cellStyle name="常规 5 2 4 3 6 3 3" xfId="30622"/>
    <cellStyle name="常规 5 2 4 3 6 3 4" xfId="30623"/>
    <cellStyle name="常规 5 2 4 3 6 4" xfId="15500"/>
    <cellStyle name="常规 5 2 4 3 6 4 2" xfId="15503"/>
    <cellStyle name="常规 5 2 4 3 6 5" xfId="15510"/>
    <cellStyle name="常规 5 2 4 3 6 6" xfId="15513"/>
    <cellStyle name="常规 5 2 4 3 7" xfId="30626"/>
    <cellStyle name="常规 5 2 4 3 7 2" xfId="30627"/>
    <cellStyle name="常规 5 2 4 3 7 2 2" xfId="30628"/>
    <cellStyle name="常规 5 2 4 3 7 2 2 2" xfId="11636"/>
    <cellStyle name="常规 5 2 4 3 7 2 3" xfId="30630"/>
    <cellStyle name="常规 5 2 4 3 7 2 4" xfId="30631"/>
    <cellStyle name="常规 5 2 4 3 7 3" xfId="30632"/>
    <cellStyle name="常规 5 2 4 3 7 3 2" xfId="30633"/>
    <cellStyle name="常规 5 2 4 3 7 4" xfId="15519"/>
    <cellStyle name="常规 5 2 4 3 7 5" xfId="15522"/>
    <cellStyle name="常规 5 2 4 3 8" xfId="30635"/>
    <cellStyle name="常规 5 2 4 3 8 2" xfId="30636"/>
    <cellStyle name="常规 5 2 4 3 8 2 2" xfId="30637"/>
    <cellStyle name="常规 5 2 4 3 8 3" xfId="30638"/>
    <cellStyle name="常规 5 2 4 3 8 4" xfId="15526"/>
    <cellStyle name="常规 5 2 4 3 9" xfId="30639"/>
    <cellStyle name="常规 5 2 4 3 9 2" xfId="30640"/>
    <cellStyle name="常规 5 2 4 4" xfId="30641"/>
    <cellStyle name="常规 5 2 4 4 2" xfId="11785"/>
    <cellStyle name="常规 5 2 4 4 2 2" xfId="11787"/>
    <cellStyle name="常规 5 2 4 4 2 2 2" xfId="9831"/>
    <cellStyle name="常规 5 2 4 4 2 2 2 2" xfId="19618"/>
    <cellStyle name="常规 5 2 4 4 2 2 2 2 2" xfId="13060"/>
    <cellStyle name="常规 5 2 4 4 2 2 2 2 2 2" xfId="14971"/>
    <cellStyle name="常规 5 2 4 4 2 2 2 2 2 2 2" xfId="26905"/>
    <cellStyle name="常规 5 2 4 4 2 2 2 2 2 3" xfId="30097"/>
    <cellStyle name="常规 5 2 4 4 2 2 2 2 2 4" xfId="22994"/>
    <cellStyle name="常规 5 2 4 4 2 2 2 2 3" xfId="13068"/>
    <cellStyle name="常规 5 2 4 4 2 2 2 2 3 2" xfId="30098"/>
    <cellStyle name="常规 5 2 4 4 2 2 2 2 4" xfId="30102"/>
    <cellStyle name="常规 5 2 4 4 2 2 2 2 5" xfId="30103"/>
    <cellStyle name="常规 5 2 4 4 2 2 2 3" xfId="30643"/>
    <cellStyle name="常规 5 2 4 4 2 2 2 3 2" xfId="26084"/>
    <cellStyle name="常规 5 2 4 4 2 2 2 3 2 2" xfId="30107"/>
    <cellStyle name="常规 5 2 4 4 2 2 2 3 3" xfId="30110"/>
    <cellStyle name="常规 5 2 4 4 2 2 2 3 4" xfId="30112"/>
    <cellStyle name="常规 5 2 4 4 2 2 2 4" xfId="30645"/>
    <cellStyle name="常规 5 2 4 4 2 2 2 4 2" xfId="30116"/>
    <cellStyle name="常规 5 2 4 4 2 2 2 5" xfId="30647"/>
    <cellStyle name="常规 5 2 4 4 2 2 2 6" xfId="30649"/>
    <cellStyle name="常规 5 2 4 4 2 2 3" xfId="19620"/>
    <cellStyle name="常规 5 2 4 4 2 2 3 2" xfId="30651"/>
    <cellStyle name="常规 5 2 4 4 2 2 3 2 2" xfId="26234"/>
    <cellStyle name="常规 5 2 4 4 2 2 3 2 2 2" xfId="30127"/>
    <cellStyle name="常规 5 2 4 4 2 2 3 2 3" xfId="26237"/>
    <cellStyle name="常规 5 2 4 4 2 2 3 2 4" xfId="30130"/>
    <cellStyle name="常规 5 2 4 4 2 2 3 3" xfId="30653"/>
    <cellStyle name="常规 5 2 4 4 2 2 3 3 2" xfId="26278"/>
    <cellStyle name="常规 5 2 4 4 2 2 3 4" xfId="30655"/>
    <cellStyle name="常规 5 2 4 4 2 2 3 5" xfId="30656"/>
    <cellStyle name="常规 5 2 4 4 2 2 4" xfId="19622"/>
    <cellStyle name="常规 5 2 4 4 2 2 4 2" xfId="30658"/>
    <cellStyle name="常规 5 2 4 4 2 2 4 2 2" xfId="26401"/>
    <cellStyle name="常规 5 2 4 4 2 2 4 3" xfId="30660"/>
    <cellStyle name="常规 5 2 4 4 2 2 4 4" xfId="30661"/>
    <cellStyle name="常规 5 2 4 4 2 2 5" xfId="30662"/>
    <cellStyle name="常规 5 2 4 4 2 2 5 2" xfId="30663"/>
    <cellStyle name="常规 5 2 4 4 2 2 6" xfId="26828"/>
    <cellStyle name="常规 5 2 4 4 2 2 7" xfId="26838"/>
    <cellStyle name="常规 5 2 4 4 2 3" xfId="11702"/>
    <cellStyle name="常规 5 2 4 4 2 3 2" xfId="19643"/>
    <cellStyle name="常规 5 2 4 4 2 3 2 2" xfId="27276"/>
    <cellStyle name="常规 5 2 4 4 2 3 2 2 2" xfId="26641"/>
    <cellStyle name="常规 5 2 4 4 2 3 2 2 2 2" xfId="27281"/>
    <cellStyle name="常规 5 2 4 4 2 3 2 2 3" xfId="27286"/>
    <cellStyle name="常规 5 2 4 4 2 3 2 2 4" xfId="27291"/>
    <cellStyle name="常规 5 2 4 4 2 3 2 3" xfId="27297"/>
    <cellStyle name="常规 5 2 4 4 2 3 2 3 2" xfId="27302"/>
    <cellStyle name="常规 5 2 4 4 2 3 2 4" xfId="27308"/>
    <cellStyle name="常规 5 2 4 4 2 3 2 5" xfId="27313"/>
    <cellStyle name="常规 5 2 4 4 2 3 3" xfId="19647"/>
    <cellStyle name="常规 5 2 4 4 2 3 3 2" xfId="27333"/>
    <cellStyle name="常规 5 2 4 4 2 3 3 2 2" xfId="21175"/>
    <cellStyle name="常规 5 2 4 4 2 3 3 3" xfId="27338"/>
    <cellStyle name="常规 5 2 4 4 2 3 3 4" xfId="27342"/>
    <cellStyle name="常规 5 2 4 4 2 3 4" xfId="29581"/>
    <cellStyle name="常规 5 2 4 4 2 3 4 2" xfId="27351"/>
    <cellStyle name="常规 5 2 4 4 2 3 5" xfId="29590"/>
    <cellStyle name="常规 5 2 4 4 2 3 6" xfId="26847"/>
    <cellStyle name="常规 5 2 4 4 2 4" xfId="29599"/>
    <cellStyle name="常规 5 2 4 4 2 4 2" xfId="19662"/>
    <cellStyle name="常规 5 2 4 4 2 4 2 2" xfId="27376"/>
    <cellStyle name="常规 5 2 4 4 2 4 2 2 2" xfId="27013"/>
    <cellStyle name="常规 5 2 4 4 2 4 2 3" xfId="27381"/>
    <cellStyle name="常规 5 2 4 4 2 4 2 4" xfId="8847"/>
    <cellStyle name="常规 5 2 4 4 2 4 3" xfId="29612"/>
    <cellStyle name="常规 5 2 4 4 2 4 3 2" xfId="27391"/>
    <cellStyle name="常规 5 2 4 4 2 4 4" xfId="29620"/>
    <cellStyle name="常规 5 2 4 4 2 4 5" xfId="29628"/>
    <cellStyle name="常规 5 2 4 4 2 5" xfId="29633"/>
    <cellStyle name="常规 5 2 4 4 2 5 2" xfId="29636"/>
    <cellStyle name="常规 5 2 4 4 2 5 2 2" xfId="27414"/>
    <cellStyle name="常规 5 2 4 4 2 5 3" xfId="29643"/>
    <cellStyle name="常规 5 2 4 4 2 5 4" xfId="29649"/>
    <cellStyle name="常规 5 2 4 4 2 6" xfId="29654"/>
    <cellStyle name="常规 5 2 4 4 2 6 2" xfId="29657"/>
    <cellStyle name="常规 5 2 4 4 2 7" xfId="19182"/>
    <cellStyle name="常规 5 2 4 4 2 8" xfId="26609"/>
    <cellStyle name="常规 5 2 4 4 3" xfId="11789"/>
    <cellStyle name="常规 5 2 4 4 3 2" xfId="13569"/>
    <cellStyle name="常规 5 2 4 4 3 2 2" xfId="19747"/>
    <cellStyle name="常规 5 2 4 4 3 2 2 2" xfId="30665"/>
    <cellStyle name="常规 5 2 4 4 3 2 2 2 2" xfId="28196"/>
    <cellStyle name="常规 5 2 4 4 3 2 2 2 2 2" xfId="30588"/>
    <cellStyle name="常规 5 2 4 4 3 2 2 2 3" xfId="30590"/>
    <cellStyle name="常规 5 2 4 4 3 2 2 2 4" xfId="30592"/>
    <cellStyle name="常规 5 2 4 4 3 2 2 3" xfId="30668"/>
    <cellStyle name="常规 5 2 4 4 3 2 2 3 2" xfId="30595"/>
    <cellStyle name="常规 5 2 4 4 3 2 2 4" xfId="30670"/>
    <cellStyle name="常规 5 2 4 4 3 2 2 5" xfId="30671"/>
    <cellStyle name="常规 5 2 4 4 3 2 3" xfId="19749"/>
    <cellStyle name="常规 5 2 4 4 3 2 3 2" xfId="30673"/>
    <cellStyle name="常规 5 2 4 4 3 2 3 2 2" xfId="30605"/>
    <cellStyle name="常规 5 2 4 4 3 2 3 3" xfId="30675"/>
    <cellStyle name="常规 5 2 4 4 3 2 3 4" xfId="30676"/>
    <cellStyle name="常规 5 2 4 4 3 2 4" xfId="30677"/>
    <cellStyle name="常规 5 2 4 4 3 2 4 2" xfId="30678"/>
    <cellStyle name="常规 5 2 4 4 3 2 5" xfId="30679"/>
    <cellStyle name="常规 5 2 4 4 3 2 6" xfId="26863"/>
    <cellStyle name="常规 5 2 4 4 3 3" xfId="13571"/>
    <cellStyle name="常规 5 2 4 4 3 3 2" xfId="19777"/>
    <cellStyle name="常规 5 2 4 4 3 3 2 2" xfId="27466"/>
    <cellStyle name="常规 5 2 4 4 3 3 2 2 2" xfId="27472"/>
    <cellStyle name="常规 5 2 4 4 3 3 2 3" xfId="27478"/>
    <cellStyle name="常规 5 2 4 4 3 3 2 4" xfId="16953"/>
    <cellStyle name="常规 5 2 4 4 3 3 3" xfId="29689"/>
    <cellStyle name="常规 5 2 4 4 3 3 3 2" xfId="27488"/>
    <cellStyle name="常规 5 2 4 4 3 3 4" xfId="29699"/>
    <cellStyle name="常规 5 2 4 4 3 3 5" xfId="29707"/>
    <cellStyle name="常规 5 2 4 4 3 4" xfId="29712"/>
    <cellStyle name="常规 5 2 4 4 3 4 2" xfId="2468"/>
    <cellStyle name="常规 5 2 4 4 3 4 2 2" xfId="27507"/>
    <cellStyle name="常规 5 2 4 4 3 4 3" xfId="29724"/>
    <cellStyle name="常规 5 2 4 4 3 4 4" xfId="9406"/>
    <cellStyle name="常规 5 2 4 4 3 5" xfId="29732"/>
    <cellStyle name="常规 5 2 4 4 3 5 2" xfId="29735"/>
    <cellStyle name="常规 5 2 4 4 3 6" xfId="29746"/>
    <cellStyle name="常规 5 2 4 4 3 7" xfId="26619"/>
    <cellStyle name="常规 5 2 4 4 4" xfId="11792"/>
    <cellStyle name="常规 5 2 4 4 4 2" xfId="30680"/>
    <cellStyle name="常规 5 2 4 4 4 2 2" xfId="19839"/>
    <cellStyle name="常规 5 2 4 4 4 2 2 2" xfId="28654"/>
    <cellStyle name="常规 5 2 4 4 4 2 2 2 2" xfId="28899"/>
    <cellStyle name="常规 5 2 4 4 4 2 2 3" xfId="28659"/>
    <cellStyle name="常规 5 2 4 4 4 2 2 4" xfId="30681"/>
    <cellStyle name="常规 5 2 4 4 4 2 3" xfId="30682"/>
    <cellStyle name="常规 5 2 4 4 4 2 3 2" xfId="28711"/>
    <cellStyle name="常规 5 2 4 4 4 2 4" xfId="30683"/>
    <cellStyle name="常规 5 2 4 4 4 2 5" xfId="30684"/>
    <cellStyle name="常规 5 2 4 4 4 3" xfId="29751"/>
    <cellStyle name="常规 5 2 4 4 4 3 2" xfId="1494"/>
    <cellStyle name="常规 5 2 4 4 4 3 2 2" xfId="27547"/>
    <cellStyle name="常规 5 2 4 4 4 3 3" xfId="943"/>
    <cellStyle name="常规 5 2 4 4 4 3 4" xfId="953"/>
    <cellStyle name="常规 5 2 4 4 4 4" xfId="29769"/>
    <cellStyle name="常规 5 2 4 4 4 4 2" xfId="29772"/>
    <cellStyle name="常规 5 2 4 4 4 5" xfId="17674"/>
    <cellStyle name="常规 5 2 4 4 4 6" xfId="29782"/>
    <cellStyle name="常规 5 2 4 4 5" xfId="30687"/>
    <cellStyle name="常规 5 2 4 4 5 2" xfId="30689"/>
    <cellStyle name="常规 5 2 4 4 5 2 2" xfId="30690"/>
    <cellStyle name="常规 5 2 4 4 5 2 2 2" xfId="28895"/>
    <cellStyle name="常规 5 2 4 4 5 2 3" xfId="30691"/>
    <cellStyle name="常规 5 2 4 4 5 2 4" xfId="30692"/>
    <cellStyle name="常规 5 2 4 4 5 3" xfId="29787"/>
    <cellStyle name="常规 5 2 4 4 5 3 2" xfId="29790"/>
    <cellStyle name="常规 5 2 4 4 5 4" xfId="15533"/>
    <cellStyle name="常规 5 2 4 4 5 5" xfId="15542"/>
    <cellStyle name="常规 5 2 4 4 6" xfId="30695"/>
    <cellStyle name="常规 5 2 4 4 6 2" xfId="30697"/>
    <cellStyle name="常规 5 2 4 4 6 2 2" xfId="30699"/>
    <cellStyle name="常规 5 2 4 4 6 3" xfId="19116"/>
    <cellStyle name="常规 5 2 4 4 6 4" xfId="3806"/>
    <cellStyle name="常规 5 2 4 4 7" xfId="21854"/>
    <cellStyle name="常规 5 2 4 4 7 2" xfId="21857"/>
    <cellStyle name="常规 5 2 4 4 8" xfId="21860"/>
    <cellStyle name="常规 5 2 4 4 9" xfId="21863"/>
    <cellStyle name="常规 5 2 4 5" xfId="30700"/>
    <cellStyle name="常规 5 2 4 5 2" xfId="11801"/>
    <cellStyle name="常规 5 2 4 5 2 2" xfId="30701"/>
    <cellStyle name="常规 5 2 4 5 2 2 2" xfId="30702"/>
    <cellStyle name="常规 5 2 4 5 2 2 2 2" xfId="12261"/>
    <cellStyle name="常规 5 2 4 5 2 2 2 2 2" xfId="12266"/>
    <cellStyle name="常规 5 2 4 5 2 2 2 2 2 2" xfId="30704"/>
    <cellStyle name="常规 5 2 4 5 2 2 2 2 2 2 2" xfId="30705"/>
    <cellStyle name="常规 5 2 4 5 2 2 2 2 2 3" xfId="15360"/>
    <cellStyle name="常规 5 2 4 5 2 2 2 2 2 4" xfId="15384"/>
    <cellStyle name="常规 5 2 4 5 2 2 2 2 3" xfId="30707"/>
    <cellStyle name="常规 5 2 4 5 2 2 2 2 3 2" xfId="30708"/>
    <cellStyle name="常规 5 2 4 5 2 2 2 2 4" xfId="30710"/>
    <cellStyle name="常规 5 2 4 5 2 2 2 2 5" xfId="30711"/>
    <cellStyle name="常规 5 2 4 5 2 2 2 3" xfId="12269"/>
    <cellStyle name="常规 5 2 4 5 2 2 2 3 2" xfId="30713"/>
    <cellStyle name="常规 5 2 4 5 2 2 2 3 2 2" xfId="30714"/>
    <cellStyle name="常规 5 2 4 5 2 2 2 3 3" xfId="30716"/>
    <cellStyle name="常规 5 2 4 5 2 2 2 3 4" xfId="30718"/>
    <cellStyle name="常规 5 2 4 5 2 2 2 4" xfId="12272"/>
    <cellStyle name="常规 5 2 4 5 2 2 2 4 2" xfId="30719"/>
    <cellStyle name="常规 5 2 4 5 2 2 2 5" xfId="30720"/>
    <cellStyle name="常规 5 2 4 5 2 2 2 6" xfId="30721"/>
    <cellStyle name="常规 5 2 4 5 2 2 3" xfId="30722"/>
    <cellStyle name="常规 5 2 4 5 2 2 3 2" xfId="12299"/>
    <cellStyle name="常规 5 2 4 5 2 2 3 2 2" xfId="30724"/>
    <cellStyle name="常规 5 2 4 5 2 2 3 2 2 2" xfId="30725"/>
    <cellStyle name="常规 5 2 4 5 2 2 3 2 3" xfId="30727"/>
    <cellStyle name="常规 5 2 4 5 2 2 3 2 4" xfId="30728"/>
    <cellStyle name="常规 5 2 4 5 2 2 3 3" xfId="12302"/>
    <cellStyle name="常规 5 2 4 5 2 2 3 3 2" xfId="30729"/>
    <cellStyle name="常规 5 2 4 5 2 2 3 4" xfId="30730"/>
    <cellStyle name="常规 5 2 4 5 2 2 3 5" xfId="30731"/>
    <cellStyle name="常规 5 2 4 5 2 2 4" xfId="30732"/>
    <cellStyle name="常规 5 2 4 5 2 2 4 2" xfId="12311"/>
    <cellStyle name="常规 5 2 4 5 2 2 4 2 2" xfId="2596"/>
    <cellStyle name="常规 5 2 4 5 2 2 4 3" xfId="30733"/>
    <cellStyle name="常规 5 2 4 5 2 2 4 4" xfId="30734"/>
    <cellStyle name="常规 5 2 4 5 2 2 5" xfId="30735"/>
    <cellStyle name="常规 5 2 4 5 2 2 5 2" xfId="30737"/>
    <cellStyle name="常规 5 2 4 5 2 2 6" xfId="26885"/>
    <cellStyle name="常规 5 2 4 5 2 2 7" xfId="14178"/>
    <cellStyle name="常规 5 2 4 5 2 3" xfId="29865"/>
    <cellStyle name="常规 5 2 4 5 2 3 2" xfId="29868"/>
    <cellStyle name="常规 5 2 4 5 2 3 2 2" xfId="12350"/>
    <cellStyle name="常规 5 2 4 5 2 3 2 2 2" xfId="28477"/>
    <cellStyle name="常规 5 2 4 5 2 3 2 2 2 2" xfId="29870"/>
    <cellStyle name="常规 5 2 4 5 2 3 2 2 3" xfId="29873"/>
    <cellStyle name="常规 5 2 4 5 2 3 2 2 4" xfId="29875"/>
    <cellStyle name="常规 5 2 4 5 2 3 2 3" xfId="12356"/>
    <cellStyle name="常规 5 2 4 5 2 3 2 3 2" xfId="29877"/>
    <cellStyle name="常规 5 2 4 5 2 3 2 4" xfId="28481"/>
    <cellStyle name="常规 5 2 4 5 2 3 2 5" xfId="29879"/>
    <cellStyle name="常规 5 2 4 5 2 3 3" xfId="29882"/>
    <cellStyle name="常规 5 2 4 5 2 3 3 2" xfId="12374"/>
    <cellStyle name="常规 5 2 4 5 2 3 3 2 2" xfId="29884"/>
    <cellStyle name="常规 5 2 4 5 2 3 3 3" xfId="28487"/>
    <cellStyle name="常规 5 2 4 5 2 3 3 4" xfId="29887"/>
    <cellStyle name="常规 5 2 4 5 2 3 4" xfId="29890"/>
    <cellStyle name="常规 5 2 4 5 2 3 4 2" xfId="29892"/>
    <cellStyle name="常规 5 2 4 5 2 3 5" xfId="29895"/>
    <cellStyle name="常规 5 2 4 5 2 3 6" xfId="29897"/>
    <cellStyle name="常规 5 2 4 5 2 4" xfId="29899"/>
    <cellStyle name="常规 5 2 4 5 2 4 2" xfId="29902"/>
    <cellStyle name="常规 5 2 4 5 2 4 2 2" xfId="12403"/>
    <cellStyle name="常规 5 2 4 5 2 4 2 2 2" xfId="29904"/>
    <cellStyle name="常规 5 2 4 5 2 4 2 3" xfId="28498"/>
    <cellStyle name="常规 5 2 4 5 2 4 2 4" xfId="29907"/>
    <cellStyle name="常规 5 2 4 5 2 4 3" xfId="29910"/>
    <cellStyle name="常规 5 2 4 5 2 4 3 2" xfId="29912"/>
    <cellStyle name="常规 5 2 4 5 2 4 4" xfId="29915"/>
    <cellStyle name="常规 5 2 4 5 2 4 5" xfId="29918"/>
    <cellStyle name="常规 5 2 4 5 2 5" xfId="29920"/>
    <cellStyle name="常规 5 2 4 5 2 5 2" xfId="17906"/>
    <cellStyle name="常规 5 2 4 5 2 5 2 2" xfId="29922"/>
    <cellStyle name="常规 5 2 4 5 2 5 3" xfId="17910"/>
    <cellStyle name="常规 5 2 4 5 2 5 4" xfId="29924"/>
    <cellStyle name="常规 5 2 4 5 2 6" xfId="29368"/>
    <cellStyle name="常规 5 2 4 5 2 6 2" xfId="29371"/>
    <cellStyle name="常规 5 2 4 5 2 7" xfId="26672"/>
    <cellStyle name="常规 5 2 4 5 2 8" xfId="26682"/>
    <cellStyle name="常规 5 2 4 5 3" xfId="11805"/>
    <cellStyle name="常规 5 2 4 5 3 2" xfId="30738"/>
    <cellStyle name="常规 5 2 4 5 3 2 2" xfId="547"/>
    <cellStyle name="常规 5 2 4 5 3 2 2 2" xfId="12513"/>
    <cellStyle name="常规 5 2 4 5 3 2 2 2 2" xfId="12515"/>
    <cellStyle name="常规 5 2 4 5 3 2 2 2 2 2" xfId="7669"/>
    <cellStyle name="常规 5 2 4 5 3 2 2 2 3" xfId="20578"/>
    <cellStyle name="常规 5 2 4 5 3 2 2 2 4" xfId="5563"/>
    <cellStyle name="常规 5 2 4 5 3 2 2 3" xfId="12518"/>
    <cellStyle name="常规 5 2 4 5 3 2 2 3 2" xfId="30739"/>
    <cellStyle name="常规 5 2 4 5 3 2 2 4" xfId="12520"/>
    <cellStyle name="常规 5 2 4 5 3 2 2 5" xfId="30740"/>
    <cellStyle name="常规 5 2 4 5 3 2 3" xfId="1193"/>
    <cellStyle name="常规 5 2 4 5 3 2 3 2" xfId="12561"/>
    <cellStyle name="常规 5 2 4 5 3 2 3 2 2" xfId="30742"/>
    <cellStyle name="常规 5 2 4 5 3 2 3 3" xfId="12565"/>
    <cellStyle name="常规 5 2 4 5 3 2 3 4" xfId="30744"/>
    <cellStyle name="常规 5 2 4 5 3 2 4" xfId="1213"/>
    <cellStyle name="常规 5 2 4 5 3 2 4 2" xfId="2557"/>
    <cellStyle name="常规 5 2 4 5 3 2 5" xfId="1223"/>
    <cellStyle name="常规 5 2 4 5 3 2 6" xfId="1236"/>
    <cellStyle name="常规 5 2 4 5 3 3" xfId="29926"/>
    <cellStyle name="常规 5 2 4 5 3 3 2" xfId="29929"/>
    <cellStyle name="常规 5 2 4 5 3 3 2 2" xfId="12627"/>
    <cellStyle name="常规 5 2 4 5 3 3 2 2 2" xfId="22521"/>
    <cellStyle name="常规 5 2 4 5 3 3 2 3" xfId="12630"/>
    <cellStyle name="常规 5 2 4 5 3 3 2 4" xfId="29932"/>
    <cellStyle name="常规 5 2 4 5 3 3 3" xfId="29936"/>
    <cellStyle name="常规 5 2 4 5 3 3 3 2" xfId="12650"/>
    <cellStyle name="常规 5 2 4 5 3 3 4" xfId="5177"/>
    <cellStyle name="常规 5 2 4 5 3 3 5" xfId="6581"/>
    <cellStyle name="常规 5 2 4 5 3 4" xfId="29939"/>
    <cellStyle name="常规 5 2 4 5 3 4 2" xfId="7777"/>
    <cellStyle name="常规 5 2 4 5 3 4 2 2" xfId="1267"/>
    <cellStyle name="常规 5 2 4 5 3 4 3" xfId="2967"/>
    <cellStyle name="常规 5 2 4 5 3 4 4" xfId="6586"/>
    <cellStyle name="常规 5 2 4 5 3 5" xfId="29941"/>
    <cellStyle name="常规 5 2 4 5 3 5 2" xfId="7795"/>
    <cellStyle name="常规 5 2 4 5 3 6" xfId="29375"/>
    <cellStyle name="常规 5 2 4 5 3 7" xfId="26691"/>
    <cellStyle name="常规 5 2 4 5 4" xfId="30745"/>
    <cellStyle name="常规 5 2 4 5 4 2" xfId="30746"/>
    <cellStyle name="常规 5 2 4 5 4 2 2" xfId="1109"/>
    <cellStyle name="常规 5 2 4 5 4 2 2 2" xfId="12781"/>
    <cellStyle name="常规 5 2 4 5 4 2 2 2 2" xfId="30747"/>
    <cellStyle name="常规 5 2 4 5 4 2 2 3" xfId="12784"/>
    <cellStyle name="常规 5 2 4 5 4 2 2 4" xfId="30748"/>
    <cellStyle name="常规 5 2 4 5 4 2 3" xfId="1118"/>
    <cellStyle name="常规 5 2 4 5 4 2 3 2" xfId="12815"/>
    <cellStyle name="常规 5 2 4 5 4 2 4" xfId="223"/>
    <cellStyle name="常规 5 2 4 5 4 2 5" xfId="1277"/>
    <cellStyle name="常规 5 2 4 5 4 3" xfId="29944"/>
    <cellStyle name="常规 5 2 4 5 4 3 2" xfId="29947"/>
    <cellStyle name="常规 5 2 4 5 4 3 2 2" xfId="12855"/>
    <cellStyle name="常规 5 2 4 5 4 3 3" xfId="29951"/>
    <cellStyle name="常规 5 2 4 5 4 3 4" xfId="6594"/>
    <cellStyle name="常规 5 2 4 5 4 4" xfId="29954"/>
    <cellStyle name="常规 5 2 4 5 4 4 2" xfId="6078"/>
    <cellStyle name="常规 5 2 4 5 4 5" xfId="29956"/>
    <cellStyle name="常规 5 2 4 5 4 6" xfId="29958"/>
    <cellStyle name="常规 5 2 4 5 5" xfId="30750"/>
    <cellStyle name="常规 5 2 4 5 5 2" xfId="30751"/>
    <cellStyle name="常规 5 2 4 5 5 2 2" xfId="1143"/>
    <cellStyle name="常规 5 2 4 5 5 2 2 2" xfId="12937"/>
    <cellStyle name="常规 5 2 4 5 5 2 3" xfId="1150"/>
    <cellStyle name="常规 5 2 4 5 5 2 4" xfId="1304"/>
    <cellStyle name="常规 5 2 4 5 5 3" xfId="29961"/>
    <cellStyle name="常规 5 2 4 5 5 3 2" xfId="29963"/>
    <cellStyle name="常规 5 2 4 5 5 4" xfId="15575"/>
    <cellStyle name="常规 5 2 4 5 5 5" xfId="15578"/>
    <cellStyle name="常规 5 2 4 5 6" xfId="20530"/>
    <cellStyle name="常规 5 2 4 5 6 2" xfId="30753"/>
    <cellStyle name="常规 5 2 4 5 6 2 2" xfId="1646"/>
    <cellStyle name="常规 5 2 4 5 6 3" xfId="19134"/>
    <cellStyle name="常规 5 2 4 5 6 4" xfId="15584"/>
    <cellStyle name="常规 5 2 4 5 7" xfId="21868"/>
    <cellStyle name="常规 5 2 4 5 7 2" xfId="30755"/>
    <cellStyle name="常规 5 2 4 5 8" xfId="30757"/>
    <cellStyle name="常规 5 2 4 5 9" xfId="30759"/>
    <cellStyle name="常规 5 2 4 6" xfId="30760"/>
    <cellStyle name="常规 5 2 4 6 2" xfId="30761"/>
    <cellStyle name="常规 5 2 4 6 2 2" xfId="23873"/>
    <cellStyle name="常规 5 2 4 6 2 2 2" xfId="23875"/>
    <cellStyle name="常规 5 2 4 6 2 2 2 2" xfId="14147"/>
    <cellStyle name="常规 5 2 4 6 2 2 2 2 2" xfId="14150"/>
    <cellStyle name="常规 5 2 4 6 2 2 2 2 2 2" xfId="30763"/>
    <cellStyle name="常规 5 2 4 6 2 2 2 2 3" xfId="30764"/>
    <cellStyle name="常规 5 2 4 6 2 2 2 2 4" xfId="3197"/>
    <cellStyle name="常规 5 2 4 6 2 2 2 3" xfId="14154"/>
    <cellStyle name="常规 5 2 4 6 2 2 2 3 2" xfId="30765"/>
    <cellStyle name="常规 5 2 4 6 2 2 2 4" xfId="5861"/>
    <cellStyle name="常规 5 2 4 6 2 2 2 5" xfId="5522"/>
    <cellStyle name="常规 5 2 4 6 2 2 3" xfId="21120"/>
    <cellStyle name="常规 5 2 4 6 2 2 3 2" xfId="14181"/>
    <cellStyle name="常规 5 2 4 6 2 2 3 2 2" xfId="30767"/>
    <cellStyle name="常规 5 2 4 6 2 2 3 3" xfId="14184"/>
    <cellStyle name="常规 5 2 4 6 2 2 3 4" xfId="2523"/>
    <cellStyle name="常规 5 2 4 6 2 2 4" xfId="21123"/>
    <cellStyle name="常规 5 2 4 6 2 2 4 2" xfId="14194"/>
    <cellStyle name="常规 5 2 4 6 2 2 5" xfId="19698"/>
    <cellStyle name="常规 5 2 4 6 2 2 6" xfId="30769"/>
    <cellStyle name="常规 5 2 4 6 2 3" xfId="23877"/>
    <cellStyle name="常规 5 2 4 6 2 3 2" xfId="25445"/>
    <cellStyle name="常规 5 2 4 6 2 3 2 2" xfId="14237"/>
    <cellStyle name="常规 5 2 4 6 2 3 2 2 2" xfId="30003"/>
    <cellStyle name="常规 5 2 4 6 2 3 2 3" xfId="14243"/>
    <cellStyle name="常规 5 2 4 6 2 3 2 4" xfId="5877"/>
    <cellStyle name="常规 5 2 4 6 2 3 3" xfId="25452"/>
    <cellStyle name="常规 5 2 4 6 2 3 3 2" xfId="14266"/>
    <cellStyle name="常规 5 2 4 6 2 3 4" xfId="25457"/>
    <cellStyle name="常规 5 2 4 6 2 3 5" xfId="30042"/>
    <cellStyle name="常规 5 2 4 6 2 4" xfId="23880"/>
    <cellStyle name="常规 5 2 4 6 2 4 2" xfId="25511"/>
    <cellStyle name="常规 5 2 4 6 2 4 2 2" xfId="9031"/>
    <cellStyle name="常规 5 2 4 6 2 4 3" xfId="25517"/>
    <cellStyle name="常规 5 2 4 6 2 4 4" xfId="30048"/>
    <cellStyle name="常规 5 2 4 6 2 5" xfId="30052"/>
    <cellStyle name="常规 5 2 4 6 2 5 2" xfId="25544"/>
    <cellStyle name="常规 5 2 4 6 2 6" xfId="29384"/>
    <cellStyle name="常规 5 2 4 6 2 7" xfId="26716"/>
    <cellStyle name="常规 5 2 4 6 3" xfId="30770"/>
    <cellStyle name="常规 5 2 4 6 3 2" xfId="23885"/>
    <cellStyle name="常规 5 2 4 6 3 2 2" xfId="30771"/>
    <cellStyle name="常规 5 2 4 6 3 2 2 2" xfId="14351"/>
    <cellStyle name="常规 5 2 4 6 3 2 2 2 2" xfId="30406"/>
    <cellStyle name="常规 5 2 4 6 3 2 2 3" xfId="14353"/>
    <cellStyle name="常规 5 2 4 6 3 2 2 4" xfId="3379"/>
    <cellStyle name="常规 5 2 4 6 3 2 3" xfId="30773"/>
    <cellStyle name="常规 5 2 4 6 3 2 3 2" xfId="14380"/>
    <cellStyle name="常规 5 2 4 6 3 2 4" xfId="5550"/>
    <cellStyle name="常规 5 2 4 6 3 2 5" xfId="2554"/>
    <cellStyle name="常规 5 2 4 6 3 3" xfId="23887"/>
    <cellStyle name="常规 5 2 4 6 3 3 2" xfId="25719"/>
    <cellStyle name="常规 5 2 4 6 3 3 2 2" xfId="14414"/>
    <cellStyle name="常规 5 2 4 6 3 3 3" xfId="25727"/>
    <cellStyle name="常规 5 2 4 6 3 3 4" xfId="2266"/>
    <cellStyle name="常规 5 2 4 6 3 4" xfId="5568"/>
    <cellStyle name="常规 5 2 4 6 3 4 2" xfId="5574"/>
    <cellStyle name="常规 5 2 4 6 3 5" xfId="5594"/>
    <cellStyle name="常规 5 2 4 6 3 6" xfId="4946"/>
    <cellStyle name="常规 5 2 4 6 4" xfId="30762"/>
    <cellStyle name="常规 5 2 4 6 4 2" xfId="344"/>
    <cellStyle name="常规 5 2 4 6 4 2 2" xfId="30775"/>
    <cellStyle name="常规 5 2 4 6 4 2 2 2" xfId="5239"/>
    <cellStyle name="常规 5 2 4 6 4 2 3" xfId="30778"/>
    <cellStyle name="常规 5 2 4 6 4 2 4" xfId="5620"/>
    <cellStyle name="常规 5 2 4 6 4 3" xfId="30078"/>
    <cellStyle name="常规 5 2 4 6 4 3 2" xfId="25804"/>
    <cellStyle name="常规 5 2 4 6 4 4" xfId="5636"/>
    <cellStyle name="常规 5 2 4 6 4 5" xfId="5648"/>
    <cellStyle name="常规 5 2 4 6 5" xfId="30779"/>
    <cellStyle name="常规 5 2 4 6 5 2" xfId="30780"/>
    <cellStyle name="常规 5 2 4 6 5 2 2" xfId="30781"/>
    <cellStyle name="常规 5 2 4 6 5 3" xfId="30083"/>
    <cellStyle name="常规 5 2 4 6 5 4" xfId="5661"/>
    <cellStyle name="常规 5 2 4 6 6" xfId="30783"/>
    <cellStyle name="常规 5 2 4 6 6 2" xfId="30785"/>
    <cellStyle name="常规 5 2 4 6 7" xfId="30787"/>
    <cellStyle name="常规 5 2 4 6 8" xfId="30789"/>
    <cellStyle name="常规 5 2 4 7" xfId="30790"/>
    <cellStyle name="常规 5 2 4 7 2" xfId="30791"/>
    <cellStyle name="常规 5 2 4 7 2 2" xfId="23905"/>
    <cellStyle name="常规 5 2 4 7 2 2 2" xfId="30792"/>
    <cellStyle name="常规 5 2 4 7 2 2 2 2" xfId="15050"/>
    <cellStyle name="常规 5 2 4 7 2 2 2 2 2" xfId="30794"/>
    <cellStyle name="常规 5 2 4 7 2 2 2 3" xfId="15052"/>
    <cellStyle name="常规 5 2 4 7 2 2 2 4" xfId="5925"/>
    <cellStyle name="常规 5 2 4 7 2 2 3" xfId="30796"/>
    <cellStyle name="常规 5 2 4 7 2 2 3 2" xfId="15059"/>
    <cellStyle name="常规 5 2 4 7 2 2 4" xfId="30798"/>
    <cellStyle name="常规 5 2 4 7 2 2 5" xfId="30801"/>
    <cellStyle name="常规 5 2 4 7 2 3" xfId="23907"/>
    <cellStyle name="常规 5 2 4 7 2 3 2" xfId="26227"/>
    <cellStyle name="常规 5 2 4 7 2 3 2 2" xfId="15078"/>
    <cellStyle name="常规 5 2 4 7 2 3 3" xfId="26233"/>
    <cellStyle name="常规 5 2 4 7 2 3 4" xfId="26236"/>
    <cellStyle name="常规 5 2 4 7 2 4" xfId="30132"/>
    <cellStyle name="常规 5 2 4 7 2 4 2" xfId="26274"/>
    <cellStyle name="常规 5 2 4 7 2 5" xfId="30137"/>
    <cellStyle name="常规 5 2 4 7 2 6" xfId="30139"/>
    <cellStyle name="常规 5 2 4 7 3" xfId="30802"/>
    <cellStyle name="常规 5 2 4 7 3 2" xfId="30803"/>
    <cellStyle name="常规 5 2 4 7 3 2 2" xfId="30804"/>
    <cellStyle name="常规 5 2 4 7 3 2 2 2" xfId="15122"/>
    <cellStyle name="常规 5 2 4 7 3 2 3" xfId="30806"/>
    <cellStyle name="常规 5 2 4 7 3 2 4" xfId="5719"/>
    <cellStyle name="常规 5 2 4 7 3 3" xfId="30144"/>
    <cellStyle name="常规 5 2 4 7 3 3 2" xfId="26396"/>
    <cellStyle name="常规 5 2 4 7 3 4" xfId="5745"/>
    <cellStyle name="常规 5 2 4 7 3 5" xfId="5760"/>
    <cellStyle name="常规 5 2 4 7 4" xfId="30807"/>
    <cellStyle name="常规 5 2 4 7 4 2" xfId="30808"/>
    <cellStyle name="常规 5 2 4 7 4 2 2" xfId="30809"/>
    <cellStyle name="常规 5 2 4 7 4 3" xfId="30150"/>
    <cellStyle name="常规 5 2 4 7 4 4" xfId="5780"/>
    <cellStyle name="常规 5 2 4 7 5" xfId="30810"/>
    <cellStyle name="常规 5 2 4 7 5 2" xfId="20643"/>
    <cellStyle name="常规 5 2 4 7 6" xfId="30812"/>
    <cellStyle name="常规 5 2 4 7 7" xfId="30814"/>
    <cellStyle name="常规 5 2 4 8" xfId="26028"/>
    <cellStyle name="常规 5 2 4 8 2" xfId="30815"/>
    <cellStyle name="常规 5 2 4 8 2 2" xfId="30816"/>
    <cellStyle name="常规 5 2 4 8 2 2 2" xfId="30818"/>
    <cellStyle name="常规 5 2 4 8 2 2 2 2" xfId="15606"/>
    <cellStyle name="常规 5 2 4 8 2 2 3" xfId="27323"/>
    <cellStyle name="常规 5 2 4 8 2 2 4" xfId="27326"/>
    <cellStyle name="常规 5 2 4 8 2 3" xfId="21160"/>
    <cellStyle name="常规 5 2 4 8 2 3 2" xfId="21166"/>
    <cellStyle name="常规 5 2 4 8 2 4" xfId="21182"/>
    <cellStyle name="常规 5 2 4 8 2 5" xfId="21187"/>
    <cellStyle name="常规 5 2 4 8 3" xfId="30819"/>
    <cellStyle name="常规 5 2 4 8 3 2" xfId="30820"/>
    <cellStyle name="常规 5 2 4 8 3 2 2" xfId="30822"/>
    <cellStyle name="常规 5 2 4 8 3 3" xfId="30166"/>
    <cellStyle name="常规 5 2 4 8 3 4" xfId="5815"/>
    <cellStyle name="常规 5 2 4 8 4" xfId="30823"/>
    <cellStyle name="常规 5 2 4 8 4 2" xfId="30824"/>
    <cellStyle name="常规 5 2 4 8 5" xfId="28961"/>
    <cellStyle name="常规 5 2 4 8 6" xfId="28970"/>
    <cellStyle name="常规 5 2 4 9" xfId="30825"/>
    <cellStyle name="常规 5 2 4 9 2" xfId="30826"/>
    <cellStyle name="常规 5 2 4 9 2 2" xfId="30827"/>
    <cellStyle name="常规 5 2 4 9 2 2 2" xfId="30829"/>
    <cellStyle name="常规 5 2 4 9 2 3" xfId="30181"/>
    <cellStyle name="常规 5 2 4 9 2 4" xfId="30183"/>
    <cellStyle name="常规 5 2 4 9 3" xfId="30830"/>
    <cellStyle name="常规 5 2 4 9 3 2" xfId="30831"/>
    <cellStyle name="常规 5 2 4 9 4" xfId="30832"/>
    <cellStyle name="常规 5 2 4 9 5" xfId="28975"/>
    <cellStyle name="常规 5 2 5" xfId="30834"/>
    <cellStyle name="常规 5 2 5 10" xfId="30835"/>
    <cellStyle name="常规 5 2 5 10 2" xfId="30837"/>
    <cellStyle name="常规 5 2 5 11" xfId="30838"/>
    <cellStyle name="常规 5 2 5 12" xfId="30469"/>
    <cellStyle name="常规 5 2 5 2" xfId="30840"/>
    <cellStyle name="常规 5 2 5 2 10" xfId="216"/>
    <cellStyle name="常规 5 2 5 2 11" xfId="30842"/>
    <cellStyle name="常规 5 2 5 2 2" xfId="11915"/>
    <cellStyle name="常规 5 2 5 2 2 2" xfId="11917"/>
    <cellStyle name="常规 5 2 5 2 2 2 2" xfId="11920"/>
    <cellStyle name="常规 5 2 5 2 2 2 2 2" xfId="17138"/>
    <cellStyle name="常规 5 2 5 2 2 2 2 2 2" xfId="17140"/>
    <cellStyle name="常规 5 2 5 2 2 2 2 2 2 2" xfId="30844"/>
    <cellStyle name="常规 5 2 5 2 2 2 2 2 2 2 2" xfId="30846"/>
    <cellStyle name="常规 5 2 5 2 2 2 2 2 2 2 2 2" xfId="30848"/>
    <cellStyle name="常规 5 2 5 2 2 2 2 2 2 2 3" xfId="30849"/>
    <cellStyle name="常规 5 2 5 2 2 2 2 2 2 2 4" xfId="30851"/>
    <cellStyle name="常规 5 2 5 2 2 2 2 2 2 3" xfId="30853"/>
    <cellStyle name="常规 5 2 5 2 2 2 2 2 2 3 2" xfId="30854"/>
    <cellStyle name="常规 5 2 5 2 2 2 2 2 2 4" xfId="29509"/>
    <cellStyle name="常规 5 2 5 2 2 2 2 2 2 5" xfId="20267"/>
    <cellStyle name="常规 5 2 5 2 2 2 2 2 3" xfId="9448"/>
    <cellStyle name="常规 5 2 5 2 2 2 2 2 3 2" xfId="30855"/>
    <cellStyle name="常规 5 2 5 2 2 2 2 2 3 2 2" xfId="30856"/>
    <cellStyle name="常规 5 2 5 2 2 2 2 2 3 3" xfId="16266"/>
    <cellStyle name="常规 5 2 5 2 2 2 2 2 3 4" xfId="30857"/>
    <cellStyle name="常规 5 2 5 2 2 2 2 2 4" xfId="30860"/>
    <cellStyle name="常规 5 2 5 2 2 2 2 2 4 2" xfId="30862"/>
    <cellStyle name="常规 5 2 5 2 2 2 2 2 5" xfId="30864"/>
    <cellStyle name="常规 5 2 5 2 2 2 2 2 6" xfId="20223"/>
    <cellStyle name="常规 5 2 5 2 2 2 2 3" xfId="17142"/>
    <cellStyle name="常规 5 2 5 2 2 2 2 3 2" xfId="30865"/>
    <cellStyle name="常规 5 2 5 2 2 2 2 3 2 2" xfId="30866"/>
    <cellStyle name="常规 5 2 5 2 2 2 2 3 2 2 2" xfId="30867"/>
    <cellStyle name="常规 5 2 5 2 2 2 2 3 2 3" xfId="30868"/>
    <cellStyle name="常规 5 2 5 2 2 2 2 3 2 4" xfId="30869"/>
    <cellStyle name="常规 5 2 5 2 2 2 2 3 3" xfId="30870"/>
    <cellStyle name="常规 5 2 5 2 2 2 2 3 3 2" xfId="15600"/>
    <cellStyle name="常规 5 2 5 2 2 2 2 3 4" xfId="30872"/>
    <cellStyle name="常规 5 2 5 2 2 2 2 3 5" xfId="4882"/>
    <cellStyle name="常规 5 2 5 2 2 2 2 4" xfId="17144"/>
    <cellStyle name="常规 5 2 5 2 2 2 2 4 2" xfId="30873"/>
    <cellStyle name="常规 5 2 5 2 2 2 2 4 2 2" xfId="30874"/>
    <cellStyle name="常规 5 2 5 2 2 2 2 4 3" xfId="30875"/>
    <cellStyle name="常规 5 2 5 2 2 2 2 4 4" xfId="27104"/>
    <cellStyle name="常规 5 2 5 2 2 2 2 5" xfId="30876"/>
    <cellStyle name="常规 5 2 5 2 2 2 2 5 2" xfId="30877"/>
    <cellStyle name="常规 5 2 5 2 2 2 2 6" xfId="30879"/>
    <cellStyle name="常规 5 2 5 2 2 2 2 7" xfId="30881"/>
    <cellStyle name="常规 5 2 5 2 2 2 3" xfId="17146"/>
    <cellStyle name="常规 5 2 5 2 2 2 3 2" xfId="17148"/>
    <cellStyle name="常规 5 2 5 2 2 2 3 2 2" xfId="30882"/>
    <cellStyle name="常规 5 2 5 2 2 2 3 2 2 2" xfId="30386"/>
    <cellStyle name="常规 5 2 5 2 2 2 3 2 2 2 2" xfId="30885"/>
    <cellStyle name="常规 5 2 5 2 2 2 3 2 2 3" xfId="30886"/>
    <cellStyle name="常规 5 2 5 2 2 2 3 2 2 4" xfId="30887"/>
    <cellStyle name="常规 5 2 5 2 2 2 3 2 3" xfId="30888"/>
    <cellStyle name="常规 5 2 5 2 2 2 3 2 3 2" xfId="30889"/>
    <cellStyle name="常规 5 2 5 2 2 2 3 2 4" xfId="30892"/>
    <cellStyle name="常规 5 2 5 2 2 2 3 2 5" xfId="19432"/>
    <cellStyle name="常规 5 2 5 2 2 2 3 3" xfId="30893"/>
    <cellStyle name="常规 5 2 5 2 2 2 3 3 2" xfId="30894"/>
    <cellStyle name="常规 5 2 5 2 2 2 3 3 2 2" xfId="30895"/>
    <cellStyle name="常规 5 2 5 2 2 2 3 3 3" xfId="30896"/>
    <cellStyle name="常规 5 2 5 2 2 2 3 3 4" xfId="30897"/>
    <cellStyle name="常规 5 2 5 2 2 2 3 4" xfId="30898"/>
    <cellStyle name="常规 5 2 5 2 2 2 3 4 2" xfId="30899"/>
    <cellStyle name="常规 5 2 5 2 2 2 3 5" xfId="30900"/>
    <cellStyle name="常规 5 2 5 2 2 2 3 6" xfId="30902"/>
    <cellStyle name="常规 5 2 5 2 2 2 4" xfId="17150"/>
    <cellStyle name="常规 5 2 5 2 2 2 4 2" xfId="30903"/>
    <cellStyle name="常规 5 2 5 2 2 2 4 2 2" xfId="6692"/>
    <cellStyle name="常规 5 2 5 2 2 2 4 2 2 2" xfId="30507"/>
    <cellStyle name="常规 5 2 5 2 2 2 4 2 3" xfId="6694"/>
    <cellStyle name="常规 5 2 5 2 2 2 4 2 4" xfId="30904"/>
    <cellStyle name="常规 5 2 5 2 2 2 4 3" xfId="30907"/>
    <cellStyle name="常规 5 2 5 2 2 2 4 3 2" xfId="30908"/>
    <cellStyle name="常规 5 2 5 2 2 2 4 4" xfId="30909"/>
    <cellStyle name="常规 5 2 5 2 2 2 4 5" xfId="30910"/>
    <cellStyle name="常规 5 2 5 2 2 2 5" xfId="1855"/>
    <cellStyle name="常规 5 2 5 2 2 2 5 2" xfId="30911"/>
    <cellStyle name="常规 5 2 5 2 2 2 5 2 2" xfId="30912"/>
    <cellStyle name="常规 5 2 5 2 2 2 5 3" xfId="30913"/>
    <cellStyle name="常规 5 2 5 2 2 2 5 4" xfId="30914"/>
    <cellStyle name="常规 5 2 5 2 2 2 6" xfId="26924"/>
    <cellStyle name="常规 5 2 5 2 2 2 6 2" xfId="26927"/>
    <cellStyle name="常规 5 2 5 2 2 2 7" xfId="26936"/>
    <cellStyle name="常规 5 2 5 2 2 2 8" xfId="26942"/>
    <cellStyle name="常规 5 2 5 2 2 3" xfId="11923"/>
    <cellStyle name="常规 5 2 5 2 2 3 2" xfId="17152"/>
    <cellStyle name="常规 5 2 5 2 2 3 2 2" xfId="17154"/>
    <cellStyle name="常规 5 2 5 2 2 3 2 2 2" xfId="30915"/>
    <cellStyle name="常规 5 2 5 2 2 3 2 2 2 2" xfId="27187"/>
    <cellStyle name="常规 5 2 5 2 2 3 2 2 2 2 2" xfId="30918"/>
    <cellStyle name="常规 5 2 5 2 2 3 2 2 2 3" xfId="29522"/>
    <cellStyle name="常规 5 2 5 2 2 3 2 2 2 4" xfId="29624"/>
    <cellStyle name="常规 5 2 5 2 2 3 2 2 3" xfId="30919"/>
    <cellStyle name="常规 5 2 5 2 2 3 2 2 3 2" xfId="29527"/>
    <cellStyle name="常规 5 2 5 2 2 3 2 2 4" xfId="30920"/>
    <cellStyle name="常规 5 2 5 2 2 3 2 2 5" xfId="30921"/>
    <cellStyle name="常规 5 2 5 2 2 3 2 3" xfId="30922"/>
    <cellStyle name="常规 5 2 5 2 2 3 2 3 2" xfId="30923"/>
    <cellStyle name="常规 5 2 5 2 2 3 2 3 2 2" xfId="29540"/>
    <cellStyle name="常规 5 2 5 2 2 3 2 3 3" xfId="30924"/>
    <cellStyle name="常规 5 2 5 2 2 3 2 3 4" xfId="30925"/>
    <cellStyle name="常规 5 2 5 2 2 3 2 4" xfId="30926"/>
    <cellStyle name="常规 5 2 5 2 2 3 2 4 2" xfId="30927"/>
    <cellStyle name="常规 5 2 5 2 2 3 2 5" xfId="30928"/>
    <cellStyle name="常规 5 2 5 2 2 3 2 6" xfId="11086"/>
    <cellStyle name="常规 5 2 5 2 2 3 3" xfId="17156"/>
    <cellStyle name="常规 5 2 5 2 2 3 3 2" xfId="8851"/>
    <cellStyle name="常规 5 2 5 2 2 3 3 2 2" xfId="8853"/>
    <cellStyle name="常规 5 2 5 2 2 3 3 2 2 2" xfId="29639"/>
    <cellStyle name="常规 5 2 5 2 2 3 3 2 3" xfId="30929"/>
    <cellStyle name="常规 5 2 5 2 2 3 3 2 4" xfId="30930"/>
    <cellStyle name="常规 5 2 5 2 2 3 3 3" xfId="8855"/>
    <cellStyle name="常规 5 2 5 2 2 3 3 3 2" xfId="30931"/>
    <cellStyle name="常规 5 2 5 2 2 3 3 4" xfId="8857"/>
    <cellStyle name="常规 5 2 5 2 2 3 3 5" xfId="30932"/>
    <cellStyle name="常规 5 2 5 2 2 3 4" xfId="17158"/>
    <cellStyle name="常规 5 2 5 2 2 3 4 2" xfId="8863"/>
    <cellStyle name="常规 5 2 5 2 2 3 4 2 2" xfId="30933"/>
    <cellStyle name="常规 5 2 5 2 2 3 4 3" xfId="8866"/>
    <cellStyle name="常规 5 2 5 2 2 3 4 4" xfId="30257"/>
    <cellStyle name="常规 5 2 5 2 2 3 5" xfId="30934"/>
    <cellStyle name="常规 5 2 5 2 2 3 5 2" xfId="16962"/>
    <cellStyle name="常规 5 2 5 2 2 3 6" xfId="26950"/>
    <cellStyle name="常规 5 2 5 2 2 3 7" xfId="26968"/>
    <cellStyle name="常规 5 2 5 2 2 4" xfId="11926"/>
    <cellStyle name="常规 5 2 5 2 2 4 2" xfId="16617"/>
    <cellStyle name="常规 5 2 5 2 2 4 2 2" xfId="16621"/>
    <cellStyle name="常规 5 2 5 2 2 4 2 2 2" xfId="30935"/>
    <cellStyle name="常规 5 2 5 2 2 4 2 2 2 2" xfId="29862"/>
    <cellStyle name="常规 5 2 5 2 2 4 2 2 3" xfId="30936"/>
    <cellStyle name="常规 5 2 5 2 2 4 2 2 4" xfId="30845"/>
    <cellStyle name="常规 5 2 5 2 2 4 2 3" xfId="30937"/>
    <cellStyle name="常规 5 2 5 2 2 4 2 3 2" xfId="30938"/>
    <cellStyle name="常规 5 2 5 2 2 4 2 4" xfId="30939"/>
    <cellStyle name="常规 5 2 5 2 2 4 2 5" xfId="30940"/>
    <cellStyle name="常规 5 2 5 2 2 4 3" xfId="16623"/>
    <cellStyle name="常规 5 2 5 2 2 4 3 2" xfId="8881"/>
    <cellStyle name="常规 5 2 5 2 2 4 3 2 2" xfId="30941"/>
    <cellStyle name="常规 5 2 5 2 2 4 3 3" xfId="8883"/>
    <cellStyle name="常规 5 2 5 2 2 4 3 4" xfId="30942"/>
    <cellStyle name="常规 5 2 5 2 2 4 4" xfId="16625"/>
    <cellStyle name="常规 5 2 5 2 2 4 4 2" xfId="16972"/>
    <cellStyle name="常规 5 2 5 2 2 4 5" xfId="30943"/>
    <cellStyle name="常规 5 2 5 2 2 4 6" xfId="26985"/>
    <cellStyle name="常规 5 2 5 2 2 5" xfId="17160"/>
    <cellStyle name="常规 5 2 5 2 2 5 2" xfId="30944"/>
    <cellStyle name="常规 5 2 5 2 2 5 2 2" xfId="30945"/>
    <cellStyle name="常规 5 2 5 2 2 5 2 2 2" xfId="30946"/>
    <cellStyle name="常规 5 2 5 2 2 5 2 3" xfId="5044"/>
    <cellStyle name="常规 5 2 5 2 2 5 2 4" xfId="5047"/>
    <cellStyle name="常规 5 2 5 2 2 5 3" xfId="30947"/>
    <cellStyle name="常规 5 2 5 2 2 5 3 2" xfId="5900"/>
    <cellStyle name="常规 5 2 5 2 2 5 4" xfId="17825"/>
    <cellStyle name="常规 5 2 5 2 2 5 5" xfId="30950"/>
    <cellStyle name="常规 5 2 5 2 2 6" xfId="17162"/>
    <cellStyle name="常规 5 2 5 2 2 6 2" xfId="30951"/>
    <cellStyle name="常规 5 2 5 2 2 6 2 2" xfId="30952"/>
    <cellStyle name="常规 5 2 5 2 2 6 3" xfId="15768"/>
    <cellStyle name="常规 5 2 5 2 2 6 4" xfId="30955"/>
    <cellStyle name="常规 5 2 5 2 2 7" xfId="19290"/>
    <cellStyle name="常规 5 2 5 2 2 7 2" xfId="19005"/>
    <cellStyle name="常规 5 2 5 2 2 8" xfId="19292"/>
    <cellStyle name="常规 5 2 5 2 2 9" xfId="19294"/>
    <cellStyle name="常规 5 2 5 2 3" xfId="11930"/>
    <cellStyle name="常规 5 2 5 2 3 2" xfId="2000"/>
    <cellStyle name="常规 5 2 5 2 3 2 2" xfId="17315"/>
    <cellStyle name="常规 5 2 5 2 3 2 2 2" xfId="17317"/>
    <cellStyle name="常规 5 2 5 2 3 2 2 2 2" xfId="17319"/>
    <cellStyle name="常规 5 2 5 2 3 2 2 2 2 2" xfId="15953"/>
    <cellStyle name="常规 5 2 5 2 3 2 2 2 2 2 2" xfId="18026"/>
    <cellStyle name="常规 5 2 5 2 3 2 2 2 2 2 2 2" xfId="18028"/>
    <cellStyle name="常规 5 2 5 2 3 2 2 2 2 2 3" xfId="18035"/>
    <cellStyle name="常规 5 2 5 2 3 2 2 2 2 2 4" xfId="18038"/>
    <cellStyle name="常规 5 2 5 2 3 2 2 2 2 3" xfId="2100"/>
    <cellStyle name="常规 5 2 5 2 3 2 2 2 2 3 2" xfId="18041"/>
    <cellStyle name="常规 5 2 5 2 3 2 2 2 2 4" xfId="18048"/>
    <cellStyle name="常规 5 2 5 2 3 2 2 2 2 5" xfId="10728"/>
    <cellStyle name="常规 5 2 5 2 3 2 2 2 3" xfId="30956"/>
    <cellStyle name="常规 5 2 5 2 3 2 2 2 3 2" xfId="18071"/>
    <cellStyle name="常规 5 2 5 2 3 2 2 2 3 2 2" xfId="18073"/>
    <cellStyle name="常规 5 2 5 2 3 2 2 2 3 3" xfId="18079"/>
    <cellStyle name="常规 5 2 5 2 3 2 2 2 3 4" xfId="18084"/>
    <cellStyle name="常规 5 2 5 2 3 2 2 2 4" xfId="30318"/>
    <cellStyle name="常规 5 2 5 2 3 2 2 2 4 2" xfId="18093"/>
    <cellStyle name="常规 5 2 5 2 3 2 2 2 5" xfId="30957"/>
    <cellStyle name="常规 5 2 5 2 3 2 2 2 6" xfId="20790"/>
    <cellStyle name="常规 5 2 5 2 3 2 2 3" xfId="17321"/>
    <cellStyle name="常规 5 2 5 2 3 2 2 3 2" xfId="30958"/>
    <cellStyle name="常规 5 2 5 2 3 2 2 3 2 2" xfId="18225"/>
    <cellStyle name="常规 5 2 5 2 3 2 2 3 2 2 2" xfId="18227"/>
    <cellStyle name="常规 5 2 5 2 3 2 2 3 2 3" xfId="18229"/>
    <cellStyle name="常规 5 2 5 2 3 2 2 3 2 4" xfId="18232"/>
    <cellStyle name="常规 5 2 5 2 3 2 2 3 3" xfId="30961"/>
    <cellStyle name="常规 5 2 5 2 3 2 2 3 3 2" xfId="18235"/>
    <cellStyle name="常规 5 2 5 2 3 2 2 3 4" xfId="30962"/>
    <cellStyle name="常规 5 2 5 2 3 2 2 3 5" xfId="30963"/>
    <cellStyle name="常规 5 2 5 2 3 2 2 4" xfId="17323"/>
    <cellStyle name="常规 5 2 5 2 3 2 2 4 2" xfId="30964"/>
    <cellStyle name="常规 5 2 5 2 3 2 2 4 2 2" xfId="18481"/>
    <cellStyle name="常规 5 2 5 2 3 2 2 4 3" xfId="24906"/>
    <cellStyle name="常规 5 2 5 2 3 2 2 4 4" xfId="24911"/>
    <cellStyle name="常规 5 2 5 2 3 2 2 5" xfId="30965"/>
    <cellStyle name="常规 5 2 5 2 3 2 2 5 2" xfId="30966"/>
    <cellStyle name="常规 5 2 5 2 3 2 2 6" xfId="30968"/>
    <cellStyle name="常规 5 2 5 2 3 2 2 7" xfId="30793"/>
    <cellStyle name="常规 5 2 5 2 3 2 3" xfId="17325"/>
    <cellStyle name="常规 5 2 5 2 3 2 3 2" xfId="17327"/>
    <cellStyle name="常规 5 2 5 2 3 2 3 2 2" xfId="20246"/>
    <cellStyle name="常规 5 2 5 2 3 2 3 2 2 2" xfId="19575"/>
    <cellStyle name="常规 5 2 5 2 3 2 3 2 2 2 2" xfId="19580"/>
    <cellStyle name="常规 5 2 5 2 3 2 3 2 2 3" xfId="19582"/>
    <cellStyle name="常规 5 2 5 2 3 2 3 2 2 4" xfId="19585"/>
    <cellStyle name="常规 5 2 5 2 3 2 3 2 3" xfId="20249"/>
    <cellStyle name="常规 5 2 5 2 3 2 3 2 3 2" xfId="19589"/>
    <cellStyle name="常规 5 2 5 2 3 2 3 2 4" xfId="20252"/>
    <cellStyle name="常规 5 2 5 2 3 2 3 2 5" xfId="30969"/>
    <cellStyle name="常规 5 2 5 2 3 2 3 3" xfId="20255"/>
    <cellStyle name="常规 5 2 5 2 3 2 3 3 2" xfId="20258"/>
    <cellStyle name="常规 5 2 5 2 3 2 3 3 2 2" xfId="19668"/>
    <cellStyle name="常规 5 2 5 2 3 2 3 3 3" xfId="30970"/>
    <cellStyle name="常规 5 2 5 2 3 2 3 3 4" xfId="30971"/>
    <cellStyle name="常规 5 2 5 2 3 2 3 4" xfId="20261"/>
    <cellStyle name="常规 5 2 5 2 3 2 3 4 2" xfId="30972"/>
    <cellStyle name="常规 5 2 5 2 3 2 3 5" xfId="20264"/>
    <cellStyle name="常规 5 2 5 2 3 2 3 6" xfId="30973"/>
    <cellStyle name="常规 5 2 5 2 3 2 4" xfId="17331"/>
    <cellStyle name="常规 5 2 5 2 3 2 4 2" xfId="20447"/>
    <cellStyle name="常规 5 2 5 2 3 2 4 2 2" xfId="20450"/>
    <cellStyle name="常规 5 2 5 2 3 2 4 2 2 2" xfId="20453"/>
    <cellStyle name="常规 5 2 5 2 3 2 4 2 3" xfId="20455"/>
    <cellStyle name="常规 5 2 5 2 3 2 4 2 4" xfId="20457"/>
    <cellStyle name="常规 5 2 5 2 3 2 4 3" xfId="20460"/>
    <cellStyle name="常规 5 2 5 2 3 2 4 3 2" xfId="20463"/>
    <cellStyle name="常规 5 2 5 2 3 2 4 4" xfId="20465"/>
    <cellStyle name="常规 5 2 5 2 3 2 4 5" xfId="20468"/>
    <cellStyle name="常规 5 2 5 2 3 2 5" xfId="17333"/>
    <cellStyle name="常规 5 2 5 2 3 2 5 2" xfId="20547"/>
    <cellStyle name="常规 5 2 5 2 3 2 5 2 2" xfId="20550"/>
    <cellStyle name="常规 5 2 5 2 3 2 5 3" xfId="20553"/>
    <cellStyle name="常规 5 2 5 2 3 2 5 4" xfId="5800"/>
    <cellStyle name="常规 5 2 5 2 3 2 6" xfId="20007"/>
    <cellStyle name="常规 5 2 5 2 3 2 6 2" xfId="20597"/>
    <cellStyle name="常规 5 2 5 2 3 2 7" xfId="20010"/>
    <cellStyle name="常规 5 2 5 2 3 2 8" xfId="27021"/>
    <cellStyle name="常规 5 2 5 2 3 3" xfId="2009"/>
    <cellStyle name="常规 5 2 5 2 3 3 2" xfId="17335"/>
    <cellStyle name="常规 5 2 5 2 3 3 2 2" xfId="1918"/>
    <cellStyle name="常规 5 2 5 2 3 3 2 2 2" xfId="30974"/>
    <cellStyle name="常规 5 2 5 2 3 3 2 2 2 2" xfId="30282"/>
    <cellStyle name="常规 5 2 5 2 3 3 2 2 2 2 2" xfId="29456"/>
    <cellStyle name="常规 5 2 5 2 3 3 2 2 2 3" xfId="3583"/>
    <cellStyle name="常规 5 2 5 2 3 3 2 2 2 4" xfId="3591"/>
    <cellStyle name="常规 5 2 5 2 3 3 2 2 3" xfId="30975"/>
    <cellStyle name="常规 5 2 5 2 3 3 2 2 3 2" xfId="30976"/>
    <cellStyle name="常规 5 2 5 2 3 3 2 2 4" xfId="30977"/>
    <cellStyle name="常规 5 2 5 2 3 3 2 2 5" xfId="30978"/>
    <cellStyle name="常规 5 2 5 2 3 3 2 3" xfId="1921"/>
    <cellStyle name="常规 5 2 5 2 3 3 2 3 2" xfId="30979"/>
    <cellStyle name="常规 5 2 5 2 3 3 2 3 2 2" xfId="30980"/>
    <cellStyle name="常规 5 2 5 2 3 3 2 3 3" xfId="30981"/>
    <cellStyle name="常规 5 2 5 2 3 3 2 3 4" xfId="30982"/>
    <cellStyle name="常规 5 2 5 2 3 3 2 4" xfId="30983"/>
    <cellStyle name="常规 5 2 5 2 3 3 2 4 2" xfId="30984"/>
    <cellStyle name="常规 5 2 5 2 3 3 2 5" xfId="30985"/>
    <cellStyle name="常规 5 2 5 2 3 3 2 6" xfId="30986"/>
    <cellStyle name="常规 5 2 5 2 3 3 3" xfId="17337"/>
    <cellStyle name="常规 5 2 5 2 3 3 3 2" xfId="8908"/>
    <cellStyle name="常规 5 2 5 2 3 3 3 2 2" xfId="20805"/>
    <cellStyle name="常规 5 2 5 2 3 3 3 2 2 2" xfId="20429"/>
    <cellStyle name="常规 5 2 5 2 3 3 3 2 3" xfId="20808"/>
    <cellStyle name="常规 5 2 5 2 3 3 3 2 4" xfId="20810"/>
    <cellStyle name="常规 5 2 5 2 3 3 3 3" xfId="8912"/>
    <cellStyle name="常规 5 2 5 2 3 3 3 3 2" xfId="20812"/>
    <cellStyle name="常规 5 2 5 2 3 3 3 4" xfId="20814"/>
    <cellStyle name="常规 5 2 5 2 3 3 3 5" xfId="20818"/>
    <cellStyle name="常规 5 2 5 2 3 3 4" xfId="17339"/>
    <cellStyle name="常规 5 2 5 2 3 3 4 2" xfId="16990"/>
    <cellStyle name="常规 5 2 5 2 3 3 4 2 2" xfId="20895"/>
    <cellStyle name="常规 5 2 5 2 3 3 4 3" xfId="20897"/>
    <cellStyle name="常规 5 2 5 2 3 3 4 4" xfId="20900"/>
    <cellStyle name="常规 5 2 5 2 3 3 5" xfId="30987"/>
    <cellStyle name="常规 5 2 5 2 3 3 5 2" xfId="20945"/>
    <cellStyle name="常规 5 2 5 2 3 3 6" xfId="27026"/>
    <cellStyle name="常规 5 2 5 2 3 3 7" xfId="27030"/>
    <cellStyle name="常规 5 2 5 2 3 4" xfId="2107"/>
    <cellStyle name="常规 5 2 5 2 3 4 2" xfId="17341"/>
    <cellStyle name="常规 5 2 5 2 3 4 2 2" xfId="30989"/>
    <cellStyle name="常规 5 2 5 2 3 4 2 2 2" xfId="30991"/>
    <cellStyle name="常规 5 2 5 2 3 4 2 2 2 2" xfId="15256"/>
    <cellStyle name="常规 5 2 5 2 3 4 2 2 3" xfId="30993"/>
    <cellStyle name="常规 5 2 5 2 3 4 2 2 4" xfId="30884"/>
    <cellStyle name="常规 5 2 5 2 3 4 2 3" xfId="30995"/>
    <cellStyle name="常规 5 2 5 2 3 4 2 3 2" xfId="30997"/>
    <cellStyle name="常规 5 2 5 2 3 4 2 4" xfId="30999"/>
    <cellStyle name="常规 5 2 5 2 3 4 2 5" xfId="31001"/>
    <cellStyle name="常规 5 2 5 2 3 4 3" xfId="31002"/>
    <cellStyle name="常规 5 2 5 2 3 4 3 2" xfId="8730"/>
    <cellStyle name="常规 5 2 5 2 3 4 3 2 2" xfId="31004"/>
    <cellStyle name="常规 5 2 5 2 3 4 3 3" xfId="8735"/>
    <cellStyle name="常规 5 2 5 2 3 4 3 4" xfId="31006"/>
    <cellStyle name="常规 5 2 5 2 3 4 4" xfId="31007"/>
    <cellStyle name="常规 5 2 5 2 3 4 4 2" xfId="8752"/>
    <cellStyle name="常规 5 2 5 2 3 4 5" xfId="31008"/>
    <cellStyle name="常规 5 2 5 2 3 4 6" xfId="27037"/>
    <cellStyle name="常规 5 2 5 2 3 5" xfId="17343"/>
    <cellStyle name="常规 5 2 5 2 3 5 2" xfId="31009"/>
    <cellStyle name="常规 5 2 5 2 3 5 2 2" xfId="16889"/>
    <cellStyle name="常规 5 2 5 2 3 5 2 2 2" xfId="11446"/>
    <cellStyle name="常规 5 2 5 2 3 5 2 3" xfId="1408"/>
    <cellStyle name="常规 5 2 5 2 3 5 2 4" xfId="31011"/>
    <cellStyle name="常规 5 2 5 2 3 5 3" xfId="31012"/>
    <cellStyle name="常规 5 2 5 2 3 5 3 2" xfId="6004"/>
    <cellStyle name="常规 5 2 5 2 3 5 4" xfId="31015"/>
    <cellStyle name="常规 5 2 5 2 3 5 5" xfId="31018"/>
    <cellStyle name="常规 5 2 5 2 3 6" xfId="17345"/>
    <cellStyle name="常规 5 2 5 2 3 6 2" xfId="31019"/>
    <cellStyle name="常规 5 2 5 2 3 6 2 2" xfId="16897"/>
    <cellStyle name="常规 5 2 5 2 3 6 3" xfId="31020"/>
    <cellStyle name="常规 5 2 5 2 3 6 4" xfId="31023"/>
    <cellStyle name="常规 5 2 5 2 3 7" xfId="19297"/>
    <cellStyle name="常规 5 2 5 2 3 7 2" xfId="31025"/>
    <cellStyle name="常规 5 2 5 2 3 8" xfId="31026"/>
    <cellStyle name="常规 5 2 5 2 3 9" xfId="31027"/>
    <cellStyle name="常规 5 2 5 2 4" xfId="11936"/>
    <cellStyle name="常规 5 2 5 2 4 2" xfId="2046"/>
    <cellStyle name="常规 5 2 5 2 4 2 2" xfId="16541"/>
    <cellStyle name="常规 5 2 5 2 4 2 2 2" xfId="17456"/>
    <cellStyle name="常规 5 2 5 2 4 2 2 2 2" xfId="31028"/>
    <cellStyle name="常规 5 2 5 2 4 2 2 2 2 2" xfId="16030"/>
    <cellStyle name="常规 5 2 5 2 4 2 2 2 2 2 2" xfId="22404"/>
    <cellStyle name="常规 5 2 5 2 4 2 2 2 2 3" xfId="16033"/>
    <cellStyle name="常规 5 2 5 2 4 2 2 2 2 4" xfId="31029"/>
    <cellStyle name="常规 5 2 5 2 4 2 2 2 3" xfId="31031"/>
    <cellStyle name="常规 5 2 5 2 4 2 2 2 3 2" xfId="31032"/>
    <cellStyle name="常规 5 2 5 2 4 2 2 2 4" xfId="30442"/>
    <cellStyle name="常规 5 2 5 2 4 2 2 2 5" xfId="31033"/>
    <cellStyle name="常规 5 2 5 2 4 2 2 3" xfId="31035"/>
    <cellStyle name="常规 5 2 5 2 4 2 2 3 2" xfId="31037"/>
    <cellStyle name="常规 5 2 5 2 4 2 2 3 2 2" xfId="31039"/>
    <cellStyle name="常规 5 2 5 2 4 2 2 3 3" xfId="31040"/>
    <cellStyle name="常规 5 2 5 2 4 2 2 3 4" xfId="31041"/>
    <cellStyle name="常规 5 2 5 2 4 2 2 4" xfId="31042"/>
    <cellStyle name="常规 5 2 5 2 4 2 2 4 2" xfId="31044"/>
    <cellStyle name="常规 5 2 5 2 4 2 2 5" xfId="31045"/>
    <cellStyle name="常规 5 2 5 2 4 2 2 6" xfId="31047"/>
    <cellStyle name="常规 5 2 5 2 4 2 3" xfId="17459"/>
    <cellStyle name="常规 5 2 5 2 4 2 3 2" xfId="31048"/>
    <cellStyle name="常规 5 2 5 2 4 2 3 2 2" xfId="31049"/>
    <cellStyle name="常规 5 2 5 2 4 2 3 2 2 2" xfId="29472"/>
    <cellStyle name="常规 5 2 5 2 4 2 3 2 3" xfId="31050"/>
    <cellStyle name="常规 5 2 5 2 4 2 3 2 4" xfId="31051"/>
    <cellStyle name="常规 5 2 5 2 4 2 3 3" xfId="31052"/>
    <cellStyle name="常规 5 2 5 2 4 2 3 3 2" xfId="31054"/>
    <cellStyle name="常规 5 2 5 2 4 2 3 4" xfId="31055"/>
    <cellStyle name="常规 5 2 5 2 4 2 3 5" xfId="31056"/>
    <cellStyle name="常规 5 2 5 2 4 2 4" xfId="17462"/>
    <cellStyle name="常规 5 2 5 2 4 2 4 2" xfId="31057"/>
    <cellStyle name="常规 5 2 5 2 4 2 4 2 2" xfId="31058"/>
    <cellStyle name="常规 5 2 5 2 4 2 4 3" xfId="31059"/>
    <cellStyle name="常规 5 2 5 2 4 2 4 4" xfId="31060"/>
    <cellStyle name="常规 5 2 5 2 4 2 5" xfId="31061"/>
    <cellStyle name="常规 5 2 5 2 4 2 5 2" xfId="31062"/>
    <cellStyle name="常规 5 2 5 2 4 2 6" xfId="27045"/>
    <cellStyle name="常规 5 2 5 2 4 2 7" xfId="2071"/>
    <cellStyle name="常规 5 2 5 2 4 3" xfId="10704"/>
    <cellStyle name="常规 5 2 5 2 4 3 2" xfId="10707"/>
    <cellStyle name="常规 5 2 5 2 4 3 2 2" xfId="31063"/>
    <cellStyle name="常规 5 2 5 2 4 3 2 2 2" xfId="31066"/>
    <cellStyle name="常规 5 2 5 2 4 3 2 2 2 2" xfId="31068"/>
    <cellStyle name="常规 5 2 5 2 4 3 2 2 3" xfId="31071"/>
    <cellStyle name="常规 5 2 5 2 4 3 2 2 4" xfId="31073"/>
    <cellStyle name="常规 5 2 5 2 4 3 2 3" xfId="31074"/>
    <cellStyle name="常规 5 2 5 2 4 3 2 3 2" xfId="31077"/>
    <cellStyle name="常规 5 2 5 2 4 3 2 4" xfId="31078"/>
    <cellStyle name="常规 5 2 5 2 4 3 2 5" xfId="31079"/>
    <cellStyle name="常规 5 2 5 2 4 3 3" xfId="24077"/>
    <cellStyle name="常规 5 2 5 2 4 3 3 2" xfId="31080"/>
    <cellStyle name="常规 5 2 5 2 4 3 3 2 2" xfId="31082"/>
    <cellStyle name="常规 5 2 5 2 4 3 3 3" xfId="31083"/>
    <cellStyle name="常规 5 2 5 2 4 3 3 4" xfId="31084"/>
    <cellStyle name="常规 5 2 5 2 4 3 4" xfId="31085"/>
    <cellStyle name="常规 5 2 5 2 4 3 4 2" xfId="31086"/>
    <cellStyle name="常规 5 2 5 2 4 3 5" xfId="31087"/>
    <cellStyle name="常规 5 2 5 2 4 3 6" xfId="27052"/>
    <cellStyle name="常规 5 2 5 2 4 4" xfId="10711"/>
    <cellStyle name="常规 5 2 5 2 4 4 2" xfId="24086"/>
    <cellStyle name="常规 5 2 5 2 4 4 2 2" xfId="31089"/>
    <cellStyle name="常规 5 2 5 2 4 4 2 2 2" xfId="31093"/>
    <cellStyle name="常规 5 2 5 2 4 4 2 3" xfId="31095"/>
    <cellStyle name="常规 5 2 5 2 4 4 2 4" xfId="31097"/>
    <cellStyle name="常规 5 2 5 2 4 4 3" xfId="5183"/>
    <cellStyle name="常规 5 2 5 2 4 4 3 2" xfId="8799"/>
    <cellStyle name="常规 5 2 5 2 4 4 4" xfId="31098"/>
    <cellStyle name="常规 5 2 5 2 4 4 5" xfId="6482"/>
    <cellStyle name="常规 5 2 5 2 4 5" xfId="10714"/>
    <cellStyle name="常规 5 2 5 2 4 5 2" xfId="31099"/>
    <cellStyle name="常规 5 2 5 2 4 5 2 2" xfId="16916"/>
    <cellStyle name="常规 5 2 5 2 4 5 3" xfId="31100"/>
    <cellStyle name="常规 5 2 5 2 4 5 4" xfId="31103"/>
    <cellStyle name="常规 5 2 5 2 4 6" xfId="31104"/>
    <cellStyle name="常规 5 2 5 2 4 6 2" xfId="31105"/>
    <cellStyle name="常规 5 2 5 2 4 7" xfId="31106"/>
    <cellStyle name="常规 5 2 5 2 4 8" xfId="31107"/>
    <cellStyle name="常规 5 2 5 2 5" xfId="11939"/>
    <cellStyle name="常规 5 2 5 2 5 2" xfId="17504"/>
    <cellStyle name="常规 5 2 5 2 5 2 2" xfId="17506"/>
    <cellStyle name="常规 5 2 5 2 5 2 2 2" xfId="31108"/>
    <cellStyle name="常规 5 2 5 2 5 2 2 2 2" xfId="31109"/>
    <cellStyle name="常规 5 2 5 2 5 2 2 2 2 2" xfId="31110"/>
    <cellStyle name="常规 5 2 5 2 5 2 2 2 3" xfId="15230"/>
    <cellStyle name="常规 5 2 5 2 5 2 2 2 4" xfId="15303"/>
    <cellStyle name="常规 5 2 5 2 5 2 2 3" xfId="12263"/>
    <cellStyle name="常规 5 2 5 2 5 2 2 3 2" xfId="30703"/>
    <cellStyle name="常规 5 2 5 2 5 2 2 4" xfId="30706"/>
    <cellStyle name="常规 5 2 5 2 5 2 2 5" xfId="30709"/>
    <cellStyle name="常规 5 2 5 2 5 2 3" xfId="24102"/>
    <cellStyle name="常规 5 2 5 2 5 2 3 2" xfId="31111"/>
    <cellStyle name="常规 5 2 5 2 5 2 3 2 2" xfId="31112"/>
    <cellStyle name="常规 5 2 5 2 5 2 3 3" xfId="30712"/>
    <cellStyle name="常规 5 2 5 2 5 2 3 4" xfId="30715"/>
    <cellStyle name="常规 5 2 5 2 5 2 4" xfId="31113"/>
    <cellStyle name="常规 5 2 5 2 5 2 4 2" xfId="31114"/>
    <cellStyle name="常规 5 2 5 2 5 2 5" xfId="31115"/>
    <cellStyle name="常规 5 2 5 2 5 2 6" xfId="27063"/>
    <cellStyle name="常规 5 2 5 2 5 3" xfId="10718"/>
    <cellStyle name="常规 5 2 5 2 5 3 2" xfId="24108"/>
    <cellStyle name="常规 5 2 5 2 5 3 2 2" xfId="31116"/>
    <cellStyle name="常规 5 2 5 2 5 3 2 2 2" xfId="31118"/>
    <cellStyle name="常规 5 2 5 2 5 3 2 3" xfId="30723"/>
    <cellStyle name="常规 5 2 5 2 5 3 2 4" xfId="30726"/>
    <cellStyle name="常规 5 2 5 2 5 3 3" xfId="31119"/>
    <cellStyle name="常规 5 2 5 2 5 3 3 2" xfId="31120"/>
    <cellStyle name="常规 5 2 5 2 5 3 4" xfId="3518"/>
    <cellStyle name="常规 5 2 5 2 5 3 5" xfId="31121"/>
    <cellStyle name="常规 5 2 5 2 5 4" xfId="17509"/>
    <cellStyle name="常规 5 2 5 2 5 4 2" xfId="31122"/>
    <cellStyle name="常规 5 2 5 2 5 4 2 2" xfId="2271"/>
    <cellStyle name="常规 5 2 5 2 5 4 3" xfId="31123"/>
    <cellStyle name="常规 5 2 5 2 5 4 4" xfId="31124"/>
    <cellStyle name="常规 5 2 5 2 5 5" xfId="31125"/>
    <cellStyle name="常规 5 2 5 2 5 5 2" xfId="31126"/>
    <cellStyle name="常规 5 2 5 2 5 6" xfId="31127"/>
    <cellStyle name="常规 5 2 5 2 5 7" xfId="31129"/>
    <cellStyle name="常规 5 2 5 2 6" xfId="29853"/>
    <cellStyle name="常规 5 2 5 2 6 2" xfId="17535"/>
    <cellStyle name="常规 5 2 5 2 6 2 2" xfId="24121"/>
    <cellStyle name="常规 5 2 5 2 6 2 2 2" xfId="31130"/>
    <cellStyle name="常规 5 2 5 2 6 2 2 2 2" xfId="31131"/>
    <cellStyle name="常规 5 2 5 2 6 2 2 3" xfId="28476"/>
    <cellStyle name="常规 5 2 5 2 6 2 2 4" xfId="29872"/>
    <cellStyle name="常规 5 2 5 2 6 2 3" xfId="31132"/>
    <cellStyle name="常规 5 2 5 2 6 2 3 2" xfId="31133"/>
    <cellStyle name="常规 5 2 5 2 6 2 4" xfId="31134"/>
    <cellStyle name="常规 5 2 5 2 6 2 5" xfId="28935"/>
    <cellStyle name="常规 5 2 5 2 6 3" xfId="17537"/>
    <cellStyle name="常规 5 2 5 2 6 3 2" xfId="31135"/>
    <cellStyle name="常规 5 2 5 2 6 3 2 2" xfId="31136"/>
    <cellStyle name="常规 5 2 5 2 6 3 3" xfId="31137"/>
    <cellStyle name="常规 5 2 5 2 6 3 4" xfId="31138"/>
    <cellStyle name="常规 5 2 5 2 6 4" xfId="31139"/>
    <cellStyle name="常规 5 2 5 2 6 4 2" xfId="13657"/>
    <cellStyle name="常规 5 2 5 2 6 5" xfId="31140"/>
    <cellStyle name="常规 5 2 5 2 6 6" xfId="31141"/>
    <cellStyle name="常规 5 2 5 2 7" xfId="31143"/>
    <cellStyle name="常规 5 2 5 2 7 2" xfId="17547"/>
    <cellStyle name="常规 5 2 5 2 7 2 2" xfId="31144"/>
    <cellStyle name="常规 5 2 5 2 7 2 2 2" xfId="30221"/>
    <cellStyle name="常规 5 2 5 2 7 2 3" xfId="31145"/>
    <cellStyle name="常规 5 2 5 2 7 2 4" xfId="31146"/>
    <cellStyle name="常规 5 2 5 2 7 3" xfId="31147"/>
    <cellStyle name="常规 5 2 5 2 7 3 2" xfId="3019"/>
    <cellStyle name="常规 5 2 5 2 7 4" xfId="31148"/>
    <cellStyle name="常规 5 2 5 2 7 5" xfId="31149"/>
    <cellStyle name="常规 5 2 5 2 8" xfId="31150"/>
    <cellStyle name="常规 5 2 5 2 8 2" xfId="31151"/>
    <cellStyle name="常规 5 2 5 2 8 2 2" xfId="31152"/>
    <cellStyle name="常规 5 2 5 2 8 3" xfId="31153"/>
    <cellStyle name="常规 5 2 5 2 8 4" xfId="12315"/>
    <cellStyle name="常规 5 2 5 2 9" xfId="31154"/>
    <cellStyle name="常规 5 2 5 2 9 2" xfId="31155"/>
    <cellStyle name="常规 5 2 5 3" xfId="31156"/>
    <cellStyle name="常规 5 2 5 3 2" xfId="11950"/>
    <cellStyle name="常规 5 2 5 3 2 2" xfId="11953"/>
    <cellStyle name="常规 5 2 5 3 2 2 2" xfId="17818"/>
    <cellStyle name="常规 5 2 5 3 2 2 2 2" xfId="17821"/>
    <cellStyle name="常规 5 2 5 3 2 2 2 2 2" xfId="17824"/>
    <cellStyle name="常规 5 2 5 3 2 2 2 2 2 2" xfId="5913"/>
    <cellStyle name="常规 5 2 5 3 2 2 2 2 2 2 2" xfId="19461"/>
    <cellStyle name="常规 5 2 5 3 2 2 2 2 2 3" xfId="31158"/>
    <cellStyle name="常规 5 2 5 3 2 2 2 2 2 4" xfId="31160"/>
    <cellStyle name="常规 5 2 5 3 2 2 2 2 3" xfId="30949"/>
    <cellStyle name="常规 5 2 5 3 2 2 2 2 3 2" xfId="31162"/>
    <cellStyle name="常规 5 2 5 3 2 2 2 2 4" xfId="27003"/>
    <cellStyle name="常规 5 2 5 3 2 2 2 2 5" xfId="29442"/>
    <cellStyle name="常规 5 2 5 3 2 2 2 3" xfId="1914"/>
    <cellStyle name="常规 5 2 5 3 2 2 2 3 2" xfId="30954"/>
    <cellStyle name="常规 5 2 5 3 2 2 2 3 2 2" xfId="31164"/>
    <cellStyle name="常规 5 2 5 3 2 2 2 3 3" xfId="31166"/>
    <cellStyle name="常规 5 2 5 3 2 2 2 3 4" xfId="29448"/>
    <cellStyle name="常规 5 2 5 3 2 2 2 4" xfId="17828"/>
    <cellStyle name="常规 5 2 5 3 2 2 2 4 2" xfId="20132"/>
    <cellStyle name="常规 5 2 5 3 2 2 2 5" xfId="20149"/>
    <cellStyle name="常规 5 2 5 3 2 2 2 6" xfId="17862"/>
    <cellStyle name="常规 5 2 5 3 2 2 3" xfId="17832"/>
    <cellStyle name="常规 5 2 5 3 2 2 3 2" xfId="17835"/>
    <cellStyle name="常规 5 2 5 3 2 2 3 2 2" xfId="31014"/>
    <cellStyle name="常规 5 2 5 3 2 2 3 2 2 2" xfId="31168"/>
    <cellStyle name="常规 5 2 5 3 2 2 3 2 3" xfId="31017"/>
    <cellStyle name="常规 5 2 5 3 2 2 3 2 4" xfId="29464"/>
    <cellStyle name="常规 5 2 5 3 2 2 3 3" xfId="31170"/>
    <cellStyle name="常规 5 2 5 3 2 2 3 3 2" xfId="31022"/>
    <cellStyle name="常规 5 2 5 3 2 2 3 4" xfId="20160"/>
    <cellStyle name="常规 5 2 5 3 2 2 3 5" xfId="20167"/>
    <cellStyle name="常规 5 2 5 3 2 2 4" xfId="17838"/>
    <cellStyle name="常规 5 2 5 3 2 2 4 2" xfId="31172"/>
    <cellStyle name="常规 5 2 5 3 2 2 4 2 2" xfId="31102"/>
    <cellStyle name="常规 5 2 5 3 2 2 4 3" xfId="31174"/>
    <cellStyle name="常规 5 2 5 3 2 2 4 4" xfId="20175"/>
    <cellStyle name="常规 5 2 5 3 2 2 5" xfId="17841"/>
    <cellStyle name="常规 5 2 5 3 2 2 5 2" xfId="31176"/>
    <cellStyle name="常规 5 2 5 3 2 2 6" xfId="27079"/>
    <cellStyle name="常规 5 2 5 3 2 2 7" xfId="27087"/>
    <cellStyle name="常规 5 2 5 3 2 3" xfId="11647"/>
    <cellStyle name="常规 5 2 5 3 2 3 2" xfId="11651"/>
    <cellStyle name="常规 5 2 5 3 2 3 2 2" xfId="17844"/>
    <cellStyle name="常规 5 2 5 3 2 3 2 2 2" xfId="31181"/>
    <cellStyle name="常规 5 2 5 3 2 3 2 2 2 2" xfId="30906"/>
    <cellStyle name="常规 5 2 5 3 2 3 2 2 3" xfId="31185"/>
    <cellStyle name="常规 5 2 5 3 2 3 2 2 4" xfId="29495"/>
    <cellStyle name="常规 5 2 5 3 2 3 2 3" xfId="31187"/>
    <cellStyle name="常规 5 2 5 3 2 3 2 3 2" xfId="31191"/>
    <cellStyle name="常规 5 2 5 3 2 3 2 4" xfId="20189"/>
    <cellStyle name="常规 5 2 5 3 2 3 2 5" xfId="20202"/>
    <cellStyle name="常规 5 2 5 3 2 3 3" xfId="17847"/>
    <cellStyle name="常规 5 2 5 3 2 3 3 2" xfId="9442"/>
    <cellStyle name="常规 5 2 5 3 2 3 3 2 2" xfId="31193"/>
    <cellStyle name="常规 5 2 5 3 2 3 3 3" xfId="9445"/>
    <cellStyle name="常规 5 2 5 3 2 3 3 4" xfId="20212"/>
    <cellStyle name="常规 5 2 5 3 2 3 4" xfId="17850"/>
    <cellStyle name="常规 5 2 5 3 2 3 4 2" xfId="30859"/>
    <cellStyle name="常规 5 2 5 3 2 3 5" xfId="31195"/>
    <cellStyle name="常规 5 2 5 3 2 3 6" xfId="27100"/>
    <cellStyle name="常规 5 2 5 3 2 4" xfId="11655"/>
    <cellStyle name="常规 5 2 5 3 2 4 2" xfId="2439"/>
    <cellStyle name="常规 5 2 5 3 2 4 2 2" xfId="31197"/>
    <cellStyle name="常规 5 2 5 3 2 4 2 2 2" xfId="30341"/>
    <cellStyle name="常规 5 2 5 3 2 4 2 3" xfId="19323"/>
    <cellStyle name="常规 5 2 5 3 2 4 2 4" xfId="19366"/>
    <cellStyle name="常规 5 2 5 3 2 4 3" xfId="3885"/>
    <cellStyle name="常规 5 2 5 3 2 4 3 2" xfId="31199"/>
    <cellStyle name="常规 5 2 5 3 2 4 4" xfId="3891"/>
    <cellStyle name="常规 5 2 5 3 2 4 5" xfId="31202"/>
    <cellStyle name="常规 5 2 5 3 2 5" xfId="11659"/>
    <cellStyle name="常规 5 2 5 3 2 5 2" xfId="2811"/>
    <cellStyle name="常规 5 2 5 3 2 5 2 2" xfId="31204"/>
    <cellStyle name="常规 5 2 5 3 2 5 3" xfId="3910"/>
    <cellStyle name="常规 5 2 5 3 2 5 4" xfId="31180"/>
    <cellStyle name="常规 5 2 5 3 2 6" xfId="17853"/>
    <cellStyle name="常规 5 2 5 3 2 6 2" xfId="1619"/>
    <cellStyle name="常规 5 2 5 3 2 7" xfId="19308"/>
    <cellStyle name="常规 5 2 5 3 2 8" xfId="31208"/>
    <cellStyle name="常规 5 2 5 3 3" xfId="11956"/>
    <cellStyle name="常规 5 2 5 3 3 2" xfId="2081"/>
    <cellStyle name="常规 5 2 5 3 3 2 2" xfId="17989"/>
    <cellStyle name="常规 5 2 5 3 3 2 2 2" xfId="17991"/>
    <cellStyle name="常规 5 2 5 3 3 2 2 2 2" xfId="26724"/>
    <cellStyle name="常规 5 2 5 3 3 2 2 2 2 2" xfId="16205"/>
    <cellStyle name="常规 5 2 5 3 3 2 2 2 3" xfId="13086"/>
    <cellStyle name="常规 5 2 5 3 3 2 2 2 4" xfId="13088"/>
    <cellStyle name="常规 5 2 5 3 3 2 2 3" xfId="31209"/>
    <cellStyle name="常规 5 2 5 3 3 2 2 3 2" xfId="31210"/>
    <cellStyle name="常规 5 2 5 3 3 2 2 4" xfId="20354"/>
    <cellStyle name="常规 5 2 5 3 3 2 2 5" xfId="20370"/>
    <cellStyle name="常规 5 2 5 3 3 2 3" xfId="17993"/>
    <cellStyle name="常规 5 2 5 3 3 2 3 2" xfId="31211"/>
    <cellStyle name="常规 5 2 5 3 3 2 3 2 2" xfId="31212"/>
    <cellStyle name="常规 5 2 5 3 3 2 3 3" xfId="31213"/>
    <cellStyle name="常规 5 2 5 3 3 2 3 4" xfId="20383"/>
    <cellStyle name="常规 5 2 5 3 3 2 4" xfId="17995"/>
    <cellStyle name="常规 5 2 5 3 3 2 4 2" xfId="31214"/>
    <cellStyle name="常规 5 2 5 3 3 2 5" xfId="31215"/>
    <cellStyle name="常规 5 2 5 3 3 2 6" xfId="27131"/>
    <cellStyle name="常规 5 2 5 3 3 3" xfId="11665"/>
    <cellStyle name="常规 5 2 5 3 3 3 2" xfId="17997"/>
    <cellStyle name="常规 5 2 5 3 3 3 2 2" xfId="31216"/>
    <cellStyle name="常规 5 2 5 3 3 3 2 2 2" xfId="27059"/>
    <cellStyle name="常规 5 2 5 3 3 3 2 3" xfId="31217"/>
    <cellStyle name="常规 5 2 5 3 3 3 2 4" xfId="20404"/>
    <cellStyle name="常规 5 2 5 3 3 3 3" xfId="31218"/>
    <cellStyle name="常规 5 2 5 3 3 3 3 2" xfId="31219"/>
    <cellStyle name="常规 5 2 5 3 3 3 4" xfId="31220"/>
    <cellStyle name="常规 5 2 5 3 3 3 5" xfId="31221"/>
    <cellStyle name="常规 5 2 5 3 3 4" xfId="17999"/>
    <cellStyle name="常规 5 2 5 3 3 4 2" xfId="31222"/>
    <cellStyle name="常规 5 2 5 3 3 4 2 2" xfId="31224"/>
    <cellStyle name="常规 5 2 5 3 3 4 3" xfId="31225"/>
    <cellStyle name="常规 5 2 5 3 3 4 4" xfId="9439"/>
    <cellStyle name="常规 5 2 5 3 3 5" xfId="18001"/>
    <cellStyle name="常规 5 2 5 3 3 5 2" xfId="867"/>
    <cellStyle name="常规 5 2 5 3 3 6" xfId="31226"/>
    <cellStyle name="常规 5 2 5 3 3 7" xfId="31228"/>
    <cellStyle name="常规 5 2 5 3 4" xfId="11960"/>
    <cellStyle name="常规 5 2 5 3 4 2" xfId="18047"/>
    <cellStyle name="常规 5 2 5 3 4 2 2" xfId="18050"/>
    <cellStyle name="常规 5 2 5 3 4 2 2 2" xfId="31229"/>
    <cellStyle name="常规 5 2 5 3 4 2 2 2 2" xfId="28399"/>
    <cellStyle name="常规 5 2 5 3 4 2 2 3" xfId="31230"/>
    <cellStyle name="常规 5 2 5 3 4 2 2 4" xfId="20510"/>
    <cellStyle name="常规 5 2 5 3 4 2 3" xfId="24160"/>
    <cellStyle name="常规 5 2 5 3 4 2 3 2" xfId="31232"/>
    <cellStyle name="常规 5 2 5 3 4 2 4" xfId="31233"/>
    <cellStyle name="常规 5 2 5 3 4 2 5" xfId="31234"/>
    <cellStyle name="常规 5 2 5 3 4 3" xfId="10727"/>
    <cellStyle name="常规 5 2 5 3 4 3 2" xfId="24165"/>
    <cellStyle name="常规 5 2 5 3 4 3 2 2" xfId="31235"/>
    <cellStyle name="常规 5 2 5 3 4 3 3" xfId="31236"/>
    <cellStyle name="常规 5 2 5 3 4 3 4" xfId="30843"/>
    <cellStyle name="常规 5 2 5 3 4 4" xfId="18053"/>
    <cellStyle name="常规 5 2 5 3 4 4 2" xfId="31237"/>
    <cellStyle name="常规 5 2 5 3 4 5" xfId="31238"/>
    <cellStyle name="常规 5 2 5 3 4 6" xfId="18451"/>
    <cellStyle name="常规 5 2 5 3 5" xfId="31241"/>
    <cellStyle name="常规 5 2 5 3 5 2" xfId="18083"/>
    <cellStyle name="常规 5 2 5 3 5 2 2" xfId="24174"/>
    <cellStyle name="常规 5 2 5 3 5 2 2 2" xfId="31242"/>
    <cellStyle name="常规 5 2 5 3 5 2 3" xfId="31243"/>
    <cellStyle name="常规 5 2 5 3 5 2 4" xfId="31244"/>
    <cellStyle name="常规 5 2 5 3 5 3" xfId="18086"/>
    <cellStyle name="常规 5 2 5 3 5 3 2" xfId="31245"/>
    <cellStyle name="常规 5 2 5 3 5 4" xfId="15596"/>
    <cellStyle name="常规 5 2 5 3 5 5" xfId="15602"/>
    <cellStyle name="常规 5 2 5 3 6" xfId="31247"/>
    <cellStyle name="常规 5 2 5 3 6 2" xfId="18097"/>
    <cellStyle name="常规 5 2 5 3 6 2 2" xfId="31248"/>
    <cellStyle name="常规 5 2 5 3 6 3" xfId="31249"/>
    <cellStyle name="常规 5 2 5 3 6 4" xfId="15609"/>
    <cellStyle name="常规 5 2 5 3 7" xfId="31251"/>
    <cellStyle name="常规 5 2 5 3 7 2" xfId="31252"/>
    <cellStyle name="常规 5 2 5 3 8" xfId="31253"/>
    <cellStyle name="常规 5 2 5 3 9" xfId="31254"/>
    <cellStyle name="常规 5 2 5 4" xfId="31255"/>
    <cellStyle name="常规 5 2 5 4 2" xfId="11968"/>
    <cellStyle name="常规 5 2 5 4 2 2" xfId="18196"/>
    <cellStyle name="常规 5 2 5 4 2 2 2" xfId="10043"/>
    <cellStyle name="常规 5 2 5 4 2 2 2 2" xfId="31256"/>
    <cellStyle name="常规 5 2 5 4 2 2 2 2 2" xfId="9295"/>
    <cellStyle name="常规 5 2 5 4 2 2 2 2 2 2" xfId="31257"/>
    <cellStyle name="常规 5 2 5 4 2 2 2 2 2 2 2" xfId="31258"/>
    <cellStyle name="常规 5 2 5 4 2 2 2 2 2 3" xfId="31260"/>
    <cellStyle name="常规 5 2 5 4 2 2 2 2 2 4" xfId="31261"/>
    <cellStyle name="常规 5 2 5 4 2 2 2 2 3" xfId="31262"/>
    <cellStyle name="常规 5 2 5 4 2 2 2 2 3 2" xfId="31263"/>
    <cellStyle name="常规 5 2 5 4 2 2 2 2 4" xfId="29819"/>
    <cellStyle name="常规 5 2 5 4 2 2 2 2 5" xfId="31264"/>
    <cellStyle name="常规 5 2 5 4 2 2 2 3" xfId="31265"/>
    <cellStyle name="常规 5 2 5 4 2 2 2 3 2" xfId="2295"/>
    <cellStyle name="常规 5 2 5 4 2 2 2 3 2 2" xfId="4830"/>
    <cellStyle name="常规 5 2 5 4 2 2 2 3 3" xfId="4832"/>
    <cellStyle name="常规 5 2 5 4 2 2 2 3 4" xfId="4834"/>
    <cellStyle name="常规 5 2 5 4 2 2 2 4" xfId="20725"/>
    <cellStyle name="常规 5 2 5 4 2 2 2 4 2" xfId="4837"/>
    <cellStyle name="常规 5 2 5 4 2 2 2 5" xfId="20736"/>
    <cellStyle name="常规 5 2 5 4 2 2 2 6" xfId="20740"/>
    <cellStyle name="常规 5 2 5 4 2 2 3" xfId="31266"/>
    <cellStyle name="常规 5 2 5 4 2 2 3 2" xfId="31267"/>
    <cellStyle name="常规 5 2 5 4 2 2 3 2 2" xfId="2929"/>
    <cellStyle name="常规 5 2 5 4 2 2 3 2 2 2" xfId="14554"/>
    <cellStyle name="常规 5 2 5 4 2 2 3 2 3" xfId="2933"/>
    <cellStyle name="常规 5 2 5 4 2 2 3 2 4" xfId="14615"/>
    <cellStyle name="常规 5 2 5 4 2 2 3 3" xfId="31268"/>
    <cellStyle name="常规 5 2 5 4 2 2 3 3 2" xfId="2350"/>
    <cellStyle name="常规 5 2 5 4 2 2 3 4" xfId="20746"/>
    <cellStyle name="常规 5 2 5 4 2 2 3 5" xfId="20748"/>
    <cellStyle name="常规 5 2 5 4 2 2 4" xfId="31269"/>
    <cellStyle name="常规 5 2 5 4 2 2 4 2" xfId="31270"/>
    <cellStyle name="常规 5 2 5 4 2 2 4 2 2" xfId="3177"/>
    <cellStyle name="常规 5 2 5 4 2 2 4 3" xfId="31271"/>
    <cellStyle name="常规 5 2 5 4 2 2 4 4" xfId="20753"/>
    <cellStyle name="常规 5 2 5 4 2 2 5" xfId="31273"/>
    <cellStyle name="常规 5 2 5 4 2 2 5 2" xfId="31275"/>
    <cellStyle name="常规 5 2 5 4 2 2 6" xfId="1378"/>
    <cellStyle name="常规 5 2 5 4 2 2 7" xfId="1387"/>
    <cellStyle name="常规 5 2 5 4 2 3" xfId="11673"/>
    <cellStyle name="常规 5 2 5 4 2 3 2" xfId="30293"/>
    <cellStyle name="常规 5 2 5 4 2 3 2 2" xfId="30295"/>
    <cellStyle name="常规 5 2 5 4 2 3 2 2 2" xfId="30297"/>
    <cellStyle name="常规 5 2 5 4 2 3 2 2 2 2" xfId="30299"/>
    <cellStyle name="常规 5 2 5 4 2 3 2 2 3" xfId="30301"/>
    <cellStyle name="常规 5 2 5 4 2 3 2 2 4" xfId="30303"/>
    <cellStyle name="常规 5 2 5 4 2 3 2 3" xfId="30305"/>
    <cellStyle name="常规 5 2 5 4 2 3 2 3 2" xfId="4854"/>
    <cellStyle name="常规 5 2 5 4 2 3 2 4" xfId="20762"/>
    <cellStyle name="常规 5 2 5 4 2 3 2 5" xfId="20773"/>
    <cellStyle name="常规 5 2 5 4 2 3 3" xfId="30307"/>
    <cellStyle name="常规 5 2 5 4 2 3 3 2" xfId="30309"/>
    <cellStyle name="常规 5 2 5 4 2 3 3 2 2" xfId="17525"/>
    <cellStyle name="常规 5 2 5 4 2 3 3 3" xfId="30312"/>
    <cellStyle name="常规 5 2 5 4 2 3 3 4" xfId="20780"/>
    <cellStyle name="常规 5 2 5 4 2 3 4" xfId="30315"/>
    <cellStyle name="常规 5 2 5 4 2 3 4 2" xfId="30317"/>
    <cellStyle name="常规 5 2 5 4 2 3 5" xfId="30322"/>
    <cellStyle name="常规 5 2 5 4 2 3 6" xfId="27177"/>
    <cellStyle name="常规 5 2 5 4 2 4" xfId="18198"/>
    <cellStyle name="常规 5 2 5 4 2 4 2" xfId="30324"/>
    <cellStyle name="常规 5 2 5 4 2 4 2 2" xfId="20218"/>
    <cellStyle name="常规 5 2 5 4 2 4 2 2 2" xfId="20222"/>
    <cellStyle name="常规 5 2 5 4 2 4 2 3" xfId="20226"/>
    <cellStyle name="常规 5 2 5 4 2 4 2 4" xfId="20229"/>
    <cellStyle name="常规 5 2 5 4 2 4 3" xfId="30326"/>
    <cellStyle name="常规 5 2 5 4 2 4 3 2" xfId="20240"/>
    <cellStyle name="常规 5 2 5 4 2 4 4" xfId="30328"/>
    <cellStyle name="常规 5 2 5 4 2 4 5" xfId="30331"/>
    <cellStyle name="常规 5 2 5 4 2 5" xfId="30333"/>
    <cellStyle name="常规 5 2 5 4 2 5 2" xfId="30335"/>
    <cellStyle name="常规 5 2 5 4 2 5 2 2" xfId="20424"/>
    <cellStyle name="常规 5 2 5 4 2 5 3" xfId="30337"/>
    <cellStyle name="常规 5 2 5 4 2 5 4" xfId="30340"/>
    <cellStyle name="常规 5 2 5 4 2 6" xfId="30343"/>
    <cellStyle name="常规 5 2 5 4 2 6 2" xfId="30345"/>
    <cellStyle name="常规 5 2 5 4 2 7" xfId="26760"/>
    <cellStyle name="常规 5 2 5 4 2 8" xfId="26769"/>
    <cellStyle name="常规 5 2 5 4 3" xfId="11970"/>
    <cellStyle name="常规 5 2 5 4 3 2" xfId="18216"/>
    <cellStyle name="常规 5 2 5 4 3 2 2" xfId="31276"/>
    <cellStyle name="常规 5 2 5 4 3 2 2 2" xfId="31277"/>
    <cellStyle name="常规 5 2 5 4 3 2 2 2 2" xfId="31278"/>
    <cellStyle name="常规 5 2 5 4 3 2 2 2 2 2" xfId="31279"/>
    <cellStyle name="常规 5 2 5 4 3 2 2 2 3" xfId="31280"/>
    <cellStyle name="常规 5 2 5 4 3 2 2 2 4" xfId="31281"/>
    <cellStyle name="常规 5 2 5 4 3 2 2 3" xfId="31282"/>
    <cellStyle name="常规 5 2 5 4 3 2 2 3 2" xfId="783"/>
    <cellStyle name="常规 5 2 5 4 3 2 2 4" xfId="20859"/>
    <cellStyle name="常规 5 2 5 4 3 2 2 5" xfId="20866"/>
    <cellStyle name="常规 5 2 5 4 3 2 3" xfId="31283"/>
    <cellStyle name="常规 5 2 5 4 3 2 3 2" xfId="31284"/>
    <cellStyle name="常规 5 2 5 4 3 2 3 2 2" xfId="31285"/>
    <cellStyle name="常规 5 2 5 4 3 2 3 3" xfId="31286"/>
    <cellStyle name="常规 5 2 5 4 3 2 3 4" xfId="20872"/>
    <cellStyle name="常规 5 2 5 4 3 2 4" xfId="31287"/>
    <cellStyle name="常规 5 2 5 4 3 2 4 2" xfId="31288"/>
    <cellStyle name="常规 5 2 5 4 3 2 5" xfId="31290"/>
    <cellStyle name="常规 5 2 5 4 3 2 6" xfId="27194"/>
    <cellStyle name="常规 5 2 5 4 3 3" xfId="18218"/>
    <cellStyle name="常规 5 2 5 4 3 3 2" xfId="30347"/>
    <cellStyle name="常规 5 2 5 4 3 3 2 2" xfId="30349"/>
    <cellStyle name="常规 5 2 5 4 3 3 2 2 2" xfId="30244"/>
    <cellStyle name="常规 5 2 5 4 3 3 2 3" xfId="30351"/>
    <cellStyle name="常规 5 2 5 4 3 3 2 4" xfId="20881"/>
    <cellStyle name="常规 5 2 5 4 3 3 3" xfId="30353"/>
    <cellStyle name="常规 5 2 5 4 3 3 3 2" xfId="30355"/>
    <cellStyle name="常规 5 2 5 4 3 3 4" xfId="30358"/>
    <cellStyle name="常规 5 2 5 4 3 3 5" xfId="30361"/>
    <cellStyle name="常规 5 2 5 4 3 4" xfId="30363"/>
    <cellStyle name="常规 5 2 5 4 3 4 2" xfId="30365"/>
    <cellStyle name="常规 5 2 5 4 3 4 2 2" xfId="20787"/>
    <cellStyle name="常规 5 2 5 4 3 4 3" xfId="30367"/>
    <cellStyle name="常规 5 2 5 4 3 4 4" xfId="30369"/>
    <cellStyle name="常规 5 2 5 4 3 5" xfId="30371"/>
    <cellStyle name="常规 5 2 5 4 3 5 2" xfId="30373"/>
    <cellStyle name="常规 5 2 5 4 3 6" xfId="30375"/>
    <cellStyle name="常规 5 2 5 4 3 7" xfId="26777"/>
    <cellStyle name="常规 5 2 5 4 4" xfId="31291"/>
    <cellStyle name="常规 5 2 5 4 4 2" xfId="18231"/>
    <cellStyle name="常规 5 2 5 4 4 2 2" xfId="24196"/>
    <cellStyle name="常规 5 2 5 4 4 2 2 2" xfId="31292"/>
    <cellStyle name="常规 5 2 5 4 4 2 2 2 2" xfId="22833"/>
    <cellStyle name="常规 5 2 5 4 4 2 2 3" xfId="31293"/>
    <cellStyle name="常规 5 2 5 4 4 2 2 4" xfId="20928"/>
    <cellStyle name="常规 5 2 5 4 4 2 3" xfId="31294"/>
    <cellStyle name="常规 5 2 5 4 4 2 3 2" xfId="31295"/>
    <cellStyle name="常规 5 2 5 4 4 2 4" xfId="31296"/>
    <cellStyle name="常规 5 2 5 4 4 2 5" xfId="31298"/>
    <cellStyle name="常规 5 2 5 4 4 3" xfId="30377"/>
    <cellStyle name="常规 5 2 5 4 4 3 2" xfId="30379"/>
    <cellStyle name="常规 5 2 5 4 4 3 2 2" xfId="30381"/>
    <cellStyle name="常规 5 2 5 4 4 3 3" xfId="30383"/>
    <cellStyle name="常规 5 2 5 4 4 3 4" xfId="30385"/>
    <cellStyle name="常规 5 2 5 4 4 4" xfId="30388"/>
    <cellStyle name="常规 5 2 5 4 4 4 2" xfId="30390"/>
    <cellStyle name="常规 5 2 5 4 4 5" xfId="30392"/>
    <cellStyle name="常规 5 2 5 4 4 6" xfId="30394"/>
    <cellStyle name="常规 5 2 5 4 5" xfId="31300"/>
    <cellStyle name="常规 5 2 5 4 5 2" xfId="31301"/>
    <cellStyle name="常规 5 2 5 4 5 2 2" xfId="31302"/>
    <cellStyle name="常规 5 2 5 4 5 2 2 2" xfId="31303"/>
    <cellStyle name="常规 5 2 5 4 5 2 3" xfId="31304"/>
    <cellStyle name="常规 5 2 5 4 5 2 4" xfId="31305"/>
    <cellStyle name="常规 5 2 5 4 5 3" xfId="30397"/>
    <cellStyle name="常规 5 2 5 4 5 3 2" xfId="30399"/>
    <cellStyle name="常规 5 2 5 4 5 4" xfId="15619"/>
    <cellStyle name="常规 5 2 5 4 5 5" xfId="15623"/>
    <cellStyle name="常规 5 2 5 4 6" xfId="31307"/>
    <cellStyle name="常规 5 2 5 4 6 2" xfId="31309"/>
    <cellStyle name="常规 5 2 5 4 6 2 2" xfId="31311"/>
    <cellStyle name="常规 5 2 5 4 6 3" xfId="19156"/>
    <cellStyle name="常规 5 2 5 4 6 4" xfId="15631"/>
    <cellStyle name="常规 5 2 5 4 7" xfId="21878"/>
    <cellStyle name="常规 5 2 5 4 7 2" xfId="31313"/>
    <cellStyle name="常规 5 2 5 4 8" xfId="31315"/>
    <cellStyle name="常规 5 2 5 4 9" xfId="31317"/>
    <cellStyle name="常规 5 2 5 5" xfId="31318"/>
    <cellStyle name="常规 5 2 5 5 2" xfId="31319"/>
    <cellStyle name="常规 5 2 5 5 2 2" xfId="18439"/>
    <cellStyle name="常规 5 2 5 5 2 2 2" xfId="18441"/>
    <cellStyle name="常规 5 2 5 5 2 2 2 2" xfId="31320"/>
    <cellStyle name="常规 5 2 5 5 2 2 2 2 2" xfId="31321"/>
    <cellStyle name="常规 5 2 5 5 2 2 2 2 2 2" xfId="31322"/>
    <cellStyle name="常规 5 2 5 5 2 2 2 2 3" xfId="31323"/>
    <cellStyle name="常规 5 2 5 5 2 2 2 2 4" xfId="29976"/>
    <cellStyle name="常规 5 2 5 5 2 2 2 3" xfId="31324"/>
    <cellStyle name="常规 5 2 5 5 2 2 2 3 2" xfId="31325"/>
    <cellStyle name="常规 5 2 5 5 2 2 2 4" xfId="21029"/>
    <cellStyle name="常规 5 2 5 5 2 2 2 5" xfId="21032"/>
    <cellStyle name="常规 5 2 5 5 2 2 3" xfId="31326"/>
    <cellStyle name="常规 5 2 5 5 2 2 3 2" xfId="22541"/>
    <cellStyle name="常规 5 2 5 5 2 2 3 2 2" xfId="31327"/>
    <cellStyle name="常规 5 2 5 5 2 2 3 3" xfId="22544"/>
    <cellStyle name="常规 5 2 5 5 2 2 3 4" xfId="21036"/>
    <cellStyle name="常规 5 2 5 5 2 2 4" xfId="31329"/>
    <cellStyle name="常规 5 2 5 5 2 2 4 2" xfId="31330"/>
    <cellStyle name="常规 5 2 5 5 2 2 5" xfId="31333"/>
    <cellStyle name="常规 5 2 5 5 2 2 6" xfId="27215"/>
    <cellStyle name="常规 5 2 5 5 2 3" xfId="18443"/>
    <cellStyle name="常规 5 2 5 5 2 3 2" xfId="30416"/>
    <cellStyle name="常规 5 2 5 5 2 3 2 2" xfId="30418"/>
    <cellStyle name="常规 5 2 5 5 2 3 2 2 2" xfId="30421"/>
    <cellStyle name="常规 5 2 5 5 2 3 2 3" xfId="30426"/>
    <cellStyle name="常规 5 2 5 5 2 3 2 4" xfId="8714"/>
    <cellStyle name="常规 5 2 5 5 2 3 3" xfId="30431"/>
    <cellStyle name="常规 5 2 5 5 2 3 3 2" xfId="30433"/>
    <cellStyle name="常规 5 2 5 5 2 3 4" xfId="30440"/>
    <cellStyle name="常规 5 2 5 5 2 3 5" xfId="30445"/>
    <cellStyle name="常规 5 2 5 5 2 4" xfId="18446"/>
    <cellStyle name="常规 5 2 5 5 2 4 2" xfId="30447"/>
    <cellStyle name="常规 5 2 5 5 2 4 2 2" xfId="30449"/>
    <cellStyle name="常规 5 2 5 5 2 4 3" xfId="30454"/>
    <cellStyle name="常规 5 2 5 5 2 4 4" xfId="30457"/>
    <cellStyle name="常规 5 2 5 5 2 5" xfId="30461"/>
    <cellStyle name="常规 5 2 5 5 2 5 2" xfId="30463"/>
    <cellStyle name="常规 5 2 5 5 2 6" xfId="29397"/>
    <cellStyle name="常规 5 2 5 5 2 7" xfId="26798"/>
    <cellStyle name="常规 5 2 5 5 3" xfId="31334"/>
    <cellStyle name="常规 5 2 5 5 3 2" xfId="18471"/>
    <cellStyle name="常规 5 2 5 5 3 2 2" xfId="31335"/>
    <cellStyle name="常规 5 2 5 5 3 2 2 2" xfId="31336"/>
    <cellStyle name="常规 5 2 5 5 3 2 2 2 2" xfId="30019"/>
    <cellStyle name="常规 5 2 5 5 3 2 2 3" xfId="31337"/>
    <cellStyle name="常规 5 2 5 5 3 2 2 4" xfId="21058"/>
    <cellStyle name="常规 5 2 5 5 3 2 3" xfId="31338"/>
    <cellStyle name="常规 5 2 5 5 3 2 3 2" xfId="31339"/>
    <cellStyle name="常规 5 2 5 5 3 2 4" xfId="6668"/>
    <cellStyle name="常规 5 2 5 5 3 2 5" xfId="6671"/>
    <cellStyle name="常规 5 2 5 5 3 3" xfId="18473"/>
    <cellStyle name="常规 5 2 5 5 3 3 2" xfId="30470"/>
    <cellStyle name="常规 5 2 5 5 3 3 2 2" xfId="30473"/>
    <cellStyle name="常规 5 2 5 5 3 3 3" xfId="30483"/>
    <cellStyle name="常规 5 2 5 5 3 3 4" xfId="6675"/>
    <cellStyle name="常规 5 2 5 5 3 4" xfId="30491"/>
    <cellStyle name="常规 5 2 5 5 3 4 2" xfId="7957"/>
    <cellStyle name="常规 5 2 5 5 3 5" xfId="9374"/>
    <cellStyle name="常规 5 2 5 5 3 6" xfId="9377"/>
    <cellStyle name="常规 5 2 5 5 4" xfId="31341"/>
    <cellStyle name="常规 5 2 5 5 4 2" xfId="18486"/>
    <cellStyle name="常规 5 2 5 5 4 2 2" xfId="31342"/>
    <cellStyle name="常规 5 2 5 5 4 2 2 2" xfId="31343"/>
    <cellStyle name="常规 5 2 5 5 4 2 3" xfId="31344"/>
    <cellStyle name="常规 5 2 5 5 4 2 4" xfId="6691"/>
    <cellStyle name="常规 5 2 5 5 4 3" xfId="30498"/>
    <cellStyle name="常规 5 2 5 5 4 3 2" xfId="30500"/>
    <cellStyle name="常规 5 2 5 5 4 4" xfId="30510"/>
    <cellStyle name="常规 5 2 5 5 4 5" xfId="9383"/>
    <cellStyle name="常规 5 2 5 5 5" xfId="31345"/>
    <cellStyle name="常规 5 2 5 5 5 2" xfId="24909"/>
    <cellStyle name="常规 5 2 5 5 5 2 2" xfId="31346"/>
    <cellStyle name="常规 5 2 5 5 5 3" xfId="30515"/>
    <cellStyle name="常规 5 2 5 5 5 4" xfId="15639"/>
    <cellStyle name="常规 5 2 5 5 6" xfId="31348"/>
    <cellStyle name="常规 5 2 5 5 6 2" xfId="23414"/>
    <cellStyle name="常规 5 2 5 5 7" xfId="31350"/>
    <cellStyle name="常规 5 2 5 5 8" xfId="31352"/>
    <cellStyle name="常规 5 2 5 6" xfId="18510"/>
    <cellStyle name="常规 5 2 5 6 2" xfId="31353"/>
    <cellStyle name="常规 5 2 5 6 2 2" xfId="18591"/>
    <cellStyle name="常规 5 2 5 6 2 2 2" xfId="31354"/>
    <cellStyle name="常规 5 2 5 6 2 2 2 2" xfId="31355"/>
    <cellStyle name="常规 5 2 5 6 2 2 2 2 2" xfId="1779"/>
    <cellStyle name="常规 5 2 5 6 2 2 2 3" xfId="31356"/>
    <cellStyle name="常规 5 2 5 6 2 2 2 4" xfId="5984"/>
    <cellStyle name="常规 5 2 5 6 2 2 3" xfId="24386"/>
    <cellStyle name="常规 5 2 5 6 2 2 3 2" xfId="31357"/>
    <cellStyle name="常规 5 2 5 6 2 2 4" xfId="24389"/>
    <cellStyle name="常规 5 2 5 6 2 2 5" xfId="31362"/>
    <cellStyle name="常规 5 2 5 6 2 3" xfId="18594"/>
    <cellStyle name="常规 5 2 5 6 2 3 2" xfId="27910"/>
    <cellStyle name="常规 5 2 5 6 2 3 2 2" xfId="27915"/>
    <cellStyle name="常规 5 2 5 6 2 3 3" xfId="27920"/>
    <cellStyle name="常规 5 2 5 6 2 3 4" xfId="27922"/>
    <cellStyle name="常规 5 2 5 6 2 4" xfId="30559"/>
    <cellStyle name="常规 5 2 5 6 2 4 2" xfId="27970"/>
    <cellStyle name="常规 5 2 5 6 2 5" xfId="17120"/>
    <cellStyle name="常规 5 2 5 6 2 6" xfId="30564"/>
    <cellStyle name="常规 5 2 5 6 3" xfId="31363"/>
    <cellStyle name="常规 5 2 5 6 3 2" xfId="18610"/>
    <cellStyle name="常规 5 2 5 6 3 2 2" xfId="31364"/>
    <cellStyle name="常规 5 2 5 6 3 2 2 2" xfId="31365"/>
    <cellStyle name="常规 5 2 5 6 3 2 3" xfId="31367"/>
    <cellStyle name="常规 5 2 5 6 3 2 4" xfId="5871"/>
    <cellStyle name="常规 5 2 5 6 3 3" xfId="30568"/>
    <cellStyle name="常规 5 2 5 6 3 3 2" xfId="28071"/>
    <cellStyle name="常规 5 2 5 6 3 4" xfId="5882"/>
    <cellStyle name="常规 5 2 5 6 3 5" xfId="5896"/>
    <cellStyle name="常规 5 2 5 6 4" xfId="31368"/>
    <cellStyle name="常规 5 2 5 6 4 2" xfId="31369"/>
    <cellStyle name="常规 5 2 5 6 4 2 2" xfId="31370"/>
    <cellStyle name="常规 5 2 5 6 4 3" xfId="30576"/>
    <cellStyle name="常规 5 2 5 6 4 4" xfId="5908"/>
    <cellStyle name="常规 5 2 5 6 5" xfId="31371"/>
    <cellStyle name="常规 5 2 5 6 5 2" xfId="31372"/>
    <cellStyle name="常规 5 2 5 6 6" xfId="31374"/>
    <cellStyle name="常规 5 2 5 6 7" xfId="31376"/>
    <cellStyle name="常规 5 2 5 7" xfId="31377"/>
    <cellStyle name="常规 5 2 5 7 2" xfId="31378"/>
    <cellStyle name="常规 5 2 5 7 2 2" xfId="18694"/>
    <cellStyle name="常规 5 2 5 7 2 2 2" xfId="31379"/>
    <cellStyle name="常规 5 2 5 7 2 2 2 2" xfId="31380"/>
    <cellStyle name="常规 5 2 5 7 2 2 3" xfId="3474"/>
    <cellStyle name="常规 5 2 5 7 2 2 4" xfId="31381"/>
    <cellStyle name="常规 5 2 5 7 2 3" xfId="30603"/>
    <cellStyle name="常规 5 2 5 7 2 3 2" xfId="28247"/>
    <cellStyle name="常规 5 2 5 7 2 4" xfId="30608"/>
    <cellStyle name="常规 5 2 5 7 2 5" xfId="30611"/>
    <cellStyle name="常规 5 2 5 7 3" xfId="31382"/>
    <cellStyle name="常规 5 2 5 7 3 2" xfId="31383"/>
    <cellStyle name="常规 5 2 5 7 3 2 2" xfId="31384"/>
    <cellStyle name="常规 5 2 5 7 3 3" xfId="15472"/>
    <cellStyle name="常规 5 2 5 7 3 4" xfId="5930"/>
    <cellStyle name="常规 5 2 5 7 4" xfId="31385"/>
    <cellStyle name="常规 5 2 5 7 4 2" xfId="31386"/>
    <cellStyle name="常规 5 2 5 7 5" xfId="31387"/>
    <cellStyle name="常规 5 2 5 7 6" xfId="31389"/>
    <cellStyle name="常规 5 2 5 8" xfId="31390"/>
    <cellStyle name="常规 5 2 5 8 2" xfId="31391"/>
    <cellStyle name="常规 5 2 5 8 2 2" xfId="31392"/>
    <cellStyle name="常规 5 2 5 8 2 2 2" xfId="31394"/>
    <cellStyle name="常规 5 2 5 8 2 3" xfId="2656"/>
    <cellStyle name="常规 5 2 5 8 2 4" xfId="30621"/>
    <cellStyle name="常规 5 2 5 8 3" xfId="31395"/>
    <cellStyle name="常规 5 2 5 8 3 2" xfId="31396"/>
    <cellStyle name="常规 5 2 5 8 4" xfId="31397"/>
    <cellStyle name="常规 5 2 5 8 5" xfId="28986"/>
    <cellStyle name="常规 5 2 5 9" xfId="31398"/>
    <cellStyle name="常规 5 2 5 9 2" xfId="31399"/>
    <cellStyle name="常规 5 2 5 9 2 2" xfId="31400"/>
    <cellStyle name="常规 5 2 5 9 3" xfId="3347"/>
    <cellStyle name="常规 5 2 5 9 4" xfId="31401"/>
    <cellStyle name="常规 5 2 6" xfId="31403"/>
    <cellStyle name="常规 5 2 6 10" xfId="31404"/>
    <cellStyle name="常规 5 2 6 11" xfId="31405"/>
    <cellStyle name="常规 5 2 6 2" xfId="24338"/>
    <cellStyle name="常规 5 2 6 2 2" xfId="12057"/>
    <cellStyle name="常规 5 2 6 2 2 2" xfId="12061"/>
    <cellStyle name="常规 5 2 6 2 2 2 2" xfId="19149"/>
    <cellStyle name="常规 5 2 6 2 2 2 2 2" xfId="19151"/>
    <cellStyle name="常规 5 2 6 2 2 2 2 2 2" xfId="19155"/>
    <cellStyle name="常规 5 2 6 2 2 2 2 2 2 2" xfId="31407"/>
    <cellStyle name="常规 5 2 6 2 2 2 2 2 2 2 2" xfId="31409"/>
    <cellStyle name="常规 5 2 6 2 2 2 2 2 2 3" xfId="31411"/>
    <cellStyle name="常规 5 2 6 2 2 2 2 2 2 4" xfId="31413"/>
    <cellStyle name="常规 5 2 6 2 2 2 2 2 3" xfId="15630"/>
    <cellStyle name="常规 5 2 6 2 2 2 2 2 3 2" xfId="31416"/>
    <cellStyle name="常规 5 2 6 2 2 2 2 2 4" xfId="31420"/>
    <cellStyle name="常规 5 2 6 2 2 2 2 2 5" xfId="31424"/>
    <cellStyle name="常规 5 2 6 2 2 2 2 3" xfId="19159"/>
    <cellStyle name="常规 5 2 6 2 2 2 2 3 2" xfId="31426"/>
    <cellStyle name="常规 5 2 6 2 2 2 2 3 2 2" xfId="27590"/>
    <cellStyle name="常规 5 2 6 2 2 2 2 3 3" xfId="31428"/>
    <cellStyle name="常规 5 2 6 2 2 2 2 3 4" xfId="31431"/>
    <cellStyle name="常规 5 2 6 2 2 2 2 4" xfId="19162"/>
    <cellStyle name="常规 5 2 6 2 2 2 2 4 2" xfId="31433"/>
    <cellStyle name="常规 5 2 6 2 2 2 2 5" xfId="31434"/>
    <cellStyle name="常规 5 2 6 2 2 2 2 6" xfId="31436"/>
    <cellStyle name="常规 5 2 6 2 2 2 3" xfId="19165"/>
    <cellStyle name="常规 5 2 6 2 2 2 3 2" xfId="19167"/>
    <cellStyle name="常规 5 2 6 2 2 2 3 2 2" xfId="23417"/>
    <cellStyle name="常规 5 2 6 2 2 2 3 2 2 2" xfId="31438"/>
    <cellStyle name="常规 5 2 6 2 2 2 3 2 3" xfId="31440"/>
    <cellStyle name="常规 5 2 6 2 2 2 3 2 4" xfId="31443"/>
    <cellStyle name="常规 5 2 6 2 2 2 3 3" xfId="30520"/>
    <cellStyle name="常规 5 2 6 2 2 2 3 3 2" xfId="31445"/>
    <cellStyle name="常规 5 2 6 2 2 2 3 4" xfId="30522"/>
    <cellStyle name="常规 5 2 6 2 2 2 3 5" xfId="31446"/>
    <cellStyle name="常规 5 2 6 2 2 2 4" xfId="19170"/>
    <cellStyle name="常规 5 2 6 2 2 2 4 2" xfId="30581"/>
    <cellStyle name="常规 5 2 6 2 2 2 4 2 2" xfId="31448"/>
    <cellStyle name="常规 5 2 6 2 2 2 4 3" xfId="30583"/>
    <cellStyle name="常规 5 2 6 2 2 2 4 4" xfId="31449"/>
    <cellStyle name="常规 5 2 6 2 2 2 5" xfId="1965"/>
    <cellStyle name="常规 5 2 6 2 2 2 5 2" xfId="15495"/>
    <cellStyle name="常规 5 2 6 2 2 2 6" xfId="27261"/>
    <cellStyle name="常规 5 2 6 2 2 2 7" xfId="27267"/>
    <cellStyle name="常规 5 2 6 2 2 3" xfId="19173"/>
    <cellStyle name="常规 5 2 6 2 2 3 2" xfId="19177"/>
    <cellStyle name="常规 5 2 6 2 2 3 2 2" xfId="19181"/>
    <cellStyle name="常规 5 2 6 2 2 3 2 2 2" xfId="26594"/>
    <cellStyle name="常规 5 2 6 2 2 3 2 2 2 2" xfId="26599"/>
    <cellStyle name="常规 5 2 6 2 2 3 2 2 3" xfId="26604"/>
    <cellStyle name="常规 5 2 6 2 2 3 2 2 4" xfId="17405"/>
    <cellStyle name="常规 5 2 6 2 2 3 2 3" xfId="26608"/>
    <cellStyle name="常规 5 2 6 2 2 3 2 3 2" xfId="26614"/>
    <cellStyle name="常规 5 2 6 2 2 3 2 4" xfId="24047"/>
    <cellStyle name="常规 5 2 6 2 2 3 2 5" xfId="24067"/>
    <cellStyle name="常规 5 2 6 2 2 3 3" xfId="19187"/>
    <cellStyle name="常规 5 2 6 2 2 3 3 2" xfId="26618"/>
    <cellStyle name="常规 5 2 6 2 2 3 3 2 2" xfId="26624"/>
    <cellStyle name="常规 5 2 6 2 2 3 3 3" xfId="26628"/>
    <cellStyle name="常规 5 2 6 2 2 3 3 4" xfId="24094"/>
    <cellStyle name="常规 5 2 6 2 2 3 4" xfId="19191"/>
    <cellStyle name="常规 5 2 6 2 2 3 4 2" xfId="26632"/>
    <cellStyle name="常规 5 2 6 2 2 3 5" xfId="14624"/>
    <cellStyle name="常规 5 2 6 2 2 3 6" xfId="26640"/>
    <cellStyle name="常规 5 2 6 2 2 4" xfId="19193"/>
    <cellStyle name="常规 5 2 6 2 2 4 2" xfId="19197"/>
    <cellStyle name="常规 5 2 6 2 2 4 2 2" xfId="26671"/>
    <cellStyle name="常规 5 2 6 2 2 4 2 2 2" xfId="26678"/>
    <cellStyle name="常规 5 2 6 2 2 4 2 3" xfId="26681"/>
    <cellStyle name="常规 5 2 6 2 2 4 2 4" xfId="24148"/>
    <cellStyle name="常规 5 2 6 2 2 4 3" xfId="26687"/>
    <cellStyle name="常规 5 2 6 2 2 4 3 2" xfId="26690"/>
    <cellStyle name="常规 5 2 6 2 2 4 4" xfId="26695"/>
    <cellStyle name="常规 5 2 6 2 2 4 5" xfId="26698"/>
    <cellStyle name="常规 5 2 6 2 2 5" xfId="19199"/>
    <cellStyle name="常规 5 2 6 2 2 5 2" xfId="26712"/>
    <cellStyle name="常规 5 2 6 2 2 5 2 2" xfId="26715"/>
    <cellStyle name="常规 5 2 6 2 2 5 3" xfId="26720"/>
    <cellStyle name="常规 5 2 6 2 2 5 4" xfId="26723"/>
    <cellStyle name="常规 5 2 6 2 2 6" xfId="19201"/>
    <cellStyle name="常规 5 2 6 2 2 6 2" xfId="26734"/>
    <cellStyle name="常规 5 2 6 2 2 7" xfId="19389"/>
    <cellStyle name="常规 5 2 6 2 2 8" xfId="31450"/>
    <cellStyle name="常规 5 2 6 2 3" xfId="12065"/>
    <cellStyle name="常规 5 2 6 2 3 2" xfId="19301"/>
    <cellStyle name="常规 5 2 6 2 3 2 2" xfId="19303"/>
    <cellStyle name="常规 5 2 6 2 3 2 2 2" xfId="19306"/>
    <cellStyle name="常规 5 2 6 2 3 2 2 2 2" xfId="270"/>
    <cellStyle name="常规 5 2 6 2 3 2 2 2 2 2" xfId="31452"/>
    <cellStyle name="常规 5 2 6 2 3 2 2 2 3" xfId="203"/>
    <cellStyle name="常规 5 2 6 2 3 2 2 2 4" xfId="20193"/>
    <cellStyle name="常规 5 2 6 2 3 2 2 3" xfId="31206"/>
    <cellStyle name="常规 5 2 6 2 3 2 2 3 2" xfId="3939"/>
    <cellStyle name="常规 5 2 6 2 3 2 2 4" xfId="31454"/>
    <cellStyle name="常规 5 2 6 2 3 2 2 5" xfId="31457"/>
    <cellStyle name="常规 5 2 6 2 3 2 3" xfId="19310"/>
    <cellStyle name="常规 5 2 6 2 3 2 3 2" xfId="31227"/>
    <cellStyle name="常规 5 2 6 2 3 2 3 2 2" xfId="31460"/>
    <cellStyle name="常规 5 2 6 2 3 2 3 3" xfId="31461"/>
    <cellStyle name="常规 5 2 6 2 3 2 3 4" xfId="31462"/>
    <cellStyle name="常规 5 2 6 2 3 2 4" xfId="19312"/>
    <cellStyle name="常规 5 2 6 2 3 2 4 2" xfId="31463"/>
    <cellStyle name="常规 5 2 6 2 3 2 5" xfId="30817"/>
    <cellStyle name="常规 5 2 6 2 3 2 6" xfId="27322"/>
    <cellStyle name="常规 5 2 6 2 3 3" xfId="19314"/>
    <cellStyle name="常规 5 2 6 2 3 3 2" xfId="1433"/>
    <cellStyle name="常规 5 2 6 2 3 3 2 2" xfId="26759"/>
    <cellStyle name="常规 5 2 6 2 3 3 2 2 2" xfId="26765"/>
    <cellStyle name="常规 5 2 6 2 3 3 2 3" xfId="26768"/>
    <cellStyle name="常规 5 2 6 2 3 3 2 4" xfId="24237"/>
    <cellStyle name="常规 5 2 6 2 3 3 3" xfId="26773"/>
    <cellStyle name="常规 5 2 6 2 3 3 3 2" xfId="26776"/>
    <cellStyle name="常规 5 2 6 2 3 3 4" xfId="26781"/>
    <cellStyle name="常规 5 2 6 2 3 3 5" xfId="21165"/>
    <cellStyle name="常规 5 2 6 2 3 4" xfId="19316"/>
    <cellStyle name="常规 5 2 6 2 3 4 2" xfId="26793"/>
    <cellStyle name="常规 5 2 6 2 3 4 2 2" xfId="26797"/>
    <cellStyle name="常规 5 2 6 2 3 4 3" xfId="26802"/>
    <cellStyle name="常规 5 2 6 2 3 4 4" xfId="26805"/>
    <cellStyle name="常规 5 2 6 2 3 5" xfId="19318"/>
    <cellStyle name="常规 5 2 6 2 3 5 2" xfId="26815"/>
    <cellStyle name="常规 5 2 6 2 3 6" xfId="31464"/>
    <cellStyle name="常规 5 2 6 2 3 7" xfId="31465"/>
    <cellStyle name="常规 5 2 6 2 4" xfId="12069"/>
    <cellStyle name="常规 5 2 6 2 4 2" xfId="19393"/>
    <cellStyle name="常规 5 2 6 2 4 2 2" xfId="19397"/>
    <cellStyle name="常规 5 2 6 2 4 2 2 2" xfId="29480"/>
    <cellStyle name="常规 5 2 6 2 4 2 2 2 2" xfId="25204"/>
    <cellStyle name="常规 5 2 6 2 4 2 2 3" xfId="29482"/>
    <cellStyle name="常规 5 2 6 2 4 2 2 4" xfId="29486"/>
    <cellStyle name="常规 5 2 6 2 4 2 3" xfId="24245"/>
    <cellStyle name="常规 5 2 6 2 4 2 3 2" xfId="29515"/>
    <cellStyle name="常规 5 2 6 2 4 2 4" xfId="31466"/>
    <cellStyle name="常规 5 2 6 2 4 2 5" xfId="30821"/>
    <cellStyle name="常规 5 2 6 2 4 3" xfId="10744"/>
    <cellStyle name="常规 5 2 6 2 4 3 2" xfId="24256"/>
    <cellStyle name="常规 5 2 6 2 4 3 2 2" xfId="26846"/>
    <cellStyle name="常规 5 2 6 2 4 3 3" xfId="26852"/>
    <cellStyle name="常规 5 2 6 2 4 3 4" xfId="26856"/>
    <cellStyle name="常规 5 2 6 2 4 4" xfId="19400"/>
    <cellStyle name="常规 5 2 6 2 4 4 2" xfId="26869"/>
    <cellStyle name="常规 5 2 6 2 4 5" xfId="31467"/>
    <cellStyle name="常规 5 2 6 2 4 6" xfId="31468"/>
    <cellStyle name="常规 5 2 6 2 5" xfId="31470"/>
    <cellStyle name="常规 5 2 6 2 5 2" xfId="19427"/>
    <cellStyle name="常规 5 2 6 2 5 2 2" xfId="24264"/>
    <cellStyle name="常规 5 2 6 2 5 2 2 2" xfId="29839"/>
    <cellStyle name="常规 5 2 6 2 5 2 3" xfId="31471"/>
    <cellStyle name="常规 5 2 6 2 5 2 4" xfId="31472"/>
    <cellStyle name="常规 5 2 6 2 5 3" xfId="19429"/>
    <cellStyle name="常规 5 2 6 2 5 3 2" xfId="26891"/>
    <cellStyle name="常规 5 2 6 2 5 4" xfId="31473"/>
    <cellStyle name="常规 5 2 6 2 5 5" xfId="17014"/>
    <cellStyle name="常规 5 2 6 2 6" xfId="31474"/>
    <cellStyle name="常规 5 2 6 2 6 2" xfId="19441"/>
    <cellStyle name="常规 5 2 6 2 6 2 2" xfId="31475"/>
    <cellStyle name="常规 5 2 6 2 6 3" xfId="31476"/>
    <cellStyle name="常规 5 2 6 2 6 4" xfId="31477"/>
    <cellStyle name="常规 5 2 6 2 7" xfId="31478"/>
    <cellStyle name="常规 5 2 6 2 7 2" xfId="31479"/>
    <cellStyle name="常规 5 2 6 2 8" xfId="31480"/>
    <cellStyle name="常规 5 2 6 2 9" xfId="31481"/>
    <cellStyle name="常规 5 2 6 3" xfId="31482"/>
    <cellStyle name="常规 5 2 6 3 2" xfId="12077"/>
    <cellStyle name="常规 5 2 6 3 2 2" xfId="9789"/>
    <cellStyle name="常规 5 2 6 3 2 2 2" xfId="19544"/>
    <cellStyle name="常规 5 2 6 3 2 2 2 2" xfId="16998"/>
    <cellStyle name="常规 5 2 6 3 2 2 2 2 2" xfId="16903"/>
    <cellStyle name="常规 5 2 6 3 2 2 2 2 2 2" xfId="7246"/>
    <cellStyle name="常规 5 2 6 3 2 2 2 2 2 2 2" xfId="7249"/>
    <cellStyle name="常规 5 2 6 3 2 2 2 2 2 3" xfId="7251"/>
    <cellStyle name="常规 5 2 6 3 2 2 2 2 2 4" xfId="5977"/>
    <cellStyle name="常规 5 2 6 3 2 2 2 2 3" xfId="4544"/>
    <cellStyle name="常规 5 2 6 3 2 2 2 2 3 2" xfId="31483"/>
    <cellStyle name="常规 5 2 6 3 2 2 2 2 4" xfId="30219"/>
    <cellStyle name="常规 5 2 6 3 2 2 2 2 5" xfId="31484"/>
    <cellStyle name="常规 5 2 6 3 2 2 2 3" xfId="31485"/>
    <cellStyle name="常规 5 2 6 3 2 2 2 3 2" xfId="31487"/>
    <cellStyle name="常规 5 2 6 3 2 2 2 3 2 2" xfId="31488"/>
    <cellStyle name="常规 5 2 6 3 2 2 2 3 3" xfId="31490"/>
    <cellStyle name="常规 5 2 6 3 2 2 2 3 4" xfId="31491"/>
    <cellStyle name="常规 5 2 6 3 2 2 2 4" xfId="31492"/>
    <cellStyle name="常规 5 2 6 3 2 2 2 4 2" xfId="31493"/>
    <cellStyle name="常规 5 2 6 3 2 2 2 5" xfId="31494"/>
    <cellStyle name="常规 5 2 6 3 2 2 2 6" xfId="25181"/>
    <cellStyle name="常规 5 2 6 3 2 2 3" xfId="24476"/>
    <cellStyle name="常规 5 2 6 3 2 2 3 2" xfId="31495"/>
    <cellStyle name="常规 5 2 6 3 2 2 3 2 2" xfId="31497"/>
    <cellStyle name="常规 5 2 6 3 2 2 3 2 2 2" xfId="25878"/>
    <cellStyle name="常规 5 2 6 3 2 2 3 2 3" xfId="31499"/>
    <cellStyle name="常规 5 2 6 3 2 2 3 2 4" xfId="31500"/>
    <cellStyle name="常规 5 2 6 3 2 2 3 3" xfId="31501"/>
    <cellStyle name="常规 5 2 6 3 2 2 3 3 2" xfId="31502"/>
    <cellStyle name="常规 5 2 6 3 2 2 3 4" xfId="31503"/>
    <cellStyle name="常规 5 2 6 3 2 2 3 5" xfId="31504"/>
    <cellStyle name="常规 5 2 6 3 2 2 4" xfId="31505"/>
    <cellStyle name="常规 5 2 6 3 2 2 4 2" xfId="31506"/>
    <cellStyle name="常规 5 2 6 3 2 2 4 2 2" xfId="31507"/>
    <cellStyle name="常规 5 2 6 3 2 2 4 3" xfId="31508"/>
    <cellStyle name="常规 5 2 6 3 2 2 4 4" xfId="31509"/>
    <cellStyle name="常规 5 2 6 3 2 2 5" xfId="31510"/>
    <cellStyle name="常规 5 2 6 3 2 2 5 2" xfId="31511"/>
    <cellStyle name="常规 5 2 6 3 2 2 6" xfId="27367"/>
    <cellStyle name="常规 5 2 6 3 2 2 7" xfId="27370"/>
    <cellStyle name="常规 5 2 6 3 2 3" xfId="9792"/>
    <cellStyle name="常规 5 2 6 3 2 3 2" xfId="24486"/>
    <cellStyle name="常规 5 2 6 3 2 3 2 2" xfId="26949"/>
    <cellStyle name="常规 5 2 6 3 2 3 2 2 2" xfId="26955"/>
    <cellStyle name="常规 5 2 6 3 2 3 2 2 2 2" xfId="26957"/>
    <cellStyle name="常规 5 2 6 3 2 3 2 2 3" xfId="26962"/>
    <cellStyle name="常规 5 2 6 3 2 3 2 2 4" xfId="26964"/>
    <cellStyle name="常规 5 2 6 3 2 3 2 3" xfId="26967"/>
    <cellStyle name="常规 5 2 6 3 2 3 2 3 2" xfId="26971"/>
    <cellStyle name="常规 5 2 6 3 2 3 2 4" xfId="26974"/>
    <cellStyle name="常规 5 2 6 3 2 3 2 5" xfId="26977"/>
    <cellStyle name="常规 5 2 6 3 2 3 3" xfId="26981"/>
    <cellStyle name="常规 5 2 6 3 2 3 3 2" xfId="26984"/>
    <cellStyle name="常规 5 2 6 3 2 3 3 2 2" xfId="26988"/>
    <cellStyle name="常规 5 2 6 3 2 3 3 3" xfId="26991"/>
    <cellStyle name="常规 5 2 6 3 2 3 3 4" xfId="26994"/>
    <cellStyle name="常规 5 2 6 3 2 3 4" xfId="26998"/>
    <cellStyle name="常规 5 2 6 3 2 3 4 2" xfId="27002"/>
    <cellStyle name="常规 5 2 6 3 2 3 5" xfId="27006"/>
    <cellStyle name="常规 5 2 6 3 2 3 6" xfId="27012"/>
    <cellStyle name="常规 5 2 6 3 2 4" xfId="19547"/>
    <cellStyle name="常规 5 2 6 3 2 4 2" xfId="20014"/>
    <cellStyle name="常规 5 2 6 3 2 4 2 2" xfId="27025"/>
    <cellStyle name="常规 5 2 6 3 2 4 2 2 2" xfId="20976"/>
    <cellStyle name="常规 5 2 6 3 2 4 2 3" xfId="27029"/>
    <cellStyle name="常规 5 2 6 3 2 4 2 4" xfId="27033"/>
    <cellStyle name="常规 5 2 6 3 2 4 3" xfId="20019"/>
    <cellStyle name="常规 5 2 6 3 2 4 3 2" xfId="27036"/>
    <cellStyle name="常规 5 2 6 3 2 4 4" xfId="20023"/>
    <cellStyle name="常规 5 2 6 3 2 4 5" xfId="27040"/>
    <cellStyle name="常规 5 2 6 3 2 5" xfId="29468"/>
    <cellStyle name="常规 5 2 6 3 2 5 2" xfId="27048"/>
    <cellStyle name="常规 5 2 6 3 2 5 2 2" xfId="27051"/>
    <cellStyle name="常规 5 2 6 3 2 5 3" xfId="27055"/>
    <cellStyle name="常规 5 2 6 3 2 5 4" xfId="27058"/>
    <cellStyle name="常规 5 2 6 3 2 6" xfId="29475"/>
    <cellStyle name="常规 5 2 6 3 2 6 2" xfId="27066"/>
    <cellStyle name="常规 5 2 6 3 2 7" xfId="29479"/>
    <cellStyle name="常规 5 2 6 3 2 8" xfId="29484"/>
    <cellStyle name="常规 5 2 6 3 3" xfId="9095"/>
    <cellStyle name="常规 5 2 6 3 3 2" xfId="19566"/>
    <cellStyle name="常规 5 2 6 3 3 2 2" xfId="24490"/>
    <cellStyle name="常规 5 2 6 3 3 2 2 2" xfId="31512"/>
    <cellStyle name="常规 5 2 6 3 3 2 2 2 2" xfId="31513"/>
    <cellStyle name="常规 5 2 6 3 3 2 2 2 2 2" xfId="31514"/>
    <cellStyle name="常规 5 2 6 3 3 2 2 2 3" xfId="4858"/>
    <cellStyle name="常规 5 2 6 3 3 2 2 2 4" xfId="20765"/>
    <cellStyle name="常规 5 2 6 3 3 2 2 3" xfId="31515"/>
    <cellStyle name="常规 5 2 6 3 3 2 2 3 2" xfId="31516"/>
    <cellStyle name="常规 5 2 6 3 3 2 2 4" xfId="31517"/>
    <cellStyle name="常规 5 2 6 3 3 2 2 5" xfId="31518"/>
    <cellStyle name="常规 5 2 6 3 3 2 3" xfId="31519"/>
    <cellStyle name="常规 5 2 6 3 3 2 3 2" xfId="31520"/>
    <cellStyle name="常规 5 2 6 3 3 2 3 2 2" xfId="31521"/>
    <cellStyle name="常规 5 2 6 3 3 2 3 3" xfId="31522"/>
    <cellStyle name="常规 5 2 6 3 3 2 3 4" xfId="31523"/>
    <cellStyle name="常规 5 2 6 3 3 2 4" xfId="31524"/>
    <cellStyle name="常规 5 2 6 3 3 2 4 2" xfId="31525"/>
    <cellStyle name="常规 5 2 6 3 3 2 5" xfId="30828"/>
    <cellStyle name="常规 5 2 6 3 3 2 6" xfId="27387"/>
    <cellStyle name="常规 5 2 6 3 3 3" xfId="19568"/>
    <cellStyle name="常规 5 2 6 3 3 3 2" xfId="27095"/>
    <cellStyle name="常规 5 2 6 3 3 3 2 2" xfId="27099"/>
    <cellStyle name="常规 5 2 6 3 3 3 2 2 2" xfId="27103"/>
    <cellStyle name="常规 5 2 6 3 3 3 2 3" xfId="27108"/>
    <cellStyle name="常规 5 2 6 3 3 3 2 4" xfId="27111"/>
    <cellStyle name="常规 5 2 6 3 3 3 3" xfId="27115"/>
    <cellStyle name="常规 5 2 6 3 3 3 3 2" xfId="27120"/>
    <cellStyle name="常规 5 2 6 3 3 3 4" xfId="27123"/>
    <cellStyle name="常规 5 2 6 3 3 3 5" xfId="27126"/>
    <cellStyle name="常规 5 2 6 3 3 4" xfId="29499"/>
    <cellStyle name="常规 5 2 6 3 3 4 2" xfId="3209"/>
    <cellStyle name="常规 5 2 6 3 3 4 2 2" xfId="27138"/>
    <cellStyle name="常规 5 2 6 3 3 4 3" xfId="27141"/>
    <cellStyle name="常规 5 2 6 3 3 4 4" xfId="27144"/>
    <cellStyle name="常规 5 2 6 3 3 5" xfId="29506"/>
    <cellStyle name="常规 5 2 6 3 3 5 2" xfId="27150"/>
    <cellStyle name="常规 5 2 6 3 3 6" xfId="29511"/>
    <cellStyle name="常规 5 2 6 3 3 7" xfId="29514"/>
    <cellStyle name="常规 5 2 6 3 4" xfId="31526"/>
    <cellStyle name="常规 5 2 6 3 4 2" xfId="19584"/>
    <cellStyle name="常规 5 2 6 3 4 2 2" xfId="24278"/>
    <cellStyle name="常规 5 2 6 3 4 2 2 2" xfId="30251"/>
    <cellStyle name="常规 5 2 6 3 4 2 2 2 2" xfId="31527"/>
    <cellStyle name="常规 5 2 6 3 4 2 2 3" xfId="30253"/>
    <cellStyle name="常规 5 2 6 3 4 2 2 4" xfId="31528"/>
    <cellStyle name="常规 5 2 6 3 4 2 3" xfId="31529"/>
    <cellStyle name="常规 5 2 6 3 4 2 3 2" xfId="30278"/>
    <cellStyle name="常规 5 2 6 3 4 2 4" xfId="31530"/>
    <cellStyle name="常规 5 2 6 3 4 2 5" xfId="31531"/>
    <cellStyle name="常规 5 2 6 3 4 3" xfId="29517"/>
    <cellStyle name="常规 5 2 6 3 4 3 2" xfId="27171"/>
    <cellStyle name="常规 5 2 6 3 4 3 2 2" xfId="27175"/>
    <cellStyle name="常规 5 2 6 3 4 3 3" xfId="27182"/>
    <cellStyle name="常规 5 2 6 3 4 3 4" xfId="27186"/>
    <cellStyle name="常规 5 2 6 3 4 4" xfId="29524"/>
    <cellStyle name="常规 5 2 6 3 4 4 2" xfId="27199"/>
    <cellStyle name="常规 5 2 6 3 4 5" xfId="29529"/>
    <cellStyle name="常规 5 2 6 3 4 6" xfId="29532"/>
    <cellStyle name="常规 5 2 6 3 5" xfId="31533"/>
    <cellStyle name="常规 5 2 6 3 5 2" xfId="31534"/>
    <cellStyle name="常规 5 2 6 3 5 2 2" xfId="31535"/>
    <cellStyle name="常规 5 2 6 3 5 2 2 2" xfId="30404"/>
    <cellStyle name="常规 5 2 6 3 5 2 3" xfId="31536"/>
    <cellStyle name="常规 5 2 6 3 5 2 4" xfId="2263"/>
    <cellStyle name="常规 5 2 6 3 5 3" xfId="29536"/>
    <cellStyle name="常规 5 2 6 3 5 3 2" xfId="27220"/>
    <cellStyle name="常规 5 2 6 3 5 4" xfId="15649"/>
    <cellStyle name="常规 5 2 6 3 5 5" xfId="15654"/>
    <cellStyle name="常规 5 2 6 3 6" xfId="30847"/>
    <cellStyle name="常规 5 2 6 3 6 2" xfId="31537"/>
    <cellStyle name="常规 5 2 6 3 6 2 2" xfId="31538"/>
    <cellStyle name="常规 5 2 6 3 6 3" xfId="26558"/>
    <cellStyle name="常规 5 2 6 3 6 4" xfId="15664"/>
    <cellStyle name="常规 5 2 6 3 7" xfId="31539"/>
    <cellStyle name="常规 5 2 6 3 7 2" xfId="31540"/>
    <cellStyle name="常规 5 2 6 3 8" xfId="24578"/>
    <cellStyle name="常规 5 2 6 3 9" xfId="24580"/>
    <cellStyle name="常规 5 2 6 4" xfId="31541"/>
    <cellStyle name="常规 5 2 6 4 2" xfId="31542"/>
    <cellStyle name="常规 5 2 6 4 2 2" xfId="19636"/>
    <cellStyle name="常规 5 2 6 4 2 2 2" xfId="19638"/>
    <cellStyle name="常规 5 2 6 4 2 2 2 2" xfId="14600"/>
    <cellStyle name="常规 5 2 6 4 2 2 2 2 2" xfId="15412"/>
    <cellStyle name="常规 5 2 6 4 2 2 2 2 2 2" xfId="31543"/>
    <cellStyle name="常规 5 2 6 4 2 2 2 2 3" xfId="31544"/>
    <cellStyle name="常规 5 2 6 4 2 2 2 2 4" xfId="23945"/>
    <cellStyle name="常规 5 2 6 4 2 2 2 3" xfId="14603"/>
    <cellStyle name="常规 5 2 6 4 2 2 2 3 2" xfId="31545"/>
    <cellStyle name="常规 5 2 6 4 2 2 2 4" xfId="31546"/>
    <cellStyle name="常规 5 2 6 4 2 2 2 5" xfId="31547"/>
    <cellStyle name="常规 5 2 6 4 2 2 3" xfId="31548"/>
    <cellStyle name="常规 5 2 6 4 2 2 3 2" xfId="31550"/>
    <cellStyle name="常规 5 2 6 4 2 2 3 2 2" xfId="31551"/>
    <cellStyle name="常规 5 2 6 4 2 2 3 3" xfId="31552"/>
    <cellStyle name="常规 5 2 6 4 2 2 3 4" xfId="31553"/>
    <cellStyle name="常规 5 2 6 4 2 2 4" xfId="31554"/>
    <cellStyle name="常规 5 2 6 4 2 2 4 2" xfId="31555"/>
    <cellStyle name="常规 5 2 6 4 2 2 5" xfId="31557"/>
    <cellStyle name="常规 5 2 6 4 2 2 6" xfId="27408"/>
    <cellStyle name="常规 5 2 6 4 2 3" xfId="19641"/>
    <cellStyle name="常规 5 2 6 4 2 3 2" xfId="27275"/>
    <cellStyle name="常规 5 2 6 4 2 3 2 2" xfId="26638"/>
    <cellStyle name="常规 5 2 6 4 2 3 2 2 2" xfId="27280"/>
    <cellStyle name="常规 5 2 6 4 2 3 2 3" xfId="27285"/>
    <cellStyle name="常规 5 2 6 4 2 3 2 4" xfId="27290"/>
    <cellStyle name="常规 5 2 6 4 2 3 3" xfId="27296"/>
    <cellStyle name="常规 5 2 6 4 2 3 3 2" xfId="27300"/>
    <cellStyle name="常规 5 2 6 4 2 3 4" xfId="27307"/>
    <cellStyle name="常规 5 2 6 4 2 3 5" xfId="27312"/>
    <cellStyle name="常规 5 2 6 4 2 4" xfId="19645"/>
    <cellStyle name="常规 5 2 6 4 2 4 2" xfId="27332"/>
    <cellStyle name="常规 5 2 6 4 2 4 2 2" xfId="21174"/>
    <cellStyle name="常规 5 2 6 4 2 4 3" xfId="27337"/>
    <cellStyle name="常规 5 2 6 4 2 4 4" xfId="27341"/>
    <cellStyle name="常规 5 2 6 4 2 5" xfId="29580"/>
    <cellStyle name="常规 5 2 6 4 2 5 2" xfId="27350"/>
    <cellStyle name="常规 5 2 6 4 2 6" xfId="29589"/>
    <cellStyle name="常规 5 2 6 4 2 7" xfId="26843"/>
    <cellStyle name="常规 5 2 6 4 3" xfId="31558"/>
    <cellStyle name="常规 5 2 6 4 3 2" xfId="19658"/>
    <cellStyle name="常规 5 2 6 4 3 2 2" xfId="31559"/>
    <cellStyle name="常规 5 2 6 4 3 2 2 2" xfId="31560"/>
    <cellStyle name="常规 5 2 6 4 3 2 2 2 2" xfId="20088"/>
    <cellStyle name="常规 5 2 6 4 3 2 2 3" xfId="31561"/>
    <cellStyle name="常规 5 2 6 4 3 2 2 4" xfId="31562"/>
    <cellStyle name="常规 5 2 6 4 3 2 3" xfId="31563"/>
    <cellStyle name="常规 5 2 6 4 3 2 3 2" xfId="31564"/>
    <cellStyle name="常规 5 2 6 4 3 2 4" xfId="31565"/>
    <cellStyle name="常规 5 2 6 4 3 2 5" xfId="31567"/>
    <cellStyle name="常规 5 2 6 4 3 3" xfId="19660"/>
    <cellStyle name="常规 5 2 6 4 3 3 2" xfId="27375"/>
    <cellStyle name="常规 5 2 6 4 3 3 2 2" xfId="27010"/>
    <cellStyle name="常规 5 2 6 4 3 3 3" xfId="27380"/>
    <cellStyle name="常规 5 2 6 4 3 3 4" xfId="8845"/>
    <cellStyle name="常规 5 2 6 4 3 4" xfId="29611"/>
    <cellStyle name="常规 5 2 6 4 3 4 2" xfId="27390"/>
    <cellStyle name="常规 5 2 6 4 3 5" xfId="29619"/>
    <cellStyle name="常规 5 2 6 4 3 6" xfId="29627"/>
    <cellStyle name="常规 5 2 6 4 4" xfId="31568"/>
    <cellStyle name="常规 5 2 6 4 4 2" xfId="19671"/>
    <cellStyle name="常规 5 2 6 4 4 2 2" xfId="31569"/>
    <cellStyle name="常规 5 2 6 4 4 2 2 2" xfId="30648"/>
    <cellStyle name="常规 5 2 6 4 4 2 3" xfId="31570"/>
    <cellStyle name="常规 5 2 6 4 4 2 4" xfId="31571"/>
    <cellStyle name="常规 5 2 6 4 4 3" xfId="29635"/>
    <cellStyle name="常规 5 2 6 4 4 3 2" xfId="27413"/>
    <cellStyle name="常规 5 2 6 4 4 4" xfId="29642"/>
    <cellStyle name="常规 5 2 6 4 4 5" xfId="29648"/>
    <cellStyle name="常规 5 2 6 4 5" xfId="31572"/>
    <cellStyle name="常规 5 2 6 4 5 2" xfId="31573"/>
    <cellStyle name="常规 5 2 6 4 5 2 2" xfId="31574"/>
    <cellStyle name="常规 5 2 6 4 5 3" xfId="29656"/>
    <cellStyle name="常规 5 2 6 4 5 4" xfId="15671"/>
    <cellStyle name="常规 5 2 6 4 6" xfId="31576"/>
    <cellStyle name="常规 5 2 6 4 6 2" xfId="31578"/>
    <cellStyle name="常规 5 2 6 4 7" xfId="31580"/>
    <cellStyle name="常规 5 2 6 4 8" xfId="31582"/>
    <cellStyle name="常规 5 2 6 5" xfId="31583"/>
    <cellStyle name="常规 5 2 6 5 2" xfId="31584"/>
    <cellStyle name="常规 5 2 6 5 2 2" xfId="19773"/>
    <cellStyle name="常规 5 2 6 5 2 2 2" xfId="31585"/>
    <cellStyle name="常规 5 2 6 5 2 2 2 2" xfId="9962"/>
    <cellStyle name="常规 5 2 6 5 2 2 2 2 2" xfId="4293"/>
    <cellStyle name="常规 5 2 6 5 2 2 2 3" xfId="24421"/>
    <cellStyle name="常规 5 2 6 5 2 2 2 4" xfId="24439"/>
    <cellStyle name="常规 5 2 6 5 2 2 3" xfId="31587"/>
    <cellStyle name="常规 5 2 6 5 2 2 3 2" xfId="10190"/>
    <cellStyle name="常规 5 2 6 5 2 2 4" xfId="31588"/>
    <cellStyle name="常规 5 2 6 5 2 2 5" xfId="31590"/>
    <cellStyle name="常规 5 2 6 5 2 3" xfId="19775"/>
    <cellStyle name="常规 5 2 6 5 2 3 2" xfId="27465"/>
    <cellStyle name="常规 5 2 6 5 2 3 2 2" xfId="27471"/>
    <cellStyle name="常规 5 2 6 5 2 3 3" xfId="27477"/>
    <cellStyle name="常规 5 2 6 5 2 3 4" xfId="16952"/>
    <cellStyle name="常规 5 2 6 5 2 4" xfId="29688"/>
    <cellStyle name="常规 5 2 6 5 2 4 2" xfId="27487"/>
    <cellStyle name="常规 5 2 6 5 2 5" xfId="29698"/>
    <cellStyle name="常规 5 2 6 5 2 6" xfId="29706"/>
    <cellStyle name="常规 5 2 6 5 3" xfId="31591"/>
    <cellStyle name="常规 5 2 6 5 3 2" xfId="19794"/>
    <cellStyle name="常规 5 2 6 5 3 2 2" xfId="31592"/>
    <cellStyle name="常规 5 2 6 5 3 2 2 2" xfId="31593"/>
    <cellStyle name="常规 5 2 6 5 3 2 3" xfId="31594"/>
    <cellStyle name="常规 5 2 6 5 3 2 4" xfId="6720"/>
    <cellStyle name="常规 5 2 6 5 3 3" xfId="2467"/>
    <cellStyle name="常规 5 2 6 5 3 3 2" xfId="27505"/>
    <cellStyle name="常规 5 2 6 5 3 4" xfId="29723"/>
    <cellStyle name="常规 5 2 6 5 3 5" xfId="9405"/>
    <cellStyle name="常规 5 2 6 5 4" xfId="31595"/>
    <cellStyle name="常规 5 2 6 5 4 2" xfId="31596"/>
    <cellStyle name="常规 5 2 6 5 4 2 2" xfId="31597"/>
    <cellStyle name="常规 5 2 6 5 4 3" xfId="29734"/>
    <cellStyle name="常规 5 2 6 5 4 4" xfId="29741"/>
    <cellStyle name="常规 5 2 6 5 5" xfId="31598"/>
    <cellStyle name="常规 5 2 6 5 5 2" xfId="31599"/>
    <cellStyle name="常规 5 2 6 5 6" xfId="31601"/>
    <cellStyle name="常规 5 2 6 5 7" xfId="31603"/>
    <cellStyle name="常规 5 2 6 6" xfId="31604"/>
    <cellStyle name="常规 5 2 6 6 2" xfId="31605"/>
    <cellStyle name="常规 5 2 6 6 2 2" xfId="1477"/>
    <cellStyle name="常规 5 2 6 6 2 2 2" xfId="31606"/>
    <cellStyle name="常规 5 2 6 6 2 2 2 2" xfId="31607"/>
    <cellStyle name="常规 5 2 6 6 2 2 3" xfId="31611"/>
    <cellStyle name="常规 5 2 6 6 2 2 4" xfId="31612"/>
    <cellStyle name="常规 5 2 6 6 2 3" xfId="1493"/>
    <cellStyle name="常规 5 2 6 6 2 3 2" xfId="27546"/>
    <cellStyle name="常规 5 2 6 6 2 4" xfId="942"/>
    <cellStyle name="常规 5 2 6 6 2 5" xfId="952"/>
    <cellStyle name="常规 5 2 6 6 3" xfId="31613"/>
    <cellStyle name="常规 5 2 6 6 3 2" xfId="31614"/>
    <cellStyle name="常规 5 2 6 6 3 2 2" xfId="31615"/>
    <cellStyle name="常规 5 2 6 6 3 3" xfId="29771"/>
    <cellStyle name="常规 5 2 6 6 3 4" xfId="5995"/>
    <cellStyle name="常规 5 2 6 6 4" xfId="31616"/>
    <cellStyle name="常规 5 2 6 6 4 2" xfId="31617"/>
    <cellStyle name="常规 5 2 6 6 5" xfId="31618"/>
    <cellStyle name="常规 5 2 6 6 6" xfId="31620"/>
    <cellStyle name="常规 5 2 6 7" xfId="31621"/>
    <cellStyle name="常规 5 2 6 7 2" xfId="31622"/>
    <cellStyle name="常规 5 2 6 7 2 2" xfId="31623"/>
    <cellStyle name="常规 5 2 6 7 2 2 2" xfId="31625"/>
    <cellStyle name="常规 5 2 6 7 2 3" xfId="29789"/>
    <cellStyle name="常规 5 2 6 7 2 4" xfId="29793"/>
    <cellStyle name="常规 5 2 6 7 3" xfId="3364"/>
    <cellStyle name="常规 5 2 6 7 3 2" xfId="31626"/>
    <cellStyle name="常规 5 2 6 7 4" xfId="31627"/>
    <cellStyle name="常规 5 2 6 7 5" xfId="31628"/>
    <cellStyle name="常规 5 2 6 8" xfId="22972"/>
    <cellStyle name="常规 5 2 6 8 2" xfId="18647"/>
    <cellStyle name="常规 5 2 6 8 2 2" xfId="31629"/>
    <cellStyle name="常规 5 2 6 8 3" xfId="18651"/>
    <cellStyle name="常规 5 2 6 8 4" xfId="31630"/>
    <cellStyle name="常规 5 2 6 9" xfId="22974"/>
    <cellStyle name="常规 5 2 6 9 2" xfId="18661"/>
    <cellStyle name="常规 5 2 7" xfId="31632"/>
    <cellStyle name="常规 5 2 7 10" xfId="3233"/>
    <cellStyle name="常规 5 2 7 2" xfId="31633"/>
    <cellStyle name="常规 5 2 7 2 2" xfId="12143"/>
    <cellStyle name="常规 5 2 7 2 2 2" xfId="31634"/>
    <cellStyle name="常规 5 2 7 2 2 2 2" xfId="31635"/>
    <cellStyle name="常规 5 2 7 2 2 2 2 2" xfId="31636"/>
    <cellStyle name="常规 5 2 7 2 2 2 2 2 2" xfId="31639"/>
    <cellStyle name="常规 5 2 7 2 2 2 2 2 2 2" xfId="31641"/>
    <cellStyle name="常规 5 2 7 2 2 2 2 2 2 2 2" xfId="31642"/>
    <cellStyle name="常规 5 2 7 2 2 2 2 2 2 3" xfId="31643"/>
    <cellStyle name="常规 5 2 7 2 2 2 2 2 2 4" xfId="31644"/>
    <cellStyle name="常规 5 2 7 2 2 2 2 2 3" xfId="31647"/>
    <cellStyle name="常规 5 2 7 2 2 2 2 2 3 2" xfId="10384"/>
    <cellStyle name="常规 5 2 7 2 2 2 2 2 4" xfId="31649"/>
    <cellStyle name="常规 5 2 7 2 2 2 2 2 5" xfId="31650"/>
    <cellStyle name="常规 5 2 7 2 2 2 2 3" xfId="31651"/>
    <cellStyle name="常规 5 2 7 2 2 2 2 3 2" xfId="31654"/>
    <cellStyle name="常规 5 2 7 2 2 2 2 3 2 2" xfId="31655"/>
    <cellStyle name="常规 5 2 7 2 2 2 2 3 3" xfId="31657"/>
    <cellStyle name="常规 5 2 7 2 2 2 2 3 4" xfId="31658"/>
    <cellStyle name="常规 5 2 7 2 2 2 2 4" xfId="5792"/>
    <cellStyle name="常规 5 2 7 2 2 2 2 4 2" xfId="31660"/>
    <cellStyle name="常规 5 2 7 2 2 2 2 5" xfId="31661"/>
    <cellStyle name="常规 5 2 7 2 2 2 2 6" xfId="31662"/>
    <cellStyle name="常规 5 2 7 2 2 2 3" xfId="21459"/>
    <cellStyle name="常规 5 2 7 2 2 2 3 2" xfId="21461"/>
    <cellStyle name="常规 5 2 7 2 2 2 3 2 2" xfId="23557"/>
    <cellStyle name="常规 5 2 7 2 2 2 3 2 2 2" xfId="31663"/>
    <cellStyle name="常规 5 2 7 2 2 2 3 2 3" xfId="31665"/>
    <cellStyle name="常规 5 2 7 2 2 2 3 2 4" xfId="31666"/>
    <cellStyle name="常规 5 2 7 2 2 2 3 3" xfId="31667"/>
    <cellStyle name="常规 5 2 7 2 2 2 3 3 2" xfId="31668"/>
    <cellStyle name="常规 5 2 7 2 2 2 3 4" xfId="31669"/>
    <cellStyle name="常规 5 2 7 2 2 2 3 5" xfId="31670"/>
    <cellStyle name="常规 5 2 7 2 2 2 4" xfId="21464"/>
    <cellStyle name="常规 5 2 7 2 2 2 4 2" xfId="31671"/>
    <cellStyle name="常规 5 2 7 2 2 2 4 2 2" xfId="31672"/>
    <cellStyle name="常规 5 2 7 2 2 2 4 3" xfId="31673"/>
    <cellStyle name="常规 5 2 7 2 2 2 4 4" xfId="31674"/>
    <cellStyle name="常规 5 2 7 2 2 2 5" xfId="21466"/>
    <cellStyle name="常规 5 2 7 2 2 2 5 2" xfId="31675"/>
    <cellStyle name="常规 5 2 7 2 2 2 6" xfId="27455"/>
    <cellStyle name="常规 5 2 7 2 2 2 7" xfId="27459"/>
    <cellStyle name="常规 5 2 7 2 2 3" xfId="31676"/>
    <cellStyle name="常规 5 2 7 2 2 3 2" xfId="10535"/>
    <cellStyle name="常规 5 2 7 2 2 3 2 2" xfId="10539"/>
    <cellStyle name="常规 5 2 7 2 2 3 2 2 2" xfId="10544"/>
    <cellStyle name="常规 5 2 7 2 2 3 2 2 2 2" xfId="28363"/>
    <cellStyle name="常规 5 2 7 2 2 3 2 2 3" xfId="28366"/>
    <cellStyle name="常规 5 2 7 2 2 3 2 2 4" xfId="28368"/>
    <cellStyle name="常规 5 2 7 2 2 3 2 3" xfId="10547"/>
    <cellStyle name="常规 5 2 7 2 2 3 2 3 2" xfId="28370"/>
    <cellStyle name="常规 5 2 7 2 2 3 2 4" xfId="10550"/>
    <cellStyle name="常规 5 2 7 2 2 3 2 5" xfId="28372"/>
    <cellStyle name="常规 5 2 7 2 2 3 3" xfId="10556"/>
    <cellStyle name="常规 5 2 7 2 2 3 3 2" xfId="8490"/>
    <cellStyle name="常规 5 2 7 2 2 3 3 2 2" xfId="28374"/>
    <cellStyle name="常规 5 2 7 2 2 3 3 3" xfId="28376"/>
    <cellStyle name="常规 5 2 7 2 2 3 3 4" xfId="28378"/>
    <cellStyle name="常规 5 2 7 2 2 3 4" xfId="10561"/>
    <cellStyle name="常规 5 2 7 2 2 3 4 2" xfId="28380"/>
    <cellStyle name="常规 5 2 7 2 2 3 5" xfId="3039"/>
    <cellStyle name="常规 5 2 7 2 2 3 6" xfId="27469"/>
    <cellStyle name="常规 5 2 7 2 2 4" xfId="31677"/>
    <cellStyle name="常规 5 2 7 2 2 4 2" xfId="10611"/>
    <cellStyle name="常规 5 2 7 2 2 4 2 2" xfId="10614"/>
    <cellStyle name="常规 5 2 7 2 2 4 2 2 2" xfId="22401"/>
    <cellStyle name="常规 5 2 7 2 2 4 2 3" xfId="28386"/>
    <cellStyle name="常规 5 2 7 2 2 4 2 4" xfId="28388"/>
    <cellStyle name="常规 5 2 7 2 2 4 3" xfId="10618"/>
    <cellStyle name="常规 5 2 7 2 2 4 3 2" xfId="28390"/>
    <cellStyle name="常规 5 2 7 2 2 4 4" xfId="10621"/>
    <cellStyle name="常规 5 2 7 2 2 4 5" xfId="28393"/>
    <cellStyle name="常规 5 2 7 2 2 5" xfId="31678"/>
    <cellStyle name="常规 5 2 7 2 2 5 2" xfId="10648"/>
    <cellStyle name="常规 5 2 7 2 2 5 2 2" xfId="4748"/>
    <cellStyle name="常规 5 2 7 2 2 5 3" xfId="10651"/>
    <cellStyle name="常规 5 2 7 2 2 5 4" xfId="28398"/>
    <cellStyle name="常规 5 2 7 2 2 6" xfId="31679"/>
    <cellStyle name="常规 5 2 7 2 2 6 2" xfId="10667"/>
    <cellStyle name="常规 5 2 7 2 2 7" xfId="31680"/>
    <cellStyle name="常规 5 2 7 2 2 8" xfId="18255"/>
    <cellStyle name="常规 5 2 7 2 3" xfId="12147"/>
    <cellStyle name="常规 5 2 7 2 3 2" xfId="31681"/>
    <cellStyle name="常规 5 2 7 2 3 2 2" xfId="31682"/>
    <cellStyle name="常规 5 2 7 2 3 2 2 2" xfId="16966"/>
    <cellStyle name="常规 5 2 7 2 3 2 2 2 2" xfId="31683"/>
    <cellStyle name="常规 5 2 7 2 3 2 2 2 2 2" xfId="31684"/>
    <cellStyle name="常规 5 2 7 2 3 2 2 2 3" xfId="31685"/>
    <cellStyle name="常规 5 2 7 2 3 2 2 2 4" xfId="29433"/>
    <cellStyle name="常规 5 2 7 2 3 2 2 3" xfId="31686"/>
    <cellStyle name="常规 5 2 7 2 3 2 2 3 2" xfId="31687"/>
    <cellStyle name="常规 5 2 7 2 3 2 2 4" xfId="31688"/>
    <cellStyle name="常规 5 2 7 2 3 2 2 5" xfId="31689"/>
    <cellStyle name="常规 5 2 7 2 3 2 3" xfId="21511"/>
    <cellStyle name="常规 5 2 7 2 3 2 3 2" xfId="31690"/>
    <cellStyle name="常规 5 2 7 2 3 2 3 2 2" xfId="31691"/>
    <cellStyle name="常规 5 2 7 2 3 2 3 3" xfId="31692"/>
    <cellStyle name="常规 5 2 7 2 3 2 3 4" xfId="31693"/>
    <cellStyle name="常规 5 2 7 2 3 2 4" xfId="31694"/>
    <cellStyle name="常规 5 2 7 2 3 2 4 2" xfId="31695"/>
    <cellStyle name="常规 5 2 7 2 3 2 5" xfId="31393"/>
    <cellStyle name="常规 5 2 7 2 3 2 6" xfId="27484"/>
    <cellStyle name="常规 5 2 7 2 3 3" xfId="31696"/>
    <cellStyle name="常规 5 2 7 2 3 3 2" xfId="10818"/>
    <cellStyle name="常规 5 2 7 2 3 3 2 2" xfId="2252"/>
    <cellStyle name="常规 5 2 7 2 3 3 2 2 2" xfId="10821"/>
    <cellStyle name="常规 5 2 7 2 3 3 2 3" xfId="2259"/>
    <cellStyle name="常规 5 2 7 2 3 3 2 4" xfId="4152"/>
    <cellStyle name="常规 5 2 7 2 3 3 3" xfId="10826"/>
    <cellStyle name="常规 5 2 7 2 3 3 3 2" xfId="10829"/>
    <cellStyle name="常规 5 2 7 2 3 3 4" xfId="10832"/>
    <cellStyle name="常规 5 2 7 2 3 3 5" xfId="10835"/>
    <cellStyle name="常规 5 2 7 2 3 4" xfId="31697"/>
    <cellStyle name="常规 5 2 7 2 3 4 2" xfId="3781"/>
    <cellStyle name="常规 5 2 7 2 3 4 2 2" xfId="10910"/>
    <cellStyle name="常规 5 2 7 2 3 4 3" xfId="10913"/>
    <cellStyle name="常规 5 2 7 2 3 4 4" xfId="10916"/>
    <cellStyle name="常规 5 2 7 2 3 5" xfId="31698"/>
    <cellStyle name="常规 5 2 7 2 3 5 2" xfId="10948"/>
    <cellStyle name="常规 5 2 7 2 3 6" xfId="31699"/>
    <cellStyle name="常规 5 2 7 2 3 7" xfId="31700"/>
    <cellStyle name="常规 5 2 7 2 4" xfId="31701"/>
    <cellStyle name="常规 5 2 7 2 4 2" xfId="20439"/>
    <cellStyle name="常规 5 2 7 2 4 2 2" xfId="24319"/>
    <cellStyle name="常规 5 2 7 2 4 2 2 2" xfId="30878"/>
    <cellStyle name="常规 5 2 7 2 4 2 2 2 2" xfId="31702"/>
    <cellStyle name="常规 5 2 7 2 4 2 2 3" xfId="30880"/>
    <cellStyle name="常规 5 2 7 2 4 2 2 4" xfId="31703"/>
    <cellStyle name="常规 5 2 7 2 4 2 3" xfId="31704"/>
    <cellStyle name="常规 5 2 7 2 4 2 3 2" xfId="30901"/>
    <cellStyle name="常规 5 2 7 2 4 2 4" xfId="31705"/>
    <cellStyle name="常规 5 2 7 2 4 2 5" xfId="31706"/>
    <cellStyle name="常规 5 2 7 2 4 3" xfId="31707"/>
    <cellStyle name="常规 5 2 7 2 4 3 2" xfId="11081"/>
    <cellStyle name="常规 5 2 7 2 4 3 2 2" xfId="11085"/>
    <cellStyle name="常规 5 2 7 2 4 3 3" xfId="11090"/>
    <cellStyle name="常规 5 2 7 2 4 3 4" xfId="11094"/>
    <cellStyle name="常规 5 2 7 2 4 4" xfId="20824"/>
    <cellStyle name="常规 5 2 7 2 4 4 2" xfId="11139"/>
    <cellStyle name="常规 5 2 7 2 4 5" xfId="31708"/>
    <cellStyle name="常规 5 2 7 2 4 6" xfId="31709"/>
    <cellStyle name="常规 5 2 7 2 5" xfId="31710"/>
    <cellStyle name="常规 5 2 7 2 5 2" xfId="31711"/>
    <cellStyle name="常规 5 2 7 2 5 2 2" xfId="31712"/>
    <cellStyle name="常规 5 2 7 2 5 2 2 2" xfId="30967"/>
    <cellStyle name="常规 5 2 7 2 5 2 3" xfId="31713"/>
    <cellStyle name="常规 5 2 7 2 5 2 4" xfId="31714"/>
    <cellStyle name="常规 5 2 7 2 5 3" xfId="31715"/>
    <cellStyle name="常规 5 2 7 2 5 3 2" xfId="11230"/>
    <cellStyle name="常规 5 2 7 2 5 4" xfId="31716"/>
    <cellStyle name="常规 5 2 7 2 5 5" xfId="17688"/>
    <cellStyle name="常规 5 2 7 2 6" xfId="31717"/>
    <cellStyle name="常规 5 2 7 2 6 2" xfId="3431"/>
    <cellStyle name="常规 5 2 7 2 6 2 2" xfId="2866"/>
    <cellStyle name="常规 5 2 7 2 6 3" xfId="3447"/>
    <cellStyle name="常规 5 2 7 2 6 4" xfId="3452"/>
    <cellStyle name="常规 5 2 7 2 7" xfId="31718"/>
    <cellStyle name="常规 5 2 7 2 7 2" xfId="3399"/>
    <cellStyle name="常规 5 2 7 2 8" xfId="31719"/>
    <cellStyle name="常规 5 2 7 2 9" xfId="31720"/>
    <cellStyle name="常规 5 2 7 3" xfId="31722"/>
    <cellStyle name="常规 5 2 7 3 2" xfId="17695"/>
    <cellStyle name="常规 5 2 7 3 2 2" xfId="31724"/>
    <cellStyle name="常规 5 2 7 3 2 2 2" xfId="31725"/>
    <cellStyle name="常规 5 2 7 3 2 2 2 2" xfId="31726"/>
    <cellStyle name="常规 5 2 7 3 2 2 2 2 2" xfId="31727"/>
    <cellStyle name="常规 5 2 7 3 2 2 2 2 2 2" xfId="28855"/>
    <cellStyle name="常规 5 2 7 3 2 2 2 2 3" xfId="31728"/>
    <cellStyle name="常规 5 2 7 3 2 2 2 2 4" xfId="31729"/>
    <cellStyle name="常规 5 2 7 3 2 2 2 3" xfId="31730"/>
    <cellStyle name="常规 5 2 7 3 2 2 2 3 2" xfId="29212"/>
    <cellStyle name="常规 5 2 7 3 2 2 2 4" xfId="31731"/>
    <cellStyle name="常规 5 2 7 3 2 2 2 5" xfId="31732"/>
    <cellStyle name="常规 5 2 7 3 2 2 3" xfId="21615"/>
    <cellStyle name="常规 5 2 7 3 2 2 3 2" xfId="31733"/>
    <cellStyle name="常规 5 2 7 3 2 2 3 2 2" xfId="31734"/>
    <cellStyle name="常规 5 2 7 3 2 2 3 3" xfId="31735"/>
    <cellStyle name="常规 5 2 7 3 2 2 3 4" xfId="31736"/>
    <cellStyle name="常规 5 2 7 3 2 2 4" xfId="31737"/>
    <cellStyle name="常规 5 2 7 3 2 2 4 2" xfId="31738"/>
    <cellStyle name="常规 5 2 7 3 2 2 5" xfId="31739"/>
    <cellStyle name="常规 5 2 7 3 2 2 6" xfId="27502"/>
    <cellStyle name="常规 5 2 7 3 2 3" xfId="29807"/>
    <cellStyle name="常规 5 2 7 3 2 3 2" xfId="11600"/>
    <cellStyle name="常规 5 2 7 3 2 3 2 2" xfId="11605"/>
    <cellStyle name="常规 5 2 7 3 2 3 2 2 2" xfId="11609"/>
    <cellStyle name="常规 5 2 7 3 2 3 2 3" xfId="11613"/>
    <cellStyle name="常规 5 2 7 3 2 3 2 4" xfId="11617"/>
    <cellStyle name="常规 5 2 7 3 2 3 3" xfId="11622"/>
    <cellStyle name="常规 5 2 7 3 2 3 3 2" xfId="11626"/>
    <cellStyle name="常规 5 2 7 3 2 3 4" xfId="11631"/>
    <cellStyle name="常规 5 2 7 3 2 3 5" xfId="11635"/>
    <cellStyle name="常规 5 2 7 3 2 4" xfId="29821"/>
    <cellStyle name="常规 5 2 7 3 2 4 2" xfId="11731"/>
    <cellStyle name="常规 5 2 7 3 2 4 2 2" xfId="11736"/>
    <cellStyle name="常规 5 2 7 3 2 4 3" xfId="11743"/>
    <cellStyle name="常规 5 2 7 3 2 4 4" xfId="11749"/>
    <cellStyle name="常规 5 2 7 3 2 5" xfId="29830"/>
    <cellStyle name="常规 5 2 7 3 2 5 2" xfId="11772"/>
    <cellStyle name="常规 5 2 7 3 2 6" xfId="29836"/>
    <cellStyle name="常规 5 2 7 3 2 7" xfId="29838"/>
    <cellStyle name="常规 5 2 7 3 3" xfId="17698"/>
    <cellStyle name="常规 5 2 7 3 3 2" xfId="31740"/>
    <cellStyle name="常规 5 2 7 3 3 2 2" xfId="31741"/>
    <cellStyle name="常规 5 2 7 3 3 2 2 2" xfId="31742"/>
    <cellStyle name="常规 5 2 7 3 3 2 2 2 2" xfId="31744"/>
    <cellStyle name="常规 5 2 7 3 3 2 2 3" xfId="31745"/>
    <cellStyle name="常规 5 2 7 3 3 2 2 4" xfId="31746"/>
    <cellStyle name="常规 5 2 7 3 3 2 3" xfId="31747"/>
    <cellStyle name="常规 5 2 7 3 3 2 3 2" xfId="31748"/>
    <cellStyle name="常规 5 2 7 3 3 2 4" xfId="31749"/>
    <cellStyle name="常规 5 2 7 3 3 2 5" xfId="31750"/>
    <cellStyle name="常规 5 2 7 3 3 3" xfId="29842"/>
    <cellStyle name="常规 5 2 7 3 3 3 2" xfId="11875"/>
    <cellStyle name="常规 5 2 7 3 3 3 2 2" xfId="11879"/>
    <cellStyle name="常规 5 2 7 3 3 3 3" xfId="11884"/>
    <cellStyle name="常规 5 2 7 3 3 3 4" xfId="11888"/>
    <cellStyle name="常规 5 2 7 3 3 4" xfId="29849"/>
    <cellStyle name="常规 5 2 7 3 3 4 2" xfId="11935"/>
    <cellStyle name="常规 5 2 7 3 3 5" xfId="29855"/>
    <cellStyle name="常规 5 2 7 3 3 6" xfId="29857"/>
    <cellStyle name="常规 5 2 7 3 4" xfId="15938"/>
    <cellStyle name="常规 5 2 7 3 4 2" xfId="17855"/>
    <cellStyle name="常规 5 2 7 3 4 2 2" xfId="17857"/>
    <cellStyle name="常规 5 2 7 3 4 2 2 2" xfId="17861"/>
    <cellStyle name="常规 5 2 7 3 4 2 3" xfId="17864"/>
    <cellStyle name="常规 5 2 7 3 4 2 4" xfId="17866"/>
    <cellStyle name="常规 5 2 7 3 4 3" xfId="17868"/>
    <cellStyle name="常规 5 2 7 3 4 3 2" xfId="12033"/>
    <cellStyle name="常规 5 2 7 3 4 4" xfId="17871"/>
    <cellStyle name="常规 5 2 7 3 4 5" xfId="17874"/>
    <cellStyle name="常规 5 2 7 3 5" xfId="17877"/>
    <cellStyle name="常规 5 2 7 3 5 2" xfId="17880"/>
    <cellStyle name="常规 5 2 7 3 5 2 2" xfId="17883"/>
    <cellStyle name="常规 5 2 7 3 5 3" xfId="17885"/>
    <cellStyle name="常规 5 2 7 3 5 4" xfId="15686"/>
    <cellStyle name="常规 5 2 7 3 6" xfId="17889"/>
    <cellStyle name="常规 5 2 7 3 6 2" xfId="17892"/>
    <cellStyle name="常规 5 2 7 3 7" xfId="17894"/>
    <cellStyle name="常规 5 2 7 3 8" xfId="17897"/>
    <cellStyle name="常规 5 2 7 4" xfId="31752"/>
    <cellStyle name="常规 5 2 7 4 2" xfId="31754"/>
    <cellStyle name="常规 5 2 7 4 2 2" xfId="31755"/>
    <cellStyle name="常规 5 2 7 4 2 2 2" xfId="31756"/>
    <cellStyle name="常规 5 2 7 4 2 2 2 2" xfId="31757"/>
    <cellStyle name="常规 5 2 7 4 2 2 2 2 2" xfId="31759"/>
    <cellStyle name="常规 5 2 7 4 2 2 2 3" xfId="31760"/>
    <cellStyle name="常规 5 2 7 4 2 2 2 4" xfId="31761"/>
    <cellStyle name="常规 5 2 7 4 2 2 3" xfId="31762"/>
    <cellStyle name="常规 5 2 7 4 2 2 3 2" xfId="31763"/>
    <cellStyle name="常规 5 2 7 4 2 2 4" xfId="31764"/>
    <cellStyle name="常规 5 2 7 4 2 2 5" xfId="31766"/>
    <cellStyle name="常规 5 2 7 4 2 3" xfId="29867"/>
    <cellStyle name="常规 5 2 7 4 2 3 2" xfId="12349"/>
    <cellStyle name="常规 5 2 7 4 2 3 2 2" xfId="28475"/>
    <cellStyle name="常规 5 2 7 4 2 3 3" xfId="12355"/>
    <cellStyle name="常规 5 2 7 4 2 3 4" xfId="28480"/>
    <cellStyle name="常规 5 2 7 4 2 4" xfId="29881"/>
    <cellStyle name="常规 5 2 7 4 2 4 2" xfId="12373"/>
    <cellStyle name="常规 5 2 7 4 2 5" xfId="29889"/>
    <cellStyle name="常规 5 2 7 4 2 6" xfId="29894"/>
    <cellStyle name="常规 5 2 7 4 3" xfId="31767"/>
    <cellStyle name="常规 5 2 7 4 3 2" xfId="31768"/>
    <cellStyle name="常规 5 2 7 4 3 2 2" xfId="31769"/>
    <cellStyle name="常规 5 2 7 4 3 2 2 2" xfId="31770"/>
    <cellStyle name="常规 5 2 7 4 3 2 3" xfId="31771"/>
    <cellStyle name="常规 5 2 7 4 3 2 4" xfId="31772"/>
    <cellStyle name="常规 5 2 7 4 3 3" xfId="29901"/>
    <cellStyle name="常规 5 2 7 4 3 3 2" xfId="12402"/>
    <cellStyle name="常规 5 2 7 4 3 4" xfId="29909"/>
    <cellStyle name="常规 5 2 7 4 3 5" xfId="29914"/>
    <cellStyle name="常规 5 2 7 4 4" xfId="17899"/>
    <cellStyle name="常规 5 2 7 4 4 2" xfId="17901"/>
    <cellStyle name="常规 5 2 7 4 4 2 2" xfId="17903"/>
    <cellStyle name="常规 5 2 7 4 4 3" xfId="17905"/>
    <cellStyle name="常规 5 2 7 4 4 4" xfId="17909"/>
    <cellStyle name="常规 5 2 7 4 5" xfId="17913"/>
    <cellStyle name="常规 5 2 7 4 5 2" xfId="17916"/>
    <cellStyle name="常规 5 2 7 4 6" xfId="17919"/>
    <cellStyle name="常规 5 2 7 4 7" xfId="17922"/>
    <cellStyle name="常规 5 2 7 5" xfId="31774"/>
    <cellStyle name="常规 5 2 7 5 2" xfId="31775"/>
    <cellStyle name="常规 5 2 7 5 2 2" xfId="31776"/>
    <cellStyle name="常规 5 2 7 5 2 2 2" xfId="5971"/>
    <cellStyle name="常规 5 2 7 5 2 2 2 2" xfId="21741"/>
    <cellStyle name="常规 5 2 7 5 2 2 3" xfId="31777"/>
    <cellStyle name="常规 5 2 7 5 2 2 4" xfId="31778"/>
    <cellStyle name="常规 5 2 7 5 2 3" xfId="29928"/>
    <cellStyle name="常规 5 2 7 5 2 3 2" xfId="12626"/>
    <cellStyle name="常规 5 2 7 5 2 4" xfId="29935"/>
    <cellStyle name="常规 5 2 7 5 2 5" xfId="5175"/>
    <cellStyle name="常规 5 2 7 5 3" xfId="31779"/>
    <cellStyle name="常规 5 2 7 5 3 2" xfId="7761"/>
    <cellStyle name="常规 5 2 7 5 3 2 2" xfId="7764"/>
    <cellStyle name="常规 5 2 7 5 3 3" xfId="7776"/>
    <cellStyle name="常规 5 2 7 5 3 4" xfId="2966"/>
    <cellStyle name="常规 5 2 7 5 4" xfId="17924"/>
    <cellStyle name="常规 5 2 7 5 4 2" xfId="7791"/>
    <cellStyle name="常规 5 2 7 5 5" xfId="17926"/>
    <cellStyle name="常规 5 2 7 5 6" xfId="17929"/>
    <cellStyle name="常规 5 2 7 6" xfId="31781"/>
    <cellStyle name="常规 5 2 7 6 2" xfId="31782"/>
    <cellStyle name="常规 5 2 7 6 2 2" xfId="31783"/>
    <cellStyle name="常规 5 2 7 6 2 2 2" xfId="16290"/>
    <cellStyle name="常规 5 2 7 6 2 3" xfId="29946"/>
    <cellStyle name="常规 5 2 7 6 2 4" xfId="29950"/>
    <cellStyle name="常规 5 2 7 6 3" xfId="31784"/>
    <cellStyle name="常规 5 2 7 6 3 2" xfId="6072"/>
    <cellStyle name="常规 5 2 7 6 4" xfId="17932"/>
    <cellStyle name="常规 5 2 7 6 5" xfId="31785"/>
    <cellStyle name="常规 5 2 7 7" xfId="31786"/>
    <cellStyle name="常规 5 2 7 7 2" xfId="31787"/>
    <cellStyle name="常规 5 2 7 7 2 2" xfId="31788"/>
    <cellStyle name="常规 5 2 7 7 3" xfId="31789"/>
    <cellStyle name="常规 5 2 7 7 4" xfId="31790"/>
    <cellStyle name="常规 5 2 7 8" xfId="22978"/>
    <cellStyle name="常规 5 2 7 8 2" xfId="18686"/>
    <cellStyle name="常规 5 2 7 9" xfId="31791"/>
    <cellStyle name="常规 5 2 8" xfId="20909"/>
    <cellStyle name="常规 5 2 8 2" xfId="31792"/>
    <cellStyle name="常规 5 2 8 2 2" xfId="31795"/>
    <cellStyle name="常规 5 2 8 2 2 2" xfId="31797"/>
    <cellStyle name="常规 5 2 8 2 2 2 2" xfId="31799"/>
    <cellStyle name="常规 5 2 8 2 2 2 2 2" xfId="31801"/>
    <cellStyle name="常规 5 2 8 2 2 2 2 2 2" xfId="4571"/>
    <cellStyle name="常规 5 2 8 2 2 2 2 3" xfId="31803"/>
    <cellStyle name="常规 5 2 8 2 2 2 2 4" xfId="31806"/>
    <cellStyle name="常规 5 2 8 2 2 2 3" xfId="31808"/>
    <cellStyle name="常规 5 2 8 2 2 2 3 2" xfId="31810"/>
    <cellStyle name="常规 5 2 8 2 2 2 4" xfId="31812"/>
    <cellStyle name="常规 5 2 8 2 2 2 5" xfId="31814"/>
    <cellStyle name="常规 5 2 8 2 2 3" xfId="31816"/>
    <cellStyle name="常规 5 2 8 2 2 3 2" xfId="13417"/>
    <cellStyle name="常规 5 2 8 2 2 3 2 2" xfId="13425"/>
    <cellStyle name="常规 5 2 8 2 2 3 3" xfId="13436"/>
    <cellStyle name="常规 5 2 8 2 2 3 4" xfId="13444"/>
    <cellStyle name="常规 5 2 8 2 2 4" xfId="31818"/>
    <cellStyle name="常规 5 2 8 2 2 4 2" xfId="2044"/>
    <cellStyle name="常规 5 2 8 2 2 5" xfId="31820"/>
    <cellStyle name="常规 5 2 8 2 2 6" xfId="31822"/>
    <cellStyle name="常规 5 2 8 2 3" xfId="31823"/>
    <cellStyle name="常规 5 2 8 2 3 2" xfId="31825"/>
    <cellStyle name="常规 5 2 8 2 3 2 2" xfId="31827"/>
    <cellStyle name="常规 5 2 8 2 3 2 2 2" xfId="31829"/>
    <cellStyle name="常规 5 2 8 2 3 2 3" xfId="31831"/>
    <cellStyle name="常规 5 2 8 2 3 2 4" xfId="31833"/>
    <cellStyle name="常规 5 2 8 2 3 3" xfId="31835"/>
    <cellStyle name="常规 5 2 8 2 3 3 2" xfId="13600"/>
    <cellStyle name="常规 5 2 8 2 3 4" xfId="31837"/>
    <cellStyle name="常规 5 2 8 2 3 5" xfId="31839"/>
    <cellStyle name="常规 5 2 8 2 4" xfId="31840"/>
    <cellStyle name="常规 5 2 8 2 4 2" xfId="31842"/>
    <cellStyle name="常规 5 2 8 2 4 2 2" xfId="31844"/>
    <cellStyle name="常规 5 2 8 2 4 3" xfId="31846"/>
    <cellStyle name="常规 5 2 8 2 4 4" xfId="31848"/>
    <cellStyle name="常规 5 2 8 2 5" xfId="31849"/>
    <cellStyle name="常规 5 2 8 2 5 2" xfId="31851"/>
    <cellStyle name="常规 5 2 8 2 6" xfId="31852"/>
    <cellStyle name="常规 5 2 8 2 7" xfId="31853"/>
    <cellStyle name="常规 5 2 8 3" xfId="31855"/>
    <cellStyle name="常规 5 2 8 3 2" xfId="31857"/>
    <cellStyle name="常规 5 2 8 3 2 2" xfId="24855"/>
    <cellStyle name="常规 5 2 8 3 2 2 2" xfId="24860"/>
    <cellStyle name="常规 5 2 8 3 2 2 2 2" xfId="24864"/>
    <cellStyle name="常规 5 2 8 3 2 2 3" xfId="22387"/>
    <cellStyle name="常规 5 2 8 3 2 2 4" xfId="24872"/>
    <cellStyle name="常规 5 2 8 3 2 3" xfId="23859"/>
    <cellStyle name="常规 5 2 8 3 2 3 2" xfId="13942"/>
    <cellStyle name="常规 5 2 8 3 2 4" xfId="24884"/>
    <cellStyle name="常规 5 2 8 3 2 5" xfId="24889"/>
    <cellStyle name="常规 5 2 8 3 3" xfId="4599"/>
    <cellStyle name="常规 5 2 8 3 3 2" xfId="4604"/>
    <cellStyle name="常规 5 2 8 3 3 2 2" xfId="25067"/>
    <cellStyle name="常规 5 2 8 3 3 3" xfId="25076"/>
    <cellStyle name="常规 5 2 8 3 3 4" xfId="25087"/>
    <cellStyle name="常规 5 2 8 3 4" xfId="4609"/>
    <cellStyle name="常规 5 2 8 3 4 2" xfId="17937"/>
    <cellStyle name="常规 5 2 8 3 5" xfId="4614"/>
    <cellStyle name="常规 5 2 8 3 6" xfId="17953"/>
    <cellStyle name="常规 5 2 8 4" xfId="31859"/>
    <cellStyle name="常规 5 2 8 4 2" xfId="31860"/>
    <cellStyle name="常规 5 2 8 4 2 2" xfId="25437"/>
    <cellStyle name="常规 5 2 8 4 2 2 2" xfId="18278"/>
    <cellStyle name="常规 5 2 8 4 2 3" xfId="25444"/>
    <cellStyle name="常规 5 2 8 4 2 4" xfId="25451"/>
    <cellStyle name="常规 5 2 8 4 3" xfId="3224"/>
    <cellStyle name="常规 5 2 8 4 3 2" xfId="25508"/>
    <cellStyle name="常规 5 2 8 4 4" xfId="17958"/>
    <cellStyle name="常规 5 2 8 4 5" xfId="17963"/>
    <cellStyle name="常规 5 2 8 5" xfId="31862"/>
    <cellStyle name="常规 5 2 8 5 2" xfId="29604"/>
    <cellStyle name="常规 5 2 8 5 2 2" xfId="25709"/>
    <cellStyle name="常规 5 2 8 5 3" xfId="31863"/>
    <cellStyle name="常规 5 2 8 5 4" xfId="17968"/>
    <cellStyle name="常规 5 2 8 6" xfId="31864"/>
    <cellStyle name="常规 5 2 8 6 2" xfId="14630"/>
    <cellStyle name="常规 5 2 8 7" xfId="31865"/>
    <cellStyle name="常规 5 2 8 8" xfId="31866"/>
    <cellStyle name="常规 5 2 9" xfId="31867"/>
    <cellStyle name="常规 5 2 9 2" xfId="31868"/>
    <cellStyle name="常规 5 2 9 2 2" xfId="31869"/>
    <cellStyle name="常规 5 2 9 2 2 2" xfId="31871"/>
    <cellStyle name="常规 5 2 9 2 2 2 2" xfId="31873"/>
    <cellStyle name="常规 5 2 9 2 2 2 2 2" xfId="31875"/>
    <cellStyle name="常规 5 2 9 2 2 2 3" xfId="31877"/>
    <cellStyle name="常规 5 2 9 2 2 2 4" xfId="22483"/>
    <cellStyle name="常规 5 2 9 2 2 3" xfId="13010"/>
    <cellStyle name="常规 5 2 9 2 2 3 2" xfId="13016"/>
    <cellStyle name="常规 5 2 9 2 2 4" xfId="5"/>
    <cellStyle name="常规 5 2 9 2 2 5" xfId="450"/>
    <cellStyle name="常规 5 2 9 2 3" xfId="31878"/>
    <cellStyle name="常规 5 2 9 2 3 2" xfId="31880"/>
    <cellStyle name="常规 5 2 9 2 3 2 2" xfId="9229"/>
    <cellStyle name="常规 5 2 9 2 3 3" xfId="13027"/>
    <cellStyle name="常规 5 2 9 2 3 4" xfId="464"/>
    <cellStyle name="常规 5 2 9 2 4" xfId="31881"/>
    <cellStyle name="常规 5 2 9 2 4 2" xfId="31883"/>
    <cellStyle name="常规 5 2 9 2 5" xfId="31884"/>
    <cellStyle name="常规 5 2 9 2 6" xfId="31885"/>
    <cellStyle name="常规 5 2 9 3" xfId="10477"/>
    <cellStyle name="常规 5 2 9 3 2" xfId="10479"/>
    <cellStyle name="常规 5 2 9 3 2 2" xfId="26022"/>
    <cellStyle name="常规 5 2 9 3 2 2 2" xfId="26025"/>
    <cellStyle name="常规 5 2 9 3 2 3" xfId="13048"/>
    <cellStyle name="常规 5 2 9 3 2 4" xfId="13061"/>
    <cellStyle name="常规 5 2 9 3 3" xfId="4630"/>
    <cellStyle name="常规 5 2 9 3 3 2" xfId="26076"/>
    <cellStyle name="常规 5 2 9 3 4" xfId="17973"/>
    <cellStyle name="常规 5 2 9 3 5" xfId="17979"/>
    <cellStyle name="常规 5 2 9 4" xfId="10481"/>
    <cellStyle name="常规 5 2 9 4 2" xfId="31886"/>
    <cellStyle name="常规 5 2 9 4 2 2" xfId="26221"/>
    <cellStyle name="常规 5 2 9 4 3" xfId="31888"/>
    <cellStyle name="常规 5 2 9 4 4" xfId="17985"/>
    <cellStyle name="常规 5 2 9 5" xfId="10483"/>
    <cellStyle name="常规 5 2 9 5 2" xfId="31889"/>
    <cellStyle name="常规 5 2 9 6" xfId="31890"/>
    <cellStyle name="常规 5 2 9 7" xfId="31891"/>
    <cellStyle name="常规 5 2_Sheet2" xfId="31892"/>
    <cellStyle name="常规 5 20" xfId="24511"/>
    <cellStyle name="常规 5 3" xfId="1824"/>
    <cellStyle name="常规 5 3 2" xfId="31893"/>
    <cellStyle name="常规 5 3 3" xfId="31894"/>
    <cellStyle name="常规 5 3 4" xfId="31895"/>
    <cellStyle name="常规 5 3_Sheet2" xfId="31897"/>
    <cellStyle name="常规 5 4" xfId="31898"/>
    <cellStyle name="常规 5 4 10" xfId="19992"/>
    <cellStyle name="常规 5 4 10 2" xfId="31899"/>
    <cellStyle name="常规 5 4 10 2 2" xfId="20769"/>
    <cellStyle name="常规 5 4 10 2 2 2" xfId="31900"/>
    <cellStyle name="常规 5 4 10 2 3" xfId="20771"/>
    <cellStyle name="常规 5 4 10 2 4" xfId="31901"/>
    <cellStyle name="常规 5 4 10 3" xfId="31902"/>
    <cellStyle name="常规 5 4 10 3 2" xfId="31903"/>
    <cellStyle name="常规 5 4 10 4" xfId="5526"/>
    <cellStyle name="常规 5 4 10 5" xfId="5559"/>
    <cellStyle name="常规 5 4 11" xfId="31906"/>
    <cellStyle name="常规 5 4 11 2" xfId="31907"/>
    <cellStyle name="常规 5 4 11 2 2" xfId="17553"/>
    <cellStyle name="常规 5 4 11 3" xfId="31908"/>
    <cellStyle name="常规 5 4 11 4" xfId="343"/>
    <cellStyle name="常规 5 4 12" xfId="25756"/>
    <cellStyle name="常规 5 4 12 2" xfId="25758"/>
    <cellStyle name="常规 5 4 13" xfId="25760"/>
    <cellStyle name="常规 5 4 14" xfId="21307"/>
    <cellStyle name="常规 5 4 15" xfId="21310"/>
    <cellStyle name="常规 5 4 16" xfId="21312"/>
    <cellStyle name="常规 5 4 17" xfId="31909"/>
    <cellStyle name="常规 5 4 2" xfId="27458"/>
    <cellStyle name="常规 5 4 2 10" xfId="31911"/>
    <cellStyle name="常规 5 4 2 10 2" xfId="31912"/>
    <cellStyle name="常规 5 4 2 10 2 2" xfId="31913"/>
    <cellStyle name="常规 5 4 2 10 3" xfId="11984"/>
    <cellStyle name="常规 5 4 2 10 4" xfId="12012"/>
    <cellStyle name="常规 5 4 2 11" xfId="31914"/>
    <cellStyle name="常规 5 4 2 11 2" xfId="31915"/>
    <cellStyle name="常规 5 4 2 12" xfId="31916"/>
    <cellStyle name="常规 5 4 2 13" xfId="10079"/>
    <cellStyle name="常规 5 4 2 2" xfId="31917"/>
    <cellStyle name="常规 5 4 2 2 10" xfId="31918"/>
    <cellStyle name="常规 5 4 2 2 10 2" xfId="31919"/>
    <cellStyle name="常规 5 4 2 2 11" xfId="27537"/>
    <cellStyle name="常规 5 4 2 2 12" xfId="27553"/>
    <cellStyle name="常规 5 4 2 2 2" xfId="31920"/>
    <cellStyle name="常规 5 4 2 2 2 10" xfId="18178"/>
    <cellStyle name="常规 5 4 2 2 2 11" xfId="31921"/>
    <cellStyle name="常规 5 4 2 2 2 2" xfId="31922"/>
    <cellStyle name="常规 5 4 2 2 2 2 2" xfId="29063"/>
    <cellStyle name="常规 5 4 2 2 2 2 2 2" xfId="29066"/>
    <cellStyle name="常规 5 4 2 2 2 2 2 2 2" xfId="18288"/>
    <cellStyle name="常规 5 4 2 2 2 2 2 2 2 2" xfId="14223"/>
    <cellStyle name="常规 5 4 2 2 2 2 2 2 2 2 2" xfId="14231"/>
    <cellStyle name="常规 5 4 2 2 2 2 2 2 2 2 2 2" xfId="8402"/>
    <cellStyle name="常规 5 4 2 2 2 2 2 2 2 2 2 2 2" xfId="122"/>
    <cellStyle name="常规 5 4 2 2 2 2 2 2 2 2 2 3" xfId="8404"/>
    <cellStyle name="常规 5 4 2 2 2 2 2 2 2 2 2 4" xfId="8408"/>
    <cellStyle name="常规 5 4 2 2 2 2 2 2 2 2 3" xfId="31923"/>
    <cellStyle name="常规 5 4 2 2 2 2 2 2 2 2 3 2" xfId="8417"/>
    <cellStyle name="常规 5 4 2 2 2 2 2 2 2 2 4" xfId="31924"/>
    <cellStyle name="常规 5 4 2 2 2 2 2 2 2 2 5" xfId="31925"/>
    <cellStyle name="常规 5 4 2 2 2 2 2 2 2 3" xfId="14236"/>
    <cellStyle name="常规 5 4 2 2 2 2 2 2 2 3 2" xfId="30002"/>
    <cellStyle name="常规 5 4 2 2 2 2 2 2 2 3 2 2" xfId="8687"/>
    <cellStyle name="常规 5 4 2 2 2 2 2 2 2 3 3" xfId="30022"/>
    <cellStyle name="常规 5 4 2 2 2 2 2 2 2 3 4" xfId="30024"/>
    <cellStyle name="常规 5 4 2 2 2 2 2 2 2 4" xfId="14242"/>
    <cellStyle name="常规 5 4 2 2 2 2 2 2 2 4 2" xfId="30026"/>
    <cellStyle name="常规 5 4 2 2 2 2 2 2 2 5" xfId="5876"/>
    <cellStyle name="常规 5 4 2 2 2 2 2 2 2 6" xfId="30030"/>
    <cellStyle name="常规 5 4 2 2 2 2 2 2 3" xfId="18292"/>
    <cellStyle name="常规 5 4 2 2 2 2 2 2 3 2" xfId="14259"/>
    <cellStyle name="常规 5 4 2 2 2 2 2 2 3 2 2" xfId="31926"/>
    <cellStyle name="常规 5 4 2 2 2 2 2 2 3 2 2 2" xfId="9203"/>
    <cellStyle name="常规 5 4 2 2 2 2 2 2 3 2 3" xfId="31927"/>
    <cellStyle name="常规 5 4 2 2 2 2 2 2 3 2 4" xfId="31928"/>
    <cellStyle name="常规 5 4 2 2 2 2 2 2 3 3" xfId="14265"/>
    <cellStyle name="常规 5 4 2 2 2 2 2 2 3 3 2" xfId="30031"/>
    <cellStyle name="常规 5 4 2 2 2 2 2 2 3 4" xfId="30033"/>
    <cellStyle name="常规 5 4 2 2 2 2 2 2 3 5" xfId="30036"/>
    <cellStyle name="常规 5 4 2 2 2 2 2 2 4" xfId="18296"/>
    <cellStyle name="常规 5 4 2 2 2 2 2 2 4 2" xfId="14274"/>
    <cellStyle name="常规 5 4 2 2 2 2 2 2 4 2 2" xfId="31929"/>
    <cellStyle name="常规 5 4 2 2 2 2 2 2 4 3" xfId="30038"/>
    <cellStyle name="常规 5 4 2 2 2 2 2 2 4 4" xfId="31931"/>
    <cellStyle name="常规 5 4 2 2 2 2 2 2 5" xfId="9256"/>
    <cellStyle name="常规 5 4 2 2 2 2 2 2 5 2" xfId="9259"/>
    <cellStyle name="常规 5 4 2 2 2 2 2 2 6" xfId="9316"/>
    <cellStyle name="常规 5 4 2 2 2 2 2 2 7" xfId="9347"/>
    <cellStyle name="常规 5 4 2 2 2 2 2 3" xfId="18933"/>
    <cellStyle name="常规 5 4 2 2 2 2 2 3 2" xfId="18307"/>
    <cellStyle name="常规 5 4 2 2 2 2 2 3 2 2" xfId="9025"/>
    <cellStyle name="常规 5 4 2 2 2 2 2 3 2 2 2" xfId="18937"/>
    <cellStyle name="常规 5 4 2 2 2 2 2 3 2 2 2 2" xfId="29138"/>
    <cellStyle name="常规 5 4 2 2 2 2 2 3 2 2 3" xfId="17634"/>
    <cellStyle name="常规 5 4 2 2 2 2 2 3 2 2 4" xfId="17637"/>
    <cellStyle name="常规 5 4 2 2 2 2 2 3 2 3" xfId="9030"/>
    <cellStyle name="常规 5 4 2 2 2 2 2 3 2 3 2" xfId="30044"/>
    <cellStyle name="常规 5 4 2 2 2 2 2 3 2 4" xfId="18939"/>
    <cellStyle name="常规 5 4 2 2 2 2 2 3 2 5" xfId="24521"/>
    <cellStyle name="常规 5 4 2 2 2 2 2 3 3" xfId="18312"/>
    <cellStyle name="常规 5 4 2 2 2 2 2 3 3 2" xfId="14290"/>
    <cellStyle name="常规 5 4 2 2 2 2 2 3 3 2 2" xfId="31933"/>
    <cellStyle name="常规 5 4 2 2 2 2 2 3 3 3" xfId="30046"/>
    <cellStyle name="常规 5 4 2 2 2 2 2 3 3 4" xfId="31934"/>
    <cellStyle name="常规 5 4 2 2 2 2 2 3 4" xfId="18942"/>
    <cellStyle name="常规 5 4 2 2 2 2 2 3 4 2" xfId="31935"/>
    <cellStyle name="常规 5 4 2 2 2 2 2 3 5" xfId="9369"/>
    <cellStyle name="常规 5 4 2 2 2 2 2 3 6" xfId="9400"/>
    <cellStyle name="常规 5 4 2 2 2 2 2 4" xfId="18946"/>
    <cellStyle name="常规 5 4 2 2 2 2 2 4 2" xfId="18950"/>
    <cellStyle name="常规 5 4 2 2 2 2 2 4 2 2" xfId="14301"/>
    <cellStyle name="常规 5 4 2 2 2 2 2 4 2 2 2" xfId="31936"/>
    <cellStyle name="常规 5 4 2 2 2 2 2 4 2 3" xfId="30054"/>
    <cellStyle name="常规 5 4 2 2 2 2 2 4 2 4" xfId="12482"/>
    <cellStyle name="常规 5 4 2 2 2 2 2 4 3" xfId="18953"/>
    <cellStyle name="常规 5 4 2 2 2 2 2 4 3 2" xfId="31937"/>
    <cellStyle name="常规 5 4 2 2 2 2 2 4 4" xfId="18957"/>
    <cellStyle name="常规 5 4 2 2 2 2 2 4 5" xfId="9435"/>
    <cellStyle name="常规 5 4 2 2 2 2 2 5" xfId="17626"/>
    <cellStyle name="常规 5 4 2 2 2 2 2 5 2" xfId="18959"/>
    <cellStyle name="常规 5 4 2 2 2 2 2 5 2 2" xfId="4618"/>
    <cellStyle name="常规 5 4 2 2 2 2 2 5 3" xfId="31938"/>
    <cellStyle name="常规 5 4 2 2 2 2 2 5 4" xfId="31939"/>
    <cellStyle name="常规 5 4 2 2 2 2 2 6" xfId="18964"/>
    <cellStyle name="常规 5 4 2 2 2 2 2 6 2" xfId="29261"/>
    <cellStyle name="常规 5 4 2 2 2 2 2 7" xfId="14567"/>
    <cellStyle name="常规 5 4 2 2 2 2 2 8" xfId="4286"/>
    <cellStyle name="常规 5 4 2 2 2 2 3" xfId="21759"/>
    <cellStyle name="常规 5 4 2 2 2 2 3 2" xfId="21763"/>
    <cellStyle name="常规 5 4 2 2 2 2 3 2 2" xfId="18349"/>
    <cellStyle name="常规 5 4 2 2 2 2 3 2 2 2" xfId="14407"/>
    <cellStyle name="常规 5 4 2 2 2 2 3 2 2 2 2" xfId="31941"/>
    <cellStyle name="常规 5 4 2 2 2 2 3 2 2 2 2 2" xfId="8698"/>
    <cellStyle name="常规 5 4 2 2 2 2 3 2 2 2 3" xfId="31943"/>
    <cellStyle name="常规 5 4 2 2 2 2 3 2 2 2 4" xfId="31944"/>
    <cellStyle name="常规 5 4 2 2 2 2 3 2 2 3" xfId="14413"/>
    <cellStyle name="常规 5 4 2 2 2 2 3 2 2 3 2" xfId="30060"/>
    <cellStyle name="常规 5 4 2 2 2 2 3 2 2 4" xfId="30065"/>
    <cellStyle name="常规 5 4 2 2 2 2 3 2 2 5" xfId="30069"/>
    <cellStyle name="常规 5 4 2 2 2 2 3 2 3" xfId="18353"/>
    <cellStyle name="常规 5 4 2 2 2 2 3 2 3 2" xfId="14428"/>
    <cellStyle name="常规 5 4 2 2 2 2 3 2 3 2 2" xfId="31946"/>
    <cellStyle name="常规 5 4 2 2 2 2 3 2 3 3" xfId="30072"/>
    <cellStyle name="常规 5 4 2 2 2 2 3 2 3 4" xfId="31948"/>
    <cellStyle name="常规 5 4 2 2 2 2 3 2 4" xfId="21766"/>
    <cellStyle name="常规 5 4 2 2 2 2 3 2 4 2" xfId="31949"/>
    <cellStyle name="常规 5 4 2 2 2 2 3 2 5" xfId="9546"/>
    <cellStyle name="常规 5 4 2 2 2 2 3 2 6" xfId="9563"/>
    <cellStyle name="常规 5 4 2 2 2 2 3 3" xfId="18969"/>
    <cellStyle name="常规 5 4 2 2 2 2 3 3 2" xfId="7179"/>
    <cellStyle name="常规 5 4 2 2 2 2 3 3 2 2" xfId="3750"/>
    <cellStyle name="常规 5 4 2 2 2 2 3 3 2 2 2" xfId="7185"/>
    <cellStyle name="常规 5 4 2 2 2 2 3 3 2 3" xfId="3755"/>
    <cellStyle name="常规 5 4 2 2 2 2 3 3 2 4" xfId="7212"/>
    <cellStyle name="常规 5 4 2 2 2 2 3 3 3" xfId="3297"/>
    <cellStyle name="常规 5 4 2 2 2 2 3 3 3 2" xfId="3783"/>
    <cellStyle name="常规 5 4 2 2 2 2 3 3 4" xfId="7233"/>
    <cellStyle name="常规 5 4 2 2 2 2 3 3 5" xfId="9582"/>
    <cellStyle name="常规 5 4 2 2 2 2 3 4" xfId="18974"/>
    <cellStyle name="常规 5 4 2 2 2 2 3 4 2" xfId="8154"/>
    <cellStyle name="常规 5 4 2 2 2 2 3 4 2 2" xfId="8157"/>
    <cellStyle name="常规 5 4 2 2 2 2 3 4 3" xfId="8202"/>
    <cellStyle name="常规 5 4 2 2 2 2 3 4 4" xfId="8216"/>
    <cellStyle name="常规 5 4 2 2 2 2 3 5" xfId="18978"/>
    <cellStyle name="常规 5 4 2 2 2 2 3 5 2" xfId="8929"/>
    <cellStyle name="常规 5 4 2 2 2 2 3 6" xfId="4302"/>
    <cellStyle name="常规 5 4 2 2 2 2 3 7" xfId="4314"/>
    <cellStyle name="常规 5 4 2 2 2 2 4" xfId="21769"/>
    <cellStyle name="常规 5 4 2 2 2 2 4 2" xfId="21773"/>
    <cellStyle name="常规 5 4 2 2 2 2 4 2 2" xfId="21776"/>
    <cellStyle name="常规 5 4 2 2 2 2 4 2 2 2" xfId="5293"/>
    <cellStyle name="常规 5 4 2 2 2 2 4 2 2 2 2" xfId="31950"/>
    <cellStyle name="常规 5 4 2 2 2 2 4 2 2 3" xfId="570"/>
    <cellStyle name="常规 5 4 2 2 2 2 4 2 2 4" xfId="31952"/>
    <cellStyle name="常规 5 4 2 2 2 2 4 2 3" xfId="31953"/>
    <cellStyle name="常规 5 4 2 2 2 2 4 2 3 2" xfId="31954"/>
    <cellStyle name="常规 5 4 2 2 2 2 4 2 4" xfId="27670"/>
    <cellStyle name="常规 5 4 2 2 2 2 4 2 5" xfId="7751"/>
    <cellStyle name="常规 5 4 2 2 2 2 4 3" xfId="18984"/>
    <cellStyle name="常规 5 4 2 2 2 2 4 3 2" xfId="18988"/>
    <cellStyle name="常规 5 4 2 2 2 2 4 3 2 2" xfId="31955"/>
    <cellStyle name="常规 5 4 2 2 2 2 4 3 3" xfId="31956"/>
    <cellStyle name="常规 5 4 2 2 2 2 4 3 4" xfId="27675"/>
    <cellStyle name="常规 5 4 2 2 2 2 4 4" xfId="18992"/>
    <cellStyle name="常规 5 4 2 2 2 2 4 4 2" xfId="31959"/>
    <cellStyle name="常规 5 4 2 2 2 2 4 5" xfId="18996"/>
    <cellStyle name="常规 5 4 2 2 2 2 4 6" xfId="4332"/>
    <cellStyle name="常规 5 4 2 2 2 2 5" xfId="19878"/>
    <cellStyle name="常规 5 4 2 2 2 2 5 2" xfId="19883"/>
    <cellStyle name="常规 5 4 2 2 2 2 5 2 2" xfId="23699"/>
    <cellStyle name="常规 5 4 2 2 2 2 5 2 2 2" xfId="23701"/>
    <cellStyle name="常规 5 4 2 2 2 2 5 2 3" xfId="23711"/>
    <cellStyle name="常规 5 4 2 2 2 2 5 2 4" xfId="23722"/>
    <cellStyle name="常规 5 4 2 2 2 2 5 3" xfId="18999"/>
    <cellStyle name="常规 5 4 2 2 2 2 5 3 2" xfId="23762"/>
    <cellStyle name="常规 5 4 2 2 2 2 5 4" xfId="31961"/>
    <cellStyle name="常规 5 4 2 2 2 2 5 5" xfId="31963"/>
    <cellStyle name="常规 5 4 2 2 2 2 6" xfId="19888"/>
    <cellStyle name="常规 5 4 2 2 2 2 6 2" xfId="28569"/>
    <cellStyle name="常规 5 4 2 2 2 2 6 2 2" xfId="23987"/>
    <cellStyle name="常规 5 4 2 2 2 2 6 3" xfId="28573"/>
    <cellStyle name="常规 5 4 2 2 2 2 6 4" xfId="5103"/>
    <cellStyle name="常规 5 4 2 2 2 2 7" xfId="19894"/>
    <cellStyle name="常规 5 4 2 2 2 2 7 2" xfId="28577"/>
    <cellStyle name="常规 5 4 2 2 2 2 8" xfId="28587"/>
    <cellStyle name="常规 5 4 2 2 2 2 9" xfId="28592"/>
    <cellStyle name="常规 5 4 2 2 2 3" xfId="31964"/>
    <cellStyle name="常规 5 4 2 2 2 3 2" xfId="29172"/>
    <cellStyle name="常规 5 4 2 2 2 3 2 2" xfId="29175"/>
    <cellStyle name="常规 5 4 2 2 2 3 2 2 2" xfId="18409"/>
    <cellStyle name="常规 5 4 2 2 2 3 2 2 2 2" xfId="15074"/>
    <cellStyle name="常规 5 4 2 2 2 3 2 2 2 2 2" xfId="31965"/>
    <cellStyle name="常规 5 4 2 2 2 3 2 2 2 2 2 2" xfId="5454"/>
    <cellStyle name="常规 5 4 2 2 2 3 2 2 2 2 2 2 2" xfId="5460"/>
    <cellStyle name="常规 5 4 2 2 2 3 2 2 2 2 2 3" xfId="5476"/>
    <cellStyle name="常规 5 4 2 2 2 3 2 2 2 2 2 4" xfId="5457"/>
    <cellStyle name="常规 5 4 2 2 2 3 2 2 2 2 3" xfId="31966"/>
    <cellStyle name="常规 5 4 2 2 2 3 2 2 2 2 3 2" xfId="5499"/>
    <cellStyle name="常规 5 4 2 2 2 3 2 2 2 2 4" xfId="31967"/>
    <cellStyle name="常规 5 4 2 2 2 3 2 2 2 2 5" xfId="31968"/>
    <cellStyle name="常规 5 4 2 2 2 3 2 2 2 3" xfId="15077"/>
    <cellStyle name="常规 5 4 2 2 2 3 2 2 2 3 2" xfId="30122"/>
    <cellStyle name="常规 5 4 2 2 2 3 2 2 2 3 2 2" xfId="1516"/>
    <cellStyle name="常规 5 4 2 2 2 3 2 2 2 3 3" xfId="31969"/>
    <cellStyle name="常规 5 4 2 2 2 3 2 2 2 3 4" xfId="31970"/>
    <cellStyle name="常规 5 4 2 2 2 3 2 2 2 4" xfId="30124"/>
    <cellStyle name="常规 5 4 2 2 2 3 2 2 2 4 2" xfId="31971"/>
    <cellStyle name="常规 5 4 2 2 2 3 2 2 2 5" xfId="23174"/>
    <cellStyle name="常规 5 4 2 2 2 3 2 2 2 6" xfId="23178"/>
    <cellStyle name="常规 5 4 2 2 2 3 2 2 3" xfId="18413"/>
    <cellStyle name="常规 5 4 2 2 2 3 2 2 3 2" xfId="15083"/>
    <cellStyle name="常规 5 4 2 2 2 3 2 2 3 2 2" xfId="31972"/>
    <cellStyle name="常规 5 4 2 2 2 3 2 2 3 2 2 2" xfId="3496"/>
    <cellStyle name="常规 5 4 2 2 2 3 2 2 3 2 3" xfId="9746"/>
    <cellStyle name="常规 5 4 2 2 2 3 2 2 3 2 4" xfId="31973"/>
    <cellStyle name="常规 5 4 2 2 2 3 2 2 3 3" xfId="30126"/>
    <cellStyle name="常规 5 4 2 2 2 3 2 2 3 3 2" xfId="31974"/>
    <cellStyle name="常规 5 4 2 2 2 3 2 2 3 4" xfId="31976"/>
    <cellStyle name="常规 5 4 2 2 2 3 2 2 3 5" xfId="23184"/>
    <cellStyle name="常规 5 4 2 2 2 3 2 2 4" xfId="6297"/>
    <cellStyle name="常规 5 4 2 2 2 3 2 2 4 2" xfId="31977"/>
    <cellStyle name="常规 5 4 2 2 2 3 2 2 4 2 2" xfId="31978"/>
    <cellStyle name="常规 5 4 2 2 2 3 2 2 4 3" xfId="31979"/>
    <cellStyle name="常规 5 4 2 2 2 3 2 2 4 4" xfId="31981"/>
    <cellStyle name="常规 5 4 2 2 2 3 2 2 5" xfId="31982"/>
    <cellStyle name="常规 5 4 2 2 2 3 2 2 5 2" xfId="29810"/>
    <cellStyle name="常规 5 4 2 2 2 3 2 2 6" xfId="24866"/>
    <cellStyle name="常规 5 4 2 2 2 3 2 2 7" xfId="7530"/>
    <cellStyle name="常规 5 4 2 2 2 3 2 3" xfId="19010"/>
    <cellStyle name="常规 5 4 2 2 2 3 2 3 2" xfId="19013"/>
    <cellStyle name="常规 5 4 2 2 2 3 2 3 2 2" xfId="15090"/>
    <cellStyle name="常规 5 4 2 2 2 3 2 3 2 2 2" xfId="183"/>
    <cellStyle name="常规 5 4 2 2 2 3 2 3 2 2 2 2" xfId="771"/>
    <cellStyle name="常规 5 4 2 2 2 3 2 3 2 2 3" xfId="341"/>
    <cellStyle name="常规 5 4 2 2 2 3 2 3 2 2 4" xfId="359"/>
    <cellStyle name="常规 5 4 2 2 2 3 2 3 2 3" xfId="30134"/>
    <cellStyle name="常规 5 4 2 2 2 3 2 3 2 3 2" xfId="31983"/>
    <cellStyle name="常规 5 4 2 2 2 3 2 3 2 4" xfId="31984"/>
    <cellStyle name="常规 5 4 2 2 2 3 2 3 2 5" xfId="23230"/>
    <cellStyle name="常规 5 4 2 2 2 3 2 3 3" xfId="19015"/>
    <cellStyle name="常规 5 4 2 2 2 3 2 3 3 2" xfId="31985"/>
    <cellStyle name="常规 5 4 2 2 2 3 2 3 3 2 2" xfId="31986"/>
    <cellStyle name="常规 5 4 2 2 2 3 2 3 3 3" xfId="2500"/>
    <cellStyle name="常规 5 4 2 2 2 3 2 3 3 4" xfId="31988"/>
    <cellStyle name="常规 5 4 2 2 2 3 2 3 4" xfId="19017"/>
    <cellStyle name="常规 5 4 2 2 2 3 2 3 4 2" xfId="31989"/>
    <cellStyle name="常规 5 4 2 2 2 3 2 3 5" xfId="31990"/>
    <cellStyle name="常规 5 4 2 2 2 3 2 3 6" xfId="31991"/>
    <cellStyle name="常规 5 4 2 2 2 3 2 4" xfId="19021"/>
    <cellStyle name="常规 5 4 2 2 2 3 2 4 2" xfId="7459"/>
    <cellStyle name="常规 5 4 2 2 2 3 2 4 2 2" xfId="31992"/>
    <cellStyle name="常规 5 4 2 2 2 3 2 4 2 2 2" xfId="31993"/>
    <cellStyle name="常规 5 4 2 2 2 3 2 4 2 3" xfId="31994"/>
    <cellStyle name="常规 5 4 2 2 2 3 2 4 2 4" xfId="31995"/>
    <cellStyle name="常规 5 4 2 2 2 3 2 4 3" xfId="31996"/>
    <cellStyle name="常规 5 4 2 2 2 3 2 4 3 2" xfId="31259"/>
    <cellStyle name="常规 5 4 2 2 2 3 2 4 4" xfId="31997"/>
    <cellStyle name="常规 5 4 2 2 2 3 2 4 5" xfId="31998"/>
    <cellStyle name="常规 5 4 2 2 2 3 2 5" xfId="19024"/>
    <cellStyle name="常规 5 4 2 2 2 3 2 5 2" xfId="31999"/>
    <cellStyle name="常规 5 4 2 2 2 3 2 5 2 2" xfId="4827"/>
    <cellStyle name="常规 5 4 2 2 2 3 2 5 3" xfId="3368"/>
    <cellStyle name="常规 5 4 2 2 2 3 2 5 4" xfId="32000"/>
    <cellStyle name="常规 5 4 2 2 2 3 2 6" xfId="19027"/>
    <cellStyle name="常规 5 4 2 2 2 3 2 6 2" xfId="32001"/>
    <cellStyle name="常规 5 4 2 2 2 3 2 7" xfId="32003"/>
    <cellStyle name="常规 5 4 2 2 2 3 2 8" xfId="32004"/>
    <cellStyle name="常规 5 4 2 2 2 3 3" xfId="21779"/>
    <cellStyle name="常规 5 4 2 2 2 3 3 2" xfId="21783"/>
    <cellStyle name="常规 5 4 2 2 2 3 3 2 2" xfId="21786"/>
    <cellStyle name="常规 5 4 2 2 2 3 3 2 2 2" xfId="15140"/>
    <cellStyle name="常规 5 4 2 2 2 3 3 2 2 2 2" xfId="32005"/>
    <cellStyle name="常规 5 4 2 2 2 3 3 2 2 2 2 2" xfId="28779"/>
    <cellStyle name="常规 5 4 2 2 2 3 3 2 2 2 3" xfId="32006"/>
    <cellStyle name="常规 5 4 2 2 2 3 3 2 2 2 4" xfId="32007"/>
    <cellStyle name="常规 5 4 2 2 2 3 3 2 2 3" xfId="30146"/>
    <cellStyle name="常规 5 4 2 2 2 3 3 2 2 3 2" xfId="5083"/>
    <cellStyle name="常规 5 4 2 2 2 3 3 2 2 4" xfId="32009"/>
    <cellStyle name="常规 5 4 2 2 2 3 3 2 2 5" xfId="23324"/>
    <cellStyle name="常规 5 4 2 2 2 3 3 2 3" xfId="32010"/>
    <cellStyle name="常规 5 4 2 2 2 3 3 2 3 2" xfId="32011"/>
    <cellStyle name="常规 5 4 2 2 2 3 3 2 3 2 2" xfId="32014"/>
    <cellStyle name="常规 5 4 2 2 2 3 3 2 3 3" xfId="32015"/>
    <cellStyle name="常规 5 4 2 2 2 3 3 2 3 4" xfId="32016"/>
    <cellStyle name="常规 5 4 2 2 2 3 3 2 4" xfId="32017"/>
    <cellStyle name="常规 5 4 2 2 2 3 3 2 4 2" xfId="32018"/>
    <cellStyle name="常规 5 4 2 2 2 3 3 2 5" xfId="32019"/>
    <cellStyle name="常规 5 4 2 2 2 3 3 2 6" xfId="32020"/>
    <cellStyle name="常规 5 4 2 2 2 3 3 3" xfId="19032"/>
    <cellStyle name="常规 5 4 2 2 2 3 3 3 2" xfId="19035"/>
    <cellStyle name="常规 5 4 2 2 2 3 3 3 2 2" xfId="12838"/>
    <cellStyle name="常规 5 4 2 2 2 3 3 3 2 2 2" xfId="12841"/>
    <cellStyle name="常规 5 4 2 2 2 3 3 3 2 3" xfId="12874"/>
    <cellStyle name="常规 5 4 2 2 2 3 3 3 2 4" xfId="12889"/>
    <cellStyle name="常规 5 4 2 2 2 3 3 3 3" xfId="32021"/>
    <cellStyle name="常规 5 4 2 2 2 3 3 3 3 2" xfId="12967"/>
    <cellStyle name="常规 5 4 2 2 2 3 3 3 4" xfId="32022"/>
    <cellStyle name="常规 5 4 2 2 2 3 3 3 5" xfId="32023"/>
    <cellStyle name="常规 5 4 2 2 2 3 3 4" xfId="19037"/>
    <cellStyle name="常规 5 4 2 2 2 3 3 4 2" xfId="32024"/>
    <cellStyle name="常规 5 4 2 2 2 3 3 4 2 2" xfId="14515"/>
    <cellStyle name="常规 5 4 2 2 2 3 3 4 3" xfId="32025"/>
    <cellStyle name="常规 5 4 2 2 2 3 3 4 4" xfId="32026"/>
    <cellStyle name="常规 5 4 2 2 2 3 3 5" xfId="19040"/>
    <cellStyle name="常规 5 4 2 2 2 3 3 5 2" xfId="32027"/>
    <cellStyle name="常规 5 4 2 2 2 3 3 6" xfId="4380"/>
    <cellStyle name="常规 5 4 2 2 2 3 3 7" xfId="32028"/>
    <cellStyle name="常规 5 4 2 2 2 3 4" xfId="21788"/>
    <cellStyle name="常规 5 4 2 2 2 3 4 2" xfId="21792"/>
    <cellStyle name="常规 5 4 2 2 2 3 4 2 2" xfId="32029"/>
    <cellStyle name="常规 5 4 2 2 2 3 4 2 2 2" xfId="32031"/>
    <cellStyle name="常规 5 4 2 2 2 3 4 2 2 2 2" xfId="32033"/>
    <cellStyle name="常规 5 4 2 2 2 3 4 2 2 3" xfId="32034"/>
    <cellStyle name="常规 5 4 2 2 2 3 4 2 2 4" xfId="32035"/>
    <cellStyle name="常规 5 4 2 2 2 3 4 2 3" xfId="21009"/>
    <cellStyle name="常规 5 4 2 2 2 3 4 2 3 2" xfId="21012"/>
    <cellStyle name="常规 5 4 2 2 2 3 4 2 4" xfId="21016"/>
    <cellStyle name="常规 5 4 2 2 2 3 4 2 5" xfId="21019"/>
    <cellStyle name="常规 5 4 2 2 2 3 4 3" xfId="19043"/>
    <cellStyle name="常规 5 4 2 2 2 3 4 3 2" xfId="32036"/>
    <cellStyle name="常规 5 4 2 2 2 3 4 3 2 2" xfId="32038"/>
    <cellStyle name="常规 5 4 2 2 2 3 4 3 3" xfId="21022"/>
    <cellStyle name="常规 5 4 2 2 2 3 4 3 4" xfId="32039"/>
    <cellStyle name="常规 5 4 2 2 2 3 4 4" xfId="32041"/>
    <cellStyle name="常规 5 4 2 2 2 3 4 4 2" xfId="32044"/>
    <cellStyle name="常规 5 4 2 2 2 3 4 5" xfId="32047"/>
    <cellStyle name="常规 5 4 2 2 2 3 4 6" xfId="23730"/>
    <cellStyle name="常规 5 4 2 2 2 3 5" xfId="19899"/>
    <cellStyle name="常规 5 4 2 2 2 3 5 2" xfId="32048"/>
    <cellStyle name="常规 5 4 2 2 2 3 5 2 2" xfId="22545"/>
    <cellStyle name="常规 5 4 2 2 2 3 5 2 2 2" xfId="32049"/>
    <cellStyle name="常规 5 4 2 2 2 3 5 2 3" xfId="21037"/>
    <cellStyle name="常规 5 4 2 2 2 3 5 2 4" xfId="32050"/>
    <cellStyle name="常规 5 4 2 2 2 3 5 3" xfId="32051"/>
    <cellStyle name="常规 5 4 2 2 2 3 5 3 2" xfId="32052"/>
    <cellStyle name="常规 5 4 2 2 2 3 5 4" xfId="32055"/>
    <cellStyle name="常规 5 4 2 2 2 3 5 5" xfId="32056"/>
    <cellStyle name="常规 5 4 2 2 2 3 6" xfId="21795"/>
    <cellStyle name="常规 5 4 2 2 2 3 6 2" xfId="28602"/>
    <cellStyle name="常规 5 4 2 2 2 3 6 2 2" xfId="28605"/>
    <cellStyle name="常规 5 4 2 2 2 3 6 3" xfId="28611"/>
    <cellStyle name="常规 5 4 2 2 2 3 6 4" xfId="28615"/>
    <cellStyle name="常规 5 4 2 2 2 3 7" xfId="28619"/>
    <cellStyle name="常规 5 4 2 2 2 3 7 2" xfId="28622"/>
    <cellStyle name="常规 5 4 2 2 2 3 8" xfId="28625"/>
    <cellStyle name="常规 5 4 2 2 2 3 9" xfId="28629"/>
    <cellStyle name="常规 5 4 2 2 2 4" xfId="32058"/>
    <cellStyle name="常规 5 4 2 2 2 4 2" xfId="14129"/>
    <cellStyle name="常规 5 4 2 2 2 4 2 2" xfId="29292"/>
    <cellStyle name="常规 5 4 2 2 2 4 2 2 2" xfId="29294"/>
    <cellStyle name="常规 5 4 2 2 2 4 2 2 2 2" xfId="15626"/>
    <cellStyle name="常规 5 4 2 2 2 4 2 2 2 2 2" xfId="32059"/>
    <cellStyle name="常规 5 4 2 2 2 4 2 2 2 2 2 2" xfId="32060"/>
    <cellStyle name="常规 5 4 2 2 2 4 2 2 2 2 3" xfId="32061"/>
    <cellStyle name="常规 5 4 2 2 2 4 2 2 2 2 4" xfId="19444"/>
    <cellStyle name="常规 5 4 2 2 2 4 2 2 2 3" xfId="21169"/>
    <cellStyle name="常规 5 4 2 2 2 4 2 2 2 3 2" xfId="32062"/>
    <cellStyle name="常规 5 4 2 2 2 4 2 2 2 4" xfId="32063"/>
    <cellStyle name="常规 5 4 2 2 2 4 2 2 2 5" xfId="24270"/>
    <cellStyle name="常规 5 4 2 2 2 4 2 2 3" xfId="32064"/>
    <cellStyle name="常规 5 4 2 2 2 4 2 2 3 2" xfId="31422"/>
    <cellStyle name="常规 5 4 2 2 2 4 2 2 3 2 2" xfId="32065"/>
    <cellStyle name="常规 5 4 2 2 2 4 2 2 3 3" xfId="29564"/>
    <cellStyle name="常规 5 4 2 2 2 4 2 2 3 4" xfId="29566"/>
    <cellStyle name="常规 5 4 2 2 2 4 2 2 4" xfId="32066"/>
    <cellStyle name="常规 5 4 2 2 2 4 2 2 4 2" xfId="32067"/>
    <cellStyle name="常规 5 4 2 2 2 4 2 2 5" xfId="32068"/>
    <cellStyle name="常规 5 4 2 2 2 4 2 2 6" xfId="29966"/>
    <cellStyle name="常规 5 4 2 2 2 4 2 3" xfId="19051"/>
    <cellStyle name="常规 5 4 2 2 2 4 2 3 2" xfId="19054"/>
    <cellStyle name="常规 5 4 2 2 2 4 2 3 2 2" xfId="32069"/>
    <cellStyle name="常规 5 4 2 2 2 4 2 3 2 2 2" xfId="32070"/>
    <cellStyle name="常规 5 4 2 2 2 4 2 3 2 3" xfId="32071"/>
    <cellStyle name="常规 5 4 2 2 2 4 2 3 2 4" xfId="984"/>
    <cellStyle name="常规 5 4 2 2 2 4 2 3 3" xfId="32072"/>
    <cellStyle name="常规 5 4 2 2 2 4 2 3 3 2" xfId="32073"/>
    <cellStyle name="常规 5 4 2 2 2 4 2 3 4" xfId="32074"/>
    <cellStyle name="常规 5 4 2 2 2 4 2 3 5" xfId="23812"/>
    <cellStyle name="常规 5 4 2 2 2 4 2 4" xfId="2823"/>
    <cellStyle name="常规 5 4 2 2 2 4 2 4 2" xfId="5074"/>
    <cellStyle name="常规 5 4 2 2 2 4 2 4 2 2" xfId="32075"/>
    <cellStyle name="常规 5 4 2 2 2 4 2 4 3" xfId="16228"/>
    <cellStyle name="常规 5 4 2 2 2 4 2 4 4" xfId="32076"/>
    <cellStyle name="常规 5 4 2 2 2 4 2 5" xfId="3419"/>
    <cellStyle name="常规 5 4 2 2 2 4 2 5 2" xfId="1319"/>
    <cellStyle name="常规 5 4 2 2 2 4 2 6" xfId="2604"/>
    <cellStyle name="常规 5 4 2 2 2 4 2 7" xfId="7488"/>
    <cellStyle name="常规 5 4 2 2 2 4 3" xfId="21798"/>
    <cellStyle name="常规 5 4 2 2 2 4 3 2" xfId="21802"/>
    <cellStyle name="常规 5 4 2 2 2 4 3 2 2" xfId="32077"/>
    <cellStyle name="常规 5 4 2 2 2 4 3 2 2 2" xfId="17373"/>
    <cellStyle name="常规 5 4 2 2 2 4 3 2 2 2 2" xfId="17376"/>
    <cellStyle name="常规 5 4 2 2 2 4 3 2 2 3" xfId="17388"/>
    <cellStyle name="常规 5 4 2 2 2 4 3 2 2 4" xfId="17394"/>
    <cellStyle name="常规 5 4 2 2 2 4 3 2 3" xfId="32078"/>
    <cellStyle name="常规 5 4 2 2 2 4 3 2 3 2" xfId="17427"/>
    <cellStyle name="常规 5 4 2 2 2 4 3 2 4" xfId="32079"/>
    <cellStyle name="常规 5 4 2 2 2 4 3 2 5" xfId="32080"/>
    <cellStyle name="常规 5 4 2 2 2 4 3 3" xfId="19057"/>
    <cellStyle name="常规 5 4 2 2 2 4 3 3 2" xfId="32081"/>
    <cellStyle name="常规 5 4 2 2 2 4 3 3 2 2" xfId="17478"/>
    <cellStyle name="常规 5 4 2 2 2 4 3 3 3" xfId="32082"/>
    <cellStyle name="常规 5 4 2 2 2 4 3 3 4" xfId="32083"/>
    <cellStyle name="常规 5 4 2 2 2 4 3 4" xfId="2861"/>
    <cellStyle name="常规 5 4 2 2 2 4 3 4 2" xfId="16239"/>
    <cellStyle name="常规 5 4 2 2 2 4 3 5" xfId="32084"/>
    <cellStyle name="常规 5 4 2 2 2 4 3 6" xfId="7492"/>
    <cellStyle name="常规 5 4 2 2 2 4 4" xfId="21805"/>
    <cellStyle name="常规 5 4 2 2 2 4 4 2" xfId="32085"/>
    <cellStyle name="常规 5 4 2 2 2 4 4 2 2" xfId="32086"/>
    <cellStyle name="常规 5 4 2 2 2 4 4 2 2 2" xfId="18015"/>
    <cellStyle name="常规 5 4 2 2 2 4 4 2 3" xfId="21049"/>
    <cellStyle name="常规 5 4 2 2 2 4 4 2 4" xfId="32088"/>
    <cellStyle name="常规 5 4 2 2 2 4 4 3" xfId="32089"/>
    <cellStyle name="常规 5 4 2 2 2 4 4 3 2" xfId="21383"/>
    <cellStyle name="常规 5 4 2 2 2 4 4 4" xfId="32091"/>
    <cellStyle name="常规 5 4 2 2 2 4 4 5" xfId="32092"/>
    <cellStyle name="常规 5 4 2 2 2 4 5" xfId="21808"/>
    <cellStyle name="常规 5 4 2 2 2 4 5 2" xfId="32094"/>
    <cellStyle name="常规 5 4 2 2 2 4 5 2 2" xfId="32095"/>
    <cellStyle name="常规 5 4 2 2 2 4 5 3" xfId="32097"/>
    <cellStyle name="常规 5 4 2 2 2 4 5 4" xfId="32098"/>
    <cellStyle name="常规 5 4 2 2 2 4 6" xfId="28634"/>
    <cellStyle name="常规 5 4 2 2 2 4 6 2" xfId="28637"/>
    <cellStyle name="常规 5 4 2 2 2 4 7" xfId="28640"/>
    <cellStyle name="常规 5 4 2 2 2 4 8" xfId="28643"/>
    <cellStyle name="常规 5 4 2 2 2 5" xfId="32099"/>
    <cellStyle name="常规 5 4 2 2 2 5 2" xfId="29357"/>
    <cellStyle name="常规 5 4 2 2 2 5 2 2" xfId="29359"/>
    <cellStyle name="常规 5 4 2 2 2 5 2 2 2" xfId="32100"/>
    <cellStyle name="常规 5 4 2 2 2 5 2 2 2 2" xfId="32102"/>
    <cellStyle name="常规 5 4 2 2 2 5 2 2 2 2 2" xfId="32103"/>
    <cellStyle name="常规 5 4 2 2 2 5 2 2 2 3" xfId="32106"/>
    <cellStyle name="常规 5 4 2 2 2 5 2 2 2 4" xfId="32107"/>
    <cellStyle name="常规 5 4 2 2 2 5 2 2 3" xfId="32108"/>
    <cellStyle name="常规 5 4 2 2 2 5 2 2 3 2" xfId="20197"/>
    <cellStyle name="常规 5 4 2 2 2 5 2 2 4" xfId="32109"/>
    <cellStyle name="常规 5 4 2 2 2 5 2 2 5" xfId="32110"/>
    <cellStyle name="常规 5 4 2 2 2 5 2 3" xfId="19063"/>
    <cellStyle name="常规 5 4 2 2 2 5 2 3 2" xfId="32111"/>
    <cellStyle name="常规 5 4 2 2 2 5 2 3 2 2" xfId="32112"/>
    <cellStyle name="常规 5 4 2 2 2 5 2 3 3" xfId="32113"/>
    <cellStyle name="常规 5 4 2 2 2 5 2 3 4" xfId="32114"/>
    <cellStyle name="常规 5 4 2 2 2 5 2 4" xfId="3093"/>
    <cellStyle name="常规 5 4 2 2 2 5 2 4 2" xfId="16269"/>
    <cellStyle name="常规 5 4 2 2 2 5 2 5" xfId="32115"/>
    <cellStyle name="常规 5 4 2 2 2 5 2 6" xfId="6541"/>
    <cellStyle name="常规 5 4 2 2 2 5 3" xfId="21812"/>
    <cellStyle name="常规 5 4 2 2 2 5 3 2" xfId="32116"/>
    <cellStyle name="常规 5 4 2 2 2 5 3 2 2" xfId="32117"/>
    <cellStyle name="常规 5 4 2 2 2 5 3 2 2 2" xfId="19354"/>
    <cellStyle name="常规 5 4 2 2 2 5 3 2 3" xfId="32118"/>
    <cellStyle name="常规 5 4 2 2 2 5 3 2 4" xfId="32119"/>
    <cellStyle name="常规 5 4 2 2 2 5 3 3" xfId="32120"/>
    <cellStyle name="常规 5 4 2 2 2 5 3 3 2" xfId="32121"/>
    <cellStyle name="常规 5 4 2 2 2 5 3 4" xfId="32122"/>
    <cellStyle name="常规 5 4 2 2 2 5 3 5" xfId="32123"/>
    <cellStyle name="常规 5 4 2 2 2 5 4" xfId="29361"/>
    <cellStyle name="常规 5 4 2 2 2 5 4 2" xfId="32125"/>
    <cellStyle name="常规 5 4 2 2 2 5 4 2 2" xfId="32127"/>
    <cellStyle name="常规 5 4 2 2 2 5 4 3" xfId="32131"/>
    <cellStyle name="常规 5 4 2 2 2 5 4 4" xfId="32133"/>
    <cellStyle name="常规 5 4 2 2 2 5 5" xfId="32134"/>
    <cellStyle name="常规 5 4 2 2 2 5 5 2" xfId="32135"/>
    <cellStyle name="常规 5 4 2 2 2 5 6" xfId="28649"/>
    <cellStyle name="常规 5 4 2 2 2 5 7" xfId="32136"/>
    <cellStyle name="常规 5 4 2 2 2 6" xfId="32137"/>
    <cellStyle name="常规 5 4 2 2 2 6 2" xfId="28885"/>
    <cellStyle name="常规 5 4 2 2 2 6 2 2" xfId="1567"/>
    <cellStyle name="常规 5 4 2 2 2 6 2 2 2" xfId="21318"/>
    <cellStyle name="常规 5 4 2 2 2 6 2 2 2 2" xfId="21322"/>
    <cellStyle name="常规 5 4 2 2 2 6 2 2 3" xfId="21332"/>
    <cellStyle name="常规 5 4 2 2 2 6 2 2 4" xfId="21338"/>
    <cellStyle name="常规 5 4 2 2 2 6 2 3" xfId="1576"/>
    <cellStyle name="常规 5 4 2 2 2 6 2 3 2" xfId="21346"/>
    <cellStyle name="常规 5 4 2 2 2 6 2 4" xfId="16217"/>
    <cellStyle name="常规 5 4 2 2 2 6 2 5" xfId="21361"/>
    <cellStyle name="常规 5 4 2 2 2 6 3" xfId="28889"/>
    <cellStyle name="常规 5 4 2 2 2 6 3 2" xfId="21516"/>
    <cellStyle name="常规 5 4 2 2 2 6 3 2 2" xfId="21520"/>
    <cellStyle name="常规 5 4 2 2 2 6 3 3" xfId="21543"/>
    <cellStyle name="常规 5 4 2 2 2 6 3 4" xfId="21554"/>
    <cellStyle name="常规 5 4 2 2 2 6 4" xfId="28893"/>
    <cellStyle name="常规 5 4 2 2 2 6 4 2" xfId="21639"/>
    <cellStyle name="常规 5 4 2 2 2 6 5" xfId="28896"/>
    <cellStyle name="常规 5 4 2 2 2 6 6" xfId="28898"/>
    <cellStyle name="常规 5 4 2 2 2 7" xfId="9813"/>
    <cellStyle name="常规 5 4 2 2 2 7 2" xfId="28913"/>
    <cellStyle name="常规 5 4 2 2 2 7 2 2" xfId="21846"/>
    <cellStyle name="常规 5 4 2 2 2 7 2 2 2" xfId="21849"/>
    <cellStyle name="常规 5 4 2 2 2 7 2 3" xfId="21873"/>
    <cellStyle name="常规 5 4 2 2 2 7 2 4" xfId="21882"/>
    <cellStyle name="常规 5 4 2 2 2 7 3" xfId="28916"/>
    <cellStyle name="常规 5 4 2 2 2 7 3 2" xfId="21934"/>
    <cellStyle name="常规 5 4 2 2 2 7 4" xfId="28918"/>
    <cellStyle name="常规 5 4 2 2 2 7 5" xfId="28920"/>
    <cellStyle name="常规 5 4 2 2 2 8" xfId="32138"/>
    <cellStyle name="常规 5 4 2 2 2 8 2" xfId="28924"/>
    <cellStyle name="常规 5 4 2 2 2 8 2 2" xfId="13805"/>
    <cellStyle name="常规 5 4 2 2 2 8 3" xfId="28926"/>
    <cellStyle name="常规 5 4 2 2 2 8 4" xfId="28928"/>
    <cellStyle name="常规 5 4 2 2 2 9" xfId="32139"/>
    <cellStyle name="常规 5 4 2 2 2 9 2" xfId="5166"/>
    <cellStyle name="常规 5 4 2 2 3" xfId="32141"/>
    <cellStyle name="常规 5 4 2 2 3 2" xfId="32143"/>
    <cellStyle name="常规 5 4 2 2 3 2 2" xfId="32144"/>
    <cellStyle name="常规 5 4 2 2 3 2 2 2" xfId="32145"/>
    <cellStyle name="常规 5 4 2 2 3 2 2 2 2" xfId="18523"/>
    <cellStyle name="常规 5 4 2 2 3 2 2 2 2 2" xfId="32146"/>
    <cellStyle name="常规 5 4 2 2 3 2 2 2 2 2 2" xfId="32147"/>
    <cellStyle name="常规 5 4 2 2 3 2 2 2 2 2 2 2" xfId="32148"/>
    <cellStyle name="常规 5 4 2 2 3 2 2 2 2 2 3" xfId="32149"/>
    <cellStyle name="常规 5 4 2 2 3 2 2 2 2 2 4" xfId="32150"/>
    <cellStyle name="常规 5 4 2 2 3 2 2 2 2 3" xfId="27914"/>
    <cellStyle name="常规 5 4 2 2 3 2 2 2 2 3 2" xfId="30549"/>
    <cellStyle name="常规 5 4 2 2 3 2 2 2 2 4" xfId="30551"/>
    <cellStyle name="常规 5 4 2 2 3 2 2 2 2 5" xfId="30553"/>
    <cellStyle name="常规 5 4 2 2 3 2 2 2 3" xfId="18527"/>
    <cellStyle name="常规 5 4 2 2 3 2 2 2 3 2" xfId="32152"/>
    <cellStyle name="常规 5 4 2 2 3 2 2 2 3 2 2" xfId="32154"/>
    <cellStyle name="常规 5 4 2 2 3 2 2 2 3 3" xfId="30556"/>
    <cellStyle name="常规 5 4 2 2 3 2 2 2 3 4" xfId="32156"/>
    <cellStyle name="常规 5 4 2 2 3 2 2 2 4" xfId="15226"/>
    <cellStyle name="常规 5 4 2 2 3 2 2 2 4 2" xfId="15229"/>
    <cellStyle name="常规 5 4 2 2 3 2 2 2 5" xfId="15359"/>
    <cellStyle name="常规 5 4 2 2 3 2 2 2 6" xfId="15431"/>
    <cellStyle name="常规 5 4 2 2 3 2 2 3" xfId="19073"/>
    <cellStyle name="常规 5 4 2 2 3 2 2 3 2" xfId="19075"/>
    <cellStyle name="常规 5 4 2 2 3 2 2 3 2 2" xfId="16086"/>
    <cellStyle name="常规 5 4 2 2 3 2 2 3 2 2 2" xfId="29817"/>
    <cellStyle name="常规 5 4 2 2 3 2 2 3 2 3" xfId="30561"/>
    <cellStyle name="常规 5 4 2 2 3 2 2 3 2 4" xfId="32157"/>
    <cellStyle name="常规 5 4 2 2 3 2 2 3 3" xfId="19078"/>
    <cellStyle name="常规 5 4 2 2 3 2 2 3 3 2" xfId="32159"/>
    <cellStyle name="常规 5 4 2 2 3 2 2 3 4" xfId="15466"/>
    <cellStyle name="常规 5 4 2 2 3 2 2 3 5" xfId="15531"/>
    <cellStyle name="常规 5 4 2 2 3 2 2 4" xfId="15386"/>
    <cellStyle name="常规 5 4 2 2 3 2 2 4 2" xfId="15389"/>
    <cellStyle name="常规 5 4 2 2 3 2 2 4 2 2" xfId="15392"/>
    <cellStyle name="常规 5 4 2 2 3 2 2 4 3" xfId="15396"/>
    <cellStyle name="常规 5 4 2 2 3 2 2 4 4" xfId="15398"/>
    <cellStyle name="常规 5 4 2 2 3 2 2 5" xfId="15401"/>
    <cellStyle name="常规 5 4 2 2 3 2 2 5 2" xfId="15404"/>
    <cellStyle name="常规 5 4 2 2 3 2 2 6" xfId="15407"/>
    <cellStyle name="常规 5 4 2 2 3 2 2 7" xfId="15411"/>
    <cellStyle name="常规 5 4 2 2 3 2 3" xfId="21821"/>
    <cellStyle name="常规 5 4 2 2 3 2 3 2" xfId="21823"/>
    <cellStyle name="常规 5 4 2 2 3 2 3 2 2" xfId="21825"/>
    <cellStyle name="常规 5 4 2 2 3 2 3 2 2 2" xfId="32160"/>
    <cellStyle name="常规 5 4 2 2 3 2 3 2 2 2 2" xfId="30717"/>
    <cellStyle name="常规 5 4 2 2 3 2 3 2 2 3" xfId="30570"/>
    <cellStyle name="常规 5 4 2 2 3 2 3 2 2 4" xfId="32162"/>
    <cellStyle name="常规 5 4 2 2 3 2 3 2 3" xfId="32164"/>
    <cellStyle name="常规 5 4 2 2 3 2 3 2 3 2" xfId="32167"/>
    <cellStyle name="常规 5 4 2 2 3 2 3 2 4" xfId="15714"/>
    <cellStyle name="常规 5 4 2 2 3 2 3 2 5" xfId="15735"/>
    <cellStyle name="常规 5 4 2 2 3 2 3 3" xfId="19081"/>
    <cellStyle name="常规 5 4 2 2 3 2 3 3 2" xfId="19084"/>
    <cellStyle name="常规 5 4 2 2 3 2 3 3 2 2" xfId="32168"/>
    <cellStyle name="常规 5 4 2 2 3 2 3 3 3" xfId="32170"/>
    <cellStyle name="常规 5 4 2 2 3 2 3 3 4" xfId="15757"/>
    <cellStyle name="常规 5 4 2 2 3 2 3 4" xfId="15415"/>
    <cellStyle name="常规 5 4 2 2 3 2 3 4 2" xfId="15419"/>
    <cellStyle name="常规 5 4 2 2 3 2 3 5" xfId="15421"/>
    <cellStyle name="常规 5 4 2 2 3 2 3 6" xfId="4485"/>
    <cellStyle name="常规 5 4 2 2 3 2 4" xfId="21827"/>
    <cellStyle name="常规 5 4 2 2 3 2 4 2" xfId="4176"/>
    <cellStyle name="常规 5 4 2 2 3 2 4 2 2" xfId="4179"/>
    <cellStyle name="常规 5 4 2 2 3 2 4 2 2 2" xfId="5565"/>
    <cellStyle name="常规 5 4 2 2 3 2 4 2 3" xfId="32172"/>
    <cellStyle name="常规 5 4 2 2 3 2 4 2 4" xfId="15797"/>
    <cellStyle name="常规 5 4 2 2 3 2 4 3" xfId="4181"/>
    <cellStyle name="常规 5 4 2 2 3 2 4 3 2" xfId="32173"/>
    <cellStyle name="常规 5 4 2 2 3 2 4 4" xfId="4185"/>
    <cellStyle name="常规 5 4 2 2 3 2 4 5" xfId="32175"/>
    <cellStyle name="常规 5 4 2 2 3 2 5" xfId="19907"/>
    <cellStyle name="常规 5 4 2 2 3 2 5 2" xfId="22449"/>
    <cellStyle name="常规 5 4 2 2 3 2 5 2 2" xfId="32177"/>
    <cellStyle name="常规 5 4 2 2 3 2 5 3" xfId="32178"/>
    <cellStyle name="常规 5 4 2 2 3 2 5 4" xfId="32180"/>
    <cellStyle name="常规 5 4 2 2 3 2 6" xfId="21830"/>
    <cellStyle name="常规 5 4 2 2 3 2 6 2" xfId="28667"/>
    <cellStyle name="常规 5 4 2 2 3 2 7" xfId="28680"/>
    <cellStyle name="常规 5 4 2 2 3 2 8" xfId="28685"/>
    <cellStyle name="常规 5 4 2 2 3 3" xfId="32181"/>
    <cellStyle name="常规 5 4 2 2 3 3 2" xfId="32182"/>
    <cellStyle name="常规 5 4 2 2 3 3 2 2" xfId="32183"/>
    <cellStyle name="常规 5 4 2 2 3 3 2 2 2" xfId="32184"/>
    <cellStyle name="常规 5 4 2 2 3 3 2 2 2 2" xfId="3849"/>
    <cellStyle name="常规 5 4 2 2 3 3 2 2 2 2 2" xfId="3852"/>
    <cellStyle name="常规 5 4 2 2 3 3 2 2 2 3" xfId="3854"/>
    <cellStyle name="常规 5 4 2 2 3 3 2 2 2 4" xfId="3858"/>
    <cellStyle name="常规 5 4 2 2 3 3 2 2 3" xfId="32186"/>
    <cellStyle name="常规 5 4 2 2 3 3 2 2 3 2" xfId="32188"/>
    <cellStyle name="常规 5 4 2 2 3 3 2 2 4" xfId="6477"/>
    <cellStyle name="常规 5 4 2 2 3 3 2 2 5" xfId="1792"/>
    <cellStyle name="常规 5 4 2 2 3 3 2 3" xfId="19092"/>
    <cellStyle name="常规 5 4 2 2 3 3 2 3 2" xfId="19094"/>
    <cellStyle name="常规 5 4 2 2 3 3 2 3 2 2" xfId="32189"/>
    <cellStyle name="常规 5 4 2 2 3 3 2 3 3" xfId="32191"/>
    <cellStyle name="常规 5 4 2 2 3 3 2 3 4" xfId="32192"/>
    <cellStyle name="常规 5 4 2 2 3 3 2 4" xfId="15442"/>
    <cellStyle name="常规 5 4 2 2 3 3 2 4 2" xfId="13246"/>
    <cellStyle name="常规 5 4 2 2 3 3 2 5" xfId="15445"/>
    <cellStyle name="常规 5 4 2 2 3 3 2 6" xfId="15448"/>
    <cellStyle name="常规 5 4 2 2 3 3 3" xfId="21833"/>
    <cellStyle name="常规 5 4 2 2 3 3 3 2" xfId="21835"/>
    <cellStyle name="常规 5 4 2 2 3 3 3 2 2" xfId="32193"/>
    <cellStyle name="常规 5 4 2 2 3 3 3 2 2 2" xfId="32194"/>
    <cellStyle name="常规 5 4 2 2 3 3 3 2 3" xfId="32196"/>
    <cellStyle name="常规 5 4 2 2 3 3 3 2 4" xfId="32197"/>
    <cellStyle name="常规 5 4 2 2 3 3 3 3" xfId="19097"/>
    <cellStyle name="常规 5 4 2 2 3 3 3 3 2" xfId="32198"/>
    <cellStyle name="常规 5 4 2 2 3 3 3 4" xfId="15451"/>
    <cellStyle name="常规 5 4 2 2 3 3 3 5" xfId="32199"/>
    <cellStyle name="常规 5 4 2 2 3 3 4" xfId="21837"/>
    <cellStyle name="常规 5 4 2 2 3 3 4 2" xfId="21282"/>
    <cellStyle name="常规 5 4 2 2 3 3 4 2 2" xfId="32200"/>
    <cellStyle name="常规 5 4 2 2 3 3 4 3" xfId="21285"/>
    <cellStyle name="常规 5 4 2 2 3 3 4 4" xfId="32203"/>
    <cellStyle name="常规 5 4 2 2 3 3 5" xfId="21839"/>
    <cellStyle name="常规 5 4 2 2 3 3 5 2" xfId="32204"/>
    <cellStyle name="常规 5 4 2 2 3 3 6" xfId="28693"/>
    <cellStyle name="常规 5 4 2 2 3 3 7" xfId="28698"/>
    <cellStyle name="常规 5 4 2 2 3 4" xfId="32205"/>
    <cellStyle name="常规 5 4 2 2 3 4 2" xfId="32206"/>
    <cellStyle name="常规 5 4 2 2 3 4 2 2" xfId="32207"/>
    <cellStyle name="常规 5 4 2 2 3 4 2 2 2" xfId="32208"/>
    <cellStyle name="常规 5 4 2 2 3 4 2 2 2 2" xfId="4542"/>
    <cellStyle name="常规 5 4 2 2 3 4 2 2 3" xfId="32210"/>
    <cellStyle name="常规 5 4 2 2 3 4 2 2 4" xfId="31659"/>
    <cellStyle name="常规 5 4 2 2 3 4 2 3" xfId="19103"/>
    <cellStyle name="常规 5 4 2 2 3 4 2 3 2" xfId="32211"/>
    <cellStyle name="常规 5 4 2 2 3 4 2 4" xfId="1989"/>
    <cellStyle name="常规 5 4 2 2 3 4 2 5" xfId="32212"/>
    <cellStyle name="常规 5 4 2 2 3 4 3" xfId="21842"/>
    <cellStyle name="常规 5 4 2 2 3 4 3 2" xfId="23561"/>
    <cellStyle name="常规 5 4 2 2 3 4 3 2 2" xfId="32213"/>
    <cellStyle name="常规 5 4 2 2 3 4 3 3" xfId="23563"/>
    <cellStyle name="常规 5 4 2 2 3 4 3 4" xfId="2022"/>
    <cellStyle name="常规 5 4 2 2 3 4 4" xfId="32214"/>
    <cellStyle name="常规 5 4 2 2 3 4 4 2" xfId="23568"/>
    <cellStyle name="常规 5 4 2 2 3 4 5" xfId="32215"/>
    <cellStyle name="常规 5 4 2 2 3 4 6" xfId="28705"/>
    <cellStyle name="常规 5 4 2 2 3 5" xfId="32216"/>
    <cellStyle name="常规 5 4 2 2 3 5 2" xfId="32217"/>
    <cellStyle name="常规 5 4 2 2 3 5 2 2" xfId="32218"/>
    <cellStyle name="常规 5 4 2 2 3 5 2 2 2" xfId="32219"/>
    <cellStyle name="常规 5 4 2 2 3 5 2 3" xfId="32220"/>
    <cellStyle name="常规 5 4 2 2 3 5 2 4" xfId="32221"/>
    <cellStyle name="常规 5 4 2 2 3 5 3" xfId="32222"/>
    <cellStyle name="常规 5 4 2 2 3 5 3 2" xfId="23580"/>
    <cellStyle name="常规 5 4 2 2 3 5 4" xfId="32223"/>
    <cellStyle name="常规 5 4 2 2 3 5 5" xfId="31624"/>
    <cellStyle name="常规 5 4 2 2 3 6" xfId="32013"/>
    <cellStyle name="常规 5 4 2 2 3 6 2" xfId="28942"/>
    <cellStyle name="常规 5 4 2 2 3 6 2 2" xfId="1609"/>
    <cellStyle name="常规 5 4 2 2 3 6 3" xfId="16740"/>
    <cellStyle name="常规 5 4 2 2 3 6 4" xfId="16752"/>
    <cellStyle name="常规 5 4 2 2 3 7" xfId="32224"/>
    <cellStyle name="常规 5 4 2 2 3 7 2" xfId="28950"/>
    <cellStyle name="常规 5 4 2 2 3 8" xfId="32225"/>
    <cellStyle name="常规 5 4 2 2 3 9" xfId="32226"/>
    <cellStyle name="常规 5 4 2 2 4" xfId="32228"/>
    <cellStyle name="常规 5 4 2 2 4 2" xfId="32229"/>
    <cellStyle name="常规 5 4 2 2 4 2 2" xfId="30693"/>
    <cellStyle name="常规 5 4 2 2 4 2 2 2" xfId="30696"/>
    <cellStyle name="常规 5 4 2 2 4 2 2 2 2" xfId="30698"/>
    <cellStyle name="常规 5 4 2 2 4 2 2 2 2 2" xfId="13445"/>
    <cellStyle name="常规 5 4 2 2 4 2 2 2 2 2 2" xfId="23524"/>
    <cellStyle name="常规 5 4 2 2 4 2 2 2 2 2 2 2" xfId="32231"/>
    <cellStyle name="常规 5 4 2 2 4 2 2 2 2 2 3" xfId="3999"/>
    <cellStyle name="常规 5 4 2 2 4 2 2 2 2 2 4" xfId="4003"/>
    <cellStyle name="常规 5 4 2 2 4 2 2 2 2 3" xfId="29753"/>
    <cellStyle name="常规 5 4 2 2 4 2 2 2 2 3 2" xfId="23533"/>
    <cellStyle name="常规 5 4 2 2 4 2 2 2 2 4" xfId="29755"/>
    <cellStyle name="常规 5 4 2 2 4 2 2 2 2 5" xfId="29757"/>
    <cellStyle name="常规 5 4 2 2 4 2 2 2 3" xfId="32233"/>
    <cellStyle name="常规 5 4 2 2 4 2 2 2 3 2" xfId="32234"/>
    <cellStyle name="常规 5 4 2 2 4 2 2 2 3 2 2" xfId="23708"/>
    <cellStyle name="常规 5 4 2 2 4 2 2 2 3 3" xfId="29759"/>
    <cellStyle name="常规 5 4 2 2 4 2 2 2 3 4" xfId="32235"/>
    <cellStyle name="常规 5 4 2 2 4 2 2 2 4" xfId="32236"/>
    <cellStyle name="常规 5 4 2 2 4 2 2 2 4 2" xfId="32237"/>
    <cellStyle name="常规 5 4 2 2 4 2 2 2 5" xfId="13790"/>
    <cellStyle name="常规 5 4 2 2 4 2 2 2 6" xfId="25177"/>
    <cellStyle name="常规 5 4 2 2 4 2 2 3" xfId="19115"/>
    <cellStyle name="常规 5 4 2 2 4 2 2 3 2" xfId="19119"/>
    <cellStyle name="常规 5 4 2 2 4 2 2 3 2 2" xfId="16778"/>
    <cellStyle name="常规 5 4 2 2 4 2 2 3 2 2 2" xfId="23939"/>
    <cellStyle name="常规 5 4 2 2 4 2 2 3 2 3" xfId="29764"/>
    <cellStyle name="常规 5 4 2 2 4 2 2 3 2 4" xfId="32238"/>
    <cellStyle name="常规 5 4 2 2 4 2 2 3 3" xfId="29797"/>
    <cellStyle name="常规 5 4 2 2 4 2 2 3 3 2" xfId="32239"/>
    <cellStyle name="常规 5 4 2 2 4 2 2 3 4" xfId="29799"/>
    <cellStyle name="常规 5 4 2 2 4 2 2 3 5" xfId="32240"/>
    <cellStyle name="常规 5 4 2 2 4 2 2 4" xfId="3805"/>
    <cellStyle name="常规 5 4 2 2 4 2 2 4 2" xfId="15554"/>
    <cellStyle name="常规 5 4 2 2 4 2 2 4 2 2" xfId="32241"/>
    <cellStyle name="常规 5 4 2 2 4 2 2 4 3" xfId="32242"/>
    <cellStyle name="常规 5 4 2 2 4 2 2 4 4" xfId="32243"/>
    <cellStyle name="常规 5 4 2 2 4 2 2 5" xfId="15557"/>
    <cellStyle name="常规 5 4 2 2 4 2 2 5 2" xfId="32244"/>
    <cellStyle name="常规 5 4 2 2 4 2 2 6" xfId="15561"/>
    <cellStyle name="常规 5 4 2 2 4 2 2 7" xfId="27278"/>
    <cellStyle name="常规 5 4 2 2 4 2 3" xfId="21852"/>
    <cellStyle name="常规 5 4 2 2 4 2 3 2" xfId="21856"/>
    <cellStyle name="常规 5 4 2 2 4 2 3 2 2" xfId="32245"/>
    <cellStyle name="常规 5 4 2 2 4 2 3 2 2 2" xfId="29979"/>
    <cellStyle name="常规 5 4 2 2 4 2 3 2 2 2 2" xfId="32246"/>
    <cellStyle name="常规 5 4 2 2 4 2 3 2 2 3" xfId="29775"/>
    <cellStyle name="常规 5 4 2 2 4 2 3 2 2 4" xfId="32248"/>
    <cellStyle name="常规 5 4 2 2 4 2 3 2 3" xfId="32249"/>
    <cellStyle name="常规 5 4 2 2 4 2 3 2 3 2" xfId="29991"/>
    <cellStyle name="常规 5 4 2 2 4 2 3 2 4" xfId="32250"/>
    <cellStyle name="常规 5 4 2 2 4 2 3 2 5" xfId="22082"/>
    <cellStyle name="常规 5 4 2 2 4 2 3 3" xfId="19124"/>
    <cellStyle name="常规 5 4 2 2 4 2 3 3 2" xfId="29801"/>
    <cellStyle name="常规 5 4 2 2 4 2 3 3 2 2" xfId="30008"/>
    <cellStyle name="常规 5 4 2 2 4 2 3 3 3" xfId="32251"/>
    <cellStyle name="常规 5 4 2 2 4 2 3 3 4" xfId="32252"/>
    <cellStyle name="常规 5 4 2 2 4 2 3 4" xfId="15565"/>
    <cellStyle name="常规 5 4 2 2 4 2 3 4 2" xfId="32253"/>
    <cellStyle name="常规 5 4 2 2 4 2 3 5" xfId="29803"/>
    <cellStyle name="常规 5 4 2 2 4 2 3 6" xfId="32254"/>
    <cellStyle name="常规 5 4 2 2 4 2 4" xfId="21859"/>
    <cellStyle name="常规 5 4 2 2 4 2 4 2" xfId="32255"/>
    <cellStyle name="常规 5 4 2 2 4 2 4 2 2" xfId="32256"/>
    <cellStyle name="常规 5 4 2 2 4 2 4 2 2 2" xfId="30029"/>
    <cellStyle name="常规 5 4 2 2 4 2 4 2 3" xfId="32257"/>
    <cellStyle name="常规 5 4 2 2 4 2 4 2 4" xfId="32258"/>
    <cellStyle name="常规 5 4 2 2 4 2 4 3" xfId="29805"/>
    <cellStyle name="常规 5 4 2 2 4 2 4 3 2" xfId="32259"/>
    <cellStyle name="常规 5 4 2 2 4 2 4 4" xfId="32261"/>
    <cellStyle name="常规 5 4 2 2 4 2 4 5" xfId="31743"/>
    <cellStyle name="常规 5 4 2 2 4 2 5" xfId="21862"/>
    <cellStyle name="常规 5 4 2 2 4 2 5 2" xfId="32262"/>
    <cellStyle name="常规 5 4 2 2 4 2 5 2 2" xfId="32263"/>
    <cellStyle name="常规 5 4 2 2 4 2 5 3" xfId="32264"/>
    <cellStyle name="常规 5 4 2 2 4 2 5 4" xfId="32265"/>
    <cellStyle name="常规 5 4 2 2 4 2 6" xfId="28718"/>
    <cellStyle name="常规 5 4 2 2 4 2 6 2" xfId="28721"/>
    <cellStyle name="常规 5 4 2 2 4 2 7" xfId="28724"/>
    <cellStyle name="常规 5 4 2 2 4 2 8" xfId="28727"/>
    <cellStyle name="常规 5 4 2 2 4 3" xfId="20527"/>
    <cellStyle name="常规 5 4 2 2 4 3 2" xfId="20529"/>
    <cellStyle name="常规 5 4 2 2 4 3 2 2" xfId="30752"/>
    <cellStyle name="常规 5 4 2 2 4 3 2 2 2" xfId="1645"/>
    <cellStyle name="常规 5 4 2 2 4 3 2 2 2 2" xfId="22508"/>
    <cellStyle name="常规 5 4 2 2 4 3 2 2 2 2 2" xfId="22510"/>
    <cellStyle name="常规 5 4 2 2 4 3 2 2 2 3" xfId="22512"/>
    <cellStyle name="常规 5 4 2 2 4 3 2 2 2 4" xfId="22515"/>
    <cellStyle name="常规 5 4 2 2 4 3 2 2 3" xfId="1345"/>
    <cellStyle name="常规 5 4 2 2 4 3 2 2 3 2" xfId="438"/>
    <cellStyle name="常规 5 4 2 2 4 3 2 2 4" xfId="1361"/>
    <cellStyle name="常规 5 4 2 2 4 3 2 2 5" xfId="714"/>
    <cellStyle name="常规 5 4 2 2 4 3 2 3" xfId="19133"/>
    <cellStyle name="常规 5 4 2 2 4 3 2 3 2" xfId="32266"/>
    <cellStyle name="常规 5 4 2 2 4 3 2 3 2 2" xfId="22753"/>
    <cellStyle name="常规 5 4 2 2 4 3 2 3 3" xfId="32267"/>
    <cellStyle name="常规 5 4 2 2 4 3 2 3 4" xfId="32268"/>
    <cellStyle name="常规 5 4 2 2 4 3 2 4" xfId="15583"/>
    <cellStyle name="常规 5 4 2 2 4 3 2 4 2" xfId="32269"/>
    <cellStyle name="常规 5 4 2 2 4 3 2 5" xfId="32270"/>
    <cellStyle name="常规 5 4 2 2 4 3 2 6" xfId="32271"/>
    <cellStyle name="常规 5 4 2 2 4 3 3" xfId="21867"/>
    <cellStyle name="常规 5 4 2 2 4 3 3 2" xfId="30754"/>
    <cellStyle name="常规 5 4 2 2 4 3 3 2 2" xfId="32272"/>
    <cellStyle name="常规 5 4 2 2 4 3 3 2 2 2" xfId="22988"/>
    <cellStyle name="常规 5 4 2 2 4 3 3 2 3" xfId="32273"/>
    <cellStyle name="常规 5 4 2 2 4 3 3 2 4" xfId="32274"/>
    <cellStyle name="常规 5 4 2 2 4 3 3 3" xfId="32275"/>
    <cellStyle name="常规 5 4 2 2 4 3 3 3 2" xfId="32276"/>
    <cellStyle name="常规 5 4 2 2 4 3 3 4" xfId="32277"/>
    <cellStyle name="常规 5 4 2 2 4 3 3 5" xfId="32278"/>
    <cellStyle name="常规 5 4 2 2 4 3 4" xfId="30756"/>
    <cellStyle name="常规 5 4 2 2 4 3 4 2" xfId="32279"/>
    <cellStyle name="常规 5 4 2 2 4 3 4 2 2" xfId="32280"/>
    <cellStyle name="常规 5 4 2 2 4 3 4 3" xfId="32282"/>
    <cellStyle name="常规 5 4 2 2 4 3 4 4" xfId="32283"/>
    <cellStyle name="常规 5 4 2 2 4 3 5" xfId="30758"/>
    <cellStyle name="常规 5 4 2 2 4 3 5 2" xfId="32284"/>
    <cellStyle name="常规 5 4 2 2 4 3 6" xfId="28732"/>
    <cellStyle name="常规 5 4 2 2 4 3 7" xfId="11187"/>
    <cellStyle name="常规 5 4 2 2 4 4" xfId="5543"/>
    <cellStyle name="常规 5 4 2 2 4 4 2" xfId="30782"/>
    <cellStyle name="常规 5 4 2 2 4 4 2 2" xfId="30784"/>
    <cellStyle name="常规 5 4 2 2 4 4 2 2 2" xfId="32285"/>
    <cellStyle name="常规 5 4 2 2 4 4 2 2 2 2" xfId="23938"/>
    <cellStyle name="常规 5 4 2 2 4 4 2 2 3" xfId="32286"/>
    <cellStyle name="常规 5 4 2 2 4 4 2 2 4" xfId="32287"/>
    <cellStyle name="常规 5 4 2 2 4 4 2 3" xfId="30087"/>
    <cellStyle name="常规 5 4 2 2 4 4 2 3 2" xfId="32288"/>
    <cellStyle name="常规 5 4 2 2 4 4 2 4" xfId="32289"/>
    <cellStyle name="常规 5 4 2 2 4 4 2 5" xfId="32290"/>
    <cellStyle name="常规 5 4 2 2 4 4 3" xfId="30786"/>
    <cellStyle name="常规 5 4 2 2 4 4 3 2" xfId="23599"/>
    <cellStyle name="常规 5 4 2 2 4 4 3 2 2" xfId="32291"/>
    <cellStyle name="常规 5 4 2 2 4 4 3 3" xfId="32292"/>
    <cellStyle name="常规 5 4 2 2 4 4 3 4" xfId="32293"/>
    <cellStyle name="常规 5 4 2 2 4 4 4" xfId="30788"/>
    <cellStyle name="常规 5 4 2 2 4 4 4 2" xfId="32294"/>
    <cellStyle name="常规 5 4 2 2 4 4 5" xfId="32295"/>
    <cellStyle name="常规 5 4 2 2 4 4 6" xfId="32296"/>
    <cellStyle name="常规 5 4 2 2 4 5" xfId="20532"/>
    <cellStyle name="常规 5 4 2 2 4 5 2" xfId="30811"/>
    <cellStyle name="常规 5 4 2 2 4 5 2 2" xfId="20997"/>
    <cellStyle name="常规 5 4 2 2 4 5 2 2 2" xfId="32297"/>
    <cellStyle name="常规 5 4 2 2 4 5 2 3" xfId="32298"/>
    <cellStyle name="常规 5 4 2 2 4 5 2 4" xfId="32299"/>
    <cellStyle name="常规 5 4 2 2 4 5 3" xfId="30813"/>
    <cellStyle name="常规 5 4 2 2 4 5 3 2" xfId="32300"/>
    <cellStyle name="常规 5 4 2 2 4 5 4" xfId="32301"/>
    <cellStyle name="常规 5 4 2 2 4 5 5" xfId="32302"/>
    <cellStyle name="常规 5 4 2 2 4 6" xfId="32303"/>
    <cellStyle name="常规 5 4 2 2 4 6 2" xfId="28969"/>
    <cellStyle name="常规 5 4 2 2 4 6 2 2" xfId="22937"/>
    <cellStyle name="常规 5 4 2 2 4 6 3" xfId="8499"/>
    <cellStyle name="常规 5 4 2 2 4 6 4" xfId="8508"/>
    <cellStyle name="常规 5 4 2 2 4 7" xfId="32304"/>
    <cellStyle name="常规 5 4 2 2 4 7 2" xfId="28978"/>
    <cellStyle name="常规 5 4 2 2 4 8" xfId="32305"/>
    <cellStyle name="常规 5 4 2 2 4 9" xfId="32306"/>
    <cellStyle name="常规 5 4 2 2 5" xfId="32308"/>
    <cellStyle name="常规 5 4 2 2 5 2" xfId="32309"/>
    <cellStyle name="常规 5 4 2 2 5 2 2" xfId="31306"/>
    <cellStyle name="常规 5 4 2 2 5 2 2 2" xfId="31308"/>
    <cellStyle name="常规 5 4 2 2 5 2 2 2 2" xfId="31310"/>
    <cellStyle name="常规 5 4 2 2 5 2 2 2 2 2" xfId="32310"/>
    <cellStyle name="常规 5 4 2 2 5 2 2 2 2 2 2" xfId="32312"/>
    <cellStyle name="常规 5 4 2 2 5 2 2 2 2 3" xfId="32313"/>
    <cellStyle name="常规 5 4 2 2 5 2 2 2 2 4" xfId="32314"/>
    <cellStyle name="常规 5 4 2 2 5 2 2 2 3" xfId="27748"/>
    <cellStyle name="常规 5 4 2 2 5 2 2 2 3 2" xfId="32315"/>
    <cellStyle name="常规 5 4 2 2 5 2 2 2 4" xfId="32316"/>
    <cellStyle name="常规 5 4 2 2 5 2 2 2 5" xfId="32317"/>
    <cellStyle name="常规 5 4 2 2 5 2 2 3" xfId="19154"/>
    <cellStyle name="常规 5 4 2 2 5 2 2 3 2" xfId="31406"/>
    <cellStyle name="常规 5 4 2 2 5 2 2 3 2 2" xfId="31408"/>
    <cellStyle name="常规 5 4 2 2 5 2 2 3 3" xfId="31410"/>
    <cellStyle name="常规 5 4 2 2 5 2 2 3 4" xfId="31412"/>
    <cellStyle name="常规 5 4 2 2 5 2 2 4" xfId="15629"/>
    <cellStyle name="常规 5 4 2 2 5 2 2 4 2" xfId="31414"/>
    <cellStyle name="常规 5 4 2 2 5 2 2 5" xfId="31417"/>
    <cellStyle name="常规 5 4 2 2 5 2 2 6" xfId="31421"/>
    <cellStyle name="常规 5 4 2 2 5 2 3" xfId="21877"/>
    <cellStyle name="常规 5 4 2 2 5 2 3 2" xfId="31312"/>
    <cellStyle name="常规 5 4 2 2 5 2 3 2 2" xfId="32318"/>
    <cellStyle name="常规 5 4 2 2 5 2 3 2 2 2" xfId="30530"/>
    <cellStyle name="常规 5 4 2 2 5 2 3 2 3" xfId="15902"/>
    <cellStyle name="常规 5 4 2 2 5 2 3 2 4" xfId="15908"/>
    <cellStyle name="常规 5 4 2 2 5 2 3 3" xfId="31425"/>
    <cellStyle name="常规 5 4 2 2 5 2 3 3 2" xfId="27589"/>
    <cellStyle name="常规 5 4 2 2 5 2 3 4" xfId="31427"/>
    <cellStyle name="常规 5 4 2 2 5 2 3 5" xfId="31429"/>
    <cellStyle name="常规 5 4 2 2 5 2 4" xfId="31314"/>
    <cellStyle name="常规 5 4 2 2 5 2 4 2" xfId="32319"/>
    <cellStyle name="常规 5 4 2 2 5 2 4 2 2" xfId="32320"/>
    <cellStyle name="常规 5 4 2 2 5 2 4 3" xfId="31432"/>
    <cellStyle name="常规 5 4 2 2 5 2 4 4" xfId="32321"/>
    <cellStyle name="常规 5 4 2 2 5 2 5" xfId="31316"/>
    <cellStyle name="常规 5 4 2 2 5 2 5 2" xfId="32322"/>
    <cellStyle name="常规 5 4 2 2 5 2 6" xfId="28745"/>
    <cellStyle name="常规 5 4 2 2 5 2 7" xfId="32324"/>
    <cellStyle name="常规 5 4 2 2 5 3" xfId="20535"/>
    <cellStyle name="常规 5 4 2 2 5 3 2" xfId="31347"/>
    <cellStyle name="常规 5 4 2 2 5 3 2 2" xfId="23413"/>
    <cellStyle name="常规 5 4 2 2 5 3 2 2 2" xfId="32325"/>
    <cellStyle name="常规 5 4 2 2 5 3 2 2 2 2" xfId="32326"/>
    <cellStyle name="常规 5 4 2 2 5 3 2 2 3" xfId="32327"/>
    <cellStyle name="常规 5 4 2 2 5 3 2 2 4" xfId="32328"/>
    <cellStyle name="常规 5 4 2 2 5 3 2 3" xfId="23416"/>
    <cellStyle name="常规 5 4 2 2 5 3 2 3 2" xfId="31437"/>
    <cellStyle name="常规 5 4 2 2 5 3 2 4" xfId="31439"/>
    <cellStyle name="常规 5 4 2 2 5 3 2 5" xfId="31441"/>
    <cellStyle name="常规 5 4 2 2 5 3 3" xfId="31349"/>
    <cellStyle name="常规 5 4 2 2 5 3 3 2" xfId="32329"/>
    <cellStyle name="常规 5 4 2 2 5 3 3 2 2" xfId="32330"/>
    <cellStyle name="常规 5 4 2 2 5 3 3 3" xfId="31444"/>
    <cellStyle name="常规 5 4 2 2 5 3 3 4" xfId="32331"/>
    <cellStyle name="常规 5 4 2 2 5 3 4" xfId="31351"/>
    <cellStyle name="常规 5 4 2 2 5 3 4 2" xfId="24464"/>
    <cellStyle name="常规 5 4 2 2 5 3 5" xfId="32332"/>
    <cellStyle name="常规 5 4 2 2 5 3 6" xfId="32334"/>
    <cellStyle name="常规 5 4 2 2 5 4" xfId="32335"/>
    <cellStyle name="常规 5 4 2 2 5 4 2" xfId="31373"/>
    <cellStyle name="常规 5 4 2 2 5 4 2 2" xfId="32336"/>
    <cellStyle name="常规 5 4 2 2 5 4 2 2 2" xfId="32337"/>
    <cellStyle name="常规 5 4 2 2 5 4 2 3" xfId="31447"/>
    <cellStyle name="常规 5 4 2 2 5 4 2 4" xfId="32338"/>
    <cellStyle name="常规 5 4 2 2 5 4 3" xfId="31375"/>
    <cellStyle name="常规 5 4 2 2 5 4 3 2" xfId="32339"/>
    <cellStyle name="常规 5 4 2 2 5 4 4" xfId="32340"/>
    <cellStyle name="常规 5 4 2 2 5 4 5" xfId="32341"/>
    <cellStyle name="常规 5 4 2 2 5 5" xfId="32342"/>
    <cellStyle name="常规 5 4 2 2 5 5 2" xfId="31388"/>
    <cellStyle name="常规 5 4 2 2 5 5 2 2" xfId="25891"/>
    <cellStyle name="常规 5 4 2 2 5 5 3" xfId="32343"/>
    <cellStyle name="常规 5 4 2 2 5 5 4" xfId="32344"/>
    <cellStyle name="常规 5 4 2 2 5 6" xfId="32345"/>
    <cellStyle name="常规 5 4 2 2 5 6 2" xfId="28989"/>
    <cellStyle name="常规 5 4 2 2 5 7" xfId="32346"/>
    <cellStyle name="常规 5 4 2 2 5 8" xfId="18109"/>
    <cellStyle name="常规 5 4 2 2 6" xfId="32347"/>
    <cellStyle name="常规 5 4 2 2 6 2" xfId="30850"/>
    <cellStyle name="常规 5 4 2 2 6 2 2" xfId="31575"/>
    <cellStyle name="常规 5 4 2 2 6 2 2 2" xfId="31577"/>
    <cellStyle name="常规 5 4 2 2 6 2 2 2 2" xfId="32348"/>
    <cellStyle name="常规 5 4 2 2 6 2 2 2 2 2" xfId="32349"/>
    <cellStyle name="常规 5 4 2 2 6 2 2 2 3" xfId="406"/>
    <cellStyle name="常规 5 4 2 2 6 2 2 2 4" xfId="32350"/>
    <cellStyle name="常规 5 4 2 2 6 2 2 3" xfId="26592"/>
    <cellStyle name="常规 5 4 2 2 6 2 2 3 2" xfId="26597"/>
    <cellStyle name="常规 5 4 2 2 6 2 2 4" xfId="26602"/>
    <cellStyle name="常规 5 4 2 2 6 2 2 5" xfId="17402"/>
    <cellStyle name="常规 5 4 2 2 6 2 3" xfId="31579"/>
    <cellStyle name="常规 5 4 2 2 6 2 3 2" xfId="32351"/>
    <cellStyle name="常规 5 4 2 2 6 2 3 2 2" xfId="32352"/>
    <cellStyle name="常规 5 4 2 2 6 2 3 3" xfId="26612"/>
    <cellStyle name="常规 5 4 2 2 6 2 3 4" xfId="32353"/>
    <cellStyle name="常规 5 4 2 2 6 2 4" xfId="31581"/>
    <cellStyle name="常规 5 4 2 2 6 2 4 2" xfId="16527"/>
    <cellStyle name="常规 5 4 2 2 6 2 5" xfId="32355"/>
    <cellStyle name="常规 5 4 2 2 6 2 6" xfId="25582"/>
    <cellStyle name="常规 5 4 2 2 6 3" xfId="30852"/>
    <cellStyle name="常规 5 4 2 2 6 3 2" xfId="31600"/>
    <cellStyle name="常规 5 4 2 2 6 3 2 2" xfId="32356"/>
    <cellStyle name="常规 5 4 2 2 6 3 2 2 2" xfId="32357"/>
    <cellStyle name="常规 5 4 2 2 6 3 2 3" xfId="26622"/>
    <cellStyle name="常规 5 4 2 2 6 3 2 4" xfId="32358"/>
    <cellStyle name="常规 5 4 2 2 6 3 3" xfId="31602"/>
    <cellStyle name="常规 5 4 2 2 6 3 3 2" xfId="32359"/>
    <cellStyle name="常规 5 4 2 2 6 3 4" xfId="32360"/>
    <cellStyle name="常规 5 4 2 2 6 3 5" xfId="32362"/>
    <cellStyle name="常规 5 4 2 2 6 4" xfId="32363"/>
    <cellStyle name="常规 5 4 2 2 6 4 2" xfId="31619"/>
    <cellStyle name="常规 5 4 2 2 6 4 2 2" xfId="32364"/>
    <cellStyle name="常规 5 4 2 2 6 4 3" xfId="32365"/>
    <cellStyle name="常规 5 4 2 2 6 4 4" xfId="32366"/>
    <cellStyle name="常规 5 4 2 2 6 5" xfId="32367"/>
    <cellStyle name="常规 5 4 2 2 6 5 2" xfId="32368"/>
    <cellStyle name="常规 5 4 2 2 6 6" xfId="32369"/>
    <cellStyle name="常规 5 4 2 2 6 7" xfId="32370"/>
    <cellStyle name="常规 5 4 2 2 7" xfId="32371"/>
    <cellStyle name="常规 5 4 2 2 7 2" xfId="32372"/>
    <cellStyle name="常规 5 4 2 2 7 2 2" xfId="17918"/>
    <cellStyle name="常规 5 4 2 2 7 2 2 2" xfId="32373"/>
    <cellStyle name="常规 5 4 2 2 7 2 2 2 2" xfId="32375"/>
    <cellStyle name="常规 5 4 2 2 7 2 2 3" xfId="26676"/>
    <cellStyle name="常规 5 4 2 2 7 2 2 4" xfId="32376"/>
    <cellStyle name="常规 5 4 2 2 7 2 3" xfId="17921"/>
    <cellStyle name="常规 5 4 2 2 7 2 3 2" xfId="32377"/>
    <cellStyle name="常规 5 4 2 2 7 2 4" xfId="32378"/>
    <cellStyle name="常规 5 4 2 2 7 2 5" xfId="32380"/>
    <cellStyle name="常规 5 4 2 2 7 3" xfId="32381"/>
    <cellStyle name="常规 5 4 2 2 7 3 2" xfId="17928"/>
    <cellStyle name="常规 5 4 2 2 7 3 2 2" xfId="32382"/>
    <cellStyle name="常规 5 4 2 2 7 3 3" xfId="2518"/>
    <cellStyle name="常规 5 4 2 2 7 3 4" xfId="2528"/>
    <cellStyle name="常规 5 4 2 2 7 4" xfId="32383"/>
    <cellStyle name="常规 5 4 2 2 7 4 2" xfId="32384"/>
    <cellStyle name="常规 5 4 2 2 7 5" xfId="32385"/>
    <cellStyle name="常规 5 4 2 2 7 6" xfId="9972"/>
    <cellStyle name="常规 5 4 2 2 8" xfId="32386"/>
    <cellStyle name="常规 5 4 2 2 8 2" xfId="32387"/>
    <cellStyle name="常规 5 4 2 2 8 2 2" xfId="17965"/>
    <cellStyle name="常规 5 4 2 2 8 2 2 2" xfId="24778"/>
    <cellStyle name="常规 5 4 2 2 8 2 3" xfId="32388"/>
    <cellStyle name="常规 5 4 2 2 8 2 4" xfId="32389"/>
    <cellStyle name="常规 5 4 2 2 8 3" xfId="32390"/>
    <cellStyle name="常规 5 4 2 2 8 3 2" xfId="32391"/>
    <cellStyle name="常规 5 4 2 2 8 4" xfId="32392"/>
    <cellStyle name="常规 5 4 2 2 8 5" xfId="32393"/>
    <cellStyle name="常规 5 4 2 2 9" xfId="23515"/>
    <cellStyle name="常规 5 4 2 2 9 2" xfId="20311"/>
    <cellStyle name="常规 5 4 2 2 9 2 2" xfId="20313"/>
    <cellStyle name="常规 5 4 2 2 9 3" xfId="20333"/>
    <cellStyle name="常规 5 4 2 2 9 4" xfId="20344"/>
    <cellStyle name="常规 5 4 2 3" xfId="32394"/>
    <cellStyle name="常规 5 4 2 3 10" xfId="32395"/>
    <cellStyle name="常规 5 4 2 3 11" xfId="11150"/>
    <cellStyle name="常规 5 4 2 3 2" xfId="32396"/>
    <cellStyle name="常规 5 4 2 3 2 2" xfId="32397"/>
    <cellStyle name="常规 5 4 2 3 2 2 2" xfId="32398"/>
    <cellStyle name="常规 5 4 2 3 2 2 2 2" xfId="32399"/>
    <cellStyle name="常规 5 4 2 3 2 2 2 2 2" xfId="19713"/>
    <cellStyle name="常规 5 4 2 3 2 2 2 2 2 2" xfId="32401"/>
    <cellStyle name="常规 5 4 2 3 2 2 2 2 2 2 2" xfId="10758"/>
    <cellStyle name="常规 5 4 2 3 2 2 2 2 2 2 2 2" xfId="29860"/>
    <cellStyle name="常规 5 4 2 3 2 2 2 2 2 2 3" xfId="10761"/>
    <cellStyle name="常规 5 4 2 3 2 2 2 2 2 2 4" xfId="32402"/>
    <cellStyle name="常规 5 4 2 3 2 2 2 2 2 3" xfId="31065"/>
    <cellStyle name="常规 5 4 2 3 2 2 2 2 2 3 2" xfId="31067"/>
    <cellStyle name="常规 5 4 2 3 2 2 2 2 2 4" xfId="31070"/>
    <cellStyle name="常规 5 4 2 3 2 2 2 2 2 5" xfId="31072"/>
    <cellStyle name="常规 5 4 2 3 2 2 2 2 3" xfId="19716"/>
    <cellStyle name="常规 5 4 2 3 2 2 2 2 3 2" xfId="32404"/>
    <cellStyle name="常规 5 4 2 3 2 2 2 2 3 2 2" xfId="32405"/>
    <cellStyle name="常规 5 4 2 3 2 2 2 2 3 3" xfId="31076"/>
    <cellStyle name="常规 5 4 2 3 2 2 2 2 3 4" xfId="32406"/>
    <cellStyle name="常规 5 4 2 3 2 2 2 2 4" xfId="32408"/>
    <cellStyle name="常规 5 4 2 3 2 2 2 2 4 2" xfId="32409"/>
    <cellStyle name="常规 5 4 2 3 2 2 2 2 5" xfId="6578"/>
    <cellStyle name="常规 5 4 2 3 2 2 2 2 6" xfId="6607"/>
    <cellStyle name="常规 5 4 2 3 2 2 2 3" xfId="19208"/>
    <cellStyle name="常规 5 4 2 3 2 2 2 3 2" xfId="19211"/>
    <cellStyle name="常规 5 4 2 3 2 2 2 3 2 2" xfId="19214"/>
    <cellStyle name="常规 5 4 2 3 2 2 2 3 2 2 2" xfId="32410"/>
    <cellStyle name="常规 5 4 2 3 2 2 2 3 2 3" xfId="31081"/>
    <cellStyle name="常规 5 4 2 3 2 2 2 3 2 4" xfId="32411"/>
    <cellStyle name="常规 5 4 2 3 2 2 2 3 3" xfId="19217"/>
    <cellStyle name="常规 5 4 2 3 2 2 2 3 3 2" xfId="32412"/>
    <cellStyle name="常规 5 4 2 3 2 2 2 3 4" xfId="19220"/>
    <cellStyle name="常规 5 4 2 3 2 2 2 3 5" xfId="6662"/>
    <cellStyle name="常规 5 4 2 3 2 2 2 4" xfId="19222"/>
    <cellStyle name="常规 5 4 2 3 2 2 2 4 2" xfId="19225"/>
    <cellStyle name="常规 5 4 2 3 2 2 2 4 2 2" xfId="32413"/>
    <cellStyle name="常规 5 4 2 3 2 2 2 4 3" xfId="32414"/>
    <cellStyle name="常规 5 4 2 3 2 2 2 4 4" xfId="26062"/>
    <cellStyle name="常规 5 4 2 3 2 2 2 5" xfId="17774"/>
    <cellStyle name="常规 5 4 2 3 2 2 2 5 2" xfId="32417"/>
    <cellStyle name="常规 5 4 2 3 2 2 2 6" xfId="19228"/>
    <cellStyle name="常规 5 4 2 3 2 2 2 7" xfId="32419"/>
    <cellStyle name="常规 5 4 2 3 2 2 3" xfId="21892"/>
    <cellStyle name="常规 5 4 2 3 2 2 3 2" xfId="21894"/>
    <cellStyle name="常规 5 4 2 3 2 2 3 2 2" xfId="21897"/>
    <cellStyle name="常规 5 4 2 3 2 2 3 2 2 2" xfId="32422"/>
    <cellStyle name="常规 5 4 2 3 2 2 3 2 2 2 2" xfId="32423"/>
    <cellStyle name="常规 5 4 2 3 2 2 3 2 2 3" xfId="31091"/>
    <cellStyle name="常规 5 4 2 3 2 2 3 2 2 4" xfId="27733"/>
    <cellStyle name="常规 5 4 2 3 2 2 3 2 3" xfId="32425"/>
    <cellStyle name="常规 5 4 2 3 2 2 3 2 3 2" xfId="32426"/>
    <cellStyle name="常规 5 4 2 3 2 2 3 2 4" xfId="32428"/>
    <cellStyle name="常规 5 4 2 3 2 2 3 2 5" xfId="6921"/>
    <cellStyle name="常规 5 4 2 3 2 2 3 3" xfId="19232"/>
    <cellStyle name="常规 5 4 2 3 2 2 3 3 2" xfId="19236"/>
    <cellStyle name="常规 5 4 2 3 2 2 3 3 2 2" xfId="32429"/>
    <cellStyle name="常规 5 4 2 3 2 2 3 3 3" xfId="32431"/>
    <cellStyle name="常规 5 4 2 3 2 2 3 3 4" xfId="32432"/>
    <cellStyle name="常规 5 4 2 3 2 2 3 4" xfId="19238"/>
    <cellStyle name="常规 5 4 2 3 2 2 3 4 2" xfId="32433"/>
    <cellStyle name="常规 5 4 2 3 2 2 3 5" xfId="19241"/>
    <cellStyle name="常规 5 4 2 3 2 2 3 6" xfId="4669"/>
    <cellStyle name="常规 5 4 2 3 2 2 4" xfId="21899"/>
    <cellStyle name="常规 5 4 2 3 2 2 4 2" xfId="21901"/>
    <cellStyle name="常规 5 4 2 3 2 2 4 2 2" xfId="32435"/>
    <cellStyle name="常规 5 4 2 3 2 2 4 2 2 2" xfId="5770"/>
    <cellStyle name="常规 5 4 2 3 2 2 4 2 3" xfId="32437"/>
    <cellStyle name="常规 5 4 2 3 2 2 4 2 4" xfId="27875"/>
    <cellStyle name="常规 5 4 2 3 2 2 4 3" xfId="19244"/>
    <cellStyle name="常规 5 4 2 3 2 2 4 3 2" xfId="32438"/>
    <cellStyle name="常规 5 4 2 3 2 2 4 4" xfId="19689"/>
    <cellStyle name="常规 5 4 2 3 2 2 4 5" xfId="19726"/>
    <cellStyle name="常规 5 4 2 3 2 2 5" xfId="19923"/>
    <cellStyle name="常规 5 4 2 3 2 2 5 2" xfId="32439"/>
    <cellStyle name="常规 5 4 2 3 2 2 5 2 2" xfId="32440"/>
    <cellStyle name="常规 5 4 2 3 2 2 5 3" xfId="538"/>
    <cellStyle name="常规 5 4 2 3 2 2 5 4" xfId="262"/>
    <cellStyle name="常规 5 4 2 3 2 2 6" xfId="21904"/>
    <cellStyle name="常规 5 4 2 3 2 2 6 2" xfId="28760"/>
    <cellStyle name="常规 5 4 2 3 2 2 7" xfId="28767"/>
    <cellStyle name="常规 5 4 2 3 2 2 8" xfId="28772"/>
    <cellStyle name="常规 5 4 2 3 2 3" xfId="32441"/>
    <cellStyle name="常规 5 4 2 3 2 3 2" xfId="32442"/>
    <cellStyle name="常规 5 4 2 3 2 3 2 2" xfId="16631"/>
    <cellStyle name="常规 5 4 2 3 2 3 2 2 2" xfId="16634"/>
    <cellStyle name="常规 5 4 2 3 2 3 2 2 2 2" xfId="32444"/>
    <cellStyle name="常规 5 4 2 3 2 3 2 2 2 2 2" xfId="32445"/>
    <cellStyle name="常规 5 4 2 3 2 3 2 2 2 3" xfId="31117"/>
    <cellStyle name="常规 5 4 2 3 2 3 2 2 2 4" xfId="15715"/>
    <cellStyle name="常规 5 4 2 3 2 3 2 2 3" xfId="13532"/>
    <cellStyle name="常规 5 4 2 3 2 3 2 2 3 2" xfId="32446"/>
    <cellStyle name="常规 5 4 2 3 2 3 2 2 4" xfId="32448"/>
    <cellStyle name="常规 5 4 2 3 2 3 2 2 5" xfId="7701"/>
    <cellStyle name="常规 5 4 2 3 2 3 2 3" xfId="16636"/>
    <cellStyle name="常规 5 4 2 3 2 3 2 3 2" xfId="16674"/>
    <cellStyle name="常规 5 4 2 3 2 3 2 3 2 2" xfId="32449"/>
    <cellStyle name="常规 5 4 2 3 2 3 2 3 3" xfId="32451"/>
    <cellStyle name="常规 5 4 2 3 2 3 2 3 4" xfId="32452"/>
    <cellStyle name="常规 5 4 2 3 2 3 2 4" xfId="16639"/>
    <cellStyle name="常规 5 4 2 3 2 3 2 4 2" xfId="32454"/>
    <cellStyle name="常规 5 4 2 3 2 3 2 5" xfId="19248"/>
    <cellStyle name="常规 5 4 2 3 2 3 2 6" xfId="32456"/>
    <cellStyle name="常规 5 4 2 3 2 3 3" xfId="21908"/>
    <cellStyle name="常规 5 4 2 3 2 3 3 2" xfId="2221"/>
    <cellStyle name="常规 5 4 2 3 2 3 3 2 2" xfId="32458"/>
    <cellStyle name="常规 5 4 2 3 2 3 3 2 2 2" xfId="32459"/>
    <cellStyle name="常规 5 4 2 3 2 3 3 2 3" xfId="32461"/>
    <cellStyle name="常规 5 4 2 3 2 3 3 2 4" xfId="32462"/>
    <cellStyle name="常规 5 4 2 3 2 3 3 3" xfId="2225"/>
    <cellStyle name="常规 5 4 2 3 2 3 3 3 2" xfId="32463"/>
    <cellStyle name="常规 5 4 2 3 2 3 3 4" xfId="2231"/>
    <cellStyle name="常规 5 4 2 3 2 3 3 5" xfId="2233"/>
    <cellStyle name="常规 5 4 2 3 2 3 4" xfId="21910"/>
    <cellStyle name="常规 5 4 2 3 2 3 4 2" xfId="4131"/>
    <cellStyle name="常规 5 4 2 3 2 3 4 2 2" xfId="32464"/>
    <cellStyle name="常规 5 4 2 3 2 3 4 3" xfId="4137"/>
    <cellStyle name="常规 5 4 2 3 2 3 4 4" xfId="4141"/>
    <cellStyle name="常规 5 4 2 3 2 3 5" xfId="21912"/>
    <cellStyle name="常规 5 4 2 3 2 3 5 2" xfId="419"/>
    <cellStyle name="常规 5 4 2 3 2 3 6" xfId="16644"/>
    <cellStyle name="常规 5 4 2 3 2 3 7" xfId="16648"/>
    <cellStyle name="常规 5 4 2 3 2 4" xfId="32466"/>
    <cellStyle name="常规 5 4 2 3 2 4 2" xfId="32467"/>
    <cellStyle name="常规 5 4 2 3 2 4 2 2" xfId="32468"/>
    <cellStyle name="常规 5 4 2 3 2 4 2 2 2" xfId="32470"/>
    <cellStyle name="常规 5 4 2 3 2 4 2 2 2 2" xfId="32471"/>
    <cellStyle name="常规 5 4 2 3 2 4 2 2 3" xfId="32473"/>
    <cellStyle name="常规 5 4 2 3 2 4 2 2 4" xfId="32474"/>
    <cellStyle name="常规 5 4 2 3 2 4 2 3" xfId="19254"/>
    <cellStyle name="常规 5 4 2 3 2 4 2 3 2" xfId="32475"/>
    <cellStyle name="常规 5 4 2 3 2 4 2 4" xfId="32476"/>
    <cellStyle name="常规 5 4 2 3 2 4 2 5" xfId="32477"/>
    <cellStyle name="常规 5 4 2 3 2 4 3" xfId="21915"/>
    <cellStyle name="常规 5 4 2 3 2 4 3 2" xfId="32478"/>
    <cellStyle name="常规 5 4 2 3 2 4 3 2 2" xfId="32479"/>
    <cellStyle name="常规 5 4 2 3 2 4 3 3" xfId="32480"/>
    <cellStyle name="常规 5 4 2 3 2 4 3 4" xfId="32481"/>
    <cellStyle name="常规 5 4 2 3 2 4 4" xfId="32482"/>
    <cellStyle name="常规 5 4 2 3 2 4 4 2" xfId="32483"/>
    <cellStyle name="常规 5 4 2 3 2 4 5" xfId="32484"/>
    <cellStyle name="常规 5 4 2 3 2 4 6" xfId="28788"/>
    <cellStyle name="常规 5 4 2 3 2 5" xfId="31796"/>
    <cellStyle name="常规 5 4 2 3 2 5 2" xfId="31798"/>
    <cellStyle name="常规 5 4 2 3 2 5 2 2" xfId="31800"/>
    <cellStyle name="常规 5 4 2 3 2 5 2 2 2" xfId="4570"/>
    <cellStyle name="常规 5 4 2 3 2 5 2 3" xfId="31802"/>
    <cellStyle name="常规 5 4 2 3 2 5 2 4" xfId="31804"/>
    <cellStyle name="常规 5 4 2 3 2 5 3" xfId="31807"/>
    <cellStyle name="常规 5 4 2 3 2 5 3 2" xfId="31809"/>
    <cellStyle name="常规 5 4 2 3 2 5 4" xfId="31811"/>
    <cellStyle name="常规 5 4 2 3 2 5 5" xfId="31813"/>
    <cellStyle name="常规 5 4 2 3 2 6" xfId="31815"/>
    <cellStyle name="常规 5 4 2 3 2 6 2" xfId="13414"/>
    <cellStyle name="常规 5 4 2 3 2 6 2 2" xfId="13421"/>
    <cellStyle name="常规 5 4 2 3 2 6 3" xfId="13433"/>
    <cellStyle name="常规 5 4 2 3 2 6 4" xfId="13441"/>
    <cellStyle name="常规 5 4 2 3 2 7" xfId="31817"/>
    <cellStyle name="常规 5 4 2 3 2 7 2" xfId="2041"/>
    <cellStyle name="常规 5 4 2 3 2 8" xfId="31819"/>
    <cellStyle name="常规 5 4 2 3 2 9" xfId="31821"/>
    <cellStyle name="常规 5 4 2 3 3" xfId="32486"/>
    <cellStyle name="常规 5 4 2 3 3 2" xfId="32487"/>
    <cellStyle name="常规 5 4 2 3 3 2 2" xfId="3426"/>
    <cellStyle name="常规 5 4 2 3 3 2 2 2" xfId="18812"/>
    <cellStyle name="常规 5 4 2 3 3 2 2 2 2" xfId="32489"/>
    <cellStyle name="常规 5 4 2 3 3 2 2 2 2 2" xfId="11778"/>
    <cellStyle name="常规 5 4 2 3 3 2 2 2 2 2 2" xfId="30586"/>
    <cellStyle name="常规 5 4 2 3 3 2 2 2 2 2 2 2" xfId="18672"/>
    <cellStyle name="常规 5 4 2 3 3 2 2 2 2 2 3" xfId="30601"/>
    <cellStyle name="常规 5 4 2 3 3 2 2 2 2 2 4" xfId="15469"/>
    <cellStyle name="常规 5 4 2 3 3 2 2 2 2 3" xfId="29833"/>
    <cellStyle name="常规 5 4 2 3 3 2 2 2 2 3 2" xfId="30614"/>
    <cellStyle name="常规 5 4 2 3 3 2 2 2 2 4" xfId="30625"/>
    <cellStyle name="常规 5 4 2 3 3 2 2 2 2 5" xfId="30634"/>
    <cellStyle name="常规 5 4 2 3 3 2 2 2 3" xfId="32492"/>
    <cellStyle name="常规 5 4 2 3 3 2 2 2 3 2" xfId="30686"/>
    <cellStyle name="常规 5 4 2 3 3 2 2 2 3 2 2" xfId="30688"/>
    <cellStyle name="常规 5 4 2 3 3 2 2 2 3 3" xfId="30694"/>
    <cellStyle name="常规 5 4 2 3 3 2 2 2 3 4" xfId="21853"/>
    <cellStyle name="常规 5 4 2 3 3 2 2 2 4" xfId="32494"/>
    <cellStyle name="常规 5 4 2 3 3 2 2 2 4 2" xfId="30749"/>
    <cellStyle name="常规 5 4 2 3 3 2 2 2 5" xfId="25822"/>
    <cellStyle name="常规 5 4 2 3 3 2 2 2 6" xfId="32495"/>
    <cellStyle name="常规 5 4 2 3 3 2 2 3" xfId="18814"/>
    <cellStyle name="常规 5 4 2 3 3 2 2 3 2" xfId="19267"/>
    <cellStyle name="常规 5 4 2 3 3 2 2 3 2 2" xfId="31240"/>
    <cellStyle name="常规 5 4 2 3 3 2 2 3 2 2 2" xfId="18082"/>
    <cellStyle name="常规 5 4 2 3 3 2 2 3 2 3" xfId="31246"/>
    <cellStyle name="常规 5 4 2 3 3 2 2 3 2 4" xfId="31250"/>
    <cellStyle name="常规 5 4 2 3 3 2 2 3 3" xfId="32497"/>
    <cellStyle name="常规 5 4 2 3 3 2 2 3 3 2" xfId="31299"/>
    <cellStyle name="常规 5 4 2 3 3 2 2 3 4" xfId="32499"/>
    <cellStyle name="常规 5 4 2 3 3 2 2 3 5" xfId="32500"/>
    <cellStyle name="常规 5 4 2 3 3 2 2 4" xfId="15743"/>
    <cellStyle name="常规 5 4 2 3 3 2 2 4 2" xfId="32502"/>
    <cellStyle name="常规 5 4 2 3 3 2 2 4 2 2" xfId="31532"/>
    <cellStyle name="常规 5 4 2 3 3 2 2 4 3" xfId="32504"/>
    <cellStyle name="常规 5 4 2 3 3 2 2 4 4" xfId="32505"/>
    <cellStyle name="常规 5 4 2 3 3 2 2 5" xfId="19269"/>
    <cellStyle name="常规 5 4 2 3 3 2 2 5 2" xfId="20078"/>
    <cellStyle name="常规 5 4 2 3 3 2 2 6" xfId="2310"/>
    <cellStyle name="常规 5 4 2 3 3 2 2 7" xfId="20087"/>
    <cellStyle name="常规 5 4 2 3 3 2 3" xfId="21922"/>
    <cellStyle name="常规 5 4 2 3 3 2 3 2" xfId="18833"/>
    <cellStyle name="常规 5 4 2 3 3 2 3 2 2" xfId="32507"/>
    <cellStyle name="常规 5 4 2 3 3 2 3 2 2 2" xfId="32509"/>
    <cellStyle name="常规 5 4 2 3 3 2 3 2 2 2 2" xfId="32510"/>
    <cellStyle name="常规 5 4 2 3 3 2 3 2 2 3" xfId="32511"/>
    <cellStyle name="常规 5 4 2 3 3 2 3 2 2 4" xfId="32513"/>
    <cellStyle name="常规 5 4 2 3 3 2 3 2 3" xfId="32515"/>
    <cellStyle name="常规 5 4 2 3 3 2 3 2 3 2" xfId="32516"/>
    <cellStyle name="常规 5 4 2 3 3 2 3 2 4" xfId="32518"/>
    <cellStyle name="常规 5 4 2 3 3 2 3 2 5" xfId="32519"/>
    <cellStyle name="常规 5 4 2 3 3 2 3 3" xfId="19273"/>
    <cellStyle name="常规 5 4 2 3 3 2 3 3 2" xfId="32521"/>
    <cellStyle name="常规 5 4 2 3 3 2 3 3 2 2" xfId="32522"/>
    <cellStyle name="常规 5 4 2 3 3 2 3 3 3" xfId="32524"/>
    <cellStyle name="常规 5 4 2 3 3 2 3 3 4" xfId="32525"/>
    <cellStyle name="常规 5 4 2 3 3 2 3 4" xfId="13099"/>
    <cellStyle name="常规 5 4 2 3 3 2 3 4 2" xfId="13101"/>
    <cellStyle name="常规 5 4 2 3 3 2 3 5" xfId="13106"/>
    <cellStyle name="常规 5 4 2 3 3 2 3 6" xfId="9897"/>
    <cellStyle name="常规 5 4 2 3 3 2 4" xfId="21924"/>
    <cellStyle name="常规 5 4 2 3 3 2 4 2" xfId="32526"/>
    <cellStyle name="常规 5 4 2 3 3 2 4 2 2" xfId="32528"/>
    <cellStyle name="常规 5 4 2 3 3 2 4 2 2 2" xfId="32530"/>
    <cellStyle name="常规 5 4 2 3 3 2 4 2 3" xfId="32532"/>
    <cellStyle name="常规 5 4 2 3 3 2 4 2 4" xfId="27955"/>
    <cellStyle name="常规 5 4 2 3 3 2 4 3" xfId="32533"/>
    <cellStyle name="常规 5 4 2 3 3 2 4 3 2" xfId="32534"/>
    <cellStyle name="常规 5 4 2 3 3 2 4 4" xfId="4198"/>
    <cellStyle name="常规 5 4 2 3 3 2 4 5" xfId="1254"/>
    <cellStyle name="常规 5 4 2 3 3 2 5" xfId="21926"/>
    <cellStyle name="常规 5 4 2 3 3 2 5 2" xfId="32535"/>
    <cellStyle name="常规 5 4 2 3 3 2 5 2 2" xfId="32536"/>
    <cellStyle name="常规 5 4 2 3 3 2 5 3" xfId="32537"/>
    <cellStyle name="常规 5 4 2 3 3 2 5 4" xfId="13114"/>
    <cellStyle name="常规 5 4 2 3 3 2 6" xfId="28795"/>
    <cellStyle name="常规 5 4 2 3 3 2 6 2" xfId="94"/>
    <cellStyle name="常规 5 4 2 3 3 2 7" xfId="28798"/>
    <cellStyle name="常规 5 4 2 3 3 2 8" xfId="1753"/>
    <cellStyle name="常规 5 4 2 3 3 3" xfId="32538"/>
    <cellStyle name="常规 5 4 2 3 3 3 2" xfId="32539"/>
    <cellStyle name="常规 5 4 2 3 3 3 2 2" xfId="18873"/>
    <cellStyle name="常规 5 4 2 3 3 3 2 2 2" xfId="32541"/>
    <cellStyle name="常规 5 4 2 3 3 3 2 2 2 2" xfId="29996"/>
    <cellStyle name="常规 5 4 2 3 3 3 2 2 2 2 2" xfId="32542"/>
    <cellStyle name="常规 5 4 2 3 3 3 2 2 2 3" xfId="29998"/>
    <cellStyle name="常规 5 4 2 3 3 3 2 2 2 4" xfId="32543"/>
    <cellStyle name="常规 5 4 2 3 3 3 2 2 3" xfId="32545"/>
    <cellStyle name="常规 5 4 2 3 3 3 2 2 3 2" xfId="8545"/>
    <cellStyle name="常规 5 4 2 3 3 3 2 2 4" xfId="16463"/>
    <cellStyle name="常规 5 4 2 3 3 3 2 2 5" xfId="7259"/>
    <cellStyle name="常规 5 4 2 3 3 3 2 3" xfId="19280"/>
    <cellStyle name="常规 5 4 2 3 3 3 2 3 2" xfId="16795"/>
    <cellStyle name="常规 5 4 2 3 3 3 2 3 2 2" xfId="32546"/>
    <cellStyle name="常规 5 4 2 3 3 3 2 3 3" xfId="14111"/>
    <cellStyle name="常规 5 4 2 3 3 3 2 3 4" xfId="14113"/>
    <cellStyle name="常规 5 4 2 3 3 3 2 4" xfId="32547"/>
    <cellStyle name="常规 5 4 2 3 3 3 2 4 2" xfId="32549"/>
    <cellStyle name="常规 5 4 2 3 3 3 2 5" xfId="20101"/>
    <cellStyle name="常规 5 4 2 3 3 3 2 6" xfId="2366"/>
    <cellStyle name="常规 5 4 2 3 3 3 3" xfId="21929"/>
    <cellStyle name="常规 5 4 2 3 3 3 3 2" xfId="32550"/>
    <cellStyle name="常规 5 4 2 3 3 3 3 2 2" xfId="32552"/>
    <cellStyle name="常规 5 4 2 3 3 3 3 2 2 2" xfId="31930"/>
    <cellStyle name="常规 5 4 2 3 3 3 3 2 3" xfId="32554"/>
    <cellStyle name="常规 5 4 2 3 3 3 3 2 4" xfId="16485"/>
    <cellStyle name="常规 5 4 2 3 3 3 3 3" xfId="32555"/>
    <cellStyle name="常规 5 4 2 3 3 3 3 3 2" xfId="32556"/>
    <cellStyle name="常规 5 4 2 3 3 3 3 4" xfId="13121"/>
    <cellStyle name="常规 5 4 2 3 3 3 3 5" xfId="13123"/>
    <cellStyle name="常规 5 4 2 3 3 3 4" xfId="32557"/>
    <cellStyle name="常规 5 4 2 3 3 3 4 2" xfId="32558"/>
    <cellStyle name="常规 5 4 2 3 3 3 4 2 2" xfId="32559"/>
    <cellStyle name="常规 5 4 2 3 3 3 4 3" xfId="32561"/>
    <cellStyle name="常规 5 4 2 3 3 3 4 4" xfId="13131"/>
    <cellStyle name="常规 5 4 2 3 3 3 5" xfId="32562"/>
    <cellStyle name="常规 5 4 2 3 3 3 5 2" xfId="32563"/>
    <cellStyle name="常规 5 4 2 3 3 3 6" xfId="1680"/>
    <cellStyle name="常规 5 4 2 3 3 3 7" xfId="32564"/>
    <cellStyle name="常规 5 4 2 3 3 4" xfId="32565"/>
    <cellStyle name="常规 5 4 2 3 3 4 2" xfId="32566"/>
    <cellStyle name="常规 5 4 2 3 3 4 2 2" xfId="32567"/>
    <cellStyle name="常规 5 4 2 3 3 4 2 2 2" xfId="32571"/>
    <cellStyle name="常规 5 4 2 3 3 4 2 2 2 2" xfId="32574"/>
    <cellStyle name="常规 5 4 2 3 3 4 2 2 3" xfId="29247"/>
    <cellStyle name="常规 5 4 2 3 3 4 2 2 4" xfId="29265"/>
    <cellStyle name="常规 5 4 2 3 3 4 2 3" xfId="32575"/>
    <cellStyle name="常规 5 4 2 3 3 4 2 3 2" xfId="32578"/>
    <cellStyle name="常规 5 4 2 3 3 4 2 4" xfId="32579"/>
    <cellStyle name="常规 5 4 2 3 3 4 2 5" xfId="20114"/>
    <cellStyle name="常规 5 4 2 3 3 4 3" xfId="32580"/>
    <cellStyle name="常规 5 4 2 3 3 4 3 2" xfId="23639"/>
    <cellStyle name="常规 5 4 2 3 3 4 3 2 2" xfId="32583"/>
    <cellStyle name="常规 5 4 2 3 3 4 3 3" xfId="32584"/>
    <cellStyle name="常规 5 4 2 3 3 4 3 4" xfId="13135"/>
    <cellStyle name="常规 5 4 2 3 3 4 4" xfId="9607"/>
    <cellStyle name="常规 5 4 2 3 3 4 4 2" xfId="32585"/>
    <cellStyle name="常规 5 4 2 3 3 4 5" xfId="32586"/>
    <cellStyle name="常规 5 4 2 3 3 4 6" xfId="32587"/>
    <cellStyle name="常规 5 4 2 3 3 5" xfId="31824"/>
    <cellStyle name="常规 5 4 2 3 3 5 2" xfId="31826"/>
    <cellStyle name="常规 5 4 2 3 3 5 2 2" xfId="31828"/>
    <cellStyle name="常规 5 4 2 3 3 5 2 2 2" xfId="32588"/>
    <cellStyle name="常规 5 4 2 3 3 5 2 3" xfId="32589"/>
    <cellStyle name="常规 5 4 2 3 3 5 2 4" xfId="32590"/>
    <cellStyle name="常规 5 4 2 3 3 5 3" xfId="31830"/>
    <cellStyle name="常规 5 4 2 3 3 5 3 2" xfId="32591"/>
    <cellStyle name="常规 5 4 2 3 3 5 4" xfId="31832"/>
    <cellStyle name="常规 5 4 2 3 3 5 5" xfId="32592"/>
    <cellStyle name="常规 5 4 2 3 3 6" xfId="31834"/>
    <cellStyle name="常规 5 4 2 3 3 6 2" xfId="13597"/>
    <cellStyle name="常规 5 4 2 3 3 6 2 2" xfId="13603"/>
    <cellStyle name="常规 5 4 2 3 3 6 3" xfId="13608"/>
    <cellStyle name="常规 5 4 2 3 3 6 4" xfId="13613"/>
    <cellStyle name="常规 5 4 2 3 3 7" xfId="31836"/>
    <cellStyle name="常规 5 4 2 3 3 7 2" xfId="2148"/>
    <cellStyle name="常规 5 4 2 3 3 8" xfId="31838"/>
    <cellStyle name="常规 5 4 2 3 3 9" xfId="32593"/>
    <cellStyle name="常规 5 4 2 3 4" xfId="32594"/>
    <cellStyle name="常规 5 4 2 3 4 2" xfId="32595"/>
    <cellStyle name="常规 5 4 2 3 4 2 2" xfId="32596"/>
    <cellStyle name="常规 5 4 2 3 4 2 2 2" xfId="19002"/>
    <cellStyle name="常规 5 4 2 3 4 2 2 2 2" xfId="28572"/>
    <cellStyle name="常规 5 4 2 3 4 2 2 2 2 2" xfId="24016"/>
    <cellStyle name="常规 5 4 2 3 4 2 2 2 2 2 2" xfId="32597"/>
    <cellStyle name="常规 5 4 2 3 4 2 2 2 2 3" xfId="24020"/>
    <cellStyle name="常规 5 4 2 3 4 2 2 2 2 4" xfId="32598"/>
    <cellStyle name="常规 5 4 2 3 4 2 2 2 3" xfId="5102"/>
    <cellStyle name="常规 5 4 2 3 4 2 2 2 3 2" xfId="24029"/>
    <cellStyle name="常规 5 4 2 3 4 2 2 2 4" xfId="17171"/>
    <cellStyle name="常规 5 4 2 3 4 2 2 2 5" xfId="32599"/>
    <cellStyle name="常规 5 4 2 3 4 2 2 3" xfId="19004"/>
    <cellStyle name="常规 5 4 2 3 4 2 2 3 2" xfId="28580"/>
    <cellStyle name="常规 5 4 2 3 4 2 2 3 2 2" xfId="24208"/>
    <cellStyle name="常规 5 4 2 3 4 2 2 3 3" xfId="28583"/>
    <cellStyle name="常规 5 4 2 3 4 2 2 3 4" xfId="32600"/>
    <cellStyle name="常规 5 4 2 3 4 2 2 4" xfId="32601"/>
    <cellStyle name="常规 5 4 2 3 4 2 2 4 2" xfId="32602"/>
    <cellStyle name="常规 5 4 2 3 4 2 2 5" xfId="20133"/>
    <cellStyle name="常规 5 4 2 3 4 2 2 6" xfId="20140"/>
    <cellStyle name="常规 5 4 2 3 4 2 3" xfId="21938"/>
    <cellStyle name="常规 5 4 2 3 4 2 3 2" xfId="19047"/>
    <cellStyle name="常规 5 4 2 3 4 2 3 2 2" xfId="28610"/>
    <cellStyle name="常规 5 4 2 3 4 2 3 2 2 2" xfId="31034"/>
    <cellStyle name="常规 5 4 2 3 4 2 3 2 3" xfId="28614"/>
    <cellStyle name="常规 5 4 2 3 4 2 3 2 4" xfId="32603"/>
    <cellStyle name="常规 5 4 2 3 4 2 3 3" xfId="32604"/>
    <cellStyle name="常规 5 4 2 3 4 2 3 3 2" xfId="32605"/>
    <cellStyle name="常规 5 4 2 3 4 2 3 4" xfId="13148"/>
    <cellStyle name="常规 5 4 2 3 4 2 3 5" xfId="13152"/>
    <cellStyle name="常规 5 4 2 3 4 2 4" xfId="32606"/>
    <cellStyle name="常规 5 4 2 3 4 2 4 2" xfId="18758"/>
    <cellStyle name="常规 5 4 2 3 4 2 4 2 2" xfId="18760"/>
    <cellStyle name="常规 5 4 2 3 4 2 4 3" xfId="18762"/>
    <cellStyle name="常规 5 4 2 3 4 2 4 4" xfId="13159"/>
    <cellStyle name="常规 5 4 2 3 4 2 5" xfId="32608"/>
    <cellStyle name="常规 5 4 2 3 4 2 5 2" xfId="32610"/>
    <cellStyle name="常规 5 4 2 3 4 2 6" xfId="28810"/>
    <cellStyle name="常规 5 4 2 3 4 2 7" xfId="32612"/>
    <cellStyle name="常规 5 4 2 3 4 3" xfId="20543"/>
    <cellStyle name="常规 5 4 2 3 4 3 2" xfId="32613"/>
    <cellStyle name="常规 5 4 2 3 4 3 2 2" xfId="19089"/>
    <cellStyle name="常规 5 4 2 3 4 3 2 2 2" xfId="28673"/>
    <cellStyle name="常规 5 4 2 3 4 3 2 2 2 2" xfId="14722"/>
    <cellStyle name="常规 5 4 2 3 4 3 2 2 3" xfId="28676"/>
    <cellStyle name="常规 5 4 2 3 4 3 2 2 4" xfId="32614"/>
    <cellStyle name="常规 5 4 2 3 4 3 2 3" xfId="31024"/>
    <cellStyle name="常规 5 4 2 3 4 3 2 3 2" xfId="32615"/>
    <cellStyle name="常规 5 4 2 3 4 3 2 4" xfId="32616"/>
    <cellStyle name="常规 5 4 2 3 4 3 2 5" xfId="20163"/>
    <cellStyle name="常规 5 4 2 3 4 3 3" xfId="32617"/>
    <cellStyle name="常规 5 4 2 3 4 3 3 2" xfId="32618"/>
    <cellStyle name="常规 5 4 2 3 4 3 3 2 2" xfId="32619"/>
    <cellStyle name="常规 5 4 2 3 4 3 3 3" xfId="32620"/>
    <cellStyle name="常规 5 4 2 3 4 3 3 4" xfId="13170"/>
    <cellStyle name="常规 5 4 2 3 4 3 4" xfId="17353"/>
    <cellStyle name="常规 5 4 2 3 4 3 4 2" xfId="17355"/>
    <cellStyle name="常规 5 4 2 3 4 3 5" xfId="17357"/>
    <cellStyle name="常规 5 4 2 3 4 3 6" xfId="17359"/>
    <cellStyle name="常规 5 4 2 3 4 4" xfId="32621"/>
    <cellStyle name="常规 5 4 2 3 4 4 2" xfId="32622"/>
    <cellStyle name="常规 5 4 2 3 4 4 2 2" xfId="32623"/>
    <cellStyle name="常规 5 4 2 3 4 4 2 2 2" xfId="32624"/>
    <cellStyle name="常规 5 4 2 3 4 4 2 3" xfId="32625"/>
    <cellStyle name="常规 5 4 2 3 4 4 2 4" xfId="32626"/>
    <cellStyle name="常规 5 4 2 3 4 4 3" xfId="14638"/>
    <cellStyle name="常规 5 4 2 3 4 4 3 2" xfId="14640"/>
    <cellStyle name="常规 5 4 2 3 4 4 4" xfId="14645"/>
    <cellStyle name="常规 5 4 2 3 4 4 5" xfId="14649"/>
    <cellStyle name="常规 5 4 2 3 4 5" xfId="31841"/>
    <cellStyle name="常规 5 4 2 3 4 5 2" xfId="31843"/>
    <cellStyle name="常规 5 4 2 3 4 5 2 2" xfId="31435"/>
    <cellStyle name="常规 5 4 2 3 4 5 3" xfId="14653"/>
    <cellStyle name="常规 5 4 2 3 4 5 4" xfId="14656"/>
    <cellStyle name="常规 5 4 2 3 4 6" xfId="31845"/>
    <cellStyle name="常规 5 4 2 3 4 6 2" xfId="13681"/>
    <cellStyle name="常规 5 4 2 3 4 7" xfId="31847"/>
    <cellStyle name="常规 5 4 2 3 4 8" xfId="32627"/>
    <cellStyle name="常规 5 4 2 3 5" xfId="32628"/>
    <cellStyle name="常规 5 4 2 3 5 2" xfId="32629"/>
    <cellStyle name="常规 5 4 2 3 5 2 2" xfId="32630"/>
    <cellStyle name="常规 5 4 2 3 5 2 2 2" xfId="311"/>
    <cellStyle name="常规 5 4 2 3 5 2 2 2 2" xfId="592"/>
    <cellStyle name="常规 5 4 2 3 5 2 2 2 2 2" xfId="32631"/>
    <cellStyle name="常规 5 4 2 3 5 2 2 2 3" xfId="19780"/>
    <cellStyle name="常规 5 4 2 3 5 2 2 2 4" xfId="19789"/>
    <cellStyle name="常规 5 4 2 3 5 2 2 3" xfId="272"/>
    <cellStyle name="常规 5 4 2 3 5 2 2 3 2" xfId="31451"/>
    <cellStyle name="常规 5 4 2 3 5 2 2 4" xfId="201"/>
    <cellStyle name="常规 5 4 2 3 5 2 2 5" xfId="20192"/>
    <cellStyle name="常规 5 4 2 3 5 2 3" xfId="32632"/>
    <cellStyle name="常规 5 4 2 3 5 2 3 2" xfId="3935"/>
    <cellStyle name="常规 5 4 2 3 5 2 3 2 2" xfId="787"/>
    <cellStyle name="常规 5 4 2 3 5 2 3 3" xfId="3937"/>
    <cellStyle name="常规 5 4 2 3 5 2 3 4" xfId="3941"/>
    <cellStyle name="常规 5 4 2 3 5 2 4" xfId="32633"/>
    <cellStyle name="常规 5 4 2 3 5 2 4 2" xfId="3952"/>
    <cellStyle name="常规 5 4 2 3 5 2 5" xfId="32635"/>
    <cellStyle name="常规 5 4 2 3 5 2 6" xfId="32636"/>
    <cellStyle name="常规 5 4 2 3 5 3" xfId="32637"/>
    <cellStyle name="常规 5 4 2 3 5 3 2" xfId="32638"/>
    <cellStyle name="常规 5 4 2 3 5 3 2 2" xfId="32639"/>
    <cellStyle name="常规 5 4 2 3 5 3 2 2 2" xfId="8222"/>
    <cellStyle name="常规 5 4 2 3 5 3 2 3" xfId="31459"/>
    <cellStyle name="常规 5 4 2 3 5 3 2 4" xfId="32640"/>
    <cellStyle name="常规 5 4 2 3 5 3 3" xfId="32641"/>
    <cellStyle name="常规 5 4 2 3 5 3 3 2" xfId="32642"/>
    <cellStyle name="常规 5 4 2 3 5 3 4" xfId="17365"/>
    <cellStyle name="常规 5 4 2 3 5 3 5" xfId="32643"/>
    <cellStyle name="常规 5 4 2 3 5 4" xfId="32644"/>
    <cellStyle name="常规 5 4 2 3 5 4 2" xfId="32645"/>
    <cellStyle name="常规 5 4 2 3 5 4 2 2" xfId="32646"/>
    <cellStyle name="常规 5 4 2 3 5 4 3" xfId="14661"/>
    <cellStyle name="常规 5 4 2 3 5 4 4" xfId="14664"/>
    <cellStyle name="常规 5 4 2 3 5 5" xfId="31850"/>
    <cellStyle name="常规 5 4 2 3 5 5 2" xfId="32647"/>
    <cellStyle name="常规 5 4 2 3 5 6" xfId="32648"/>
    <cellStyle name="常规 5 4 2 3 5 7" xfId="32649"/>
    <cellStyle name="常规 5 4 2 3 6" xfId="32650"/>
    <cellStyle name="常规 5 4 2 3 6 2" xfId="32651"/>
    <cellStyle name="常规 5 4 2 3 6 2 2" xfId="32652"/>
    <cellStyle name="常规 5 4 2 3 6 2 2 2" xfId="32653"/>
    <cellStyle name="常规 5 4 2 3 6 2 2 2 2" xfId="20586"/>
    <cellStyle name="常规 5 4 2 3 6 2 2 3" xfId="26763"/>
    <cellStyle name="常规 5 4 2 3 6 2 2 4" xfId="32654"/>
    <cellStyle name="常规 5 4 2 3 6 2 3" xfId="32655"/>
    <cellStyle name="常规 5 4 2 3 6 2 3 2" xfId="32656"/>
    <cellStyle name="常规 5 4 2 3 6 2 4" xfId="32657"/>
    <cellStyle name="常规 5 4 2 3 6 2 5" xfId="26346"/>
    <cellStyle name="常规 5 4 2 3 6 3" xfId="32658"/>
    <cellStyle name="常规 5 4 2 3 6 3 2" xfId="32659"/>
    <cellStyle name="常规 5 4 2 3 6 3 2 2" xfId="32660"/>
    <cellStyle name="常规 5 4 2 3 6 3 3" xfId="32661"/>
    <cellStyle name="常规 5 4 2 3 6 3 4" xfId="32662"/>
    <cellStyle name="常规 5 4 2 3 6 4" xfId="32663"/>
    <cellStyle name="常规 5 4 2 3 6 4 2" xfId="32664"/>
    <cellStyle name="常规 5 4 2 3 6 5" xfId="32665"/>
    <cellStyle name="常规 5 4 2 3 6 6" xfId="32666"/>
    <cellStyle name="常规 5 4 2 3 7" xfId="32667"/>
    <cellStyle name="常规 5 4 2 3 7 2" xfId="32668"/>
    <cellStyle name="常规 5 4 2 3 7 2 2" xfId="18020"/>
    <cellStyle name="常规 5 4 2 3 7 2 2 2" xfId="32669"/>
    <cellStyle name="常规 5 4 2 3 7 2 3" xfId="32670"/>
    <cellStyle name="常规 5 4 2 3 7 2 4" xfId="32671"/>
    <cellStyle name="常规 5 4 2 3 7 3" xfId="32672"/>
    <cellStyle name="常规 5 4 2 3 7 3 2" xfId="32673"/>
    <cellStyle name="常规 5 4 2 3 7 4" xfId="32674"/>
    <cellStyle name="常规 5 4 2 3 7 5" xfId="32675"/>
    <cellStyle name="常规 5 4 2 3 8" xfId="32676"/>
    <cellStyle name="常规 5 4 2 3 8 2" xfId="32677"/>
    <cellStyle name="常规 5 4 2 3 8 2 2" xfId="32678"/>
    <cellStyle name="常规 5 4 2 3 8 3" xfId="32679"/>
    <cellStyle name="常规 5 4 2 3 8 4" xfId="32680"/>
    <cellStyle name="常规 5 4 2 3 9" xfId="32681"/>
    <cellStyle name="常规 5 4 2 3 9 2" xfId="899"/>
    <cellStyle name="常规 5 4 2 4" xfId="24576"/>
    <cellStyle name="常规 5 4 2 4 2" xfId="24582"/>
    <cellStyle name="常规 5 4 2 4 2 2" xfId="24584"/>
    <cellStyle name="常规 5 4 2 4 2 2 2" xfId="24587"/>
    <cellStyle name="常规 5 4 2 4 2 2 2 2" xfId="24591"/>
    <cellStyle name="常规 5 4 2 4 2 2 2 2 2" xfId="24598"/>
    <cellStyle name="常规 5 4 2 4 2 2 2 2 2 2" xfId="24602"/>
    <cellStyle name="常规 5 4 2 4 2 2 2 2 2 2 2" xfId="24605"/>
    <cellStyle name="常规 5 4 2 4 2 2 2 2 2 3" xfId="24611"/>
    <cellStyle name="常规 5 4 2 4 2 2 2 2 2 4" xfId="24615"/>
    <cellStyle name="常规 5 4 2 4 2 2 2 2 3" xfId="24619"/>
    <cellStyle name="常规 5 4 2 4 2 2 2 2 3 2" xfId="24623"/>
    <cellStyle name="常规 5 4 2 4 2 2 2 2 4" xfId="24629"/>
    <cellStyle name="常规 5 4 2 4 2 2 2 2 5" xfId="10990"/>
    <cellStyle name="常规 5 4 2 4 2 2 2 3" xfId="19328"/>
    <cellStyle name="常规 5 4 2 4 2 2 2 3 2" xfId="19333"/>
    <cellStyle name="常规 5 4 2 4 2 2 2 3 2 2" xfId="24633"/>
    <cellStyle name="常规 5 4 2 4 2 2 2 3 3" xfId="24644"/>
    <cellStyle name="常规 5 4 2 4 2 2 2 3 4" xfId="24650"/>
    <cellStyle name="常规 5 4 2 4 2 2 2 4" xfId="19339"/>
    <cellStyle name="常规 5 4 2 4 2 2 2 4 2" xfId="24653"/>
    <cellStyle name="常规 5 4 2 4 2 2 2 5" xfId="19343"/>
    <cellStyle name="常规 5 4 2 4 2 2 2 6" xfId="24664"/>
    <cellStyle name="常规 5 4 2 4 2 2 3" xfId="21949"/>
    <cellStyle name="常规 5 4 2 4 2 2 3 2" xfId="21954"/>
    <cellStyle name="常规 5 4 2 4 2 2 3 2 2" xfId="24670"/>
    <cellStyle name="常规 5 4 2 4 2 2 3 2 2 2" xfId="24674"/>
    <cellStyle name="常规 5 4 2 4 2 2 3 2 3" xfId="24683"/>
    <cellStyle name="常规 5 4 2 4 2 2 3 2 4" xfId="24689"/>
    <cellStyle name="常规 5 4 2 4 2 2 3 3" xfId="19348"/>
    <cellStyle name="常规 5 4 2 4 2 2 3 3 2" xfId="24692"/>
    <cellStyle name="常规 5 4 2 4 2 2 3 4" xfId="24699"/>
    <cellStyle name="常规 5 4 2 4 2 2 3 5" xfId="24703"/>
    <cellStyle name="常规 5 4 2 4 2 2 4" xfId="21959"/>
    <cellStyle name="常规 5 4 2 4 2 2 4 2" xfId="24706"/>
    <cellStyle name="常规 5 4 2 4 2 2 4 2 2" xfId="24709"/>
    <cellStyle name="常规 5 4 2 4 2 2 4 3" xfId="24717"/>
    <cellStyle name="常规 5 4 2 4 2 2 4 4" xfId="24722"/>
    <cellStyle name="常规 5 4 2 4 2 2 5" xfId="21964"/>
    <cellStyle name="常规 5 4 2 4 2 2 5 2" xfId="20562"/>
    <cellStyle name="常规 5 4 2 4 2 2 6" xfId="24728"/>
    <cellStyle name="常规 5 4 2 4 2 2 7" xfId="24734"/>
    <cellStyle name="常规 5 4 2 4 2 3" xfId="24739"/>
    <cellStyle name="常规 5 4 2 4 2 3 2" xfId="24744"/>
    <cellStyle name="常规 5 4 2 4 2 3 2 2" xfId="24748"/>
    <cellStyle name="常规 5 4 2 4 2 3 2 2 2" xfId="24753"/>
    <cellStyle name="常规 5 4 2 4 2 3 2 2 2 2" xfId="24757"/>
    <cellStyle name="常规 5 4 2 4 2 3 2 2 3" xfId="6570"/>
    <cellStyle name="常规 5 4 2 4 2 3 2 2 4" xfId="24763"/>
    <cellStyle name="常规 5 4 2 4 2 3 2 3" xfId="1467"/>
    <cellStyle name="常规 5 4 2 4 2 3 2 3 2" xfId="24765"/>
    <cellStyle name="常规 5 4 2 4 2 3 2 4" xfId="24772"/>
    <cellStyle name="常规 5 4 2 4 2 3 2 5" xfId="24777"/>
    <cellStyle name="常规 5 4 2 4 2 3 3" xfId="21970"/>
    <cellStyle name="常规 5 4 2 4 2 3 3 2" xfId="24782"/>
    <cellStyle name="常规 5 4 2 4 2 3 3 2 2" xfId="24785"/>
    <cellStyle name="常规 5 4 2 4 2 3 3 3" xfId="24792"/>
    <cellStyle name="常规 5 4 2 4 2 3 3 4" xfId="24795"/>
    <cellStyle name="常规 5 4 2 4 2 3 4" xfId="24799"/>
    <cellStyle name="常规 5 4 2 4 2 3 4 2" xfId="24802"/>
    <cellStyle name="常规 5 4 2 4 2 3 5" xfId="24810"/>
    <cellStyle name="常规 5 4 2 4 2 3 6" xfId="24814"/>
    <cellStyle name="常规 5 4 2 4 2 4" xfId="24818"/>
    <cellStyle name="常规 5 4 2 4 2 4 2" xfId="24821"/>
    <cellStyle name="常规 5 4 2 4 2 4 2 2" xfId="24825"/>
    <cellStyle name="常规 5 4 2 4 2 4 2 2 2" xfId="9314"/>
    <cellStyle name="常规 5 4 2 4 2 4 2 3" xfId="24828"/>
    <cellStyle name="常规 5 4 2 4 2 4 2 4" xfId="24832"/>
    <cellStyle name="常规 5 4 2 4 2 4 3" xfId="24838"/>
    <cellStyle name="常规 5 4 2 4 2 4 3 2" xfId="24841"/>
    <cellStyle name="常规 5 4 2 4 2 4 4" xfId="24847"/>
    <cellStyle name="常规 5 4 2 4 2 4 5" xfId="24851"/>
    <cellStyle name="常规 5 4 2 4 2 5" xfId="24854"/>
    <cellStyle name="常规 5 4 2 4 2 5 2" xfId="24858"/>
    <cellStyle name="常规 5 4 2 4 2 5 2 2" xfId="24862"/>
    <cellStyle name="常规 5 4 2 4 2 5 3" xfId="22384"/>
    <cellStyle name="常规 5 4 2 4 2 5 4" xfId="24870"/>
    <cellStyle name="常规 5 4 2 4 2 6" xfId="23858"/>
    <cellStyle name="常规 5 4 2 4 2 6 2" xfId="13938"/>
    <cellStyle name="常规 5 4 2 4 2 7" xfId="24883"/>
    <cellStyle name="常规 5 4 2 4 2 8" xfId="24888"/>
    <cellStyle name="常规 5 4 2 4 3" xfId="16003"/>
    <cellStyle name="常规 5 4 2 4 3 2" xfId="24894"/>
    <cellStyle name="常规 5 4 2 4 3 2 2" xfId="24897"/>
    <cellStyle name="常规 5 4 2 4 3 2 2 2" xfId="19471"/>
    <cellStyle name="常规 5 4 2 4 3 2 2 2 2" xfId="24902"/>
    <cellStyle name="常规 5 4 2 4 3 2 2 2 2 2" xfId="24905"/>
    <cellStyle name="常规 5 4 2 4 3 2 2 2 3" xfId="3561"/>
    <cellStyle name="常规 5 4 2 4 3 2 2 2 4" xfId="24920"/>
    <cellStyle name="常规 5 4 2 4 3 2 2 3" xfId="19374"/>
    <cellStyle name="常规 5 4 2 4 3 2 2 3 2" xfId="24924"/>
    <cellStyle name="常规 5 4 2 4 3 2 2 4" xfId="24936"/>
    <cellStyle name="常规 5 4 2 4 3 2 2 5" xfId="20270"/>
    <cellStyle name="常规 5 4 2 4 3 2 3" xfId="21981"/>
    <cellStyle name="常规 5 4 2 4 3 2 3 2" xfId="24944"/>
    <cellStyle name="常规 5 4 2 4 3 2 3 2 2" xfId="24947"/>
    <cellStyle name="常规 5 4 2 4 3 2 3 3" xfId="24958"/>
    <cellStyle name="常规 5 4 2 4 3 2 3 4" xfId="2446"/>
    <cellStyle name="常规 5 4 2 4 3 2 4" xfId="24965"/>
    <cellStyle name="常规 5 4 2 4 3 2 4 2" xfId="24968"/>
    <cellStyle name="常规 5 4 2 4 3 2 5" xfId="24977"/>
    <cellStyle name="常规 5 4 2 4 3 2 6" xfId="24981"/>
    <cellStyle name="常规 5 4 2 4 3 3" xfId="24986"/>
    <cellStyle name="常规 5 4 2 4 3 3 2" xfId="24989"/>
    <cellStyle name="常规 5 4 2 4 3 3 2 2" xfId="24993"/>
    <cellStyle name="常规 5 4 2 4 3 3 2 2 2" xfId="24997"/>
    <cellStyle name="常规 5 4 2 4 3 3 2 3" xfId="25006"/>
    <cellStyle name="常规 5 4 2 4 3 3 2 4" xfId="17255"/>
    <cellStyle name="常规 5 4 2 4 3 3 3" xfId="25013"/>
    <cellStyle name="常规 5 4 2 4 3 3 3 2" xfId="25016"/>
    <cellStyle name="常规 5 4 2 4 3 3 4" xfId="25026"/>
    <cellStyle name="常规 5 4 2 4 3 3 5" xfId="25035"/>
    <cellStyle name="常规 5 4 2 4 3 4" xfId="25040"/>
    <cellStyle name="常规 5 4 2 4 3 4 2" xfId="25043"/>
    <cellStyle name="常规 5 4 2 4 3 4 2 2" xfId="25046"/>
    <cellStyle name="常规 5 4 2 4 3 4 3" xfId="25053"/>
    <cellStyle name="常规 5 4 2 4 3 4 4" xfId="25059"/>
    <cellStyle name="常规 5 4 2 4 3 5" xfId="4603"/>
    <cellStyle name="常规 5 4 2 4 3 5 2" xfId="25065"/>
    <cellStyle name="常规 5 4 2 4 3 6" xfId="25075"/>
    <cellStyle name="常规 5 4 2 4 3 7" xfId="25086"/>
    <cellStyle name="常规 5 4 2 4 4" xfId="25098"/>
    <cellStyle name="常规 5 4 2 4 4 2" xfId="25100"/>
    <cellStyle name="常规 5 4 2 4 4 2 2" xfId="25103"/>
    <cellStyle name="常规 5 4 2 4 4 2 2 2" xfId="25107"/>
    <cellStyle name="常规 5 4 2 4 4 2 2 2 2" xfId="25110"/>
    <cellStyle name="常规 5 4 2 4 4 2 2 3" xfId="25115"/>
    <cellStyle name="常规 5 4 2 4 4 2 2 4" xfId="25121"/>
    <cellStyle name="常规 5 4 2 4 4 2 3" xfId="25125"/>
    <cellStyle name="常规 5 4 2 4 4 2 3 2" xfId="25128"/>
    <cellStyle name="常规 5 4 2 4 4 2 4" xfId="25132"/>
    <cellStyle name="常规 5 4 2 4 4 2 5" xfId="25138"/>
    <cellStyle name="常规 5 4 2 4 4 3" xfId="25144"/>
    <cellStyle name="常规 5 4 2 4 4 3 2" xfId="25147"/>
    <cellStyle name="常规 5 4 2 4 4 3 2 2" xfId="25150"/>
    <cellStyle name="常规 5 4 2 4 4 3 3" xfId="25161"/>
    <cellStyle name="常规 5 4 2 4 4 3 4" xfId="17379"/>
    <cellStyle name="常规 5 4 2 4 4 4" xfId="25170"/>
    <cellStyle name="常规 5 4 2 4 4 4 2" xfId="25173"/>
    <cellStyle name="常规 5 4 2 4 4 5" xfId="17936"/>
    <cellStyle name="常规 5 4 2 4 4 6" xfId="17942"/>
    <cellStyle name="常规 5 4 2 4 5" xfId="25188"/>
    <cellStyle name="常规 5 4 2 4 5 2" xfId="25190"/>
    <cellStyle name="常规 5 4 2 4 5 2 2" xfId="25193"/>
    <cellStyle name="常规 5 4 2 4 5 2 2 2" xfId="25196"/>
    <cellStyle name="常规 5 4 2 4 5 2 3" xfId="25209"/>
    <cellStyle name="常规 5 4 2 4 5 2 4" xfId="25217"/>
    <cellStyle name="常规 5 4 2 4 5 3" xfId="25224"/>
    <cellStyle name="常规 5 4 2 4 5 3 2" xfId="25226"/>
    <cellStyle name="常规 5 4 2 4 5 4" xfId="25239"/>
    <cellStyle name="常规 5 4 2 4 5 5" xfId="17950"/>
    <cellStyle name="常规 5 4 2 4 6" xfId="24586"/>
    <cellStyle name="常规 5 4 2 4 6 2" xfId="24590"/>
    <cellStyle name="常规 5 4 2 4 6 2 2" xfId="24597"/>
    <cellStyle name="常规 5 4 2 4 6 3" xfId="19327"/>
    <cellStyle name="常规 5 4 2 4 6 4" xfId="19338"/>
    <cellStyle name="常规 5 4 2 4 7" xfId="21948"/>
    <cellStyle name="常规 5 4 2 4 7 2" xfId="21953"/>
    <cellStyle name="常规 5 4 2 4 8" xfId="21958"/>
    <cellStyle name="常规 5 4 2 4 9" xfId="21963"/>
    <cellStyle name="常规 5 4 2 5" xfId="25251"/>
    <cellStyle name="常规 5 4 2 5 2" xfId="25253"/>
    <cellStyle name="常规 5 4 2 5 2 2" xfId="25256"/>
    <cellStyle name="常规 5 4 2 5 2 2 2" xfId="25260"/>
    <cellStyle name="常规 5 4 2 5 2 2 2 2" xfId="25264"/>
    <cellStyle name="常规 5 4 2 5 2 2 2 2 2" xfId="25269"/>
    <cellStyle name="常规 5 4 2 5 2 2 2 2 2 2" xfId="25273"/>
    <cellStyle name="常规 5 4 2 5 2 2 2 2 2 2 2" xfId="25275"/>
    <cellStyle name="常规 5 4 2 5 2 2 2 2 2 3" xfId="25277"/>
    <cellStyle name="常规 5 4 2 5 2 2 2 2 2 4" xfId="25279"/>
    <cellStyle name="常规 5 4 2 5 2 2 2 2 3" xfId="25282"/>
    <cellStyle name="常规 5 4 2 5 2 2 2 2 3 2" xfId="25284"/>
    <cellStyle name="常规 5 4 2 5 2 2 2 2 4" xfId="25287"/>
    <cellStyle name="常规 5 4 2 5 2 2 2 2 5" xfId="25289"/>
    <cellStyle name="常规 5 4 2 5 2 2 2 3" xfId="19407"/>
    <cellStyle name="常规 5 4 2 5 2 2 2 3 2" xfId="25292"/>
    <cellStyle name="常规 5 4 2 5 2 2 2 3 2 2" xfId="25294"/>
    <cellStyle name="常规 5 4 2 5 2 2 2 3 3" xfId="25298"/>
    <cellStyle name="常规 5 4 2 5 2 2 2 3 4" xfId="25301"/>
    <cellStyle name="常规 5 4 2 5 2 2 2 4" xfId="25304"/>
    <cellStyle name="常规 5 4 2 5 2 2 2 4 2" xfId="25307"/>
    <cellStyle name="常规 5 4 2 5 2 2 2 5" xfId="25309"/>
    <cellStyle name="常规 5 4 2 5 2 2 2 6" xfId="25311"/>
    <cellStyle name="常规 5 4 2 5 2 2 3" xfId="21995"/>
    <cellStyle name="常规 5 4 2 5 2 2 3 2" xfId="25314"/>
    <cellStyle name="常规 5 4 2 5 2 2 3 2 2" xfId="25318"/>
    <cellStyle name="常规 5 4 2 5 2 2 3 2 2 2" xfId="23095"/>
    <cellStyle name="常规 5 4 2 5 2 2 3 2 3" xfId="25321"/>
    <cellStyle name="常规 5 4 2 5 2 2 3 2 4" xfId="24686"/>
    <cellStyle name="常规 5 4 2 5 2 2 3 3" xfId="25323"/>
    <cellStyle name="常规 5 4 2 5 2 2 3 3 2" xfId="25325"/>
    <cellStyle name="常规 5 4 2 5 2 2 3 4" xfId="25327"/>
    <cellStyle name="常规 5 4 2 5 2 2 3 5" xfId="25329"/>
    <cellStyle name="常规 5 4 2 5 2 2 4" xfId="25332"/>
    <cellStyle name="常规 5 4 2 5 2 2 4 2" xfId="25335"/>
    <cellStyle name="常规 5 4 2 5 2 2 4 2 2" xfId="25337"/>
    <cellStyle name="常规 5 4 2 5 2 2 4 3" xfId="25339"/>
    <cellStyle name="常规 5 4 2 5 2 2 4 4" xfId="25341"/>
    <cellStyle name="常规 5 4 2 5 2 2 5" xfId="25344"/>
    <cellStyle name="常规 5 4 2 5 2 2 5 2" xfId="25349"/>
    <cellStyle name="常规 5 4 2 5 2 2 6" xfId="25353"/>
    <cellStyle name="常规 5 4 2 5 2 2 7" xfId="15334"/>
    <cellStyle name="常规 5 4 2 5 2 3" xfId="25357"/>
    <cellStyle name="常规 5 4 2 5 2 3 2" xfId="288"/>
    <cellStyle name="常规 5 4 2 5 2 3 2 2" xfId="25360"/>
    <cellStyle name="常规 5 4 2 5 2 3 2 2 2" xfId="25368"/>
    <cellStyle name="常规 5 4 2 5 2 3 2 2 2 2" xfId="2541"/>
    <cellStyle name="常规 5 4 2 5 2 3 2 2 3" xfId="3182"/>
    <cellStyle name="常规 5 4 2 5 2 3 2 2 4" xfId="25370"/>
    <cellStyle name="常规 5 4 2 5 2 3 2 3" xfId="25373"/>
    <cellStyle name="常规 5 4 2 5 2 3 2 3 2" xfId="25376"/>
    <cellStyle name="常规 5 4 2 5 2 3 2 4" xfId="25379"/>
    <cellStyle name="常规 5 4 2 5 2 3 2 5" xfId="25382"/>
    <cellStyle name="常规 5 4 2 5 2 3 3" xfId="25385"/>
    <cellStyle name="常规 5 4 2 5 2 3 3 2" xfId="25388"/>
    <cellStyle name="常规 5 4 2 5 2 3 3 2 2" xfId="25391"/>
    <cellStyle name="常规 5 4 2 5 2 3 3 3" xfId="25394"/>
    <cellStyle name="常规 5 4 2 5 2 3 3 4" xfId="25396"/>
    <cellStyle name="常规 5 4 2 5 2 3 4" xfId="25399"/>
    <cellStyle name="常规 5 4 2 5 2 3 4 2" xfId="25402"/>
    <cellStyle name="常规 5 4 2 5 2 3 5" xfId="25404"/>
    <cellStyle name="常规 5 4 2 5 2 3 6" xfId="25407"/>
    <cellStyle name="常规 5 4 2 5 2 4" xfId="25411"/>
    <cellStyle name="常规 5 4 2 5 2 4 2" xfId="25414"/>
    <cellStyle name="常规 5 4 2 5 2 4 2 2" xfId="25417"/>
    <cellStyle name="常规 5 4 2 5 2 4 2 2 2" xfId="6606"/>
    <cellStyle name="常规 5 4 2 5 2 4 2 3" xfId="25420"/>
    <cellStyle name="常规 5 4 2 5 2 4 2 4" xfId="25423"/>
    <cellStyle name="常规 5 4 2 5 2 4 3" xfId="25426"/>
    <cellStyle name="常规 5 4 2 5 2 4 3 2" xfId="25429"/>
    <cellStyle name="常规 5 4 2 5 2 4 4" xfId="25431"/>
    <cellStyle name="常规 5 4 2 5 2 4 5" xfId="25434"/>
    <cellStyle name="常规 5 4 2 5 2 5" xfId="25436"/>
    <cellStyle name="常规 5 4 2 5 2 5 2" xfId="18276"/>
    <cellStyle name="常规 5 4 2 5 2 5 2 2" xfId="25439"/>
    <cellStyle name="常规 5 4 2 5 2 5 3" xfId="18282"/>
    <cellStyle name="常规 5 4 2 5 2 5 4" xfId="25441"/>
    <cellStyle name="常规 5 4 2 5 2 6" xfId="25443"/>
    <cellStyle name="常规 5 4 2 5 2 6 2" xfId="14234"/>
    <cellStyle name="常规 5 4 2 5 2 7" xfId="25450"/>
    <cellStyle name="常规 5 4 2 5 2 8" xfId="25456"/>
    <cellStyle name="常规 5 4 2 5 3" xfId="25459"/>
    <cellStyle name="常规 5 4 2 5 3 2" xfId="25462"/>
    <cellStyle name="常规 5 4 2 5 3 2 2" xfId="25466"/>
    <cellStyle name="常规 5 4 2 5 3 2 2 2" xfId="12599"/>
    <cellStyle name="常规 5 4 2 5 3 2 2 2 2" xfId="13188"/>
    <cellStyle name="常规 5 4 2 5 3 2 2 2 2 2" xfId="3958"/>
    <cellStyle name="常规 5 4 2 5 3 2 2 2 3" xfId="3746"/>
    <cellStyle name="常规 5 4 2 5 3 2 2 2 4" xfId="25470"/>
    <cellStyle name="常规 5 4 2 5 3 2 2 3" xfId="12603"/>
    <cellStyle name="常规 5 4 2 5 3 2 2 3 2" xfId="25473"/>
    <cellStyle name="常规 5 4 2 5 3 2 2 4" xfId="25475"/>
    <cellStyle name="常规 5 4 2 5 3 2 2 5" xfId="20472"/>
    <cellStyle name="常规 5 4 2 5 3 2 3" xfId="25478"/>
    <cellStyle name="常规 5 4 2 5 3 2 3 2" xfId="12666"/>
    <cellStyle name="常规 5 4 2 5 3 2 3 2 2" xfId="25481"/>
    <cellStyle name="常规 5 4 2 5 3 2 3 3" xfId="25483"/>
    <cellStyle name="常规 5 4 2 5 3 2 3 4" xfId="13299"/>
    <cellStyle name="常规 5 4 2 5 3 2 4" xfId="6967"/>
    <cellStyle name="常规 5 4 2 5 3 2 4 2" xfId="5671"/>
    <cellStyle name="常规 5 4 2 5 3 2 5" xfId="6975"/>
    <cellStyle name="常规 5 4 2 5 3 2 6" xfId="6985"/>
    <cellStyle name="常规 5 4 2 5 3 3" xfId="25486"/>
    <cellStyle name="常规 5 4 2 5 3 3 2" xfId="25489"/>
    <cellStyle name="常规 5 4 2 5 3 3 2 2" xfId="12835"/>
    <cellStyle name="常规 5 4 2 5 3 3 2 2 2" xfId="25492"/>
    <cellStyle name="常规 5 4 2 5 3 3 2 3" xfId="25495"/>
    <cellStyle name="常规 5 4 2 5 3 3 2 4" xfId="25497"/>
    <cellStyle name="常规 5 4 2 5 3 3 3" xfId="25500"/>
    <cellStyle name="常规 5 4 2 5 3 3 3 2" xfId="25503"/>
    <cellStyle name="常规 5 4 2 5 3 3 4" xfId="6989"/>
    <cellStyle name="常规 5 4 2 5 3 3 5" xfId="6993"/>
    <cellStyle name="常规 5 4 2 5 3 4" xfId="25505"/>
    <cellStyle name="常规 5 4 2 5 3 4 2" xfId="8983"/>
    <cellStyle name="常规 5 4 2 5 3 4 2 2" xfId="8987"/>
    <cellStyle name="常规 5 4 2 5 3 4 3" xfId="8990"/>
    <cellStyle name="常规 5 4 2 5 3 4 4" xfId="1507"/>
    <cellStyle name="常规 5 4 2 5 3 5" xfId="25507"/>
    <cellStyle name="常规 5 4 2 5 3 5 2" xfId="9013"/>
    <cellStyle name="常规 5 4 2 5 3 6" xfId="25510"/>
    <cellStyle name="常规 5 4 2 5 3 7" xfId="25516"/>
    <cellStyle name="常规 5 4 2 5 4" xfId="25520"/>
    <cellStyle name="常规 5 4 2 5 4 2" xfId="25524"/>
    <cellStyle name="常规 5 4 2 5 4 2 2" xfId="25527"/>
    <cellStyle name="常规 5 4 2 5 4 2 2 2" xfId="10678"/>
    <cellStyle name="常规 5 4 2 5 4 2 2 2 2" xfId="3842"/>
    <cellStyle name="常规 5 4 2 5 4 2 2 3" xfId="25530"/>
    <cellStyle name="常规 5 4 2 5 4 2 2 4" xfId="25532"/>
    <cellStyle name="常规 5 4 2 5 4 2 3" xfId="25534"/>
    <cellStyle name="常规 5 4 2 5 4 2 3 2" xfId="25537"/>
    <cellStyle name="常规 5 4 2 5 4 2 4" xfId="6999"/>
    <cellStyle name="常规 5 4 2 5 4 2 5" xfId="7004"/>
    <cellStyle name="常规 5 4 2 5 4 3" xfId="25539"/>
    <cellStyle name="常规 5 4 2 5 4 3 2" xfId="17025"/>
    <cellStyle name="常规 5 4 2 5 4 3 2 2" xfId="10975"/>
    <cellStyle name="常规 5 4 2 5 4 3 3" xfId="17029"/>
    <cellStyle name="常规 5 4 2 5 4 3 4" xfId="4850"/>
    <cellStyle name="常规 5 4 2 5 4 4" xfId="25541"/>
    <cellStyle name="常规 5 4 2 5 4 4 2" xfId="9065"/>
    <cellStyle name="常规 5 4 2 5 4 5" xfId="17960"/>
    <cellStyle name="常规 5 4 2 5 4 6" xfId="25543"/>
    <cellStyle name="常规 5 4 2 5 5" xfId="25548"/>
    <cellStyle name="常规 5 4 2 5 5 2" xfId="25550"/>
    <cellStyle name="常规 5 4 2 5 5 2 2" xfId="25553"/>
    <cellStyle name="常规 5 4 2 5 5 2 2 2" xfId="11804"/>
    <cellStyle name="常规 5 4 2 5 5 2 3" xfId="25556"/>
    <cellStyle name="常规 5 4 2 5 5 2 4" xfId="5694"/>
    <cellStyle name="常规 5 4 2 5 5 3" xfId="25559"/>
    <cellStyle name="常规 5 4 2 5 5 3 2" xfId="17041"/>
    <cellStyle name="常规 5 4 2 5 5 4" xfId="25561"/>
    <cellStyle name="常规 5 4 2 5 5 5" xfId="25563"/>
    <cellStyle name="常规 5 4 2 5 6" xfId="24743"/>
    <cellStyle name="常规 5 4 2 5 6 2" xfId="24747"/>
    <cellStyle name="常规 5 4 2 5 6 2 2" xfId="24752"/>
    <cellStyle name="常规 5 4 2 5 6 3" xfId="1466"/>
    <cellStyle name="常规 5 4 2 5 6 4" xfId="24771"/>
    <cellStyle name="常规 5 4 2 5 7" xfId="21969"/>
    <cellStyle name="常规 5 4 2 5 7 2" xfId="24781"/>
    <cellStyle name="常规 5 4 2 5 8" xfId="24798"/>
    <cellStyle name="常规 5 4 2 5 9" xfId="24809"/>
    <cellStyle name="常规 5 4 2 6" xfId="25565"/>
    <cellStyle name="常规 5 4 2 6 2" xfId="13162"/>
    <cellStyle name="常规 5 4 2 6 2 2" xfId="25568"/>
    <cellStyle name="常规 5 4 2 6 2 2 2" xfId="25571"/>
    <cellStyle name="常规 5 4 2 6 2 2 2 2" xfId="25576"/>
    <cellStyle name="常规 5 4 2 6 2 2 2 2 2" xfId="25581"/>
    <cellStyle name="常规 5 4 2 6 2 2 2 2 2 2" xfId="25584"/>
    <cellStyle name="常规 5 4 2 6 2 2 2 2 3" xfId="25587"/>
    <cellStyle name="常规 5 4 2 6 2 2 2 2 4" xfId="25590"/>
    <cellStyle name="常规 5 4 2 6 2 2 2 3" xfId="25593"/>
    <cellStyle name="常规 5 4 2 6 2 2 2 3 2" xfId="25595"/>
    <cellStyle name="常规 5 4 2 6 2 2 2 4" xfId="3187"/>
    <cellStyle name="常规 5 4 2 6 2 2 2 5" xfId="25601"/>
    <cellStyle name="常规 5 4 2 6 2 2 3" xfId="25607"/>
    <cellStyle name="常规 5 4 2 6 2 2 3 2" xfId="25612"/>
    <cellStyle name="常规 5 4 2 6 2 2 3 2 2" xfId="25615"/>
    <cellStyle name="常规 5 4 2 6 2 2 3 3" xfId="25367"/>
    <cellStyle name="常规 5 4 2 6 2 2 3 4" xfId="3181"/>
    <cellStyle name="常规 5 4 2 6 2 2 4" xfId="25621"/>
    <cellStyle name="常规 5 4 2 6 2 2 4 2" xfId="25625"/>
    <cellStyle name="常规 5 4 2 6 2 2 5" xfId="25630"/>
    <cellStyle name="常规 5 4 2 6 2 2 6" xfId="25637"/>
    <cellStyle name="常规 5 4 2 6 2 3" xfId="25640"/>
    <cellStyle name="常规 5 4 2 6 2 3 2" xfId="25644"/>
    <cellStyle name="常规 5 4 2 6 2 3 2 2" xfId="25647"/>
    <cellStyle name="常规 5 4 2 6 2 3 2 2 2" xfId="25649"/>
    <cellStyle name="常规 5 4 2 6 2 3 2 3" xfId="25662"/>
    <cellStyle name="常规 5 4 2 6 2 3 2 4" xfId="25666"/>
    <cellStyle name="常规 5 4 2 6 2 3 3" xfId="25671"/>
    <cellStyle name="常规 5 4 2 6 2 3 3 2" xfId="25675"/>
    <cellStyle name="常规 5 4 2 6 2 3 4" xfId="25681"/>
    <cellStyle name="常规 5 4 2 6 2 3 5" xfId="25685"/>
    <cellStyle name="常规 5 4 2 6 2 4" xfId="25688"/>
    <cellStyle name="常规 5 4 2 6 2 4 2" xfId="25691"/>
    <cellStyle name="常规 5 4 2 6 2 4 2 2" xfId="25694"/>
    <cellStyle name="常规 5 4 2 6 2 4 3" xfId="25700"/>
    <cellStyle name="常规 5 4 2 6 2 4 4" xfId="25705"/>
    <cellStyle name="常规 5 4 2 6 2 5" xfId="25708"/>
    <cellStyle name="常规 5 4 2 6 2 5 2" xfId="25711"/>
    <cellStyle name="常规 5 4 2 6 2 6" xfId="25718"/>
    <cellStyle name="常规 5 4 2 6 2 7" xfId="25726"/>
    <cellStyle name="常规 5 4 2 6 3" xfId="13165"/>
    <cellStyle name="常规 5 4 2 6 3 2" xfId="25730"/>
    <cellStyle name="常规 5 4 2 6 3 2 2" xfId="3603"/>
    <cellStyle name="常规 5 4 2 6 3 2 2 2" xfId="5192"/>
    <cellStyle name="常规 5 4 2 6 3 2 2 2 2" xfId="3358"/>
    <cellStyle name="常规 5 4 2 6 3 2 2 3" xfId="6489"/>
    <cellStyle name="常规 5 4 2 6 3 2 2 4" xfId="6534"/>
    <cellStyle name="常规 5 4 2 6 3 2 3" xfId="3611"/>
    <cellStyle name="常规 5 4 2 6 3 2 3 2" xfId="6577"/>
    <cellStyle name="常规 5 4 2 6 3 2 4" xfId="6656"/>
    <cellStyle name="常规 5 4 2 6 3 2 5" xfId="6711"/>
    <cellStyle name="常规 5 4 2 6 3 3" xfId="25732"/>
    <cellStyle name="常规 5 4 2 6 3 3 2" xfId="1631"/>
    <cellStyle name="常规 5 4 2 6 3 3 2 2" xfId="6619"/>
    <cellStyle name="常规 5 4 2 6 3 3 3" xfId="1641"/>
    <cellStyle name="常规 5 4 2 6 3 3 4" xfId="1340"/>
    <cellStyle name="常规 5 4 2 6 3 4" xfId="6769"/>
    <cellStyle name="常规 5 4 2 6 3 4 2" xfId="3668"/>
    <cellStyle name="常规 5 4 2 6 3 5" xfId="6091"/>
    <cellStyle name="常规 5 4 2 6 3 6" xfId="5573"/>
    <cellStyle name="常规 5 4 2 6 4" xfId="25735"/>
    <cellStyle name="常规 5 4 2 6 4 2" xfId="25737"/>
    <cellStyle name="常规 5 4 2 6 4 2 2" xfId="3902"/>
    <cellStyle name="常规 5 4 2 6 4 2 2 2" xfId="6679"/>
    <cellStyle name="常规 5 4 2 6 4 2 3" xfId="6779"/>
    <cellStyle name="常规 5 4 2 6 4 2 4" xfId="6785"/>
    <cellStyle name="常规 5 4 2 6 4 3" xfId="25739"/>
    <cellStyle name="常规 5 4 2 6 4 3 2" xfId="48"/>
    <cellStyle name="常规 5 4 2 6 4 4" xfId="6794"/>
    <cellStyle name="常规 5 4 2 6 4 5" xfId="6799"/>
    <cellStyle name="常规 5 4 2 6 5" xfId="25741"/>
    <cellStyle name="常规 5 4 2 6 5 2" xfId="25743"/>
    <cellStyle name="常规 5 4 2 6 5 2 2" xfId="8599"/>
    <cellStyle name="常规 5 4 2 6 5 3" xfId="20276"/>
    <cellStyle name="常规 5 4 2 6 5 4" xfId="6809"/>
    <cellStyle name="常规 5 4 2 6 6" xfId="24820"/>
    <cellStyle name="常规 5 4 2 6 6 2" xfId="24824"/>
    <cellStyle name="常规 5 4 2 6 7" xfId="24837"/>
    <cellStyle name="常规 5 4 2 6 8" xfId="24846"/>
    <cellStyle name="常规 5 4 2 7" xfId="25747"/>
    <cellStyle name="常规 5 4 2 7 2" xfId="13173"/>
    <cellStyle name="常规 5 4 2 7 2 2" xfId="25749"/>
    <cellStyle name="常规 5 4 2 7 2 2 2" xfId="25752"/>
    <cellStyle name="常规 5 4 2 7 2 2 2 2" xfId="22770"/>
    <cellStyle name="常规 5 4 2 7 2 2 2 2 2" xfId="25755"/>
    <cellStyle name="常规 5 4 2 7 2 2 2 3" xfId="25763"/>
    <cellStyle name="常规 5 4 2 7 2 2 2 4" xfId="25767"/>
    <cellStyle name="常规 5 4 2 7 2 2 3" xfId="13267"/>
    <cellStyle name="常规 5 4 2 7 2 2 3 2" xfId="13273"/>
    <cellStyle name="常规 5 4 2 7 2 2 4" xfId="13277"/>
    <cellStyle name="常规 5 4 2 7 2 2 5" xfId="13281"/>
    <cellStyle name="常规 5 4 2 7 2 3" xfId="25779"/>
    <cellStyle name="常规 5 4 2 7 2 3 2" xfId="16312"/>
    <cellStyle name="常规 5 4 2 7 2 3 2 2" xfId="25782"/>
    <cellStyle name="常规 5 4 2 7 2 3 3" xfId="13287"/>
    <cellStyle name="常规 5 4 2 7 2 3 4" xfId="25790"/>
    <cellStyle name="常规 5 4 2 7 2 4" xfId="25793"/>
    <cellStyle name="常规 5 4 2 7 2 4 2" xfId="25795"/>
    <cellStyle name="常规 5 4 2 7 2 5" xfId="25800"/>
    <cellStyle name="常规 5 4 2 7 2 6" xfId="25803"/>
    <cellStyle name="常规 5 4 2 7 3" xfId="25811"/>
    <cellStyle name="常规 5 4 2 7 3 2" xfId="25813"/>
    <cellStyle name="常规 5 4 2 7 3 2 2" xfId="6149"/>
    <cellStyle name="常规 5 4 2 7 3 2 2 2" xfId="6156"/>
    <cellStyle name="常规 5 4 2 7 3 2 3" xfId="6163"/>
    <cellStyle name="常规 5 4 2 7 3 2 4" xfId="6167"/>
    <cellStyle name="常规 5 4 2 7 3 3" xfId="25825"/>
    <cellStyle name="常规 5 4 2 7 3 3 2" xfId="6184"/>
    <cellStyle name="常规 5 4 2 7 3 4" xfId="7834"/>
    <cellStyle name="常规 5 4 2 7 3 5" xfId="7837"/>
    <cellStyle name="常规 5 4 2 7 4" xfId="25829"/>
    <cellStyle name="常规 5 4 2 7 4 2" xfId="25831"/>
    <cellStyle name="常规 5 4 2 7 4 2 2" xfId="6246"/>
    <cellStyle name="常规 5 4 2 7 4 3" xfId="25833"/>
    <cellStyle name="常规 5 4 2 7 4 4" xfId="7841"/>
    <cellStyle name="常规 5 4 2 7 5" xfId="25836"/>
    <cellStyle name="常规 5 4 2 7 5 2" xfId="25838"/>
    <cellStyle name="常规 5 4 2 7 6" xfId="24857"/>
    <cellStyle name="常规 5 4 2 7 7" xfId="22383"/>
    <cellStyle name="常规 5 4 2 8" xfId="14964"/>
    <cellStyle name="常规 5 4 2 8 2" xfId="25843"/>
    <cellStyle name="常规 5 4 2 8 2 2" xfId="25845"/>
    <cellStyle name="常规 5 4 2 8 2 2 2" xfId="1839"/>
    <cellStyle name="常规 5 4 2 8 2 2 2 2" xfId="25848"/>
    <cellStyle name="常规 5 4 2 8 2 2 3" xfId="13482"/>
    <cellStyle name="常规 5 4 2 8 2 2 4" xfId="13486"/>
    <cellStyle name="常规 5 4 2 8 2 3" xfId="25853"/>
    <cellStyle name="常规 5 4 2 8 2 3 2" xfId="23588"/>
    <cellStyle name="常规 5 4 2 8 2 4" xfId="25855"/>
    <cellStyle name="常规 5 4 2 8 2 5" xfId="25857"/>
    <cellStyle name="常规 5 4 2 8 3" xfId="13897"/>
    <cellStyle name="常规 5 4 2 8 3 2" xfId="13900"/>
    <cellStyle name="常规 5 4 2 8 3 2 2" xfId="3439"/>
    <cellStyle name="常规 5 4 2 8 3 3" xfId="13908"/>
    <cellStyle name="常规 5 4 2 8 3 4" xfId="7850"/>
    <cellStyle name="常规 5 4 2 8 4" xfId="13914"/>
    <cellStyle name="常规 5 4 2 8 4 2" xfId="13917"/>
    <cellStyle name="常规 5 4 2 8 5" xfId="13925"/>
    <cellStyle name="常规 5 4 2 8 6" xfId="13936"/>
    <cellStyle name="常规 5 4 2 9" xfId="25862"/>
    <cellStyle name="常规 5 4 2 9 2" xfId="25864"/>
    <cellStyle name="常规 5 4 2 9 2 2" xfId="25866"/>
    <cellStyle name="常规 5 4 2 9 2 2 2" xfId="25869"/>
    <cellStyle name="常规 5 4 2 9 2 3" xfId="25873"/>
    <cellStyle name="常规 5 4 2 9 2 4" xfId="25875"/>
    <cellStyle name="常规 5 4 2 9 3" xfId="13953"/>
    <cellStyle name="常规 5 4 2 9 3 2" xfId="13957"/>
    <cellStyle name="常规 5 4 2 9 4" xfId="13965"/>
    <cellStyle name="常规 5 4 2 9 5" xfId="13971"/>
    <cellStyle name="常规 5 4 3" xfId="27461"/>
    <cellStyle name="常规 5 4 3 10" xfId="32683"/>
    <cellStyle name="常规 5 4 3 10 2" xfId="32684"/>
    <cellStyle name="常规 5 4 3 11" xfId="10934"/>
    <cellStyle name="常规 5 4 3 12" xfId="10937"/>
    <cellStyle name="常规 5 4 3 2" xfId="32685"/>
    <cellStyle name="常规 5 4 3 2 10" xfId="1775"/>
    <cellStyle name="常规 5 4 3 2 11" xfId="32686"/>
    <cellStyle name="常规 5 4 3 2 2" xfId="12541"/>
    <cellStyle name="常规 5 4 3 2 2 2" xfId="12544"/>
    <cellStyle name="常规 5 4 3 2 2 2 2" xfId="12547"/>
    <cellStyle name="常规 5 4 3 2 2 2 2 2" xfId="14448"/>
    <cellStyle name="常规 5 4 3 2 2 2 2 2 2" xfId="14451"/>
    <cellStyle name="常规 5 4 3 2 2 2 2 2 2 2" xfId="14454"/>
    <cellStyle name="常规 5 4 3 2 2 2 2 2 2 2 2" xfId="30833"/>
    <cellStyle name="常规 5 4 3 2 2 2 2 2 2 2 2 2" xfId="30839"/>
    <cellStyle name="常规 5 4 3 2 2 2 2 2 2 2 3" xfId="31402"/>
    <cellStyle name="常规 5 4 3 2 2 2 2 2 2 2 4" xfId="31631"/>
    <cellStyle name="常规 5 4 3 2 2 2 2 2 2 3" xfId="32687"/>
    <cellStyle name="常规 5 4 3 2 2 2 2 2 2 3 2" xfId="32689"/>
    <cellStyle name="常规 5 4 3 2 2 2 2 2 2 4" xfId="8158"/>
    <cellStyle name="常规 5 4 3 2 2 2 2 2 2 5" xfId="8183"/>
    <cellStyle name="常规 5 4 3 2 2 2 2 2 3" xfId="14457"/>
    <cellStyle name="常规 5 4 3 2 2 2 2 2 3 2" xfId="32690"/>
    <cellStyle name="常规 5 4 3 2 2 2 2 2 3 2 2" xfId="32691"/>
    <cellStyle name="常规 5 4 3 2 2 2 2 2 3 3" xfId="32692"/>
    <cellStyle name="常规 5 4 3 2 2 2 2 2 3 4" xfId="8204"/>
    <cellStyle name="常规 5 4 3 2 2 2 2 2 4" xfId="14460"/>
    <cellStyle name="常规 5 4 3 2 2 2 2 2 4 2" xfId="32693"/>
    <cellStyle name="常规 5 4 3 2 2 2 2 2 5" xfId="32695"/>
    <cellStyle name="常规 5 4 3 2 2 2 2 2 6" xfId="26010"/>
    <cellStyle name="常规 5 4 3 2 2 2 2 3" xfId="14463"/>
    <cellStyle name="常规 5 4 3 2 2 2 2 3 2" xfId="14467"/>
    <cellStyle name="常规 5 4 3 2 2 2 2 3 2 2" xfId="29255"/>
    <cellStyle name="常规 5 4 3 2 2 2 2 3 2 2 2" xfId="32696"/>
    <cellStyle name="常规 5 4 3 2 2 2 2 3 2 3" xfId="4218"/>
    <cellStyle name="常规 5 4 3 2 2 2 2 3 2 4" xfId="3407"/>
    <cellStyle name="常规 5 4 3 2 2 2 2 3 3" xfId="23086"/>
    <cellStyle name="常规 5 4 3 2 2 2 2 3 3 2" xfId="32697"/>
    <cellStyle name="常规 5 4 3 2 2 2 2 3 4" xfId="32698"/>
    <cellStyle name="常规 5 4 3 2 2 2 2 3 5" xfId="32699"/>
    <cellStyle name="常规 5 4 3 2 2 2 2 4" xfId="14472"/>
    <cellStyle name="常规 5 4 3 2 2 2 2 4 2" xfId="32700"/>
    <cellStyle name="常规 5 4 3 2 2 2 2 4 2 2" xfId="32702"/>
    <cellStyle name="常规 5 4 3 2 2 2 2 4 3" xfId="32703"/>
    <cellStyle name="常规 5 4 3 2 2 2 2 4 4" xfId="32706"/>
    <cellStyle name="常规 5 4 3 2 2 2 2 5" xfId="14476"/>
    <cellStyle name="常规 5 4 3 2 2 2 2 5 2" xfId="32707"/>
    <cellStyle name="常规 5 4 3 2 2 2 2 6" xfId="32709"/>
    <cellStyle name="常规 5 4 3 2 2 2 2 7" xfId="32710"/>
    <cellStyle name="常规 5 4 3 2 2 2 3" xfId="22029"/>
    <cellStyle name="常规 5 4 3 2 2 2 3 2" xfId="14537"/>
    <cellStyle name="常规 5 4 3 2 2 2 3 2 2" xfId="14541"/>
    <cellStyle name="常规 5 4 3 2 2 2 3 2 2 2" xfId="22031"/>
    <cellStyle name="常规 5 4 3 2 2 2 3 2 2 2 2" xfId="32711"/>
    <cellStyle name="常规 5 4 3 2 2 2 3 2 2 3" xfId="32712"/>
    <cellStyle name="常规 5 4 3 2 2 2 3 2 2 4" xfId="32715"/>
    <cellStyle name="常规 5 4 3 2 2 2 3 2 3" xfId="22033"/>
    <cellStyle name="常规 5 4 3 2 2 2 3 2 3 2" xfId="32716"/>
    <cellStyle name="常规 5 4 3 2 2 2 3 2 4" xfId="22035"/>
    <cellStyle name="常规 5 4 3 2 2 2 3 2 5" xfId="32717"/>
    <cellStyle name="常规 5 4 3 2 2 2 3 3" xfId="14545"/>
    <cellStyle name="常规 5 4 3 2 2 2 3 3 2" xfId="22037"/>
    <cellStyle name="常规 5 4 3 2 2 2 3 3 2 2" xfId="32718"/>
    <cellStyle name="常规 5 4 3 2 2 2 3 3 3" xfId="32719"/>
    <cellStyle name="常规 5 4 3 2 2 2 3 3 4" xfId="32720"/>
    <cellStyle name="常规 5 4 3 2 2 2 3 4" xfId="14550"/>
    <cellStyle name="常规 5 4 3 2 2 2 3 4 2" xfId="32721"/>
    <cellStyle name="常规 5 4 3 2 2 2 3 5" xfId="22039"/>
    <cellStyle name="常规 5 4 3 2 2 2 3 6" xfId="5263"/>
    <cellStyle name="常规 5 4 3 2 2 2 4" xfId="1727"/>
    <cellStyle name="常规 5 4 3 2 2 2 4 2" xfId="14584"/>
    <cellStyle name="常规 5 4 3 2 2 2 4 2 2" xfId="22041"/>
    <cellStyle name="常规 5 4 3 2 2 2 4 2 2 2" xfId="1734"/>
    <cellStyle name="常规 5 4 3 2 2 2 4 2 3" xfId="32722"/>
    <cellStyle name="常规 5 4 3 2 2 2 4 2 4" xfId="18506"/>
    <cellStyle name="常规 5 4 3 2 2 2 4 3" xfId="14588"/>
    <cellStyle name="常规 5 4 3 2 2 2 4 3 2" xfId="32723"/>
    <cellStyle name="常规 5 4 3 2 2 2 4 4" xfId="10132"/>
    <cellStyle name="常规 5 4 3 2 2 2 4 5" xfId="10142"/>
    <cellStyle name="常规 5 4 3 2 2 2 5" xfId="22043"/>
    <cellStyle name="常规 5 4 3 2 2 2 5 2" xfId="14609"/>
    <cellStyle name="常规 5 4 3 2 2 2 5 2 2" xfId="32724"/>
    <cellStyle name="常规 5 4 3 2 2 2 5 3" xfId="32725"/>
    <cellStyle name="常规 5 4 3 2 2 2 5 4" xfId="10148"/>
    <cellStyle name="常规 5 4 3 2 2 2 6" xfId="22047"/>
    <cellStyle name="常规 5 4 3 2 2 2 6 2" xfId="1685"/>
    <cellStyle name="常规 5 4 3 2 2 2 7" xfId="22051"/>
    <cellStyle name="常规 5 4 3 2 2 2 8" xfId="1858"/>
    <cellStyle name="常规 5 4 3 2 2 3" xfId="12549"/>
    <cellStyle name="常规 5 4 3 2 2 3 2" xfId="32726"/>
    <cellStyle name="常规 5 4 3 2 2 3 2 2" xfId="15152"/>
    <cellStyle name="常规 5 4 3 2 2 3 2 2 2" xfId="15155"/>
    <cellStyle name="常规 5 4 3 2 2 3 2 2 2 2" xfId="32727"/>
    <cellStyle name="常规 5 4 3 2 2 3 2 2 2 2 2" xfId="32728"/>
    <cellStyle name="常规 5 4 3 2 2 3 2 2 2 3" xfId="2922"/>
    <cellStyle name="常规 5 4 3 2 2 3 2 2 2 4" xfId="14516"/>
    <cellStyle name="常规 5 4 3 2 2 3 2 2 3" xfId="32729"/>
    <cellStyle name="常规 5 4 3 2 2 3 2 2 3 2" xfId="32730"/>
    <cellStyle name="常规 5 4 3 2 2 3 2 2 4" xfId="32731"/>
    <cellStyle name="常规 5 4 3 2 2 3 2 2 5" xfId="32732"/>
    <cellStyle name="常规 5 4 3 2 2 3 2 3" xfId="15158"/>
    <cellStyle name="常规 5 4 3 2 2 3 2 3 2" xfId="32733"/>
    <cellStyle name="常规 5 4 3 2 2 3 2 3 2 2" xfId="32734"/>
    <cellStyle name="常规 5 4 3 2 2 3 2 3 3" xfId="32735"/>
    <cellStyle name="常规 5 4 3 2 2 3 2 3 4" xfId="32736"/>
    <cellStyle name="常规 5 4 3 2 2 3 2 4" xfId="15162"/>
    <cellStyle name="常规 5 4 3 2 2 3 2 4 2" xfId="29085"/>
    <cellStyle name="常规 5 4 3 2 2 3 2 5" xfId="32737"/>
    <cellStyle name="常规 5 4 3 2 2 3 2 6" xfId="32738"/>
    <cellStyle name="常规 5 4 3 2 2 3 3" xfId="22055"/>
    <cellStyle name="常规 5 4 3 2 2 3 3 2" xfId="15186"/>
    <cellStyle name="常规 5 4 3 2 2 3 3 2 2" xfId="22057"/>
    <cellStyle name="常规 5 4 3 2 2 3 3 2 2 2" xfId="32739"/>
    <cellStyle name="常规 5 4 3 2 2 3 3 2 3" xfId="32740"/>
    <cellStyle name="常规 5 4 3 2 2 3 3 2 4" xfId="32741"/>
    <cellStyle name="常规 5 4 3 2 2 3 3 3" xfId="15190"/>
    <cellStyle name="常规 5 4 3 2 2 3 3 3 2" xfId="32742"/>
    <cellStyle name="常规 5 4 3 2 2 3 3 4" xfId="22059"/>
    <cellStyle name="常规 5 4 3 2 2 3 3 5" xfId="32743"/>
    <cellStyle name="常规 5 4 3 2 2 3 4" xfId="21206"/>
    <cellStyle name="常规 5 4 3 2 2 3 4 2" xfId="15207"/>
    <cellStyle name="常规 5 4 3 2 2 3 4 2 2" xfId="21209"/>
    <cellStyle name="常规 5 4 3 2 2 3 4 3" xfId="21247"/>
    <cellStyle name="常规 5 4 3 2 2 3 4 4" xfId="10165"/>
    <cellStyle name="常规 5 4 3 2 2 3 5" xfId="1544"/>
    <cellStyle name="常规 5 4 3 2 2 3 5 2" xfId="909"/>
    <cellStyle name="常规 5 4 3 2 2 3 6" xfId="1566"/>
    <cellStyle name="常规 5 4 3 2 2 3 7" xfId="1575"/>
    <cellStyle name="常规 5 4 3 2 2 4" xfId="12551"/>
    <cellStyle name="常规 5 4 3 2 2 4 2" xfId="32744"/>
    <cellStyle name="常规 5 4 3 2 2 4 2 2" xfId="15679"/>
    <cellStyle name="常规 5 4 3 2 2 4 2 2 2" xfId="5865"/>
    <cellStyle name="常规 5 4 3 2 2 4 2 2 2 2" xfId="32745"/>
    <cellStyle name="常规 5 4 3 2 2 4 2 2 3" xfId="32746"/>
    <cellStyle name="常规 5 4 3 2 2 4 2 2 4" xfId="32747"/>
    <cellStyle name="常规 5 4 3 2 2 4 2 3" xfId="15682"/>
    <cellStyle name="常规 5 4 3 2 2 4 2 3 2" xfId="32748"/>
    <cellStyle name="常规 5 4 3 2 2 4 2 4" xfId="7224"/>
    <cellStyle name="常规 5 4 3 2 2 4 2 5" xfId="32749"/>
    <cellStyle name="常规 5 4 3 2 2 4 3" xfId="22062"/>
    <cellStyle name="常规 5 4 3 2 2 4 3 2" xfId="15696"/>
    <cellStyle name="常规 5 4 3 2 2 4 3 2 2" xfId="32750"/>
    <cellStyle name="常规 5 4 3 2 2 4 3 3" xfId="32751"/>
    <cellStyle name="常规 5 4 3 2 2 4 3 4" xfId="32752"/>
    <cellStyle name="常规 5 4 3 2 2 4 4" xfId="21366"/>
    <cellStyle name="常规 5 4 3 2 2 4 4 2" xfId="21369"/>
    <cellStyle name="常规 5 4 3 2 2 4 5" xfId="1586"/>
    <cellStyle name="常规 5 4 3 2 2 4 6" xfId="21515"/>
    <cellStyle name="常规 5 4 3 2 2 5" xfId="21204"/>
    <cellStyle name="常规 5 4 3 2 2 5 2" xfId="32753"/>
    <cellStyle name="常规 5 4 3 2 2 5 2 2" xfId="32754"/>
    <cellStyle name="常规 5 4 3 2 2 5 2 2 2" xfId="32755"/>
    <cellStyle name="常规 5 4 3 2 2 5 2 3" xfId="32756"/>
    <cellStyle name="常规 5 4 3 2 2 5 2 4" xfId="32757"/>
    <cellStyle name="常规 5 4 3 2 2 5 3" xfId="22065"/>
    <cellStyle name="常规 5 4 3 2 2 5 3 2" xfId="32758"/>
    <cellStyle name="常规 5 4 3 2 2 5 4" xfId="21566"/>
    <cellStyle name="常规 5 4 3 2 2 5 5" xfId="21618"/>
    <cellStyle name="常规 5 4 3 2 2 6" xfId="12911"/>
    <cellStyle name="常规 5 4 3 2 2 6 2" xfId="12915"/>
    <cellStyle name="常规 5 4 3 2 2 6 2 2" xfId="12920"/>
    <cellStyle name="常规 5 4 3 2 2 6 3" xfId="12928"/>
    <cellStyle name="常规 5 4 3 2 2 6 4" xfId="12933"/>
    <cellStyle name="常规 5 4 3 2 2 7" xfId="12940"/>
    <cellStyle name="常规 5 4 3 2 2 7 2" xfId="12945"/>
    <cellStyle name="常规 5 4 3 2 2 8" xfId="12958"/>
    <cellStyle name="常规 5 4 3 2 2 9" xfId="12961"/>
    <cellStyle name="常规 5 4 3 2 3" xfId="12555"/>
    <cellStyle name="常规 5 4 3 2 3 2" xfId="12558"/>
    <cellStyle name="常规 5 4 3 2 3 2 2" xfId="8310"/>
    <cellStyle name="常规 5 4 3 2 3 2 2 2" xfId="8312"/>
    <cellStyle name="常规 5 4 3 2 3 2 2 2 2" xfId="8315"/>
    <cellStyle name="常规 5 4 3 2 3 2 2 2 2 2" xfId="16146"/>
    <cellStyle name="常规 5 4 3 2 3 2 2 2 2 2 2" xfId="32759"/>
    <cellStyle name="常规 5 4 3 2 3 2 2 2 2 2 2 2" xfId="9144"/>
    <cellStyle name="常规 5 4 3 2 3 2 2 2 2 2 3" xfId="32760"/>
    <cellStyle name="常规 5 4 3 2 3 2 2 2 2 2 4" xfId="32761"/>
    <cellStyle name="常规 5 4 3 2 3 2 2 2 2 3" xfId="32762"/>
    <cellStyle name="常规 5 4 3 2 3 2 2 2 2 3 2" xfId="32763"/>
    <cellStyle name="常规 5 4 3 2 3 2 2 2 2 4" xfId="32764"/>
    <cellStyle name="常规 5 4 3 2 3 2 2 2 2 5" xfId="32765"/>
    <cellStyle name="常规 5 4 3 2 3 2 2 2 3" xfId="32767"/>
    <cellStyle name="常规 5 4 3 2 3 2 2 2 3 2" xfId="32768"/>
    <cellStyle name="常规 5 4 3 2 3 2 2 2 3 2 2" xfId="2875"/>
    <cellStyle name="常规 5 4 3 2 3 2 2 2 3 3" xfId="32769"/>
    <cellStyle name="常规 5 4 3 2 3 2 2 2 3 4" xfId="32770"/>
    <cellStyle name="常规 5 4 3 2 3 2 2 2 4" xfId="32453"/>
    <cellStyle name="常规 5 4 3 2 3 2 2 2 4 2" xfId="32771"/>
    <cellStyle name="常规 5 4 3 2 3 2 2 2 5" xfId="32772"/>
    <cellStyle name="常规 5 4 3 2 3 2 2 2 6" xfId="32773"/>
    <cellStyle name="常规 5 4 3 2 3 2 2 3" xfId="8318"/>
    <cellStyle name="常规 5 4 3 2 3 2 2 3 2" xfId="32774"/>
    <cellStyle name="常规 5 4 3 2 3 2 2 3 2 2" xfId="32775"/>
    <cellStyle name="常规 5 4 3 2 3 2 2 3 2 2 2" xfId="32776"/>
    <cellStyle name="常规 5 4 3 2 3 2 2 3 2 3" xfId="4620"/>
    <cellStyle name="常规 5 4 3 2 3 2 2 3 2 4" xfId="4623"/>
    <cellStyle name="常规 5 4 3 2 3 2 2 3 3" xfId="32777"/>
    <cellStyle name="常规 5 4 3 2 3 2 2 3 3 2" xfId="32778"/>
    <cellStyle name="常规 5 4 3 2 3 2 2 3 4" xfId="32779"/>
    <cellStyle name="常规 5 4 3 2 3 2 2 3 5" xfId="32780"/>
    <cellStyle name="常规 5 4 3 2 3 2 2 4" xfId="4261"/>
    <cellStyle name="常规 5 4 3 2 3 2 2 4 2" xfId="4265"/>
    <cellStyle name="常规 5 4 3 2 3 2 2 4 2 2" xfId="4269"/>
    <cellStyle name="常规 5 4 3 2 3 2 2 4 3" xfId="4273"/>
    <cellStyle name="常规 5 4 3 2 3 2 2 4 4" xfId="4277"/>
    <cellStyle name="常规 5 4 3 2 3 2 2 5" xfId="4279"/>
    <cellStyle name="常规 5 4 3 2 3 2 2 5 2" xfId="4283"/>
    <cellStyle name="常规 5 4 3 2 3 2 2 6" xfId="4290"/>
    <cellStyle name="常规 5 4 3 2 3 2 2 7" xfId="4292"/>
    <cellStyle name="常规 5 4 3 2 3 2 3" xfId="8322"/>
    <cellStyle name="常规 5 4 3 2 3 2 3 2" xfId="8325"/>
    <cellStyle name="常规 5 4 3 2 3 2 3 2 2" xfId="22070"/>
    <cellStyle name="常规 5 4 3 2 3 2 3 2 2 2" xfId="32781"/>
    <cellStyle name="常规 5 4 3 2 3 2 3 2 2 2 2" xfId="32782"/>
    <cellStyle name="常规 5 4 3 2 3 2 3 2 2 3" xfId="32783"/>
    <cellStyle name="常规 5 4 3 2 3 2 3 2 2 4" xfId="32785"/>
    <cellStyle name="常规 5 4 3 2 3 2 3 2 3" xfId="32786"/>
    <cellStyle name="常规 5 4 3 2 3 2 3 2 3 2" xfId="32787"/>
    <cellStyle name="常规 5 4 3 2 3 2 3 2 4" xfId="32788"/>
    <cellStyle name="常规 5 4 3 2 3 2 3 2 5" xfId="32789"/>
    <cellStyle name="常规 5 4 3 2 3 2 3 3" xfId="16680"/>
    <cellStyle name="常规 5 4 3 2 3 2 3 3 2" xfId="32790"/>
    <cellStyle name="常规 5 4 3 2 3 2 3 3 2 2" xfId="3411"/>
    <cellStyle name="常规 5 4 3 2 3 2 3 3 3" xfId="32791"/>
    <cellStyle name="常规 5 4 3 2 3 2 3 3 4" xfId="32792"/>
    <cellStyle name="常规 5 4 3 2 3 2 3 4" xfId="4306"/>
    <cellStyle name="常规 5 4 3 2 3 2 3 4 2" xfId="4312"/>
    <cellStyle name="常规 5 4 3 2 3 2 3 5" xfId="4318"/>
    <cellStyle name="常规 5 4 3 2 3 2 3 6" xfId="4320"/>
    <cellStyle name="常规 5 4 3 2 3 2 4" xfId="8329"/>
    <cellStyle name="常规 5 4 3 2 3 2 4 2" xfId="22073"/>
    <cellStyle name="常规 5 4 3 2 3 2 4 2 2" xfId="32794"/>
    <cellStyle name="常规 5 4 3 2 3 2 4 2 2 2" xfId="32795"/>
    <cellStyle name="常规 5 4 3 2 3 2 4 2 3" xfId="32796"/>
    <cellStyle name="常规 5 4 3 2 3 2 4 2 4" xfId="19812"/>
    <cellStyle name="常规 5 4 3 2 3 2 4 3" xfId="32798"/>
    <cellStyle name="常规 5 4 3 2 3 2 4 3 2" xfId="32799"/>
    <cellStyle name="常规 5 4 3 2 3 2 4 4" xfId="4335"/>
    <cellStyle name="常规 5 4 3 2 3 2 4 5" xfId="10300"/>
    <cellStyle name="常规 5 4 3 2 3 2 5" xfId="8332"/>
    <cellStyle name="常规 5 4 3 2 3 2 5 2" xfId="22666"/>
    <cellStyle name="常规 5 4 3 2 3 2 5 2 2" xfId="32800"/>
    <cellStyle name="常规 5 4 3 2 3 2 5 3" xfId="32802"/>
    <cellStyle name="常规 5 4 3 2 3 2 5 4" xfId="10303"/>
    <cellStyle name="常规 5 4 3 2 3 2 6" xfId="22076"/>
    <cellStyle name="常规 5 4 3 2 3 2 6 2" xfId="28902"/>
    <cellStyle name="常规 5 4 3 2 3 2 7" xfId="28906"/>
    <cellStyle name="常规 5 4 3 2 3 2 8" xfId="16230"/>
    <cellStyle name="常规 5 4 3 2 3 3" xfId="32803"/>
    <cellStyle name="常规 5 4 3 2 3 3 2" xfId="8384"/>
    <cellStyle name="常规 5 4 3 2 3 3 2 2" xfId="8387"/>
    <cellStyle name="常规 5 4 3 2 3 3 2 2 2" xfId="16435"/>
    <cellStyle name="常规 5 4 3 2 3 3 2 2 2 2" xfId="32804"/>
    <cellStyle name="常规 5 4 3 2 3 3 2 2 2 2 2" xfId="17635"/>
    <cellStyle name="常规 5 4 3 2 3 3 2 2 2 3" xfId="32805"/>
    <cellStyle name="常规 5 4 3 2 3 3 2 2 2 4" xfId="32806"/>
    <cellStyle name="常规 5 4 3 2 3 3 2 2 3" xfId="32807"/>
    <cellStyle name="常规 5 4 3 2 3 3 2 2 3 2" xfId="32808"/>
    <cellStyle name="常规 5 4 3 2 3 3 2 2 4" xfId="32810"/>
    <cellStyle name="常规 5 4 3 2 3 3 2 2 5" xfId="32811"/>
    <cellStyle name="常规 5 4 3 2 3 3 2 3" xfId="16438"/>
    <cellStyle name="常规 5 4 3 2 3 3 2 3 2" xfId="32812"/>
    <cellStyle name="常规 5 4 3 2 3 3 2 3 2 2" xfId="32813"/>
    <cellStyle name="常规 5 4 3 2 3 3 2 3 3" xfId="32814"/>
    <cellStyle name="常规 5 4 3 2 3 3 2 3 4" xfId="32815"/>
    <cellStyle name="常规 5 4 3 2 3 3 2 4" xfId="4367"/>
    <cellStyle name="常规 5 4 3 2 3 3 2 4 2" xfId="4370"/>
    <cellStyle name="常规 5 4 3 2 3 3 2 5" xfId="4148"/>
    <cellStyle name="常规 5 4 3 2 3 3 2 6" xfId="4372"/>
    <cellStyle name="常规 5 4 3 2 3 3 3" xfId="8391"/>
    <cellStyle name="常规 5 4 3 2 3 3 3 2" xfId="16441"/>
    <cellStyle name="常规 5 4 3 2 3 3 3 2 2" xfId="32816"/>
    <cellStyle name="常规 5 4 3 2 3 3 3 2 2 2" xfId="32817"/>
    <cellStyle name="常规 5 4 3 2 3 3 3 2 3" xfId="32818"/>
    <cellStyle name="常规 5 4 3 2 3 3 3 2 4" xfId="32819"/>
    <cellStyle name="常规 5 4 3 2 3 3 3 3" xfId="32820"/>
    <cellStyle name="常规 5 4 3 2 3 3 3 3 2" xfId="32821"/>
    <cellStyle name="常规 5 4 3 2 3 3 3 4" xfId="4382"/>
    <cellStyle name="常规 5 4 3 2 3 3 3 5" xfId="32822"/>
    <cellStyle name="常规 5 4 3 2 3 3 4" xfId="8395"/>
    <cellStyle name="常规 5 4 3 2 3 3 4 2" xfId="21477"/>
    <cellStyle name="常规 5 4 3 2 3 3 4 2 2" xfId="21757"/>
    <cellStyle name="常规 5 4 3 2 3 3 4 3" xfId="21481"/>
    <cellStyle name="常规 5 4 3 2 3 3 4 4" xfId="10311"/>
    <cellStyle name="常规 5 4 3 2 3 3 5" xfId="16444"/>
    <cellStyle name="常规 5 4 3 2 3 3 5 2" xfId="21819"/>
    <cellStyle name="常规 5 4 3 2 3 3 6" xfId="21845"/>
    <cellStyle name="常规 5 4 3 2 3 3 7" xfId="21872"/>
    <cellStyle name="常规 5 4 3 2 3 4" xfId="32823"/>
    <cellStyle name="常规 5 4 3 2 3 4 2" xfId="8407"/>
    <cellStyle name="常规 5 4 3 2 3 4 2 2" xfId="2828"/>
    <cellStyle name="常规 5 4 3 2 3 4 2 2 2" xfId="5081"/>
    <cellStyle name="常规 5 4 3 2 3 4 2 2 2 2" xfId="32825"/>
    <cellStyle name="常规 5 4 3 2 3 4 2 2 3" xfId="32826"/>
    <cellStyle name="常规 5 4 3 2 3 4 2 2 4" xfId="32828"/>
    <cellStyle name="常规 5 4 3 2 3 4 2 3" xfId="3423"/>
    <cellStyle name="常规 5 4 3 2 3 4 2 3 2" xfId="32829"/>
    <cellStyle name="常规 5 4 3 2 3 4 2 4" xfId="2608"/>
    <cellStyle name="常规 5 4 3 2 3 4 2 5" xfId="32830"/>
    <cellStyle name="常规 5 4 3 2 3 4 3" xfId="8411"/>
    <cellStyle name="常规 5 4 3 2 3 4 3 2" xfId="2864"/>
    <cellStyle name="常规 5 4 3 2 3 4 3 2 2" xfId="32831"/>
    <cellStyle name="常规 5 4 3 2 3 4 3 3" xfId="32832"/>
    <cellStyle name="常规 5 4 3 2 3 4 3 4" xfId="32833"/>
    <cellStyle name="常规 5 4 3 2 3 4 4" xfId="16450"/>
    <cellStyle name="常规 5 4 3 2 3 4 4 2" xfId="21890"/>
    <cellStyle name="常规 5 4 3 2 3 4 5" xfId="21919"/>
    <cellStyle name="常规 5 4 3 2 3 4 6" xfId="21933"/>
    <cellStyle name="常规 5 4 3 2 3 5" xfId="32834"/>
    <cellStyle name="常规 5 4 3 2 3 5 2" xfId="8421"/>
    <cellStyle name="常规 5 4 3 2 3 5 2 2" xfId="3104"/>
    <cellStyle name="常规 5 4 3 2 3 5 2 2 2" xfId="19594"/>
    <cellStyle name="常规 5 4 3 2 3 5 2 3" xfId="3468"/>
    <cellStyle name="常规 5 4 3 2 3 5 2 4" xfId="32835"/>
    <cellStyle name="常规 5 4 3 2 3 5 3" xfId="16454"/>
    <cellStyle name="常规 5 4 3 2 3 5 3 2" xfId="3148"/>
    <cellStyle name="常规 5 4 3 2 3 5 4" xfId="21945"/>
    <cellStyle name="常规 5 4 3 2 3 5 5" xfId="21977"/>
    <cellStyle name="常规 5 4 3 2 3 6" xfId="12969"/>
    <cellStyle name="常规 5 4 3 2 3 6 2" xfId="12972"/>
    <cellStyle name="常规 5 4 3 2 3 6 2 2" xfId="5012"/>
    <cellStyle name="常规 5 4 3 2 3 6 3" xfId="12976"/>
    <cellStyle name="常规 5 4 3 2 3 6 4" xfId="12980"/>
    <cellStyle name="常规 5 4 3 2 3 7" xfId="12984"/>
    <cellStyle name="常规 5 4 3 2 3 7 2" xfId="12987"/>
    <cellStyle name="常规 5 4 3 2 3 8" xfId="12989"/>
    <cellStyle name="常规 5 4 3 2 3 9" xfId="12991"/>
    <cellStyle name="常规 5 4 3 2 4" xfId="12560"/>
    <cellStyle name="常规 5 4 3 2 4 2" xfId="30741"/>
    <cellStyle name="常规 5 4 3 2 4 2 2" xfId="8572"/>
    <cellStyle name="常规 5 4 3 2 4 2 2 2" xfId="8574"/>
    <cellStyle name="常规 5 4 3 2 4 2 2 2 2" xfId="8577"/>
    <cellStyle name="常规 5 4 3 2 4 2 2 2 2 2" xfId="30015"/>
    <cellStyle name="常规 5 4 3 2 4 2 2 2 2 2 2" xfId="32836"/>
    <cellStyle name="常规 5 4 3 2 4 2 2 2 2 3" xfId="30017"/>
    <cellStyle name="常规 5 4 3 2 4 2 2 2 2 4" xfId="32837"/>
    <cellStyle name="常规 5 4 3 2 4 2 2 2 3" xfId="14702"/>
    <cellStyle name="常规 5 4 3 2 4 2 2 2 3 2" xfId="32838"/>
    <cellStyle name="常规 5 4 3 2 4 2 2 2 4" xfId="32548"/>
    <cellStyle name="常规 5 4 3 2 4 2 2 2 5" xfId="6129"/>
    <cellStyle name="常规 5 4 3 2 4 2 2 3" xfId="8581"/>
    <cellStyle name="常规 5 4 3 2 4 2 2 3 2" xfId="14709"/>
    <cellStyle name="常规 5 4 3 2 4 2 2 3 2 2" xfId="32839"/>
    <cellStyle name="常规 5 4 3 2 4 2 2 3 3" xfId="32840"/>
    <cellStyle name="常规 5 4 3 2 4 2 2 3 4" xfId="20103"/>
    <cellStyle name="常规 5 4 3 2 4 2 2 4" xfId="166"/>
    <cellStyle name="常规 5 4 3 2 4 2 2 4 2" xfId="1535"/>
    <cellStyle name="常规 5 4 3 2 4 2 2 5" xfId="111"/>
    <cellStyle name="常规 5 4 3 2 4 2 2 6" xfId="61"/>
    <cellStyle name="常规 5 4 3 2 4 2 3" xfId="8584"/>
    <cellStyle name="常规 5 4 3 2 4 2 3 2" xfId="8587"/>
    <cellStyle name="常规 5 4 3 2 4 2 3 2 2" xfId="12478"/>
    <cellStyle name="常规 5 4 3 2 4 2 3 2 2 2" xfId="12481"/>
    <cellStyle name="常规 5 4 3 2 4 2 3 2 3" xfId="12484"/>
    <cellStyle name="常规 5 4 3 2 4 2 3 2 4" xfId="2841"/>
    <cellStyle name="常规 5 4 3 2 4 2 3 3" xfId="16801"/>
    <cellStyle name="常规 5 4 3 2 4 2 3 3 2" xfId="12488"/>
    <cellStyle name="常规 5 4 3 2 4 2 3 4" xfId="4488"/>
    <cellStyle name="常规 5 4 3 2 4 2 3 5" xfId="32841"/>
    <cellStyle name="常规 5 4 3 2 4 2 4" xfId="8592"/>
    <cellStyle name="常规 5 4 3 2 4 2 4 2" xfId="32843"/>
    <cellStyle name="常规 5 4 3 2 4 2 4 2 2" xfId="12499"/>
    <cellStyle name="常规 5 4 3 2 4 2 4 3" xfId="32845"/>
    <cellStyle name="常规 5 4 3 2 4 2 4 4" xfId="10367"/>
    <cellStyle name="常规 5 4 3 2 4 2 5" xfId="8595"/>
    <cellStyle name="常规 5 4 3 2 4 2 5 2" xfId="13783"/>
    <cellStyle name="常规 5 4 3 2 4 2 6" xfId="13787"/>
    <cellStyle name="常规 5 4 3 2 4 2 7" xfId="13793"/>
    <cellStyle name="常规 5 4 3 2 4 3" xfId="20591"/>
    <cellStyle name="常规 5 4 3 2 4 3 2" xfId="8665"/>
    <cellStyle name="常规 5 4 3 2 4 3 2 2" xfId="8669"/>
    <cellStyle name="常规 5 4 3 2 4 3 2 2 2" xfId="14772"/>
    <cellStyle name="常规 5 4 3 2 4 3 2 2 2 2" xfId="32846"/>
    <cellStyle name="常规 5 4 3 2 4 3 2 2 3" xfId="32847"/>
    <cellStyle name="常规 5 4 3 2 4 3 2 2 4" xfId="32849"/>
    <cellStyle name="常规 5 4 3 2 4 3 2 3" xfId="16842"/>
    <cellStyle name="常规 5 4 3 2 4 3 2 3 2" xfId="32851"/>
    <cellStyle name="常规 5 4 3 2 4 3 2 4" xfId="4519"/>
    <cellStyle name="常规 5 4 3 2 4 3 2 5" xfId="32852"/>
    <cellStyle name="常规 5 4 3 2 4 3 3" xfId="8674"/>
    <cellStyle name="常规 5 4 3 2 4 3 3 2" xfId="32853"/>
    <cellStyle name="常规 5 4 3 2 4 3 3 2 2" xfId="12531"/>
    <cellStyle name="常规 5 4 3 2 4 3 3 3" xfId="32854"/>
    <cellStyle name="常规 5 4 3 2 4 3 3 4" xfId="32855"/>
    <cellStyle name="常规 5 4 3 2 4 3 4" xfId="8679"/>
    <cellStyle name="常规 5 4 3 2 4 3 4 2" xfId="22027"/>
    <cellStyle name="常规 5 4 3 2 4 3 5" xfId="13799"/>
    <cellStyle name="常规 5 4 3 2 4 3 6" xfId="13804"/>
    <cellStyle name="常规 5 4 3 2 4 4" xfId="1977"/>
    <cellStyle name="常规 5 4 3 2 4 4 2" xfId="1983"/>
    <cellStyle name="常规 5 4 3 2 4 4 2 2" xfId="1994"/>
    <cellStyle name="常规 5 4 3 2 4 4 2 2 2" xfId="7280"/>
    <cellStyle name="常规 5 4 3 2 4 4 2 3" xfId="1998"/>
    <cellStyle name="常规 5 4 3 2 4 4 2 4" xfId="2006"/>
    <cellStyle name="常规 5 4 3 2 4 4 3" xfId="2016"/>
    <cellStyle name="常规 5 4 3 2 4 4 3 2" xfId="2025"/>
    <cellStyle name="常规 5 4 3 2 4 4 4" xfId="278"/>
    <cellStyle name="常规 5 4 3 2 4 4 5" xfId="204"/>
    <cellStyle name="常规 5 4 3 2 4 5" xfId="32856"/>
    <cellStyle name="常规 5 4 3 2 4 5 2" xfId="2060"/>
    <cellStyle name="常规 5 4 3 2 4 5 2 2" xfId="2068"/>
    <cellStyle name="常规 5 4 3 2 4 5 3" xfId="2090"/>
    <cellStyle name="常规 5 4 3 2 4 5 4" xfId="962"/>
    <cellStyle name="常规 5 4 3 2 4 6" xfId="12995"/>
    <cellStyle name="常规 5 4 3 2 4 6 2" xfId="2117"/>
    <cellStyle name="常规 5 4 3 2 4 7" xfId="12997"/>
    <cellStyle name="常规 5 4 3 2 4 8" xfId="12999"/>
    <cellStyle name="常规 5 4 3 2 5" xfId="12564"/>
    <cellStyle name="常规 5 4 3 2 5 2" xfId="32857"/>
    <cellStyle name="常规 5 4 3 2 5 2 2" xfId="8782"/>
    <cellStyle name="常规 5 4 3 2 5 2 2 2" xfId="8784"/>
    <cellStyle name="常规 5 4 3 2 5 2 2 2 2" xfId="14877"/>
    <cellStyle name="常规 5 4 3 2 5 2 2 2 2 2" xfId="15368"/>
    <cellStyle name="常规 5 4 3 2 5 2 2 2 3" xfId="14881"/>
    <cellStyle name="常规 5 4 3 2 5 2 2 2 4" xfId="32859"/>
    <cellStyle name="常规 5 4 3 2 5 2 2 3" xfId="16902"/>
    <cellStyle name="常规 5 4 3 2 5 2 2 3 2" xfId="7244"/>
    <cellStyle name="常规 5 4 3 2 5 2 2 4" xfId="4543"/>
    <cellStyle name="常规 5 4 3 2 5 2 2 5" xfId="30218"/>
    <cellStyle name="常规 5 4 3 2 5 2 3" xfId="8787"/>
    <cellStyle name="常规 5 4 3 2 5 2 3 2" xfId="32860"/>
    <cellStyle name="常规 5 4 3 2 5 2 3 2 2" xfId="12609"/>
    <cellStyle name="常规 5 4 3 2 5 2 3 3" xfId="31486"/>
    <cellStyle name="常规 5 4 3 2 5 2 3 4" xfId="31489"/>
    <cellStyle name="常规 5 4 3 2 5 2 4" xfId="8790"/>
    <cellStyle name="常规 5 4 3 2 5 2 4 2" xfId="32862"/>
    <cellStyle name="常规 5 4 3 2 5 2 5" xfId="13811"/>
    <cellStyle name="常规 5 4 3 2 5 2 6" xfId="3326"/>
    <cellStyle name="常规 5 4 3 2 5 3" xfId="32863"/>
    <cellStyle name="常规 5 4 3 2 5 3 2" xfId="8821"/>
    <cellStyle name="常规 5 4 3 2 5 3 2 2" xfId="32864"/>
    <cellStyle name="常规 5 4 3 2 5 3 2 2 2" xfId="14960"/>
    <cellStyle name="常规 5 4 3 2 5 3 2 3" xfId="31496"/>
    <cellStyle name="常规 5 4 3 2 5 3 2 4" xfId="31498"/>
    <cellStyle name="常规 5 4 3 2 5 3 3" xfId="8825"/>
    <cellStyle name="常规 5 4 3 2 5 3 3 2" xfId="32865"/>
    <cellStyle name="常规 5 4 3 2 5 3 4" xfId="22197"/>
    <cellStyle name="常规 5 4 3 2 5 3 5" xfId="13815"/>
    <cellStyle name="常规 5 4 3 2 5 4" xfId="32866"/>
    <cellStyle name="常规 5 4 3 2 5 4 2" xfId="2167"/>
    <cellStyle name="常规 5 4 3 2 5 4 2 2" xfId="5680"/>
    <cellStyle name="常规 5 4 3 2 5 4 3" xfId="7338"/>
    <cellStyle name="常规 5 4 3 2 5 4 4" xfId="7341"/>
    <cellStyle name="常规 5 4 3 2 5 5" xfId="32867"/>
    <cellStyle name="常规 5 4 3 2 5 5 2" xfId="6558"/>
    <cellStyle name="常规 5 4 3 2 5 6" xfId="13003"/>
    <cellStyle name="常规 5 4 3 2 5 7" xfId="32868"/>
    <cellStyle name="常规 5 4 3 2 6" xfId="30743"/>
    <cellStyle name="常规 5 4 3 2 6 2" xfId="32869"/>
    <cellStyle name="常规 5 4 3 2 6 2 2" xfId="8872"/>
    <cellStyle name="常规 5 4 3 2 6 2 2 2" xfId="32870"/>
    <cellStyle name="常规 5 4 3 2 6 2 2 2 2" xfId="11208"/>
    <cellStyle name="常规 5 4 3 2 6 2 2 3" xfId="26953"/>
    <cellStyle name="常规 5 4 3 2 6 2 2 4" xfId="26960"/>
    <cellStyle name="常规 5 4 3 2 6 2 3" xfId="8874"/>
    <cellStyle name="常规 5 4 3 2 6 2 3 2" xfId="32871"/>
    <cellStyle name="常规 5 4 3 2 6 2 4" xfId="32872"/>
    <cellStyle name="常规 5 4 3 2 6 2 5" xfId="13824"/>
    <cellStyle name="常规 5 4 3 2 6 3" xfId="32873"/>
    <cellStyle name="常规 5 4 3 2 6 3 2" xfId="8893"/>
    <cellStyle name="常规 5 4 3 2 6 3 2 2" xfId="32874"/>
    <cellStyle name="常规 5 4 3 2 6 3 3" xfId="32875"/>
    <cellStyle name="常规 5 4 3 2 6 3 4" xfId="22291"/>
    <cellStyle name="常规 5 4 3 2 6 4" xfId="32876"/>
    <cellStyle name="常规 5 4 3 2 6 4 2" xfId="7374"/>
    <cellStyle name="常规 5 4 3 2 6 5" xfId="32877"/>
    <cellStyle name="常规 5 4 3 2 6 6" xfId="32878"/>
    <cellStyle name="常规 5 4 3 2 7" xfId="32879"/>
    <cellStyle name="常规 5 4 3 2 7 2" xfId="32880"/>
    <cellStyle name="常规 5 4 3 2 7 2 2" xfId="8919"/>
    <cellStyle name="常规 5 4 3 2 7 2 2 2" xfId="20973"/>
    <cellStyle name="常规 5 4 3 2 7 2 3" xfId="32881"/>
    <cellStyle name="常规 5 4 3 2 7 2 4" xfId="32882"/>
    <cellStyle name="常规 5 4 3 2 7 3" xfId="32883"/>
    <cellStyle name="常规 5 4 3 2 7 3 2" xfId="32884"/>
    <cellStyle name="常规 5 4 3 2 7 4" xfId="32886"/>
    <cellStyle name="常规 5 4 3 2 7 5" xfId="32887"/>
    <cellStyle name="常规 5 4 3 2 8" xfId="32888"/>
    <cellStyle name="常规 5 4 3 2 8 2" xfId="32889"/>
    <cellStyle name="常规 5 4 3 2 8 2 2" xfId="32890"/>
    <cellStyle name="常规 5 4 3 2 8 3" xfId="32891"/>
    <cellStyle name="常规 5 4 3 2 8 4" xfId="32892"/>
    <cellStyle name="常规 5 4 3 2 9" xfId="32230"/>
    <cellStyle name="常规 5 4 3 2 9 2" xfId="20839"/>
    <cellStyle name="常规 5 4 3 3" xfId="32893"/>
    <cellStyle name="常规 5 4 3 3 2" xfId="12574"/>
    <cellStyle name="常规 5 4 3 3 2 2" xfId="12577"/>
    <cellStyle name="常规 5 4 3 3 2 2 2" xfId="32894"/>
    <cellStyle name="常规 5 4 3 3 2 2 2 2" xfId="32895"/>
    <cellStyle name="常规 5 4 3 3 2 2 2 2 2" xfId="32897"/>
    <cellStyle name="常规 5 4 3 3 2 2 2 2 2 2" xfId="32899"/>
    <cellStyle name="常规 5 4 3 3 2 2 2 2 2 2 2" xfId="32900"/>
    <cellStyle name="常规 5 4 3 3 2 2 2 2 2 3" xfId="32901"/>
    <cellStyle name="常规 5 4 3 3 2 2 2 2 2 4" xfId="32902"/>
    <cellStyle name="常规 5 4 3 3 2 2 2 2 3" xfId="32904"/>
    <cellStyle name="常规 5 4 3 3 2 2 2 2 3 2" xfId="32905"/>
    <cellStyle name="常规 5 4 3 3 2 2 2 2 4" xfId="32907"/>
    <cellStyle name="常规 5 4 3 3 2 2 2 2 5" xfId="28090"/>
    <cellStyle name="常规 5 4 3 3 2 2 2 3" xfId="19552"/>
    <cellStyle name="常规 5 4 3 3 2 2 2 3 2" xfId="32909"/>
    <cellStyle name="常规 5 4 3 3 2 2 2 3 2 2" xfId="11359"/>
    <cellStyle name="常规 5 4 3 3 2 2 2 3 3" xfId="32911"/>
    <cellStyle name="常规 5 4 3 3 2 2 2 3 4" xfId="32374"/>
    <cellStyle name="常规 5 4 3 3 2 2 2 4" xfId="32912"/>
    <cellStyle name="常规 5 4 3 3 2 2 2 4 2" xfId="32914"/>
    <cellStyle name="常规 5 4 3 3 2 2 2 5" xfId="32916"/>
    <cellStyle name="常规 5 4 3 3 2 2 2 6" xfId="32917"/>
    <cellStyle name="常规 5 4 3 3 2 2 3" xfId="22097"/>
    <cellStyle name="常规 5 4 3 3 2 2 3 2" xfId="17522"/>
    <cellStyle name="常规 5 4 3 3 2 2 3 2 2" xfId="22100"/>
    <cellStyle name="常规 5 4 3 3 2 2 3 2 2 2" xfId="32918"/>
    <cellStyle name="常规 5 4 3 3 2 2 3 2 3" xfId="32920"/>
    <cellStyle name="常规 5 4 3 3 2 2 3 2 4" xfId="32921"/>
    <cellStyle name="常规 5 4 3 3 2 2 3 3" xfId="22102"/>
    <cellStyle name="常规 5 4 3 3 2 2 3 3 2" xfId="32922"/>
    <cellStyle name="常规 5 4 3 3 2 2 3 4" xfId="22104"/>
    <cellStyle name="常规 5 4 3 3 2 2 3 5" xfId="32923"/>
    <cellStyle name="常规 5 4 3 3 2 2 4" xfId="22106"/>
    <cellStyle name="常规 5 4 3 3 2 2 4 2" xfId="22108"/>
    <cellStyle name="常规 5 4 3 3 2 2 4 2 2" xfId="32924"/>
    <cellStyle name="常规 5 4 3 3 2 2 4 3" xfId="32925"/>
    <cellStyle name="常规 5 4 3 3 2 2 4 4" xfId="10599"/>
    <cellStyle name="常规 5 4 3 3 2 2 5" xfId="22110"/>
    <cellStyle name="常规 5 4 3 3 2 2 5 2" xfId="32926"/>
    <cellStyle name="常规 5 4 3 3 2 2 6" xfId="22113"/>
    <cellStyle name="常规 5 4 3 3 2 2 7" xfId="28937"/>
    <cellStyle name="常规 5 4 3 3 2 3" xfId="12002"/>
    <cellStyle name="常规 5 4 3 3 2 3 2" xfId="32927"/>
    <cellStyle name="常规 5 4 3 3 2 3 2 2" xfId="32928"/>
    <cellStyle name="常规 5 4 3 3 2 3 2 2 2" xfId="16169"/>
    <cellStyle name="常规 5 4 3 3 2 3 2 2 2 2" xfId="32929"/>
    <cellStyle name="常规 5 4 3 3 2 3 2 2 3" xfId="32931"/>
    <cellStyle name="常规 5 4 3 3 2 3 2 2 4" xfId="32932"/>
    <cellStyle name="常规 5 4 3 3 2 3 2 3" xfId="32933"/>
    <cellStyle name="常规 5 4 3 3 2 3 2 3 2" xfId="32934"/>
    <cellStyle name="常规 5 4 3 3 2 3 2 4" xfId="32935"/>
    <cellStyle name="常规 5 4 3 3 2 3 2 5" xfId="32937"/>
    <cellStyle name="常规 5 4 3 3 2 3 3" xfId="22117"/>
    <cellStyle name="常规 5 4 3 3 2 3 3 2" xfId="22119"/>
    <cellStyle name="常规 5 4 3 3 2 3 3 2 2" xfId="32938"/>
    <cellStyle name="常规 5 4 3 3 2 3 3 3" xfId="32939"/>
    <cellStyle name="常规 5 4 3 3 2 3 3 4" xfId="32940"/>
    <cellStyle name="常规 5 4 3 3 2 3 4" xfId="22121"/>
    <cellStyle name="常规 5 4 3 3 2 3 4 2" xfId="22368"/>
    <cellStyle name="常规 5 4 3 3 2 3 5" xfId="1601"/>
    <cellStyle name="常规 5 4 3 3 2 3 6" xfId="1608"/>
    <cellStyle name="常规 5 4 3 3 2 4" xfId="32941"/>
    <cellStyle name="常规 5 4 3 3 2 4 2" xfId="32942"/>
    <cellStyle name="常规 5 4 3 3 2 4 2 2" xfId="32943"/>
    <cellStyle name="常规 5 4 3 3 2 4 2 2 2" xfId="32944"/>
    <cellStyle name="常规 5 4 3 3 2 4 2 3" xfId="32945"/>
    <cellStyle name="常规 5 4 3 3 2 4 2 4" xfId="32946"/>
    <cellStyle name="常规 5 4 3 3 2 4 3" xfId="22125"/>
    <cellStyle name="常规 5 4 3 3 2 4 3 2" xfId="32947"/>
    <cellStyle name="常规 5 4 3 3 2 4 4" xfId="22442"/>
    <cellStyle name="常规 5 4 3 3 2 4 5" xfId="22464"/>
    <cellStyle name="常规 5 4 3 3 2 5" xfId="31870"/>
    <cellStyle name="常规 5 4 3 3 2 5 2" xfId="31872"/>
    <cellStyle name="常规 5 4 3 3 2 5 2 2" xfId="31874"/>
    <cellStyle name="常规 5 4 3 3 2 5 3" xfId="31876"/>
    <cellStyle name="常规 5 4 3 3 2 5 4" xfId="22482"/>
    <cellStyle name="常规 5 4 3 3 2 6" xfId="13009"/>
    <cellStyle name="常规 5 4 3 3 2 6 2" xfId="13013"/>
    <cellStyle name="常规 5 4 3 3 2 7" xfId="3"/>
    <cellStyle name="常规 5 4 3 3 2 8" xfId="449"/>
    <cellStyle name="常规 5 4 3 3 3" xfId="12579"/>
    <cellStyle name="常规 5 4 3 3 3 2" xfId="5554"/>
    <cellStyle name="常规 5 4 3 3 3 2 2" xfId="9106"/>
    <cellStyle name="常规 5 4 3 3 3 2 2 2" xfId="9108"/>
    <cellStyle name="常规 5 4 3 3 3 2 2 2 2" xfId="9113"/>
    <cellStyle name="常规 5 4 3 3 3 2 2 2 2 2" xfId="32949"/>
    <cellStyle name="常规 5 4 3 3 3 2 2 2 3" xfId="32951"/>
    <cellStyle name="常规 5 4 3 3 3 2 2 2 4" xfId="24775"/>
    <cellStyle name="常规 5 4 3 3 3 2 2 3" xfId="9115"/>
    <cellStyle name="常规 5 4 3 3 3 2 2 3 2" xfId="32952"/>
    <cellStyle name="常规 5 4 3 3 3 2 2 4" xfId="4646"/>
    <cellStyle name="常规 5 4 3 3 3 2 2 5" xfId="4651"/>
    <cellStyle name="常规 5 4 3 3 3 2 3" xfId="9118"/>
    <cellStyle name="常规 5 4 3 3 3 2 3 2" xfId="9121"/>
    <cellStyle name="常规 5 4 3 3 3 2 3 2 2" xfId="32953"/>
    <cellStyle name="常规 5 4 3 3 3 2 3 3" xfId="32954"/>
    <cellStyle name="常规 5 4 3 3 3 2 3 4" xfId="4674"/>
    <cellStyle name="常规 5 4 3 3 3 2 4" xfId="9124"/>
    <cellStyle name="常规 5 4 3 3 3 2 4 2" xfId="27640"/>
    <cellStyle name="常规 5 4 3 3 3 2 5" xfId="9127"/>
    <cellStyle name="常规 5 4 3 3 3 2 6" xfId="28946"/>
    <cellStyle name="常规 5 4 3 3 3 3" xfId="32955"/>
    <cellStyle name="常规 5 4 3 3 3 3 2" xfId="9184"/>
    <cellStyle name="常规 5 4 3 3 3 3 2 2" xfId="9188"/>
    <cellStyle name="常规 5 4 3 3 3 3 2 2 2" xfId="18956"/>
    <cellStyle name="常规 5 4 3 3 3 3 2 3" xfId="32956"/>
    <cellStyle name="常规 5 4 3 3 3 3 2 4" xfId="4730"/>
    <cellStyle name="常规 5 4 3 3 3 3 3" xfId="9192"/>
    <cellStyle name="常规 5 4 3 3 3 3 3 2" xfId="32957"/>
    <cellStyle name="常规 5 4 3 3 3 3 4" xfId="9197"/>
    <cellStyle name="常规 5 4 3 3 3 3 5" xfId="22604"/>
    <cellStyle name="常规 5 4 3 3 3 4" xfId="32958"/>
    <cellStyle name="常规 5 4 3 3 3 4 2" xfId="9210"/>
    <cellStyle name="常规 5 4 3 3 3 4 2 2" xfId="6303"/>
    <cellStyle name="常规 5 4 3 3 3 4 3" xfId="9215"/>
    <cellStyle name="常规 5 4 3 3 3 4 4" xfId="22652"/>
    <cellStyle name="常规 5 4 3 3 3 5" xfId="31879"/>
    <cellStyle name="常规 5 4 3 3 3 5 2" xfId="9228"/>
    <cellStyle name="常规 5 4 3 3 3 6" xfId="13026"/>
    <cellStyle name="常规 5 4 3 3 3 7" xfId="463"/>
    <cellStyle name="常规 5 4 3 3 4" xfId="2555"/>
    <cellStyle name="常规 5 4 3 3 4 2" xfId="2561"/>
    <cellStyle name="常规 5 4 3 3 4 2 2" xfId="9304"/>
    <cellStyle name="常规 5 4 3 3 4 2 2 2" xfId="9306"/>
    <cellStyle name="常规 5 4 3 3 4 2 2 2 2" xfId="15319"/>
    <cellStyle name="常规 5 4 3 3 4 2 2 3" xfId="32959"/>
    <cellStyle name="常规 5 4 3 3 4 2 2 4" xfId="2306"/>
    <cellStyle name="常规 5 4 3 3 4 2 3" xfId="9308"/>
    <cellStyle name="常规 5 4 3 3 4 2 3 2" xfId="21398"/>
    <cellStyle name="常规 5 4 3 3 4 2 4" xfId="9311"/>
    <cellStyle name="常规 5 4 3 3 4 2 5" xfId="13843"/>
    <cellStyle name="常规 5 4 3 3 4 3" xfId="32960"/>
    <cellStyle name="常规 5 4 3 3 4 3 2" xfId="9339"/>
    <cellStyle name="常规 5 4 3 3 4 3 2 2" xfId="15593"/>
    <cellStyle name="常规 5 4 3 3 4 3 3" xfId="9343"/>
    <cellStyle name="常规 5 4 3 3 4 3 4" xfId="17412"/>
    <cellStyle name="常规 5 4 3 3 4 4" xfId="32961"/>
    <cellStyle name="常规 5 4 3 3 4 4 2" xfId="2690"/>
    <cellStyle name="常规 5 4 3 3 4 5" xfId="31882"/>
    <cellStyle name="常规 5 4 3 3 4 6" xfId="13032"/>
    <cellStyle name="常规 5 4 3 3 5" xfId="2573"/>
    <cellStyle name="常规 5 4 3 3 5 2" xfId="24530"/>
    <cellStyle name="常规 5 4 3 3 5 2 2" xfId="9396"/>
    <cellStyle name="常规 5 4 3 3 5 2 2 2" xfId="32962"/>
    <cellStyle name="常规 5 4 3 3 5 2 3" xfId="9398"/>
    <cellStyle name="常规 5 4 3 3 5 2 4" xfId="32963"/>
    <cellStyle name="常规 5 4 3 3 5 3" xfId="32964"/>
    <cellStyle name="常规 5 4 3 3 5 3 2" xfId="9417"/>
    <cellStyle name="常规 5 4 3 3 5 4" xfId="15801"/>
    <cellStyle name="常规 5 4 3 3 5 5" xfId="15803"/>
    <cellStyle name="常规 5 4 3 3 6" xfId="2583"/>
    <cellStyle name="常规 5 4 3 3 6 2" xfId="32965"/>
    <cellStyle name="常规 5 4 3 3 6 2 2" xfId="9451"/>
    <cellStyle name="常规 5 4 3 3 6 3" xfId="32966"/>
    <cellStyle name="常规 5 4 3 3 6 4" xfId="15807"/>
    <cellStyle name="常规 5 4 3 3 7" xfId="32967"/>
    <cellStyle name="常规 5 4 3 3 7 2" xfId="32968"/>
    <cellStyle name="常规 5 4 3 3 8" xfId="32969"/>
    <cellStyle name="常规 5 4 3 3 9" xfId="32970"/>
    <cellStyle name="常规 5 4 3 4" xfId="25895"/>
    <cellStyle name="常规 5 4 3 4 2" xfId="12588"/>
    <cellStyle name="常规 5 4 3 4 2 2" xfId="1973"/>
    <cellStyle name="常规 5 4 3 4 2 2 2" xfId="25897"/>
    <cellStyle name="常规 5 4 3 4 2 2 2 2" xfId="25899"/>
    <cellStyle name="常规 5 4 3 4 2 2 2 2 2" xfId="25902"/>
    <cellStyle name="常规 5 4 3 4 2 2 2 2 2 2" xfId="25905"/>
    <cellStyle name="常规 5 4 3 4 2 2 2 2 2 2 2" xfId="22907"/>
    <cellStyle name="常规 5 4 3 4 2 2 2 2 2 3" xfId="25907"/>
    <cellStyle name="常规 5 4 3 4 2 2 2 2 2 4" xfId="25909"/>
    <cellStyle name="常规 5 4 3 4 2 2 2 2 3" xfId="25348"/>
    <cellStyle name="常规 5 4 3 4 2 2 2 2 3 2" xfId="25911"/>
    <cellStyle name="常规 5 4 3 4 2 2 2 2 4" xfId="25914"/>
    <cellStyle name="常规 5 4 3 4 2 2 2 2 5" xfId="25916"/>
    <cellStyle name="常规 5 4 3 4 2 2 2 3" xfId="25918"/>
    <cellStyle name="常规 5 4 3 4 2 2 2 3 2" xfId="25921"/>
    <cellStyle name="常规 5 4 3 4 2 2 2 3 2 2" xfId="25924"/>
    <cellStyle name="常规 5 4 3 4 2 2 2 3 3" xfId="25927"/>
    <cellStyle name="常规 5 4 3 4 2 2 2 3 4" xfId="25929"/>
    <cellStyle name="常规 5 4 3 4 2 2 2 4" xfId="25931"/>
    <cellStyle name="常规 5 4 3 4 2 2 2 4 2" xfId="25933"/>
    <cellStyle name="常规 5 4 3 4 2 2 2 5" xfId="25935"/>
    <cellStyle name="常规 5 4 3 4 2 2 2 6" xfId="25937"/>
    <cellStyle name="常规 5 4 3 4 2 2 3" xfId="22142"/>
    <cellStyle name="常规 5 4 3 4 2 2 3 2" xfId="22145"/>
    <cellStyle name="常规 5 4 3 4 2 2 3 2 2" xfId="25941"/>
    <cellStyle name="常规 5 4 3 4 2 2 3 2 2 2" xfId="25943"/>
    <cellStyle name="常规 5 4 3 4 2 2 3 2 3" xfId="25946"/>
    <cellStyle name="常规 5 4 3 4 2 2 3 2 4" xfId="25948"/>
    <cellStyle name="常规 5 4 3 4 2 2 3 3" xfId="25950"/>
    <cellStyle name="常规 5 4 3 4 2 2 3 3 2" xfId="25952"/>
    <cellStyle name="常规 5 4 3 4 2 2 3 4" xfId="25954"/>
    <cellStyle name="常规 5 4 3 4 2 2 3 5" xfId="25956"/>
    <cellStyle name="常规 5 4 3 4 2 2 4" xfId="22148"/>
    <cellStyle name="常规 5 4 3 4 2 2 4 2" xfId="25958"/>
    <cellStyle name="常规 5 4 3 4 2 2 4 2 2" xfId="18137"/>
    <cellStyle name="常规 5 4 3 4 2 2 4 3" xfId="25960"/>
    <cellStyle name="常规 5 4 3 4 2 2 4 4" xfId="10899"/>
    <cellStyle name="常规 5 4 3 4 2 2 5" xfId="22151"/>
    <cellStyle name="常规 5 4 3 4 2 2 5 2" xfId="25962"/>
    <cellStyle name="常规 5 4 3 4 2 2 6" xfId="25964"/>
    <cellStyle name="常规 5 4 3 4 2 2 7" xfId="25968"/>
    <cellStyle name="常规 5 4 3 4 2 3" xfId="25973"/>
    <cellStyle name="常规 5 4 3 4 2 3 2" xfId="25975"/>
    <cellStyle name="常规 5 4 3 4 2 3 2 2" xfId="25977"/>
    <cellStyle name="常规 5 4 3 4 2 3 2 2 2" xfId="25980"/>
    <cellStyle name="常规 5 4 3 4 2 3 2 2 2 2" xfId="25982"/>
    <cellStyle name="常规 5 4 3 4 2 3 2 2 3" xfId="6978"/>
    <cellStyle name="常规 5 4 3 4 2 3 2 2 4" xfId="25984"/>
    <cellStyle name="常规 5 4 3 4 2 3 2 3" xfId="25986"/>
    <cellStyle name="常规 5 4 3 4 2 3 2 3 2" xfId="25988"/>
    <cellStyle name="常规 5 4 3 4 2 3 2 4" xfId="25990"/>
    <cellStyle name="常规 5 4 3 4 2 3 2 5" xfId="25993"/>
    <cellStyle name="常规 5 4 3 4 2 3 3" xfId="22155"/>
    <cellStyle name="常规 5 4 3 4 2 3 3 2" xfId="25995"/>
    <cellStyle name="常规 5 4 3 4 2 3 3 2 2" xfId="25997"/>
    <cellStyle name="常规 5 4 3 4 2 3 3 3" xfId="25999"/>
    <cellStyle name="常规 5 4 3 4 2 3 3 4" xfId="26001"/>
    <cellStyle name="常规 5 4 3 4 2 3 4" xfId="22918"/>
    <cellStyle name="常规 5 4 3 4 2 3 4 2" xfId="22922"/>
    <cellStyle name="常规 5 4 3 4 2 3 5" xfId="22929"/>
    <cellStyle name="常规 5 4 3 4 2 3 6" xfId="22936"/>
    <cellStyle name="常规 5 4 3 4 2 4" xfId="26003"/>
    <cellStyle name="常规 5 4 3 4 2 4 2" xfId="26005"/>
    <cellStyle name="常规 5 4 3 4 2 4 2 2" xfId="26007"/>
    <cellStyle name="常规 5 4 3 4 2 4 2 2 2" xfId="26009"/>
    <cellStyle name="常规 5 4 3 4 2 4 2 3" xfId="26012"/>
    <cellStyle name="常规 5 4 3 4 2 4 2 4" xfId="26015"/>
    <cellStyle name="常规 5 4 3 4 2 4 3" xfId="26017"/>
    <cellStyle name="常规 5 4 3 4 2 4 3 2" xfId="26019"/>
    <cellStyle name="常规 5 4 3 4 2 4 4" xfId="22951"/>
    <cellStyle name="常规 5 4 3 4 2 4 5" xfId="22957"/>
    <cellStyle name="常规 5 4 3 4 2 5" xfId="26021"/>
    <cellStyle name="常规 5 4 3 4 2 5 2" xfId="26024"/>
    <cellStyle name="常规 5 4 3 4 2 5 2 2" xfId="26027"/>
    <cellStyle name="常规 5 4 3 4 2 5 3" xfId="26030"/>
    <cellStyle name="常规 5 4 3 4 2 5 4" xfId="22969"/>
    <cellStyle name="常规 5 4 3 4 2 6" xfId="13047"/>
    <cellStyle name="常规 5 4 3 4 2 6 2" xfId="13052"/>
    <cellStyle name="常规 5 4 3 4 2 7" xfId="13059"/>
    <cellStyle name="常规 5 4 3 4 2 8" xfId="13067"/>
    <cellStyle name="常规 5 4 3 4 3" xfId="12592"/>
    <cellStyle name="常规 5 4 3 4 3 2" xfId="2279"/>
    <cellStyle name="常规 5 4 3 4 3 2 2" xfId="9512"/>
    <cellStyle name="常规 5 4 3 4 3 2 2 2" xfId="17204"/>
    <cellStyle name="常规 5 4 3 4 3 2 2 2 2" xfId="26033"/>
    <cellStyle name="常规 5 4 3 4 3 2 2 2 2 2" xfId="20307"/>
    <cellStyle name="常规 5 4 3 4 3 2 2 2 3" xfId="25632"/>
    <cellStyle name="常规 5 4 3 4 3 2 2 2 4" xfId="26035"/>
    <cellStyle name="常规 5 4 3 4 3 2 2 3" xfId="17208"/>
    <cellStyle name="常规 5 4 3 4 3 2 2 3 2" xfId="26037"/>
    <cellStyle name="常规 5 4 3 4 3 2 2 4" xfId="1011"/>
    <cellStyle name="常规 5 4 3 4 3 2 2 5" xfId="1020"/>
    <cellStyle name="常规 5 4 3 4 3 2 3" xfId="9515"/>
    <cellStyle name="常规 5 4 3 4 3 2 3 2" xfId="26039"/>
    <cellStyle name="常规 5 4 3 4 3 2 3 2 2" xfId="26041"/>
    <cellStyle name="常规 5 4 3 4 3 2 3 3" xfId="26043"/>
    <cellStyle name="常规 5 4 3 4 3 2 3 4" xfId="1035"/>
    <cellStyle name="常规 5 4 3 4 3 2 4" xfId="26045"/>
    <cellStyle name="常规 5 4 3 4 3 2 4 2" xfId="26048"/>
    <cellStyle name="常规 5 4 3 4 3 2 5" xfId="26051"/>
    <cellStyle name="常规 5 4 3 4 3 2 6" xfId="26053"/>
    <cellStyle name="常规 5 4 3 4 3 3" xfId="26057"/>
    <cellStyle name="常规 5 4 3 4 3 3 2" xfId="9529"/>
    <cellStyle name="常规 5 4 3 4 3 3 2 2" xfId="26059"/>
    <cellStyle name="常规 5 4 3 4 3 3 2 2 2" xfId="26061"/>
    <cellStyle name="常规 5 4 3 4 3 3 2 3" xfId="26064"/>
    <cellStyle name="常规 5 4 3 4 3 3 2 4" xfId="4935"/>
    <cellStyle name="常规 5 4 3 4 3 3 3" xfId="16498"/>
    <cellStyle name="常规 5 4 3 4 3 3 3 2" xfId="26066"/>
    <cellStyle name="常规 5 4 3 4 3 3 4" xfId="22999"/>
    <cellStyle name="常规 5 4 3 4 3 3 5" xfId="23009"/>
    <cellStyle name="常规 5 4 3 4 3 4" xfId="26068"/>
    <cellStyle name="常规 5 4 3 4 3 4 2" xfId="26070"/>
    <cellStyle name="常规 5 4 3 4 3 4 2 2" xfId="26072"/>
    <cellStyle name="常规 5 4 3 4 3 4 3" xfId="18861"/>
    <cellStyle name="常规 5 4 3 4 3 4 4" xfId="23021"/>
    <cellStyle name="常规 5 4 3 4 3 5" xfId="26074"/>
    <cellStyle name="常规 5 4 3 4 3 5 2" xfId="26078"/>
    <cellStyle name="常规 5 4 3 4 3 6" xfId="13074"/>
    <cellStyle name="常规 5 4 3 4 3 7" xfId="26082"/>
    <cellStyle name="常规 5 4 3 4 4" xfId="2593"/>
    <cellStyle name="常规 5 4 3 4 4 2" xfId="26086"/>
    <cellStyle name="常规 5 4 3 4 4 2 2" xfId="9560"/>
    <cellStyle name="常规 5 4 3 4 4 2 2 2" xfId="26088"/>
    <cellStyle name="常规 5 4 3 4 4 2 2 2 2" xfId="26090"/>
    <cellStyle name="常规 5 4 3 4 4 2 2 3" xfId="26092"/>
    <cellStyle name="常规 5 4 3 4 4 2 2 4" xfId="1088"/>
    <cellStyle name="常规 5 4 3 4 4 2 3" xfId="26094"/>
    <cellStyle name="常规 5 4 3 4 4 2 3 2" xfId="26096"/>
    <cellStyle name="常规 5 4 3 4 4 2 4" xfId="26098"/>
    <cellStyle name="常规 5 4 3 4 4 2 5" xfId="13877"/>
    <cellStyle name="常规 5 4 3 4 4 3" xfId="26100"/>
    <cellStyle name="常规 5 4 3 4 4 3 2" xfId="26102"/>
    <cellStyle name="常规 5 4 3 4 4 3 2 2" xfId="26104"/>
    <cellStyle name="常规 5 4 3 4 4 3 3" xfId="26106"/>
    <cellStyle name="常规 5 4 3 4 4 3 4" xfId="23041"/>
    <cellStyle name="常规 5 4 3 4 4 4" xfId="26108"/>
    <cellStyle name="常规 5 4 3 4 4 4 2" xfId="7440"/>
    <cellStyle name="常规 5 4 3 4 4 5" xfId="17975"/>
    <cellStyle name="常规 5 4 3 4 4 6" xfId="26110"/>
    <cellStyle name="常规 5 4 3 4 5" xfId="26113"/>
    <cellStyle name="常规 5 4 3 4 5 2" xfId="26115"/>
    <cellStyle name="常规 5 4 3 4 5 2 2" xfId="26117"/>
    <cellStyle name="常规 5 4 3 4 5 2 2 2" xfId="26119"/>
    <cellStyle name="常规 5 4 3 4 5 2 3" xfId="26121"/>
    <cellStyle name="常规 5 4 3 4 5 2 4" xfId="26123"/>
    <cellStyle name="常规 5 4 3 4 5 3" xfId="26125"/>
    <cellStyle name="常规 5 4 3 4 5 3 2" xfId="26127"/>
    <cellStyle name="常规 5 4 3 4 5 4" xfId="15814"/>
    <cellStyle name="常规 5 4 3 4 5 5" xfId="26129"/>
    <cellStyle name="常规 5 4 3 4 6" xfId="24896"/>
    <cellStyle name="常规 5 4 3 4 6 2" xfId="19469"/>
    <cellStyle name="常规 5 4 3 4 6 2 2" xfId="24901"/>
    <cellStyle name="常规 5 4 3 4 6 3" xfId="19373"/>
    <cellStyle name="常规 5 4 3 4 6 4" xfId="24935"/>
    <cellStyle name="常规 5 4 3 4 7" xfId="21980"/>
    <cellStyle name="常规 5 4 3 4 7 2" xfId="24943"/>
    <cellStyle name="常规 5 4 3 4 8" xfId="24964"/>
    <cellStyle name="常规 5 4 3 4 9" xfId="24976"/>
    <cellStyle name="常规 5 4 3 5" xfId="26132"/>
    <cellStyle name="常规 5 4 3 5 2" xfId="26135"/>
    <cellStyle name="常规 5 4 3 5 2 2" xfId="3788"/>
    <cellStyle name="常规 5 4 3 5 2 2 2" xfId="26137"/>
    <cellStyle name="常规 5 4 3 5 2 2 2 2" xfId="26139"/>
    <cellStyle name="常规 5 4 3 5 2 2 2 2 2" xfId="26142"/>
    <cellStyle name="常规 5 4 3 5 2 2 2 2 2 2" xfId="24307"/>
    <cellStyle name="常规 5 4 3 5 2 2 2 2 3" xfId="26146"/>
    <cellStyle name="常规 5 4 3 5 2 2 2 2 4" xfId="26150"/>
    <cellStyle name="常规 5 4 3 5 2 2 2 3" xfId="26153"/>
    <cellStyle name="常规 5 4 3 5 2 2 2 3 2" xfId="26155"/>
    <cellStyle name="常规 5 4 3 5 2 2 2 4" xfId="26159"/>
    <cellStyle name="常规 5 4 3 5 2 2 2 5" xfId="26162"/>
    <cellStyle name="常规 5 4 3 5 2 2 3" xfId="22170"/>
    <cellStyle name="常规 5 4 3 5 2 2 3 2" xfId="26165"/>
    <cellStyle name="常规 5 4 3 5 2 2 3 2 2" xfId="26167"/>
    <cellStyle name="常规 5 4 3 5 2 2 3 3" xfId="26170"/>
    <cellStyle name="常规 5 4 3 5 2 2 3 4" xfId="26173"/>
    <cellStyle name="常规 5 4 3 5 2 2 4" xfId="26176"/>
    <cellStyle name="常规 5 4 3 5 2 2 4 2" xfId="26178"/>
    <cellStyle name="常规 5 4 3 5 2 2 5" xfId="26182"/>
    <cellStyle name="常规 5 4 3 5 2 2 6" xfId="26184"/>
    <cellStyle name="常规 5 4 3 5 2 3" xfId="26190"/>
    <cellStyle name="常规 5 4 3 5 2 3 2" xfId="26192"/>
    <cellStyle name="常规 5 4 3 5 2 3 2 2" xfId="26194"/>
    <cellStyle name="常规 5 4 3 5 2 3 2 2 2" xfId="26196"/>
    <cellStyle name="常规 5 4 3 5 2 3 2 3" xfId="26202"/>
    <cellStyle name="常规 5 4 3 5 2 3 2 4" xfId="26205"/>
    <cellStyle name="常规 5 4 3 5 2 3 3" xfId="26208"/>
    <cellStyle name="常规 5 4 3 5 2 3 3 2" xfId="21198"/>
    <cellStyle name="常规 5 4 3 5 2 3 4" xfId="23077"/>
    <cellStyle name="常规 5 4 3 5 2 3 5" xfId="23105"/>
    <cellStyle name="常规 5 4 3 5 2 4" xfId="26212"/>
    <cellStyle name="常规 5 4 3 5 2 4 2" xfId="26214"/>
    <cellStyle name="常规 5 4 3 5 2 4 2 2" xfId="22911"/>
    <cellStyle name="常规 5 4 3 5 2 4 3" xfId="26218"/>
    <cellStyle name="常规 5 4 3 5 2 4 4" xfId="23133"/>
    <cellStyle name="常规 5 4 3 5 2 5" xfId="26220"/>
    <cellStyle name="常规 5 4 3 5 2 5 2" xfId="26223"/>
    <cellStyle name="常规 5 4 3 5 2 6" xfId="26226"/>
    <cellStyle name="常规 5 4 3 5 2 7" xfId="26232"/>
    <cellStyle name="常规 5 4 3 5 3" xfId="26240"/>
    <cellStyle name="常规 5 4 3 5 3 2" xfId="3818"/>
    <cellStyle name="常规 5 4 3 5 3 2 2" xfId="9616"/>
    <cellStyle name="常规 5 4 3 5 3 2 2 2" xfId="26242"/>
    <cellStyle name="常规 5 4 3 5 3 2 2 2 2" xfId="26244"/>
    <cellStyle name="常规 5 4 3 5 3 2 2 3" xfId="26249"/>
    <cellStyle name="常规 5 4 3 5 3 2 2 4" xfId="4796"/>
    <cellStyle name="常规 5 4 3 5 3 2 3" xfId="26252"/>
    <cellStyle name="常规 5 4 3 5 3 2 3 2" xfId="26254"/>
    <cellStyle name="常规 5 4 3 5 3 2 4" xfId="7047"/>
    <cellStyle name="常规 5 4 3 5 3 2 5" xfId="7050"/>
    <cellStyle name="常规 5 4 3 5 3 3" xfId="26258"/>
    <cellStyle name="常规 5 4 3 5 3 3 2" xfId="26260"/>
    <cellStyle name="常规 5 4 3 5 3 3 2 2" xfId="26262"/>
    <cellStyle name="常规 5 4 3 5 3 3 3" xfId="26265"/>
    <cellStyle name="常规 5 4 3 5 3 3 4" xfId="98"/>
    <cellStyle name="常规 5 4 3 5 3 4" xfId="26268"/>
    <cellStyle name="常规 5 4 3 5 3 4 2" xfId="9268"/>
    <cellStyle name="常规 5 4 3 5 3 5" xfId="26271"/>
    <cellStyle name="常规 5 4 3 5 3 6" xfId="26273"/>
    <cellStyle name="常规 5 4 3 5 4" xfId="26282"/>
    <cellStyle name="常规 5 4 3 5 4 2" xfId="26284"/>
    <cellStyle name="常规 5 4 3 5 4 2 2" xfId="26286"/>
    <cellStyle name="常规 5 4 3 5 4 2 2 2" xfId="22881"/>
    <cellStyle name="常规 5 4 3 5 4 2 3" xfId="26288"/>
    <cellStyle name="常规 5 4 3 5 4 2 4" xfId="7056"/>
    <cellStyle name="常规 5 4 3 5 4 3" xfId="26291"/>
    <cellStyle name="常规 5 4 3 5 4 3 2" xfId="17094"/>
    <cellStyle name="常规 5 4 3 5 4 4" xfId="26294"/>
    <cellStyle name="常规 5 4 3 5 4 5" xfId="26296"/>
    <cellStyle name="常规 5 4 3 5 5" xfId="26300"/>
    <cellStyle name="常规 5 4 3 5 5 2" xfId="26302"/>
    <cellStyle name="常规 5 4 3 5 5 2 2" xfId="26304"/>
    <cellStyle name="常规 5 4 3 5 5 3" xfId="26308"/>
    <cellStyle name="常规 5 4 3 5 5 4" xfId="26311"/>
    <cellStyle name="常规 5 4 3 5 6" xfId="24988"/>
    <cellStyle name="常规 5 4 3 5 6 2" xfId="24992"/>
    <cellStyle name="常规 5 4 3 5 7" xfId="25012"/>
    <cellStyle name="常规 5 4 3 5 8" xfId="25025"/>
    <cellStyle name="常规 5 4 3 6" xfId="26315"/>
    <cellStyle name="常规 5 4 3 6 2" xfId="3744"/>
    <cellStyle name="常规 5 4 3 6 2 2" xfId="3991"/>
    <cellStyle name="常规 5 4 3 6 2 2 2" xfId="26317"/>
    <cellStyle name="常规 5 4 3 6 2 2 2 2" xfId="26320"/>
    <cellStyle name="常规 5 4 3 6 2 2 2 2 2" xfId="26323"/>
    <cellStyle name="常规 5 4 3 6 2 2 2 3" xfId="26328"/>
    <cellStyle name="常规 5 4 3 6 2 2 2 4" xfId="26333"/>
    <cellStyle name="常规 5 4 3 6 2 2 3" xfId="26341"/>
    <cellStyle name="常规 5 4 3 6 2 2 3 2" xfId="26345"/>
    <cellStyle name="常规 5 4 3 6 2 2 4" xfId="26352"/>
    <cellStyle name="常规 5 4 3 6 2 2 5" xfId="26358"/>
    <cellStyle name="常规 5 4 3 6 2 3" xfId="26361"/>
    <cellStyle name="常规 5 4 3 6 2 3 2" xfId="26364"/>
    <cellStyle name="常规 5 4 3 6 2 3 2 2" xfId="26367"/>
    <cellStyle name="常规 5 4 3 6 2 3 3" xfId="26377"/>
    <cellStyle name="常规 5 4 3 6 2 3 4" xfId="23272"/>
    <cellStyle name="常规 5 4 3 6 2 4" xfId="26380"/>
    <cellStyle name="常规 5 4 3 6 2 4 2" xfId="26383"/>
    <cellStyle name="常规 5 4 3 6 2 5" xfId="26390"/>
    <cellStyle name="常规 5 4 3 6 2 6" xfId="26395"/>
    <cellStyle name="常规 5 4 3 6 3" xfId="25469"/>
    <cellStyle name="常规 5 4 3 6 3 2" xfId="4015"/>
    <cellStyle name="常规 5 4 3 6 3 2 2" xfId="10690"/>
    <cellStyle name="常规 5 4 3 6 3 2 2 2" xfId="10694"/>
    <cellStyle name="常规 5 4 3 6 3 2 3" xfId="10987"/>
    <cellStyle name="常规 5 4 3 6 3 2 4" xfId="6887"/>
    <cellStyle name="常规 5 4 3 6 3 3" xfId="26406"/>
    <cellStyle name="常规 5 4 3 6 3 3 2" xfId="11815"/>
    <cellStyle name="常规 5 4 3 6 3 4" xfId="7873"/>
    <cellStyle name="常规 5 4 3 6 3 5" xfId="7884"/>
    <cellStyle name="常规 5 4 3 6 4" xfId="26409"/>
    <cellStyle name="常规 5 4 3 6 4 2" xfId="26411"/>
    <cellStyle name="常规 5 4 3 6 4 2 2" xfId="13537"/>
    <cellStyle name="常规 5 4 3 6 4 3" xfId="26414"/>
    <cellStyle name="常规 5 4 3 6 4 4" xfId="7889"/>
    <cellStyle name="常规 5 4 3 6 5" xfId="26419"/>
    <cellStyle name="常规 5 4 3 6 5 2" xfId="26421"/>
    <cellStyle name="常规 5 4 3 6 6" xfId="25042"/>
    <cellStyle name="常规 5 4 3 6 7" xfId="25052"/>
    <cellStyle name="常规 5 4 3 7" xfId="26430"/>
    <cellStyle name="常规 5 4 3 7 2" xfId="26432"/>
    <cellStyle name="常规 5 4 3 7 2 2" xfId="26434"/>
    <cellStyle name="常规 5 4 3 7 2 2 2" xfId="26437"/>
    <cellStyle name="常规 5 4 3 7 2 2 2 2" xfId="26442"/>
    <cellStyle name="常规 5 4 3 7 2 2 3" xfId="13866"/>
    <cellStyle name="常规 5 4 3 7 2 2 4" xfId="26453"/>
    <cellStyle name="常规 5 4 3 7 2 3" xfId="26458"/>
    <cellStyle name="常规 5 4 3 7 2 3 2" xfId="26461"/>
    <cellStyle name="常规 5 4 3 7 2 4" xfId="26469"/>
    <cellStyle name="常规 5 4 3 7 2 5" xfId="26475"/>
    <cellStyle name="常规 5 4 3 7 3" xfId="26482"/>
    <cellStyle name="常规 5 4 3 7 3 2" xfId="26484"/>
    <cellStyle name="常规 5 4 3 7 3 2 2" xfId="3032"/>
    <cellStyle name="常规 5 4 3 7 3 3" xfId="26487"/>
    <cellStyle name="常规 5 4 3 7 3 4" xfId="7898"/>
    <cellStyle name="常规 5 4 3 7 4" xfId="26492"/>
    <cellStyle name="常规 5 4 3 7 4 2" xfId="26494"/>
    <cellStyle name="常规 5 4 3 7 5" xfId="26497"/>
    <cellStyle name="常规 5 4 3 7 6" xfId="25064"/>
    <cellStyle name="常规 5 4 3 8" xfId="26501"/>
    <cellStyle name="常规 5 4 3 8 2" xfId="26503"/>
    <cellStyle name="常规 5 4 3 8 2 2" xfId="26505"/>
    <cellStyle name="常规 5 4 3 8 2 2 2" xfId="26509"/>
    <cellStyle name="常规 5 4 3 8 2 3" xfId="26517"/>
    <cellStyle name="常规 5 4 3 8 2 4" xfId="26522"/>
    <cellStyle name="常规 5 4 3 8 3" xfId="14000"/>
    <cellStyle name="常规 5 4 3 8 3 2" xfId="14003"/>
    <cellStyle name="常规 5 4 3 8 4" xfId="14014"/>
    <cellStyle name="常规 5 4 3 8 5" xfId="14020"/>
    <cellStyle name="常规 5 4 3 9" xfId="26527"/>
    <cellStyle name="常规 5 4 3 9 2" xfId="20477"/>
    <cellStyle name="常规 5 4 3 9 2 2" xfId="26529"/>
    <cellStyle name="常规 5 4 3 9 3" xfId="14032"/>
    <cellStyle name="常规 5 4 3 9 4" xfId="14039"/>
    <cellStyle name="常规 5 4 4" xfId="32971"/>
    <cellStyle name="常规 5 4 4 10" xfId="32972"/>
    <cellStyle name="常规 5 4 4 11" xfId="32973"/>
    <cellStyle name="常规 5 4 4 2" xfId="32974"/>
    <cellStyle name="常规 5 4 4 2 2" xfId="6097"/>
    <cellStyle name="常规 5 4 4 2 2 2" xfId="12642"/>
    <cellStyle name="常规 5 4 4 2 2 2 2" xfId="32975"/>
    <cellStyle name="常规 5 4 4 2 2 2 2 2" xfId="32976"/>
    <cellStyle name="常规 5 4 4 2 2 2 2 2 2" xfId="32977"/>
    <cellStyle name="常规 5 4 4 2 2 2 2 2 2 2" xfId="32978"/>
    <cellStyle name="常规 5 4 4 2 2 2 2 2 2 2 2" xfId="32979"/>
    <cellStyle name="常规 5 4 4 2 2 2 2 2 2 3" xfId="32002"/>
    <cellStyle name="常规 5 4 4 2 2 2 2 2 2 4" xfId="32980"/>
    <cellStyle name="常规 5 4 4 2 2 2 2 2 3" xfId="32981"/>
    <cellStyle name="常规 5 4 4 2 2 2 2 2 3 2" xfId="32982"/>
    <cellStyle name="常规 5 4 4 2 2 2 2 2 4" xfId="32983"/>
    <cellStyle name="常规 5 4 4 2 2 2 2 2 5" xfId="32984"/>
    <cellStyle name="常规 5 4 4 2 2 2 2 3" xfId="14357"/>
    <cellStyle name="常规 5 4 4 2 2 2 2 3 2" xfId="14360"/>
    <cellStyle name="常规 5 4 4 2 2 2 2 3 2 2" xfId="14363"/>
    <cellStyle name="常规 5 4 4 2 2 2 2 3 3" xfId="14365"/>
    <cellStyle name="常规 5 4 4 2 2 2 2 3 4" xfId="14367"/>
    <cellStyle name="常规 5 4 4 2 2 2 2 4" xfId="14369"/>
    <cellStyle name="常规 5 4 4 2 2 2 2 4 2" xfId="14373"/>
    <cellStyle name="常规 5 4 4 2 2 2 2 5" xfId="14375"/>
    <cellStyle name="常规 5 4 4 2 2 2 2 6" xfId="14379"/>
    <cellStyle name="常规 5 4 4 2 2 2 3" xfId="22200"/>
    <cellStyle name="常规 5 4 4 2 2 2 3 2" xfId="22202"/>
    <cellStyle name="常规 5 4 4 2 2 2 3 2 2" xfId="22204"/>
    <cellStyle name="常规 5 4 4 2 2 2 3 2 2 2" xfId="28909"/>
    <cellStyle name="常规 5 4 4 2 2 2 3 2 3" xfId="32985"/>
    <cellStyle name="常规 5 4 4 2 2 2 3 2 4" xfId="32986"/>
    <cellStyle name="常规 5 4 4 2 2 2 3 3" xfId="14384"/>
    <cellStyle name="常规 5 4 4 2 2 2 3 3 2" xfId="14388"/>
    <cellStyle name="常规 5 4 4 2 2 2 3 4" xfId="14390"/>
    <cellStyle name="常规 5 4 4 2 2 2 3 5" xfId="14393"/>
    <cellStyle name="常规 5 4 4 2 2 2 4" xfId="22206"/>
    <cellStyle name="常规 5 4 4 2 2 2 4 2" xfId="22208"/>
    <cellStyle name="常规 5 4 4 2 2 2 4 2 2" xfId="32987"/>
    <cellStyle name="常规 5 4 4 2 2 2 4 3" xfId="10672"/>
    <cellStyle name="常规 5 4 4 2 2 2 4 4" xfId="11429"/>
    <cellStyle name="常规 5 4 4 2 2 2 5" xfId="22210"/>
    <cellStyle name="常规 5 4 4 2 2 2 5 2" xfId="32988"/>
    <cellStyle name="常规 5 4 4 2 2 2 6" xfId="13392"/>
    <cellStyle name="常规 5 4 4 2 2 2 7" xfId="13402"/>
    <cellStyle name="常规 5 4 4 2 2 3" xfId="32989"/>
    <cellStyle name="常规 5 4 4 2 2 3 2" xfId="28863"/>
    <cellStyle name="常规 5 4 4 2 2 3 2 2" xfId="28866"/>
    <cellStyle name="常规 5 4 4 2 2 3 2 2 2" xfId="32990"/>
    <cellStyle name="常规 5 4 4 2 2 3 2 2 2 2" xfId="25777"/>
    <cellStyle name="常规 5 4 4 2 2 3 2 2 3" xfId="32991"/>
    <cellStyle name="常规 5 4 4 2 2 3 2 2 4" xfId="32992"/>
    <cellStyle name="常规 5 4 4 2 2 3 2 3" xfId="14421"/>
    <cellStyle name="常规 5 4 4 2 2 3 2 3 2" xfId="14424"/>
    <cellStyle name="常规 5 4 4 2 2 3 2 4" xfId="14426"/>
    <cellStyle name="常规 5 4 4 2 2 3 2 5" xfId="14429"/>
    <cellStyle name="常规 5 4 4 2 2 3 3" xfId="22213"/>
    <cellStyle name="常规 5 4 4 2 2 3 3 2" xfId="22216"/>
    <cellStyle name="常规 5 4 4 2 2 3 3 2 2" xfId="32993"/>
    <cellStyle name="常规 5 4 4 2 2 3 3 3" xfId="14433"/>
    <cellStyle name="常规 5 4 4 2 2 3 3 4" xfId="32994"/>
    <cellStyle name="常规 5 4 4 2 2 3 4" xfId="22218"/>
    <cellStyle name="常规 5 4 4 2 2 3 4 2" xfId="23406"/>
    <cellStyle name="常规 5 4 4 2 2 3 5" xfId="22222"/>
    <cellStyle name="常规 5 4 4 2 2 3 6" xfId="13420"/>
    <cellStyle name="常规 5 4 4 2 2 4" xfId="32995"/>
    <cellStyle name="常规 5 4 4 2 2 4 2" xfId="29001"/>
    <cellStyle name="常规 5 4 4 2 2 4 2 2" xfId="29003"/>
    <cellStyle name="常规 5 4 4 2 2 4 2 2 2" xfId="32996"/>
    <cellStyle name="常规 5 4 4 2 2 4 2 3" xfId="14444"/>
    <cellStyle name="常规 5 4 4 2 2 4 2 4" xfId="32997"/>
    <cellStyle name="常规 5 4 4 2 2 4 3" xfId="22226"/>
    <cellStyle name="常规 5 4 4 2 2 4 3 2" xfId="32998"/>
    <cellStyle name="常规 5 4 4 2 2 4 4" xfId="23470"/>
    <cellStyle name="常规 5 4 4 2 2 4 5" xfId="23483"/>
    <cellStyle name="常规 5 4 4 2 2 5" xfId="32999"/>
    <cellStyle name="常规 5 4 4 2 2 5 2" xfId="17607"/>
    <cellStyle name="常规 5 4 4 2 2 5 2 2" xfId="33000"/>
    <cellStyle name="常规 5 4 4 2 2 5 3" xfId="17610"/>
    <cellStyle name="常规 5 4 4 2 2 5 4" xfId="23500"/>
    <cellStyle name="常规 5 4 4 2 2 6" xfId="14556"/>
    <cellStyle name="常规 5 4 4 2 2 6 2" xfId="14560"/>
    <cellStyle name="常规 5 4 4 2 2 7" xfId="2668"/>
    <cellStyle name="常规 5 4 4 2 2 8" xfId="14571"/>
    <cellStyle name="常规 5 4 4 2 3" xfId="12645"/>
    <cellStyle name="常规 5 4 4 2 3 2" xfId="33001"/>
    <cellStyle name="常规 5 4 4 2 3 2 2" xfId="29195"/>
    <cellStyle name="常规 5 4 4 2 3 2 2 2" xfId="16174"/>
    <cellStyle name="常规 5 4 4 2 3 2 2 2 2" xfId="29199"/>
    <cellStyle name="常规 5 4 4 2 3 2 2 2 2 2" xfId="4272"/>
    <cellStyle name="常规 5 4 4 2 3 2 2 2 3" xfId="29201"/>
    <cellStyle name="常规 5 4 4 2 3 2 2 2 4" xfId="29203"/>
    <cellStyle name="常规 5 4 4 2 3 2 2 3" xfId="14501"/>
    <cellStyle name="常规 5 4 4 2 3 2 2 3 2" xfId="14507"/>
    <cellStyle name="常规 5 4 4 2 3 2 2 4" xfId="5247"/>
    <cellStyle name="常规 5 4 4 2 3 2 2 5" xfId="5252"/>
    <cellStyle name="常规 5 4 4 2 3 2 3" xfId="22232"/>
    <cellStyle name="常规 5 4 4 2 3 2 3 2" xfId="16186"/>
    <cellStyle name="常规 5 4 4 2 3 2 3 2 2" xfId="29206"/>
    <cellStyle name="常规 5 4 4 2 3 2 3 3" xfId="14512"/>
    <cellStyle name="常规 5 4 4 2 3 2 3 4" xfId="5267"/>
    <cellStyle name="常规 5 4 4 2 3 2 4" xfId="22236"/>
    <cellStyle name="常规 5 4 4 2 3 2 4 2" xfId="29209"/>
    <cellStyle name="常规 5 4 4 2 3 2 5" xfId="1838"/>
    <cellStyle name="常规 5 4 4 2 3 2 6" xfId="13481"/>
    <cellStyle name="常规 5 4 4 2 3 3" xfId="33002"/>
    <cellStyle name="常规 5 4 4 2 3 3 2" xfId="29109"/>
    <cellStyle name="常规 5 4 4 2 3 3 2 2" xfId="16418"/>
    <cellStyle name="常规 5 4 4 2 3 3 2 2 2" xfId="29222"/>
    <cellStyle name="常规 5 4 4 2 3 3 2 3" xfId="14529"/>
    <cellStyle name="常规 5 4 4 2 3 3 2 4" xfId="5300"/>
    <cellStyle name="常规 5 4 4 2 3 3 3" xfId="22241"/>
    <cellStyle name="常规 5 4 4 2 3 3 3 2" xfId="29224"/>
    <cellStyle name="常规 5 4 4 2 3 3 4" xfId="23544"/>
    <cellStyle name="常规 5 4 4 2 3 3 5" xfId="23587"/>
    <cellStyle name="常规 5 4 4 2 3 4" xfId="33003"/>
    <cellStyle name="常规 5 4 4 2 3 4 2" xfId="29146"/>
    <cellStyle name="常规 5 4 4 2 3 4 2 2" xfId="7221"/>
    <cellStyle name="常规 5 4 4 2 3 4 3" xfId="29229"/>
    <cellStyle name="常规 5 4 4 2 3 4 4" xfId="23630"/>
    <cellStyle name="常规 5 4 4 2 3 5" xfId="33004"/>
    <cellStyle name="常规 5 4 4 2 3 5 2" xfId="633"/>
    <cellStyle name="常规 5 4 4 2 3 6" xfId="14574"/>
    <cellStyle name="常规 5 4 4 2 3 7" xfId="14578"/>
    <cellStyle name="常规 5 4 4 2 4" xfId="12649"/>
    <cellStyle name="常规 5 4 4 2 4 2" xfId="22996"/>
    <cellStyle name="常规 5 4 4 2 4 2 2" xfId="29258"/>
    <cellStyle name="常规 5 4 4 2 4 2 2 2" xfId="18963"/>
    <cellStyle name="常规 5 4 4 2 4 2 2 2 2" xfId="29260"/>
    <cellStyle name="常规 5 4 4 2 4 2 2 3" xfId="14566"/>
    <cellStyle name="常规 5 4 4 2 4 2 2 4" xfId="4285"/>
    <cellStyle name="常规 5 4 4 2 4 2 3" xfId="4296"/>
    <cellStyle name="常规 5 4 4 2 4 2 3 2" xfId="4301"/>
    <cellStyle name="常规 5 4 4 2 4 2 4" xfId="4325"/>
    <cellStyle name="常规 5 4 4 2 4 2 5" xfId="3438"/>
    <cellStyle name="常规 5 4 4 2 4 3" xfId="33005"/>
    <cellStyle name="常规 5 4 4 2 4 3 2" xfId="29241"/>
    <cellStyle name="常规 5 4 4 2 4 3 2 2" xfId="19026"/>
    <cellStyle name="常规 5 4 4 2 4 3 3" xfId="4375"/>
    <cellStyle name="常规 5 4 4 2 4 3 4" xfId="4384"/>
    <cellStyle name="常规 5 4 4 2 4 4" xfId="33006"/>
    <cellStyle name="常规 5 4 4 2 4 4 2" xfId="4430"/>
    <cellStyle name="常规 5 4 4 2 4 5" xfId="33007"/>
    <cellStyle name="常规 5 4 4 2 4 6" xfId="14582"/>
    <cellStyle name="常规 5 4 4 2 5" xfId="33009"/>
    <cellStyle name="常规 5 4 4 2 5 2" xfId="33010"/>
    <cellStyle name="常规 5 4 4 2 5 2 2" xfId="29271"/>
    <cellStyle name="常规 5 4 4 2 5 2 2 2" xfId="15406"/>
    <cellStyle name="常规 5 4 4 2 5 2 3" xfId="4480"/>
    <cellStyle name="常规 5 4 4 2 5 2 4" xfId="4491"/>
    <cellStyle name="常规 5 4 4 2 5 3" xfId="33011"/>
    <cellStyle name="常规 5 4 4 2 5 3 2" xfId="29278"/>
    <cellStyle name="常规 5 4 4 2 5 4" xfId="33012"/>
    <cellStyle name="常规 5 4 4 2 5 5" xfId="33013"/>
    <cellStyle name="常规 5 4 4 2 6" xfId="33014"/>
    <cellStyle name="常规 5 4 4 2 6 2" xfId="33015"/>
    <cellStyle name="常规 5 4 4 2 6 2 2" xfId="29285"/>
    <cellStyle name="常规 5 4 4 2 6 3" xfId="33016"/>
    <cellStyle name="常规 5 4 4 2 6 4" xfId="33017"/>
    <cellStyle name="常规 5 4 4 2 7" xfId="33018"/>
    <cellStyle name="常规 5 4 4 2 7 2" xfId="33019"/>
    <cellStyle name="常规 5 4 4 2 8" xfId="33020"/>
    <cellStyle name="常规 5 4 4 2 9" xfId="33021"/>
    <cellStyle name="常规 5 4 4 3" xfId="33022"/>
    <cellStyle name="常规 5 4 4 3 2" xfId="12657"/>
    <cellStyle name="常规 5 4 4 3 2 2" xfId="33023"/>
    <cellStyle name="常规 5 4 4 3 2 2 2" xfId="33024"/>
    <cellStyle name="常规 5 4 4 3 2 2 2 2" xfId="33025"/>
    <cellStyle name="常规 5 4 4 3 2 2 2 2 2" xfId="33027"/>
    <cellStyle name="常规 5 4 4 3 2 2 2 2 2 2" xfId="33030"/>
    <cellStyle name="常规 5 4 4 3 2 2 2 2 2 2 2" xfId="3986"/>
    <cellStyle name="常规 5 4 4 3 2 2 2 2 2 3" xfId="33032"/>
    <cellStyle name="常规 5 4 4 3 2 2 2 2 2 4" xfId="33034"/>
    <cellStyle name="常规 5 4 4 3 2 2 2 2 3" xfId="33036"/>
    <cellStyle name="常规 5 4 4 3 2 2 2 2 3 2" xfId="33038"/>
    <cellStyle name="常规 5 4 4 3 2 2 2 2 4" xfId="20972"/>
    <cellStyle name="常规 5 4 4 3 2 2 2 2 5" xfId="33039"/>
    <cellStyle name="常规 5 4 4 3 2 2 2 3" xfId="15126"/>
    <cellStyle name="常规 5 4 4 3 2 2 2 3 2" xfId="12110"/>
    <cellStyle name="常规 5 4 4 3 2 2 2 3 2 2" xfId="33041"/>
    <cellStyle name="常规 5 4 4 3 2 2 2 3 3" xfId="12115"/>
    <cellStyle name="常规 5 4 4 3 2 2 2 3 4" xfId="33042"/>
    <cellStyle name="常规 5 4 4 3 2 2 2 4" xfId="15129"/>
    <cellStyle name="常规 5 4 4 3 2 2 2 4 2" xfId="33044"/>
    <cellStyle name="常规 5 4 4 3 2 2 2 5" xfId="15131"/>
    <cellStyle name="常规 5 4 4 3 2 2 2 6" xfId="33045"/>
    <cellStyle name="常规 5 4 4 3 2 2 3" xfId="22249"/>
    <cellStyle name="常规 5 4 4 3 2 2 3 2" xfId="22251"/>
    <cellStyle name="常规 5 4 4 3 2 2 3 2 2" xfId="33047"/>
    <cellStyle name="常规 5 4 4 3 2 2 3 2 2 2" xfId="33049"/>
    <cellStyle name="常规 5 4 4 3 2 2 3 2 3" xfId="33051"/>
    <cellStyle name="常规 5 4 4 3 2 2 3 2 4" xfId="33052"/>
    <cellStyle name="常规 5 4 4 3 2 2 3 3" xfId="15135"/>
    <cellStyle name="常规 5 4 4 3 2 2 3 3 2" xfId="33053"/>
    <cellStyle name="常规 5 4 4 3 2 2 3 4" xfId="33054"/>
    <cellStyle name="常规 5 4 4 3 2 2 3 5" xfId="33055"/>
    <cellStyle name="常规 5 4 4 3 2 2 4" xfId="22253"/>
    <cellStyle name="常规 5 4 4 3 2 2 4 2" xfId="33056"/>
    <cellStyle name="常规 5 4 4 3 2 2 4 2 2" xfId="9872"/>
    <cellStyle name="常规 5 4 4 3 2 2 4 3" xfId="11799"/>
    <cellStyle name="常规 5 4 4 3 2 2 4 4" xfId="11718"/>
    <cellStyle name="常规 5 4 4 3 2 2 5" xfId="22255"/>
    <cellStyle name="常规 5 4 4 3 2 2 5 2" xfId="33057"/>
    <cellStyle name="常规 5 4 4 3 2 2 6" xfId="13585"/>
    <cellStyle name="常规 5 4 4 3 2 2 7" xfId="13591"/>
    <cellStyle name="常规 5 4 4 3 2 3" xfId="18917"/>
    <cellStyle name="常规 5 4 4 3 2 3 2" xfId="18919"/>
    <cellStyle name="常规 5 4 4 3 2 3 2 2" xfId="33058"/>
    <cellStyle name="常规 5 4 4 3 2 3 2 2 2" xfId="33061"/>
    <cellStyle name="常规 5 4 4 3 2 3 2 2 2 2" xfId="33063"/>
    <cellStyle name="常规 5 4 4 3 2 3 2 2 3" xfId="33065"/>
    <cellStyle name="常规 5 4 4 3 2 3 2 2 4" xfId="33066"/>
    <cellStyle name="常规 5 4 4 3 2 3 2 3" xfId="15144"/>
    <cellStyle name="常规 5 4 4 3 2 3 2 3 2" xfId="33067"/>
    <cellStyle name="常规 5 4 4 3 2 3 2 4" xfId="33068"/>
    <cellStyle name="常规 5 4 4 3 2 3 2 5" xfId="32012"/>
    <cellStyle name="常规 5 4 4 3 2 3 3" xfId="22258"/>
    <cellStyle name="常规 5 4 4 3 2 3 3 2" xfId="33069"/>
    <cellStyle name="常规 5 4 4 3 2 3 3 2 2" xfId="33070"/>
    <cellStyle name="常规 5 4 4 3 2 3 3 3" xfId="33071"/>
    <cellStyle name="常规 5 4 4 3 2 3 3 4" xfId="33072"/>
    <cellStyle name="常规 5 4 4 3 2 3 4" xfId="23834"/>
    <cellStyle name="常规 5 4 4 3 2 3 4 2" xfId="23836"/>
    <cellStyle name="常规 5 4 4 3 2 3 5" xfId="23867"/>
    <cellStyle name="常规 5 4 4 3 2 3 6" xfId="13602"/>
    <cellStyle name="常规 5 4 4 3 2 4" xfId="18921"/>
    <cellStyle name="常规 5 4 4 3 2 4 2" xfId="33073"/>
    <cellStyle name="常规 5 4 4 3 2 4 2 2" xfId="33074"/>
    <cellStyle name="常规 5 4 4 3 2 4 2 2 2" xfId="33075"/>
    <cellStyle name="常规 5 4 4 3 2 4 2 3" xfId="33076"/>
    <cellStyle name="常规 5 4 4 3 2 4 2 4" xfId="12908"/>
    <cellStyle name="常规 5 4 4 3 2 4 3" xfId="33077"/>
    <cellStyle name="常规 5 4 4 3 2 4 3 2" xfId="33078"/>
    <cellStyle name="常规 5 4 4 3 2 4 4" xfId="23893"/>
    <cellStyle name="常规 5 4 4 3 2 4 5" xfId="23901"/>
    <cellStyle name="常规 5 4 4 3 2 5" xfId="18923"/>
    <cellStyle name="常规 5 4 4 3 2 5 2" xfId="17657"/>
    <cellStyle name="常规 5 4 4 3 2 5 2 2" xfId="33079"/>
    <cellStyle name="常规 5 4 4 3 2 5 3" xfId="33080"/>
    <cellStyle name="常规 5 4 4 3 2 5 4" xfId="23915"/>
    <cellStyle name="常规 5 4 4 3 2 6" xfId="14593"/>
    <cellStyle name="常规 5 4 4 3 2 6 2" xfId="14595"/>
    <cellStyle name="常规 5 4 4 3 2 7" xfId="14599"/>
    <cellStyle name="常规 5 4 4 3 2 8" xfId="14602"/>
    <cellStyle name="常规 5 4 4 3 3" xfId="12659"/>
    <cellStyle name="常规 5 4 4 3 3 2" xfId="33081"/>
    <cellStyle name="常规 5 4 4 3 3 2 2" xfId="29306"/>
    <cellStyle name="常规 5 4 4 3 3 2 2 2" xfId="17719"/>
    <cellStyle name="常规 5 4 4 3 3 2 2 2 2" xfId="29310"/>
    <cellStyle name="常规 5 4 4 3 3 2 2 2 2 2" xfId="33082"/>
    <cellStyle name="常规 5 4 4 3 3 2 2 2 3" xfId="33084"/>
    <cellStyle name="常规 5 4 4 3 3 2 2 2 4" xfId="33085"/>
    <cellStyle name="常规 5 4 4 3 3 2 2 3" xfId="15173"/>
    <cellStyle name="常规 5 4 4 3 3 2 2 3 2" xfId="33086"/>
    <cellStyle name="常规 5 4 4 3 3 2 2 4" xfId="4897"/>
    <cellStyle name="常规 5 4 4 3 3 2 2 5" xfId="21001"/>
    <cellStyle name="常规 5 4 4 3 3 2 3" xfId="22264"/>
    <cellStyle name="常规 5 4 4 3 3 2 3 2" xfId="29312"/>
    <cellStyle name="常规 5 4 4 3 3 2 3 2 2" xfId="33087"/>
    <cellStyle name="常规 5 4 4 3 3 2 3 3" xfId="33088"/>
    <cellStyle name="常规 5 4 4 3 3 2 3 4" xfId="13543"/>
    <cellStyle name="常规 5 4 4 3 3 2 4" xfId="29314"/>
    <cellStyle name="常规 5 4 4 3 3 2 4 2" xfId="18365"/>
    <cellStyle name="常规 5 4 4 3 3 2 5" xfId="25868"/>
    <cellStyle name="常规 5 4 4 3 3 2 6" xfId="13627"/>
    <cellStyle name="常规 5 4 4 3 3 3" xfId="18925"/>
    <cellStyle name="常规 5 4 4 3 3 3 2" xfId="29321"/>
    <cellStyle name="常规 5 4 4 3 3 3 2 2" xfId="29323"/>
    <cellStyle name="常规 5 4 4 3 3 3 2 2 2" xfId="32705"/>
    <cellStyle name="常规 5 4 4 3 3 3 2 3" xfId="33089"/>
    <cellStyle name="常规 5 4 4 3 3 3 2 4" xfId="33090"/>
    <cellStyle name="常规 5 4 4 3 3 3 3" xfId="29325"/>
    <cellStyle name="常规 5 4 4 3 3 3 3 2" xfId="33091"/>
    <cellStyle name="常规 5 4 4 3 3 3 4" xfId="23955"/>
    <cellStyle name="常规 5 4 4 3 3 3 5" xfId="23959"/>
    <cellStyle name="常规 5 4 4 3 3 4" xfId="33092"/>
    <cellStyle name="常规 5 4 4 3 3 4 2" xfId="29330"/>
    <cellStyle name="常规 5 4 4 3 3 4 2 2" xfId="33093"/>
    <cellStyle name="常规 5 4 4 3 3 4 3" xfId="29332"/>
    <cellStyle name="常规 5 4 4 3 3 4 4" xfId="23969"/>
    <cellStyle name="常规 5 4 4 3 3 5" xfId="33094"/>
    <cellStyle name="常规 5 4 4 3 3 5 2" xfId="33095"/>
    <cellStyle name="常规 5 4 4 3 3 6" xfId="14606"/>
    <cellStyle name="常规 5 4 4 3 3 7" xfId="31549"/>
    <cellStyle name="常规 5 4 4 3 4" xfId="5624"/>
    <cellStyle name="常规 5 4 4 3 4 2" xfId="23186"/>
    <cellStyle name="常规 5 4 4 3 4 2 2" xfId="29344"/>
    <cellStyle name="常规 5 4 4 3 4 2 2 2" xfId="19227"/>
    <cellStyle name="常规 5 4 4 3 4 2 2 2 2" xfId="29185"/>
    <cellStyle name="常规 5 4 4 3 4 2 2 3" xfId="32418"/>
    <cellStyle name="常规 5 4 4 3 4 2 2 4" xfId="33096"/>
    <cellStyle name="常规 5 4 4 3 4 2 3" xfId="4662"/>
    <cellStyle name="常规 5 4 4 3 4 2 3 2" xfId="4668"/>
    <cellStyle name="常规 5 4 4 3 4 2 4" xfId="4688"/>
    <cellStyle name="常规 5 4 4 3 4 2 5" xfId="4701"/>
    <cellStyle name="常规 5 4 4 3 4 3" xfId="33097"/>
    <cellStyle name="常规 5 4 4 3 4 3 2" xfId="29350"/>
    <cellStyle name="常规 5 4 4 3 4 3 2 2" xfId="32455"/>
    <cellStyle name="常规 5 4 4 3 4 3 3" xfId="4737"/>
    <cellStyle name="常规 5 4 4 3 4 3 4" xfId="9850"/>
    <cellStyle name="常规 5 4 4 3 4 4" xfId="33098"/>
    <cellStyle name="常规 5 4 4 3 4 4 2" xfId="4776"/>
    <cellStyle name="常规 5 4 4 3 4 5" xfId="33099"/>
    <cellStyle name="常规 5 4 4 3 4 6" xfId="33100"/>
    <cellStyle name="常规 5 4 4 3 5" xfId="32529"/>
    <cellStyle name="常规 5 4 4 3 5 2" xfId="33101"/>
    <cellStyle name="常规 5 4 4 3 5 2 2" xfId="2303"/>
    <cellStyle name="常规 5 4 4 3 5 2 2 2" xfId="2309"/>
    <cellStyle name="常规 5 4 4 3 5 2 3" xfId="2316"/>
    <cellStyle name="常规 5 4 4 3 5 2 4" xfId="2328"/>
    <cellStyle name="常规 5 4 4 3 5 3" xfId="33102"/>
    <cellStyle name="常规 5 4 4 3 5 3 2" xfId="2361"/>
    <cellStyle name="常规 5 4 4 3 5 4" xfId="15827"/>
    <cellStyle name="常规 5 4 4 3 5 5" xfId="33103"/>
    <cellStyle name="常规 5 4 4 3 6" xfId="33104"/>
    <cellStyle name="常规 5 4 4 3 6 2" xfId="33105"/>
    <cellStyle name="常规 5 4 4 3 6 2 2" xfId="33106"/>
    <cellStyle name="常规 5 4 4 3 6 3" xfId="33107"/>
    <cellStyle name="常规 5 4 4 3 6 4" xfId="33108"/>
    <cellStyle name="常规 5 4 4 3 7" xfId="33109"/>
    <cellStyle name="常规 5 4 4 3 7 2" xfId="33110"/>
    <cellStyle name="常规 5 4 4 3 8" xfId="33111"/>
    <cellStyle name="常规 5 4 4 3 9" xfId="33112"/>
    <cellStyle name="常规 5 4 4 4" xfId="26547"/>
    <cellStyle name="常规 5 4 4 4 2" xfId="26550"/>
    <cellStyle name="常规 5 4 4 4 2 2" xfId="26552"/>
    <cellStyle name="常规 5 4 4 4 2 2 2" xfId="26554"/>
    <cellStyle name="常规 5 4 4 4 2 2 2 2" xfId="26557"/>
    <cellStyle name="常规 5 4 4 4 2 2 2 2 2" xfId="26563"/>
    <cellStyle name="常规 5 4 4 4 2 2 2 2 2 2" xfId="26566"/>
    <cellStyle name="常规 5 4 4 4 2 2 2 2 3" xfId="26569"/>
    <cellStyle name="常规 5 4 4 4 2 2 2 2 4" xfId="26572"/>
    <cellStyle name="常规 5 4 4 4 2 2 2 3" xfId="15663"/>
    <cellStyle name="常规 5 4 4 4 2 2 2 3 2" xfId="26574"/>
    <cellStyle name="常规 5 4 4 4 2 2 2 4" xfId="17247"/>
    <cellStyle name="常规 5 4 4 4 2 2 2 5" xfId="17270"/>
    <cellStyle name="常规 5 4 4 4 2 2 3" xfId="22272"/>
    <cellStyle name="常规 5 4 4 4 2 2 3 2" xfId="26576"/>
    <cellStyle name="常规 5 4 4 4 2 2 3 2 2" xfId="26579"/>
    <cellStyle name="常规 5 4 4 4 2 2 3 3" xfId="26581"/>
    <cellStyle name="常规 5 4 4 4 2 2 3 4" xfId="17291"/>
    <cellStyle name="常规 5 4 4 4 2 2 4" xfId="26583"/>
    <cellStyle name="常规 5 4 4 4 2 2 4 2" xfId="26586"/>
    <cellStyle name="常规 5 4 4 4 2 2 5" xfId="26588"/>
    <cellStyle name="常规 5 4 4 4 2 2 6" xfId="13676"/>
    <cellStyle name="常规 5 4 4 4 2 3" xfId="19175"/>
    <cellStyle name="常规 5 4 4 4 2 3 2" xfId="19179"/>
    <cellStyle name="常规 5 4 4 4 2 3 2 2" xfId="26591"/>
    <cellStyle name="常规 5 4 4 4 2 3 2 2 2" xfId="26596"/>
    <cellStyle name="常规 5 4 4 4 2 3 2 3" xfId="26601"/>
    <cellStyle name="常规 5 4 4 4 2 3 2 4" xfId="17400"/>
    <cellStyle name="常规 5 4 4 4 2 3 3" xfId="26606"/>
    <cellStyle name="常规 5 4 4 4 2 3 3 2" xfId="26611"/>
    <cellStyle name="常规 5 4 4 4 2 3 4" xfId="24045"/>
    <cellStyle name="常规 5 4 4 4 2 3 5" xfId="24065"/>
    <cellStyle name="常规 5 4 4 4 2 4" xfId="19185"/>
    <cellStyle name="常规 5 4 4 4 2 4 2" xfId="26616"/>
    <cellStyle name="常规 5 4 4 4 2 4 2 2" xfId="26621"/>
    <cellStyle name="常规 5 4 4 4 2 4 3" xfId="26626"/>
    <cellStyle name="常规 5 4 4 4 2 4 4" xfId="24092"/>
    <cellStyle name="常规 5 4 4 4 2 5" xfId="19189"/>
    <cellStyle name="常规 5 4 4 4 2 5 2" xfId="26630"/>
    <cellStyle name="常规 5 4 4 4 2 6" xfId="14622"/>
    <cellStyle name="常规 5 4 4 4 2 7" xfId="26636"/>
    <cellStyle name="常规 5 4 4 4 3" xfId="26643"/>
    <cellStyle name="常规 5 4 4 4 3 2" xfId="26645"/>
    <cellStyle name="常规 5 4 4 4 3 2 2" xfId="26647"/>
    <cellStyle name="常规 5 4 4 4 3 2 2 2" xfId="26651"/>
    <cellStyle name="常规 5 4 4 4 3 2 2 2 2" xfId="26655"/>
    <cellStyle name="常规 5 4 4 4 3 2 2 3" xfId="26657"/>
    <cellStyle name="常规 5 4 4 4 3 2 2 4" xfId="15945"/>
    <cellStyle name="常规 5 4 4 4 3 2 3" xfId="26659"/>
    <cellStyle name="常规 5 4 4 4 3 2 3 2" xfId="26663"/>
    <cellStyle name="常规 5 4 4 4 3 2 4" xfId="26665"/>
    <cellStyle name="常规 5 4 4 4 3 2 5" xfId="25882"/>
    <cellStyle name="常规 5 4 4 4 3 3" xfId="19195"/>
    <cellStyle name="常规 5 4 4 4 3 3 2" xfId="26669"/>
    <cellStyle name="常规 5 4 4 4 3 3 2 2" xfId="26675"/>
    <cellStyle name="常规 5 4 4 4 3 3 3" xfId="26679"/>
    <cellStyle name="常规 5 4 4 4 3 3 4" xfId="24146"/>
    <cellStyle name="常规 5 4 4 4 3 4" xfId="26685"/>
    <cellStyle name="常规 5 4 4 4 3 4 2" xfId="26688"/>
    <cellStyle name="常规 5 4 4 4 3 5" xfId="26693"/>
    <cellStyle name="常规 5 4 4 4 3 6" xfId="26696"/>
    <cellStyle name="常规 5 4 4 4 4" xfId="26700"/>
    <cellStyle name="常规 5 4 4 4 4 2" xfId="26703"/>
    <cellStyle name="常规 5 4 4 4 4 2 2" xfId="26705"/>
    <cellStyle name="常规 5 4 4 4 4 2 2 2" xfId="24662"/>
    <cellStyle name="常规 5 4 4 4 4 2 3" xfId="1025"/>
    <cellStyle name="常规 5 4 4 4 4 2 4" xfId="10056"/>
    <cellStyle name="常规 5 4 4 4 4 3" xfId="26710"/>
    <cellStyle name="常规 5 4 4 4 4 3 2" xfId="26713"/>
    <cellStyle name="常规 5 4 4 4 4 4" xfId="26718"/>
    <cellStyle name="常规 5 4 4 4 4 5" xfId="26721"/>
    <cellStyle name="常规 5 4 4 4 5" xfId="26725"/>
    <cellStyle name="常规 5 4 4 4 5 2" xfId="26727"/>
    <cellStyle name="常规 5 4 4 4 5 2 2" xfId="26729"/>
    <cellStyle name="常规 5 4 4 4 5 3" xfId="26732"/>
    <cellStyle name="常规 5 4 4 4 5 4" xfId="26735"/>
    <cellStyle name="常规 5 4 4 4 6" xfId="25102"/>
    <cellStyle name="常规 5 4 4 4 6 2" xfId="25106"/>
    <cellStyle name="常规 5 4 4 4 7" xfId="25124"/>
    <cellStyle name="常规 5 4 4 4 8" xfId="25131"/>
    <cellStyle name="常规 5 4 4 5" xfId="26738"/>
    <cellStyle name="常规 5 4 4 5 2" xfId="26740"/>
    <cellStyle name="常规 5 4 4 5 2 2" xfId="1426"/>
    <cellStyle name="常规 5 4 4 5 2 2 2" xfId="26742"/>
    <cellStyle name="常规 5 4 4 5 2 2 2 2" xfId="239"/>
    <cellStyle name="常规 5 4 4 5 2 2 2 2 2" xfId="26745"/>
    <cellStyle name="常规 5 4 4 5 2 2 2 3" xfId="26747"/>
    <cellStyle name="常规 5 4 4 5 2 2 2 4" xfId="19262"/>
    <cellStyle name="常规 5 4 4 5 2 2 3" xfId="26749"/>
    <cellStyle name="常规 5 4 4 5 2 2 3 2" xfId="26752"/>
    <cellStyle name="常规 5 4 4 5 2 2 4" xfId="26754"/>
    <cellStyle name="常规 5 4 4 5 2 2 5" xfId="1415"/>
    <cellStyle name="常规 5 4 4 5 2 3" xfId="1431"/>
    <cellStyle name="常规 5 4 4 5 2 3 2" xfId="26757"/>
    <cellStyle name="常规 5 4 4 5 2 3 2 2" xfId="26762"/>
    <cellStyle name="常规 5 4 4 5 2 3 3" xfId="26766"/>
    <cellStyle name="常规 5 4 4 5 2 3 4" xfId="24235"/>
    <cellStyle name="常规 5 4 4 5 2 4" xfId="26771"/>
    <cellStyle name="常规 5 4 4 5 2 4 2" xfId="26774"/>
    <cellStyle name="常规 5 4 4 5 2 5" xfId="26779"/>
    <cellStyle name="常规 5 4 4 5 2 6" xfId="21163"/>
    <cellStyle name="常规 5 4 4 5 3" xfId="24787"/>
    <cellStyle name="常规 5 4 4 5 3 2" xfId="26782"/>
    <cellStyle name="常规 5 4 4 5 3 2 2" xfId="26784"/>
    <cellStyle name="常规 5 4 4 5 3 2 2 2" xfId="26788"/>
    <cellStyle name="常规 5 4 4 5 3 2 3" xfId="778"/>
    <cellStyle name="常规 5 4 4 5 3 2 4" xfId="821"/>
    <cellStyle name="常规 5 4 4 5 3 3" xfId="26791"/>
    <cellStyle name="常规 5 4 4 5 3 3 2" xfId="26794"/>
    <cellStyle name="常规 5 4 4 5 3 4" xfId="26800"/>
    <cellStyle name="常规 5 4 4 5 3 5" xfId="26803"/>
    <cellStyle name="常规 5 4 4 5 4" xfId="26806"/>
    <cellStyle name="常规 5 4 4 5 4 2" xfId="26808"/>
    <cellStyle name="常规 5 4 4 5 4 2 2" xfId="26810"/>
    <cellStyle name="常规 5 4 4 5 4 3" xfId="26813"/>
    <cellStyle name="常规 5 4 4 5 4 4" xfId="26816"/>
    <cellStyle name="常规 5 4 4 5 5" xfId="26818"/>
    <cellStyle name="常规 5 4 4 5 5 2" xfId="26820"/>
    <cellStyle name="常规 5 4 4 5 6" xfId="25146"/>
    <cellStyle name="常规 5 4 4 5 7" xfId="25160"/>
    <cellStyle name="常规 5 4 4 6" xfId="26823"/>
    <cellStyle name="常规 5 4 4 6 2" xfId="26825"/>
    <cellStyle name="常规 5 4 4 6 2 2" xfId="24249"/>
    <cellStyle name="常规 5 4 4 6 2 2 2" xfId="26827"/>
    <cellStyle name="常规 5 4 4 6 2 2 2 2" xfId="26831"/>
    <cellStyle name="常规 5 4 4 6 2 2 3" xfId="26837"/>
    <cellStyle name="常规 5 4 4 6 2 2 4" xfId="26839"/>
    <cellStyle name="常规 5 4 4 6 2 3" xfId="24253"/>
    <cellStyle name="常规 5 4 4 6 2 3 2" xfId="26842"/>
    <cellStyle name="常规 5 4 4 6 2 4" xfId="26849"/>
    <cellStyle name="常规 5 4 4 6 2 5" xfId="26853"/>
    <cellStyle name="常规 5 4 4 6 3" xfId="26857"/>
    <cellStyle name="常规 5 4 4 6 3 2" xfId="26859"/>
    <cellStyle name="常规 5 4 4 6 3 2 2" xfId="26862"/>
    <cellStyle name="常规 5 4 4 6 3 3" xfId="26866"/>
    <cellStyle name="常规 5 4 4 6 3 4" xfId="7916"/>
    <cellStyle name="常规 5 4 4 6 4" xfId="26870"/>
    <cellStyle name="常规 5 4 4 6 4 2" xfId="26872"/>
    <cellStyle name="常规 5 4 4 6 5" xfId="26875"/>
    <cellStyle name="常规 5 4 4 6 6" xfId="25172"/>
    <cellStyle name="常规 5 4 4 7" xfId="26877"/>
    <cellStyle name="常规 5 4 4 7 2" xfId="26879"/>
    <cellStyle name="常规 5 4 4 7 2 2" xfId="26881"/>
    <cellStyle name="常规 5 4 4 7 2 2 2" xfId="26884"/>
    <cellStyle name="常规 5 4 4 7 2 3" xfId="26888"/>
    <cellStyle name="常规 5 4 4 7 2 4" xfId="26892"/>
    <cellStyle name="常规 5 4 4 7 3" xfId="26895"/>
    <cellStyle name="常规 5 4 4 7 3 2" xfId="26897"/>
    <cellStyle name="常规 5 4 4 7 4" xfId="26900"/>
    <cellStyle name="常规 5 4 4 7 5" xfId="26902"/>
    <cellStyle name="常规 5 4 4 8" xfId="26904"/>
    <cellStyle name="常规 5 4 4 8 2" xfId="26908"/>
    <cellStyle name="常规 5 4 4 8 2 2" xfId="26910"/>
    <cellStyle name="常规 5 4 4 8 3" xfId="14054"/>
    <cellStyle name="常规 5 4 4 8 4" xfId="14061"/>
    <cellStyle name="常规 5 4 4 9" xfId="26913"/>
    <cellStyle name="常规 5 4 4 9 2" xfId="26915"/>
    <cellStyle name="常规 5 4 5" xfId="8160"/>
    <cellStyle name="常规 5 4 5 2" xfId="8162"/>
    <cellStyle name="常规 5 4 5 2 2" xfId="8164"/>
    <cellStyle name="常规 5 4 5 2 2 2" xfId="33113"/>
    <cellStyle name="常规 5 4 5 2 2 2 2" xfId="33114"/>
    <cellStyle name="常规 5 4 5 2 2 2 2 2" xfId="33115"/>
    <cellStyle name="常规 5 4 5 2 2 2 2 2 2" xfId="33116"/>
    <cellStyle name="常规 5 4 5 2 2 2 2 2 2 2" xfId="6221"/>
    <cellStyle name="常规 5 4 5 2 2 2 2 2 3" xfId="11295"/>
    <cellStyle name="常规 5 4 5 2 2 2 2 2 4" xfId="33117"/>
    <cellStyle name="常规 5 4 5 2 2 2 2 3" xfId="19755"/>
    <cellStyle name="常规 5 4 5 2 2 2 2 3 2" xfId="33119"/>
    <cellStyle name="常规 5 4 5 2 2 2 2 4" xfId="33120"/>
    <cellStyle name="常规 5 4 5 2 2 2 2 5" xfId="33122"/>
    <cellStyle name="常规 5 4 5 2 2 2 3" xfId="22294"/>
    <cellStyle name="常规 5 4 5 2 2 2 3 2" xfId="22296"/>
    <cellStyle name="常规 5 4 5 2 2 2 3 2 2" xfId="33123"/>
    <cellStyle name="常规 5 4 5 2 2 2 3 3" xfId="33124"/>
    <cellStyle name="常规 5 4 5 2 2 2 3 4" xfId="33125"/>
    <cellStyle name="常规 5 4 5 2 2 2 4" xfId="22298"/>
    <cellStyle name="常规 5 4 5 2 2 2 4 2" xfId="33126"/>
    <cellStyle name="常规 5 4 5 2 2 2 5" xfId="22300"/>
    <cellStyle name="常规 5 4 5 2 2 2 6" xfId="13932"/>
    <cellStyle name="常规 5 4 5 2 2 3" xfId="9754"/>
    <cellStyle name="常规 5 4 5 2 2 3 2" xfId="33127"/>
    <cellStyle name="常规 5 4 5 2 2 3 2 2" xfId="7034"/>
    <cellStyle name="常规 5 4 5 2 2 3 2 2 2" xfId="12293"/>
    <cellStyle name="常规 5 4 5 2 2 3 2 3" xfId="2854"/>
    <cellStyle name="常规 5 4 5 2 2 3 2 4" xfId="33129"/>
    <cellStyle name="常规 5 4 5 2 2 3 3" xfId="22303"/>
    <cellStyle name="常规 5 4 5 2 2 3 3 2" xfId="33130"/>
    <cellStyle name="常规 5 4 5 2 2 3 4" xfId="33131"/>
    <cellStyle name="常规 5 4 5 2 2 3 5" xfId="33132"/>
    <cellStyle name="常规 5 4 5 2 2 4" xfId="33133"/>
    <cellStyle name="常规 5 4 5 2 2 4 2" xfId="33134"/>
    <cellStyle name="常规 5 4 5 2 2 4 2 2" xfId="16136"/>
    <cellStyle name="常规 5 4 5 2 2 4 3" xfId="33135"/>
    <cellStyle name="常规 5 4 5 2 2 4 4" xfId="33136"/>
    <cellStyle name="常规 5 4 5 2 2 5" xfId="33137"/>
    <cellStyle name="常规 5 4 5 2 2 5 2" xfId="17765"/>
    <cellStyle name="常规 5 4 5 2 2 6" xfId="15194"/>
    <cellStyle name="常规 5 4 5 2 2 7" xfId="15199"/>
    <cellStyle name="常规 5 4 5 2 3" xfId="12683"/>
    <cellStyle name="常规 5 4 5 2 3 2" xfId="16555"/>
    <cellStyle name="常规 5 4 5 2 3 2 2" xfId="16557"/>
    <cellStyle name="常规 5 4 5 2 3 2 2 2" xfId="33138"/>
    <cellStyle name="常规 5 4 5 2 3 2 2 2 2" xfId="32057"/>
    <cellStyle name="常规 5 4 5 2 3 2 2 3" xfId="33139"/>
    <cellStyle name="常规 5 4 5 2 3 2 2 4" xfId="5541"/>
    <cellStyle name="常规 5 4 5 2 3 2 3" xfId="16559"/>
    <cellStyle name="常规 5 4 5 2 3 2 3 2" xfId="33140"/>
    <cellStyle name="常规 5 4 5 2 3 2 4" xfId="33141"/>
    <cellStyle name="常规 5 4 5 2 3 2 5" xfId="26508"/>
    <cellStyle name="常规 5 4 5 2 3 3" xfId="16562"/>
    <cellStyle name="常规 5 4 5 2 3 3 2" xfId="16564"/>
    <cellStyle name="常规 5 4 5 2 3 3 2 2" xfId="33142"/>
    <cellStyle name="常规 5 4 5 2 3 3 3" xfId="16566"/>
    <cellStyle name="常规 5 4 5 2 3 3 4" xfId="33143"/>
    <cellStyle name="常规 5 4 5 2 3 4" xfId="16568"/>
    <cellStyle name="常规 5 4 5 2 3 4 2" xfId="33144"/>
    <cellStyle name="常规 5 4 5 2 3 5" xfId="16570"/>
    <cellStyle name="常规 5 4 5 2 3 6" xfId="15203"/>
    <cellStyle name="常规 5 4 5 2 4" xfId="9687"/>
    <cellStyle name="常规 5 4 5 2 4 2" xfId="9689"/>
    <cellStyle name="常规 5 4 5 2 4 2 2" xfId="16580"/>
    <cellStyle name="常规 5 4 5 2 4 2 2 2" xfId="32708"/>
    <cellStyle name="常规 5 4 5 2 4 2 3" xfId="5259"/>
    <cellStyle name="常规 5 4 5 2 4 2 4" xfId="5270"/>
    <cellStyle name="常规 5 4 5 2 4 3" xfId="16582"/>
    <cellStyle name="常规 5 4 5 2 4 3 2" xfId="33145"/>
    <cellStyle name="常规 5 4 5 2 4 4" xfId="16584"/>
    <cellStyle name="常规 5 4 5 2 4 5" xfId="16586"/>
    <cellStyle name="常规 5 4 5 2 5" xfId="9694"/>
    <cellStyle name="常规 5 4 5 2 5 2" xfId="16591"/>
    <cellStyle name="常规 5 4 5 2 5 2 2" xfId="33146"/>
    <cellStyle name="常规 5 4 5 2 5 3" xfId="16593"/>
    <cellStyle name="常规 5 4 5 2 5 4" xfId="33148"/>
    <cellStyle name="常规 5 4 5 2 6" xfId="9696"/>
    <cellStyle name="常规 5 4 5 2 6 2" xfId="16597"/>
    <cellStyle name="常规 5 4 5 2 7" xfId="296"/>
    <cellStyle name="常规 5 4 5 2 8" xfId="33149"/>
    <cellStyle name="常规 5 4 5 3" xfId="8168"/>
    <cellStyle name="常规 5 4 5 3 2" xfId="33150"/>
    <cellStyle name="常规 5 4 5 3 2 2" xfId="33151"/>
    <cellStyle name="常规 5 4 5 3 2 2 2" xfId="33152"/>
    <cellStyle name="常规 5 4 5 3 2 2 2 2" xfId="33153"/>
    <cellStyle name="常规 5 4 5 3 2 2 2 2 2" xfId="33154"/>
    <cellStyle name="常规 5 4 5 3 2 2 2 3" xfId="33155"/>
    <cellStyle name="常规 5 4 5 3 2 2 2 4" xfId="33156"/>
    <cellStyle name="常规 5 4 5 3 2 2 3" xfId="22313"/>
    <cellStyle name="常规 5 4 5 3 2 2 3 2" xfId="33157"/>
    <cellStyle name="常规 5 4 5 3 2 2 4" xfId="33158"/>
    <cellStyle name="常规 5 4 5 3 2 2 5" xfId="33159"/>
    <cellStyle name="常规 5 4 5 3 2 3" xfId="19511"/>
    <cellStyle name="常规 5 4 5 3 2 3 2" xfId="33160"/>
    <cellStyle name="常规 5 4 5 3 2 3 2 2" xfId="33161"/>
    <cellStyle name="常规 5 4 5 3 2 3 3" xfId="4147"/>
    <cellStyle name="常规 5 4 5 3 2 3 4" xfId="33162"/>
    <cellStyle name="常规 5 4 5 3 2 4" xfId="33163"/>
    <cellStyle name="常规 5 4 5 3 2 4 2" xfId="33164"/>
    <cellStyle name="常规 5 4 5 3 2 5" xfId="33165"/>
    <cellStyle name="常规 5 4 5 3 2 6" xfId="15212"/>
    <cellStyle name="常规 5 4 5 3 3" xfId="33166"/>
    <cellStyle name="常规 5 4 5 3 3 2" xfId="19952"/>
    <cellStyle name="常规 5 4 5 3 3 2 2" xfId="19954"/>
    <cellStyle name="常规 5 4 5 3 3 2 2 2" xfId="22360"/>
    <cellStyle name="常规 5 4 5 3 3 2 3" xfId="19956"/>
    <cellStyle name="常规 5 4 5 3 3 2 4" xfId="33167"/>
    <cellStyle name="常规 5 4 5 3 3 3" xfId="19958"/>
    <cellStyle name="常规 5 4 5 3 3 3 2" xfId="19960"/>
    <cellStyle name="常规 5 4 5 3 3 4" xfId="19963"/>
    <cellStyle name="常规 5 4 5 3 3 5" xfId="19965"/>
    <cellStyle name="常规 5 4 5 3 4" xfId="33168"/>
    <cellStyle name="常规 5 4 5 3 4 2" xfId="19972"/>
    <cellStyle name="常规 5 4 5 3 4 2 2" xfId="19974"/>
    <cellStyle name="常规 5 4 5 3 4 3" xfId="19976"/>
    <cellStyle name="常规 5 4 5 3 4 4" xfId="19978"/>
    <cellStyle name="常规 5 4 5 3 5" xfId="33169"/>
    <cellStyle name="常规 5 4 5 3 5 2" xfId="1043"/>
    <cellStyle name="常规 5 4 5 3 6" xfId="33170"/>
    <cellStyle name="常规 5 4 5 3 7" xfId="33171"/>
    <cellStyle name="常规 5 4 5 4" xfId="8171"/>
    <cellStyle name="常规 5 4 5 4 2" xfId="26921"/>
    <cellStyle name="常规 5 4 5 4 2 2" xfId="24481"/>
    <cellStyle name="常规 5 4 5 4 2 2 2" xfId="26923"/>
    <cellStyle name="常规 5 4 5 4 2 2 2 2" xfId="26926"/>
    <cellStyle name="常规 5 4 5 4 2 2 3" xfId="26935"/>
    <cellStyle name="常规 5 4 5 4 2 2 4" xfId="26941"/>
    <cellStyle name="常规 5 4 5 4 2 3" xfId="24484"/>
    <cellStyle name="常规 5 4 5 4 2 3 2" xfId="26947"/>
    <cellStyle name="常规 5 4 5 4 2 4" xfId="26979"/>
    <cellStyle name="常规 5 4 5 4 2 5" xfId="26996"/>
    <cellStyle name="常规 5 4 5 4 3" xfId="27017"/>
    <cellStyle name="常规 5 4 5 4 3 2" xfId="20002"/>
    <cellStyle name="常规 5 4 5 4 3 2 2" xfId="20005"/>
    <cellStyle name="常规 5 4 5 4 3 3" xfId="20012"/>
    <cellStyle name="常规 5 4 5 4 3 4" xfId="20017"/>
    <cellStyle name="常规 5 4 5 4 4" xfId="27043"/>
    <cellStyle name="常规 5 4 5 4 4 2" xfId="20031"/>
    <cellStyle name="常规 5 4 5 4 5" xfId="27061"/>
    <cellStyle name="常规 5 4 5 4 6" xfId="25192"/>
    <cellStyle name="常规 5 4 5 5" xfId="27071"/>
    <cellStyle name="常规 5 4 5 5 2" xfId="27073"/>
    <cellStyle name="常规 5 4 5 5 2 2" xfId="27075"/>
    <cellStyle name="常规 5 4 5 5 2 2 2" xfId="27078"/>
    <cellStyle name="常规 5 4 5 5 2 3" xfId="27093"/>
    <cellStyle name="常规 5 4 5 5 2 4" xfId="27113"/>
    <cellStyle name="常规 5 4 5 5 3" xfId="27129"/>
    <cellStyle name="常规 5 4 5 5 3 2" xfId="20046"/>
    <cellStyle name="常规 5 4 5 5 4" xfId="27146"/>
    <cellStyle name="常规 5 4 5 5 5" xfId="27154"/>
    <cellStyle name="常规 5 4 5 6" xfId="27159"/>
    <cellStyle name="常规 5 4 5 6 2" xfId="27162"/>
    <cellStyle name="常规 5 4 5 6 2 2" xfId="27164"/>
    <cellStyle name="常规 5 4 5 6 3" xfId="27189"/>
    <cellStyle name="常规 5 4 5 6 4" xfId="27204"/>
    <cellStyle name="常规 5 4 5 7" xfId="27210"/>
    <cellStyle name="常规 5 4 5 7 2" xfId="27212"/>
    <cellStyle name="常规 5 4 5 8" xfId="27233"/>
    <cellStyle name="常规 5 4 5 9" xfId="27244"/>
    <cellStyle name="常规 5 4 6" xfId="8174"/>
    <cellStyle name="常规 5 4 6 2" xfId="8177"/>
    <cellStyle name="常规 5 4 6 2 2" xfId="33172"/>
    <cellStyle name="常规 5 4 6 2 2 2" xfId="33173"/>
    <cellStyle name="常规 5 4 6 2 2 2 2" xfId="23853"/>
    <cellStyle name="常规 5 4 6 2 2 2 2 2" xfId="13869"/>
    <cellStyle name="常规 5 4 6 2 2 2 2 2 2" xfId="26466"/>
    <cellStyle name="常规 5 4 6 2 2 2 2 2 2 2" xfId="33174"/>
    <cellStyle name="常规 5 4 6 2 2 2 2 2 3" xfId="23347"/>
    <cellStyle name="常规 5 4 6 2 2 2 2 2 4" xfId="23352"/>
    <cellStyle name="常规 5 4 6 2 2 2 2 3" xfId="13872"/>
    <cellStyle name="常规 5 4 6 2 2 2 2 3 2" xfId="33176"/>
    <cellStyle name="常规 5 4 6 2 2 2 2 4" xfId="33177"/>
    <cellStyle name="常规 5 4 6 2 2 2 2 5" xfId="33178"/>
    <cellStyle name="常规 5 4 6 2 2 2 3" xfId="22331"/>
    <cellStyle name="常规 5 4 6 2 2 2 3 2" xfId="13884"/>
    <cellStyle name="常规 5 4 6 2 2 2 3 2 2" xfId="3996"/>
    <cellStyle name="常规 5 4 6 2 2 2 3 3" xfId="33179"/>
    <cellStyle name="常规 5 4 6 2 2 2 3 4" xfId="33180"/>
    <cellStyle name="常规 5 4 6 2 2 2 4" xfId="33181"/>
    <cellStyle name="常规 5 4 6 2 2 2 4 2" xfId="8264"/>
    <cellStyle name="常规 5 4 6 2 2 2 5" xfId="33182"/>
    <cellStyle name="常规 5 4 6 2 2 2 6" xfId="14230"/>
    <cellStyle name="常规 5 4 6 2 2 3" xfId="33183"/>
    <cellStyle name="常规 5 4 6 2 2 3 2" xfId="24882"/>
    <cellStyle name="常规 5 4 6 2 2 3 2 2" xfId="13977"/>
    <cellStyle name="常规 5 4 6 2 2 3 2 2 2" xfId="29981"/>
    <cellStyle name="常规 5 4 6 2 2 3 2 3" xfId="29044"/>
    <cellStyle name="常规 5 4 6 2 2 3 2 4" xfId="29988"/>
    <cellStyle name="常规 5 4 6 2 2 3 3" xfId="24887"/>
    <cellStyle name="常规 5 4 6 2 2 3 3 2" xfId="29993"/>
    <cellStyle name="常规 5 4 6 2 2 3 4" xfId="24892"/>
    <cellStyle name="常规 5 4 6 2 2 3 5" xfId="30001"/>
    <cellStyle name="常规 5 4 6 2 2 4" xfId="33184"/>
    <cellStyle name="常规 5 4 6 2 2 4 2" xfId="25085"/>
    <cellStyle name="常规 5 4 6 2 2 4 2 2" xfId="25090"/>
    <cellStyle name="常规 5 4 6 2 2 4 3" xfId="25093"/>
    <cellStyle name="常规 5 4 6 2 2 4 4" xfId="25096"/>
    <cellStyle name="常规 5 4 6 2 2 5" xfId="33185"/>
    <cellStyle name="常规 5 4 6 2 2 5 2" xfId="17947"/>
    <cellStyle name="常规 5 4 6 2 2 6" xfId="15702"/>
    <cellStyle name="常规 5 4 6 2 2 7" xfId="33186"/>
    <cellStyle name="常规 5 4 6 2 3" xfId="33187"/>
    <cellStyle name="常规 5 4 6 2 3 2" xfId="21117"/>
    <cellStyle name="常规 5 4 6 2 3 2 2" xfId="21119"/>
    <cellStyle name="常规 5 4 6 2 3 2 2 2" xfId="14180"/>
    <cellStyle name="常规 5 4 6 2 3 2 2 2 2" xfId="30766"/>
    <cellStyle name="常规 5 4 6 2 3 2 2 3" xfId="14183"/>
    <cellStyle name="常规 5 4 6 2 3 2 2 4" xfId="2522"/>
    <cellStyle name="常规 5 4 6 2 3 2 3" xfId="21122"/>
    <cellStyle name="常规 5 4 6 2 3 2 3 2" xfId="14193"/>
    <cellStyle name="常规 5 4 6 2 3 2 4" xfId="19697"/>
    <cellStyle name="常规 5 4 6 2 3 2 5" xfId="30768"/>
    <cellStyle name="常规 5 4 6 2 3 3" xfId="21125"/>
    <cellStyle name="常规 5 4 6 2 3 3 2" xfId="25449"/>
    <cellStyle name="常规 5 4 6 2 3 3 2 2" xfId="14264"/>
    <cellStyle name="常规 5 4 6 2 3 3 3" xfId="25455"/>
    <cellStyle name="常规 5 4 6 2 3 3 4" xfId="30041"/>
    <cellStyle name="常规 5 4 6 2 3 4" xfId="21127"/>
    <cellStyle name="常规 5 4 6 2 3 4 2" xfId="25515"/>
    <cellStyle name="常规 5 4 6 2 3 5" xfId="21129"/>
    <cellStyle name="常规 5 4 6 2 3 6" xfId="33188"/>
    <cellStyle name="常规 5 4 6 2 4" xfId="33189"/>
    <cellStyle name="常规 5 4 6 2 4 2" xfId="21133"/>
    <cellStyle name="常规 5 4 6 2 4 2 2" xfId="30772"/>
    <cellStyle name="常规 5 4 6 2 4 2 2 2" xfId="14378"/>
    <cellStyle name="常规 5 4 6 2 4 2 3" xfId="5548"/>
    <cellStyle name="常规 5 4 6 2 4 2 4" xfId="2552"/>
    <cellStyle name="常规 5 4 6 2 4 3" xfId="33190"/>
    <cellStyle name="常规 5 4 6 2 4 3 2" xfId="25725"/>
    <cellStyle name="常规 5 4 6 2 4 4" xfId="33191"/>
    <cellStyle name="常规 5 4 6 2 4 5" xfId="33192"/>
    <cellStyle name="常规 5 4 6 2 5" xfId="33193"/>
    <cellStyle name="常规 5 4 6 2 5 2" xfId="21137"/>
    <cellStyle name="常规 5 4 6 2 5 2 2" xfId="30776"/>
    <cellStyle name="常规 5 4 6 2 5 3" xfId="33194"/>
    <cellStyle name="常规 5 4 6 2 5 4" xfId="33196"/>
    <cellStyle name="常规 5 4 6 2 6" xfId="33197"/>
    <cellStyle name="常规 5 4 6 2 6 2" xfId="33198"/>
    <cellStyle name="常规 5 4 6 2 7" xfId="33199"/>
    <cellStyle name="常规 5 4 6 2 8" xfId="17474"/>
    <cellStyle name="常规 5 4 6 3" xfId="33200"/>
    <cellStyle name="常规 5 4 6 3 2" xfId="33201"/>
    <cellStyle name="常规 5 4 6 3 2 2" xfId="33202"/>
    <cellStyle name="常规 5 4 6 3 2 2 2" xfId="33203"/>
    <cellStyle name="常规 5 4 6 3 2 2 2 2" xfId="14893"/>
    <cellStyle name="常规 5 4 6 3 2 2 2 2 2" xfId="31910"/>
    <cellStyle name="常规 5 4 6 3 2 2 2 3" xfId="14896"/>
    <cellStyle name="常规 5 4 6 3 2 2 2 4" xfId="33204"/>
    <cellStyle name="常规 5 4 6 3 2 2 3" xfId="33206"/>
    <cellStyle name="常规 5 4 6 3 2 2 3 2" xfId="14912"/>
    <cellStyle name="常规 5 4 6 3 2 2 4" xfId="33207"/>
    <cellStyle name="常规 5 4 6 3 2 2 5" xfId="33208"/>
    <cellStyle name="常规 5 4 6 3 2 3" xfId="19616"/>
    <cellStyle name="常规 5 4 6 3 2 3 2" xfId="13058"/>
    <cellStyle name="常规 5 4 6 3 2 3 2 2" xfId="14969"/>
    <cellStyle name="常规 5 4 6 3 2 3 3" xfId="13066"/>
    <cellStyle name="常规 5 4 6 3 2 3 4" xfId="30101"/>
    <cellStyle name="常规 5 4 6 3 2 4" xfId="30642"/>
    <cellStyle name="常规 5 4 6 3 2 4 2" xfId="26081"/>
    <cellStyle name="常规 5 4 6 3 2 5" xfId="30644"/>
    <cellStyle name="常规 5 4 6 3 2 6" xfId="30646"/>
    <cellStyle name="常规 5 4 6 3 3" xfId="33209"/>
    <cellStyle name="常规 5 4 6 3 3 2" xfId="21144"/>
    <cellStyle name="常规 5 4 6 3 3 2 2" xfId="30795"/>
    <cellStyle name="常规 5 4 6 3 3 2 2 2" xfId="15058"/>
    <cellStyle name="常规 5 4 6 3 3 2 3" xfId="30797"/>
    <cellStyle name="常规 5 4 6 3 3 2 4" xfId="30800"/>
    <cellStyle name="常规 5 4 6 3 3 3" xfId="30650"/>
    <cellStyle name="常规 5 4 6 3 3 3 2" xfId="26231"/>
    <cellStyle name="常规 5 4 6 3 3 4" xfId="30652"/>
    <cellStyle name="常规 5 4 6 3 3 5" xfId="30654"/>
    <cellStyle name="常规 5 4 6 3 4" xfId="33210"/>
    <cellStyle name="常规 5 4 6 3 4 2" xfId="21147"/>
    <cellStyle name="常规 5 4 6 3 4 2 2" xfId="30805"/>
    <cellStyle name="常规 5 4 6 3 4 3" xfId="30657"/>
    <cellStyle name="常规 5 4 6 3 4 4" xfId="30659"/>
    <cellStyle name="常规 5 4 6 3 5" xfId="33211"/>
    <cellStyle name="常规 5 4 6 3 5 2" xfId="33212"/>
    <cellStyle name="常规 5 4 6 3 6" xfId="33213"/>
    <cellStyle name="常规 5 4 6 3 7" xfId="3156"/>
    <cellStyle name="常规 5 4 6 4" xfId="27254"/>
    <cellStyle name="常规 5 4 6 4 2" xfId="27256"/>
    <cellStyle name="常规 5 4 6 4 2 2" xfId="27258"/>
    <cellStyle name="常规 5 4 6 4 2 2 2" xfId="27260"/>
    <cellStyle name="常规 5 4 6 4 2 2 2 2" xfId="15515"/>
    <cellStyle name="常规 5 4 6 4 2 2 3" xfId="27266"/>
    <cellStyle name="常规 5 4 6 4 2 2 4" xfId="27270"/>
    <cellStyle name="常规 5 4 6 4 2 3" xfId="27273"/>
    <cellStyle name="常规 5 4 6 4 2 3 2" xfId="26635"/>
    <cellStyle name="常规 5 4 6 4 2 4" xfId="27294"/>
    <cellStyle name="常规 5 4 6 4 2 5" xfId="27305"/>
    <cellStyle name="常规 5 4 6 4 3" xfId="27317"/>
    <cellStyle name="常规 5 4 6 4 3 2" xfId="27319"/>
    <cellStyle name="常规 5 4 6 4 3 2 2" xfId="27321"/>
    <cellStyle name="常规 5 4 6 4 3 3" xfId="27330"/>
    <cellStyle name="常规 5 4 6 4 3 4" xfId="27335"/>
    <cellStyle name="常规 5 4 6 4 4" xfId="27344"/>
    <cellStyle name="常规 5 4 6 4 4 2" xfId="27346"/>
    <cellStyle name="常规 5 4 6 4 5" xfId="27356"/>
    <cellStyle name="常规 5 4 6 4 6" xfId="24596"/>
    <cellStyle name="常规 5 4 6 5" xfId="27360"/>
    <cellStyle name="常规 5 4 6 5 2" xfId="27362"/>
    <cellStyle name="常规 5 4 6 5 2 2" xfId="27364"/>
    <cellStyle name="常规 5 4 6 5 2 2 2" xfId="27366"/>
    <cellStyle name="常规 5 4 6 5 2 3" xfId="27373"/>
    <cellStyle name="常规 5 4 6 5 2 4" xfId="27378"/>
    <cellStyle name="常规 5 4 6 5 3" xfId="27383"/>
    <cellStyle name="常规 5 4 6 5 3 2" xfId="27385"/>
    <cellStyle name="常规 5 4 6 5 4" xfId="27395"/>
    <cellStyle name="常规 5 4 6 5 5" xfId="27399"/>
    <cellStyle name="常规 5 4 6 6" xfId="27402"/>
    <cellStyle name="常规 5 4 6 6 2" xfId="7253"/>
    <cellStyle name="常规 5 4 6 6 2 2" xfId="27404"/>
    <cellStyle name="常规 5 4 6 6 3" xfId="27419"/>
    <cellStyle name="常规 5 4 6 6 4" xfId="27423"/>
    <cellStyle name="常规 5 4 6 7" xfId="27427"/>
    <cellStyle name="常规 5 4 6 7 2" xfId="27429"/>
    <cellStyle name="常规 5 4 6 8" xfId="27437"/>
    <cellStyle name="常规 5 4 6 9" xfId="27440"/>
    <cellStyle name="常规 5 4 7" xfId="8179"/>
    <cellStyle name="常规 5 4 7 2" xfId="33214"/>
    <cellStyle name="常规 5 4 7 2 2" xfId="14494"/>
    <cellStyle name="常规 5 4 7 2 2 2" xfId="33215"/>
    <cellStyle name="常规 5 4 7 2 2 2 2" xfId="33216"/>
    <cellStyle name="常规 5 4 7 2 2 2 2 2" xfId="33217"/>
    <cellStyle name="常规 5 4 7 2 2 2 2 2 2" xfId="33218"/>
    <cellStyle name="常规 5 4 7 2 2 2 2 3" xfId="32176"/>
    <cellStyle name="常规 5 4 7 2 2 2 2 4" xfId="33219"/>
    <cellStyle name="常规 5 4 7 2 2 2 3" xfId="33220"/>
    <cellStyle name="常规 5 4 7 2 2 2 3 2" xfId="33221"/>
    <cellStyle name="常规 5 4 7 2 2 2 4" xfId="33222"/>
    <cellStyle name="常规 5 4 7 2 2 2 5" xfId="33223"/>
    <cellStyle name="常规 5 4 7 2 2 3" xfId="33224"/>
    <cellStyle name="常规 5 4 7 2 2 3 2" xfId="27716"/>
    <cellStyle name="常规 5 4 7 2 2 3 2 2" xfId="30533"/>
    <cellStyle name="常规 5 4 7 2 2 3 3" xfId="27720"/>
    <cellStyle name="常规 5 4 7 2 2 3 4" xfId="30537"/>
    <cellStyle name="常规 5 4 7 2 2 4" xfId="33225"/>
    <cellStyle name="常规 5 4 7 2 2 4 2" xfId="27769"/>
    <cellStyle name="常规 5 4 7 2 2 5" xfId="33226"/>
    <cellStyle name="常规 5 4 7 2 2 6" xfId="33227"/>
    <cellStyle name="常规 5 4 7 2 3" xfId="33228"/>
    <cellStyle name="常规 5 4 7 2 3 2" xfId="24383"/>
    <cellStyle name="常规 5 4 7 2 3 2 2" xfId="24385"/>
    <cellStyle name="常规 5 4 7 2 3 2 2 2" xfId="31359"/>
    <cellStyle name="常规 5 4 7 2 3 2 3" xfId="24388"/>
    <cellStyle name="常规 5 4 7 2 3 2 4" xfId="31360"/>
    <cellStyle name="常规 5 4 7 2 3 3" xfId="24391"/>
    <cellStyle name="常规 5 4 7 2 3 3 2" xfId="27919"/>
    <cellStyle name="常规 5 4 7 2 3 4" xfId="24393"/>
    <cellStyle name="常规 5 4 7 2 3 5" xfId="24395"/>
    <cellStyle name="常规 5 4 7 2 4" xfId="33229"/>
    <cellStyle name="常规 5 4 7 2 4 2" xfId="24399"/>
    <cellStyle name="常规 5 4 7 2 4 2 2" xfId="31366"/>
    <cellStyle name="常规 5 4 7 2 4 3" xfId="33230"/>
    <cellStyle name="常规 5 4 7 2 4 4" xfId="33231"/>
    <cellStyle name="常规 5 4 7 2 5" xfId="33232"/>
    <cellStyle name="常规 5 4 7 2 5 2" xfId="24403"/>
    <cellStyle name="常规 5 4 7 2 6" xfId="33233"/>
    <cellStyle name="常规 5 4 7 2 7" xfId="33234"/>
    <cellStyle name="常规 5 4 7 3" xfId="33236"/>
    <cellStyle name="常规 5 4 7 3 2" xfId="5229"/>
    <cellStyle name="常规 5 4 7 3 2 2" xfId="33237"/>
    <cellStyle name="常规 5 4 7 3 2 2 2" xfId="33238"/>
    <cellStyle name="常规 5 4 7 3 2 2 2 2" xfId="33239"/>
    <cellStyle name="常规 5 4 7 3 2 2 3" xfId="33240"/>
    <cellStyle name="常规 5 4 7 3 2 2 4" xfId="33241"/>
    <cellStyle name="常规 5 4 7 3 2 3" xfId="30664"/>
    <cellStyle name="常规 5 4 7 3 2 3 2" xfId="28195"/>
    <cellStyle name="常规 5 4 7 3 2 4" xfId="30667"/>
    <cellStyle name="常规 5 4 7 3 2 5" xfId="30669"/>
    <cellStyle name="常规 5 4 7 3 3" xfId="33242"/>
    <cellStyle name="常规 5 4 7 3 3 2" xfId="24410"/>
    <cellStyle name="常规 5 4 7 3 3 2 2" xfId="3472"/>
    <cellStyle name="常规 5 4 7 3 3 3" xfId="30672"/>
    <cellStyle name="常规 5 4 7 3 3 4" xfId="30674"/>
    <cellStyle name="常规 5 4 7 3 4" xfId="18056"/>
    <cellStyle name="常规 5 4 7 3 4 2" xfId="18058"/>
    <cellStyle name="常规 5 4 7 3 5" xfId="18061"/>
    <cellStyle name="常规 5 4 7 3 6" xfId="18063"/>
    <cellStyle name="常规 5 4 7 4" xfId="27447"/>
    <cellStyle name="常规 5 4 7 4 2" xfId="27450"/>
    <cellStyle name="常规 5 4 7 4 2 2" xfId="27452"/>
    <cellStyle name="常规 5 4 7 4 2 2 2" xfId="27454"/>
    <cellStyle name="常规 5 4 7 4 2 3" xfId="27463"/>
    <cellStyle name="常规 5 4 7 4 2 4" xfId="27475"/>
    <cellStyle name="常规 5 4 7 4 3" xfId="27480"/>
    <cellStyle name="常规 5 4 7 4 3 2" xfId="27482"/>
    <cellStyle name="常规 5 4 7 4 4" xfId="18066"/>
    <cellStyle name="常规 5 4 7 4 5" xfId="27494"/>
    <cellStyle name="常规 5 4 7 5" xfId="27496"/>
    <cellStyle name="常规 5 4 7 5 2" xfId="27498"/>
    <cellStyle name="常规 5 4 7 5 2 2" xfId="27500"/>
    <cellStyle name="常规 5 4 7 5 3" xfId="27511"/>
    <cellStyle name="常规 5 4 7 5 4" xfId="27514"/>
    <cellStyle name="常规 5 4 7 6" xfId="27516"/>
    <cellStyle name="常规 5 4 7 6 2" xfId="27518"/>
    <cellStyle name="常规 5 4 7 7" xfId="27524"/>
    <cellStyle name="常规 5 4 7 8" xfId="27529"/>
    <cellStyle name="常规 5 4 8" xfId="8181"/>
    <cellStyle name="常规 5 4 8 2" xfId="32936"/>
    <cellStyle name="常规 5 4 8 2 2" xfId="33243"/>
    <cellStyle name="常规 5 4 8 2 2 2" xfId="33245"/>
    <cellStyle name="常规 5 4 8 2 2 2 2" xfId="33247"/>
    <cellStyle name="常规 5 4 8 2 2 2 2 2" xfId="33249"/>
    <cellStyle name="常规 5 4 8 2 2 2 3" xfId="33251"/>
    <cellStyle name="常规 5 4 8 2 2 2 4" xfId="33253"/>
    <cellStyle name="常规 5 4 8 2 2 3" xfId="33255"/>
    <cellStyle name="常规 5 4 8 2 2 3 2" xfId="28660"/>
    <cellStyle name="常规 5 4 8 2 2 4" xfId="33257"/>
    <cellStyle name="常规 5 4 8 2 2 5" xfId="33259"/>
    <cellStyle name="常规 5 4 8 2 3" xfId="92"/>
    <cellStyle name="常规 5 4 8 2 3 2" xfId="24428"/>
    <cellStyle name="常规 5 4 8 2 3 2 2" xfId="31610"/>
    <cellStyle name="常规 5 4 8 2 3 3" xfId="33262"/>
    <cellStyle name="常规 5 4 8 2 3 4" xfId="33265"/>
    <cellStyle name="常规 5 4 8 2 4" xfId="33266"/>
    <cellStyle name="常规 5 4 8 2 4 2" xfId="24434"/>
    <cellStyle name="常规 5 4 8 2 5" xfId="33267"/>
    <cellStyle name="常规 5 4 8 2 6" xfId="33268"/>
    <cellStyle name="常规 5 4 8 3" xfId="33269"/>
    <cellStyle name="常规 5 4 8 3 2" xfId="33270"/>
    <cellStyle name="常规 5 4 8 3 2 2" xfId="28646"/>
    <cellStyle name="常规 5 4 8 3 2 2 2" xfId="28650"/>
    <cellStyle name="常规 5 4 8 3 2 3" xfId="28653"/>
    <cellStyle name="常规 5 4 8 3 2 4" xfId="28658"/>
    <cellStyle name="常规 5 4 8 3 3" xfId="13333"/>
    <cellStyle name="常规 5 4 8 3 3 2" xfId="28708"/>
    <cellStyle name="常规 5 4 8 3 4" xfId="18075"/>
    <cellStyle name="常规 5 4 8 3 5" xfId="3401"/>
    <cellStyle name="常规 5 4 8 4" xfId="27534"/>
    <cellStyle name="常规 5 4 8 4 2" xfId="27536"/>
    <cellStyle name="常规 5 4 8 4 2 2" xfId="27540"/>
    <cellStyle name="常规 5 4 8 4 3" xfId="27552"/>
    <cellStyle name="常规 5 4 8 4 4" xfId="27558"/>
    <cellStyle name="常规 5 4 8 5" xfId="27562"/>
    <cellStyle name="常规 5 4 8 5 2" xfId="27564"/>
    <cellStyle name="常规 5 4 8 6" xfId="27568"/>
    <cellStyle name="常规 5 4 8 7" xfId="27571"/>
    <cellStyle name="常规 5 4 9" xfId="33271"/>
    <cellStyle name="常规 5 4 9 2" xfId="33272"/>
    <cellStyle name="常规 5 4 9 2 2" xfId="33273"/>
    <cellStyle name="常规 5 4 9 2 2 2" xfId="33275"/>
    <cellStyle name="常规 5 4 9 2 2 2 2" xfId="33276"/>
    <cellStyle name="常规 5 4 9 2 2 3" xfId="33278"/>
    <cellStyle name="常规 5 4 9 2 2 4" xfId="33279"/>
    <cellStyle name="常规 5 4 9 2 3" xfId="33280"/>
    <cellStyle name="常规 5 4 9 2 3 2" xfId="33282"/>
    <cellStyle name="常规 5 4 9 2 4" xfId="33283"/>
    <cellStyle name="常规 5 4 9 2 5" xfId="33284"/>
    <cellStyle name="常规 5 4 9 3" xfId="16027"/>
    <cellStyle name="常规 5 4 9 3 2" xfId="33285"/>
    <cellStyle name="常规 5 4 9 3 2 2" xfId="28892"/>
    <cellStyle name="常规 5 4 9 3 3" xfId="20668"/>
    <cellStyle name="常规 5 4 9 3 4" xfId="33287"/>
    <cellStyle name="常规 5 4 9 4" xfId="2160"/>
    <cellStyle name="常规 5 4 9 4 2" xfId="27577"/>
    <cellStyle name="常规 5 4 9 5" xfId="27582"/>
    <cellStyle name="常规 5 4 9 6" xfId="27586"/>
    <cellStyle name="常规 5 4_Sheet2" xfId="13855"/>
    <cellStyle name="常规 5 5" xfId="33288"/>
    <cellStyle name="常规 5 5 10" xfId="33289"/>
    <cellStyle name="常规 5 5 10 2" xfId="33290"/>
    <cellStyle name="常规 5 5 10 2 2" xfId="33291"/>
    <cellStyle name="常规 5 5 10 3" xfId="27598"/>
    <cellStyle name="常规 5 5 10 4" xfId="27723"/>
    <cellStyle name="常规 5 5 11" xfId="33292"/>
    <cellStyle name="常规 5 5 11 2" xfId="33293"/>
    <cellStyle name="常规 5 5 12" xfId="28275"/>
    <cellStyle name="常规 5 5 13" xfId="33294"/>
    <cellStyle name="常规 5 5 14" xfId="33295"/>
    <cellStyle name="常规 5 5 15" xfId="33296"/>
    <cellStyle name="常规 5 5 16" xfId="33297"/>
    <cellStyle name="常规 5 5 2" xfId="29670"/>
    <cellStyle name="常规 5 5 2 10" xfId="2532"/>
    <cellStyle name="常规 5 5 2 10 2" xfId="33298"/>
    <cellStyle name="常规 5 5 2 11" xfId="1698"/>
    <cellStyle name="常规 5 5 2 12" xfId="33299"/>
    <cellStyle name="常规 5 5 2 2" xfId="29673"/>
    <cellStyle name="常规 5 5 2 2 10" xfId="33300"/>
    <cellStyle name="常规 5 5 2 2 11" xfId="32128"/>
    <cellStyle name="常规 5 5 2 2 2" xfId="33303"/>
    <cellStyle name="常规 5 5 2 2 2 2" xfId="33304"/>
    <cellStyle name="常规 5 5 2 2 2 2 2" xfId="33306"/>
    <cellStyle name="常规 5 5 2 2 2 2 2 2" xfId="33307"/>
    <cellStyle name="常规 5 5 2 2 2 2 2 2 2" xfId="33308"/>
    <cellStyle name="常规 5 5 2 2 2 2 2 2 2 2" xfId="33309"/>
    <cellStyle name="常规 5 5 2 2 2 2 2 2 2 2 2" xfId="33310"/>
    <cellStyle name="常规 5 5 2 2 2 2 2 2 2 2 2 2" xfId="33311"/>
    <cellStyle name="常规 5 5 2 2 2 2 2 2 2 2 3" xfId="33312"/>
    <cellStyle name="常规 5 5 2 2 2 2 2 2 2 2 4" xfId="33313"/>
    <cellStyle name="常规 5 5 2 2 2 2 2 2 2 3" xfId="26474"/>
    <cellStyle name="常规 5 5 2 2 2 2 2 2 2 3 2" xfId="33314"/>
    <cellStyle name="常规 5 5 2 2 2 2 2 2 2 4" xfId="33175"/>
    <cellStyle name="常规 5 5 2 2 2 2 2 2 2 5" xfId="23356"/>
    <cellStyle name="常规 5 5 2 2 2 2 2 2 3" xfId="33315"/>
    <cellStyle name="常规 5 5 2 2 2 2 2 2 3 2" xfId="87"/>
    <cellStyle name="常规 5 5 2 2 2 2 2 2 3 2 2" xfId="33316"/>
    <cellStyle name="常规 5 5 2 2 2 2 2 2 3 3" xfId="33317"/>
    <cellStyle name="常规 5 5 2 2 2 2 2 2 3 4" xfId="33319"/>
    <cellStyle name="常规 5 5 2 2 2 2 2 2 4" xfId="32030"/>
    <cellStyle name="常规 5 5 2 2 2 2 2 2 4 2" xfId="32032"/>
    <cellStyle name="常规 5 5 2 2 2 2 2 2 5" xfId="21010"/>
    <cellStyle name="常规 5 5 2 2 2 2 2 2 6" xfId="21017"/>
    <cellStyle name="常规 5 5 2 2 2 2 2 3" xfId="33320"/>
    <cellStyle name="常规 5 5 2 2 2 2 2 3 2" xfId="24051"/>
    <cellStyle name="常规 5 5 2 2 2 2 2 3 2 2" xfId="6448"/>
    <cellStyle name="常规 5 5 2 2 2 2 2 3 2 2 2" xfId="33321"/>
    <cellStyle name="常规 5 5 2 2 2 2 2 3 2 3" xfId="6450"/>
    <cellStyle name="常规 5 5 2 2 2 2 2 3 2 4" xfId="33322"/>
    <cellStyle name="常规 5 5 2 2 2 2 2 3 3" xfId="24053"/>
    <cellStyle name="常规 5 5 2 2 2 2 2 3 3 2" xfId="3160"/>
    <cellStyle name="常规 5 5 2 2 2 2 2 3 4" xfId="32037"/>
    <cellStyle name="常规 5 5 2 2 2 2 2 3 5" xfId="21023"/>
    <cellStyle name="常规 5 5 2 2 2 2 2 4" xfId="7475"/>
    <cellStyle name="常规 5 5 2 2 2 2 2 4 2" xfId="33323"/>
    <cellStyle name="常规 5 5 2 2 2 2 2 4 2 2" xfId="33324"/>
    <cellStyle name="常规 5 5 2 2 2 2 2 4 3" xfId="33326"/>
    <cellStyle name="常规 5 5 2 2 2 2 2 4 4" xfId="32045"/>
    <cellStyle name="常规 5 5 2 2 2 2 2 5" xfId="33327"/>
    <cellStyle name="常规 5 5 2 2 2 2 2 5 2" xfId="33328"/>
    <cellStyle name="常规 5 5 2 2 2 2 2 6" xfId="33330"/>
    <cellStyle name="常规 5 5 2 2 2 2 2 7" xfId="33331"/>
    <cellStyle name="常规 5 5 2 2 2 2 3" xfId="22531"/>
    <cellStyle name="常规 5 5 2 2 2 2 3 2" xfId="22534"/>
    <cellStyle name="常规 5 5 2 2 2 2 3 2 2" xfId="22536"/>
    <cellStyle name="常规 5 5 2 2 2 2 3 2 2 2" xfId="22538"/>
    <cellStyle name="常规 5 5 2 2 2 2 3 2 2 2 2" xfId="33332"/>
    <cellStyle name="常规 5 5 2 2 2 2 3 2 2 3" xfId="33334"/>
    <cellStyle name="常规 5 5 2 2 2 2 3 2 2 4" xfId="29984"/>
    <cellStyle name="常规 5 5 2 2 2 2 3 2 3" xfId="22542"/>
    <cellStyle name="常规 5 5 2 2 2 2 3 2 3 2" xfId="31328"/>
    <cellStyle name="常规 5 5 2 2 2 2 3 2 4" xfId="22546"/>
    <cellStyle name="常规 5 5 2 2 2 2 3 2 5" xfId="21038"/>
    <cellStyle name="常规 5 5 2 2 2 2 3 3" xfId="22548"/>
    <cellStyle name="常规 5 5 2 2 2 2 3 3 2" xfId="22550"/>
    <cellStyle name="常规 5 5 2 2 2 2 3 3 2 2" xfId="7537"/>
    <cellStyle name="常规 5 5 2 2 2 2 3 3 3" xfId="31331"/>
    <cellStyle name="常规 5 5 2 2 2 2 3 3 4" xfId="32053"/>
    <cellStyle name="常规 5 5 2 2 2 2 3 4" xfId="22552"/>
    <cellStyle name="常规 5 5 2 2 2 2 3 4 2" xfId="33336"/>
    <cellStyle name="常规 5 5 2 2 2 2 3 5" xfId="22554"/>
    <cellStyle name="常规 5 5 2 2 2 2 3 6" xfId="6153"/>
    <cellStyle name="常规 5 5 2 2 2 2 4" xfId="9649"/>
    <cellStyle name="常规 5 5 2 2 2 2 4 2" xfId="22556"/>
    <cellStyle name="常规 5 5 2 2 2 2 4 2 2" xfId="22559"/>
    <cellStyle name="常规 5 5 2 2 2 2 4 2 2 2" xfId="33337"/>
    <cellStyle name="常规 5 5 2 2 2 2 4 2 3" xfId="30434"/>
    <cellStyle name="常规 5 5 2 2 2 2 4 2 4" xfId="28606"/>
    <cellStyle name="常规 5 5 2 2 2 2 4 3" xfId="22563"/>
    <cellStyle name="常规 5 5 2 2 2 2 4 3 2" xfId="31030"/>
    <cellStyle name="常规 5 5 2 2 2 2 4 4" xfId="22566"/>
    <cellStyle name="常规 5 5 2 2 2 2 4 5" xfId="24996"/>
    <cellStyle name="常规 5 5 2 2 2 2 5" xfId="22568"/>
    <cellStyle name="常规 5 5 2 2 2 2 5 2" xfId="22570"/>
    <cellStyle name="常规 5 5 2 2 2 2 5 2 2" xfId="33338"/>
    <cellStyle name="常规 5 5 2 2 2 2 5 3" xfId="33339"/>
    <cellStyle name="常规 5 5 2 2 2 2 5 4" xfId="33340"/>
    <cellStyle name="常规 5 5 2 2 2 2 6" xfId="22573"/>
    <cellStyle name="常规 5 5 2 2 2 2 6 2" xfId="15315"/>
    <cellStyle name="常规 5 5 2 2 2 2 7" xfId="22577"/>
    <cellStyle name="常规 5 5 2 2 2 2 8" xfId="29073"/>
    <cellStyle name="常规 5 5 2 2 2 3" xfId="33341"/>
    <cellStyle name="常规 5 5 2 2 2 3 2" xfId="33342"/>
    <cellStyle name="常规 5 5 2 2 2 3 2 2" xfId="33343"/>
    <cellStyle name="常规 5 5 2 2 2 3 2 2 2" xfId="33344"/>
    <cellStyle name="常规 5 5 2 2 2 3 2 2 2 2" xfId="29917"/>
    <cellStyle name="常规 5 5 2 2 2 3 2 2 2 2 2" xfId="33345"/>
    <cellStyle name="常规 5 5 2 2 2 3 2 2 2 3" xfId="33347"/>
    <cellStyle name="常规 5 5 2 2 2 3 2 2 2 4" xfId="33348"/>
    <cellStyle name="常规 5 5 2 2 2 3 2 2 3" xfId="33349"/>
    <cellStyle name="常规 5 5 2 2 2 3 2 2 3 2" xfId="33350"/>
    <cellStyle name="常规 5 5 2 2 2 3 2 2 4" xfId="32087"/>
    <cellStyle name="常规 5 5 2 2 2 3 2 2 5" xfId="21050"/>
    <cellStyle name="常规 5 5 2 2 2 3 2 3" xfId="21374"/>
    <cellStyle name="常规 5 5 2 2 2 3 2 3 2" xfId="21376"/>
    <cellStyle name="常规 5 5 2 2 2 3 2 3 2 2" xfId="21378"/>
    <cellStyle name="常规 5 5 2 2 2 3 2 3 3" xfId="21381"/>
    <cellStyle name="常规 5 5 2 2 2 3 2 3 4" xfId="21384"/>
    <cellStyle name="常规 5 5 2 2 2 3 2 4" xfId="7524"/>
    <cellStyle name="常规 5 5 2 2 2 3 2 4 2" xfId="16241"/>
    <cellStyle name="常规 5 5 2 2 2 3 2 5" xfId="16244"/>
    <cellStyle name="常规 5 5 2 2 2 3 2 6" xfId="16247"/>
    <cellStyle name="常规 5 5 2 2 2 3 3" xfId="22583"/>
    <cellStyle name="常规 5 5 2 2 2 3 3 2" xfId="22586"/>
    <cellStyle name="常规 5 5 2 2 2 3 3 2 2" xfId="19700"/>
    <cellStyle name="常规 5 5 2 2 2 3 3 2 2 2" xfId="30050"/>
    <cellStyle name="常规 5 5 2 2 2 3 3 2 3" xfId="31340"/>
    <cellStyle name="常规 5 5 2 2 2 3 3 2 4" xfId="32096"/>
    <cellStyle name="常规 5 5 2 2 2 3 3 3" xfId="21387"/>
    <cellStyle name="常规 5 5 2 2 2 3 3 3 2" xfId="21390"/>
    <cellStyle name="常规 5 5 2 2 2 3 3 4" xfId="16250"/>
    <cellStyle name="常规 5 5 2 2 2 3 3 5" xfId="21392"/>
    <cellStyle name="常规 5 5 2 2 2 3 4" xfId="22588"/>
    <cellStyle name="常规 5 5 2 2 2 3 4 2" xfId="9723"/>
    <cellStyle name="常规 5 5 2 2 2 3 4 2 2" xfId="33351"/>
    <cellStyle name="常规 5 5 2 2 2 3 4 3" xfId="21395"/>
    <cellStyle name="常规 5 5 2 2 2 3 4 4" xfId="33353"/>
    <cellStyle name="常规 5 5 2 2 2 3 5" xfId="22590"/>
    <cellStyle name="常规 5 5 2 2 2 3 5 2" xfId="33354"/>
    <cellStyle name="常规 5 5 2 2 2 3 6" xfId="12749"/>
    <cellStyle name="常规 5 5 2 2 2 3 7" xfId="12760"/>
    <cellStyle name="常规 5 5 2 2 2 4" xfId="33355"/>
    <cellStyle name="常规 5 5 2 2 2 4 2" xfId="33356"/>
    <cellStyle name="常规 5 5 2 2 2 4 2 2" xfId="33357"/>
    <cellStyle name="常规 5 5 2 2 2 4 2 2 2" xfId="33358"/>
    <cellStyle name="常规 5 5 2 2 2 4 2 2 2 2" xfId="30459"/>
    <cellStyle name="常规 5 5 2 2 2 4 2 2 3" xfId="33301"/>
    <cellStyle name="常规 5 5 2 2 2 4 2 2 4" xfId="32129"/>
    <cellStyle name="常规 5 5 2 2 2 4 2 3" xfId="21402"/>
    <cellStyle name="常规 5 5 2 2 2 4 2 3 2" xfId="21404"/>
    <cellStyle name="常规 5 5 2 2 2 4 2 4" xfId="16275"/>
    <cellStyle name="常规 5 5 2 2 2 4 2 5" xfId="21406"/>
    <cellStyle name="常规 5 5 2 2 2 4 3" xfId="22592"/>
    <cellStyle name="常规 5 5 2 2 2 4 3 2" xfId="22594"/>
    <cellStyle name="常规 5 5 2 2 2 4 3 2 2" xfId="33359"/>
    <cellStyle name="常规 5 5 2 2 2 4 3 3" xfId="21409"/>
    <cellStyle name="常规 5 5 2 2 2 4 3 4" xfId="33360"/>
    <cellStyle name="常规 5 5 2 2 2 4 4" xfId="22596"/>
    <cellStyle name="常规 5 5 2 2 2 4 4 2" xfId="33361"/>
    <cellStyle name="常规 5 5 2 2 2 4 5" xfId="22598"/>
    <cellStyle name="常规 5 5 2 2 2 4 6" xfId="12770"/>
    <cellStyle name="常规 5 5 2 2 2 5" xfId="33362"/>
    <cellStyle name="常规 5 5 2 2 2 5 2" xfId="33363"/>
    <cellStyle name="常规 5 5 2 2 2 5 2 2" xfId="33364"/>
    <cellStyle name="常规 5 5 2 2 2 5 2 2 2" xfId="33365"/>
    <cellStyle name="常规 5 5 2 2 2 5 2 3" xfId="21417"/>
    <cellStyle name="常规 5 5 2 2 2 5 2 4" xfId="33366"/>
    <cellStyle name="常规 5 5 2 2 2 5 3" xfId="22600"/>
    <cellStyle name="常规 5 5 2 2 2 5 3 2" xfId="33367"/>
    <cellStyle name="常规 5 5 2 2 2 5 4" xfId="152"/>
    <cellStyle name="常规 5 5 2 2 2 5 5" xfId="33368"/>
    <cellStyle name="常规 5 5 2 2 2 6" xfId="33369"/>
    <cellStyle name="常规 5 5 2 2 2 6 2" xfId="33370"/>
    <cellStyle name="常规 5 5 2 2 2 6 2 2" xfId="510"/>
    <cellStyle name="常规 5 5 2 2 2 6 3" xfId="33371"/>
    <cellStyle name="常规 5 5 2 2 2 6 4" xfId="33372"/>
    <cellStyle name="常规 5 5 2 2 2 7" xfId="33373"/>
    <cellStyle name="常规 5 5 2 2 2 7 2" xfId="33374"/>
    <cellStyle name="常规 5 5 2 2 2 8" xfId="33375"/>
    <cellStyle name="常规 5 5 2 2 2 9" xfId="33376"/>
    <cellStyle name="常规 5 5 2 2 3" xfId="33379"/>
    <cellStyle name="常规 5 5 2 2 3 2" xfId="33380"/>
    <cellStyle name="常规 5 5 2 2 3 2 2" xfId="23791"/>
    <cellStyle name="常规 5 5 2 2 3 2 2 2" xfId="33381"/>
    <cellStyle name="常规 5 5 2 2 3 2 2 2 2" xfId="33382"/>
    <cellStyle name="常规 5 5 2 2 3 2 2 2 2 2" xfId="33383"/>
    <cellStyle name="常规 5 5 2 2 3 2 2 2 2 2 2" xfId="33384"/>
    <cellStyle name="常规 5 5 2 2 3 2 2 2 2 2 2 2" xfId="23207"/>
    <cellStyle name="常规 5 5 2 2 3 2 2 2 2 2 3" xfId="33385"/>
    <cellStyle name="常规 5 5 2 2 3 2 2 2 2 2 4" xfId="33386"/>
    <cellStyle name="常规 5 5 2 2 3 2 2 2 2 3" xfId="33388"/>
    <cellStyle name="常规 5 5 2 2 3 2 2 2 2 3 2" xfId="24547"/>
    <cellStyle name="常规 5 5 2 2 3 2 2 2 2 4" xfId="33390"/>
    <cellStyle name="常规 5 5 2 2 3 2 2 2 2 5" xfId="33392"/>
    <cellStyle name="常规 5 5 2 2 3 2 2 2 3" xfId="33393"/>
    <cellStyle name="常规 5 5 2 2 3 2 2 2 3 2" xfId="33394"/>
    <cellStyle name="常规 5 5 2 2 3 2 2 2 3 2 2" xfId="33395"/>
    <cellStyle name="常规 5 5 2 2 3 2 2 2 3 3" xfId="33396"/>
    <cellStyle name="常规 5 5 2 2 3 2 2 2 3 4" xfId="33399"/>
    <cellStyle name="常规 5 5 2 2 3 2 2 2 4" xfId="32201"/>
    <cellStyle name="常规 5 5 2 2 3 2 2 2 4 2" xfId="33400"/>
    <cellStyle name="常规 5 5 2 2 3 2 2 2 5" xfId="21095"/>
    <cellStyle name="常规 5 5 2 2 3 2 2 2 6" xfId="33401"/>
    <cellStyle name="常规 5 5 2 2 3 2 2 3" xfId="33402"/>
    <cellStyle name="常规 5 5 2 2 3 2 2 3 2" xfId="33403"/>
    <cellStyle name="常规 5 5 2 2 3 2 2 3 2 2" xfId="33404"/>
    <cellStyle name="常规 5 5 2 2 3 2 2 3 2 2 2" xfId="27838"/>
    <cellStyle name="常规 5 5 2 2 3 2 2 3 2 3" xfId="33405"/>
    <cellStyle name="常规 5 5 2 2 3 2 2 3 2 4" xfId="33407"/>
    <cellStyle name="常规 5 5 2 2 3 2 2 3 3" xfId="33408"/>
    <cellStyle name="常规 5 5 2 2 3 2 2 3 3 2" xfId="33409"/>
    <cellStyle name="常规 5 5 2 2 3 2 2 3 4" xfId="33410"/>
    <cellStyle name="常规 5 5 2 2 3 2 2 3 5" xfId="33411"/>
    <cellStyle name="常规 5 5 2 2 3 2 2 4" xfId="33412"/>
    <cellStyle name="常规 5 5 2 2 3 2 2 4 2" xfId="12245"/>
    <cellStyle name="常规 5 5 2 2 3 2 2 4 2 2" xfId="16142"/>
    <cellStyle name="常规 5 5 2 2 3 2 2 4 3" xfId="12249"/>
    <cellStyle name="常规 5 5 2 2 3 2 2 4 4" xfId="33414"/>
    <cellStyle name="常规 5 5 2 2 3 2 2 5" xfId="33415"/>
    <cellStyle name="常规 5 5 2 2 3 2 2 5 2" xfId="33416"/>
    <cellStyle name="常规 5 5 2 2 3 2 2 6" xfId="33417"/>
    <cellStyle name="常规 5 5 2 2 3 2 2 7" xfId="31758"/>
    <cellStyle name="常规 5 5 2 2 3 2 3" xfId="22609"/>
    <cellStyle name="常规 5 5 2 2 3 2 3 2" xfId="2683"/>
    <cellStyle name="常规 5 5 2 2 3 2 3 2 2" xfId="22613"/>
    <cellStyle name="常规 5 5 2 2 3 2 3 2 2 2" xfId="27157"/>
    <cellStyle name="常规 5 5 2 2 3 2 3 2 2 2 2" xfId="27161"/>
    <cellStyle name="常规 5 5 2 2 3 2 3 2 2 3" xfId="27209"/>
    <cellStyle name="常规 5 5 2 2 3 2 3 2 2 4" xfId="27232"/>
    <cellStyle name="常规 5 5 2 2 3 2 3 2 3" xfId="31358"/>
    <cellStyle name="常规 5 5 2 2 3 2 3 2 3 2" xfId="27401"/>
    <cellStyle name="常规 5 5 2 2 3 2 3 2 4" xfId="33418"/>
    <cellStyle name="常规 5 5 2 2 3 2 3 2 5" xfId="33419"/>
    <cellStyle name="常规 5 5 2 2 3 2 3 3" xfId="18517"/>
    <cellStyle name="常规 5 5 2 2 3 2 3 3 2" xfId="33420"/>
    <cellStyle name="常规 5 5 2 2 3 2 3 3 2 2" xfId="28442"/>
    <cellStyle name="常规 5 5 2 2 3 2 3 3 3" xfId="33421"/>
    <cellStyle name="常规 5 5 2 2 3 2 3 3 4" xfId="33422"/>
    <cellStyle name="常规 5 5 2 2 3 2 3 4" xfId="22615"/>
    <cellStyle name="常规 5 5 2 2 3 2 3 4 2" xfId="33423"/>
    <cellStyle name="常规 5 5 2 2 3 2 3 5" xfId="33424"/>
    <cellStyle name="常规 5 5 2 2 3 2 3 6" xfId="33426"/>
    <cellStyle name="常规 5 5 2 2 3 2 4" xfId="22617"/>
    <cellStyle name="常规 5 5 2 2 3 2 4 2" xfId="18526"/>
    <cellStyle name="常规 5 5 2 2 3 2 4 2 2" xfId="32151"/>
    <cellStyle name="常规 5 5 2 2 3 2 4 2 2 2" xfId="32153"/>
    <cellStyle name="常规 5 5 2 2 3 2 4 2 3" xfId="30555"/>
    <cellStyle name="常规 5 5 2 2 3 2 4 2 4" xfId="32155"/>
    <cellStyle name="常规 5 5 2 2 3 2 4 3" xfId="15225"/>
    <cellStyle name="常规 5 5 2 2 3 2 4 3 2" xfId="15228"/>
    <cellStyle name="常规 5 5 2 2 3 2 4 4" xfId="15358"/>
    <cellStyle name="常规 5 5 2 2 3 2 4 5" xfId="15429"/>
    <cellStyle name="常规 5 5 2 2 3 2 5" xfId="22619"/>
    <cellStyle name="常规 5 5 2 2 3 2 5 2" xfId="19077"/>
    <cellStyle name="常规 5 5 2 2 3 2 5 2 2" xfId="32158"/>
    <cellStyle name="常规 5 5 2 2 3 2 5 3" xfId="15465"/>
    <cellStyle name="常规 5 5 2 2 3 2 5 4" xfId="15530"/>
    <cellStyle name="常规 5 5 2 2 3 2 6" xfId="22622"/>
    <cellStyle name="常规 5 5 2 2 3 2 6 2" xfId="15395"/>
    <cellStyle name="常规 5 5 2 2 3 2 7" xfId="29082"/>
    <cellStyle name="常规 5 5 2 2 3 2 8" xfId="29084"/>
    <cellStyle name="常规 5 5 2 2 3 3" xfId="33427"/>
    <cellStyle name="常规 5 5 2 2 3 3 2" xfId="23808"/>
    <cellStyle name="常规 5 5 2 2 3 3 2 2" xfId="33428"/>
    <cellStyle name="常规 5 5 2 2 3 3 2 2 2" xfId="33429"/>
    <cellStyle name="常规 5 5 2 2 3 3 2 2 2 2" xfId="20817"/>
    <cellStyle name="常规 5 5 2 2 3 3 2 2 2 2 2" xfId="33430"/>
    <cellStyle name="常规 5 5 2 2 3 3 2 2 2 3" xfId="33431"/>
    <cellStyle name="常规 5 5 2 2 3 3 2 2 2 4" xfId="33433"/>
    <cellStyle name="常规 5 5 2 2 3 3 2 2 3" xfId="33434"/>
    <cellStyle name="常规 5 5 2 2 3 3 2 2 3 2" xfId="33435"/>
    <cellStyle name="常规 5 5 2 2 3 3 2 2 4" xfId="33436"/>
    <cellStyle name="常规 5 5 2 2 3 3 2 2 5" xfId="17560"/>
    <cellStyle name="常规 5 5 2 2 3 3 2 3" xfId="21427"/>
    <cellStyle name="常规 5 5 2 2 3 3 2 3 2" xfId="21429"/>
    <cellStyle name="常规 5 5 2 2 3 3 2 3 2 2" xfId="33437"/>
    <cellStyle name="常规 5 5 2 2 3 3 2 3 3" xfId="33438"/>
    <cellStyle name="常规 5 5 2 2 3 3 2 3 4" xfId="33439"/>
    <cellStyle name="常规 5 5 2 2 3 3 2 4" xfId="16328"/>
    <cellStyle name="常规 5 5 2 2 3 3 2 4 2" xfId="13521"/>
    <cellStyle name="常规 5 5 2 2 3 3 2 5" xfId="21431"/>
    <cellStyle name="常规 5 5 2 2 3 3 2 6" xfId="33440"/>
    <cellStyle name="常规 5 5 2 2 3 3 3" xfId="22626"/>
    <cellStyle name="常规 5 5 2 2 3 3 3 2" xfId="18546"/>
    <cellStyle name="常规 5 5 2 2 3 3 3 2 2" xfId="33121"/>
    <cellStyle name="常规 5 5 2 2 3 3 3 2 2 2" xfId="33441"/>
    <cellStyle name="常规 5 5 2 2 3 3 3 2 3" xfId="2526"/>
    <cellStyle name="常规 5 5 2 2 3 3 3 2 4" xfId="33442"/>
    <cellStyle name="常规 5 5 2 2 3 3 3 3" xfId="21434"/>
    <cellStyle name="常规 5 5 2 2 3 3 3 3 2" xfId="33443"/>
    <cellStyle name="常规 5 5 2 2 3 3 3 4" xfId="33444"/>
    <cellStyle name="常规 5 5 2 2 3 3 3 5" xfId="33445"/>
    <cellStyle name="常规 5 5 2 2 3 3 4" xfId="22628"/>
    <cellStyle name="常规 5 5 2 2 3 3 4 2" xfId="32163"/>
    <cellStyle name="常规 5 5 2 2 3 3 4 2 2" xfId="32165"/>
    <cellStyle name="常规 5 5 2 2 3 3 4 3" xfId="15713"/>
    <cellStyle name="常规 5 5 2 2 3 3 4 4" xfId="15734"/>
    <cellStyle name="常规 5 5 2 2 3 3 5" xfId="22630"/>
    <cellStyle name="常规 5 5 2 2 3 3 5 2" xfId="32169"/>
    <cellStyle name="常规 5 5 2 2 3 3 6" xfId="12792"/>
    <cellStyle name="常规 5 5 2 2 3 3 7" xfId="12798"/>
    <cellStyle name="常规 5 5 2 2 3 4" xfId="33446"/>
    <cellStyle name="常规 5 5 2 2 3 4 2" xfId="33447"/>
    <cellStyle name="常规 5 5 2 2 3 4 2 2" xfId="33448"/>
    <cellStyle name="常规 5 5 2 2 3 4 2 2 2" xfId="33449"/>
    <cellStyle name="常规 5 5 2 2 3 4 2 2 2 2" xfId="20422"/>
    <cellStyle name="常规 5 5 2 2 3 4 2 2 3" xfId="33450"/>
    <cellStyle name="常规 5 5 2 2 3 4 2 2 4" xfId="33451"/>
    <cellStyle name="常规 5 5 2 2 3 4 2 3" xfId="21438"/>
    <cellStyle name="常规 5 5 2 2 3 4 2 3 2" xfId="33452"/>
    <cellStyle name="常规 5 5 2 2 3 4 2 4" xfId="33453"/>
    <cellStyle name="常规 5 5 2 2 3 4 2 5" xfId="33454"/>
    <cellStyle name="常规 5 5 2 2 3 4 3" xfId="22633"/>
    <cellStyle name="常规 5 5 2 2 3 4 3 2" xfId="4172"/>
    <cellStyle name="常规 5 5 2 2 3 4 3 2 2" xfId="5546"/>
    <cellStyle name="常规 5 5 2 2 3 4 3 3" xfId="4174"/>
    <cellStyle name="常规 5 5 2 2 3 4 3 4" xfId="7810"/>
    <cellStyle name="常规 5 5 2 2 3 4 4" xfId="33455"/>
    <cellStyle name="常规 5 5 2 2 3 4 4 2" xfId="32171"/>
    <cellStyle name="常规 5 5 2 2 3 4 5" xfId="33456"/>
    <cellStyle name="常规 5 5 2 2 3 4 6" xfId="12808"/>
    <cellStyle name="常规 5 5 2 2 3 5" xfId="33457"/>
    <cellStyle name="常规 5 5 2 2 3 5 2" xfId="33458"/>
    <cellStyle name="常规 5 5 2 2 3 5 2 2" xfId="33459"/>
    <cellStyle name="常规 5 5 2 2 3 5 2 2 2" xfId="33460"/>
    <cellStyle name="常规 5 5 2 2 3 5 2 3" xfId="33461"/>
    <cellStyle name="常规 5 5 2 2 3 5 2 4" xfId="33462"/>
    <cellStyle name="常规 5 5 2 2 3 5 3" xfId="33463"/>
    <cellStyle name="常规 5 5 2 2 3 5 3 2" xfId="33464"/>
    <cellStyle name="常规 5 5 2 2 3 5 4" xfId="33465"/>
    <cellStyle name="常规 5 5 2 2 3 5 5" xfId="33466"/>
    <cellStyle name="常规 5 5 2 2 3 6" xfId="33467"/>
    <cellStyle name="常规 5 5 2 2 3 6 2" xfId="33468"/>
    <cellStyle name="常规 5 5 2 2 3 6 2 2" xfId="27705"/>
    <cellStyle name="常规 5 5 2 2 3 6 3" xfId="16879"/>
    <cellStyle name="常规 5 5 2 2 3 6 4" xfId="16883"/>
    <cellStyle name="常规 5 5 2 2 3 7" xfId="33469"/>
    <cellStyle name="常规 5 5 2 2 3 7 2" xfId="33470"/>
    <cellStyle name="常规 5 5 2 2 3 8" xfId="33471"/>
    <cellStyle name="常规 5 5 2 2 3 9" xfId="33472"/>
    <cellStyle name="常规 5 5 2 2 4" xfId="33473"/>
    <cellStyle name="常规 5 5 2 2 4 2" xfId="33474"/>
    <cellStyle name="常规 5 5 2 2 4 2 2" xfId="33475"/>
    <cellStyle name="常规 5 5 2 2 4 2 2 2" xfId="2472"/>
    <cellStyle name="常规 5 5 2 2 4 2 2 2 2" xfId="33476"/>
    <cellStyle name="常规 5 5 2 2 4 2 2 2 2 2" xfId="23148"/>
    <cellStyle name="常规 5 5 2 2 4 2 2 2 2 2 2" xfId="23151"/>
    <cellStyle name="常规 5 5 2 2 4 2 2 2 2 3" xfId="23156"/>
    <cellStyle name="常规 5 5 2 2 4 2 2 2 2 4" xfId="23159"/>
    <cellStyle name="常规 5 5 2 2 4 2 2 2 3" xfId="33477"/>
    <cellStyle name="常规 5 5 2 2 4 2 2 2 3 2" xfId="23170"/>
    <cellStyle name="常规 5 5 2 2 4 2 2 2 4" xfId="32281"/>
    <cellStyle name="常规 5 5 2 2 4 2 2 2 5" xfId="9733"/>
    <cellStyle name="常规 5 5 2 2 4 2 2 3" xfId="33478"/>
    <cellStyle name="常规 5 5 2 2 4 2 2 3 2" xfId="33479"/>
    <cellStyle name="常规 5 5 2 2 4 2 2 3 2 2" xfId="23222"/>
    <cellStyle name="常规 5 5 2 2 4 2 2 3 3" xfId="33480"/>
    <cellStyle name="常规 5 5 2 2 4 2 2 3 4" xfId="33481"/>
    <cellStyle name="常规 5 5 2 2 4 2 2 4" xfId="33482"/>
    <cellStyle name="常规 5 5 2 2 4 2 2 4 2" xfId="33483"/>
    <cellStyle name="常规 5 5 2 2 4 2 2 5" xfId="33484"/>
    <cellStyle name="常规 5 5 2 2 4 2 2 6" xfId="33485"/>
    <cellStyle name="常规 5 5 2 2 4 2 3" xfId="22639"/>
    <cellStyle name="常规 5 5 2 2 4 2 3 2" xfId="2508"/>
    <cellStyle name="常规 5 5 2 2 4 2 3 2 2" xfId="33486"/>
    <cellStyle name="常规 5 5 2 2 4 2 3 2 2 2" xfId="23310"/>
    <cellStyle name="常规 5 5 2 2 4 2 3 2 3" xfId="33487"/>
    <cellStyle name="常规 5 5 2 2 4 2 3 2 4" xfId="33488"/>
    <cellStyle name="常规 5 5 2 2 4 2 3 3" xfId="33489"/>
    <cellStyle name="常规 5 5 2 2 4 2 3 3 2" xfId="33490"/>
    <cellStyle name="常规 5 5 2 2 4 2 3 4" xfId="33491"/>
    <cellStyle name="常规 5 5 2 2 4 2 3 5" xfId="33492"/>
    <cellStyle name="常规 5 5 2 2 4 2 4" xfId="22641"/>
    <cellStyle name="常规 5 5 2 2 4 2 4 2" xfId="32185"/>
    <cellStyle name="常规 5 5 2 2 4 2 4 2 2" xfId="32187"/>
    <cellStyle name="常规 5 5 2 2 4 2 4 3" xfId="6476"/>
    <cellStyle name="常规 5 5 2 2 4 2 4 4" xfId="1791"/>
    <cellStyle name="常规 5 5 2 2 4 2 5" xfId="22643"/>
    <cellStyle name="常规 5 5 2 2 4 2 5 2" xfId="32190"/>
    <cellStyle name="常规 5 5 2 2 4 2 6" xfId="29091"/>
    <cellStyle name="常规 5 5 2 2 4 2 7" xfId="33493"/>
    <cellStyle name="常规 5 5 2 2 4 3" xfId="20939"/>
    <cellStyle name="常规 5 5 2 2 4 3 2" xfId="33494"/>
    <cellStyle name="常规 5 5 2 2 4 3 2 2" xfId="33495"/>
    <cellStyle name="常规 5 5 2 2 4 3 2 2 2" xfId="4081"/>
    <cellStyle name="常规 5 5 2 2 4 3 2 2 2 2" xfId="15241"/>
    <cellStyle name="常规 5 5 2 2 4 3 2 2 3" xfId="33496"/>
    <cellStyle name="常规 5 5 2 2 4 3 2 2 4" xfId="33497"/>
    <cellStyle name="常规 5 5 2 2 4 3 2 3" xfId="21448"/>
    <cellStyle name="常规 5 5 2 2 4 3 2 3 2" xfId="33498"/>
    <cellStyle name="常规 5 5 2 2 4 3 2 4" xfId="33499"/>
    <cellStyle name="常规 5 5 2 2 4 3 2 5" xfId="33500"/>
    <cellStyle name="常规 5 5 2 2 4 3 3" xfId="22646"/>
    <cellStyle name="常规 5 5 2 2 4 3 3 2" xfId="33501"/>
    <cellStyle name="常规 5 5 2 2 4 3 3 2 2" xfId="33502"/>
    <cellStyle name="常规 5 5 2 2 4 3 3 3" xfId="33503"/>
    <cellStyle name="常规 5 5 2 2 4 3 3 4" xfId="33504"/>
    <cellStyle name="常规 5 5 2 2 4 3 4" xfId="33505"/>
    <cellStyle name="常规 5 5 2 2 4 3 4 2" xfId="32195"/>
    <cellStyle name="常规 5 5 2 2 4 3 5" xfId="33506"/>
    <cellStyle name="常规 5 5 2 2 4 3 6" xfId="12822"/>
    <cellStyle name="常规 5 5 2 2 4 4" xfId="33507"/>
    <cellStyle name="常规 5 5 2 2 4 4 2" xfId="33508"/>
    <cellStyle name="常规 5 5 2 2 4 4 2 2" xfId="33509"/>
    <cellStyle name="常规 5 5 2 2 4 4 2 2 2" xfId="33510"/>
    <cellStyle name="常规 5 5 2 2 4 4 2 3" xfId="33511"/>
    <cellStyle name="常规 5 5 2 2 4 4 2 4" xfId="33512"/>
    <cellStyle name="常规 5 5 2 2 4 4 3" xfId="21085"/>
    <cellStyle name="常规 5 5 2 2 4 4 3 2" xfId="21087"/>
    <cellStyle name="常规 5 5 2 2 4 4 4" xfId="21093"/>
    <cellStyle name="常规 5 5 2 2 4 4 5" xfId="21097"/>
    <cellStyle name="常规 5 5 2 2 4 5" xfId="33513"/>
    <cellStyle name="常规 5 5 2 2 4 5 2" xfId="33514"/>
    <cellStyle name="常规 5 5 2 2 4 5 2 2" xfId="33515"/>
    <cellStyle name="常规 5 5 2 2 4 5 3" xfId="5069"/>
    <cellStyle name="常规 5 5 2 2 4 5 4" xfId="5077"/>
    <cellStyle name="常规 5 5 2 2 4 6" xfId="33516"/>
    <cellStyle name="常规 5 5 2 2 4 6 2" xfId="33517"/>
    <cellStyle name="常规 5 5 2 2 4 7" xfId="33518"/>
    <cellStyle name="常规 5 5 2 2 4 8" xfId="33519"/>
    <cellStyle name="常规 5 5 2 2 5" xfId="33520"/>
    <cellStyle name="常规 5 5 2 2 5 2" xfId="33521"/>
    <cellStyle name="常规 5 5 2 2 5 2 2" xfId="33522"/>
    <cellStyle name="常规 5 5 2 2 5 2 2 2" xfId="33523"/>
    <cellStyle name="常规 5 5 2 2 5 2 2 2 2" xfId="33524"/>
    <cellStyle name="常规 5 5 2 2 5 2 2 2 2 2" xfId="33525"/>
    <cellStyle name="常规 5 5 2 2 5 2 2 2 3" xfId="33526"/>
    <cellStyle name="常规 5 5 2 2 5 2 2 2 4" xfId="33527"/>
    <cellStyle name="常规 5 5 2 2 5 2 2 3" xfId="31637"/>
    <cellStyle name="常规 5 5 2 2 5 2 2 3 2" xfId="31640"/>
    <cellStyle name="常规 5 5 2 2 5 2 2 4" xfId="31645"/>
    <cellStyle name="常规 5 5 2 2 5 2 2 5" xfId="31648"/>
    <cellStyle name="常规 5 5 2 2 5 2 3" xfId="16601"/>
    <cellStyle name="常规 5 5 2 2 5 2 3 2" xfId="33528"/>
    <cellStyle name="常规 5 5 2 2 5 2 3 2 2" xfId="33529"/>
    <cellStyle name="常规 5 5 2 2 5 2 3 3" xfId="31652"/>
    <cellStyle name="常规 5 5 2 2 5 2 3 4" xfId="31656"/>
    <cellStyle name="常规 5 5 2 2 5 2 4" xfId="16604"/>
    <cellStyle name="常规 5 5 2 2 5 2 4 2" xfId="32209"/>
    <cellStyle name="常规 5 5 2 2 5 2 5" xfId="33530"/>
    <cellStyle name="常规 5 5 2 2 5 2 6" xfId="33532"/>
    <cellStyle name="常规 5 5 2 2 5 3" xfId="33533"/>
    <cellStyle name="常规 5 5 2 2 5 3 2" xfId="33534"/>
    <cellStyle name="常规 5 5 2 2 5 3 2 2" xfId="23553"/>
    <cellStyle name="常规 5 5 2 2 5 3 2 2 2" xfId="33535"/>
    <cellStyle name="常规 5 5 2 2 5 3 2 3" xfId="23555"/>
    <cellStyle name="常规 5 5 2 2 5 3 2 4" xfId="31664"/>
    <cellStyle name="常规 5 5 2 2 5 3 3" xfId="33536"/>
    <cellStyle name="常规 5 5 2 2 5 3 3 2" xfId="33537"/>
    <cellStyle name="常规 5 5 2 2 5 3 4" xfId="33538"/>
    <cellStyle name="常规 5 5 2 2 5 3 5" xfId="33539"/>
    <cellStyle name="常规 5 5 2 2 5 4" xfId="33540"/>
    <cellStyle name="常规 5 5 2 2 5 4 2" xfId="33541"/>
    <cellStyle name="常规 5 5 2 2 5 4 2 2" xfId="33542"/>
    <cellStyle name="常规 5 5 2 2 5 4 3" xfId="16627"/>
    <cellStyle name="常规 5 5 2 2 5 4 4" xfId="17555"/>
    <cellStyle name="常规 5 5 2 2 5 5" xfId="33543"/>
    <cellStyle name="常规 5 5 2 2 5 5 2" xfId="33544"/>
    <cellStyle name="常规 5 5 2 2 5 6" xfId="33545"/>
    <cellStyle name="常规 5 5 2 2 5 7" xfId="33546"/>
    <cellStyle name="常规 5 5 2 2 6" xfId="33548"/>
    <cellStyle name="常规 5 5 2 2 6 2" xfId="33550"/>
    <cellStyle name="常规 5 5 2 2 6 2 2" xfId="33552"/>
    <cellStyle name="常规 5 5 2 2 6 2 2 2" xfId="33553"/>
    <cellStyle name="常规 5 5 2 2 6 2 2 2 2" xfId="33554"/>
    <cellStyle name="常规 5 5 2 2 6 2 2 3" xfId="10540"/>
    <cellStyle name="常规 5 5 2 2 6 2 2 4" xfId="28364"/>
    <cellStyle name="常规 5 5 2 2 6 2 3" xfId="19989"/>
    <cellStyle name="常规 5 5 2 2 6 2 3 2" xfId="33555"/>
    <cellStyle name="常规 5 5 2 2 6 2 4" xfId="19991"/>
    <cellStyle name="常规 5 5 2 2 6 2 5" xfId="31905"/>
    <cellStyle name="常规 5 5 2 2 6 3" xfId="33557"/>
    <cellStyle name="常规 5 5 2 2 6 3 2" xfId="33558"/>
    <cellStyle name="常规 5 5 2 2 6 3 2 2" xfId="33559"/>
    <cellStyle name="常规 5 5 2 2 6 3 3" xfId="33560"/>
    <cellStyle name="常规 5 5 2 2 6 3 4" xfId="33561"/>
    <cellStyle name="常规 5 5 2 2 6 4" xfId="33563"/>
    <cellStyle name="常规 5 5 2 2 6 4 2" xfId="33564"/>
    <cellStyle name="常规 5 5 2 2 6 5" xfId="33565"/>
    <cellStyle name="常规 5 5 2 2 6 6" xfId="33566"/>
    <cellStyle name="常规 5 5 2 2 7" xfId="33568"/>
    <cellStyle name="常规 5 5 2 2 7 2" xfId="33570"/>
    <cellStyle name="常规 5 5 2 2 7 2 2" xfId="33571"/>
    <cellStyle name="常规 5 5 2 2 7 2 2 2" xfId="22398"/>
    <cellStyle name="常规 5 5 2 2 7 2 3" xfId="33572"/>
    <cellStyle name="常规 5 5 2 2 7 2 4" xfId="25212"/>
    <cellStyle name="常规 5 5 2 2 7 3" xfId="33573"/>
    <cellStyle name="常规 5 5 2 2 7 3 2" xfId="33574"/>
    <cellStyle name="常规 5 5 2 2 7 4" xfId="33575"/>
    <cellStyle name="常规 5 5 2 2 7 5" xfId="33576"/>
    <cellStyle name="常规 5 5 2 2 8" xfId="33578"/>
    <cellStyle name="常规 5 5 2 2 8 2" xfId="33579"/>
    <cellStyle name="常规 5 5 2 2 8 2 2" xfId="33580"/>
    <cellStyle name="常规 5 5 2 2 8 3" xfId="33581"/>
    <cellStyle name="常规 5 5 2 2 8 4" xfId="33582"/>
    <cellStyle name="常规 5 5 2 2 9" xfId="23695"/>
    <cellStyle name="常规 5 5 2 2 9 2" xfId="33583"/>
    <cellStyle name="常规 5 5 2 3" xfId="33584"/>
    <cellStyle name="常规 5 5 2 3 2" xfId="33586"/>
    <cellStyle name="常规 5 5 2 3 2 2" xfId="21025"/>
    <cellStyle name="常规 5 5 2 3 2 2 2" xfId="33587"/>
    <cellStyle name="常规 5 5 2 3 2 2 2 2" xfId="33588"/>
    <cellStyle name="常规 5 5 2 3 2 2 2 2 2" xfId="33591"/>
    <cellStyle name="常规 5 5 2 3 2 2 2 2 2 2" xfId="33593"/>
    <cellStyle name="常规 5 5 2 3 2 2 2 2 2 2 2" xfId="33594"/>
    <cellStyle name="常规 5 5 2 3 2 2 2 2 2 3" xfId="568"/>
    <cellStyle name="常规 5 5 2 3 2 2 2 2 2 4" xfId="33595"/>
    <cellStyle name="常规 5 5 2 3 2 2 2 2 3" xfId="33598"/>
    <cellStyle name="常规 5 5 2 3 2 2 2 2 3 2" xfId="33599"/>
    <cellStyle name="常规 5 5 2 3 2 2 2 2 4" xfId="32465"/>
    <cellStyle name="常规 5 5 2 3 2 2 2 2 5" xfId="33600"/>
    <cellStyle name="常规 5 5 2 3 2 2 2 3" xfId="16684"/>
    <cellStyle name="常规 5 5 2 3 2 2 2 3 2" xfId="33601"/>
    <cellStyle name="常规 5 5 2 3 2 2 2 3 2 2" xfId="7533"/>
    <cellStyle name="常规 5 5 2 3 2 2 2 3 3" xfId="33602"/>
    <cellStyle name="常规 5 5 2 3 2 2 2 3 4" xfId="33603"/>
    <cellStyle name="常规 5 5 2 3 2 2 2 4" xfId="22072"/>
    <cellStyle name="常规 5 5 2 3 2 2 2 4 2" xfId="32793"/>
    <cellStyle name="常规 5 5 2 3 2 2 2 5" xfId="32797"/>
    <cellStyle name="常规 5 5 2 3 2 2 2 6" xfId="4334"/>
    <cellStyle name="常规 5 5 2 3 2 2 3" xfId="22658"/>
    <cellStyle name="常规 5 5 2 3 2 2 3 2" xfId="22661"/>
    <cellStyle name="常规 5 5 2 3 2 2 3 2 2" xfId="10187"/>
    <cellStyle name="常规 5 5 2 3 2 2 3 2 2 2" xfId="2947"/>
    <cellStyle name="常规 5 5 2 3 2 2 3 2 3" xfId="10191"/>
    <cellStyle name="常规 5 5 2 3 2 2 3 2 4" xfId="24445"/>
    <cellStyle name="常规 5 5 2 3 2 2 3 3" xfId="22663"/>
    <cellStyle name="常规 5 5 2 3 2 2 3 3 2" xfId="10318"/>
    <cellStyle name="常规 5 5 2 3 2 2 3 4" xfId="22665"/>
    <cellStyle name="常规 5 5 2 3 2 2 3 5" xfId="32801"/>
    <cellStyle name="常规 5 5 2 3 2 2 4" xfId="22668"/>
    <cellStyle name="常规 5 5 2 3 2 2 4 2" xfId="22670"/>
    <cellStyle name="常规 5 5 2 3 2 2 4 2 2" xfId="28391"/>
    <cellStyle name="常规 5 5 2 3 2 2 4 3" xfId="30617"/>
    <cellStyle name="常规 5 5 2 3 2 2 4 4" xfId="28901"/>
    <cellStyle name="常规 5 5 2 3 2 2 5" xfId="22673"/>
    <cellStyle name="常规 5 5 2 3 2 2 5 2" xfId="30620"/>
    <cellStyle name="常规 5 5 2 3 2 2 6" xfId="7583"/>
    <cellStyle name="常规 5 5 2 3 2 2 7" xfId="16295"/>
    <cellStyle name="常规 5 5 2 3 2 3" xfId="15114"/>
    <cellStyle name="常规 5 5 2 3 2 3 2" xfId="33604"/>
    <cellStyle name="常规 5 5 2 3 2 3 2 2" xfId="33605"/>
    <cellStyle name="常规 5 5 2 3 2 3 2 2 2" xfId="27445"/>
    <cellStyle name="常规 5 5 2 3 2 3 2 2 2 2" xfId="27448"/>
    <cellStyle name="常规 5 5 2 3 2 3 2 2 3" xfId="27532"/>
    <cellStyle name="常规 5 5 2 3 2 3 2 2 4" xfId="27575"/>
    <cellStyle name="常规 5 5 2 3 2 3 2 3" xfId="21471"/>
    <cellStyle name="常规 5 5 2 3 2 3 2 3 2" xfId="21473"/>
    <cellStyle name="常规 5 5 2 3 2 3 2 4" xfId="21476"/>
    <cellStyle name="常规 5 5 2 3 2 3 2 5" xfId="21480"/>
    <cellStyle name="常规 5 5 2 3 2 3 3" xfId="22677"/>
    <cellStyle name="常规 5 5 2 3 2 3 3 2" xfId="22680"/>
    <cellStyle name="常规 5 5 2 3 2 3 3 2 2" xfId="33606"/>
    <cellStyle name="常规 5 5 2 3 2 3 3 3" xfId="21484"/>
    <cellStyle name="常规 5 5 2 3 2 3 3 4" xfId="21818"/>
    <cellStyle name="常规 5 5 2 3 2 3 4" xfId="22682"/>
    <cellStyle name="常规 5 5 2 3 2 3 4 2" xfId="30629"/>
    <cellStyle name="常规 5 5 2 3 2 3 5" xfId="22684"/>
    <cellStyle name="常规 5 5 2 3 2 3 6" xfId="12843"/>
    <cellStyle name="常规 5 5 2 3 2 4" xfId="6498"/>
    <cellStyle name="常规 5 5 2 3 2 4 2" xfId="4578"/>
    <cellStyle name="常规 5 5 2 3 2 4 2 2" xfId="2887"/>
    <cellStyle name="常规 5 5 2 3 2 4 2 2 2" xfId="33607"/>
    <cellStyle name="常规 5 5 2 3 2 4 2 3" xfId="21489"/>
    <cellStyle name="常规 5 5 2 3 2 4 2 4" xfId="21889"/>
    <cellStyle name="常规 5 5 2 3 2 4 3" xfId="4581"/>
    <cellStyle name="常规 5 5 2 3 2 4 3 2" xfId="33608"/>
    <cellStyle name="常规 5 5 2 3 2 4 4" xfId="2340"/>
    <cellStyle name="常规 5 5 2 3 2 4 5" xfId="33609"/>
    <cellStyle name="常规 5 5 2 3 2 5" xfId="33610"/>
    <cellStyle name="常规 5 5 2 3 2 5 2" xfId="4909"/>
    <cellStyle name="常规 5 5 2 3 2 5 2 2" xfId="3171"/>
    <cellStyle name="常规 5 5 2 3 2 5 3" xfId="4915"/>
    <cellStyle name="常规 5 5 2 3 2 5 4" xfId="511"/>
    <cellStyle name="常规 5 5 2 3 2 6" xfId="33611"/>
    <cellStyle name="常规 5 5 2 3 2 6 2" xfId="5027"/>
    <cellStyle name="常规 5 5 2 3 2 7" xfId="33612"/>
    <cellStyle name="常规 5 5 2 3 2 8" xfId="33613"/>
    <cellStyle name="常规 5 5 2 3 3" xfId="33614"/>
    <cellStyle name="常规 5 5 2 3 3 2" xfId="21041"/>
    <cellStyle name="常规 5 5 2 3 3 2 2" xfId="33615"/>
    <cellStyle name="常规 5 5 2 3 3 2 2 2" xfId="21245"/>
    <cellStyle name="常规 5 5 2 3 3 2 2 2 2" xfId="33618"/>
    <cellStyle name="常规 5 5 2 3 3 2 2 2 2 2" xfId="30063"/>
    <cellStyle name="常规 5 5 2 3 3 2 2 2 3" xfId="33621"/>
    <cellStyle name="常规 5 5 2 3 3 2 2 2 4" xfId="32560"/>
    <cellStyle name="常规 5 5 2 3 3 2 2 3" xfId="16804"/>
    <cellStyle name="常规 5 5 2 3 3 2 2 3 2" xfId="33622"/>
    <cellStyle name="常规 5 5 2 3 3 2 2 4" xfId="32842"/>
    <cellStyle name="常规 5 5 2 3 3 2 2 5" xfId="32844"/>
    <cellStyle name="常规 5 5 2 3 3 2 3" xfId="22693"/>
    <cellStyle name="常规 5 5 2 3 3 2 3 2" xfId="18639"/>
    <cellStyle name="常规 5 5 2 3 3 2 3 2 2" xfId="33623"/>
    <cellStyle name="常规 5 5 2 3 3 2 3 3" xfId="33624"/>
    <cellStyle name="常规 5 5 2 3 3 2 3 4" xfId="13782"/>
    <cellStyle name="常规 5 5 2 3 3 2 4" xfId="22695"/>
    <cellStyle name="常规 5 5 2 3 3 2 4 2" xfId="32232"/>
    <cellStyle name="常规 5 5 2 3 3 2 5" xfId="22697"/>
    <cellStyle name="常规 5 5 2 3 3 2 6" xfId="16303"/>
    <cellStyle name="常规 5 5 2 3 3 3" xfId="33625"/>
    <cellStyle name="常规 5 5 2 3 3 3 2" xfId="33627"/>
    <cellStyle name="常规 5 5 2 3 3 3 2 2" xfId="21265"/>
    <cellStyle name="常规 5 5 2 3 3 3 2 2 2" xfId="33628"/>
    <cellStyle name="常规 5 5 2 3 3 3 2 3" xfId="21500"/>
    <cellStyle name="常规 5 5 2 3 3 3 2 4" xfId="22026"/>
    <cellStyle name="常规 5 5 2 3 3 3 3" xfId="22701"/>
    <cellStyle name="常规 5 5 2 3 3 3 3 2" xfId="33629"/>
    <cellStyle name="常规 5 5 2 3 3 3 4" xfId="2570"/>
    <cellStyle name="常规 5 5 2 3 3 3 5" xfId="33630"/>
    <cellStyle name="常规 5 5 2 3 3 4" xfId="33631"/>
    <cellStyle name="常规 5 5 2 3 3 4 2" xfId="5411"/>
    <cellStyle name="常规 5 5 2 3 3 4 2 2" xfId="33632"/>
    <cellStyle name="常规 5 5 2 3 3 4 3" xfId="5415"/>
    <cellStyle name="常规 5 5 2 3 3 4 4" xfId="33633"/>
    <cellStyle name="常规 5 5 2 3 3 5" xfId="33634"/>
    <cellStyle name="常规 5 5 2 3 3 5 2" xfId="5437"/>
    <cellStyle name="常规 5 5 2 3 3 6" xfId="33635"/>
    <cellStyle name="常规 5 5 2 3 3 7" xfId="33636"/>
    <cellStyle name="常规 5 5 2 3 4" xfId="33637"/>
    <cellStyle name="常规 5 5 2 3 4 2" xfId="33638"/>
    <cellStyle name="常规 5 5 2 3 4 2 2" xfId="33639"/>
    <cellStyle name="常规 5 5 2 3 4 2 2 2" xfId="21298"/>
    <cellStyle name="常规 5 5 2 3 4 2 2 2 2" xfId="33640"/>
    <cellStyle name="常规 5 5 2 3 4 2 2 3" xfId="33641"/>
    <cellStyle name="常规 5 5 2 3 4 2 2 4" xfId="32861"/>
    <cellStyle name="常规 5 5 2 3 4 2 3" xfId="22706"/>
    <cellStyle name="常规 5 5 2 3 4 2 3 2" xfId="33642"/>
    <cellStyle name="常规 5 5 2 3 4 2 4" xfId="33643"/>
    <cellStyle name="常规 5 5 2 3 4 2 5" xfId="33644"/>
    <cellStyle name="常规 5 5 2 3 4 3" xfId="33645"/>
    <cellStyle name="常规 5 5 2 3 4 3 2" xfId="33646"/>
    <cellStyle name="常规 5 5 2 3 4 3 2 2" xfId="33647"/>
    <cellStyle name="常规 5 5 2 3 4 3 3" xfId="33648"/>
    <cellStyle name="常规 5 5 2 3 4 3 4" xfId="17471"/>
    <cellStyle name="常规 5 5 2 3 4 4" xfId="33649"/>
    <cellStyle name="常规 5 5 2 3 4 4 2" xfId="5687"/>
    <cellStyle name="常规 5 5 2 3 4 5" xfId="33650"/>
    <cellStyle name="常规 5 5 2 3 4 6" xfId="33651"/>
    <cellStyle name="常规 5 5 2 3 5" xfId="33652"/>
    <cellStyle name="常规 5 5 2 3 5 2" xfId="33653"/>
    <cellStyle name="常规 5 5 2 3 5 2 2" xfId="33654"/>
    <cellStyle name="常规 5 5 2 3 5 2 2 2" xfId="33655"/>
    <cellStyle name="常规 5 5 2 3 5 2 3" xfId="33656"/>
    <cellStyle name="常规 5 5 2 3 5 2 4" xfId="33657"/>
    <cellStyle name="常规 5 5 2 3 5 3" xfId="33658"/>
    <cellStyle name="常规 5 5 2 3 5 3 2" xfId="33659"/>
    <cellStyle name="常规 5 5 2 3 5 4" xfId="33660"/>
    <cellStyle name="常规 5 5 2 3 5 5" xfId="33661"/>
    <cellStyle name="常规 5 5 2 3 6" xfId="33663"/>
    <cellStyle name="常规 5 5 2 3 6 2" xfId="33665"/>
    <cellStyle name="常规 5 5 2 3 6 2 2" xfId="33666"/>
    <cellStyle name="常规 5 5 2 3 6 3" xfId="33667"/>
    <cellStyle name="常规 5 5 2 3 6 4" xfId="33668"/>
    <cellStyle name="常规 5 5 2 3 7" xfId="33670"/>
    <cellStyle name="常规 5 5 2 3 7 2" xfId="33671"/>
    <cellStyle name="常规 5 5 2 3 8" xfId="33673"/>
    <cellStyle name="常规 5 5 2 3 9" xfId="33674"/>
    <cellStyle name="常规 5 5 2 4" xfId="27595"/>
    <cellStyle name="常规 5 5 2 4 2" xfId="27597"/>
    <cellStyle name="常规 5 5 2 4 2 2" xfId="21053"/>
    <cellStyle name="常规 5 5 2 4 2 2 2" xfId="27600"/>
    <cellStyle name="常规 5 5 2 4 2 2 2 2" xfId="27603"/>
    <cellStyle name="常规 5 5 2 4 2 2 2 2 2" xfId="27605"/>
    <cellStyle name="常规 5 5 2 4 2 2 2 2 2 2" xfId="27609"/>
    <cellStyle name="常规 5 5 2 4 2 2 2 2 2 2 2" xfId="10124"/>
    <cellStyle name="常规 5 5 2 4 2 2 2 2 2 3" xfId="27613"/>
    <cellStyle name="常规 5 5 2 4 2 2 2 2 2 4" xfId="27616"/>
    <cellStyle name="常规 5 5 2 4 2 2 2 2 3" xfId="27618"/>
    <cellStyle name="常规 5 5 2 4 2 2 2 2 3 2" xfId="27621"/>
    <cellStyle name="常规 5 5 2 4 2 2 2 2 4" xfId="24804"/>
    <cellStyle name="常规 5 5 2 4 2 2 2 2 5" xfId="27625"/>
    <cellStyle name="常规 5 5 2 4 2 2 2 3" xfId="27627"/>
    <cellStyle name="常规 5 5 2 4 2 2 2 3 2" xfId="27629"/>
    <cellStyle name="常规 5 5 2 4 2 2 2 3 2 2" xfId="27632"/>
    <cellStyle name="常规 5 5 2 4 2 2 2 3 3" xfId="27635"/>
    <cellStyle name="常规 5 5 2 4 2 2 2 3 4" xfId="27637"/>
    <cellStyle name="常规 5 5 2 4 2 2 2 4" xfId="27639"/>
    <cellStyle name="常规 5 5 2 4 2 2 2 4 2" xfId="27642"/>
    <cellStyle name="常规 5 5 2 4 2 2 2 5" xfId="27644"/>
    <cellStyle name="常规 5 5 2 4 2 2 2 6" xfId="4696"/>
    <cellStyle name="常规 5 5 2 4 2 2 3" xfId="22715"/>
    <cellStyle name="常规 5 5 2 4 2 2 3 2" xfId="22718"/>
    <cellStyle name="常规 5 5 2 4 2 2 3 2 2" xfId="22013"/>
    <cellStyle name="常规 5 5 2 4 2 2 3 2 2 2" xfId="22019"/>
    <cellStyle name="常规 5 5 2 4 2 2 3 2 3" xfId="22021"/>
    <cellStyle name="常规 5 5 2 4 2 2 3 2 4" xfId="20615"/>
    <cellStyle name="常规 5 5 2 4 2 2 3 3" xfId="27646"/>
    <cellStyle name="常规 5 5 2 4 2 2 3 3 2" xfId="22188"/>
    <cellStyle name="常规 5 5 2 4 2 2 3 4" xfId="27648"/>
    <cellStyle name="常规 5 5 2 4 2 2 3 5" xfId="27650"/>
    <cellStyle name="常规 5 5 2 4 2 2 4" xfId="22721"/>
    <cellStyle name="常规 5 5 2 4 2 2 4 2" xfId="27652"/>
    <cellStyle name="常规 5 5 2 4 2 2 4 2 2" xfId="22758"/>
    <cellStyle name="常规 5 5 2 4 2 2 4 3" xfId="27654"/>
    <cellStyle name="常规 5 5 2 4 2 2 4 4" xfId="27656"/>
    <cellStyle name="常规 5 5 2 4 2 2 5" xfId="22724"/>
    <cellStyle name="常规 5 5 2 4 2 2 5 2" xfId="27659"/>
    <cellStyle name="常规 5 5 2 4 2 2 6" xfId="16351"/>
    <cellStyle name="常规 5 5 2 4 2 2 7" xfId="27661"/>
    <cellStyle name="常规 5 5 2 4 2 3" xfId="27663"/>
    <cellStyle name="常规 5 5 2 4 2 3 2" xfId="27665"/>
    <cellStyle name="常规 5 5 2 4 2 3 2 2" xfId="27667"/>
    <cellStyle name="常规 5 5 2 4 2 3 2 2 2" xfId="27669"/>
    <cellStyle name="常规 5 5 2 4 2 3 2 2 2 2" xfId="27672"/>
    <cellStyle name="常规 5 5 2 4 2 3 2 2 3" xfId="7750"/>
    <cellStyle name="常规 5 5 2 4 2 3 2 2 4" xfId="9638"/>
    <cellStyle name="常规 5 5 2 4 2 3 2 3" xfId="21524"/>
    <cellStyle name="常规 5 5 2 4 2 3 2 3 2" xfId="27674"/>
    <cellStyle name="常规 5 5 2 4 2 3 2 4" xfId="22527"/>
    <cellStyle name="常规 5 5 2 4 2 3 2 5" xfId="22580"/>
    <cellStyle name="常规 5 5 2 4 2 3 3" xfId="22728"/>
    <cellStyle name="常规 5 5 2 4 2 3 3 2" xfId="27677"/>
    <cellStyle name="常规 5 5 2 4 2 3 3 2 2" xfId="23721"/>
    <cellStyle name="常规 5 5 2 4 2 3 3 3" xfId="27679"/>
    <cellStyle name="常规 5 5 2 4 2 3 3 4" xfId="22606"/>
    <cellStyle name="常规 5 5 2 4 2 3 4" xfId="27681"/>
    <cellStyle name="常规 5 5 2 4 2 3 4 2" xfId="27683"/>
    <cellStyle name="常规 5 5 2 4 2 3 5" xfId="27685"/>
    <cellStyle name="常规 5 5 2 4 2 3 6" xfId="12881"/>
    <cellStyle name="常规 5 5 2 4 2 4" xfId="27687"/>
    <cellStyle name="常规 5 5 2 4 2 4 2" xfId="6309"/>
    <cellStyle name="常规 5 5 2 4 2 4 2 2" xfId="27689"/>
    <cellStyle name="常规 5 5 2 4 2 4 2 2 2" xfId="21015"/>
    <cellStyle name="常规 5 5 2 4 2 4 2 3" xfId="27691"/>
    <cellStyle name="常规 5 5 2 4 2 4 2 4" xfId="22655"/>
    <cellStyle name="常规 5 5 2 4 2 4 3" xfId="6313"/>
    <cellStyle name="常规 5 5 2 4 2 4 3 2" xfId="27693"/>
    <cellStyle name="常规 5 5 2 4 2 4 4" xfId="27695"/>
    <cellStyle name="常规 5 5 2 4 2 4 5" xfId="27697"/>
    <cellStyle name="常规 5 5 2 4 2 5" xfId="27699"/>
    <cellStyle name="常规 5 5 2 4 2 5 2" xfId="5748"/>
    <cellStyle name="常规 5 5 2 4 2 5 2 2" xfId="27701"/>
    <cellStyle name="常规 5 5 2 4 2 5 3" xfId="27703"/>
    <cellStyle name="常规 5 5 2 4 2 5 4" xfId="27706"/>
    <cellStyle name="常规 5 5 2 4 2 6" xfId="27708"/>
    <cellStyle name="常规 5 5 2 4 2 6 2" xfId="27711"/>
    <cellStyle name="常规 5 5 2 4 2 7" xfId="27714"/>
    <cellStyle name="常规 5 5 2 4 2 8" xfId="27718"/>
    <cellStyle name="常规 5 5 2 4 3" xfId="27722"/>
    <cellStyle name="常规 5 5 2 4 3 2" xfId="27725"/>
    <cellStyle name="常规 5 5 2 4 3 2 2" xfId="27727"/>
    <cellStyle name="常规 5 5 2 4 3 2 2 2" xfId="21411"/>
    <cellStyle name="常规 5 5 2 4 3 2 2 2 2" xfId="27729"/>
    <cellStyle name="常规 5 5 2 4 3 2 2 2 2 2" xfId="27731"/>
    <cellStyle name="常规 5 5 2 4 3 2 2 2 3" xfId="27735"/>
    <cellStyle name="常规 5 5 2 4 3 2 2 2 4" xfId="25030"/>
    <cellStyle name="常规 5 5 2 4 3 2 2 3" xfId="21414"/>
    <cellStyle name="常规 5 5 2 4 3 2 2 3 2" xfId="27737"/>
    <cellStyle name="常规 5 5 2 4 3 2 2 4" xfId="27739"/>
    <cellStyle name="常规 5 5 2 4 3 2 2 5" xfId="27741"/>
    <cellStyle name="常规 5 5 2 4 3 2 3" xfId="22734"/>
    <cellStyle name="常规 5 5 2 4 3 2 3 2" xfId="21420"/>
    <cellStyle name="常规 5 5 2 4 3 2 3 2 2" xfId="380"/>
    <cellStyle name="常规 5 5 2 4 3 2 3 3" xfId="27743"/>
    <cellStyle name="常规 5 5 2 4 3 2 3 4" xfId="13845"/>
    <cellStyle name="常规 5 5 2 4 3 2 4" xfId="27745"/>
    <cellStyle name="常规 5 5 2 4 3 2 4 2" xfId="27747"/>
    <cellStyle name="常规 5 5 2 4 3 2 5" xfId="27750"/>
    <cellStyle name="常规 5 5 2 4 3 2 6" xfId="27752"/>
    <cellStyle name="常规 5 5 2 4 3 3" xfId="27754"/>
    <cellStyle name="常规 5 5 2 4 3 3 2" xfId="15788"/>
    <cellStyle name="常规 5 5 2 4 3 3 2 2" xfId="15792"/>
    <cellStyle name="常规 5 5 2 4 3 3 2 2 2" xfId="15796"/>
    <cellStyle name="常规 5 5 2 4 3 3 2 3" xfId="15822"/>
    <cellStyle name="常规 5 5 2 4 3 3 2 4" xfId="15836"/>
    <cellStyle name="常规 5 5 2 4 3 3 3" xfId="15864"/>
    <cellStyle name="常规 5 5 2 4 3 3 3 2" xfId="15868"/>
    <cellStyle name="常规 5 5 2 4 3 3 4" xfId="15898"/>
    <cellStyle name="常规 5 5 2 4 3 3 5" xfId="15914"/>
    <cellStyle name="常规 5 5 2 4 3 4" xfId="27756"/>
    <cellStyle name="常规 5 5 2 4 3 4 2" xfId="242"/>
    <cellStyle name="常规 5 5 2 4 3 4 2 2" xfId="27758"/>
    <cellStyle name="常规 5 5 2 4 3 4 3" xfId="4088"/>
    <cellStyle name="常规 5 5 2 4 3 4 4" xfId="27760"/>
    <cellStyle name="常规 5 5 2 4 3 5" xfId="27762"/>
    <cellStyle name="常规 5 5 2 4 3 5 2" xfId="5820"/>
    <cellStyle name="常规 5 5 2 4 3 6" xfId="27764"/>
    <cellStyle name="常规 5 5 2 4 3 7" xfId="27767"/>
    <cellStyle name="常规 5 5 2 4 4" xfId="27771"/>
    <cellStyle name="常规 5 5 2 4 4 2" xfId="27773"/>
    <cellStyle name="常规 5 5 2 4 4 2 2" xfId="27775"/>
    <cellStyle name="常规 5 5 2 4 4 2 2 2" xfId="21492"/>
    <cellStyle name="常规 5 5 2 4 4 2 2 2 2" xfId="27777"/>
    <cellStyle name="常规 5 5 2 4 4 2 2 3" xfId="27779"/>
    <cellStyle name="常规 5 5 2 4 4 2 2 4" xfId="27781"/>
    <cellStyle name="常规 5 5 2 4 4 2 3" xfId="27783"/>
    <cellStyle name="常规 5 5 2 4 4 2 3 2" xfId="27785"/>
    <cellStyle name="常规 5 5 2 4 4 2 4" xfId="27787"/>
    <cellStyle name="常规 5 5 2 4 4 2 5" xfId="27789"/>
    <cellStyle name="常规 5 5 2 4 4 3" xfId="27791"/>
    <cellStyle name="常规 5 5 2 4 4 3 2" xfId="27793"/>
    <cellStyle name="常规 5 5 2 4 4 3 2 2" xfId="27795"/>
    <cellStyle name="常规 5 5 2 4 4 3 3" xfId="922"/>
    <cellStyle name="常规 5 5 2 4 4 3 4" xfId="27797"/>
    <cellStyle name="常规 5 5 2 4 4 4" xfId="27799"/>
    <cellStyle name="常规 5 5 2 4 4 4 2" xfId="4643"/>
    <cellStyle name="常规 5 5 2 4 4 5" xfId="18030"/>
    <cellStyle name="常规 5 5 2 4 4 6" xfId="27801"/>
    <cellStyle name="常规 5 5 2 4 5" xfId="27804"/>
    <cellStyle name="常规 5 5 2 4 5 2" xfId="27806"/>
    <cellStyle name="常规 5 5 2 4 5 2 2" xfId="27808"/>
    <cellStyle name="常规 5 5 2 4 5 2 2 2" xfId="27810"/>
    <cellStyle name="常规 5 5 2 4 5 2 3" xfId="27812"/>
    <cellStyle name="常规 5 5 2 4 5 2 4" xfId="27814"/>
    <cellStyle name="常规 5 5 2 4 5 3" xfId="27816"/>
    <cellStyle name="常规 5 5 2 4 5 3 2" xfId="27818"/>
    <cellStyle name="常规 5 5 2 4 5 4" xfId="27820"/>
    <cellStyle name="常规 5 5 2 4 5 5" xfId="27822"/>
    <cellStyle name="常规 5 5 2 4 6" xfId="25259"/>
    <cellStyle name="常规 5 5 2 4 6 2" xfId="25263"/>
    <cellStyle name="常规 5 5 2 4 6 2 2" xfId="25268"/>
    <cellStyle name="常规 5 5 2 4 6 3" xfId="19406"/>
    <cellStyle name="常规 5 5 2 4 6 4" xfId="25303"/>
    <cellStyle name="常规 5 5 2 4 7" xfId="21994"/>
    <cellStyle name="常规 5 5 2 4 7 2" xfId="25313"/>
    <cellStyle name="常规 5 5 2 4 8" xfId="25331"/>
    <cellStyle name="常规 5 5 2 4 9" xfId="25343"/>
    <cellStyle name="常规 5 5 2 5" xfId="27824"/>
    <cellStyle name="常规 5 5 2 5 2" xfId="27826"/>
    <cellStyle name="常规 5 5 2 5 2 2" xfId="27828"/>
    <cellStyle name="常规 5 5 2 5 2 2 2" xfId="27830"/>
    <cellStyle name="常规 5 5 2 5 2 2 2 2" xfId="27832"/>
    <cellStyle name="常规 5 5 2 5 2 2 2 2 2" xfId="27834"/>
    <cellStyle name="常规 5 5 2 5 2 2 2 2 2 2" xfId="11890"/>
    <cellStyle name="常规 5 5 2 5 2 2 2 2 3" xfId="25701"/>
    <cellStyle name="常规 5 5 2 5 2 2 2 2 4" xfId="27836"/>
    <cellStyle name="常规 5 5 2 5 2 2 2 3" xfId="27840"/>
    <cellStyle name="常规 5 5 2 5 2 2 2 3 2" xfId="27842"/>
    <cellStyle name="常规 5 5 2 5 2 2 2 4" xfId="26047"/>
    <cellStyle name="常规 5 5 2 5 2 2 2 5" xfId="27846"/>
    <cellStyle name="常规 5 5 2 5 2 2 3" xfId="22747"/>
    <cellStyle name="常规 5 5 2 5 2 2 3 2" xfId="975"/>
    <cellStyle name="常规 5 5 2 5 2 2 3 2 2" xfId="27848"/>
    <cellStyle name="常规 5 5 2 5 2 2 3 3" xfId="978"/>
    <cellStyle name="常规 5 5 2 5 2 2 3 4" xfId="27853"/>
    <cellStyle name="常规 5 5 2 5 2 2 4" xfId="27856"/>
    <cellStyle name="常规 5 5 2 5 2 2 4 2" xfId="27858"/>
    <cellStyle name="常规 5 5 2 5 2 2 5" xfId="27863"/>
    <cellStyle name="常规 5 5 2 5 2 2 6" xfId="27865"/>
    <cellStyle name="常规 5 5 2 5 2 3" xfId="27868"/>
    <cellStyle name="常规 5 5 2 5 2 3 2" xfId="27870"/>
    <cellStyle name="常规 5 5 2 5 2 3 2 2" xfId="27872"/>
    <cellStyle name="常规 5 5 2 5 2 3 2 2 2" xfId="27874"/>
    <cellStyle name="常规 5 5 2 5 2 3 2 3" xfId="27878"/>
    <cellStyle name="常规 5 5 2 5 2 3 2 4" xfId="23002"/>
    <cellStyle name="常规 5 5 2 5 2 3 3" xfId="27881"/>
    <cellStyle name="常规 5 5 2 5 2 3 3 2" xfId="1051"/>
    <cellStyle name="常规 5 5 2 5 2 3 4" xfId="27884"/>
    <cellStyle name="常规 5 5 2 5 2 3 5" xfId="27887"/>
    <cellStyle name="常规 5 5 2 5 2 4" xfId="27891"/>
    <cellStyle name="常规 5 5 2 5 2 4 2" xfId="6818"/>
    <cellStyle name="常规 5 5 2 5 2 4 2 2" xfId="27893"/>
    <cellStyle name="常规 5 5 2 5 2 4 3" xfId="27898"/>
    <cellStyle name="常规 5 5 2 5 2 4 4" xfId="27900"/>
    <cellStyle name="常规 5 5 2 5 2 5" xfId="27903"/>
    <cellStyle name="常规 5 5 2 5 2 5 2" xfId="27905"/>
    <cellStyle name="常规 5 5 2 5 2 6" xfId="27909"/>
    <cellStyle name="常规 5 5 2 5 2 7" xfId="27917"/>
    <cellStyle name="常规 5 5 2 5 3" xfId="27925"/>
    <cellStyle name="常规 5 5 2 5 3 2" xfId="27927"/>
    <cellStyle name="常规 5 5 2 5 3 2 2" xfId="27930"/>
    <cellStyle name="常规 5 5 2 5 3 2 2 2" xfId="21589"/>
    <cellStyle name="常规 5 5 2 5 3 2 2 2 2" xfId="27932"/>
    <cellStyle name="常规 5 5 2 5 3 2 2 3" xfId="27936"/>
    <cellStyle name="常规 5 5 2 5 3 2 2 4" xfId="27939"/>
    <cellStyle name="常规 5 5 2 5 3 2 3" xfId="27942"/>
    <cellStyle name="常规 5 5 2 5 3 2 3 2" xfId="27944"/>
    <cellStyle name="常规 5 5 2 5 3 2 4" xfId="7095"/>
    <cellStyle name="常规 5 5 2 5 3 2 5" xfId="7102"/>
    <cellStyle name="常规 5 5 2 5 3 3" xfId="27949"/>
    <cellStyle name="常规 5 5 2 5 3 3 2" xfId="27951"/>
    <cellStyle name="常规 5 5 2 5 3 3 2 2" xfId="27953"/>
    <cellStyle name="常规 5 5 2 5 3 3 3" xfId="27958"/>
    <cellStyle name="常规 5 5 2 5 3 3 4" xfId="5097"/>
    <cellStyle name="常规 5 5 2 5 3 4" xfId="27962"/>
    <cellStyle name="常规 5 5 2 5 3 4 2" xfId="9495"/>
    <cellStyle name="常规 5 5 2 5 3 5" xfId="27966"/>
    <cellStyle name="常规 5 5 2 5 3 6" xfId="27969"/>
    <cellStyle name="常规 5 5 2 5 4" xfId="27976"/>
    <cellStyle name="常规 5 5 2 5 4 2" xfId="27978"/>
    <cellStyle name="常规 5 5 2 5 4 2 2" xfId="27980"/>
    <cellStyle name="常规 5 5 2 5 4 2 2 2" xfId="27982"/>
    <cellStyle name="常规 5 5 2 5 4 2 3" xfId="27987"/>
    <cellStyle name="常规 5 5 2 5 4 2 4" xfId="7158"/>
    <cellStyle name="常规 5 5 2 5 4 3" xfId="27990"/>
    <cellStyle name="常规 5 5 2 5 4 3 2" xfId="17179"/>
    <cellStyle name="常规 5 5 2 5 4 4" xfId="27994"/>
    <cellStyle name="常规 5 5 2 5 4 5" xfId="27996"/>
    <cellStyle name="常规 5 5 2 5 5" xfId="28000"/>
    <cellStyle name="常规 5 5 2 5 5 2" xfId="28002"/>
    <cellStyle name="常规 5 5 2 5 5 2 2" xfId="28004"/>
    <cellStyle name="常规 5 5 2 5 5 3" xfId="28010"/>
    <cellStyle name="常规 5 5 2 5 5 4" xfId="28012"/>
    <cellStyle name="常规 5 5 2 5 6" xfId="287"/>
    <cellStyle name="常规 5 5 2 5 6 2" xfId="25359"/>
    <cellStyle name="常规 5 5 2 5 7" xfId="25384"/>
    <cellStyle name="常规 5 5 2 5 8" xfId="25398"/>
    <cellStyle name="常规 5 5 2 6" xfId="28015"/>
    <cellStyle name="常规 5 5 2 6 2" xfId="13256"/>
    <cellStyle name="常规 5 5 2 6 2 2" xfId="28017"/>
    <cellStyle name="常规 5 5 2 6 2 2 2" xfId="28019"/>
    <cellStyle name="常规 5 5 2 6 2 2 2 2" xfId="28021"/>
    <cellStyle name="常规 5 5 2 6 2 2 2 2 2" xfId="28023"/>
    <cellStyle name="常规 5 5 2 6 2 2 2 3" xfId="28030"/>
    <cellStyle name="常规 5 5 2 6 2 2 2 4" xfId="376"/>
    <cellStyle name="常规 5 5 2 6 2 2 3" xfId="28036"/>
    <cellStyle name="常规 5 5 2 6 2 2 3 2" xfId="28039"/>
    <cellStyle name="常规 5 5 2 6 2 2 4" xfId="28042"/>
    <cellStyle name="常规 5 5 2 6 2 2 5" xfId="28046"/>
    <cellStyle name="常规 5 5 2 6 2 3" xfId="28049"/>
    <cellStyle name="常规 5 5 2 6 2 3 2" xfId="28051"/>
    <cellStyle name="常规 5 5 2 6 2 3 2 2" xfId="28053"/>
    <cellStyle name="常规 5 5 2 6 2 3 3" xfId="28057"/>
    <cellStyle name="常规 5 5 2 6 2 3 4" xfId="28059"/>
    <cellStyle name="常规 5 5 2 6 2 4" xfId="28062"/>
    <cellStyle name="常规 5 5 2 6 2 4 2" xfId="7011"/>
    <cellStyle name="常规 5 5 2 6 2 5" xfId="28067"/>
    <cellStyle name="常规 5 5 2 6 2 6" xfId="28070"/>
    <cellStyle name="常规 5 5 2 6 3" xfId="28078"/>
    <cellStyle name="常规 5 5 2 6 3 2" xfId="28080"/>
    <cellStyle name="常规 5 5 2 6 3 2 2" xfId="28082"/>
    <cellStyle name="常规 5 5 2 6 3 2 2 2" xfId="28084"/>
    <cellStyle name="常规 5 5 2 6 3 2 3" xfId="28089"/>
    <cellStyle name="常规 5 5 2 6 3 2 4" xfId="6982"/>
    <cellStyle name="常规 5 5 2 6 3 3" xfId="28093"/>
    <cellStyle name="常规 5 5 2 6 3 3 2" xfId="28095"/>
    <cellStyle name="常规 5 5 2 6 3 4" xfId="8002"/>
    <cellStyle name="常规 5 5 2 6 3 5" xfId="8007"/>
    <cellStyle name="常规 5 5 2 6 4" xfId="28100"/>
    <cellStyle name="常规 5 5 2 6 4 2" xfId="28102"/>
    <cellStyle name="常规 5 5 2 6 4 2 2" xfId="28104"/>
    <cellStyle name="常规 5 5 2 6 4 3" xfId="28109"/>
    <cellStyle name="常规 5 5 2 6 4 4" xfId="8011"/>
    <cellStyle name="常规 5 5 2 6 5" xfId="28112"/>
    <cellStyle name="常规 5 5 2 6 5 2" xfId="28114"/>
    <cellStyle name="常规 5 5 2 6 6" xfId="25413"/>
    <cellStyle name="常规 5 5 2 6 7" xfId="25425"/>
    <cellStyle name="常规 5 5 2 7" xfId="28117"/>
    <cellStyle name="常规 5 5 2 7 2" xfId="28119"/>
    <cellStyle name="常规 5 5 2 7 2 2" xfId="28121"/>
    <cellStyle name="常规 5 5 2 7 2 2 2" xfId="28123"/>
    <cellStyle name="常规 5 5 2 7 2 2 2 2" xfId="24642"/>
    <cellStyle name="常规 5 5 2 7 2 2 3" xfId="14715"/>
    <cellStyle name="常规 5 5 2 7 2 2 4" xfId="28125"/>
    <cellStyle name="常规 5 5 2 7 2 3" xfId="28127"/>
    <cellStyle name="常规 5 5 2 7 2 3 2" xfId="28129"/>
    <cellStyle name="常规 5 5 2 7 2 4" xfId="28133"/>
    <cellStyle name="常规 5 5 2 7 2 5" xfId="28136"/>
    <cellStyle name="常规 5 5 2 7 3" xfId="28141"/>
    <cellStyle name="常规 5 5 2 7 3 2" xfId="28143"/>
    <cellStyle name="常规 5 5 2 7 3 2 2" xfId="6659"/>
    <cellStyle name="常规 5 5 2 7 3 3" xfId="28145"/>
    <cellStyle name="常规 5 5 2 7 3 4" xfId="8022"/>
    <cellStyle name="常规 5 5 2 7 4" xfId="28148"/>
    <cellStyle name="常规 5 5 2 7 4 2" xfId="28150"/>
    <cellStyle name="常规 5 5 2 7 5" xfId="18268"/>
    <cellStyle name="常规 5 5 2 7 6" xfId="18275"/>
    <cellStyle name="常规 5 5 2 8" xfId="28154"/>
    <cellStyle name="常规 5 5 2 8 2" xfId="28156"/>
    <cellStyle name="常规 5 5 2 8 2 2" xfId="28158"/>
    <cellStyle name="常规 5 5 2 8 2 2 2" xfId="28161"/>
    <cellStyle name="常规 5 5 2 8 2 3" xfId="28165"/>
    <cellStyle name="常规 5 5 2 8 2 4" xfId="28168"/>
    <cellStyle name="常规 5 5 2 8 3" xfId="14198"/>
    <cellStyle name="常规 5 5 2 8 3 2" xfId="14201"/>
    <cellStyle name="常规 5 5 2 8 4" xfId="14214"/>
    <cellStyle name="常规 5 5 2 8 5" xfId="14221"/>
    <cellStyle name="常规 5 5 2 9" xfId="28171"/>
    <cellStyle name="常规 5 5 2 9 2" xfId="28173"/>
    <cellStyle name="常规 5 5 2 9 2 2" xfId="28175"/>
    <cellStyle name="常规 5 5 2 9 3" xfId="14248"/>
    <cellStyle name="常规 5 5 2 9 4" xfId="14255"/>
    <cellStyle name="常规 5 5 3" xfId="29676"/>
    <cellStyle name="常规 5 5 3 10" xfId="23688"/>
    <cellStyle name="常规 5 5 3 11" xfId="23691"/>
    <cellStyle name="常规 5 5 3 2" xfId="33675"/>
    <cellStyle name="常规 5 5 3 2 2" xfId="12803"/>
    <cellStyle name="常规 5 5 3 2 2 2" xfId="12807"/>
    <cellStyle name="常规 5 5 3 2 2 2 2" xfId="33676"/>
    <cellStyle name="常规 5 5 3 2 2 2 2 2" xfId="33677"/>
    <cellStyle name="常规 5 5 3 2 2 2 2 2 2" xfId="33147"/>
    <cellStyle name="常规 5 5 3 2 2 2 2 2 2 2" xfId="7543"/>
    <cellStyle name="常规 5 5 3 2 2 2 2 2 2 2 2" xfId="33679"/>
    <cellStyle name="常规 5 5 3 2 2 2 2 2 2 3" xfId="2391"/>
    <cellStyle name="常规 5 5 3 2 2 2 2 2 2 4" xfId="33680"/>
    <cellStyle name="常规 5 5 3 2 2 2 2 2 3" xfId="33681"/>
    <cellStyle name="常规 5 5 3 2 2 2 2 2 3 2" xfId="33682"/>
    <cellStyle name="常规 5 5 3 2 2 2 2 2 4" xfId="21210"/>
    <cellStyle name="常规 5 5 3 2 2 2 2 2 5" xfId="21235"/>
    <cellStyle name="常规 5 5 3 2 2 2 2 3" xfId="33683"/>
    <cellStyle name="常规 5 5 3 2 2 2 2 3 2" xfId="33684"/>
    <cellStyle name="常规 5 5 3 2 2 2 2 3 2 2" xfId="13367"/>
    <cellStyle name="常规 5 5 3 2 2 2 2 3 3" xfId="33685"/>
    <cellStyle name="常规 5 5 3 2 2 2 2 3 4" xfId="21249"/>
    <cellStyle name="常规 5 5 3 2 2 2 2 4" xfId="29095"/>
    <cellStyle name="常规 5 5 3 2 2 2 2 4 2" xfId="33531"/>
    <cellStyle name="常规 5 5 3 2 2 2 2 5" xfId="12831"/>
    <cellStyle name="常规 5 5 3 2 2 2 2 6" xfId="28192"/>
    <cellStyle name="常规 5 5 3 2 2 2 3" xfId="15840"/>
    <cellStyle name="常规 5 5 3 2 2 2 3 2" xfId="15845"/>
    <cellStyle name="常规 5 5 3 2 2 2 3 2 2" xfId="22765"/>
    <cellStyle name="常规 5 5 3 2 2 2 3 2 2 2" xfId="33686"/>
    <cellStyle name="常规 5 5 3 2 2 2 3 2 3" xfId="33687"/>
    <cellStyle name="常规 5 5 3 2 2 2 3 2 4" xfId="1549"/>
    <cellStyle name="常规 5 5 3 2 2 2 3 3" xfId="22767"/>
    <cellStyle name="常规 5 5 3 2 2 2 3 3 2" xfId="33688"/>
    <cellStyle name="常规 5 5 3 2 2 2 3 4" xfId="22769"/>
    <cellStyle name="常规 5 5 3 2 2 2 3 5" xfId="25762"/>
    <cellStyle name="常规 5 5 3 2 2 2 4" xfId="15848"/>
    <cellStyle name="常规 5 5 3 2 2 2 4 2" xfId="22773"/>
    <cellStyle name="常规 5 5 3 2 2 2 4 2 2" xfId="27068"/>
    <cellStyle name="常规 5 5 3 2 2 2 4 3" xfId="33689"/>
    <cellStyle name="常规 5 5 3 2 2 2 4 4" xfId="13272"/>
    <cellStyle name="常规 5 5 3 2 2 2 5" xfId="15851"/>
    <cellStyle name="常规 5 5 3 2 2 2 5 2" xfId="33690"/>
    <cellStyle name="常规 5 5 3 2 2 2 6" xfId="22777"/>
    <cellStyle name="常规 5 5 3 2 2 2 7" xfId="29124"/>
    <cellStyle name="常规 5 5 3 2 2 3" xfId="33029"/>
    <cellStyle name="常规 5 5 3 2 2 3 2" xfId="3984"/>
    <cellStyle name="常规 5 5 3 2 2 3 2 2" xfId="7598"/>
    <cellStyle name="常规 5 5 3 2 2 3 2 2 2" xfId="33195"/>
    <cellStyle name="常规 5 5 3 2 2 3 2 2 2 2" xfId="33691"/>
    <cellStyle name="常规 5 5 3 2 2 3 2 2 3" xfId="33692"/>
    <cellStyle name="常规 5 5 3 2 2 3 2 2 4" xfId="21371"/>
    <cellStyle name="常规 5 5 3 2 2 3 2 3" xfId="21571"/>
    <cellStyle name="常规 5 5 3 2 2 3 2 3 2" xfId="21573"/>
    <cellStyle name="常规 5 5 3 2 2 3 2 4" xfId="21575"/>
    <cellStyle name="常规 5 5 3 2 2 3 2 5" xfId="21577"/>
    <cellStyle name="常规 5 5 3 2 2 3 3" xfId="15856"/>
    <cellStyle name="常规 5 5 3 2 2 3 3 2" xfId="22780"/>
    <cellStyle name="常规 5 5 3 2 2 3 3 2 2" xfId="33693"/>
    <cellStyle name="常规 5 5 3 2 2 3 3 3" xfId="21580"/>
    <cellStyle name="常规 5 5 3 2 2 3 3 4" xfId="25781"/>
    <cellStyle name="常规 5 5 3 2 2 3 4" xfId="22782"/>
    <cellStyle name="常规 5 5 3 2 2 3 4 2" xfId="33694"/>
    <cellStyle name="常规 5 5 3 2 2 3 5" xfId="22784"/>
    <cellStyle name="常规 5 5 3 2 2 3 6" xfId="12919"/>
    <cellStyle name="常规 5 5 3 2 2 4" xfId="33031"/>
    <cellStyle name="常规 5 5 3 2 2 4 2" xfId="7734"/>
    <cellStyle name="常规 5 5 3 2 2 4 2 2" xfId="33695"/>
    <cellStyle name="常规 5 5 3 2 2 4 2 2 2" xfId="33696"/>
    <cellStyle name="常规 5 5 3 2 2 4 2 3" xfId="21586"/>
    <cellStyle name="常规 5 5 3 2 2 4 2 4" xfId="33697"/>
    <cellStyle name="常规 5 5 3 2 2 4 3" xfId="22786"/>
    <cellStyle name="常规 5 5 3 2 2 4 3 2" xfId="33698"/>
    <cellStyle name="常规 5 5 3 2 2 4 4" xfId="33699"/>
    <cellStyle name="常规 5 5 3 2 2 4 5" xfId="33700"/>
    <cellStyle name="常规 5 5 3 2 2 5" xfId="33033"/>
    <cellStyle name="常规 5 5 3 2 2 5 2" xfId="7939"/>
    <cellStyle name="常规 5 5 3 2 2 5 2 2" xfId="33701"/>
    <cellStyle name="常规 5 5 3 2 2 5 3" xfId="33702"/>
    <cellStyle name="常规 5 5 3 2 2 5 4" xfId="33703"/>
    <cellStyle name="常规 5 5 3 2 2 6" xfId="33704"/>
    <cellStyle name="常规 5 5 3 2 2 6 2" xfId="33705"/>
    <cellStyle name="常规 5 5 3 2 2 7" xfId="3246"/>
    <cellStyle name="常规 5 5 3 2 2 8" xfId="33706"/>
    <cellStyle name="常规 5 5 3 2 3" xfId="12810"/>
    <cellStyle name="常规 5 5 3 2 3 2" xfId="33707"/>
    <cellStyle name="常规 5 5 3 2 3 2 2" xfId="33708"/>
    <cellStyle name="常规 5 5 3 2 3 2 2 2" xfId="18804"/>
    <cellStyle name="常规 5 5 3 2 3 2 2 2 2" xfId="29029"/>
    <cellStyle name="常规 5 5 3 2 3 2 2 2 2 2" xfId="29033"/>
    <cellStyle name="常规 5 5 3 2 3 2 2 2 3" xfId="29062"/>
    <cellStyle name="常规 5 5 3 2 3 2 2 2 4" xfId="21758"/>
    <cellStyle name="常规 5 5 3 2 3 2 2 3" xfId="18806"/>
    <cellStyle name="常规 5 5 3 2 3 2 2 3 2" xfId="29159"/>
    <cellStyle name="常规 5 5 3 2 3 2 2 4" xfId="6139"/>
    <cellStyle name="常规 5 5 3 2 3 2 2 5" xfId="5810"/>
    <cellStyle name="常规 5 5 3 2 3 2 3" xfId="15891"/>
    <cellStyle name="常规 5 5 3 2 3 2 3 2" xfId="19815"/>
    <cellStyle name="常规 5 5 3 2 3 2 3 2 2" xfId="33709"/>
    <cellStyle name="常规 5 5 3 2 3 2 3 3" xfId="33710"/>
    <cellStyle name="常规 5 5 3 2 3 2 3 4" xfId="6155"/>
    <cellStyle name="常规 5 5 3 2 3 2 4" xfId="22789"/>
    <cellStyle name="常规 5 5 3 2 3 2 4 2" xfId="32491"/>
    <cellStyle name="常规 5 5 3 2 3 2 5" xfId="22791"/>
    <cellStyle name="常规 5 5 3 2 3 2 6" xfId="29129"/>
    <cellStyle name="常规 5 5 3 2 3 3" xfId="33037"/>
    <cellStyle name="常规 5 5 3 2 3 3 2" xfId="8435"/>
    <cellStyle name="常规 5 5 3 2 3 3 2 2" xfId="33711"/>
    <cellStyle name="常规 5 5 3 2 3 3 2 2 2" xfId="5158"/>
    <cellStyle name="常规 5 5 3 2 3 3 2 3" xfId="21600"/>
    <cellStyle name="常规 5 5 3 2 3 3 2 4" xfId="1883"/>
    <cellStyle name="常规 5 5 3 2 3 3 3" xfId="22793"/>
    <cellStyle name="常规 5 5 3 2 3 3 3 2" xfId="33712"/>
    <cellStyle name="常规 5 5 3 2 3 3 4" xfId="33713"/>
    <cellStyle name="常规 5 5 3 2 3 3 5" xfId="33714"/>
    <cellStyle name="常规 5 5 3 2 3 4" xfId="33715"/>
    <cellStyle name="常规 5 5 3 2 3 4 2" xfId="8703"/>
    <cellStyle name="常规 5 5 3 2 3 4 2 2" xfId="33716"/>
    <cellStyle name="常规 5 5 3 2 3 4 3" xfId="33717"/>
    <cellStyle name="常规 5 5 3 2 3 4 4" xfId="33718"/>
    <cellStyle name="常规 5 5 3 2 3 5" xfId="33719"/>
    <cellStyle name="常规 5 5 3 2 3 5 2" xfId="33720"/>
    <cellStyle name="常规 5 5 3 2 3 6" xfId="33721"/>
    <cellStyle name="常规 5 5 3 2 3 7" xfId="33722"/>
    <cellStyle name="常规 5 5 3 2 4" xfId="12814"/>
    <cellStyle name="常规 5 5 3 2 4 2" xfId="33724"/>
    <cellStyle name="常规 5 5 3 2 4 2 2" xfId="14787"/>
    <cellStyle name="常规 5 5 3 2 4 2 2 2" xfId="14789"/>
    <cellStyle name="常规 5 5 3 2 4 2 2 2 2" xfId="33725"/>
    <cellStyle name="常规 5 5 3 2 4 2 2 3" xfId="33726"/>
    <cellStyle name="常规 5 5 3 2 4 2 2 4" xfId="6243"/>
    <cellStyle name="常规 5 5 3 2 4 2 3" xfId="14791"/>
    <cellStyle name="常规 5 5 3 2 4 2 3 2" xfId="33727"/>
    <cellStyle name="常规 5 5 3 2 4 2 4" xfId="14794"/>
    <cellStyle name="常规 5 5 3 2 4 2 5" xfId="14107"/>
    <cellStyle name="常规 5 5 3 2 4 3" xfId="33728"/>
    <cellStyle name="常规 5 5 3 2 4 3 2" xfId="9252"/>
    <cellStyle name="常规 5 5 3 2 4 3 2 2" xfId="21225"/>
    <cellStyle name="常规 5 5 3 2 4 3 3" xfId="14803"/>
    <cellStyle name="常规 5 5 3 2 4 3 4" xfId="33729"/>
    <cellStyle name="常规 5 5 3 2 4 4" xfId="33730"/>
    <cellStyle name="常规 5 5 3 2 4 4 2" xfId="648"/>
    <cellStyle name="常规 5 5 3 2 4 5" xfId="33731"/>
    <cellStyle name="常规 5 5 3 2 4 6" xfId="33732"/>
    <cellStyle name="常规 5 5 3 2 5" xfId="33733"/>
    <cellStyle name="常规 5 5 3 2 5 2" xfId="33734"/>
    <cellStyle name="常规 5 5 3 2 5 2 2" xfId="14976"/>
    <cellStyle name="常规 5 5 3 2 5 2 2 2" xfId="14978"/>
    <cellStyle name="常规 5 5 3 2 5 2 3" xfId="14980"/>
    <cellStyle name="常规 5 5 3 2 5 2 4" xfId="14983"/>
    <cellStyle name="常规 5 5 3 2 5 3" xfId="33735"/>
    <cellStyle name="常规 5 5 3 2 5 3 2" xfId="14999"/>
    <cellStyle name="常规 5 5 3 2 5 4" xfId="33736"/>
    <cellStyle name="常规 5 5 3 2 5 5" xfId="33737"/>
    <cellStyle name="常规 5 5 3 2 6" xfId="33739"/>
    <cellStyle name="常规 5 5 3 2 6 2" xfId="11488"/>
    <cellStyle name="常规 5 5 3 2 6 2 2" xfId="11490"/>
    <cellStyle name="常规 5 5 3 2 6 3" xfId="11493"/>
    <cellStyle name="常规 5 5 3 2 6 4" xfId="11495"/>
    <cellStyle name="常规 5 5 3 2 7" xfId="33741"/>
    <cellStyle name="常规 5 5 3 2 7 2" xfId="11808"/>
    <cellStyle name="常规 5 5 3 2 8" xfId="33743"/>
    <cellStyle name="常规 5 5 3 2 9" xfId="33744"/>
    <cellStyle name="常规 5 5 3 3" xfId="33745"/>
    <cellStyle name="常规 5 5 3 3 2" xfId="12824"/>
    <cellStyle name="常规 5 5 3 3 2 2" xfId="21099"/>
    <cellStyle name="常规 5 5 3 3 2 2 2" xfId="33746"/>
    <cellStyle name="常规 5 5 3 3 2 2 2 2" xfId="869"/>
    <cellStyle name="常规 5 5 3 3 2 2 2 2 2" xfId="33747"/>
    <cellStyle name="常规 5 5 3 3 2 2 2 2 2 2" xfId="33748"/>
    <cellStyle name="常规 5 5 3 3 2 2 2 2 2 2 2" xfId="18622"/>
    <cellStyle name="常规 5 5 3 3 2 2 2 2 2 3" xfId="33750"/>
    <cellStyle name="常规 5 5 3 3 2 2 2 2 2 4" xfId="33751"/>
    <cellStyle name="常规 5 5 3 3 2 2 2 2 3" xfId="33752"/>
    <cellStyle name="常规 5 5 3 3 2 2 2 2 3 2" xfId="33753"/>
    <cellStyle name="常规 5 5 3 3 2 2 2 2 4" xfId="22370"/>
    <cellStyle name="常规 5 5 3 3 2 2 2 2 5" xfId="22380"/>
    <cellStyle name="常规 5 5 3 3 2 2 2 3" xfId="876"/>
    <cellStyle name="常规 5 5 3 3 2 2 2 3 2" xfId="33754"/>
    <cellStyle name="常规 5 5 3 3 2 2 2 3 2 2" xfId="33755"/>
    <cellStyle name="常规 5 5 3 3 2 2 2 3 3" xfId="2697"/>
    <cellStyle name="常规 5 5 3 3 2 2 2 3 4" xfId="2703"/>
    <cellStyle name="常规 5 5 3 3 2 2 2 4" xfId="29208"/>
    <cellStyle name="常规 5 5 3 3 2 2 2 4 2" xfId="33756"/>
    <cellStyle name="常规 5 5 3 3 2 2 2 5" xfId="10971"/>
    <cellStyle name="常规 5 5 3 3 2 2 2 6" xfId="33757"/>
    <cellStyle name="常规 5 5 3 3 2 2 3" xfId="22802"/>
    <cellStyle name="常规 5 5 3 3 2 2 3 2" xfId="22804"/>
    <cellStyle name="常规 5 5 3 3 2 2 3 2 2" xfId="33758"/>
    <cellStyle name="常规 5 5 3 3 2 2 3 2 2 2" xfId="33759"/>
    <cellStyle name="常规 5 5 3 3 2 2 3 2 3" xfId="33760"/>
    <cellStyle name="常规 5 5 3 3 2 2 3 2 4" xfId="22408"/>
    <cellStyle name="常规 5 5 3 3 2 2 3 3" xfId="33761"/>
    <cellStyle name="常规 5 5 3 3 2 2 3 3 2" xfId="33762"/>
    <cellStyle name="常规 5 5 3 3 2 2 3 4" xfId="25847"/>
    <cellStyle name="常规 5 5 3 3 2 2 3 5" xfId="25851"/>
    <cellStyle name="常规 5 5 3 3 2 2 4" xfId="1783"/>
    <cellStyle name="常规 5 5 3 3 2 2 4 2" xfId="1677"/>
    <cellStyle name="常规 5 5 3 3 2 2 4 2 2" xfId="1788"/>
    <cellStyle name="常规 5 5 3 3 2 2 4 3" xfId="1800"/>
    <cellStyle name="常规 5 5 3 3 2 2 4 4" xfId="1803"/>
    <cellStyle name="常规 5 5 3 3 2 2 5" xfId="1825"/>
    <cellStyle name="常规 5 5 3 3 2 2 5 2" xfId="1829"/>
    <cellStyle name="常规 5 5 3 3 2 2 6" xfId="1864"/>
    <cellStyle name="常规 5 5 3 3 2 2 7" xfId="1876"/>
    <cellStyle name="常规 5 5 3 3 2 3" xfId="33040"/>
    <cellStyle name="常规 5 5 3 3 2 3 2" xfId="33763"/>
    <cellStyle name="常规 5 5 3 3 2 3 2 2" xfId="33764"/>
    <cellStyle name="常规 5 5 3 3 2 3 2 2 2" xfId="33766"/>
    <cellStyle name="常规 5 5 3 3 2 3 2 2 2 2" xfId="33768"/>
    <cellStyle name="常规 5 5 3 3 2 3 2 2 3" xfId="20709"/>
    <cellStyle name="常规 5 5 3 3 2 3 2 2 4" xfId="20713"/>
    <cellStyle name="常规 5 5 3 3 2 3 2 3" xfId="21622"/>
    <cellStyle name="常规 5 5 3 3 2 3 2 3 2" xfId="33770"/>
    <cellStyle name="常规 5 5 3 3 2 3 2 4" xfId="23547"/>
    <cellStyle name="常规 5 5 3 3 2 3 2 5" xfId="23574"/>
    <cellStyle name="常规 5 5 3 3 2 3 3" xfId="22807"/>
    <cellStyle name="常规 5 5 3 3 2 3 3 2" xfId="33771"/>
    <cellStyle name="常规 5 5 3 3 2 3 3 2 2" xfId="33772"/>
    <cellStyle name="常规 5 5 3 3 2 3 3 3" xfId="33773"/>
    <cellStyle name="常规 5 5 3 3 2 3 3 4" xfId="23592"/>
    <cellStyle name="常规 5 5 3 3 2 3 4" xfId="1563"/>
    <cellStyle name="常规 5 5 3 3 2 3 4 2" xfId="4636"/>
    <cellStyle name="常规 5 5 3 3 2 3 5" xfId="1573"/>
    <cellStyle name="常规 5 5 3 3 2 3 6" xfId="5010"/>
    <cellStyle name="常规 5 5 3 3 2 4" xfId="33774"/>
    <cellStyle name="常规 5 5 3 3 2 4 2" xfId="7395"/>
    <cellStyle name="常规 5 5 3 3 2 4 2 2" xfId="33775"/>
    <cellStyle name="常规 5 5 3 3 2 4 2 2 2" xfId="33776"/>
    <cellStyle name="常规 5 5 3 3 2 4 2 3" xfId="33777"/>
    <cellStyle name="常规 5 5 3 3 2 4 2 4" xfId="23634"/>
    <cellStyle name="常规 5 5 3 3 2 4 3" xfId="1583"/>
    <cellStyle name="常规 5 5 3 3 2 4 3 2" xfId="33778"/>
    <cellStyle name="常规 5 5 3 3 2 4 4" xfId="5021"/>
    <cellStyle name="常规 5 5 3 3 2 4 5" xfId="33779"/>
    <cellStyle name="常规 5 5 3 3 2 5" xfId="33780"/>
    <cellStyle name="常规 5 5 3 3 2 5 2" xfId="6508"/>
    <cellStyle name="常规 5 5 3 3 2 5 2 2" xfId="33781"/>
    <cellStyle name="常规 5 5 3 3 2 5 3" xfId="33782"/>
    <cellStyle name="常规 5 5 3 3 2 5 4" xfId="33783"/>
    <cellStyle name="常规 5 5 3 3 2 6" xfId="33784"/>
    <cellStyle name="常规 5 5 3 3 2 6 2" xfId="33785"/>
    <cellStyle name="常规 5 5 3 3 2 7" xfId="33786"/>
    <cellStyle name="常规 5 5 3 3 2 8" xfId="33787"/>
    <cellStyle name="常规 5 5 3 3 3" xfId="12827"/>
    <cellStyle name="常规 5 5 3 3 3 2" xfId="33788"/>
    <cellStyle name="常规 5 5 3 3 3 2 2" xfId="33789"/>
    <cellStyle name="常规 5 5 3 3 3 2 2 2" xfId="18991"/>
    <cellStyle name="常规 5 5 3 3 3 2 2 2 2" xfId="31957"/>
    <cellStyle name="常规 5 5 3 3 3 2 2 2 2 2" xfId="32713"/>
    <cellStyle name="常规 5 5 3 3 3 2 2 2 3" xfId="33305"/>
    <cellStyle name="常规 5 5 3 3 3 2 2 2 4" xfId="22530"/>
    <cellStyle name="常规 5 5 3 3 3 2 2 3" xfId="18995"/>
    <cellStyle name="常规 5 5 3 3 3 2 2 3 2" xfId="33790"/>
    <cellStyle name="常规 5 5 3 3 3 2 2 4" xfId="4331"/>
    <cellStyle name="常规 5 5 3 3 3 2 2 5" xfId="33791"/>
    <cellStyle name="常规 5 5 3 3 3 2 3" xfId="22812"/>
    <cellStyle name="常规 5 5 3 3 3 2 3 2" xfId="31960"/>
    <cellStyle name="常规 5 5 3 3 3 2 3 2 2" xfId="23788"/>
    <cellStyle name="常规 5 5 3 3 3 2 3 3" xfId="31962"/>
    <cellStyle name="常规 5 5 3 3 3 2 3 4" xfId="13903"/>
    <cellStyle name="常规 5 5 3 3 3 2 4" xfId="3256"/>
    <cellStyle name="常规 5 5 3 3 3 2 4 2" xfId="5101"/>
    <cellStyle name="常规 5 5 3 3 3 2 5" xfId="5106"/>
    <cellStyle name="常规 5 5 3 3 3 2 6" xfId="5109"/>
    <cellStyle name="常规 5 5 3 3 3 3" xfId="33792"/>
    <cellStyle name="常规 5 5 3 3 3 3 2" xfId="33793"/>
    <cellStyle name="常规 5 5 3 3 3 3 2 2" xfId="32040"/>
    <cellStyle name="常规 5 5 3 3 3 3 2 2 2" xfId="32042"/>
    <cellStyle name="常规 5 5 3 3 3 3 2 3" xfId="32046"/>
    <cellStyle name="常规 5 5 3 3 3 3 2 4" xfId="23729"/>
    <cellStyle name="常规 5 5 3 3 3 3 3" xfId="33794"/>
    <cellStyle name="常规 5 5 3 3 3 3 3 2" xfId="32054"/>
    <cellStyle name="常规 5 5 3 3 3 3 4" xfId="5113"/>
    <cellStyle name="常规 5 5 3 3 3 3 5" xfId="33795"/>
    <cellStyle name="常规 5 5 3 3 3 4" xfId="33796"/>
    <cellStyle name="常规 5 5 3 3 3 4 2" xfId="3445"/>
    <cellStyle name="常规 5 5 3 3 3 4 2 2" xfId="32090"/>
    <cellStyle name="常规 5 5 3 3 3 4 3" xfId="3449"/>
    <cellStyle name="常规 5 5 3 3 3 4 4" xfId="33797"/>
    <cellStyle name="常规 5 5 3 3 3 5" xfId="33798"/>
    <cellStyle name="常规 5 5 3 3 3 5 2" xfId="3479"/>
    <cellStyle name="常规 5 5 3 3 3 6" xfId="33799"/>
    <cellStyle name="常规 5 5 3 3 3 7" xfId="33800"/>
    <cellStyle name="常规 5 5 3 3 4" xfId="5726"/>
    <cellStyle name="常规 5 5 3 3 4 2" xfId="33802"/>
    <cellStyle name="常规 5 5 3 3 4 2 2" xfId="15424"/>
    <cellStyle name="常规 5 5 3 3 4 2 2 2" xfId="4184"/>
    <cellStyle name="常规 5 5 3 3 4 2 2 2 2" xfId="33803"/>
    <cellStyle name="常规 5 5 3 3 4 2 2 3" xfId="32174"/>
    <cellStyle name="常规 5 5 3 3 4 2 2 4" xfId="33804"/>
    <cellStyle name="常规 5 5 3 3 4 2 3" xfId="15426"/>
    <cellStyle name="常规 5 5 3 3 4 2 3 2" xfId="32179"/>
    <cellStyle name="常规 5 5 3 3 4 2 4" xfId="3287"/>
    <cellStyle name="常规 5 5 3 3 4 2 5" xfId="14161"/>
    <cellStyle name="常规 5 5 3 3 4 3" xfId="33805"/>
    <cellStyle name="常规 5 5 3 3 4 3 2" xfId="15453"/>
    <cellStyle name="常规 5 5 3 3 4 3 2 2" xfId="32202"/>
    <cellStyle name="常规 5 5 3 3 4 3 3" xfId="15455"/>
    <cellStyle name="常规 5 5 3 3 4 3 4" xfId="33806"/>
    <cellStyle name="常规 5 5 3 3 4 4" xfId="33807"/>
    <cellStyle name="常规 5 5 3 3 4 4 2" xfId="273"/>
    <cellStyle name="常规 5 5 3 3 4 5" xfId="33808"/>
    <cellStyle name="常规 5 5 3 3 4 6" xfId="33809"/>
    <cellStyle name="常规 5 5 3 3 5" xfId="33810"/>
    <cellStyle name="常规 5 5 3 3 5 2" xfId="33811"/>
    <cellStyle name="常规 5 5 3 3 5 2 2" xfId="15568"/>
    <cellStyle name="常规 5 5 3 3 5 2 2 2" xfId="32260"/>
    <cellStyle name="常规 5 5 3 3 5 2 3" xfId="15570"/>
    <cellStyle name="常规 5 5 3 3 5 2 4" xfId="33812"/>
    <cellStyle name="常规 5 5 3 3 5 3" xfId="33813"/>
    <cellStyle name="常规 5 5 3 3 5 3 2" xfId="15587"/>
    <cellStyle name="常规 5 5 3 3 5 4" xfId="15873"/>
    <cellStyle name="常规 5 5 3 3 5 5" xfId="33814"/>
    <cellStyle name="常规 5 5 3 3 6" xfId="33816"/>
    <cellStyle name="常规 5 5 3 3 6 2" xfId="12322"/>
    <cellStyle name="常规 5 5 3 3 6 2 2" xfId="15634"/>
    <cellStyle name="常规 5 5 3 3 6 3" xfId="12324"/>
    <cellStyle name="常规 5 5 3 3 6 4" xfId="33817"/>
    <cellStyle name="常规 5 5 3 3 7" xfId="33818"/>
    <cellStyle name="常规 5 5 3 3 7 2" xfId="12385"/>
    <cellStyle name="常规 5 5 3 3 8" xfId="33819"/>
    <cellStyle name="常规 5 5 3 3 9" xfId="33820"/>
    <cellStyle name="常规 5 5 3 4" xfId="28187"/>
    <cellStyle name="常规 5 5 3 4 2" xfId="28190"/>
    <cellStyle name="常规 5 5 3 4 2 2" xfId="18242"/>
    <cellStyle name="常规 5 5 3 4 2 2 2" xfId="18245"/>
    <cellStyle name="常规 5 5 3 4 2 2 2 2" xfId="138"/>
    <cellStyle name="常规 5 5 3 4 2 2 2 2 2" xfId="2192"/>
    <cellStyle name="常规 5 5 3 4 2 2 2 2 2 2" xfId="18248"/>
    <cellStyle name="常规 5 5 3 4 2 2 2 2 3" xfId="18265"/>
    <cellStyle name="常规 5 5 3 4 2 2 2 2 4" xfId="18300"/>
    <cellStyle name="常规 5 5 3 4 2 2 2 3" xfId="18326"/>
    <cellStyle name="常规 5 5 3 4 2 2 2 3 2" xfId="18329"/>
    <cellStyle name="常规 5 5 3 4 2 2 2 4" xfId="18364"/>
    <cellStyle name="常规 5 5 3 4 2 2 2 5" xfId="18376"/>
    <cellStyle name="常规 5 5 3 4 2 2 3" xfId="18389"/>
    <cellStyle name="常规 5 5 3 4 2 2 3 2" xfId="3651"/>
    <cellStyle name="常规 5 5 3 4 2 2 3 2 2" xfId="664"/>
    <cellStyle name="常规 5 5 3 4 2 2 3 3" xfId="18423"/>
    <cellStyle name="常规 5 5 3 4 2 2 3 4" xfId="18434"/>
    <cellStyle name="常规 5 5 3 4 2 2 4" xfId="3626"/>
    <cellStyle name="常规 5 5 3 4 2 2 4 2" xfId="15963"/>
    <cellStyle name="常规 5 5 3 4 2 2 5" xfId="15967"/>
    <cellStyle name="常规 5 5 3 4 2 2 6" xfId="7312"/>
    <cellStyle name="常规 5 5 3 4 2 3" xfId="18499"/>
    <cellStyle name="常规 5 5 3 4 2 3 2" xfId="18502"/>
    <cellStyle name="常规 5 5 3 4 2 3 2 2" xfId="1490"/>
    <cellStyle name="常规 5 5 3 4 2 3 2 2 2" xfId="18505"/>
    <cellStyle name="常规 5 5 3 4 2 3 2 3" xfId="18539"/>
    <cellStyle name="常规 5 5 3 4 2 3 2 4" xfId="18554"/>
    <cellStyle name="常规 5 5 3 4 2 3 3" xfId="18575"/>
    <cellStyle name="常规 5 5 3 4 2 3 3 2" xfId="3701"/>
    <cellStyle name="常规 5 5 3 4 2 3 4" xfId="15971"/>
    <cellStyle name="常规 5 5 3 4 2 3 5" xfId="18613"/>
    <cellStyle name="常规 5 5 3 4 2 4" xfId="18625"/>
    <cellStyle name="常规 5 5 3 4 2 4 2" xfId="1622"/>
    <cellStyle name="常规 5 5 3 4 2 4 2 2" xfId="18629"/>
    <cellStyle name="常规 5 5 3 4 2 4 3" xfId="18678"/>
    <cellStyle name="常规 5 5 3 4 2 4 4" xfId="18697"/>
    <cellStyle name="常规 5 5 3 4 2 5" xfId="18709"/>
    <cellStyle name="常规 5 5 3 4 2 5 2" xfId="18712"/>
    <cellStyle name="常规 5 5 3 4 2 6" xfId="18742"/>
    <cellStyle name="常规 5 5 3 4 2 7" xfId="28193"/>
    <cellStyle name="常规 5 5 3 4 3" xfId="28198"/>
    <cellStyle name="常规 5 5 3 4 3 2" xfId="19682"/>
    <cellStyle name="常规 5 5 3 4 3 2 2" xfId="19685"/>
    <cellStyle name="常规 5 5 3 4 3 2 2 2" xfId="19688"/>
    <cellStyle name="常规 5 5 3 4 3 2 2 2 2" xfId="19692"/>
    <cellStyle name="常规 5 5 3 4 3 2 2 3" xfId="19725"/>
    <cellStyle name="常规 5 5 3 4 3 2 2 4" xfId="9846"/>
    <cellStyle name="常规 5 5 3 4 3 2 3" xfId="19751"/>
    <cellStyle name="常规 5 5 3 4 3 2 3 2" xfId="261"/>
    <cellStyle name="常规 5 5 3 4 3 2 4" xfId="15993"/>
    <cellStyle name="常规 5 5 3 4 3 2 5" xfId="19797"/>
    <cellStyle name="常规 5 5 3 4 3 3" xfId="19807"/>
    <cellStyle name="常规 5 5 3 4 3 3 2" xfId="19810"/>
    <cellStyle name="常规 5 5 3 4 3 3 2 2" xfId="4140"/>
    <cellStyle name="常规 5 5 3 4 3 3 3" xfId="19842"/>
    <cellStyle name="常规 5 5 3 4 3 3 4" xfId="19856"/>
    <cellStyle name="常规 5 5 3 4 3 4" xfId="19870"/>
    <cellStyle name="常规 5 5 3 4 3 4 2" xfId="19873"/>
    <cellStyle name="常规 5 5 3 4 3 5" xfId="19917"/>
    <cellStyle name="常规 5 5 3 4 3 6" xfId="19932"/>
    <cellStyle name="常规 5 5 3 4 4" xfId="28200"/>
    <cellStyle name="常规 5 5 3 4 4 2" xfId="28202"/>
    <cellStyle name="常规 5 5 3 4 4 2 2" xfId="4191"/>
    <cellStyle name="常规 5 5 3 4 4 2 2 2" xfId="4196"/>
    <cellStyle name="常规 5 5 3 4 4 2 3" xfId="3692"/>
    <cellStyle name="常规 5 5 3 4 4 2 4" xfId="3697"/>
    <cellStyle name="常规 5 5 3 4 4 3" xfId="28204"/>
    <cellStyle name="常规 5 5 3 4 4 3 2" xfId="13129"/>
    <cellStyle name="常规 5 5 3 4 4 4" xfId="28206"/>
    <cellStyle name="常规 5 5 3 4 4 5" xfId="28208"/>
    <cellStyle name="常规 5 5 3 4 5" xfId="28210"/>
    <cellStyle name="常规 5 5 3 4 5 2" xfId="28212"/>
    <cellStyle name="常规 5 5 3 4 5 2 2" xfId="13157"/>
    <cellStyle name="常规 5 5 3 4 5 3" xfId="28214"/>
    <cellStyle name="常规 5 5 3 4 5 4" xfId="28216"/>
    <cellStyle name="常规 5 5 3 4 6" xfId="25464"/>
    <cellStyle name="常规 5 5 3 4 6 2" xfId="12597"/>
    <cellStyle name="常规 5 5 3 4 7" xfId="25477"/>
    <cellStyle name="常规 5 5 3 4 8" xfId="6965"/>
    <cellStyle name="常规 5 5 3 5" xfId="3029"/>
    <cellStyle name="常规 5 5 3 5 2" xfId="25766"/>
    <cellStyle name="常规 5 5 3 5 2 2" xfId="28218"/>
    <cellStyle name="常规 5 5 3 5 2 2 2" xfId="28220"/>
    <cellStyle name="常规 5 5 3 5 2 2 2 2" xfId="28222"/>
    <cellStyle name="常规 5 5 3 5 2 2 2 2 2" xfId="28224"/>
    <cellStyle name="常规 5 5 3 5 2 2 2 3" xfId="28226"/>
    <cellStyle name="常规 5 5 3 5 2 2 2 4" xfId="28228"/>
    <cellStyle name="常规 5 5 3 5 2 2 3" xfId="28230"/>
    <cellStyle name="常规 5 5 3 5 2 2 3 2" xfId="28232"/>
    <cellStyle name="常规 5 5 3 5 2 2 4" xfId="2141"/>
    <cellStyle name="常规 5 5 3 5 2 2 5" xfId="8236"/>
    <cellStyle name="常规 5 5 3 5 2 3" xfId="28234"/>
    <cellStyle name="常规 5 5 3 5 2 3 2" xfId="28236"/>
    <cellStyle name="常规 5 5 3 5 2 3 2 2" xfId="28238"/>
    <cellStyle name="常规 5 5 3 5 2 3 3" xfId="28240"/>
    <cellStyle name="常规 5 5 3 5 2 3 4" xfId="8240"/>
    <cellStyle name="常规 5 5 3 5 2 4" xfId="28242"/>
    <cellStyle name="常规 5 5 3 5 2 4 2" xfId="7803"/>
    <cellStyle name="常规 5 5 3 5 2 5" xfId="28244"/>
    <cellStyle name="常规 5 5 3 5 2 6" xfId="28246"/>
    <cellStyle name="常规 5 5 3 5 3" xfId="25770"/>
    <cellStyle name="常规 5 5 3 5 3 2" xfId="28250"/>
    <cellStyle name="常规 5 5 3 5 3 2 2" xfId="28252"/>
    <cellStyle name="常规 5 5 3 5 3 2 2 2" xfId="24721"/>
    <cellStyle name="常规 5 5 3 5 3 2 3" xfId="28254"/>
    <cellStyle name="常规 5 5 3 5 3 2 4" xfId="254"/>
    <cellStyle name="常规 5 5 3 5 3 3" xfId="28256"/>
    <cellStyle name="常规 5 5 3 5 3 3 2" xfId="28258"/>
    <cellStyle name="常规 5 5 3 5 3 4" xfId="28260"/>
    <cellStyle name="常规 5 5 3 5 3 5" xfId="28262"/>
    <cellStyle name="常规 5 5 3 5 4" xfId="28264"/>
    <cellStyle name="常规 5 5 3 5 4 2" xfId="28266"/>
    <cellStyle name="常规 5 5 3 5 4 2 2" xfId="13229"/>
    <cellStyle name="常规 5 5 3 5 4 3" xfId="28268"/>
    <cellStyle name="常规 5 5 3 5 4 4" xfId="28270"/>
    <cellStyle name="常规 5 5 3 5 5" xfId="28272"/>
    <cellStyle name="常规 5 5 3 5 5 2" xfId="28274"/>
    <cellStyle name="常规 5 5 3 5 6" xfId="25488"/>
    <cellStyle name="常规 5 5 3 5 7" xfId="25499"/>
    <cellStyle name="常规 5 5 3 6" xfId="28278"/>
    <cellStyle name="常规 5 5 3 6 2" xfId="25773"/>
    <cellStyle name="常规 5 5 3 6 2 2" xfId="28280"/>
    <cellStyle name="常规 5 5 3 6 2 2 2" xfId="28283"/>
    <cellStyle name="常规 5 5 3 6 2 2 2 2" xfId="28286"/>
    <cellStyle name="常规 5 5 3 6 2 2 3" xfId="28292"/>
    <cellStyle name="常规 5 5 3 6 2 2 4" xfId="8246"/>
    <cellStyle name="常规 5 5 3 6 2 3" xfId="28293"/>
    <cellStyle name="常规 5 5 3 6 2 3 2" xfId="28296"/>
    <cellStyle name="常规 5 5 3 6 2 4" xfId="28299"/>
    <cellStyle name="常规 5 5 3 6 2 5" xfId="28302"/>
    <cellStyle name="常规 5 5 3 6 3" xfId="28305"/>
    <cellStyle name="常规 5 5 3 6 3 2" xfId="28307"/>
    <cellStyle name="常规 5 5 3 6 3 2 2" xfId="28310"/>
    <cellStyle name="常规 5 5 3 6 3 3" xfId="28313"/>
    <cellStyle name="常规 5 5 3 6 3 4" xfId="8041"/>
    <cellStyle name="常规 5 5 3 6 4" xfId="8958"/>
    <cellStyle name="常规 5 5 3 6 4 2" xfId="8961"/>
    <cellStyle name="常规 5 5 3 6 5" xfId="8975"/>
    <cellStyle name="常规 5 5 3 6 6" xfId="8982"/>
    <cellStyle name="常规 5 5 3 7" xfId="14279"/>
    <cellStyle name="常规 5 5 3 7 2" xfId="28316"/>
    <cellStyle name="常规 5 5 3 7 2 2" xfId="28318"/>
    <cellStyle name="常规 5 5 3 7 2 2 2" xfId="28321"/>
    <cellStyle name="常规 5 5 3 7 2 3" xfId="28324"/>
    <cellStyle name="常规 5 5 3 7 2 4" xfId="28327"/>
    <cellStyle name="常规 5 5 3 7 3" xfId="28330"/>
    <cellStyle name="常规 5 5 3 7 3 2" xfId="28332"/>
    <cellStyle name="常规 5 5 3 7 4" xfId="8994"/>
    <cellStyle name="常规 5 5 3 7 5" xfId="9006"/>
    <cellStyle name="常规 5 5 3 8" xfId="28335"/>
    <cellStyle name="常规 5 5 3 8 2" xfId="28337"/>
    <cellStyle name="常规 5 5 3 8 2 2" xfId="28339"/>
    <cellStyle name="常规 5 5 3 8 3" xfId="9713"/>
    <cellStyle name="常规 5 5 3 8 4" xfId="9018"/>
    <cellStyle name="常规 5 5 3 9" xfId="28342"/>
    <cellStyle name="常规 5 5 3 9 2" xfId="28344"/>
    <cellStyle name="常规 5 5 4" xfId="29678"/>
    <cellStyle name="常规 5 5 4 2" xfId="33821"/>
    <cellStyle name="常规 5 5 4 2 2" xfId="12862"/>
    <cellStyle name="常规 5 5 4 2 2 2" xfId="33822"/>
    <cellStyle name="常规 5 5 4 2 2 2 2" xfId="33823"/>
    <cellStyle name="常规 5 5 4 2 2 2 2 2" xfId="33824"/>
    <cellStyle name="常规 5 5 4 2 2 2 2 2 2" xfId="33825"/>
    <cellStyle name="常规 5 5 4 2 2 2 2 2 2 2" xfId="2103"/>
    <cellStyle name="常规 5 5 4 2 2 2 2 2 3" xfId="33826"/>
    <cellStyle name="常规 5 5 4 2 2 2 2 2 4" xfId="23408"/>
    <cellStyle name="常规 5 5 4 2 2 2 2 3" xfId="33827"/>
    <cellStyle name="常规 5 5 4 2 2 2 2 3 2" xfId="33828"/>
    <cellStyle name="常规 5 5 4 2 2 2 2 4" xfId="33830"/>
    <cellStyle name="常规 5 5 4 2 2 2 2 5" xfId="33832"/>
    <cellStyle name="常规 5 5 4 2 2 2 3" xfId="22839"/>
    <cellStyle name="常规 5 5 4 2 2 2 3 2" xfId="22841"/>
    <cellStyle name="常规 5 5 4 2 2 2 3 2 2" xfId="33833"/>
    <cellStyle name="常规 5 5 4 2 2 2 3 3" xfId="33834"/>
    <cellStyle name="常规 5 5 4 2 2 2 3 4" xfId="26441"/>
    <cellStyle name="常规 5 5 4 2 2 2 4" xfId="22843"/>
    <cellStyle name="常规 5 5 4 2 2 2 4 2" xfId="33835"/>
    <cellStyle name="常规 5 5 4 2 2 2 5" xfId="22845"/>
    <cellStyle name="常规 5 5 4 2 2 2 6" xfId="14762"/>
    <cellStyle name="常规 5 5 4 2 2 3" xfId="33048"/>
    <cellStyle name="常规 5 5 4 2 2 3 2" xfId="33836"/>
    <cellStyle name="常规 5 5 4 2 2 3 2 2" xfId="33837"/>
    <cellStyle name="常规 5 5 4 2 2 3 2 2 2" xfId="33838"/>
    <cellStyle name="常规 5 5 4 2 2 3 2 3" xfId="21664"/>
    <cellStyle name="常规 5 5 4 2 2 3 2 4" xfId="33840"/>
    <cellStyle name="常规 5 5 4 2 2 3 3" xfId="22848"/>
    <cellStyle name="常规 5 5 4 2 2 3 3 2" xfId="33841"/>
    <cellStyle name="常规 5 5 4 2 2 3 4" xfId="33842"/>
    <cellStyle name="常规 5 5 4 2 2 3 5" xfId="33843"/>
    <cellStyle name="常规 5 5 4 2 2 4" xfId="33844"/>
    <cellStyle name="常规 5 5 4 2 2 4 2" xfId="33845"/>
    <cellStyle name="常规 5 5 4 2 2 4 2 2" xfId="33846"/>
    <cellStyle name="常规 5 5 4 2 2 4 3" xfId="33847"/>
    <cellStyle name="常规 5 5 4 2 2 4 4" xfId="33848"/>
    <cellStyle name="常规 5 5 4 2 2 5" xfId="33849"/>
    <cellStyle name="常规 5 5 4 2 2 5 2" xfId="18146"/>
    <cellStyle name="常规 5 5 4 2 2 6" xfId="33850"/>
    <cellStyle name="常规 5 5 4 2 2 7" xfId="33851"/>
    <cellStyle name="常规 5 5 4 2 3" xfId="12866"/>
    <cellStyle name="常规 5 5 4 2 3 2" xfId="33852"/>
    <cellStyle name="常规 5 5 4 2 3 2 2" xfId="33853"/>
    <cellStyle name="常规 5 5 4 2 3 2 2 2" xfId="33854"/>
    <cellStyle name="常规 5 5 4 2 3 2 2 2 2" xfId="33856"/>
    <cellStyle name="常规 5 5 4 2 3 2 2 3" xfId="33857"/>
    <cellStyle name="常规 5 5 4 2 3 2 2 4" xfId="5737"/>
    <cellStyle name="常规 5 5 4 2 3 2 3" xfId="22854"/>
    <cellStyle name="常规 5 5 4 2 3 2 3 2" xfId="33858"/>
    <cellStyle name="常规 5 5 4 2 3 2 4" xfId="33859"/>
    <cellStyle name="常规 5 5 4 2 3 2 5" xfId="28160"/>
    <cellStyle name="常规 5 5 4 2 3 3" xfId="33860"/>
    <cellStyle name="常规 5 5 4 2 3 3 2" xfId="33861"/>
    <cellStyle name="常规 5 5 4 2 3 3 2 2" xfId="33862"/>
    <cellStyle name="常规 5 5 4 2 3 3 3" xfId="33863"/>
    <cellStyle name="常规 5 5 4 2 3 3 4" xfId="33864"/>
    <cellStyle name="常规 5 5 4 2 3 4" xfId="33865"/>
    <cellStyle name="常规 5 5 4 2 3 4 2" xfId="7193"/>
    <cellStyle name="常规 5 5 4 2 3 5" xfId="33867"/>
    <cellStyle name="常规 5 5 4 2 3 6" xfId="33590"/>
    <cellStyle name="常规 5 5 4 2 4" xfId="33868"/>
    <cellStyle name="常规 5 5 4 2 4 2" xfId="33869"/>
    <cellStyle name="常规 5 5 4 2 4 2 2" xfId="33870"/>
    <cellStyle name="常规 5 5 4 2 4 2 2 2" xfId="33329"/>
    <cellStyle name="常规 5 5 4 2 4 2 3" xfId="6146"/>
    <cellStyle name="常规 5 5 4 2 4 2 4" xfId="6159"/>
    <cellStyle name="常规 5 5 4 2 4 3" xfId="33871"/>
    <cellStyle name="常规 5 5 4 2 4 3 2" xfId="33872"/>
    <cellStyle name="常规 5 5 4 2 4 4" xfId="33873"/>
    <cellStyle name="常规 5 5 4 2 4 5" xfId="24154"/>
    <cellStyle name="常规 5 5 4 2 5" xfId="33874"/>
    <cellStyle name="常规 5 5 4 2 5 2" xfId="33875"/>
    <cellStyle name="常规 5 5 4 2 5 2 2" xfId="33876"/>
    <cellStyle name="常规 5 5 4 2 5 3" xfId="33877"/>
    <cellStyle name="常规 5 5 4 2 5 4" xfId="33878"/>
    <cellStyle name="常规 5 5 4 2 6" xfId="33880"/>
    <cellStyle name="常规 5 5 4 2 6 2" xfId="13892"/>
    <cellStyle name="常规 5 5 4 2 7" xfId="33881"/>
    <cellStyle name="常规 5 5 4 2 8" xfId="33882"/>
    <cellStyle name="常规 5 5 4 3" xfId="33883"/>
    <cellStyle name="常规 5 5 4 3 2" xfId="33884"/>
    <cellStyle name="常规 5 5 4 3 2 2" xfId="9903"/>
    <cellStyle name="常规 5 5 4 3 2 2 2" xfId="9907"/>
    <cellStyle name="常规 5 5 4 3 2 2 2 2" xfId="9909"/>
    <cellStyle name="常规 5 5 4 3 2 2 2 2 2" xfId="3874"/>
    <cellStyle name="常规 5 5 4 3 2 2 2 3" xfId="9917"/>
    <cellStyle name="常规 5 5 4 3 2 2 2 4" xfId="9920"/>
    <cellStyle name="常规 5 5 4 3 2 2 3" xfId="9923"/>
    <cellStyle name="常规 5 5 4 3 2 2 3 2" xfId="9926"/>
    <cellStyle name="常规 5 5 4 3 2 2 4" xfId="6386"/>
    <cellStyle name="常规 5 5 4 3 2 2 5" xfId="9934"/>
    <cellStyle name="常规 5 5 4 3 2 3" xfId="9937"/>
    <cellStyle name="常规 5 5 4 3 2 3 2" xfId="9939"/>
    <cellStyle name="常规 5 5 4 3 2 3 2 2" xfId="9941"/>
    <cellStyle name="常规 5 5 4 3 2 3 3" xfId="9946"/>
    <cellStyle name="常规 5 5 4 3 2 3 4" xfId="9949"/>
    <cellStyle name="常规 5 5 4 3 2 4" xfId="9952"/>
    <cellStyle name="常规 5 5 4 3 2 4 2" xfId="8260"/>
    <cellStyle name="常规 5 5 4 3 2 5" xfId="9957"/>
    <cellStyle name="常规 5 5 4 3 2 6" xfId="9960"/>
    <cellStyle name="常规 5 5 4 3 3" xfId="27608"/>
    <cellStyle name="常规 5 5 4 3 3 2" xfId="10122"/>
    <cellStyle name="常规 5 5 4 3 3 2 2" xfId="10128"/>
    <cellStyle name="常规 5 5 4 3 3 2 2 2" xfId="10131"/>
    <cellStyle name="常规 5 5 4 3 3 2 3" xfId="10146"/>
    <cellStyle name="常规 5 5 4 3 3 2 4" xfId="10153"/>
    <cellStyle name="常规 5 5 4 3 3 3" xfId="10161"/>
    <cellStyle name="常规 5 5 4 3 3 3 2" xfId="10163"/>
    <cellStyle name="常规 5 5 4 3 3 4" xfId="10177"/>
    <cellStyle name="常规 5 5 4 3 3 5" xfId="10184"/>
    <cellStyle name="常规 5 5 4 3 4" xfId="27611"/>
    <cellStyle name="常规 5 5 4 3 4 2" xfId="10297"/>
    <cellStyle name="常规 5 5 4 3 4 2 2" xfId="4328"/>
    <cellStyle name="常规 5 5 4 3 4 3" xfId="10309"/>
    <cellStyle name="常规 5 5 4 3 4 4" xfId="10315"/>
    <cellStyle name="常规 5 5 4 3 5" xfId="27615"/>
    <cellStyle name="常规 5 5 4 3 5 2" xfId="10365"/>
    <cellStyle name="常规 5 5 4 3 6" xfId="33885"/>
    <cellStyle name="常规 5 5 4 3 7" xfId="33886"/>
    <cellStyle name="常规 5 5 4 4" xfId="28351"/>
    <cellStyle name="常规 5 5 4 4 2" xfId="28353"/>
    <cellStyle name="常规 5 5 4 4 2 2" xfId="10507"/>
    <cellStyle name="常规 5 5 4 4 2 2 2" xfId="10510"/>
    <cellStyle name="常规 5 5 4 4 2 2 2 2" xfId="10513"/>
    <cellStyle name="常规 5 5 4 4 2 2 3" xfId="10522"/>
    <cellStyle name="常规 5 5 4 4 2 2 4" xfId="1332"/>
    <cellStyle name="常规 5 5 4 4 2 3" xfId="10532"/>
    <cellStyle name="常规 5 5 4 4 2 3 2" xfId="10536"/>
    <cellStyle name="常规 5 5 4 4 2 4" xfId="10553"/>
    <cellStyle name="常规 5 5 4 4 2 5" xfId="10558"/>
    <cellStyle name="常规 5 5 4 4 3" xfId="27620"/>
    <cellStyle name="常规 5 5 4 4 3 2" xfId="10593"/>
    <cellStyle name="常规 5 5 4 4 3 2 2" xfId="10596"/>
    <cellStyle name="常规 5 5 4 4 3 3" xfId="10608"/>
    <cellStyle name="常规 5 5 4 4 3 4" xfId="10615"/>
    <cellStyle name="常规 5 5 4 4 4" xfId="28395"/>
    <cellStyle name="常规 5 5 4 4 4 2" xfId="10643"/>
    <cellStyle name="常规 5 5 4 4 5" xfId="28400"/>
    <cellStyle name="常规 5 5 4 4 6" xfId="25526"/>
    <cellStyle name="常规 5 5 4 5" xfId="28403"/>
    <cellStyle name="常规 5 5 4 5 2" xfId="25786"/>
    <cellStyle name="常规 5 5 4 5 2 2" xfId="10794"/>
    <cellStyle name="常规 5 5 4 5 2 2 2" xfId="10797"/>
    <cellStyle name="常规 5 5 4 5 2 3" xfId="10815"/>
    <cellStyle name="常规 5 5 4 5 2 4" xfId="10823"/>
    <cellStyle name="常规 5 5 4 5 3" xfId="28405"/>
    <cellStyle name="常规 5 5 4 5 3 2" xfId="10894"/>
    <cellStyle name="常规 5 5 4 5 4" xfId="17018"/>
    <cellStyle name="常规 5 5 4 5 5" xfId="17021"/>
    <cellStyle name="常规 5 5 4 6" xfId="28407"/>
    <cellStyle name="常规 5 5 4 6 2" xfId="28409"/>
    <cellStyle name="常规 5 5 4 6 2 2" xfId="11062"/>
    <cellStyle name="常规 5 5 4 6 3" xfId="28411"/>
    <cellStyle name="常规 5 5 4 6 4" xfId="9049"/>
    <cellStyle name="常规 5 5 4 7" xfId="28413"/>
    <cellStyle name="常规 5 5 4 7 2" xfId="28415"/>
    <cellStyle name="常规 5 5 4 8" xfId="28418"/>
    <cellStyle name="常规 5 5 4 9" xfId="28421"/>
    <cellStyle name="常规 5 5 5" xfId="8185"/>
    <cellStyle name="常规 5 5 5 2" xfId="8188"/>
    <cellStyle name="常规 5 5 5 2 2" xfId="8616"/>
    <cellStyle name="常规 5 5 5 2 2 2" xfId="33887"/>
    <cellStyle name="常规 5 5 5 2 2 2 2" xfId="33888"/>
    <cellStyle name="常规 5 5 5 2 2 2 2 2" xfId="12318"/>
    <cellStyle name="常规 5 5 5 2 2 2 2 2 2" xfId="33889"/>
    <cellStyle name="常规 5 5 5 2 2 2 2 2 2 2" xfId="10099"/>
    <cellStyle name="常规 5 5 5 2 2 2 2 2 3" xfId="11857"/>
    <cellStyle name="常规 5 5 5 2 2 2 2 2 4" xfId="33890"/>
    <cellStyle name="常规 5 5 5 2 2 2 2 3" xfId="5181"/>
    <cellStyle name="常规 5 5 5 2 2 2 2 3 2" xfId="5626"/>
    <cellStyle name="常规 5 5 5 2 2 2 2 4" xfId="30736"/>
    <cellStyle name="常规 5 5 5 2 2 2 2 5" xfId="33891"/>
    <cellStyle name="常规 5 5 5 2 2 2 3" xfId="22875"/>
    <cellStyle name="常规 5 5 5 2 2 2 3 2" xfId="15616"/>
    <cellStyle name="常规 5 5 5 2 2 2 3 2 2" xfId="33892"/>
    <cellStyle name="常规 5 5 5 2 2 2 3 3" xfId="33893"/>
    <cellStyle name="常规 5 5 5 2 2 2 3 4" xfId="33894"/>
    <cellStyle name="常规 5 5 5 2 2 2 4" xfId="33895"/>
    <cellStyle name="常规 5 5 5 2 2 2 4 2" xfId="33896"/>
    <cellStyle name="常规 5 5 5 2 2 2 5" xfId="33897"/>
    <cellStyle name="常规 5 5 5 2 2 2 6" xfId="14950"/>
    <cellStyle name="常规 5 5 5 2 2 3" xfId="33898"/>
    <cellStyle name="常规 5 5 5 2 2 3 2" xfId="33899"/>
    <cellStyle name="常规 5 5 5 2 2 3 2 2" xfId="33900"/>
    <cellStyle name="常规 5 5 5 2 2 3 2 2 2" xfId="33901"/>
    <cellStyle name="常规 5 5 5 2 2 3 2 3" xfId="33903"/>
    <cellStyle name="常规 5 5 5 2 2 3 2 4" xfId="33904"/>
    <cellStyle name="常规 5 5 5 2 2 3 3" xfId="33905"/>
    <cellStyle name="常规 5 5 5 2 2 3 3 2" xfId="33906"/>
    <cellStyle name="常规 5 5 5 2 2 3 4" xfId="33907"/>
    <cellStyle name="常规 5 5 5 2 2 3 5" xfId="33908"/>
    <cellStyle name="常规 5 5 5 2 2 4" xfId="33909"/>
    <cellStyle name="常规 5 5 5 2 2 4 2" xfId="33910"/>
    <cellStyle name="常规 5 5 5 2 2 4 2 2" xfId="33911"/>
    <cellStyle name="常规 5 5 5 2 2 4 3" xfId="33912"/>
    <cellStyle name="常规 5 5 5 2 2 4 4" xfId="33913"/>
    <cellStyle name="常规 5 5 5 2 2 5" xfId="33914"/>
    <cellStyle name="常规 5 5 5 2 2 5 2" xfId="1772"/>
    <cellStyle name="常规 5 5 5 2 2 6" xfId="33915"/>
    <cellStyle name="常规 5 5 5 2 2 7" xfId="33916"/>
    <cellStyle name="常规 5 5 5 2 3" xfId="33917"/>
    <cellStyle name="常规 5 5 5 2 3 2" xfId="25889"/>
    <cellStyle name="常规 5 5 5 2 3 2 2" xfId="25894"/>
    <cellStyle name="常规 5 5 5 2 3 2 2 2" xfId="12587"/>
    <cellStyle name="常规 5 5 5 2 3 2 2 2 2" xfId="1971"/>
    <cellStyle name="常规 5 5 5 2 3 2 2 3" xfId="12591"/>
    <cellStyle name="常规 5 5 5 2 3 2 2 4" xfId="2592"/>
    <cellStyle name="常规 5 5 5 2 3 2 3" xfId="26131"/>
    <cellStyle name="常规 5 5 5 2 3 2 3 2" xfId="26134"/>
    <cellStyle name="常规 5 5 5 2 3 2 4" xfId="26314"/>
    <cellStyle name="常规 5 5 5 2 3 2 5" xfId="26429"/>
    <cellStyle name="常规 5 5 5 2 3 3" xfId="26544"/>
    <cellStyle name="常规 5 5 5 2 3 3 2" xfId="26546"/>
    <cellStyle name="常规 5 5 5 2 3 3 2 2" xfId="26549"/>
    <cellStyle name="常规 5 5 5 2 3 3 3" xfId="26737"/>
    <cellStyle name="常规 5 5 5 2 3 3 4" xfId="26822"/>
    <cellStyle name="常规 5 5 5 2 3 4" xfId="26919"/>
    <cellStyle name="常规 5 5 5 2 3 4 2" xfId="8170"/>
    <cellStyle name="常规 5 5 5 2 3 5" xfId="27252"/>
    <cellStyle name="常规 5 5 5 2 3 6" xfId="27444"/>
    <cellStyle name="常规 5 5 5 2 4" xfId="33918"/>
    <cellStyle name="常规 5 5 5 2 4 2" xfId="28184"/>
    <cellStyle name="常规 5 5 5 2 4 2 2" xfId="28186"/>
    <cellStyle name="常规 5 5 5 2 4 2 2 2" xfId="28189"/>
    <cellStyle name="常规 5 5 5 2 4 2 3" xfId="3028"/>
    <cellStyle name="常规 5 5 5 2 4 2 4" xfId="28277"/>
    <cellStyle name="常规 5 5 5 2 4 3" xfId="28348"/>
    <cellStyle name="常规 5 5 5 2 4 3 2" xfId="28350"/>
    <cellStyle name="常规 5 5 5 2 4 4" xfId="18801"/>
    <cellStyle name="常规 5 5 5 2 4 5" xfId="28464"/>
    <cellStyle name="常规 5 5 5 2 5" xfId="33919"/>
    <cellStyle name="常规 5 5 5 2 5 2" xfId="28868"/>
    <cellStyle name="常规 5 5 5 2 5 2 2" xfId="28872"/>
    <cellStyle name="常规 5 5 5 2 5 3" xfId="29005"/>
    <cellStyle name="常规 5 5 5 2 5 4" xfId="29028"/>
    <cellStyle name="常规 5 5 5 2 6" xfId="33920"/>
    <cellStyle name="常规 5 5 5 2 6 2" xfId="14927"/>
    <cellStyle name="常规 5 5 5 2 7" xfId="33921"/>
    <cellStyle name="常规 5 5 5 2 8" xfId="33922"/>
    <cellStyle name="常规 5 5 5 3" xfId="6440"/>
    <cellStyle name="常规 5 5 5 3 2" xfId="33923"/>
    <cellStyle name="常规 5 5 5 3 2 2" xfId="11378"/>
    <cellStyle name="常规 5 5 5 3 2 2 2" xfId="11380"/>
    <cellStyle name="常规 5 5 5 3 2 2 2 2" xfId="10388"/>
    <cellStyle name="常规 5 5 5 3 2 2 2 2 2" xfId="10391"/>
    <cellStyle name="常规 5 5 5 3 2 2 2 3" xfId="8954"/>
    <cellStyle name="常规 5 5 5 3 2 2 2 4" xfId="9044"/>
    <cellStyle name="常规 5 5 5 3 2 2 3" xfId="11382"/>
    <cellStyle name="常规 5 5 5 3 2 2 3 2" xfId="10399"/>
    <cellStyle name="常规 5 5 5 3 2 2 4" xfId="11384"/>
    <cellStyle name="常规 5 5 5 3 2 2 5" xfId="11386"/>
    <cellStyle name="常规 5 5 5 3 2 3" xfId="11388"/>
    <cellStyle name="常规 5 5 5 3 2 3 2" xfId="11390"/>
    <cellStyle name="常规 5 5 5 3 2 3 2 2" xfId="10413"/>
    <cellStyle name="常规 5 5 5 3 2 3 3" xfId="11392"/>
    <cellStyle name="常规 5 5 5 3 2 3 4" xfId="11394"/>
    <cellStyle name="常规 5 5 5 3 2 4" xfId="11396"/>
    <cellStyle name="常规 5 5 5 3 2 4 2" xfId="9040"/>
    <cellStyle name="常规 5 5 5 3 2 5" xfId="11398"/>
    <cellStyle name="常规 5 5 5 3 2 6" xfId="11400"/>
    <cellStyle name="常规 5 5 5 3 3" xfId="27631"/>
    <cellStyle name="常规 5 5 5 3 3 2" xfId="11424"/>
    <cellStyle name="常规 5 5 5 3 3 2 2" xfId="11426"/>
    <cellStyle name="常规 5 5 5 3 3 2 2 2" xfId="11428"/>
    <cellStyle name="常规 5 5 5 3 3 2 3" xfId="11431"/>
    <cellStyle name="常规 5 5 5 3 3 2 4" xfId="11433"/>
    <cellStyle name="常规 5 5 5 3 3 3" xfId="11435"/>
    <cellStyle name="常规 5 5 5 3 3 3 2" xfId="11437"/>
    <cellStyle name="常规 5 5 5 3 3 4" xfId="11439"/>
    <cellStyle name="常规 5 5 5 3 3 5" xfId="11443"/>
    <cellStyle name="常规 5 5 5 3 4" xfId="33924"/>
    <cellStyle name="常规 5 5 5 3 4 2" xfId="11460"/>
    <cellStyle name="常规 5 5 5 3 4 2 2" xfId="5272"/>
    <cellStyle name="常规 5 5 5 3 4 3" xfId="11462"/>
    <cellStyle name="常规 5 5 5 3 4 4" xfId="11464"/>
    <cellStyle name="常规 5 5 5 3 5" xfId="33925"/>
    <cellStyle name="常规 5 5 5 3 5 2" xfId="11475"/>
    <cellStyle name="常规 5 5 5 3 6" xfId="33926"/>
    <cellStyle name="常规 5 5 5 3 7" xfId="33927"/>
    <cellStyle name="常规 5 5 5 4" xfId="8618"/>
    <cellStyle name="常规 5 5 5 4 2" xfId="28426"/>
    <cellStyle name="常规 5 5 5 4 2 2" xfId="11569"/>
    <cellStyle name="常规 5 5 5 4 2 2 2" xfId="11572"/>
    <cellStyle name="常规 5 5 5 4 2 2 2 2" xfId="11575"/>
    <cellStyle name="常规 5 5 5 4 2 2 3" xfId="11585"/>
    <cellStyle name="常规 5 5 5 4 2 2 4" xfId="11590"/>
    <cellStyle name="常规 5 5 5 4 2 3" xfId="11597"/>
    <cellStyle name="常规 5 5 5 4 2 3 2" xfId="11602"/>
    <cellStyle name="常规 5 5 5 4 2 4" xfId="11619"/>
    <cellStyle name="常规 5 5 5 4 2 5" xfId="11628"/>
    <cellStyle name="常规 5 5 5 4 3" xfId="28428"/>
    <cellStyle name="常规 5 5 5 4 3 2" xfId="11710"/>
    <cellStyle name="常规 5 5 5 4 3 2 2" xfId="11714"/>
    <cellStyle name="常规 5 5 5 4 3 3" xfId="11728"/>
    <cellStyle name="常规 5 5 5 4 3 4" xfId="11740"/>
    <cellStyle name="常规 5 5 5 4 4" xfId="28430"/>
    <cellStyle name="常规 5 5 5 4 4 2" xfId="11766"/>
    <cellStyle name="常规 5 5 5 4 5" xfId="28432"/>
    <cellStyle name="常规 5 5 5 4 6" xfId="25552"/>
    <cellStyle name="常规 5 5 5 5" xfId="28434"/>
    <cellStyle name="常规 5 5 5 5 2" xfId="28437"/>
    <cellStyle name="常规 5 5 5 5 2 2" xfId="11860"/>
    <cellStyle name="常规 5 5 5 5 2 2 2" xfId="11863"/>
    <cellStyle name="常规 5 5 5 5 2 3" xfId="11872"/>
    <cellStyle name="常规 5 5 5 5 2 4" xfId="11881"/>
    <cellStyle name="常规 5 5 5 5 3" xfId="28439"/>
    <cellStyle name="常规 5 5 5 5 3 2" xfId="11929"/>
    <cellStyle name="常规 5 5 5 5 4" xfId="17034"/>
    <cellStyle name="常规 5 5 5 5 5" xfId="17037"/>
    <cellStyle name="常规 5 5 5 6" xfId="28441"/>
    <cellStyle name="常规 5 5 5 6 2" xfId="28444"/>
    <cellStyle name="常规 5 5 5 6 2 2" xfId="12023"/>
    <cellStyle name="常规 5 5 5 6 3" xfId="28446"/>
    <cellStyle name="常规 5 5 5 6 4" xfId="9090"/>
    <cellStyle name="常规 5 5 5 7" xfId="28448"/>
    <cellStyle name="常规 5 5 5 7 2" xfId="28450"/>
    <cellStyle name="常规 5 5 5 8" xfId="28455"/>
    <cellStyle name="常规 5 5 5 9" xfId="28460"/>
    <cellStyle name="常规 5 5 6" xfId="8191"/>
    <cellStyle name="常规 5 5 6 2" xfId="8624"/>
    <cellStyle name="常规 5 5 6 2 2" xfId="33928"/>
    <cellStyle name="常规 5 5 6 2 2 2" xfId="33929"/>
    <cellStyle name="常规 5 5 6 2 2 2 2" xfId="24061"/>
    <cellStyle name="常规 5 5 6 2 2 2 2 2" xfId="33930"/>
    <cellStyle name="常规 5 5 6 2 2 2 2 2 2" xfId="33931"/>
    <cellStyle name="常规 5 5 6 2 2 2 2 3" xfId="33335"/>
    <cellStyle name="常规 5 5 6 2 2 2 2 4" xfId="33932"/>
    <cellStyle name="常规 5 5 6 2 2 2 3" xfId="24063"/>
    <cellStyle name="常规 5 5 6 2 2 2 3 2" xfId="33933"/>
    <cellStyle name="常规 5 5 6 2 2 2 4" xfId="33934"/>
    <cellStyle name="常规 5 5 6 2 2 2 5" xfId="33935"/>
    <cellStyle name="常规 5 5 6 2 2 3" xfId="33936"/>
    <cellStyle name="常规 5 5 6 2 2 3 2" xfId="31036"/>
    <cellStyle name="常规 5 5 6 2 2 3 2 2" xfId="31038"/>
    <cellStyle name="常规 5 5 6 2 2 3 3" xfId="31043"/>
    <cellStyle name="常规 5 5 6 2 2 3 4" xfId="31046"/>
    <cellStyle name="常规 5 5 6 2 2 4" xfId="33937"/>
    <cellStyle name="常规 5 5 6 2 2 4 2" xfId="31053"/>
    <cellStyle name="常规 5 5 6 2 2 5" xfId="33938"/>
    <cellStyle name="常规 5 5 6 2 2 6" xfId="33939"/>
    <cellStyle name="常规 5 5 6 2 3" xfId="33940"/>
    <cellStyle name="常规 5 5 6 2 3 2" xfId="33941"/>
    <cellStyle name="常规 5 5 6 2 3 2 2" xfId="33942"/>
    <cellStyle name="常规 5 5 6 2 3 2 2 2" xfId="33943"/>
    <cellStyle name="常规 5 5 6 2 3 2 3" xfId="33944"/>
    <cellStyle name="常规 5 5 6 2 3 2 4" xfId="33118"/>
    <cellStyle name="常规 5 5 6 2 3 3" xfId="33945"/>
    <cellStyle name="常规 5 5 6 2 3 3 2" xfId="31075"/>
    <cellStyle name="常规 5 5 6 2 3 4" xfId="33946"/>
    <cellStyle name="常规 5 5 6 2 3 5" xfId="33948"/>
    <cellStyle name="常规 5 5 6 2 4" xfId="33949"/>
    <cellStyle name="常规 5 5 6 2 4 2" xfId="33950"/>
    <cellStyle name="常规 5 5 6 2 4 2 2" xfId="33951"/>
    <cellStyle name="常规 5 5 6 2 4 3" xfId="33952"/>
    <cellStyle name="常规 5 5 6 2 4 4" xfId="33953"/>
    <cellStyle name="常规 5 5 6 2 5" xfId="5154"/>
    <cellStyle name="常规 5 5 6 2 5 2" xfId="5156"/>
    <cellStyle name="常规 5 5 6 2 6" xfId="5160"/>
    <cellStyle name="常规 5 5 6 2 7" xfId="5164"/>
    <cellStyle name="常规 5 5 6 3" xfId="8627"/>
    <cellStyle name="常规 5 5 6 3 2" xfId="33955"/>
    <cellStyle name="常规 5 5 6 3 2 2" xfId="12254"/>
    <cellStyle name="常规 5 5 6 3 2 2 2" xfId="12256"/>
    <cellStyle name="常规 5 5 6 3 2 2 2 2" xfId="12258"/>
    <cellStyle name="常规 5 5 6 3 2 2 3" xfId="159"/>
    <cellStyle name="常规 5 5 6 3 2 2 4" xfId="102"/>
    <cellStyle name="常规 5 5 6 3 2 3" xfId="12260"/>
    <cellStyle name="常规 5 5 6 3 2 3 2" xfId="12264"/>
    <cellStyle name="常规 5 5 6 3 2 4" xfId="12268"/>
    <cellStyle name="常规 5 5 6 3 2 5" xfId="12271"/>
    <cellStyle name="常规 5 5 6 3 3" xfId="33956"/>
    <cellStyle name="常规 5 5 6 3 3 2" xfId="12294"/>
    <cellStyle name="常规 5 5 6 3 3 2 2" xfId="12296"/>
    <cellStyle name="常规 5 5 6 3 3 3" xfId="12298"/>
    <cellStyle name="常规 5 5 6 3 3 4" xfId="12301"/>
    <cellStyle name="常规 5 5 6 3 4" xfId="33957"/>
    <cellStyle name="常规 5 5 6 3 4 2" xfId="12309"/>
    <cellStyle name="常规 5 5 6 3 5" xfId="3492"/>
    <cellStyle name="常规 5 5 6 3 6" xfId="5187"/>
    <cellStyle name="常规 5 5 6 4" xfId="28467"/>
    <cellStyle name="常规 5 5 6 4 2" xfId="28469"/>
    <cellStyle name="常规 5 5 6 4 2 2" xfId="12340"/>
    <cellStyle name="常规 5 5 6 4 2 2 2" xfId="12343"/>
    <cellStyle name="常规 5 5 6 4 2 3" xfId="12346"/>
    <cellStyle name="常规 5 5 6 4 2 4" xfId="12352"/>
    <cellStyle name="常规 5 5 6 4 3" xfId="28483"/>
    <cellStyle name="常规 5 5 6 4 3 2" xfId="12368"/>
    <cellStyle name="常规 5 5 6 4 4" xfId="28490"/>
    <cellStyle name="常规 5 5 6 4 5" xfId="5202"/>
    <cellStyle name="常规 5 5 6 5" xfId="28493"/>
    <cellStyle name="常规 5 5 6 5 2" xfId="28495"/>
    <cellStyle name="常规 5 5 6 5 2 2" xfId="12397"/>
    <cellStyle name="常规 5 5 6 5 3" xfId="28501"/>
    <cellStyle name="常规 5 5 6 5 4" xfId="17046"/>
    <cellStyle name="常规 5 5 6 6" xfId="28505"/>
    <cellStyle name="常规 5 5 6 6 2" xfId="28507"/>
    <cellStyle name="常规 5 5 6 7" xfId="28511"/>
    <cellStyle name="常规 5 5 6 8" xfId="28516"/>
    <cellStyle name="常规 5 5 7" xfId="8193"/>
    <cellStyle name="常规 5 5 7 2" xfId="33958"/>
    <cellStyle name="常规 5 5 7 2 2" xfId="33959"/>
    <cellStyle name="常规 5 5 7 2 2 2" xfId="33960"/>
    <cellStyle name="常规 5 5 7 2 2 2 2" xfId="33961"/>
    <cellStyle name="常规 5 5 7 2 2 2 2 2" xfId="10372"/>
    <cellStyle name="常规 5 5 7 2 2 2 3" xfId="33962"/>
    <cellStyle name="常规 5 5 7 2 2 2 4" xfId="33963"/>
    <cellStyle name="常规 5 5 7 2 2 3" xfId="33964"/>
    <cellStyle name="常规 5 5 7 2 2 3 2" xfId="31231"/>
    <cellStyle name="常规 5 5 7 2 2 4" xfId="33965"/>
    <cellStyle name="常规 5 5 7 2 2 5" xfId="33966"/>
    <cellStyle name="常规 5 5 7 2 3" xfId="33967"/>
    <cellStyle name="常规 5 5 7 2 3 2" xfId="32140"/>
    <cellStyle name="常规 5 5 7 2 3 2 2" xfId="32142"/>
    <cellStyle name="常规 5 5 7 2 3 3" xfId="32227"/>
    <cellStyle name="常规 5 5 7 2 3 4" xfId="32307"/>
    <cellStyle name="常规 5 5 7 2 4" xfId="33968"/>
    <cellStyle name="常规 5 5 7 2 4 2" xfId="32485"/>
    <cellStyle name="常规 5 5 7 2 5" xfId="5512"/>
    <cellStyle name="常规 5 5 7 2 6" xfId="16006"/>
    <cellStyle name="常规 5 5 7 3" xfId="3174"/>
    <cellStyle name="常规 5 5 7 3 2" xfId="33969"/>
    <cellStyle name="常规 5 5 7 3 2 2" xfId="12506"/>
    <cellStyle name="常规 5 5 7 3 2 2 2" xfId="12508"/>
    <cellStyle name="常规 5 5 7 3 2 3" xfId="12512"/>
    <cellStyle name="常规 5 5 7 3 2 4" xfId="12517"/>
    <cellStyle name="常规 5 5 7 3 3" xfId="33970"/>
    <cellStyle name="常规 5 5 7 3 3 2" xfId="12554"/>
    <cellStyle name="常规 5 5 7 3 4" xfId="18090"/>
    <cellStyle name="常规 5 5 7 3 5" xfId="16009"/>
    <cellStyle name="常规 5 5 7 4" xfId="28519"/>
    <cellStyle name="常规 5 5 7 4 2" xfId="28521"/>
    <cellStyle name="常规 5 5 7 4 2 2" xfId="6066"/>
    <cellStyle name="常规 5 5 7 4 3" xfId="28523"/>
    <cellStyle name="常规 5 5 7 4 4" xfId="28525"/>
    <cellStyle name="常规 5 5 7 5" xfId="28529"/>
    <cellStyle name="常规 5 5 7 5 2" xfId="28531"/>
    <cellStyle name="常规 5 5 7 6" xfId="28535"/>
    <cellStyle name="常规 5 5 7 7" xfId="28538"/>
    <cellStyle name="常规 5 5 8" xfId="33971"/>
    <cellStyle name="常规 5 5 8 2" xfId="33972"/>
    <cellStyle name="常规 5 5 8 2 2" xfId="33973"/>
    <cellStyle name="常规 5 5 8 2 2 2" xfId="33975"/>
    <cellStyle name="常规 5 5 8 2 2 2 2" xfId="33976"/>
    <cellStyle name="常规 5 5 8 2 2 3" xfId="33978"/>
    <cellStyle name="常规 5 5 8 2 2 4" xfId="33979"/>
    <cellStyle name="常规 5 5 8 2 3" xfId="33980"/>
    <cellStyle name="常规 5 5 8 2 3 2" xfId="33378"/>
    <cellStyle name="常规 5 5 8 2 4" xfId="33981"/>
    <cellStyle name="常规 5 5 8 2 5" xfId="5843"/>
    <cellStyle name="常规 5 5 8 3" xfId="33982"/>
    <cellStyle name="常规 5 5 8 3 2" xfId="33983"/>
    <cellStyle name="常规 5 5 8 3 2 2" xfId="12777"/>
    <cellStyle name="常规 5 5 8 3 3" xfId="33984"/>
    <cellStyle name="常规 5 5 8 3 4" xfId="33985"/>
    <cellStyle name="常规 5 5 8 4" xfId="28543"/>
    <cellStyle name="常规 5 5 8 4 2" xfId="28545"/>
    <cellStyle name="常规 5 5 8 5" xfId="28548"/>
    <cellStyle name="常规 5 5 8 6" xfId="28551"/>
    <cellStyle name="常规 5 5 9" xfId="33986"/>
    <cellStyle name="常规 5 5 9 2" xfId="33987"/>
    <cellStyle name="常规 5 5 9 2 2" xfId="33988"/>
    <cellStyle name="常规 5 5 9 2 2 2" xfId="33990"/>
    <cellStyle name="常规 5 5 9 2 3" xfId="33991"/>
    <cellStyle name="常规 5 5 9 2 4" xfId="33992"/>
    <cellStyle name="常规 5 5 9 3" xfId="33993"/>
    <cellStyle name="常规 5 5 9 3 2" xfId="21659"/>
    <cellStyle name="常规 5 5 9 4" xfId="28555"/>
    <cellStyle name="常规 5 5 9 5" xfId="28558"/>
    <cellStyle name="常规 5 6" xfId="28781"/>
    <cellStyle name="常规 5 6 10" xfId="33994"/>
    <cellStyle name="常规 5 6 10 2" xfId="33995"/>
    <cellStyle name="常规 5 6 11" xfId="33996"/>
    <cellStyle name="常规 5 6 12" xfId="33997"/>
    <cellStyle name="常规 5 6 2" xfId="29682"/>
    <cellStyle name="常规 5 6 2 10" xfId="33998"/>
    <cellStyle name="常规 5 6 2 11" xfId="33626"/>
    <cellStyle name="常规 5 6 2 2" xfId="33999"/>
    <cellStyle name="常规 5 6 2 2 2" xfId="34001"/>
    <cellStyle name="常规 5 6 2 2 2 2" xfId="34002"/>
    <cellStyle name="常规 5 6 2 2 2 2 2" xfId="19706"/>
    <cellStyle name="常规 5 6 2 2 2 2 2 2" xfId="19708"/>
    <cellStyle name="常规 5 6 2 2 2 2 2 2 2" xfId="19710"/>
    <cellStyle name="常规 5 6 2 2 2 2 2 2 2 2" xfId="30799"/>
    <cellStyle name="常规 5 6 2 2 2 2 2 2 2 2 2" xfId="11582"/>
    <cellStyle name="常规 5 6 2 2 2 2 2 2 2 3" xfId="34004"/>
    <cellStyle name="常规 5 6 2 2 2 2 2 2 2 4" xfId="31932"/>
    <cellStyle name="常规 5 6 2 2 2 2 2 2 3" xfId="34005"/>
    <cellStyle name="常规 5 6 2 2 2 2 2 2 3 2" xfId="30129"/>
    <cellStyle name="常规 5 6 2 2 2 2 2 2 4" xfId="33352"/>
    <cellStyle name="常规 5 6 2 2 2 2 2 2 5" xfId="30486"/>
    <cellStyle name="常规 5 6 2 2 2 2 2 3" xfId="19712"/>
    <cellStyle name="常规 5 6 2 2 2 2 2 3 2" xfId="32400"/>
    <cellStyle name="常规 5 6 2 2 2 2 2 3 2 2" xfId="10757"/>
    <cellStyle name="常规 5 6 2 2 2 2 2 3 3" xfId="31064"/>
    <cellStyle name="常规 5 6 2 2 2 2 2 3 4" xfId="31069"/>
    <cellStyle name="常规 5 6 2 2 2 2 2 4" xfId="19715"/>
    <cellStyle name="常规 5 6 2 2 2 2 2 4 2" xfId="32403"/>
    <cellStyle name="常规 5 6 2 2 2 2 2 5" xfId="32407"/>
    <cellStyle name="常规 5 6 2 2 2 2 2 6" xfId="6576"/>
    <cellStyle name="常规 5 6 2 2 2 2 3" xfId="19718"/>
    <cellStyle name="常规 5 6 2 2 2 2 3 2" xfId="19721"/>
    <cellStyle name="常规 5 6 2 2 2 2 3 2 2" xfId="11342"/>
    <cellStyle name="常规 5 6 2 2 2 2 3 2 2 2" xfId="27328"/>
    <cellStyle name="常规 5 6 2 2 2 2 3 2 3" xfId="34007"/>
    <cellStyle name="常规 5 6 2 2 2 2 3 2 4" xfId="34009"/>
    <cellStyle name="常规 5 6 2 2 2 2 3 3" xfId="19210"/>
    <cellStyle name="常规 5 6 2 2 2 2 3 3 2" xfId="19213"/>
    <cellStyle name="常规 5 6 2 2 2 2 3 4" xfId="19216"/>
    <cellStyle name="常规 5 6 2 2 2 2 3 5" xfId="19219"/>
    <cellStyle name="常规 5 6 2 2 2 2 4" xfId="4159"/>
    <cellStyle name="常规 5 6 2 2 2 2 4 2" xfId="7143"/>
    <cellStyle name="常规 5 6 2 2 2 2 4 2 2" xfId="34010"/>
    <cellStyle name="常规 5 6 2 2 2 2 4 3" xfId="19224"/>
    <cellStyle name="常规 5 6 2 2 2 2 4 4" xfId="32416"/>
    <cellStyle name="常规 5 6 2 2 2 2 5" xfId="28"/>
    <cellStyle name="常规 5 6 2 2 2 2 5 2" xfId="34011"/>
    <cellStyle name="常规 5 6 2 2 2 2 6" xfId="7147"/>
    <cellStyle name="常规 5 6 2 2 2 2 7" xfId="12726"/>
    <cellStyle name="常规 5 6 2 2 2 3" xfId="34012"/>
    <cellStyle name="常规 5 6 2 2 2 3 2" xfId="19733"/>
    <cellStyle name="常规 5 6 2 2 2 3 2 2" xfId="19735"/>
    <cellStyle name="常规 5 6 2 2 2 3 2 2 2" xfId="34013"/>
    <cellStyle name="常规 5 6 2 2 2 3 2 2 2 2" xfId="1872"/>
    <cellStyle name="常规 5 6 2 2 2 3 2 2 3" xfId="34014"/>
    <cellStyle name="常规 5 6 2 2 2 3 2 2 4" xfId="34015"/>
    <cellStyle name="常规 5 6 2 2 2 3 2 3" xfId="21896"/>
    <cellStyle name="常规 5 6 2 2 2 3 2 3 2" xfId="32420"/>
    <cellStyle name="常规 5 6 2 2 2 3 2 4" xfId="32424"/>
    <cellStyle name="常规 5 6 2 2 2 3 2 5" xfId="32427"/>
    <cellStyle name="常规 5 6 2 2 2 3 3" xfId="19737"/>
    <cellStyle name="常规 5 6 2 2 2 3 3 2" xfId="34016"/>
    <cellStyle name="常规 5 6 2 2 2 3 3 2 2" xfId="34017"/>
    <cellStyle name="常规 5 6 2 2 2 3 3 3" xfId="19235"/>
    <cellStyle name="常规 5 6 2 2 2 3 3 4" xfId="32430"/>
    <cellStyle name="常规 5 6 2 2 2 3 4" xfId="6226"/>
    <cellStyle name="常规 5 6 2 2 2 3 4 2" xfId="34018"/>
    <cellStyle name="常规 5 6 2 2 2 3 5" xfId="34019"/>
    <cellStyle name="常规 5 6 2 2 2 3 6" xfId="14487"/>
    <cellStyle name="常规 5 6 2 2 2 4" xfId="34020"/>
    <cellStyle name="常规 5 6 2 2 2 4 2" xfId="19740"/>
    <cellStyle name="常规 5 6 2 2 2 4 2 2" xfId="33723"/>
    <cellStyle name="常规 5 6 2 2 2 4 2 2 2" xfId="34021"/>
    <cellStyle name="常规 5 6 2 2 2 4 2 3" xfId="32434"/>
    <cellStyle name="常规 5 6 2 2 2 4 2 4" xfId="32436"/>
    <cellStyle name="常规 5 6 2 2 2 4 3" xfId="19742"/>
    <cellStyle name="常规 5 6 2 2 2 4 3 2" xfId="34022"/>
    <cellStyle name="常规 5 6 2 2 2 4 4" xfId="34023"/>
    <cellStyle name="常规 5 6 2 2 2 4 5" xfId="34024"/>
    <cellStyle name="常规 5 6 2 2 2 5" xfId="34025"/>
    <cellStyle name="常规 5 6 2 2 2 5 2" xfId="34026"/>
    <cellStyle name="常规 5 6 2 2 2 5 2 2" xfId="33801"/>
    <cellStyle name="常规 5 6 2 2 2 5 3" xfId="34027"/>
    <cellStyle name="常规 5 6 2 2 2 5 4" xfId="34028"/>
    <cellStyle name="常规 5 6 2 2 2 6" xfId="34029"/>
    <cellStyle name="常规 5 6 2 2 2 6 2" xfId="30666"/>
    <cellStyle name="常规 5 6 2 2 2 7" xfId="34030"/>
    <cellStyle name="常规 5 6 2 2 2 8" xfId="34031"/>
    <cellStyle name="常规 5 6 2 2 3" xfId="34033"/>
    <cellStyle name="常规 5 6 2 2 3 2" xfId="34034"/>
    <cellStyle name="常规 5 6 2 2 3 2 2" xfId="19758"/>
    <cellStyle name="常规 5 6 2 2 3 2 2 2" xfId="19760"/>
    <cellStyle name="常规 5 6 2 2 3 2 2 2 2" xfId="2853"/>
    <cellStyle name="常规 5 6 2 2 3 2 2 2 2 2" xfId="34035"/>
    <cellStyle name="常规 5 6 2 2 3 2 2 2 3" xfId="33128"/>
    <cellStyle name="常规 5 6 2 2 3 2 2 2 4" xfId="32166"/>
    <cellStyle name="常规 5 6 2 2 3 2 2 3" xfId="16632"/>
    <cellStyle name="常规 5 6 2 2 3 2 2 3 2" xfId="32443"/>
    <cellStyle name="常规 5 6 2 2 3 2 2 4" xfId="13531"/>
    <cellStyle name="常规 5 6 2 2 3 2 2 5" xfId="32447"/>
    <cellStyle name="常规 5 6 2 2 3 2 3" xfId="19762"/>
    <cellStyle name="常规 5 6 2 2 3 2 3 2" xfId="16671"/>
    <cellStyle name="常规 5 6 2 2 3 2 3 2 2" xfId="16138"/>
    <cellStyle name="常规 5 6 2 2 3 2 3 3" xfId="16673"/>
    <cellStyle name="常规 5 6 2 2 3 2 3 4" xfId="32450"/>
    <cellStyle name="常规 5 6 2 2 3 2 4" xfId="607"/>
    <cellStyle name="常规 5 6 2 2 3 2 4 2" xfId="32766"/>
    <cellStyle name="常规 5 6 2 2 3 2 5" xfId="34036"/>
    <cellStyle name="常规 5 6 2 2 3 2 6" xfId="29198"/>
    <cellStyle name="常规 5 6 2 2 3 3" xfId="34037"/>
    <cellStyle name="常规 5 6 2 2 3 3 2" xfId="19767"/>
    <cellStyle name="常规 5 6 2 2 3 3 2 2" xfId="34038"/>
    <cellStyle name="常规 5 6 2 2 3 3 2 2 2" xfId="34039"/>
    <cellStyle name="常规 5 6 2 2 3 3 2 3" xfId="32457"/>
    <cellStyle name="常规 5 6 2 2 3 3 2 4" xfId="32460"/>
    <cellStyle name="常规 5 6 2 2 3 3 3" xfId="19769"/>
    <cellStyle name="常规 5 6 2 2 3 3 3 2" xfId="34040"/>
    <cellStyle name="常规 5 6 2 2 3 3 4" xfId="34041"/>
    <cellStyle name="常规 5 6 2 2 3 3 5" xfId="34043"/>
    <cellStyle name="常规 5 6 2 2 3 4" xfId="34044"/>
    <cellStyle name="常规 5 6 2 2 3 4 2" xfId="3879"/>
    <cellStyle name="常规 5 6 2 2 3 4 2 2" xfId="33597"/>
    <cellStyle name="常规 5 6 2 2 3 4 3" xfId="34045"/>
    <cellStyle name="常规 5 6 2 2 3 4 4" xfId="34046"/>
    <cellStyle name="常规 5 6 2 2 3 5" xfId="34047"/>
    <cellStyle name="常规 5 6 2 2 3 5 2" xfId="31586"/>
    <cellStyle name="常规 5 6 2 2 3 6" xfId="34048"/>
    <cellStyle name="常规 5 6 2 2 3 7" xfId="34049"/>
    <cellStyle name="常规 5 6 2 2 4" xfId="34050"/>
    <cellStyle name="常规 5 6 2 2 4 2" xfId="34051"/>
    <cellStyle name="常规 5 6 2 2 4 2 2" xfId="19785"/>
    <cellStyle name="常规 5 6 2 2 4 2 2 2" xfId="34052"/>
    <cellStyle name="常规 5 6 2 2 4 2 2 2 2" xfId="34053"/>
    <cellStyle name="常规 5 6 2 2 4 2 2 3" xfId="32469"/>
    <cellStyle name="常规 5 6 2 2 4 2 2 4" xfId="32472"/>
    <cellStyle name="常规 5 6 2 2 4 2 3" xfId="19787"/>
    <cellStyle name="常规 5 6 2 2 4 2 3 2" xfId="18781"/>
    <cellStyle name="常规 5 6 2 2 4 2 4" xfId="34054"/>
    <cellStyle name="常规 5 6 2 2 4 2 5" xfId="34055"/>
    <cellStyle name="常规 5 6 2 2 4 3" xfId="34056"/>
    <cellStyle name="常规 5 6 2 2 4 3 2" xfId="34057"/>
    <cellStyle name="常规 5 6 2 2 4 3 2 2" xfId="34058"/>
    <cellStyle name="常规 5 6 2 2 4 3 3" xfId="34059"/>
    <cellStyle name="常规 5 6 2 2 4 3 4" xfId="34060"/>
    <cellStyle name="常规 5 6 2 2 4 4" xfId="34061"/>
    <cellStyle name="常规 5 6 2 2 4 4 2" xfId="34062"/>
    <cellStyle name="常规 5 6 2 2 4 5" xfId="34063"/>
    <cellStyle name="常规 5 6 2 2 4 6" xfId="34064"/>
    <cellStyle name="常规 5 6 2 2 5" xfId="34065"/>
    <cellStyle name="常规 5 6 2 2 5 2" xfId="29415"/>
    <cellStyle name="常规 5 6 2 2 5 2 2" xfId="29418"/>
    <cellStyle name="常规 5 6 2 2 5 2 2 2" xfId="4567"/>
    <cellStyle name="常规 5 6 2 2 5 2 3" xfId="34066"/>
    <cellStyle name="常规 5 6 2 2 5 2 4" xfId="34067"/>
    <cellStyle name="常规 5 6 2 2 5 3" xfId="29420"/>
    <cellStyle name="常规 5 6 2 2 5 3 2" xfId="34068"/>
    <cellStyle name="常规 5 6 2 2 5 4" xfId="29423"/>
    <cellStyle name="常规 5 6 2 2 5 5" xfId="34069"/>
    <cellStyle name="常规 5 6 2 2 6" xfId="34071"/>
    <cellStyle name="常规 5 6 2 2 6 2" xfId="34074"/>
    <cellStyle name="常规 5 6 2 2 6 2 2" xfId="34075"/>
    <cellStyle name="常规 5 6 2 2 6 3" xfId="34076"/>
    <cellStyle name="常规 5 6 2 2 6 4" xfId="34077"/>
    <cellStyle name="常规 5 6 2 2 7" xfId="34079"/>
    <cellStyle name="常规 5 6 2 2 7 2" xfId="34080"/>
    <cellStyle name="常规 5 6 2 2 8" xfId="34082"/>
    <cellStyle name="常规 5 6 2 2 9" xfId="34083"/>
    <cellStyle name="常规 5 6 2 3" xfId="34084"/>
    <cellStyle name="常规 5 6 2 3 2" xfId="34086"/>
    <cellStyle name="常规 5 6 2 3 2 2" xfId="34087"/>
    <cellStyle name="常规 5 6 2 3 2 2 2" xfId="19818"/>
    <cellStyle name="常规 5 6 2 3 2 2 2 2" xfId="19821"/>
    <cellStyle name="常规 5 6 2 3 2 2 2 2 2" xfId="11739"/>
    <cellStyle name="常规 5 6 2 3 2 2 2 2 2 2" xfId="13038"/>
    <cellStyle name="常规 5 6 2 3 2 2 2 2 2 2 2" xfId="13043"/>
    <cellStyle name="常规 5 6 2 3 2 2 2 2 2 3" xfId="30120"/>
    <cellStyle name="常规 5 6 2 3 2 2 2 2 2 4" xfId="30142"/>
    <cellStyle name="常规 5 6 2 3 2 2 2 2 3" xfId="11746"/>
    <cellStyle name="常规 5 6 2 3 2 2 2 2 3 2" xfId="14613"/>
    <cellStyle name="常规 5 6 2 3 2 2 2 2 4" xfId="29827"/>
    <cellStyle name="常规 5 6 2 3 2 2 2 2 5" xfId="29718"/>
    <cellStyle name="常规 5 6 2 3 2 2 2 3" xfId="32488"/>
    <cellStyle name="常规 5 6 2 3 2 2 2 3 2" xfId="11775"/>
    <cellStyle name="常规 5 6 2 3 2 2 2 3 2 2" xfId="30585"/>
    <cellStyle name="常规 5 6 2 3 2 2 2 3 3" xfId="29832"/>
    <cellStyle name="常规 5 6 2 3 2 2 2 3 4" xfId="30624"/>
    <cellStyle name="常规 5 6 2 3 2 2 2 4" xfId="32490"/>
    <cellStyle name="常规 5 6 2 3 2 2 2 4 2" xfId="30685"/>
    <cellStyle name="常规 5 6 2 3 2 2 2 5" xfId="32493"/>
    <cellStyle name="常规 5 6 2 3 2 2 2 6" xfId="25821"/>
    <cellStyle name="常规 5 6 2 3 2 2 3" xfId="19823"/>
    <cellStyle name="常规 5 6 2 3 2 2 3 2" xfId="34088"/>
    <cellStyle name="常规 5 6 2 3 2 2 3 2 2" xfId="11938"/>
    <cellStyle name="常规 5 6 2 3 2 2 3 2 2 2" xfId="17503"/>
    <cellStyle name="常规 5 6 2 3 2 2 3 2 3" xfId="29852"/>
    <cellStyle name="常规 5 6 2 3 2 2 3 2 4" xfId="31142"/>
    <cellStyle name="常规 5 6 2 3 2 2 3 3" xfId="19266"/>
    <cellStyle name="常规 5 6 2 3 2 2 3 3 2" xfId="31239"/>
    <cellStyle name="常规 5 6 2 3 2 2 3 4" xfId="32496"/>
    <cellStyle name="常规 5 6 2 3 2 2 3 5" xfId="32498"/>
    <cellStyle name="常规 5 6 2 3 2 2 4" xfId="8068"/>
    <cellStyle name="常规 5 6 2 3 2 2 4 2" xfId="34089"/>
    <cellStyle name="常规 5 6 2 3 2 2 4 2 2" xfId="31469"/>
    <cellStyle name="常规 5 6 2 3 2 2 4 3" xfId="32501"/>
    <cellStyle name="常规 5 6 2 3 2 2 4 4" xfId="32503"/>
    <cellStyle name="常规 5 6 2 3 2 2 5" xfId="34090"/>
    <cellStyle name="常规 5 6 2 3 2 2 5 2" xfId="34091"/>
    <cellStyle name="常规 5 6 2 3 2 2 6" xfId="29215"/>
    <cellStyle name="常规 5 6 2 3 2 2 7" xfId="29217"/>
    <cellStyle name="常规 5 6 2 3 2 3" xfId="34092"/>
    <cellStyle name="常规 5 6 2 3 2 3 2" xfId="19828"/>
    <cellStyle name="常规 5 6 2 3 2 3 2 2" xfId="34093"/>
    <cellStyle name="常规 5 6 2 3 2 3 2 2 2" xfId="28486"/>
    <cellStyle name="常规 5 6 2 3 2 3 2 2 2 2" xfId="34094"/>
    <cellStyle name="常规 5 6 2 3 2 3 2 2 3" xfId="29886"/>
    <cellStyle name="常规 5 6 2 3 2 3 2 2 4" xfId="34095"/>
    <cellStyle name="常规 5 6 2 3 2 3 2 3" xfId="32506"/>
    <cellStyle name="常规 5 6 2 3 2 3 2 3 2" xfId="32508"/>
    <cellStyle name="常规 5 6 2 3 2 3 2 4" xfId="32514"/>
    <cellStyle name="常规 5 6 2 3 2 3 2 5" xfId="32517"/>
    <cellStyle name="常规 5 6 2 3 2 3 3" xfId="19830"/>
    <cellStyle name="常规 5 6 2 3 2 3 3 2" xfId="34096"/>
    <cellStyle name="常规 5 6 2 3 2 3 3 2 2" xfId="34097"/>
    <cellStyle name="常规 5 6 2 3 2 3 3 3" xfId="32520"/>
    <cellStyle name="常规 5 6 2 3 2 3 3 4" xfId="32523"/>
    <cellStyle name="常规 5 6 2 3 2 3 4" xfId="34098"/>
    <cellStyle name="常规 5 6 2 3 2 3 4 2" xfId="34099"/>
    <cellStyle name="常规 5 6 2 3 2 3 5" xfId="34100"/>
    <cellStyle name="常规 5 6 2 3 2 3 6" xfId="14524"/>
    <cellStyle name="常规 5 6 2 3 2 4" xfId="34101"/>
    <cellStyle name="常规 5 6 2 3 2 4 2" xfId="34102"/>
    <cellStyle name="常规 5 6 2 3 2 4 2 2" xfId="34103"/>
    <cellStyle name="常规 5 6 2 3 2 4 2 2 2" xfId="33008"/>
    <cellStyle name="常规 5 6 2 3 2 4 2 3" xfId="32527"/>
    <cellStyle name="常规 5 6 2 3 2 4 2 4" xfId="32531"/>
    <cellStyle name="常规 5 6 2 3 2 4 3" xfId="34104"/>
    <cellStyle name="常规 5 6 2 3 2 4 3 2" xfId="34105"/>
    <cellStyle name="常规 5 6 2 3 2 4 4" xfId="34106"/>
    <cellStyle name="常规 5 6 2 3 2 4 5" xfId="34107"/>
    <cellStyle name="常规 5 6 2 3 2 5" xfId="33244"/>
    <cellStyle name="常规 5 6 2 3 2 5 2" xfId="33246"/>
    <cellStyle name="常规 5 6 2 3 2 5 2 2" xfId="33248"/>
    <cellStyle name="常规 5 6 2 3 2 5 3" xfId="33250"/>
    <cellStyle name="常规 5 6 2 3 2 5 4" xfId="33252"/>
    <cellStyle name="常规 5 6 2 3 2 6" xfId="33254"/>
    <cellStyle name="常规 5 6 2 3 2 6 2" xfId="28657"/>
    <cellStyle name="常规 5 6 2 3 2 7" xfId="33256"/>
    <cellStyle name="常规 5 6 2 3 2 8" xfId="33258"/>
    <cellStyle name="常规 5 6 2 3 3" xfId="34108"/>
    <cellStyle name="常规 5 6 2 3 3 2" xfId="34109"/>
    <cellStyle name="常规 5 6 2 3 3 2 2" xfId="19848"/>
    <cellStyle name="常规 5 6 2 3 3 2 2 2" xfId="22390"/>
    <cellStyle name="常规 5 6 2 3 3 2 2 2 2" xfId="29042"/>
    <cellStyle name="常规 5 6 2 3 3 2 2 2 2 2" xfId="29983"/>
    <cellStyle name="常规 5 6 2 3 3 2 2 2 3" xfId="29986"/>
    <cellStyle name="常规 5 6 2 3 3 2 2 2 4" xfId="29989"/>
    <cellStyle name="常规 5 6 2 3 3 2 2 3" xfId="32540"/>
    <cellStyle name="常规 5 6 2 3 3 2 2 3 2" xfId="29995"/>
    <cellStyle name="常规 5 6 2 3 3 2 2 4" xfId="32544"/>
    <cellStyle name="常规 5 6 2 3 3 2 2 5" xfId="16462"/>
    <cellStyle name="常规 5 6 2 3 3 2 3" xfId="19851"/>
    <cellStyle name="常规 5 6 2 3 3 2 3 2" xfId="16792"/>
    <cellStyle name="常规 5 6 2 3 3 2 3 2 2" xfId="30010"/>
    <cellStyle name="常规 5 6 2 3 3 2 3 3" xfId="16794"/>
    <cellStyle name="常规 5 6 2 3 3 2 3 4" xfId="14109"/>
    <cellStyle name="常规 5 6 2 3 3 2 4" xfId="19456"/>
    <cellStyle name="常规 5 6 2 3 3 2 4 2" xfId="14701"/>
    <cellStyle name="常规 5 6 2 3 3 2 5" xfId="34110"/>
    <cellStyle name="常规 5 6 2 3 3 2 6" xfId="29221"/>
    <cellStyle name="常规 5 6 2 3 3 3" xfId="34111"/>
    <cellStyle name="常规 5 6 2 3 3 3 2" xfId="24455"/>
    <cellStyle name="常规 5 6 2 3 3 3 2 2" xfId="34112"/>
    <cellStyle name="常规 5 6 2 3 3 3 2 2 2" xfId="30034"/>
    <cellStyle name="常规 5 6 2 3 3 3 2 3" xfId="32551"/>
    <cellStyle name="常规 5 6 2 3 3 3 2 4" xfId="32553"/>
    <cellStyle name="常规 5 6 2 3 3 3 3" xfId="34113"/>
    <cellStyle name="常规 5 6 2 3 3 3 3 2" xfId="34114"/>
    <cellStyle name="常规 5 6 2 3 3 3 4" xfId="34115"/>
    <cellStyle name="常规 5 6 2 3 3 3 5" xfId="34117"/>
    <cellStyle name="常规 5 6 2 3 3 4" xfId="24424"/>
    <cellStyle name="常规 5 6 2 3 3 4 2" xfId="34118"/>
    <cellStyle name="常规 5 6 2 3 3 4 2 2" xfId="33620"/>
    <cellStyle name="常规 5 6 2 3 3 4 3" xfId="34119"/>
    <cellStyle name="常规 5 6 2 3 3 4 4" xfId="34120"/>
    <cellStyle name="常规 5 6 2 3 3 5" xfId="24427"/>
    <cellStyle name="常规 5 6 2 3 3 5 2" xfId="31609"/>
    <cellStyle name="常规 5 6 2 3 3 6" xfId="33261"/>
    <cellStyle name="常规 5 6 2 3 3 7" xfId="33264"/>
    <cellStyle name="常规 5 6 2 3 4" xfId="34121"/>
    <cellStyle name="常规 5 6 2 3 4 2" xfId="34122"/>
    <cellStyle name="常规 5 6 2 3 4 2 2" xfId="34124"/>
    <cellStyle name="常规 5 6 2 3 4 2 2 2" xfId="34126"/>
    <cellStyle name="常规 5 6 2 3 4 2 2 2 2" xfId="30096"/>
    <cellStyle name="常规 5 6 2 3 4 2 2 3" xfId="32570"/>
    <cellStyle name="常规 5 6 2 3 4 2 2 4" xfId="29246"/>
    <cellStyle name="常规 5 6 2 3 4 2 3" xfId="34128"/>
    <cellStyle name="常规 5 6 2 3 4 2 3 2" xfId="34130"/>
    <cellStyle name="常规 5 6 2 3 4 2 4" xfId="34132"/>
    <cellStyle name="常规 5 6 2 3 4 2 5" xfId="34134"/>
    <cellStyle name="常规 5 6 2 3 4 3" xfId="34135"/>
    <cellStyle name="常规 5 6 2 3 4 3 2" xfId="34137"/>
    <cellStyle name="常规 5 6 2 3 4 3 2 2" xfId="34139"/>
    <cellStyle name="常规 5 6 2 3 4 3 3" xfId="34141"/>
    <cellStyle name="常规 5 6 2 3 4 3 4" xfId="34143"/>
    <cellStyle name="常规 5 6 2 3 4 4" xfId="24431"/>
    <cellStyle name="常规 5 6 2 3 4 4 2" xfId="34144"/>
    <cellStyle name="常规 5 6 2 3 4 5" xfId="24433"/>
    <cellStyle name="常规 5 6 2 3 4 6" xfId="34145"/>
    <cellStyle name="常规 5 6 2 3 5" xfId="34146"/>
    <cellStyle name="常规 5 6 2 3 5 2" xfId="34147"/>
    <cellStyle name="常规 5 6 2 3 5 2 2" xfId="34148"/>
    <cellStyle name="常规 5 6 2 3 5 2 2 2" xfId="34149"/>
    <cellStyle name="常规 5 6 2 3 5 2 3" xfId="34150"/>
    <cellStyle name="常规 5 6 2 3 5 2 4" xfId="33855"/>
    <cellStyle name="常规 5 6 2 3 5 3" xfId="34151"/>
    <cellStyle name="常规 5 6 2 3 5 3 2" xfId="34152"/>
    <cellStyle name="常规 5 6 2 3 5 4" xfId="34153"/>
    <cellStyle name="常规 5 6 2 3 5 5" xfId="34154"/>
    <cellStyle name="常规 5 6 2 3 6" xfId="34156"/>
    <cellStyle name="常规 5 6 2 3 6 2" xfId="34157"/>
    <cellStyle name="常规 5 6 2 3 6 2 2" xfId="34158"/>
    <cellStyle name="常规 5 6 2 3 6 3" xfId="34159"/>
    <cellStyle name="常规 5 6 2 3 6 4" xfId="34160"/>
    <cellStyle name="常规 5 6 2 3 7" xfId="34161"/>
    <cellStyle name="常规 5 6 2 3 7 2" xfId="34162"/>
    <cellStyle name="常规 5 6 2 3 8" xfId="34163"/>
    <cellStyle name="常规 5 6 2 3 9" xfId="34164"/>
    <cellStyle name="常规 5 6 2 4" xfId="28562"/>
    <cellStyle name="常规 5 6 2 4 2" xfId="28564"/>
    <cellStyle name="常规 5 6 2 4 2 2" xfId="28566"/>
    <cellStyle name="常规 5 6 2 4 2 2 2" xfId="19886"/>
    <cellStyle name="常规 5 6 2 4 2 2 2 2" xfId="28568"/>
    <cellStyle name="常规 5 6 2 4 2 2 2 2 2" xfId="23986"/>
    <cellStyle name="常规 5 6 2 4 2 2 2 2 2 2" xfId="23992"/>
    <cellStyle name="常规 5 6 2 4 2 2 2 2 3" xfId="23996"/>
    <cellStyle name="常规 5 6 2 4 2 2 2 2 4" xfId="24000"/>
    <cellStyle name="常规 5 6 2 4 2 2 2 3" xfId="28571"/>
    <cellStyle name="常规 5 6 2 4 2 2 2 3 2" xfId="24015"/>
    <cellStyle name="常规 5 6 2 4 2 2 2 4" xfId="5100"/>
    <cellStyle name="常规 5 6 2 4 2 2 2 5" xfId="17170"/>
    <cellStyle name="常规 5 6 2 4 2 2 3" xfId="19892"/>
    <cellStyle name="常规 5 6 2 4 2 2 3 2" xfId="28576"/>
    <cellStyle name="常规 5 6 2 4 2 2 3 2 2" xfId="24184"/>
    <cellStyle name="常规 5 6 2 4 2 2 3 3" xfId="28579"/>
    <cellStyle name="常规 5 6 2 4 2 2 3 4" xfId="28582"/>
    <cellStyle name="常规 5 6 2 4 2 2 4" xfId="28586"/>
    <cellStyle name="常规 5 6 2 4 2 2 4 2" xfId="5952"/>
    <cellStyle name="常规 5 6 2 4 2 2 5" xfId="28591"/>
    <cellStyle name="常规 5 6 2 4 2 2 6" xfId="28595"/>
    <cellStyle name="常规 5 6 2 4 2 3" xfId="28599"/>
    <cellStyle name="常规 5 6 2 4 2 3 2" xfId="21794"/>
    <cellStyle name="常规 5 6 2 4 2 3 2 2" xfId="28601"/>
    <cellStyle name="常规 5 6 2 4 2 3 2 2 2" xfId="28604"/>
    <cellStyle name="常规 5 6 2 4 2 3 2 3" xfId="28609"/>
    <cellStyle name="常规 5 6 2 4 2 3 2 4" xfId="28613"/>
    <cellStyle name="常规 5 6 2 4 2 3 3" xfId="28618"/>
    <cellStyle name="常规 5 6 2 4 2 3 3 2" xfId="28621"/>
    <cellStyle name="常规 5 6 2 4 2 3 4" xfId="28624"/>
    <cellStyle name="常规 5 6 2 4 2 3 5" xfId="28628"/>
    <cellStyle name="常规 5 6 2 4 2 4" xfId="28631"/>
    <cellStyle name="常规 5 6 2 4 2 4 2" xfId="28633"/>
    <cellStyle name="常规 5 6 2 4 2 4 2 2" xfId="28636"/>
    <cellStyle name="常规 5 6 2 4 2 4 3" xfId="28639"/>
    <cellStyle name="常规 5 6 2 4 2 4 4" xfId="28642"/>
    <cellStyle name="常规 5 6 2 4 2 5" xfId="28645"/>
    <cellStyle name="常规 5 6 2 4 2 5 2" xfId="28648"/>
    <cellStyle name="常规 5 6 2 4 2 6" xfId="28652"/>
    <cellStyle name="常规 5 6 2 4 2 7" xfId="28656"/>
    <cellStyle name="常规 5 6 2 4 3" xfId="28662"/>
    <cellStyle name="常规 5 6 2 4 3 2" xfId="28664"/>
    <cellStyle name="常规 5 6 2 4 3 2 2" xfId="21829"/>
    <cellStyle name="常规 5 6 2 4 3 2 2 2" xfId="28666"/>
    <cellStyle name="常规 5 6 2 4 3 2 2 2 2" xfId="28669"/>
    <cellStyle name="常规 5 6 2 4 3 2 2 3" xfId="28672"/>
    <cellStyle name="常规 5 6 2 4 3 2 2 4" xfId="28675"/>
    <cellStyle name="常规 5 6 2 4 3 2 3" xfId="28679"/>
    <cellStyle name="常规 5 6 2 4 3 2 3 2" xfId="28682"/>
    <cellStyle name="常规 5 6 2 4 3 2 4" xfId="28684"/>
    <cellStyle name="常规 5 6 2 4 3 2 5" xfId="28688"/>
    <cellStyle name="常规 5 6 2 4 3 3" xfId="28690"/>
    <cellStyle name="常规 5 6 2 4 3 3 2" xfId="28692"/>
    <cellStyle name="常规 5 6 2 4 3 3 2 2" xfId="28695"/>
    <cellStyle name="常规 5 6 2 4 3 3 3" xfId="28697"/>
    <cellStyle name="常规 5 6 2 4 3 3 4" xfId="28700"/>
    <cellStyle name="常规 5 6 2 4 3 4" xfId="28702"/>
    <cellStyle name="常规 5 6 2 4 3 4 2" xfId="28704"/>
    <cellStyle name="常规 5 6 2 4 3 5" xfId="28707"/>
    <cellStyle name="常规 5 6 2 4 3 6" xfId="28710"/>
    <cellStyle name="常规 5 6 2 4 4" xfId="28713"/>
    <cellStyle name="常规 5 6 2 4 4 2" xfId="28715"/>
    <cellStyle name="常规 5 6 2 4 4 2 2" xfId="28717"/>
    <cellStyle name="常规 5 6 2 4 4 2 2 2" xfId="28720"/>
    <cellStyle name="常规 5 6 2 4 4 2 3" xfId="28723"/>
    <cellStyle name="常规 5 6 2 4 4 2 4" xfId="28726"/>
    <cellStyle name="常规 5 6 2 4 4 3" xfId="28729"/>
    <cellStyle name="常规 5 6 2 4 4 3 2" xfId="28731"/>
    <cellStyle name="常规 5 6 2 4 4 4" xfId="28734"/>
    <cellStyle name="常规 5 6 2 4 4 5" xfId="28736"/>
    <cellStyle name="常规 5 6 2 4 5" xfId="28738"/>
    <cellStyle name="常规 5 6 2 4 5 2" xfId="28741"/>
    <cellStyle name="常规 5 6 2 4 5 2 2" xfId="28744"/>
    <cellStyle name="常规 5 6 2 4 5 3" xfId="28748"/>
    <cellStyle name="常规 5 6 2 4 5 4" xfId="28751"/>
    <cellStyle name="常规 5 6 2 4 6" xfId="25570"/>
    <cellStyle name="常规 5 6 2 4 6 2" xfId="25575"/>
    <cellStyle name="常规 5 6 2 4 7" xfId="25606"/>
    <cellStyle name="常规 5 6 2 4 8" xfId="25620"/>
    <cellStyle name="常规 5 6 2 5" xfId="28753"/>
    <cellStyle name="常规 5 6 2 5 2" xfId="28755"/>
    <cellStyle name="常规 5 6 2 5 2 2" xfId="28757"/>
    <cellStyle name="常规 5 6 2 5 2 2 2" xfId="21903"/>
    <cellStyle name="常规 5 6 2 5 2 2 2 2" xfId="28759"/>
    <cellStyle name="常规 5 6 2 5 2 2 2 2 2" xfId="28762"/>
    <cellStyle name="常规 5 6 2 5 2 2 2 3" xfId="591"/>
    <cellStyle name="常规 5 6 2 5 2 2 2 4" xfId="19779"/>
    <cellStyle name="常规 5 6 2 5 2 2 3" xfId="28766"/>
    <cellStyle name="常规 5 6 2 5 2 2 3 2" xfId="28769"/>
    <cellStyle name="常规 5 6 2 5 2 2 4" xfId="28771"/>
    <cellStyle name="常规 5 6 2 5 2 2 5" xfId="28775"/>
    <cellStyle name="常规 5 6 2 5 2 3" xfId="28777"/>
    <cellStyle name="常规 5 6 2 5 2 3 2" xfId="16643"/>
    <cellStyle name="常规 5 6 2 5 2 3 2 2" xfId="28780"/>
    <cellStyle name="常规 5 6 2 5 2 3 3" xfId="16647"/>
    <cellStyle name="常规 5 6 2 5 2 3 4" xfId="28783"/>
    <cellStyle name="常规 5 6 2 5 2 4" xfId="28785"/>
    <cellStyle name="常规 5 6 2 5 2 4 2" xfId="28787"/>
    <cellStyle name="常规 5 6 2 5 2 5" xfId="27539"/>
    <cellStyle name="常规 5 6 2 5 2 6" xfId="27544"/>
    <cellStyle name="常规 5 6 2 5 3" xfId="28790"/>
    <cellStyle name="常规 5 6 2 5 3 2" xfId="28792"/>
    <cellStyle name="常规 5 6 2 5 3 2 2" xfId="28794"/>
    <cellStyle name="常规 5 6 2 5 3 2 2 2" xfId="93"/>
    <cellStyle name="常规 5 6 2 5 3 2 3" xfId="28797"/>
    <cellStyle name="常规 5 6 2 5 3 2 4" xfId="1752"/>
    <cellStyle name="常规 5 6 2 5 3 3" xfId="28800"/>
    <cellStyle name="常规 5 6 2 5 3 3 2" xfId="1679"/>
    <cellStyle name="常规 5 6 2 5 3 4" xfId="28802"/>
    <cellStyle name="常规 5 6 2 5 3 5" xfId="27555"/>
    <cellStyle name="常规 5 6 2 5 4" xfId="28804"/>
    <cellStyle name="常规 5 6 2 5 4 2" xfId="28806"/>
    <cellStyle name="常规 5 6 2 5 4 2 2" xfId="28809"/>
    <cellStyle name="常规 5 6 2 5 4 3" xfId="28812"/>
    <cellStyle name="常规 5 6 2 5 4 4" xfId="28814"/>
    <cellStyle name="常规 5 6 2 5 5" xfId="28816"/>
    <cellStyle name="常规 5 6 2 5 5 2" xfId="28818"/>
    <cellStyle name="常规 5 6 2 5 6" xfId="25642"/>
    <cellStyle name="常规 5 6 2 5 7" xfId="25670"/>
    <cellStyle name="常规 5 6 2 6" xfId="28820"/>
    <cellStyle name="常规 5 6 2 6 2" xfId="28822"/>
    <cellStyle name="常规 5 6 2 6 2 2" xfId="28824"/>
    <cellStyle name="常规 5 6 2 6 2 2 2" xfId="24727"/>
    <cellStyle name="常规 5 6 2 6 2 2 2 2" xfId="20581"/>
    <cellStyle name="常规 5 6 2 6 2 2 3" xfId="24733"/>
    <cellStyle name="常规 5 6 2 6 2 2 4" xfId="24736"/>
    <cellStyle name="常规 5 6 2 6 2 3" xfId="28826"/>
    <cellStyle name="常规 5 6 2 6 2 3 2" xfId="24813"/>
    <cellStyle name="常规 5 6 2 6 2 4" xfId="8444"/>
    <cellStyle name="常规 5 6 2 6 2 5" xfId="8452"/>
    <cellStyle name="常规 5 6 2 6 3" xfId="28828"/>
    <cellStyle name="常规 5 6 2 6 3 2" xfId="28830"/>
    <cellStyle name="常规 5 6 2 6 3 2 2" xfId="24980"/>
    <cellStyle name="常规 5 6 2 6 3 3" xfId="28832"/>
    <cellStyle name="常规 5 6 2 6 3 4" xfId="8113"/>
    <cellStyle name="常规 5 6 2 6 4" xfId="28834"/>
    <cellStyle name="常规 5 6 2 6 4 2" xfId="28836"/>
    <cellStyle name="常规 5 6 2 6 5" xfId="28838"/>
    <cellStyle name="常规 5 6 2 6 6" xfId="25690"/>
    <cellStyle name="常规 5 6 2 7" xfId="28840"/>
    <cellStyle name="常规 5 6 2 7 2" xfId="28842"/>
    <cellStyle name="常规 5 6 2 7 2 2" xfId="28844"/>
    <cellStyle name="常规 5 6 2 7 2 2 2" xfId="25352"/>
    <cellStyle name="常规 5 6 2 7 2 3" xfId="28846"/>
    <cellStyle name="常规 5 6 2 7 2 4" xfId="8468"/>
    <cellStyle name="常规 5 6 2 7 3" xfId="28848"/>
    <cellStyle name="常规 5 6 2 7 3 2" xfId="28851"/>
    <cellStyle name="常规 5 6 2 7 4" xfId="28853"/>
    <cellStyle name="常规 5 6 2 7 5" xfId="18344"/>
    <cellStyle name="常规 5 6 2 8" xfId="28856"/>
    <cellStyle name="常规 5 6 2 8 2" xfId="28858"/>
    <cellStyle name="常规 5 6 2 8 2 2" xfId="28860"/>
    <cellStyle name="常规 5 6 2 8 3" xfId="14397"/>
    <cellStyle name="常规 5 6 2 8 4" xfId="14403"/>
    <cellStyle name="常规 5 6 2 9" xfId="28862"/>
    <cellStyle name="常规 5 6 2 9 2" xfId="28865"/>
    <cellStyle name="常规 5 6 3" xfId="29684"/>
    <cellStyle name="常规 5 6 3 2" xfId="22068"/>
    <cellStyle name="常规 5 6 3 2 2" xfId="12952"/>
    <cellStyle name="常规 5 6 3 2 2 2" xfId="34165"/>
    <cellStyle name="常规 5 6 3 2 2 2 2" xfId="34166"/>
    <cellStyle name="常规 5 6 3 2 2 2 2 2" xfId="27355"/>
    <cellStyle name="常规 5 6 3 2 2 2 2 2 2" xfId="27358"/>
    <cellStyle name="常规 5 6 3 2 2 2 2 2 2 2" xfId="34167"/>
    <cellStyle name="常规 5 6 3 2 2 2 2 2 3" xfId="29592"/>
    <cellStyle name="常规 5 6 3 2 2 2 2 2 4" xfId="29595"/>
    <cellStyle name="常规 5 6 3 2 2 2 2 3" xfId="24594"/>
    <cellStyle name="常规 5 6 3 2 2 2 2 3 2" xfId="24601"/>
    <cellStyle name="常规 5 6 3 2 2 2 2 4" xfId="24618"/>
    <cellStyle name="常规 5 6 3 2 2 2 2 5" xfId="24628"/>
    <cellStyle name="常规 5 6 3 2 2 2 3" xfId="23046"/>
    <cellStyle name="常规 5 6 3 2 2 2 3 2" xfId="27398"/>
    <cellStyle name="常规 5 6 3 2 2 2 3 2 2" xfId="34168"/>
    <cellStyle name="常规 5 6 3 2 2 2 3 3" xfId="19332"/>
    <cellStyle name="常规 5 6 3 2 2 2 3 4" xfId="24641"/>
    <cellStyle name="常规 5 6 3 2 2 2 4" xfId="34169"/>
    <cellStyle name="常规 5 6 3 2 2 2 4 2" xfId="27425"/>
    <cellStyle name="常规 5 6 3 2 2 2 5" xfId="34170"/>
    <cellStyle name="常规 5 6 3 2 2 2 6" xfId="29252"/>
    <cellStyle name="常规 5 6 3 2 2 3" xfId="33062"/>
    <cellStyle name="常规 5 6 3 2 2 3 2" xfId="1524"/>
    <cellStyle name="常规 5 6 3 2 2 3 2 2" xfId="27493"/>
    <cellStyle name="常规 5 6 3 2 2 3 2 2 2" xfId="34171"/>
    <cellStyle name="常规 5 6 3 2 2 3 2 3" xfId="24669"/>
    <cellStyle name="常规 5 6 3 2 2 3 2 4" xfId="24682"/>
    <cellStyle name="常规 5 6 3 2 2 3 3" xfId="186"/>
    <cellStyle name="常规 5 6 3 2 2 3 3 2" xfId="3791"/>
    <cellStyle name="常规 5 6 3 2 2 3 4" xfId="34172"/>
    <cellStyle name="常规 5 6 3 2 2 3 5" xfId="34173"/>
    <cellStyle name="常规 5 6 3 2 2 4" xfId="34174"/>
    <cellStyle name="常规 5 6 3 2 2 4 2" xfId="34175"/>
    <cellStyle name="常规 5 6 3 2 2 4 2 2" xfId="27560"/>
    <cellStyle name="常规 5 6 3 2 2 4 3" xfId="34176"/>
    <cellStyle name="常规 5 6 3 2 2 4 4" xfId="34177"/>
    <cellStyle name="常规 5 6 3 2 2 5" xfId="34178"/>
    <cellStyle name="常规 5 6 3 2 2 5 2" xfId="34179"/>
    <cellStyle name="常规 5 6 3 2 2 6" xfId="34180"/>
    <cellStyle name="常规 5 6 3 2 2 7" xfId="34181"/>
    <cellStyle name="常规 5 6 3 2 3" xfId="12956"/>
    <cellStyle name="常规 5 6 3 2 3 2" xfId="21700"/>
    <cellStyle name="常规 5 6 3 2 3 2 2" xfId="5197"/>
    <cellStyle name="常规 5 6 3 2 3 2 2 2" xfId="5201"/>
    <cellStyle name="常规 5 6 3 2 3 2 2 2 2" xfId="33902"/>
    <cellStyle name="常规 5 6 3 2 3 2 2 3" xfId="24751"/>
    <cellStyle name="常规 5 6 3 2 3 2 2 4" xfId="6569"/>
    <cellStyle name="常规 5 6 3 2 3 2 3" xfId="21702"/>
    <cellStyle name="常规 5 6 3 2 3 2 3 2" xfId="28503"/>
    <cellStyle name="常规 5 6 3 2 3 2 4" xfId="21704"/>
    <cellStyle name="常规 5 6 3 2 3 2 5" xfId="34182"/>
    <cellStyle name="常规 5 6 3 2 3 3" xfId="21706"/>
    <cellStyle name="常规 5 6 3 2 3 3 2" xfId="5518"/>
    <cellStyle name="常规 5 6 3 2 3 3 2 2" xfId="28527"/>
    <cellStyle name="常规 5 6 3 2 3 3 3" xfId="16011"/>
    <cellStyle name="常规 5 6 3 2 3 3 4" xfId="34183"/>
    <cellStyle name="常规 5 6 3 2 3 4" xfId="21708"/>
    <cellStyle name="常规 5 6 3 2 3 4 2" xfId="5848"/>
    <cellStyle name="常规 5 6 3 2 3 5" xfId="21710"/>
    <cellStyle name="常规 5 6 3 2 3 6" xfId="34184"/>
    <cellStyle name="常规 5 6 3 2 4" xfId="21712"/>
    <cellStyle name="常规 5 6 3 2 4 2" xfId="21714"/>
    <cellStyle name="常规 5 6 3 2 4 2 2" xfId="2503"/>
    <cellStyle name="常规 5 6 3 2 4 2 2 2" xfId="9255"/>
    <cellStyle name="常规 5 6 3 2 4 2 3" xfId="9367"/>
    <cellStyle name="常规 5 6 3 2 4 2 4" xfId="9433"/>
    <cellStyle name="常规 5 6 3 2 4 3" xfId="21716"/>
    <cellStyle name="常规 5 6 3 2 4 3 2" xfId="6565"/>
    <cellStyle name="常规 5 6 3 2 4 4" xfId="21718"/>
    <cellStyle name="常规 5 6 3 2 4 5" xfId="34185"/>
    <cellStyle name="常规 5 6 3 2 5" xfId="21720"/>
    <cellStyle name="常规 5 6 3 2 5 2" xfId="21722"/>
    <cellStyle name="常规 5 6 3 2 5 2 2" xfId="34186"/>
    <cellStyle name="常规 5 6 3 2 5 3" xfId="34187"/>
    <cellStyle name="常规 5 6 3 2 5 4" xfId="34188"/>
    <cellStyle name="常规 5 6 3 2 6" xfId="21725"/>
    <cellStyle name="常规 5 6 3 2 6 2" xfId="34189"/>
    <cellStyle name="常规 5 6 3 2 7" xfId="21727"/>
    <cellStyle name="常规 5 6 3 2 8" xfId="34190"/>
    <cellStyle name="常规 5 6 3 3" xfId="34192"/>
    <cellStyle name="常规 5 6 3 3 2" xfId="5806"/>
    <cellStyle name="常规 5 6 3 3 2 2" xfId="34194"/>
    <cellStyle name="常规 5 6 3 3 2 2 2" xfId="34196"/>
    <cellStyle name="常规 5 6 3 3 2 2 2 2" xfId="34197"/>
    <cellStyle name="常规 5 6 3 3 2 2 2 2 2" xfId="30960"/>
    <cellStyle name="常规 5 6 3 3 2 2 2 3" xfId="24900"/>
    <cellStyle name="常规 5 6 3 3 2 2 2 4" xfId="3559"/>
    <cellStyle name="常规 5 6 3 3 2 2 3" xfId="34198"/>
    <cellStyle name="常规 5 6 3 3 2 2 3 2" xfId="34199"/>
    <cellStyle name="常规 5 6 3 3 2 2 4" xfId="7449"/>
    <cellStyle name="常规 5 6 3 3 2 2 5" xfId="34200"/>
    <cellStyle name="常规 5 6 3 3 2 3" xfId="34202"/>
    <cellStyle name="常规 5 6 3 3 2 3 2" xfId="817"/>
    <cellStyle name="常规 5 6 3 3 2 3 2 2" xfId="34203"/>
    <cellStyle name="常规 5 6 3 3 2 3 3" xfId="1532"/>
    <cellStyle name="常规 5 6 3 3 2 3 4" xfId="34204"/>
    <cellStyle name="常规 5 6 3 3 2 4" xfId="34206"/>
    <cellStyle name="常规 5 6 3 3 2 4 2" xfId="34207"/>
    <cellStyle name="常规 5 6 3 3 2 5" xfId="33274"/>
    <cellStyle name="常规 5 6 3 3 2 6" xfId="33277"/>
    <cellStyle name="常规 5 6 3 3 3" xfId="3547"/>
    <cellStyle name="常规 5 6 3 3 3 2" xfId="21731"/>
    <cellStyle name="常规 5 6 3 3 3 2 2" xfId="7478"/>
    <cellStyle name="常规 5 6 3 3 3 2 2 2" xfId="22565"/>
    <cellStyle name="常规 5 6 3 3 3 2 3" xfId="34208"/>
    <cellStyle name="常规 5 6 3 3 3 2 4" xfId="34209"/>
    <cellStyle name="常规 5 6 3 3 3 3" xfId="21733"/>
    <cellStyle name="常规 5 6 3 3 3 3 2" xfId="5383"/>
    <cellStyle name="常规 5 6 3 3 3 4" xfId="21735"/>
    <cellStyle name="常规 5 6 3 3 3 5" xfId="33281"/>
    <cellStyle name="常规 5 6 3 3 4" xfId="21738"/>
    <cellStyle name="常规 5 6 3 3 4 2" xfId="21740"/>
    <cellStyle name="常规 5 6 3 3 4 2 2" xfId="34210"/>
    <cellStyle name="常规 5 6 3 3 4 3" xfId="34211"/>
    <cellStyle name="常规 5 6 3 3 4 4" xfId="34212"/>
    <cellStyle name="常规 5 6 3 3 5" xfId="2414"/>
    <cellStyle name="常规 5 6 3 3 5 2" xfId="4208"/>
    <cellStyle name="常规 5 6 3 3 6" xfId="3564"/>
    <cellStyle name="常规 5 6 3 3 7" xfId="3567"/>
    <cellStyle name="常规 5 6 3 4" xfId="28871"/>
    <cellStyle name="常规 5 6 3 4 2" xfId="6143"/>
    <cellStyle name="常规 5 6 3 4 2 2" xfId="28876"/>
    <cellStyle name="常规 5 6 3 4 2 2 2" xfId="22046"/>
    <cellStyle name="常规 5 6 3 4 2 2 2 2" xfId="1684"/>
    <cellStyle name="常规 5 6 3 4 2 2 3" xfId="22050"/>
    <cellStyle name="常规 5 6 3 4 2 2 4" xfId="1857"/>
    <cellStyle name="常规 5 6 3 4 2 3" xfId="28884"/>
    <cellStyle name="常规 5 6 3 4 2 3 2" xfId="1565"/>
    <cellStyle name="常规 5 6 3 4 2 4" xfId="28888"/>
    <cellStyle name="常规 5 6 3 4 2 5" xfId="28891"/>
    <cellStyle name="常规 5 6 3 4 3" xfId="21745"/>
    <cellStyle name="常规 5 6 3 4 3 2" xfId="21749"/>
    <cellStyle name="常规 5 6 3 4 3 2 2" xfId="22075"/>
    <cellStyle name="常规 5 6 3 4 3 3" xfId="28912"/>
    <cellStyle name="常规 5 6 3 4 3 4" xfId="28915"/>
    <cellStyle name="常规 5 6 3 4 4" xfId="21753"/>
    <cellStyle name="常规 5 6 3 4 4 2" xfId="28922"/>
    <cellStyle name="常规 5 6 3 4 5" xfId="3597"/>
    <cellStyle name="常规 5 6 3 4 6" xfId="3602"/>
    <cellStyle name="常规 5 6 3 5" xfId="28931"/>
    <cellStyle name="常规 5 6 3 5 2" xfId="25818"/>
    <cellStyle name="常规 5 6 3 5 2 2" xfId="28933"/>
    <cellStyle name="常规 5 6 3 5 2 2 2" xfId="22112"/>
    <cellStyle name="常规 5 6 3 5 2 3" xfId="28941"/>
    <cellStyle name="常规 5 6 3 5 2 4" xfId="16739"/>
    <cellStyle name="常规 5 6 3 5 3" xfId="20608"/>
    <cellStyle name="常规 5 6 3 5 3 2" xfId="28944"/>
    <cellStyle name="常规 5 6 3 5 4" xfId="28952"/>
    <cellStyle name="常规 5 6 3 5 5" xfId="1626"/>
    <cellStyle name="常规 5 6 3 6" xfId="28957"/>
    <cellStyle name="常规 5 6 3 6 2" xfId="28959"/>
    <cellStyle name="常规 5 6 3 6 2 2" xfId="28962"/>
    <cellStyle name="常规 5 6 3 6 3" xfId="28973"/>
    <cellStyle name="常规 5 6 3 6 4" xfId="9134"/>
    <cellStyle name="常规 5 6 3 7" xfId="28982"/>
    <cellStyle name="常规 5 6 3 7 2" xfId="28984"/>
    <cellStyle name="常规 5 6 3 8" xfId="28995"/>
    <cellStyle name="常规 5 6 3 9" xfId="29000"/>
    <cellStyle name="常规 5 6 4" xfId="34213"/>
    <cellStyle name="常规 5 6 4 2" xfId="16817"/>
    <cellStyle name="常规 5 6 4 2 2" xfId="16819"/>
    <cellStyle name="常规 5 6 4 2 2 2" xfId="34214"/>
    <cellStyle name="常规 5 6 4 2 2 2 2" xfId="34215"/>
    <cellStyle name="常规 5 6 4 2 2 2 2 2" xfId="34216"/>
    <cellStyle name="常规 5 6 4 2 2 2 2 2 2" xfId="34217"/>
    <cellStyle name="常规 5 6 4 2 2 2 2 2 2 2" xfId="34218"/>
    <cellStyle name="常规 5 6 4 2 2 2 2 2 3" xfId="34219"/>
    <cellStyle name="常规 5 6 4 2 2 2 2 2 4" xfId="34220"/>
    <cellStyle name="常规 5 6 4 2 2 2 2 3" xfId="25267"/>
    <cellStyle name="常规 5 6 4 2 2 2 2 3 2" xfId="25272"/>
    <cellStyle name="常规 5 6 4 2 2 2 2 4" xfId="25281"/>
    <cellStyle name="常规 5 6 4 2 2 2 2 5" xfId="25286"/>
    <cellStyle name="常规 5 6 4 2 2 2 3" xfId="34221"/>
    <cellStyle name="常规 5 6 4 2 2 2 3 2" xfId="34222"/>
    <cellStyle name="常规 5 6 4 2 2 2 3 2 2" xfId="34223"/>
    <cellStyle name="常规 5 6 4 2 2 2 3 3" xfId="25291"/>
    <cellStyle name="常规 5 6 4 2 2 2 3 4" xfId="25296"/>
    <cellStyle name="常规 5 6 4 2 2 2 4" xfId="34224"/>
    <cellStyle name="常规 5 6 4 2 2 2 4 2" xfId="34225"/>
    <cellStyle name="常规 5 6 4 2 2 2 5" xfId="34226"/>
    <cellStyle name="常规 5 6 4 2 2 2 6" xfId="15381"/>
    <cellStyle name="常规 5 6 4 2 2 3" xfId="34227"/>
    <cellStyle name="常规 5 6 4 2 2 3 2" xfId="34228"/>
    <cellStyle name="常规 5 6 4 2 2 3 2 2" xfId="34229"/>
    <cellStyle name="常规 5 6 4 2 2 3 2 2 2" xfId="21200"/>
    <cellStyle name="常规 5 6 4 2 2 3 2 3" xfId="25317"/>
    <cellStyle name="常规 5 6 4 2 2 3 2 4" xfId="25320"/>
    <cellStyle name="常规 5 6 4 2 2 3 3" xfId="34230"/>
    <cellStyle name="常规 5 6 4 2 2 3 3 2" xfId="34231"/>
    <cellStyle name="常规 5 6 4 2 2 3 4" xfId="34232"/>
    <cellStyle name="常规 5 6 4 2 2 3 5" xfId="34233"/>
    <cellStyle name="常规 5 6 4 2 2 4" xfId="34234"/>
    <cellStyle name="常规 5 6 4 2 2 4 2" xfId="34235"/>
    <cellStyle name="常规 5 6 4 2 2 4 2 2" xfId="34236"/>
    <cellStyle name="常规 5 6 4 2 2 4 3" xfId="34237"/>
    <cellStyle name="常规 5 6 4 2 2 4 4" xfId="34238"/>
    <cellStyle name="常规 5 6 4 2 2 5" xfId="2724"/>
    <cellStyle name="常规 5 6 4 2 2 5 2" xfId="18334"/>
    <cellStyle name="常规 5 6 4 2 2 6" xfId="21243"/>
    <cellStyle name="常规 5 6 4 2 2 7" xfId="34239"/>
    <cellStyle name="常规 5 6 4 2 3" xfId="22006"/>
    <cellStyle name="常规 5 6 4 2 3 2" xfId="22008"/>
    <cellStyle name="常规 5 6 4 2 3 2 2" xfId="25605"/>
    <cellStyle name="常规 5 6 4 2 3 2 2 2" xfId="25611"/>
    <cellStyle name="常规 5 6 4 2 3 2 2 2 2" xfId="25614"/>
    <cellStyle name="常规 5 6 4 2 3 2 2 3" xfId="25366"/>
    <cellStyle name="常规 5 6 4 2 3 2 2 4" xfId="3180"/>
    <cellStyle name="常规 5 6 4 2 3 2 3" xfId="25619"/>
    <cellStyle name="常规 5 6 4 2 3 2 3 2" xfId="25624"/>
    <cellStyle name="常规 5 6 4 2 3 2 4" xfId="25629"/>
    <cellStyle name="常规 5 6 4 2 3 2 5" xfId="25636"/>
    <cellStyle name="常规 5 6 4 2 3 3" xfId="34240"/>
    <cellStyle name="常规 5 6 4 2 3 3 2" xfId="25669"/>
    <cellStyle name="常规 5 6 4 2 3 3 2 2" xfId="25674"/>
    <cellStyle name="常规 5 6 4 2 3 3 3" xfId="25680"/>
    <cellStyle name="常规 5 6 4 2 3 3 4" xfId="25684"/>
    <cellStyle name="常规 5 6 4 2 3 4" xfId="34241"/>
    <cellStyle name="常规 5 6 4 2 3 4 2" xfId="25699"/>
    <cellStyle name="常规 5 6 4 2 3 5" xfId="34243"/>
    <cellStyle name="常规 5 6 4 2 3 6" xfId="33617"/>
    <cellStyle name="常规 5 6 4 2 4" xfId="22010"/>
    <cellStyle name="常规 5 6 4 2 4 2" xfId="34244"/>
    <cellStyle name="常规 5 6 4 2 4 2 2" xfId="3610"/>
    <cellStyle name="常规 5 6 4 2 4 2 2 2" xfId="6575"/>
    <cellStyle name="常规 5 6 4 2 4 2 3" xfId="6654"/>
    <cellStyle name="常规 5 6 4 2 4 2 4" xfId="6709"/>
    <cellStyle name="常规 5 6 4 2 4 3" xfId="34245"/>
    <cellStyle name="常规 5 6 4 2 4 3 2" xfId="1640"/>
    <cellStyle name="常规 5 6 4 2 4 4" xfId="34246"/>
    <cellStyle name="常规 5 6 4 2 4 5" xfId="34248"/>
    <cellStyle name="常规 5 6 4 2 5" xfId="22012"/>
    <cellStyle name="常规 5 6 4 2 5 2" xfId="34249"/>
    <cellStyle name="常规 5 6 4 2 5 2 2" xfId="6778"/>
    <cellStyle name="常规 5 6 4 2 5 3" xfId="34250"/>
    <cellStyle name="常规 5 6 4 2 5 4" xfId="14733"/>
    <cellStyle name="常规 5 6 4 2 6" xfId="34251"/>
    <cellStyle name="常规 5 6 4 2 6 2" xfId="34252"/>
    <cellStyle name="常规 5 6 4 2 7" xfId="34253"/>
    <cellStyle name="常规 5 6 4 2 8" xfId="34254"/>
    <cellStyle name="常规 5 6 4 3" xfId="16822"/>
    <cellStyle name="常规 5 6 4 3 2" xfId="3774"/>
    <cellStyle name="常规 5 6 4 3 2 2" xfId="13181"/>
    <cellStyle name="常规 5 6 4 3 2 2 2" xfId="13183"/>
    <cellStyle name="常规 5 6 4 3 2 2 2 2" xfId="13185"/>
    <cellStyle name="常规 5 6 4 3 2 2 2 2 2" xfId="3940"/>
    <cellStyle name="常规 5 6 4 3 2 2 2 3" xfId="13187"/>
    <cellStyle name="常规 5 6 4 3 2 2 2 4" xfId="3743"/>
    <cellStyle name="常规 5 6 4 3 2 2 3" xfId="13191"/>
    <cellStyle name="常规 5 6 4 3 2 2 3 2" xfId="13193"/>
    <cellStyle name="常规 5 6 4 3 2 2 4" xfId="13195"/>
    <cellStyle name="常规 5 6 4 3 2 2 5" xfId="13197"/>
    <cellStyle name="常规 5 6 4 3 2 3" xfId="13199"/>
    <cellStyle name="常规 5 6 4 3 2 3 2" xfId="13201"/>
    <cellStyle name="常规 5 6 4 3 2 3 2 2" xfId="13203"/>
    <cellStyle name="常规 5 6 4 3 2 3 3" xfId="13205"/>
    <cellStyle name="常规 5 6 4 3 2 3 4" xfId="13207"/>
    <cellStyle name="常规 5 6 4 3 2 4" xfId="13209"/>
    <cellStyle name="常规 5 6 4 3 2 4 2" xfId="13211"/>
    <cellStyle name="常规 5 6 4 3 2 5" xfId="13213"/>
    <cellStyle name="常规 5 6 4 3 2 6" xfId="13215"/>
    <cellStyle name="常规 5 6 4 3 3" xfId="22018"/>
    <cellStyle name="常规 5 6 4 3 3 2" xfId="13263"/>
    <cellStyle name="常规 5 6 4 3 3 2 2" xfId="13266"/>
    <cellStyle name="常规 5 6 4 3 3 2 2 2" xfId="13271"/>
    <cellStyle name="常规 5 6 4 3 3 2 3" xfId="13276"/>
    <cellStyle name="常规 5 6 4 3 3 2 4" xfId="13280"/>
    <cellStyle name="常规 5 6 4 3 3 3" xfId="13283"/>
    <cellStyle name="常规 5 6 4 3 3 3 2" xfId="13286"/>
    <cellStyle name="常规 5 6 4 3 3 4" xfId="13289"/>
    <cellStyle name="常规 5 6 4 3 3 5" xfId="13292"/>
    <cellStyle name="常规 5 6 4 3 4" xfId="34256"/>
    <cellStyle name="常规 5 6 4 3 4 2" xfId="13306"/>
    <cellStyle name="常规 5 6 4 3 4 2 2" xfId="6162"/>
    <cellStyle name="常规 5 6 4 3 4 3" xfId="13308"/>
    <cellStyle name="常规 5 6 4 3 4 4" xfId="13310"/>
    <cellStyle name="常规 5 6 4 3 5" xfId="2435"/>
    <cellStyle name="常规 5 6 4 3 5 2" xfId="7256"/>
    <cellStyle name="常规 5 6 4 3 6" xfId="3881"/>
    <cellStyle name="常规 5 6 4 3 7" xfId="3886"/>
    <cellStyle name="常规 5 6 4 4" xfId="16825"/>
    <cellStyle name="常规 5 6 4 4 2" xfId="29008"/>
    <cellStyle name="常规 5 6 4 4 2 2" xfId="13387"/>
    <cellStyle name="常规 5 6 4 4 2 2 2" xfId="13390"/>
    <cellStyle name="常规 5 6 4 4 2 2 2 2" xfId="743"/>
    <cellStyle name="常规 5 6 4 4 2 2 3" xfId="13400"/>
    <cellStyle name="常规 5 6 4 4 2 2 4" xfId="13405"/>
    <cellStyle name="常规 5 6 4 4 2 3" xfId="13413"/>
    <cellStyle name="常规 5 6 4 4 2 3 2" xfId="13418"/>
    <cellStyle name="常规 5 6 4 4 2 4" xfId="13432"/>
    <cellStyle name="常规 5 6 4 4 2 5" xfId="13440"/>
    <cellStyle name="常规 5 6 4 4 3" xfId="29010"/>
    <cellStyle name="常规 5 6 4 4 3 2" xfId="13475"/>
    <cellStyle name="常规 5 6 4 4 3 2 2" xfId="13479"/>
    <cellStyle name="常规 5 6 4 4 3 3" xfId="2039"/>
    <cellStyle name="常规 5 6 4 4 3 4" xfId="13497"/>
    <cellStyle name="常规 5 6 4 4 4" xfId="29012"/>
    <cellStyle name="常规 5 6 4 4 4 2" xfId="13511"/>
    <cellStyle name="常规 5 6 4 4 5" xfId="2806"/>
    <cellStyle name="常规 5 6 4 4 6" xfId="3901"/>
    <cellStyle name="常规 5 6 4 5" xfId="29015"/>
    <cellStyle name="常规 5 6 4 5 2" xfId="29017"/>
    <cellStyle name="常规 5 6 4 5 2 2" xfId="13580"/>
    <cellStyle name="常规 5 6 4 5 2 2 2" xfId="13583"/>
    <cellStyle name="常规 5 6 4 5 2 3" xfId="13596"/>
    <cellStyle name="常规 5 6 4 5 2 4" xfId="13607"/>
    <cellStyle name="常规 5 6 4 5 3" xfId="29019"/>
    <cellStyle name="常规 5 6 4 5 3 2" xfId="2134"/>
    <cellStyle name="常规 5 6 4 5 4" xfId="17057"/>
    <cellStyle name="常规 5 6 4 5 5" xfId="1613"/>
    <cellStyle name="常规 5 6 4 6" xfId="29022"/>
    <cellStyle name="常规 5 6 4 6 2" xfId="29024"/>
    <cellStyle name="常规 5 6 4 6 2 2" xfId="13671"/>
    <cellStyle name="常规 5 6 4 6 3" xfId="29026"/>
    <cellStyle name="常规 5 6 4 6 4" xfId="9156"/>
    <cellStyle name="常规 5 6 4 7" xfId="17593"/>
    <cellStyle name="常规 5 6 4 7 2" xfId="17596"/>
    <cellStyle name="常规 5 6 4 8" xfId="17601"/>
    <cellStyle name="常规 5 6 4 9" xfId="17606"/>
    <cellStyle name="常规 5 6 5" xfId="8197"/>
    <cellStyle name="常规 5 6 5 2" xfId="8637"/>
    <cellStyle name="常规 5 6 5 2 2" xfId="34257"/>
    <cellStyle name="常规 5 6 5 2 2 2" xfId="19914"/>
    <cellStyle name="常规 5 6 5 2 2 2 2" xfId="34258"/>
    <cellStyle name="常规 5 6 5 2 2 2 2 2" xfId="32354"/>
    <cellStyle name="常规 5 6 5 2 2 2 2 2 2" xfId="34259"/>
    <cellStyle name="常规 5 6 5 2 2 2 2 3" xfId="25580"/>
    <cellStyle name="常规 5 6 5 2 2 2 2 4" xfId="25586"/>
    <cellStyle name="常规 5 6 5 2 2 2 3" xfId="34260"/>
    <cellStyle name="常规 5 6 5 2 2 2 3 2" xfId="32361"/>
    <cellStyle name="常规 5 6 5 2 2 2 4" xfId="2856"/>
    <cellStyle name="常规 5 6 5 2 2 2 5" xfId="34261"/>
    <cellStyle name="常规 5 6 5 2 2 3" xfId="23838"/>
    <cellStyle name="常规 5 6 5 2 2 3 2" xfId="23840"/>
    <cellStyle name="常规 5 6 5 2 2 3 2 2" xfId="32379"/>
    <cellStyle name="常规 5 6 5 2 2 3 3" xfId="34262"/>
    <cellStyle name="常规 5 6 5 2 2 3 4" xfId="34263"/>
    <cellStyle name="常规 5 6 5 2 2 4" xfId="23842"/>
    <cellStyle name="常规 5 6 5 2 2 4 2" xfId="34264"/>
    <cellStyle name="常规 5 6 5 2 2 5" xfId="23844"/>
    <cellStyle name="常规 5 6 5 2 2 6" xfId="34265"/>
    <cellStyle name="常规 5 6 5 2 3" xfId="22181"/>
    <cellStyle name="常规 5 6 5 2 3 2" xfId="22183"/>
    <cellStyle name="常规 5 6 5 2 3 2 2" xfId="26340"/>
    <cellStyle name="常规 5 6 5 2 3 2 2 2" xfId="26344"/>
    <cellStyle name="常规 5 6 5 2 3 2 3" xfId="26351"/>
    <cellStyle name="常规 5 6 5 2 3 2 4" xfId="26357"/>
    <cellStyle name="常规 5 6 5 2 3 3" xfId="23847"/>
    <cellStyle name="常规 5 6 5 2 3 3 2" xfId="26376"/>
    <cellStyle name="常规 5 6 5 2 3 4" xfId="34266"/>
    <cellStyle name="常规 5 6 5 2 3 5" xfId="34268"/>
    <cellStyle name="常规 5 6 5 2 4" xfId="22185"/>
    <cellStyle name="常规 5 6 5 2 4 2" xfId="34269"/>
    <cellStyle name="常规 5 6 5 2 4 2 2" xfId="10986"/>
    <cellStyle name="常规 5 6 5 2 4 3" xfId="34270"/>
    <cellStyle name="常规 5 6 5 2 4 4" xfId="34271"/>
    <cellStyle name="常规 5 6 5 2 5" xfId="22187"/>
    <cellStyle name="常规 5 6 5 2 5 2" xfId="34272"/>
    <cellStyle name="常规 5 6 5 2 6" xfId="34273"/>
    <cellStyle name="常规 5 6 5 2 7" xfId="34274"/>
    <cellStyle name="常规 5 6 5 3" xfId="8641"/>
    <cellStyle name="常规 5 6 5 3 2" xfId="34276"/>
    <cellStyle name="常规 5 6 5 3 2 2" xfId="13819"/>
    <cellStyle name="常规 5 6 5 3 2 2 2" xfId="13821"/>
    <cellStyle name="常规 5 6 5 3 2 2 2 2" xfId="13823"/>
    <cellStyle name="常规 5 6 5 3 2 2 3" xfId="13826"/>
    <cellStyle name="常规 5 6 5 3 2 2 4" xfId="13828"/>
    <cellStyle name="常规 5 6 5 3 2 3" xfId="13830"/>
    <cellStyle name="常规 5 6 5 3 2 3 2" xfId="13833"/>
    <cellStyle name="常规 5 6 5 3 2 4" xfId="13835"/>
    <cellStyle name="常规 5 6 5 3 2 5" xfId="13838"/>
    <cellStyle name="常规 5 6 5 3 3" xfId="22192"/>
    <cellStyle name="常规 5 6 5 3 3 2" xfId="13861"/>
    <cellStyle name="常规 5 6 5 3 3 2 2" xfId="13865"/>
    <cellStyle name="常规 5 6 5 3 3 3" xfId="13868"/>
    <cellStyle name="常规 5 6 5 3 3 4" xfId="13871"/>
    <cellStyle name="常规 5 6 5 3 4" xfId="34277"/>
    <cellStyle name="常规 5 6 5 3 4 2" xfId="13882"/>
    <cellStyle name="常规 5 6 5 3 5" xfId="8229"/>
    <cellStyle name="常规 5 6 5 3 6" xfId="8335"/>
    <cellStyle name="常规 5 6 5 4" xfId="29032"/>
    <cellStyle name="常规 5 6 5 4 2" xfId="29035"/>
    <cellStyle name="常规 5 6 5 4 2 2" xfId="13926"/>
    <cellStyle name="常规 5 6 5 4 2 2 2" xfId="13930"/>
    <cellStyle name="常规 5 6 5 4 2 3" xfId="13937"/>
    <cellStyle name="常规 5 6 5 4 2 4" xfId="13945"/>
    <cellStyle name="常规 5 6 5 4 3" xfId="29040"/>
    <cellStyle name="常规 5 6 5 4 3 2" xfId="13972"/>
    <cellStyle name="常规 5 6 5 4 4" xfId="29046"/>
    <cellStyle name="常规 5 6 5 4 5" xfId="8438"/>
    <cellStyle name="常规 5 6 5 5" xfId="29049"/>
    <cellStyle name="常规 5 6 5 5 2" xfId="29051"/>
    <cellStyle name="常规 5 6 5 5 2 2" xfId="14021"/>
    <cellStyle name="常规 5 6 5 5 3" xfId="29055"/>
    <cellStyle name="常规 5 6 5 5 4" xfId="17062"/>
    <cellStyle name="常规 5 6 5 6" xfId="29057"/>
    <cellStyle name="常规 5 6 5 6 2" xfId="29059"/>
    <cellStyle name="常规 5 6 5 7" xfId="17614"/>
    <cellStyle name="常规 5 6 5 8" xfId="17621"/>
    <cellStyle name="常规 5 6 6" xfId="34278"/>
    <cellStyle name="常规 5 6 6 2" xfId="34279"/>
    <cellStyle name="常规 5 6 6 2 2" xfId="34280"/>
    <cellStyle name="常规 5 6 6 2 2 2" xfId="34281"/>
    <cellStyle name="常规 5 6 6 2 2 2 2" xfId="34282"/>
    <cellStyle name="常规 5 6 6 2 2 2 2 2" xfId="31904"/>
    <cellStyle name="常规 5 6 6 2 2 2 3" xfId="34283"/>
    <cellStyle name="常规 5 6 6 2 2 2 4" xfId="34284"/>
    <cellStyle name="常规 5 6 6 2 2 3" xfId="23871"/>
    <cellStyle name="常规 5 6 6 2 2 3 2" xfId="29483"/>
    <cellStyle name="常规 5 6 6 2 2 4" xfId="21214"/>
    <cellStyle name="常规 5 6 6 2 2 5" xfId="21218"/>
    <cellStyle name="常规 5 6 6 2 3" xfId="22286"/>
    <cellStyle name="常规 5 6 6 2 3 2" xfId="34285"/>
    <cellStyle name="常规 5 6 6 2 3 2 2" xfId="26836"/>
    <cellStyle name="常规 5 6 6 2 3 3" xfId="34286"/>
    <cellStyle name="常规 5 6 6 2 3 4" xfId="21222"/>
    <cellStyle name="常规 5 6 6 2 4" xfId="34287"/>
    <cellStyle name="常规 5 6 6 2 4 2" xfId="34288"/>
    <cellStyle name="常规 5 6 6 2 5" xfId="2482"/>
    <cellStyle name="常规 5 6 6 2 6" xfId="34289"/>
    <cellStyle name="常规 5 6 6 3" xfId="34292"/>
    <cellStyle name="常规 5 6 6 3 2" xfId="18260"/>
    <cellStyle name="常规 5 6 6 3 2 2" xfId="14137"/>
    <cellStyle name="常规 5 6 6 3 2 2 2" xfId="14140"/>
    <cellStyle name="常规 5 6 6 3 2 3" xfId="14146"/>
    <cellStyle name="常规 5 6 6 3 2 4" xfId="14153"/>
    <cellStyle name="常规 5 6 6 3 3" xfId="2589"/>
    <cellStyle name="常规 5 6 6 3 3 2" xfId="14174"/>
    <cellStyle name="常规 5 6 6 3 4" xfId="18262"/>
    <cellStyle name="常规 5 6 6 3 5" xfId="8949"/>
    <cellStyle name="常规 5 6 6 4" xfId="29065"/>
    <cellStyle name="常规 5 6 6 4 2" xfId="18287"/>
    <cellStyle name="常规 5 6 6 4 2 2" xfId="14222"/>
    <cellStyle name="常规 5 6 6 4 3" xfId="18291"/>
    <cellStyle name="常规 5 6 6 4 4" xfId="18295"/>
    <cellStyle name="常规 5 6 6 5" xfId="18932"/>
    <cellStyle name="常规 5 6 6 5 2" xfId="18306"/>
    <cellStyle name="常规 5 6 6 6" xfId="18945"/>
    <cellStyle name="常规 5 6 6 7" xfId="17625"/>
    <cellStyle name="常规 5 6 7" xfId="34293"/>
    <cellStyle name="常规 5 6 7 2" xfId="34294"/>
    <cellStyle name="常规 5 6 7 2 2" xfId="34295"/>
    <cellStyle name="常规 5 6 7 2 2 2" xfId="34296"/>
    <cellStyle name="常规 5 6 7 2 2 2 2" xfId="34297"/>
    <cellStyle name="常规 5 6 7 2 2 3" xfId="34298"/>
    <cellStyle name="常规 5 6 7 2 2 4" xfId="21238"/>
    <cellStyle name="常规 5 6 7 2 3" xfId="34299"/>
    <cellStyle name="常规 5 6 7 2 3 2" xfId="34300"/>
    <cellStyle name="常规 5 6 7 2 4" xfId="34301"/>
    <cellStyle name="常规 5 6 7 2 5" xfId="2209"/>
    <cellStyle name="常规 5 6 7 3" xfId="34302"/>
    <cellStyle name="常规 5 6 7 3 2" xfId="18336"/>
    <cellStyle name="常规 5 6 7 3 2 2" xfId="14347"/>
    <cellStyle name="常规 5 6 7 3 3" xfId="18338"/>
    <cellStyle name="常规 5 6 7 3 4" xfId="18340"/>
    <cellStyle name="常规 5 6 7 4" xfId="21762"/>
    <cellStyle name="常规 5 6 7 4 2" xfId="18348"/>
    <cellStyle name="常规 5 6 7 5" xfId="18968"/>
    <cellStyle name="常规 5 6 7 6" xfId="18973"/>
    <cellStyle name="常规 5 6 8" xfId="34303"/>
    <cellStyle name="常规 5 6 8 2" xfId="34304"/>
    <cellStyle name="常规 5 6 8 2 2" xfId="34305"/>
    <cellStyle name="常规 5 6 8 2 2 2" xfId="34307"/>
    <cellStyle name="常规 5 6 8 2 3" xfId="34308"/>
    <cellStyle name="常规 5 6 8 2 4" xfId="34309"/>
    <cellStyle name="常规 5 6 8 3" xfId="34310"/>
    <cellStyle name="常规 5 6 8 3 2" xfId="18368"/>
    <cellStyle name="常规 5 6 8 4" xfId="21772"/>
    <cellStyle name="常规 5 6 8 5" xfId="18983"/>
    <cellStyle name="常规 5 6 9" xfId="34311"/>
    <cellStyle name="常规 5 6 9 2" xfId="34312"/>
    <cellStyle name="常规 5 6 9 2 2" xfId="34313"/>
    <cellStyle name="常规 5 6 9 3" xfId="34314"/>
    <cellStyle name="常规 5 6 9 4" xfId="19881"/>
    <cellStyle name="常规 5 7" xfId="786"/>
    <cellStyle name="常规 5 7 10" xfId="34315"/>
    <cellStyle name="常规 5 7 11" xfId="34316"/>
    <cellStyle name="常规 5 7 2" xfId="34317"/>
    <cellStyle name="常规 5 7 2 2" xfId="34318"/>
    <cellStyle name="常规 5 7 2 2 2" xfId="14720"/>
    <cellStyle name="常规 5 7 2 2 2 2" xfId="34319"/>
    <cellStyle name="常规 5 7 2 2 2 2 2" xfId="34320"/>
    <cellStyle name="常规 5 7 2 2 2 2 2 2" xfId="34321"/>
    <cellStyle name="常规 5 7 2 2 2 2 2 2 2" xfId="34322"/>
    <cellStyle name="常规 5 7 2 2 2 2 2 2 2 2" xfId="34323"/>
    <cellStyle name="常规 5 7 2 2 2 2 2 2 3" xfId="34324"/>
    <cellStyle name="常规 5 7 2 2 2 2 2 2 4" xfId="34325"/>
    <cellStyle name="常规 5 7 2 2 2 2 2 3" xfId="32896"/>
    <cellStyle name="常规 5 7 2 2 2 2 2 3 2" xfId="32898"/>
    <cellStyle name="常规 5 7 2 2 2 2 2 4" xfId="32903"/>
    <cellStyle name="常规 5 7 2 2 2 2 2 5" xfId="32906"/>
    <cellStyle name="常规 5 7 2 2 2 2 3" xfId="23191"/>
    <cellStyle name="常规 5 7 2 2 2 2 3 2" xfId="23193"/>
    <cellStyle name="常规 5 7 2 2 2 2 3 2 2" xfId="34326"/>
    <cellStyle name="常规 5 7 2 2 2 2 3 3" xfId="32908"/>
    <cellStyle name="常规 5 7 2 2 2 2 3 4" xfId="32910"/>
    <cellStyle name="常规 5 7 2 2 2 2 4" xfId="12456"/>
    <cellStyle name="常规 5 7 2 2 2 2 4 2" xfId="20648"/>
    <cellStyle name="常规 5 7 2 2 2 2 5" xfId="23195"/>
    <cellStyle name="常规 5 7 2 2 2 2 6" xfId="17714"/>
    <cellStyle name="常规 5 7 2 2 2 3" xfId="34327"/>
    <cellStyle name="常规 5 7 2 2 2 3 2" xfId="34328"/>
    <cellStyle name="常规 5 7 2 2 2 3 2 2" xfId="34329"/>
    <cellStyle name="常规 5 7 2 2 2 3 2 2 2" xfId="34330"/>
    <cellStyle name="常规 5 7 2 2 2 3 2 3" xfId="22099"/>
    <cellStyle name="常规 5 7 2 2 2 3 2 4" xfId="32919"/>
    <cellStyle name="常规 5 7 2 2 2 3 3" xfId="23198"/>
    <cellStyle name="常规 5 7 2 2 2 3 3 2" xfId="34331"/>
    <cellStyle name="常规 5 7 2 2 2 3 4" xfId="34332"/>
    <cellStyle name="常规 5 7 2 2 2 3 5" xfId="34333"/>
    <cellStyle name="常规 5 7 2 2 2 4" xfId="34334"/>
    <cellStyle name="常规 5 7 2 2 2 4 2" xfId="34335"/>
    <cellStyle name="常规 5 7 2 2 2 4 2 2" xfId="34336"/>
    <cellStyle name="常规 5 7 2 2 2 4 3" xfId="34337"/>
    <cellStyle name="常规 5 7 2 2 2 4 4" xfId="34338"/>
    <cellStyle name="常规 5 7 2 2 2 5" xfId="34339"/>
    <cellStyle name="常规 5 7 2 2 2 5 2" xfId="34340"/>
    <cellStyle name="常规 5 7 2 2 2 6" xfId="34341"/>
    <cellStyle name="常规 5 7 2 2 2 7" xfId="34342"/>
    <cellStyle name="常规 5 7 2 2 3" xfId="34343"/>
    <cellStyle name="常规 5 7 2 2 3 2" xfId="34344"/>
    <cellStyle name="常规 5 7 2 2 3 2 2" xfId="34345"/>
    <cellStyle name="常规 5 7 2 2 3 2 2 2" xfId="3961"/>
    <cellStyle name="常规 5 7 2 2 3 2 2 2 2" xfId="34346"/>
    <cellStyle name="常规 5 7 2 2 3 2 2 3" xfId="16168"/>
    <cellStyle name="常规 5 7 2 2 3 2 2 4" xfId="32930"/>
    <cellStyle name="常规 5 7 2 2 3 2 3" xfId="23205"/>
    <cellStyle name="常规 5 7 2 2 3 2 3 2" xfId="34347"/>
    <cellStyle name="常规 5 7 2 2 3 2 4" xfId="12735"/>
    <cellStyle name="常规 5 7 2 2 3 2 5" xfId="34348"/>
    <cellStyle name="常规 5 7 2 2 3 3" xfId="34350"/>
    <cellStyle name="常规 5 7 2 2 3 3 2" xfId="34351"/>
    <cellStyle name="常规 5 7 2 2 3 3 2 2" xfId="34352"/>
    <cellStyle name="常规 5 7 2 2 3 3 3" xfId="34353"/>
    <cellStyle name="常规 5 7 2 2 3 3 4" xfId="34354"/>
    <cellStyle name="常规 5 7 2 2 3 4" xfId="29666"/>
    <cellStyle name="常规 5 7 2 2 3 4 2" xfId="3955"/>
    <cellStyle name="常规 5 7 2 2 3 5" xfId="34355"/>
    <cellStyle name="常规 5 7 2 2 3 6" xfId="34356"/>
    <cellStyle name="常规 5 7 2 2 4" xfId="34357"/>
    <cellStyle name="常规 5 7 2 2 4 2" xfId="34358"/>
    <cellStyle name="常规 5 7 2 2 4 2 2" xfId="34359"/>
    <cellStyle name="常规 5 7 2 2 4 2 2 2" xfId="34360"/>
    <cellStyle name="常规 5 7 2 2 4 2 3" xfId="34361"/>
    <cellStyle name="常规 5 7 2 2 4 2 4" xfId="34362"/>
    <cellStyle name="常规 5 7 2 2 4 3" xfId="34363"/>
    <cellStyle name="常规 5 7 2 2 4 3 2" xfId="34364"/>
    <cellStyle name="常规 5 7 2 2 4 4" xfId="34365"/>
    <cellStyle name="常规 5 7 2 2 4 5" xfId="34366"/>
    <cellStyle name="常规 5 7 2 2 5" xfId="34367"/>
    <cellStyle name="常规 5 7 2 2 5 2" xfId="34368"/>
    <cellStyle name="常规 5 7 2 2 5 2 2" xfId="32885"/>
    <cellStyle name="常规 5 7 2 2 5 3" xfId="34369"/>
    <cellStyle name="常规 5 7 2 2 5 4" xfId="34370"/>
    <cellStyle name="常规 5 7 2 2 6" xfId="34371"/>
    <cellStyle name="常规 5 7 2 2 6 2" xfId="15809"/>
    <cellStyle name="常规 5 7 2 2 7" xfId="13219"/>
    <cellStyle name="常规 5 7 2 2 8" xfId="13235"/>
    <cellStyle name="常规 5 7 2 3" xfId="34372"/>
    <cellStyle name="常规 5 7 2 3 2" xfId="34373"/>
    <cellStyle name="常规 5 7 2 3 2 2" xfId="34374"/>
    <cellStyle name="常规 5 7 2 3 2 2 2" xfId="34375"/>
    <cellStyle name="常规 5 7 2 3 2 2 2 2" xfId="28509"/>
    <cellStyle name="常规 5 7 2 3 2 2 2 2 2" xfId="34376"/>
    <cellStyle name="常规 5 7 2 3 2 2 2 3" xfId="9111"/>
    <cellStyle name="常规 5 7 2 3 2 2 2 4" xfId="32950"/>
    <cellStyle name="常规 5 7 2 3 2 2 3" xfId="23217"/>
    <cellStyle name="常规 5 7 2 3 2 2 3 2" xfId="34377"/>
    <cellStyle name="常规 5 7 2 3 2 2 4" xfId="14327"/>
    <cellStyle name="常规 5 7 2 3 2 2 5" xfId="34378"/>
    <cellStyle name="常规 5 7 2 3 2 3" xfId="34379"/>
    <cellStyle name="常规 5 7 2 3 2 3 2" xfId="34380"/>
    <cellStyle name="常规 5 7 2 3 2 3 2 2" xfId="34381"/>
    <cellStyle name="常规 5 7 2 3 2 3 3" xfId="34382"/>
    <cellStyle name="常规 5 7 2 3 2 3 4" xfId="34383"/>
    <cellStyle name="常规 5 7 2 3 2 4" xfId="34384"/>
    <cellStyle name="常规 5 7 2 3 2 4 2" xfId="34385"/>
    <cellStyle name="常规 5 7 2 3 2 5" xfId="33974"/>
    <cellStyle name="常规 5 7 2 3 2 6" xfId="33977"/>
    <cellStyle name="常规 5 7 2 3 3" xfId="34386"/>
    <cellStyle name="常规 5 7 2 3 3 2" xfId="34387"/>
    <cellStyle name="常规 5 7 2 3 3 2 2" xfId="34388"/>
    <cellStyle name="常规 5 7 2 3 3 2 2 2" xfId="18954"/>
    <cellStyle name="常规 5 7 2 3 3 2 3" xfId="23091"/>
    <cellStyle name="常规 5 7 2 3 3 2 4" xfId="32701"/>
    <cellStyle name="常规 5 7 2 3 3 3" xfId="34389"/>
    <cellStyle name="常规 5 7 2 3 3 3 2" xfId="34390"/>
    <cellStyle name="常规 5 7 2 3 3 4" xfId="33302"/>
    <cellStyle name="常规 5 7 2 3 3 5" xfId="33377"/>
    <cellStyle name="常规 5 7 2 3 4" xfId="34391"/>
    <cellStyle name="常规 5 7 2 3 4 2" xfId="34392"/>
    <cellStyle name="常规 5 7 2 3 4 2 2" xfId="34393"/>
    <cellStyle name="常规 5 7 2 3 4 3" xfId="34394"/>
    <cellStyle name="常规 5 7 2 3 4 4" xfId="33585"/>
    <cellStyle name="常规 5 7 2 3 5" xfId="34395"/>
    <cellStyle name="常规 5 7 2 3 5 2" xfId="34396"/>
    <cellStyle name="常规 5 7 2 3 6" xfId="34397"/>
    <cellStyle name="常规 5 7 2 3 7" xfId="13250"/>
    <cellStyle name="常规 5 7 2 4" xfId="14924"/>
    <cellStyle name="常规 5 7 2 4 2" xfId="29068"/>
    <cellStyle name="常规 5 7 2 4 2 2" xfId="29070"/>
    <cellStyle name="常规 5 7 2 4 2 2 2" xfId="22572"/>
    <cellStyle name="常规 5 7 2 4 2 2 2 2" xfId="15313"/>
    <cellStyle name="常规 5 7 2 4 2 2 3" xfId="22576"/>
    <cellStyle name="常规 5 7 2 4 2 2 4" xfId="29072"/>
    <cellStyle name="常规 5 7 2 4 2 3" xfId="12745"/>
    <cellStyle name="常规 5 7 2 4 2 3 2" xfId="12748"/>
    <cellStyle name="常规 5 7 2 4 2 4" xfId="12767"/>
    <cellStyle name="常规 5 7 2 4 2 5" xfId="12776"/>
    <cellStyle name="常规 5 7 2 4 3" xfId="29076"/>
    <cellStyle name="常规 5 7 2 4 3 2" xfId="29079"/>
    <cellStyle name="常规 5 7 2 4 3 2 2" xfId="22621"/>
    <cellStyle name="常规 5 7 2 4 3 3" xfId="12788"/>
    <cellStyle name="常规 5 7 2 4 3 4" xfId="12802"/>
    <cellStyle name="常规 5 7 2 4 4" xfId="29087"/>
    <cellStyle name="常规 5 7 2 4 4 2" xfId="29089"/>
    <cellStyle name="常规 5 7 2 4 5" xfId="29093"/>
    <cellStyle name="常规 5 7 2 4 6" xfId="25751"/>
    <cellStyle name="常规 5 7 2 5" xfId="29097"/>
    <cellStyle name="常规 5 7 2 5 2" xfId="16293"/>
    <cellStyle name="常规 5 7 2 5 2 2" xfId="7577"/>
    <cellStyle name="常规 5 7 2 5 2 2 2" xfId="7581"/>
    <cellStyle name="常规 5 7 2 5 2 3" xfId="6363"/>
    <cellStyle name="常规 5 7 2 5 2 4" xfId="6370"/>
    <cellStyle name="常规 5 7 2 5 3" xfId="16301"/>
    <cellStyle name="常规 5 7 2 5 3 2" xfId="7591"/>
    <cellStyle name="常规 5 7 2 5 4" xfId="16307"/>
    <cellStyle name="常规 5 7 2 5 5" xfId="16310"/>
    <cellStyle name="常规 5 7 2 6" xfId="29099"/>
    <cellStyle name="常规 5 7 2 6 2" xfId="16349"/>
    <cellStyle name="常规 5 7 2 6 2 2" xfId="7729"/>
    <cellStyle name="常规 5 7 2 6 3" xfId="16356"/>
    <cellStyle name="常规 5 7 2 6 4" xfId="16361"/>
    <cellStyle name="常规 5 7 2 7" xfId="29101"/>
    <cellStyle name="常规 5 7 2 7 2" xfId="16387"/>
    <cellStyle name="常规 5 7 2 8" xfId="29104"/>
    <cellStyle name="常规 5 7 2 9" xfId="29108"/>
    <cellStyle name="常规 5 7 3" xfId="34398"/>
    <cellStyle name="常规 5 7 3 2" xfId="34399"/>
    <cellStyle name="常规 5 7 3 2 2" xfId="251"/>
    <cellStyle name="常规 5 7 3 2 2 2" xfId="349"/>
    <cellStyle name="常规 5 7 3 2 2 2 2" xfId="34400"/>
    <cellStyle name="常规 5 7 3 2 2 2 2 2" xfId="34401"/>
    <cellStyle name="常规 5 7 3 2 2 2 2 2 2" xfId="34402"/>
    <cellStyle name="常规 5 7 3 2 2 2 2 2 2 2" xfId="22353"/>
    <cellStyle name="常规 5 7 3 2 2 2 2 2 3" xfId="34403"/>
    <cellStyle name="常规 5 7 3 2 2 2 2 2 4" xfId="34404"/>
    <cellStyle name="常规 5 7 3 2 2 2 2 3" xfId="25901"/>
    <cellStyle name="常规 5 7 3 2 2 2 2 3 2" xfId="25904"/>
    <cellStyle name="常规 5 7 3 2 2 2 2 4" xfId="25347"/>
    <cellStyle name="常规 5 7 3 2 2 2 2 5" xfId="25913"/>
    <cellStyle name="常规 5 7 3 2 2 2 3" xfId="23238"/>
    <cellStyle name="常规 5 7 3 2 2 2 3 2" xfId="34405"/>
    <cellStyle name="常规 5 7 3 2 2 2 3 2 2" xfId="34406"/>
    <cellStyle name="常规 5 7 3 2 2 2 3 3" xfId="25920"/>
    <cellStyle name="常规 5 7 3 2 2 2 3 4" xfId="25926"/>
    <cellStyle name="常规 5 7 3 2 2 2 4" xfId="34407"/>
    <cellStyle name="常规 5 7 3 2 2 2 4 2" xfId="34408"/>
    <cellStyle name="常规 5 7 3 2 2 2 5" xfId="16152"/>
    <cellStyle name="常规 5 7 3 2 2 2 6" xfId="29342"/>
    <cellStyle name="常规 5 7 3 2 2 3" xfId="400"/>
    <cellStyle name="常规 5 7 3 2 2 3 2" xfId="34409"/>
    <cellStyle name="常规 5 7 3 2 2 3 2 2" xfId="34410"/>
    <cellStyle name="常规 5 7 3 2 2 3 2 2 2" xfId="30841"/>
    <cellStyle name="常规 5 7 3 2 2 3 2 3" xfId="25940"/>
    <cellStyle name="常规 5 7 3 2 2 3 2 4" xfId="25945"/>
    <cellStyle name="常规 5 7 3 2 2 3 3" xfId="34411"/>
    <cellStyle name="常规 5 7 3 2 2 3 3 2" xfId="34412"/>
    <cellStyle name="常规 5 7 3 2 2 3 4" xfId="34413"/>
    <cellStyle name="常规 5 7 3 2 2 3 5" xfId="34414"/>
    <cellStyle name="常规 5 7 3 2 2 4" xfId="34415"/>
    <cellStyle name="常规 5 7 3 2 2 4 2" xfId="34416"/>
    <cellStyle name="常规 5 7 3 2 2 4 2 2" xfId="18134"/>
    <cellStyle name="常规 5 7 3 2 2 4 3" xfId="34417"/>
    <cellStyle name="常规 5 7 3 2 2 4 4" xfId="34418"/>
    <cellStyle name="常规 5 7 3 2 2 5" xfId="34419"/>
    <cellStyle name="常规 5 7 3 2 2 5 2" xfId="34420"/>
    <cellStyle name="常规 5 7 3 2 2 6" xfId="34421"/>
    <cellStyle name="常规 5 7 3 2 2 7" xfId="32093"/>
    <cellStyle name="常规 5 7 3 2 3" xfId="417"/>
    <cellStyle name="常规 5 7 3 2 3 2" xfId="324"/>
    <cellStyle name="常规 5 7 3 2 3 2 2" xfId="34422"/>
    <cellStyle name="常规 5 7 3 2 3 2 2 2" xfId="12714"/>
    <cellStyle name="常规 5 7 3 2 3 2 2 2 2" xfId="34423"/>
    <cellStyle name="常规 5 7 3 2 3 2 2 3" xfId="25979"/>
    <cellStyle name="常规 5 7 3 2 3 2 2 4" xfId="6977"/>
    <cellStyle name="常规 5 7 3 2 3 2 3" xfId="34424"/>
    <cellStyle name="常规 5 7 3 2 3 2 3 2" xfId="34425"/>
    <cellStyle name="常规 5 7 3 2 3 2 4" xfId="34426"/>
    <cellStyle name="常规 5 7 3 2 3 2 5" xfId="29181"/>
    <cellStyle name="常规 5 7 3 2 3 3" xfId="10200"/>
    <cellStyle name="常规 5 7 3 2 3 3 2" xfId="34427"/>
    <cellStyle name="常规 5 7 3 2 3 3 2 2" xfId="34428"/>
    <cellStyle name="常规 5 7 3 2 3 3 3" xfId="34429"/>
    <cellStyle name="常规 5 7 3 2 3 3 4" xfId="34430"/>
    <cellStyle name="常规 5 7 3 2 3 4" xfId="34431"/>
    <cellStyle name="常规 5 7 3 2 3 4 2" xfId="34432"/>
    <cellStyle name="常规 5 7 3 2 3 5" xfId="34433"/>
    <cellStyle name="常规 5 7 3 2 3 6" xfId="34434"/>
    <cellStyle name="常规 5 7 3 2 4" xfId="439"/>
    <cellStyle name="常规 5 7 3 2 4 2" xfId="34435"/>
    <cellStyle name="常规 5 7 3 2 4 2 2" xfId="10688"/>
    <cellStyle name="常规 5 7 3 2 4 2 2 2" xfId="32694"/>
    <cellStyle name="常规 5 7 3 2 4 2 3" xfId="18115"/>
    <cellStyle name="常规 5 7 3 2 4 2 4" xfId="34436"/>
    <cellStyle name="常规 5 7 3 2 4 3" xfId="34437"/>
    <cellStyle name="常规 5 7 3 2 4 3 2" xfId="10982"/>
    <cellStyle name="常规 5 7 3 2 4 4" xfId="34438"/>
    <cellStyle name="常规 5 7 3 2 4 5" xfId="34439"/>
    <cellStyle name="常规 5 7 3 2 5" xfId="444"/>
    <cellStyle name="常规 5 7 3 2 5 2" xfId="34440"/>
    <cellStyle name="常规 5 7 3 2 5 2 2" xfId="11813"/>
    <cellStyle name="常规 5 7 3 2 5 3" xfId="34441"/>
    <cellStyle name="常规 5 7 3 2 5 4" xfId="34442"/>
    <cellStyle name="常规 5 7 3 2 6" xfId="34443"/>
    <cellStyle name="常规 5 7 3 2 6 2" xfId="15876"/>
    <cellStyle name="常规 5 7 3 2 7" xfId="13296"/>
    <cellStyle name="常规 5 7 3 2 8" xfId="12217"/>
    <cellStyle name="常规 5 7 3 3" xfId="34445"/>
    <cellStyle name="常规 5 7 3 3 2" xfId="6238"/>
    <cellStyle name="常规 5 7 3 3 2 2" xfId="34447"/>
    <cellStyle name="常规 5 7 3 3 2 2 2" xfId="34448"/>
    <cellStyle name="常规 5 7 3 3 2 2 2 2" xfId="34449"/>
    <cellStyle name="常规 5 7 3 3 2 2 2 2 2" xfId="34450"/>
    <cellStyle name="常规 5 7 3 3 2 2 2 3" xfId="26032"/>
    <cellStyle name="常规 5 7 3 3 2 2 2 4" xfId="25631"/>
    <cellStyle name="常规 5 7 3 3 2 2 3" xfId="34451"/>
    <cellStyle name="常规 5 7 3 3 2 2 3 2" xfId="34452"/>
    <cellStyle name="常规 5 7 3 3 2 2 4" xfId="4212"/>
    <cellStyle name="常规 5 7 3 3 2 2 5" xfId="4215"/>
    <cellStyle name="常规 5 7 3 3 2 3" xfId="34453"/>
    <cellStyle name="常规 5 7 3 3 2 3 2" xfId="34454"/>
    <cellStyle name="常规 5 7 3 3 2 3 2 2" xfId="34455"/>
    <cellStyle name="常规 5 7 3 3 2 3 3" xfId="34456"/>
    <cellStyle name="常规 5 7 3 3 2 3 4" xfId="4231"/>
    <cellStyle name="常规 5 7 3 3 2 4" xfId="34457"/>
    <cellStyle name="常规 5 7 3 3 2 4 2" xfId="34458"/>
    <cellStyle name="常规 5 7 3 3 2 5" xfId="33989"/>
    <cellStyle name="常规 5 7 3 3 2 6" xfId="34459"/>
    <cellStyle name="常规 5 7 3 3 3" xfId="22520"/>
    <cellStyle name="常规 5 7 3 3 3 2" xfId="34460"/>
    <cellStyle name="常规 5 7 3 3 3 2 2" xfId="34461"/>
    <cellStyle name="常规 5 7 3 3 3 2 2 2" xfId="32415"/>
    <cellStyle name="常规 5 7 3 3 3 2 3" xfId="34462"/>
    <cellStyle name="常规 5 7 3 3 3 2 4" xfId="4266"/>
    <cellStyle name="常规 5 7 3 3 3 3" xfId="34463"/>
    <cellStyle name="常规 5 7 3 3 3 3 2" xfId="34464"/>
    <cellStyle name="常规 5 7 3 3 3 4" xfId="34000"/>
    <cellStyle name="常规 5 7 3 3 3 5" xfId="34032"/>
    <cellStyle name="常规 5 7 3 3 4" xfId="34466"/>
    <cellStyle name="常规 5 7 3 3 4 2" xfId="34467"/>
    <cellStyle name="常规 5 7 3 3 4 2 2" xfId="13535"/>
    <cellStyle name="常规 5 7 3 3 4 3" xfId="34468"/>
    <cellStyle name="常规 5 7 3 3 4 4" xfId="34085"/>
    <cellStyle name="常规 5 7 3 3 5" xfId="34469"/>
    <cellStyle name="常规 5 7 3 3 5 2" xfId="34470"/>
    <cellStyle name="常规 5 7 3 3 6" xfId="34471"/>
    <cellStyle name="常规 5 7 3 3 7" xfId="13303"/>
    <cellStyle name="常规 5 7 3 4" xfId="29113"/>
    <cellStyle name="常规 5 7 3 4 2" xfId="29116"/>
    <cellStyle name="常规 5 7 3 4 2 2" xfId="29119"/>
    <cellStyle name="常规 5 7 3 4 2 2 2" xfId="22776"/>
    <cellStyle name="常规 5 7 3 4 2 2 2 2" xfId="29121"/>
    <cellStyle name="常规 5 7 3 4 2 2 3" xfId="29123"/>
    <cellStyle name="常规 5 7 3 4 2 2 4" xfId="4352"/>
    <cellStyle name="常规 5 7 3 4 2 3" xfId="12914"/>
    <cellStyle name="常规 5 7 3 4 2 3 2" xfId="12918"/>
    <cellStyle name="常规 5 7 3 4 2 4" xfId="12927"/>
    <cellStyle name="常规 5 7 3 4 2 5" xfId="12932"/>
    <cellStyle name="常规 5 7 3 4 3" xfId="29126"/>
    <cellStyle name="常规 5 7 3 4 3 2" xfId="18789"/>
    <cellStyle name="常规 5 7 3 4 3 2 2" xfId="29128"/>
    <cellStyle name="常规 5 7 3 4 3 3" xfId="12944"/>
    <cellStyle name="常规 5 7 3 4 3 4" xfId="12951"/>
    <cellStyle name="常规 5 7 3 4 4" xfId="6119"/>
    <cellStyle name="常规 5 7 3 4 4 2" xfId="6123"/>
    <cellStyle name="常规 5 7 3 4 5" xfId="6136"/>
    <cellStyle name="常规 5 7 3 4 6" xfId="6148"/>
    <cellStyle name="常规 5 7 3 5" xfId="29132"/>
    <cellStyle name="常规 5 7 3 5 2" xfId="16457"/>
    <cellStyle name="常规 5 7 3 5 2 2" xfId="8428"/>
    <cellStyle name="常规 5 7 3 5 2 2 2" xfId="1863"/>
    <cellStyle name="常规 5 7 3 5 2 3" xfId="12971"/>
    <cellStyle name="常规 5 7 3 5 2 4" xfId="12975"/>
    <cellStyle name="常规 5 7 3 5 3" xfId="16460"/>
    <cellStyle name="常规 5 7 3 5 3 2" xfId="18821"/>
    <cellStyle name="常规 5 7 3 5 4" xfId="6175"/>
    <cellStyle name="常规 5 7 3 5 5" xfId="6180"/>
    <cellStyle name="常规 5 7 3 6" xfId="29135"/>
    <cellStyle name="常规 5 7 3 6 2" xfId="7297"/>
    <cellStyle name="常规 5 7 3 6 2 2" xfId="7306"/>
    <cellStyle name="常规 5 7 3 6 3" xfId="7199"/>
    <cellStyle name="常规 5 7 3 6 4" xfId="6196"/>
    <cellStyle name="常规 5 7 3 7" xfId="29137"/>
    <cellStyle name="常规 5 7 3 7 2" xfId="7357"/>
    <cellStyle name="常规 5 7 3 8" xfId="29141"/>
    <cellStyle name="常规 5 7 3 9" xfId="29145"/>
    <cellStyle name="常规 5 7 4" xfId="34472"/>
    <cellStyle name="常规 5 7 4 2" xfId="16833"/>
    <cellStyle name="常规 5 7 4 2 2" xfId="472"/>
    <cellStyle name="常规 5 7 4 2 2 2" xfId="477"/>
    <cellStyle name="常规 5 7 4 2 2 2 2" xfId="21560"/>
    <cellStyle name="常规 5 7 4 2 2 2 2 2" xfId="3425"/>
    <cellStyle name="常规 5 7 4 2 2 2 2 2 2" xfId="24230"/>
    <cellStyle name="常规 5 7 4 2 2 2 2 3" xfId="26141"/>
    <cellStyle name="常规 5 7 4 2 2 2 2 4" xfId="26145"/>
    <cellStyle name="常规 5 7 4 2 2 2 3" xfId="34473"/>
    <cellStyle name="常规 5 7 4 2 2 2 3 2" xfId="34474"/>
    <cellStyle name="常规 5 7 4 2 2 2 4" xfId="34475"/>
    <cellStyle name="常规 5 7 4 2 2 2 5" xfId="34477"/>
    <cellStyle name="常规 5 7 4 2 2 3" xfId="479"/>
    <cellStyle name="常规 5 7 4 2 2 3 2" xfId="34478"/>
    <cellStyle name="常规 5 7 4 2 2 3 2 2" xfId="3470"/>
    <cellStyle name="常规 5 7 4 2 2 3 3" xfId="34479"/>
    <cellStyle name="常规 5 7 4 2 2 3 4" xfId="34480"/>
    <cellStyle name="常规 5 7 4 2 2 4" xfId="34481"/>
    <cellStyle name="常规 5 7 4 2 2 4 2" xfId="34482"/>
    <cellStyle name="常规 5 7 4 2 2 5" xfId="23570"/>
    <cellStyle name="常规 5 7 4 2 2 6" xfId="34483"/>
    <cellStyle name="常规 5 7 4 2 3" xfId="482"/>
    <cellStyle name="常规 5 7 4 2 3 2" xfId="491"/>
    <cellStyle name="常规 5 7 4 2 3 2 2" xfId="28035"/>
    <cellStyle name="常规 5 7 4 2 3 2 2 2" xfId="28038"/>
    <cellStyle name="常规 5 7 4 2 3 2 3" xfId="28041"/>
    <cellStyle name="常规 5 7 4 2 3 2 4" xfId="28045"/>
    <cellStyle name="常规 5 7 4 2 3 3" xfId="34484"/>
    <cellStyle name="常规 5 7 4 2 3 3 2" xfId="28056"/>
    <cellStyle name="常规 5 7 4 2 3 4" xfId="34485"/>
    <cellStyle name="常规 5 7 4 2 3 5" xfId="34487"/>
    <cellStyle name="常规 5 7 4 2 4" xfId="495"/>
    <cellStyle name="常规 5 7 4 2 4 2" xfId="34488"/>
    <cellStyle name="常规 5 7 4 2 4 2 2" xfId="28088"/>
    <cellStyle name="常规 5 7 4 2 4 3" xfId="34489"/>
    <cellStyle name="常规 5 7 4 2 4 4" xfId="34490"/>
    <cellStyle name="常规 5 7 4 2 5" xfId="500"/>
    <cellStyle name="常规 5 7 4 2 5 2" xfId="34491"/>
    <cellStyle name="常规 5 7 4 2 6" xfId="34492"/>
    <cellStyle name="常规 5 7 4 2 7" xfId="13314"/>
    <cellStyle name="常规 5 7 4 3" xfId="16836"/>
    <cellStyle name="常规 5 7 4 3 2" xfId="34494"/>
    <cellStyle name="常规 5 7 4 3 2 2" xfId="14670"/>
    <cellStyle name="常规 5 7 4 3 2 2 2" xfId="14672"/>
    <cellStyle name="常规 5 7 4 3 2 2 2 2" xfId="14674"/>
    <cellStyle name="常规 5 7 4 3 2 2 3" xfId="14676"/>
    <cellStyle name="常规 5 7 4 3 2 2 4" xfId="4465"/>
    <cellStyle name="常规 5 7 4 3 2 3" xfId="14678"/>
    <cellStyle name="常规 5 7 4 3 2 3 2" xfId="14680"/>
    <cellStyle name="常规 5 7 4 3 2 4" xfId="14682"/>
    <cellStyle name="常规 5 7 4 3 2 5" xfId="14684"/>
    <cellStyle name="常规 5 7 4 3 3" xfId="22762"/>
    <cellStyle name="常规 5 7 4 3 3 2" xfId="14711"/>
    <cellStyle name="常规 5 7 4 3 3 2 2" xfId="14714"/>
    <cellStyle name="常规 5 7 4 3 3 3" xfId="14717"/>
    <cellStyle name="常规 5 7 4 3 3 4" xfId="14719"/>
    <cellStyle name="常规 5 7 4 3 4" xfId="34495"/>
    <cellStyle name="常规 5 7 4 3 4 2" xfId="14728"/>
    <cellStyle name="常规 5 7 4 3 5" xfId="34496"/>
    <cellStyle name="常规 5 7 4 3 6" xfId="34497"/>
    <cellStyle name="常规 5 7 4 4" xfId="29150"/>
    <cellStyle name="常规 5 7 4 4 2" xfId="29152"/>
    <cellStyle name="常规 5 7 4 4 2 2" xfId="14757"/>
    <cellStyle name="常规 5 7 4 4 2 2 2" xfId="14760"/>
    <cellStyle name="常规 5 7 4 4 2 3" xfId="13012"/>
    <cellStyle name="常规 5 7 4 4 2 4" xfId="13019"/>
    <cellStyle name="常规 5 7 4 4 3" xfId="29154"/>
    <cellStyle name="常规 5 7 4 4 3 2" xfId="14777"/>
    <cellStyle name="常规 5 7 4 4 4" xfId="6229"/>
    <cellStyle name="常规 5 7 4 4 5" xfId="6240"/>
    <cellStyle name="常规 5 7 4 5" xfId="29157"/>
    <cellStyle name="常规 5 7 4 5 2" xfId="16479"/>
    <cellStyle name="常规 5 7 4 5 2 2" xfId="9240"/>
    <cellStyle name="常规 5 7 4 5 3" xfId="16482"/>
    <cellStyle name="常规 5 7 4 5 4" xfId="6257"/>
    <cellStyle name="常规 5 7 4 6" xfId="1132"/>
    <cellStyle name="常规 5 7 4 6 2" xfId="1138"/>
    <cellStyle name="常规 5 7 4 7" xfId="1164"/>
    <cellStyle name="常规 5 7 4 8" xfId="620"/>
    <cellStyle name="常规 5 7 5" xfId="19463"/>
    <cellStyle name="常规 5 7 5 2" xfId="14751"/>
    <cellStyle name="常规 5 7 5 2 2" xfId="552"/>
    <cellStyle name="常规 5 7 5 2 2 2" xfId="555"/>
    <cellStyle name="常规 5 7 5 2 2 2 2" xfId="34498"/>
    <cellStyle name="常规 5 7 5 2 2 2 2 2" xfId="34499"/>
    <cellStyle name="常规 5 7 5 2 2 2 3" xfId="5943"/>
    <cellStyle name="常规 5 7 5 2 2 2 4" xfId="3002"/>
    <cellStyle name="常规 5 7 5 2 2 3" xfId="22"/>
    <cellStyle name="常规 5 7 5 2 2 3 2" xfId="34500"/>
    <cellStyle name="常规 5 7 5 2 2 4" xfId="34501"/>
    <cellStyle name="常规 5 7 5 2 2 5" xfId="34502"/>
    <cellStyle name="常规 5 7 5 2 3" xfId="563"/>
    <cellStyle name="常规 5 7 5 2 3 2" xfId="565"/>
    <cellStyle name="常规 5 7 5 2 3 2 2" xfId="28291"/>
    <cellStyle name="常规 5 7 5 2 3 3" xfId="34503"/>
    <cellStyle name="常规 5 7 5 2 3 4" xfId="34504"/>
    <cellStyle name="常规 5 7 5 2 4" xfId="580"/>
    <cellStyle name="常规 5 7 5 2 4 2" xfId="34505"/>
    <cellStyle name="常规 5 7 5 2 5" xfId="585"/>
    <cellStyle name="常规 5 7 5 2 6" xfId="34506"/>
    <cellStyle name="常规 5 7 5 3" xfId="34508"/>
    <cellStyle name="常规 5 7 5 3 2" xfId="34510"/>
    <cellStyle name="常规 5 7 5 3 2 2" xfId="14849"/>
    <cellStyle name="常规 5 7 5 3 2 2 2" xfId="14852"/>
    <cellStyle name="常规 5 7 5 3 2 3" xfId="14857"/>
    <cellStyle name="常规 5 7 5 3 2 4" xfId="14861"/>
    <cellStyle name="常规 5 7 5 3 3" xfId="34512"/>
    <cellStyle name="常规 5 7 5 3 3 2" xfId="14889"/>
    <cellStyle name="常规 5 7 5 3 4" xfId="34513"/>
    <cellStyle name="常规 5 7 5 3 5" xfId="34514"/>
    <cellStyle name="常规 5 7 5 4" xfId="29161"/>
    <cellStyle name="常规 5 7 5 4 2" xfId="29164"/>
    <cellStyle name="常规 5 7 5 4 2 2" xfId="14946"/>
    <cellStyle name="常规 5 7 5 4 3" xfId="29166"/>
    <cellStyle name="常规 5 7 5 4 4" xfId="637"/>
    <cellStyle name="常规 5 7 5 5" xfId="29168"/>
    <cellStyle name="常规 5 7 5 5 2" xfId="16505"/>
    <cellStyle name="常规 5 7 5 6" xfId="29170"/>
    <cellStyle name="常规 5 7 5 7" xfId="17638"/>
    <cellStyle name="常规 5 7 6" xfId="34515"/>
    <cellStyle name="常规 5 7 6 2" xfId="34516"/>
    <cellStyle name="常规 5 7 6 2 2" xfId="616"/>
    <cellStyle name="常规 5 7 6 2 2 2" xfId="625"/>
    <cellStyle name="常规 5 7 6 2 2 2 2" xfId="34517"/>
    <cellStyle name="常规 5 7 6 2 2 3" xfId="641"/>
    <cellStyle name="常规 5 7 6 2 2 4" xfId="21253"/>
    <cellStyle name="常规 5 7 6 2 3" xfId="643"/>
    <cellStyle name="常规 5 7 6 2 3 2" xfId="646"/>
    <cellStyle name="常规 5 7 6 2 4" xfId="659"/>
    <cellStyle name="常规 5 7 6 2 5" xfId="661"/>
    <cellStyle name="常规 5 7 6 3" xfId="34518"/>
    <cellStyle name="常规 5 7 6 3 2" xfId="18398"/>
    <cellStyle name="常规 5 7 6 3 2 2" xfId="15046"/>
    <cellStyle name="常规 5 7 6 3 3" xfId="18400"/>
    <cellStyle name="常规 5 7 6 3 4" xfId="18402"/>
    <cellStyle name="常规 5 7 6 4" xfId="29174"/>
    <cellStyle name="常规 5 7 6 4 2" xfId="18408"/>
    <cellStyle name="常规 5 7 6 5" xfId="19009"/>
    <cellStyle name="常规 5 7 6 6" xfId="19020"/>
    <cellStyle name="常规 5 7 7" xfId="34519"/>
    <cellStyle name="常规 5 7 7 2" xfId="34520"/>
    <cellStyle name="常规 5 7 7 2 2" xfId="686"/>
    <cellStyle name="常规 5 7 7 2 2 2" xfId="689"/>
    <cellStyle name="常规 5 7 7 2 3" xfId="696"/>
    <cellStyle name="常规 5 7 7 2 4" xfId="701"/>
    <cellStyle name="常规 5 7 7 3" xfId="34521"/>
    <cellStyle name="常规 5 7 7 3 2" xfId="18426"/>
    <cellStyle name="常规 5 7 7 4" xfId="21782"/>
    <cellStyle name="常规 5 7 7 5" xfId="19031"/>
    <cellStyle name="常规 5 7 8" xfId="34522"/>
    <cellStyle name="常规 5 7 8 2" xfId="34523"/>
    <cellStyle name="常规 5 7 8 2 2" xfId="734"/>
    <cellStyle name="常规 5 7 8 3" xfId="34524"/>
    <cellStyle name="常规 5 7 8 4" xfId="21791"/>
    <cellStyle name="常规 5 7 9" xfId="34525"/>
    <cellStyle name="常规 5 7 9 2" xfId="34526"/>
    <cellStyle name="常规 5 8" xfId="19858"/>
    <cellStyle name="常规 5 8 10" xfId="24479"/>
    <cellStyle name="常规 5 8 2" xfId="19860"/>
    <cellStyle name="常规 5 8 2 2" xfId="22413"/>
    <cellStyle name="常规 5 8 2 2 2" xfId="14897"/>
    <cellStyle name="常规 5 8 2 2 2 2" xfId="33389"/>
    <cellStyle name="常规 5 8 2 2 2 2 2" xfId="19489"/>
    <cellStyle name="常规 5 8 2 2 2 2 2 2" xfId="23115"/>
    <cellStyle name="常规 5 8 2 2 2 2 2 2 2" xfId="12797"/>
    <cellStyle name="常规 5 8 2 2 2 2 2 2 2 2" xfId="6111"/>
    <cellStyle name="常规 5 8 2 2 2 2 2 2 3" xfId="12800"/>
    <cellStyle name="常规 5 8 2 2 2 2 2 2 4" xfId="34527"/>
    <cellStyle name="常规 5 8 2 2 2 2 2 3" xfId="33026"/>
    <cellStyle name="常规 5 8 2 2 2 2 2 3 2" xfId="33028"/>
    <cellStyle name="常规 5 8 2 2 2 2 2 4" xfId="33035"/>
    <cellStyle name="常规 5 8 2 2 2 2 2 5" xfId="20970"/>
    <cellStyle name="常规 5 8 2 2 2 2 3" xfId="12098"/>
    <cellStyle name="常规 5 8 2 2 2 2 3 2" xfId="12102"/>
    <cellStyle name="常规 5 8 2 2 2 2 3 2 2" xfId="12105"/>
    <cellStyle name="常规 5 8 2 2 2 2 3 3" xfId="12109"/>
    <cellStyle name="常规 5 8 2 2 2 2 3 4" xfId="12114"/>
    <cellStyle name="常规 5 8 2 2 2 2 4" xfId="12118"/>
    <cellStyle name="常规 5 8 2 2 2 2 4 2" xfId="12121"/>
    <cellStyle name="常规 5 8 2 2 2 2 5" xfId="12125"/>
    <cellStyle name="常规 5 8 2 2 2 2 6" xfId="12128"/>
    <cellStyle name="常规 5 8 2 2 2 3" xfId="33391"/>
    <cellStyle name="常规 5 8 2 2 2 3 2" xfId="34528"/>
    <cellStyle name="常规 5 8 2 2 2 3 2 2" xfId="34529"/>
    <cellStyle name="常规 5 8 2 2 2 3 2 2 2" xfId="34530"/>
    <cellStyle name="常规 5 8 2 2 2 3 2 3" xfId="33046"/>
    <cellStyle name="常规 5 8 2 2 2 3 2 4" xfId="33050"/>
    <cellStyle name="常规 5 8 2 2 2 3 3" xfId="12136"/>
    <cellStyle name="常规 5 8 2 2 2 3 3 2" xfId="12139"/>
    <cellStyle name="常规 5 8 2 2 2 3 4" xfId="12142"/>
    <cellStyle name="常规 5 8 2 2 2 3 5" xfId="12146"/>
    <cellStyle name="常规 5 8 2 2 2 4" xfId="34531"/>
    <cellStyle name="常规 5 8 2 2 2 4 2" xfId="34532"/>
    <cellStyle name="常规 5 8 2 2 2 4 2 2" xfId="9868"/>
    <cellStyle name="常规 5 8 2 2 2 4 3" xfId="12154"/>
    <cellStyle name="常规 5 8 2 2 2 4 4" xfId="17693"/>
    <cellStyle name="常规 5 8 2 2 2 5" xfId="34533"/>
    <cellStyle name="常规 5 8 2 2 2 5 2" xfId="34534"/>
    <cellStyle name="常规 5 8 2 2 2 6" xfId="34535"/>
    <cellStyle name="常规 5 8 2 2 2 7" xfId="34536"/>
    <cellStyle name="常规 5 8 2 2 3" xfId="33205"/>
    <cellStyle name="常规 5 8 2 2 3 2" xfId="33397"/>
    <cellStyle name="常规 5 8 2 2 3 2 2" xfId="34537"/>
    <cellStyle name="常规 5 8 2 2 3 2 2 2" xfId="34538"/>
    <cellStyle name="常规 5 8 2 2 3 2 2 2 2" xfId="34539"/>
    <cellStyle name="常规 5 8 2 2 3 2 2 3" xfId="33060"/>
    <cellStyle name="常规 5 8 2 2 3 2 2 4" xfId="33064"/>
    <cellStyle name="常规 5 8 2 2 3 2 3" xfId="12170"/>
    <cellStyle name="常规 5 8 2 2 3 2 3 2" xfId="12174"/>
    <cellStyle name="常规 5 8 2 2 3 2 4" xfId="12178"/>
    <cellStyle name="常规 5 8 2 2 3 2 5" xfId="12182"/>
    <cellStyle name="常规 5 8 2 2 3 3" xfId="34540"/>
    <cellStyle name="常规 5 8 2 2 3 3 2" xfId="34541"/>
    <cellStyle name="常规 5 8 2 2 3 3 2 2" xfId="34542"/>
    <cellStyle name="常规 5 8 2 2 3 3 3" xfId="12189"/>
    <cellStyle name="常规 5 8 2 2 3 3 4" xfId="31794"/>
    <cellStyle name="常规 5 8 2 2 3 4" xfId="34543"/>
    <cellStyle name="常规 5 8 2 2 3 4 2" xfId="34544"/>
    <cellStyle name="常规 5 8 2 2 3 5" xfId="34545"/>
    <cellStyle name="常规 5 8 2 2 3 6" xfId="34546"/>
    <cellStyle name="常规 5 8 2 2 4" xfId="34547"/>
    <cellStyle name="常规 5 8 2 2 4 2" xfId="34548"/>
    <cellStyle name="常规 5 8 2 2 4 2 2" xfId="34549"/>
    <cellStyle name="常规 5 8 2 2 4 2 2 2" xfId="34550"/>
    <cellStyle name="常规 5 8 2 2 4 2 3" xfId="12203"/>
    <cellStyle name="常规 5 8 2 2 4 2 4" xfId="34552"/>
    <cellStyle name="常规 5 8 2 2 4 3" xfId="34553"/>
    <cellStyle name="常规 5 8 2 2 4 3 2" xfId="34554"/>
    <cellStyle name="常规 5 8 2 2 4 4" xfId="8224"/>
    <cellStyle name="常规 5 8 2 2 4 5" xfId="8226"/>
    <cellStyle name="常规 5 8 2 2 5" xfId="34555"/>
    <cellStyle name="常规 5 8 2 2 5 2" xfId="34556"/>
    <cellStyle name="常规 5 8 2 2 5 2 2" xfId="34557"/>
    <cellStyle name="常规 5 8 2 2 5 3" xfId="10921"/>
    <cellStyle name="常规 5 8 2 2 5 4" xfId="1811"/>
    <cellStyle name="常规 5 8 2 2 6" xfId="34558"/>
    <cellStyle name="常规 5 8 2 2 6 2" xfId="32682"/>
    <cellStyle name="常规 5 8 2 2 7" xfId="13450"/>
    <cellStyle name="常规 5 8 2 2 8" xfId="13458"/>
    <cellStyle name="常规 5 8 2 3" xfId="34559"/>
    <cellStyle name="常规 5 8 2 3 2" xfId="34560"/>
    <cellStyle name="常规 5 8 2 3 2 2" xfId="33406"/>
    <cellStyle name="常规 5 8 2 3 2 2 2" xfId="19606"/>
    <cellStyle name="常规 5 8 2 3 2 2 2 2" xfId="34349"/>
    <cellStyle name="常规 5 8 2 3 2 2 2 2 2" xfId="34561"/>
    <cellStyle name="常规 5 8 2 3 2 2 2 3" xfId="29308"/>
    <cellStyle name="常规 5 8 2 3 2 2 2 4" xfId="33083"/>
    <cellStyle name="常规 5 8 2 3 2 2 3" xfId="12446"/>
    <cellStyle name="常规 5 8 2 3 2 2 3 2" xfId="34563"/>
    <cellStyle name="常规 5 8 2 3 2 2 4" xfId="34565"/>
    <cellStyle name="常规 5 8 2 3 2 2 5" xfId="34567"/>
    <cellStyle name="常规 5 8 2 3 2 3" xfId="34568"/>
    <cellStyle name="常规 5 8 2 3 2 3 2" xfId="34569"/>
    <cellStyle name="常规 5 8 2 3 2 3 2 2" xfId="34570"/>
    <cellStyle name="常规 5 8 2 3 2 3 3" xfId="34572"/>
    <cellStyle name="常规 5 8 2 3 2 3 4" xfId="34574"/>
    <cellStyle name="常规 5 8 2 3 2 4" xfId="34575"/>
    <cellStyle name="常规 5 8 2 3 2 4 2" xfId="34576"/>
    <cellStyle name="常规 5 8 2 3 2 5" xfId="34306"/>
    <cellStyle name="常规 5 8 2 3 2 6" xfId="34577"/>
    <cellStyle name="常规 5 8 2 3 3" xfId="34578"/>
    <cellStyle name="常规 5 8 2 3 3 2" xfId="34579"/>
    <cellStyle name="常规 5 8 2 3 3 2 2" xfId="34580"/>
    <cellStyle name="常规 5 8 2 3 3 2 2 2" xfId="32704"/>
    <cellStyle name="常规 5 8 2 3 3 2 3" xfId="20647"/>
    <cellStyle name="常规 5 8 2 3 3 2 4" xfId="32915"/>
    <cellStyle name="常规 5 8 2 3 3 3" xfId="34581"/>
    <cellStyle name="常规 5 8 2 3 3 3 2" xfId="34582"/>
    <cellStyle name="常规 5 8 2 3 3 4" xfId="34583"/>
    <cellStyle name="常规 5 8 2 3 3 5" xfId="34584"/>
    <cellStyle name="常规 5 8 2 3 4" xfId="34585"/>
    <cellStyle name="常规 5 8 2 3 4 2" xfId="34586"/>
    <cellStyle name="常规 5 8 2 3 4 2 2" xfId="34587"/>
    <cellStyle name="常规 5 8 2 3 4 3" xfId="34588"/>
    <cellStyle name="常规 5 8 2 3 4 4" xfId="34589"/>
    <cellStyle name="常规 5 8 2 3 5" xfId="34590"/>
    <cellStyle name="常规 5 8 2 3 5 2" xfId="34591"/>
    <cellStyle name="常规 5 8 2 3 6" xfId="34592"/>
    <cellStyle name="常规 5 8 2 3 7" xfId="13468"/>
    <cellStyle name="常规 5 8 2 4" xfId="29177"/>
    <cellStyle name="常规 5 8 2 4 2" xfId="29179"/>
    <cellStyle name="常规 5 8 2 4 2 2" xfId="16157"/>
    <cellStyle name="常规 5 8 2 4 2 2 2" xfId="7145"/>
    <cellStyle name="常规 5 8 2 4 2 2 2 2" xfId="29182"/>
    <cellStyle name="常规 5 8 2 4 2 2 3" xfId="12725"/>
    <cellStyle name="常规 5 8 2 4 2 2 4" xfId="29189"/>
    <cellStyle name="常规 5 8 2 4 2 3" xfId="14481"/>
    <cellStyle name="常规 5 8 2 4 2 3 2" xfId="14486"/>
    <cellStyle name="常规 5 8 2 4 2 4" xfId="5211"/>
    <cellStyle name="常规 5 8 2 4 2 5" xfId="5232"/>
    <cellStyle name="常规 5 8 2 4 3" xfId="29194"/>
    <cellStyle name="常规 5 8 2 4 3 2" xfId="16173"/>
    <cellStyle name="常规 5 8 2 4 3 2 2" xfId="29197"/>
    <cellStyle name="常规 5 8 2 4 3 3" xfId="14500"/>
    <cellStyle name="常规 5 8 2 4 3 4" xfId="5246"/>
    <cellStyle name="常规 5 8 2 4 4" xfId="22231"/>
    <cellStyle name="常规 5 8 2 4 4 2" xfId="16185"/>
    <cellStyle name="常规 5 8 2 4 5" xfId="22235"/>
    <cellStyle name="常规 5 8 2 4 6" xfId="1837"/>
    <cellStyle name="常规 5 8 2 5" xfId="29211"/>
    <cellStyle name="常规 5 8 2 5 2" xfId="29103"/>
    <cellStyle name="常规 5 8 2 5 2 2" xfId="16406"/>
    <cellStyle name="常规 5 8 2 5 2 2 2" xfId="29214"/>
    <cellStyle name="常规 5 8 2 5 2 3" xfId="14519"/>
    <cellStyle name="常规 5 8 2 5 2 4" xfId="5286"/>
    <cellStyle name="常规 5 8 2 5 3" xfId="29107"/>
    <cellStyle name="常规 5 8 2 5 3 2" xfId="16417"/>
    <cellStyle name="常规 5 8 2 5 4" xfId="22240"/>
    <cellStyle name="常规 5 8 2 5 5" xfId="23543"/>
    <cellStyle name="常规 5 8 2 6" xfId="29226"/>
    <cellStyle name="常规 5 8 2 6 2" xfId="29140"/>
    <cellStyle name="常规 5 8 2 6 2 2" xfId="7383"/>
    <cellStyle name="常规 5 8 2 6 3" xfId="29144"/>
    <cellStyle name="常规 5 8 2 6 4" xfId="29228"/>
    <cellStyle name="常规 5 8 2 7" xfId="613"/>
    <cellStyle name="常规 5 8 2 7 2" xfId="619"/>
    <cellStyle name="常规 5 8 2 8" xfId="29233"/>
    <cellStyle name="常规 5 8 2 9" xfId="29240"/>
    <cellStyle name="常规 5 8 3" xfId="34123"/>
    <cellStyle name="常规 5 8 3 2" xfId="34125"/>
    <cellStyle name="常规 5 8 3 2 2" xfId="30095"/>
    <cellStyle name="常规 5 8 3 2 2 2" xfId="27231"/>
    <cellStyle name="常规 5 8 3 2 2 2 2" xfId="27235"/>
    <cellStyle name="常规 5 8 3 2 2 2 2 2" xfId="27238"/>
    <cellStyle name="常规 5 8 3 2 2 2 2 2 2" xfId="34593"/>
    <cellStyle name="常规 5 8 3 2 2 2 2 3" xfId="26562"/>
    <cellStyle name="常规 5 8 3 2 2 2 2 4" xfId="26568"/>
    <cellStyle name="常规 5 8 3 2 2 2 3" xfId="14086"/>
    <cellStyle name="常规 5 8 3 2 2 2 3 2" xfId="34596"/>
    <cellStyle name="常规 5 8 3 2 2 2 4" xfId="27241"/>
    <cellStyle name="常规 5 8 3 2 2 2 5" xfId="34598"/>
    <cellStyle name="常规 5 8 3 2 2 3" xfId="27243"/>
    <cellStyle name="常规 5 8 3 2 2 3 2" xfId="27246"/>
    <cellStyle name="常规 5 8 3 2 2 3 2 2" xfId="34600"/>
    <cellStyle name="常规 5 8 3 2 2 3 3" xfId="34602"/>
    <cellStyle name="常规 5 8 3 2 2 3 4" xfId="34604"/>
    <cellStyle name="常规 5 8 3 2 2 4" xfId="27248"/>
    <cellStyle name="常规 5 8 3 2 2 4 2" xfId="34605"/>
    <cellStyle name="常规 5 8 3 2 2 5" xfId="27250"/>
    <cellStyle name="常规 5 8 3 2 2 6" xfId="34606"/>
    <cellStyle name="常规 5 8 3 2 3" xfId="22993"/>
    <cellStyle name="常规 5 8 3 2 3 2" xfId="27436"/>
    <cellStyle name="常规 5 8 3 2 3 2 2" xfId="21595"/>
    <cellStyle name="常规 5 8 3 2 3 2 2 2" xfId="34608"/>
    <cellStyle name="常规 5 8 3 2 3 2 3" xfId="34610"/>
    <cellStyle name="常规 5 8 3 2 3 2 4" xfId="34612"/>
    <cellStyle name="常规 5 8 3 2 3 3" xfId="27439"/>
    <cellStyle name="常规 5 8 3 2 3 3 2" xfId="34613"/>
    <cellStyle name="常规 5 8 3 2 3 4" xfId="27442"/>
    <cellStyle name="常规 5 8 3 2 3 5" xfId="34614"/>
    <cellStyle name="常规 5 8 3 2 4" xfId="34615"/>
    <cellStyle name="常规 5 8 3 2 4 2" xfId="27528"/>
    <cellStyle name="常规 5 8 3 2 4 2 2" xfId="34616"/>
    <cellStyle name="常规 5 8 3 2 4 3" xfId="27531"/>
    <cellStyle name="常规 5 8 3 2 4 4" xfId="34617"/>
    <cellStyle name="常规 5 8 3 2 5" xfId="34618"/>
    <cellStyle name="常规 5 8 3 2 5 2" xfId="27574"/>
    <cellStyle name="常规 5 8 3 2 6" xfId="34619"/>
    <cellStyle name="常规 5 8 3 2 7" xfId="13504"/>
    <cellStyle name="常规 5 8 3 3" xfId="32569"/>
    <cellStyle name="常规 5 8 3 3 2" xfId="32573"/>
    <cellStyle name="常规 5 8 3 3 2 2" xfId="28454"/>
    <cellStyle name="常规 5 8 3 3 2 2 2" xfId="28457"/>
    <cellStyle name="常规 5 8 3 3 2 2 2 2" xfId="12183"/>
    <cellStyle name="常规 5 8 3 3 2 2 3" xfId="14319"/>
    <cellStyle name="常规 5 8 3 3 2 2 4" xfId="4595"/>
    <cellStyle name="常规 5 8 3 3 2 3" xfId="28459"/>
    <cellStyle name="常规 5 8 3 3 2 3 2" xfId="34620"/>
    <cellStyle name="常规 5 8 3 3 2 4" xfId="28462"/>
    <cellStyle name="常规 5 8 3 3 2 5" xfId="34621"/>
    <cellStyle name="常规 5 8 3 3 3" xfId="34622"/>
    <cellStyle name="常规 5 8 3 3 3 2" xfId="28515"/>
    <cellStyle name="常规 5 8 3 3 3 2 2" xfId="34623"/>
    <cellStyle name="常规 5 8 3 3 3 3" xfId="28518"/>
    <cellStyle name="常规 5 8 3 3 3 4" xfId="220"/>
    <cellStyle name="常规 5 8 3 3 4" xfId="34624"/>
    <cellStyle name="常规 5 8 3 3 4 2" xfId="28541"/>
    <cellStyle name="常规 5 8 3 3 5" xfId="34625"/>
    <cellStyle name="常规 5 8 3 3 6" xfId="34626"/>
    <cellStyle name="常规 5 8 3 4" xfId="29245"/>
    <cellStyle name="常规 5 8 3 4 2" xfId="29249"/>
    <cellStyle name="常规 5 8 3 4 2 2" xfId="17620"/>
    <cellStyle name="常规 5 8 3 4 2 2 2" xfId="29251"/>
    <cellStyle name="常规 5 8 3 4 2 3" xfId="14559"/>
    <cellStyle name="常规 5 8 3 4 2 4" xfId="4241"/>
    <cellStyle name="常规 5 8 3 4 3" xfId="29257"/>
    <cellStyle name="常规 5 8 3 4 3 2" xfId="18962"/>
    <cellStyle name="常规 5 8 3 4 4" xfId="4295"/>
    <cellStyle name="常规 5 8 3 4 5" xfId="4324"/>
    <cellStyle name="常规 5 8 3 5" xfId="29264"/>
    <cellStyle name="常规 5 8 3 5 2" xfId="29232"/>
    <cellStyle name="常规 5 8 3 5 2 2" xfId="29236"/>
    <cellStyle name="常规 5 8 3 5 3" xfId="29239"/>
    <cellStyle name="常规 5 8 3 5 4" xfId="4374"/>
    <cellStyle name="常规 5 8 3 6" xfId="4397"/>
    <cellStyle name="常规 5 8 3 6 2" xfId="4403"/>
    <cellStyle name="常规 5 8 3 7" xfId="4446"/>
    <cellStyle name="常规 5 8 3 8" xfId="4402"/>
    <cellStyle name="常规 5 8 4" xfId="34127"/>
    <cellStyle name="常规 5 8 4 2" xfId="34129"/>
    <cellStyle name="常规 5 8 4 2 2" xfId="34627"/>
    <cellStyle name="常规 5 8 4 2 2 2" xfId="34628"/>
    <cellStyle name="常规 5 8 4 2 2 2 2" xfId="34629"/>
    <cellStyle name="常规 5 8 4 2 2 2 2 2" xfId="34630"/>
    <cellStyle name="常规 5 8 4 2 2 2 3" xfId="15022"/>
    <cellStyle name="常规 5 8 4 2 2 2 4" xfId="34631"/>
    <cellStyle name="常规 5 8 4 2 2 3" xfId="34632"/>
    <cellStyle name="常规 5 8 4 2 2 3 2" xfId="34633"/>
    <cellStyle name="常规 5 8 4 2 2 4" xfId="34634"/>
    <cellStyle name="常规 5 8 4 2 2 5" xfId="34635"/>
    <cellStyle name="常规 5 8 4 2 3" xfId="34636"/>
    <cellStyle name="常规 5 8 4 2 3 2" xfId="34637"/>
    <cellStyle name="常规 5 8 4 2 3 2 2" xfId="24732"/>
    <cellStyle name="常规 5 8 4 2 3 3" xfId="34638"/>
    <cellStyle name="常规 5 8 4 2 3 4" xfId="34639"/>
    <cellStyle name="常规 5 8 4 2 4" xfId="34640"/>
    <cellStyle name="常规 5 8 4 2 4 2" xfId="34641"/>
    <cellStyle name="常规 5 8 4 2 5" xfId="34642"/>
    <cellStyle name="常规 5 8 4 2 6" xfId="34643"/>
    <cellStyle name="常规 5 8 4 3" xfId="32577"/>
    <cellStyle name="常规 5 8 4 3 2" xfId="34644"/>
    <cellStyle name="常规 5 8 4 3 2 2" xfId="15290"/>
    <cellStyle name="常规 5 8 4 3 2 2 2" xfId="15292"/>
    <cellStyle name="常规 5 8 4 3 2 3" xfId="15297"/>
    <cellStyle name="常规 5 8 4 3 2 4" xfId="15300"/>
    <cellStyle name="常规 5 8 4 3 3" xfId="34645"/>
    <cellStyle name="常规 5 8 4 3 3 2" xfId="15331"/>
    <cellStyle name="常规 5 8 4 3 4" xfId="34646"/>
    <cellStyle name="常规 5 8 4 3 5" xfId="34647"/>
    <cellStyle name="常规 5 8 4 4" xfId="14126"/>
    <cellStyle name="常规 5 8 4 4 2" xfId="29268"/>
    <cellStyle name="常规 5 8 4 4 2 2" xfId="15377"/>
    <cellStyle name="常规 5 8 4 4 3" xfId="29270"/>
    <cellStyle name="常规 5 8 4 4 4" xfId="4479"/>
    <cellStyle name="常规 5 8 4 5" xfId="29273"/>
    <cellStyle name="常规 5 8 4 5 2" xfId="29275"/>
    <cellStyle name="常规 5 8 4 6" xfId="118"/>
    <cellStyle name="常规 5 8 4 7" xfId="1169"/>
    <cellStyle name="常规 5 8 5" xfId="34131"/>
    <cellStyle name="常规 5 8 5 2" xfId="32848"/>
    <cellStyle name="常规 5 8 5 2 2" xfId="34648"/>
    <cellStyle name="常规 5 8 5 2 2 2" xfId="30154"/>
    <cellStyle name="常规 5 8 5 2 2 2 2" xfId="30156"/>
    <cellStyle name="常规 5 8 5 2 2 3" xfId="30158"/>
    <cellStyle name="常规 5 8 5 2 2 4" xfId="30160"/>
    <cellStyle name="常规 5 8 5 2 3" xfId="34649"/>
    <cellStyle name="常规 5 8 5 2 3 2" xfId="30176"/>
    <cellStyle name="常规 5 8 5 2 4" xfId="34650"/>
    <cellStyle name="常规 5 8 5 2 5" xfId="34651"/>
    <cellStyle name="常规 5 8 5 3" xfId="32850"/>
    <cellStyle name="常规 5 8 5 3 2" xfId="34653"/>
    <cellStyle name="常规 5 8 5 3 2 2" xfId="15492"/>
    <cellStyle name="常规 5 8 5 3 3" xfId="34654"/>
    <cellStyle name="常规 5 8 5 3 4" xfId="34655"/>
    <cellStyle name="常规 5 8 5 4" xfId="29281"/>
    <cellStyle name="常规 5 8 5 4 2" xfId="29283"/>
    <cellStyle name="常规 5 8 5 5" xfId="29287"/>
    <cellStyle name="常规 5 8 5 6" xfId="2789"/>
    <cellStyle name="常规 5 8 6" xfId="34133"/>
    <cellStyle name="常规 5 8 6 2" xfId="34656"/>
    <cellStyle name="常规 5 8 6 2 2" xfId="34657"/>
    <cellStyle name="常规 5 8 6 2 2 2" xfId="31128"/>
    <cellStyle name="常规 5 8 6 2 3" xfId="34658"/>
    <cellStyle name="常规 5 8 6 2 4" xfId="34659"/>
    <cellStyle name="常规 5 8 6 3" xfId="20116"/>
    <cellStyle name="常规 5 8 6 3 2" xfId="18453"/>
    <cellStyle name="常规 5 8 6 4" xfId="29291"/>
    <cellStyle name="常规 5 8 6 5" xfId="19050"/>
    <cellStyle name="常规 5 8 7" xfId="34660"/>
    <cellStyle name="常规 5 8 7 2" xfId="34661"/>
    <cellStyle name="常规 5 8 7 2 2" xfId="34662"/>
    <cellStyle name="常规 5 8 7 3" xfId="34663"/>
    <cellStyle name="常规 5 8 7 4" xfId="21801"/>
    <cellStyle name="常规 5 8 8" xfId="34664"/>
    <cellStyle name="常规 5 8 8 2" xfId="34665"/>
    <cellStyle name="常规 5 8 9" xfId="34666"/>
    <cellStyle name="常规 5 9" xfId="19862"/>
    <cellStyle name="常规 5 9 2" xfId="34667"/>
    <cellStyle name="常规 5 9 2 2" xfId="34668"/>
    <cellStyle name="常规 5 9 2 2 2" xfId="34669"/>
    <cellStyle name="常规 5 9 2 2 2 2" xfId="33432"/>
    <cellStyle name="常规 5 9 2 2 2 2 2" xfId="34670"/>
    <cellStyle name="常规 5 9 2 2 2 2 2 2" xfId="34671"/>
    <cellStyle name="常规 5 9 2 2 2 2 3" xfId="34672"/>
    <cellStyle name="常规 5 9 2 2 2 2 4" xfId="24312"/>
    <cellStyle name="常规 5 9 2 2 2 3" xfId="34673"/>
    <cellStyle name="常规 5 9 2 2 2 3 2" xfId="34674"/>
    <cellStyle name="常规 5 9 2 2 2 4" xfId="34675"/>
    <cellStyle name="常规 5 9 2 2 2 5" xfId="34676"/>
    <cellStyle name="常规 5 9 2 2 3" xfId="34677"/>
    <cellStyle name="常规 5 9 2 2 3 2" xfId="34678"/>
    <cellStyle name="常规 5 9 2 2 3 2 2" xfId="34679"/>
    <cellStyle name="常规 5 9 2 2 3 3" xfId="34680"/>
    <cellStyle name="常规 5 9 2 2 3 4" xfId="34681"/>
    <cellStyle name="常规 5 9 2 2 4" xfId="14830"/>
    <cellStyle name="常规 5 9 2 2 4 2" xfId="34682"/>
    <cellStyle name="常规 5 9 2 2 5" xfId="34683"/>
    <cellStyle name="常规 5 9 2 2 6" xfId="34684"/>
    <cellStyle name="常规 5 9 2 3" xfId="34685"/>
    <cellStyle name="常规 5 9 2 3 2" xfId="34686"/>
    <cellStyle name="常规 5 9 2 3 2 2" xfId="34687"/>
    <cellStyle name="常规 5 9 2 3 2 2 2" xfId="34688"/>
    <cellStyle name="常规 5 9 2 3 2 3" xfId="34689"/>
    <cellStyle name="常规 5 9 2 3 2 4" xfId="2568"/>
    <cellStyle name="常规 5 9 2 3 3" xfId="34690"/>
    <cellStyle name="常规 5 9 2 3 3 2" xfId="34691"/>
    <cellStyle name="常规 5 9 2 3 4" xfId="34692"/>
    <cellStyle name="常规 5 9 2 3 5" xfId="34693"/>
    <cellStyle name="常规 5 9 2 4" xfId="29297"/>
    <cellStyle name="常规 5 9 2 4 2" xfId="29299"/>
    <cellStyle name="常规 5 9 2 4 2 2" xfId="17711"/>
    <cellStyle name="常规 5 9 2 4 3" xfId="29305"/>
    <cellStyle name="常规 5 9 2 4 4" xfId="22263"/>
    <cellStyle name="常规 5 9 2 5" xfId="29316"/>
    <cellStyle name="常规 5 9 2 5 2" xfId="29318"/>
    <cellStyle name="常规 5 9 2 6" xfId="29327"/>
    <cellStyle name="常规 5 9 2 7" xfId="29334"/>
    <cellStyle name="常规 5 9 3" xfId="34136"/>
    <cellStyle name="常规 5 9 3 2" xfId="34138"/>
    <cellStyle name="常规 5 9 3 2 2" xfId="31975"/>
    <cellStyle name="常规 5 9 3 2 2 2" xfId="34694"/>
    <cellStyle name="常规 5 9 3 2 2 2 2" xfId="4128"/>
    <cellStyle name="常规 5 9 3 2 2 3" xfId="34695"/>
    <cellStyle name="常规 5 9 3 2 2 4" xfId="34696"/>
    <cellStyle name="常规 5 9 3 2 3" xfId="23183"/>
    <cellStyle name="常规 5 9 3 2 3 2" xfId="34697"/>
    <cellStyle name="常规 5 9 3 2 4" xfId="9737"/>
    <cellStyle name="常规 5 9 3 2 5" xfId="9761"/>
    <cellStyle name="常规 5 9 3 3" xfId="32582"/>
    <cellStyle name="常规 5 9 3 3 2" xfId="31980"/>
    <cellStyle name="常规 5 9 3 3 2 2" xfId="23402"/>
    <cellStyle name="常规 5 9 3 3 3" xfId="34698"/>
    <cellStyle name="常规 5 9 3 3 4" xfId="9810"/>
    <cellStyle name="常规 5 9 3 4" xfId="29338"/>
    <cellStyle name="常规 5 9 3 4 2" xfId="29340"/>
    <cellStyle name="常规 5 9 3 5" xfId="29346"/>
    <cellStyle name="常规 5 9 3 6" xfId="4755"/>
    <cellStyle name="常规 5 9 4" xfId="34140"/>
    <cellStyle name="常规 5 9 4 2" xfId="34699"/>
    <cellStyle name="常规 5 9 4 2 2" xfId="31987"/>
    <cellStyle name="常规 5 9 4 2 2 2" xfId="34700"/>
    <cellStyle name="常规 5 9 4 2 3" xfId="34701"/>
    <cellStyle name="常规 5 9 4 2 4" xfId="9862"/>
    <cellStyle name="常规 5 9 4 3" xfId="34702"/>
    <cellStyle name="常规 5 9 4 3 2" xfId="34703"/>
    <cellStyle name="常规 5 9 4 4" xfId="2284"/>
    <cellStyle name="常规 5 9 4 5" xfId="2334"/>
    <cellStyle name="常规 5 9 5" xfId="34142"/>
    <cellStyle name="常规 5 9 5 2" xfId="12533"/>
    <cellStyle name="常规 5 9 5 2 2" xfId="34704"/>
    <cellStyle name="常规 5 9 5 3" xfId="34705"/>
    <cellStyle name="常规 5 9 5 4" xfId="29353"/>
    <cellStyle name="常规 5 9 6" xfId="34706"/>
    <cellStyle name="常规 5 9 6 2" xfId="34707"/>
    <cellStyle name="常规 5 9 7" xfId="34708"/>
    <cellStyle name="常规 5 9 8" xfId="34709"/>
    <cellStyle name="常规 5_Sheet2" xfId="34710"/>
    <cellStyle name="常规 50" xfId="24459"/>
    <cellStyle name="常规 51" xfId="24461"/>
    <cellStyle name="常规 52" xfId="24463"/>
    <cellStyle name="常规 53" xfId="24466"/>
    <cellStyle name="常规 54" xfId="24468"/>
    <cellStyle name="常规 55" xfId="34712"/>
    <cellStyle name="常规 56" xfId="23815"/>
    <cellStyle name="常规 57" xfId="34714"/>
    <cellStyle name="常规 58" xfId="34716"/>
    <cellStyle name="常规 59" xfId="34718"/>
    <cellStyle name="常规 6" xfId="34719"/>
    <cellStyle name="常规 6 10" xfId="11952"/>
    <cellStyle name="常规 6 10 2" xfId="17817"/>
    <cellStyle name="常规 6 10 2 2" xfId="17820"/>
    <cellStyle name="常规 6 10 2 2 2" xfId="17823"/>
    <cellStyle name="常规 6 10 2 2 2 2" xfId="5912"/>
    <cellStyle name="常规 6 10 2 2 2 2 2" xfId="19460"/>
    <cellStyle name="常规 6 10 2 2 2 2 2 2" xfId="8199"/>
    <cellStyle name="常规 6 10 2 2 2 2 3" xfId="19465"/>
    <cellStyle name="常规 6 10 2 2 2 2 4" xfId="19467"/>
    <cellStyle name="常规 6 10 2 2 2 3" xfId="31157"/>
    <cellStyle name="常规 6 10 2 2 2 3 2" xfId="19478"/>
    <cellStyle name="常规 6 10 2 2 2 4" xfId="31159"/>
    <cellStyle name="常规 6 10 2 2 2 5" xfId="34720"/>
    <cellStyle name="常规 6 10 2 2 3" xfId="30948"/>
    <cellStyle name="常规 6 10 2 2 3 2" xfId="31161"/>
    <cellStyle name="常规 6 10 2 2 3 2 2" xfId="19494"/>
    <cellStyle name="常规 6 10 2 2 3 3" xfId="32824"/>
    <cellStyle name="常规 6 10 2 2 3 4" xfId="34721"/>
    <cellStyle name="常规 6 10 2 2 4" xfId="27000"/>
    <cellStyle name="常规 6 10 2 2 4 2" xfId="29439"/>
    <cellStyle name="常规 6 10 2 2 5" xfId="29441"/>
    <cellStyle name="常规 6 10 2 2 6" xfId="29444"/>
    <cellStyle name="常规 6 10 2 3" xfId="1913"/>
    <cellStyle name="常规 6 10 2 3 2" xfId="30953"/>
    <cellStyle name="常规 6 10 2 3 2 2" xfId="31163"/>
    <cellStyle name="常规 6 10 2 3 2 2 2" xfId="19518"/>
    <cellStyle name="常规 6 10 2 3 2 3" xfId="34722"/>
    <cellStyle name="常规 6 10 2 3 2 4" xfId="34723"/>
    <cellStyle name="常规 6 10 2 3 3" xfId="31165"/>
    <cellStyle name="常规 6 10 2 3 3 2" xfId="34724"/>
    <cellStyle name="常规 6 10 2 3 4" xfId="29447"/>
    <cellStyle name="常规 6 10 2 3 5" xfId="34725"/>
    <cellStyle name="常规 6 10 2 4" xfId="17827"/>
    <cellStyle name="常规 6 10 2 4 2" xfId="20131"/>
    <cellStyle name="常规 6 10 2 4 2 2" xfId="20135"/>
    <cellStyle name="常规 6 10 2 4 3" xfId="20139"/>
    <cellStyle name="常规 6 10 2 4 4" xfId="20143"/>
    <cellStyle name="常规 6 10 2 5" xfId="20148"/>
    <cellStyle name="常规 6 10 2 5 2" xfId="13151"/>
    <cellStyle name="常规 6 10 2 6" xfId="17859"/>
    <cellStyle name="常规 6 10 2 7" xfId="20155"/>
    <cellStyle name="常规 6 10 3" xfId="17831"/>
    <cellStyle name="常规 6 10 3 2" xfId="17834"/>
    <cellStyle name="常规 6 10 3 2 2" xfId="31013"/>
    <cellStyle name="常规 6 10 3 2 2 2" xfId="31167"/>
    <cellStyle name="常规 6 10 3 2 2 2 2" xfId="12567"/>
    <cellStyle name="常规 6 10 3 2 2 3" xfId="34726"/>
    <cellStyle name="常规 6 10 3 2 2 4" xfId="34727"/>
    <cellStyle name="常规 6 10 3 2 3" xfId="31016"/>
    <cellStyle name="常规 6 10 3 2 3 2" xfId="34728"/>
    <cellStyle name="常规 6 10 3 2 4" xfId="29463"/>
    <cellStyle name="常规 6 10 3 2 5" xfId="34730"/>
    <cellStyle name="常规 6 10 3 3" xfId="31169"/>
    <cellStyle name="常规 6 10 3 3 2" xfId="31021"/>
    <cellStyle name="常规 6 10 3 3 2 2" xfId="34731"/>
    <cellStyle name="常规 6 10 3 3 3" xfId="34732"/>
    <cellStyle name="常规 6 10 3 3 4" xfId="34733"/>
    <cellStyle name="常规 6 10 3 4" xfId="20159"/>
    <cellStyle name="常规 6 10 3 4 2" xfId="20162"/>
    <cellStyle name="常规 6 10 3 5" xfId="20166"/>
    <cellStyle name="常规 6 10 3 6" xfId="20170"/>
    <cellStyle name="常规 6 10 4" xfId="17837"/>
    <cellStyle name="常规 6 10 4 2" xfId="31171"/>
    <cellStyle name="常规 6 10 4 2 2" xfId="31101"/>
    <cellStyle name="常规 6 10 4 2 2 2" xfId="34734"/>
    <cellStyle name="常规 6 10 4 2 3" xfId="16260"/>
    <cellStyle name="常规 6 10 4 2 4" xfId="34735"/>
    <cellStyle name="常规 6 10 4 3" xfId="31173"/>
    <cellStyle name="常规 6 10 4 3 2" xfId="34736"/>
    <cellStyle name="常规 6 10 4 4" xfId="20174"/>
    <cellStyle name="常规 6 10 4 5" xfId="20178"/>
    <cellStyle name="常规 6 10 5" xfId="17840"/>
    <cellStyle name="常规 6 10 5 2" xfId="31175"/>
    <cellStyle name="常规 6 10 5 2 2" xfId="34737"/>
    <cellStyle name="常规 6 10 5 3" xfId="34738"/>
    <cellStyle name="常规 6 10 5 4" xfId="20182"/>
    <cellStyle name="常规 6 10 6" xfId="27077"/>
    <cellStyle name="常规 6 10 6 2" xfId="27081"/>
    <cellStyle name="常规 6 10 7" xfId="27086"/>
    <cellStyle name="常规 6 10 8" xfId="27090"/>
    <cellStyle name="常规 6 11" xfId="11646"/>
    <cellStyle name="常规 6 11 2" xfId="11650"/>
    <cellStyle name="常规 6 11 2 2" xfId="17843"/>
    <cellStyle name="常规 6 11 2 2 2" xfId="31179"/>
    <cellStyle name="常规 6 11 2 2 2 2" xfId="30905"/>
    <cellStyle name="常规 6 11 2 2 2 2 2" xfId="34740"/>
    <cellStyle name="常规 6 11 2 2 2 3" xfId="19592"/>
    <cellStyle name="常规 6 11 2 2 2 4" xfId="34741"/>
    <cellStyle name="常规 6 11 2 2 3" xfId="31184"/>
    <cellStyle name="常规 6 11 2 2 3 2" xfId="34742"/>
    <cellStyle name="常规 6 11 2 2 4" xfId="29494"/>
    <cellStyle name="常规 6 11 2 2 5" xfId="34744"/>
    <cellStyle name="常规 6 11 2 3" xfId="31186"/>
    <cellStyle name="常规 6 11 2 3 2" xfId="31190"/>
    <cellStyle name="常规 6 11 2 3 2 2" xfId="34745"/>
    <cellStyle name="常规 6 11 2 3 3" xfId="32101"/>
    <cellStyle name="常规 6 11 2 3 4" xfId="32105"/>
    <cellStyle name="常规 6 11 2 4" xfId="20188"/>
    <cellStyle name="常规 6 11 2 4 2" xfId="20191"/>
    <cellStyle name="常规 6 11 2 5" xfId="20201"/>
    <cellStyle name="常规 6 11 2 6" xfId="20206"/>
    <cellStyle name="常规 6 11 3" xfId="17846"/>
    <cellStyle name="常规 6 11 3 2" xfId="9441"/>
    <cellStyle name="常规 6 11 3 2 2" xfId="31192"/>
    <cellStyle name="常规 6 11 3 2 2 2" xfId="34746"/>
    <cellStyle name="常规 6 11 3 2 3" xfId="34747"/>
    <cellStyle name="常规 6 11 3 2 4" xfId="34749"/>
    <cellStyle name="常规 6 11 3 3" xfId="9444"/>
    <cellStyle name="常规 6 11 3 3 2" xfId="34750"/>
    <cellStyle name="常规 6 11 3 4" xfId="20211"/>
    <cellStyle name="常规 6 11 3 5" xfId="20215"/>
    <cellStyle name="常规 6 11 4" xfId="17849"/>
    <cellStyle name="常规 6 11 4 2" xfId="30858"/>
    <cellStyle name="常规 6 11 4 2 2" xfId="30861"/>
    <cellStyle name="常规 6 11 4 3" xfId="30863"/>
    <cellStyle name="常规 6 11 4 4" xfId="20221"/>
    <cellStyle name="常规 6 11 5" xfId="31194"/>
    <cellStyle name="常规 6 11 5 2" xfId="30871"/>
    <cellStyle name="常规 6 11 6" xfId="27097"/>
    <cellStyle name="常规 6 11 7" xfId="27106"/>
    <cellStyle name="常规 6 12" xfId="11654"/>
    <cellStyle name="常规 6 12 2" xfId="2438"/>
    <cellStyle name="常规 6 12 2 2" xfId="31196"/>
    <cellStyle name="常规 6 12 2 2 2" xfId="30339"/>
    <cellStyle name="常规 6 12 2 2 2 2" xfId="20458"/>
    <cellStyle name="常规 6 12 2 2 3" xfId="34751"/>
    <cellStyle name="常规 6 12 2 2 4" xfId="30917"/>
    <cellStyle name="常规 6 12 2 3" xfId="19321"/>
    <cellStyle name="常规 6 12 2 3 2" xfId="19324"/>
    <cellStyle name="常规 6 12 2 4" xfId="19364"/>
    <cellStyle name="常规 6 12 2 5" xfId="19384"/>
    <cellStyle name="常规 6 12 3" xfId="3884"/>
    <cellStyle name="常规 6 12 3 2" xfId="31198"/>
    <cellStyle name="常规 6 12 3 2 2" xfId="34752"/>
    <cellStyle name="常规 6 12 3 3" xfId="19402"/>
    <cellStyle name="常规 6 12 3 4" xfId="19417"/>
    <cellStyle name="常规 6 12 4" xfId="3890"/>
    <cellStyle name="常规 6 12 4 2" xfId="30891"/>
    <cellStyle name="常规 6 12 5" xfId="31201"/>
    <cellStyle name="常规 6 12 6" xfId="27118"/>
    <cellStyle name="常规 6 13" xfId="11658"/>
    <cellStyle name="常规 6 13 2" xfId="2810"/>
    <cellStyle name="常规 6 13 2 2" xfId="31203"/>
    <cellStyle name="常规 6 13 2 2 2" xfId="30466"/>
    <cellStyle name="常规 6 13 2 3" xfId="15982"/>
    <cellStyle name="常规 6 13 2 4" xfId="19576"/>
    <cellStyle name="常规 6 13 3" xfId="3909"/>
    <cellStyle name="常规 6 13 3 2" xfId="6686"/>
    <cellStyle name="常规 6 13 4" xfId="31178"/>
    <cellStyle name="常规 6 13 5" xfId="31183"/>
    <cellStyle name="常规 6 14" xfId="17852"/>
    <cellStyle name="常规 6 14 2" xfId="1618"/>
    <cellStyle name="常规 6 14 2 2" xfId="34753"/>
    <cellStyle name="常规 6 14 3" xfId="57"/>
    <cellStyle name="常规 6 14 4" xfId="31189"/>
    <cellStyle name="常规 6 15" xfId="19307"/>
    <cellStyle name="常规 6 15 2" xfId="271"/>
    <cellStyle name="常规 6 16" xfId="31207"/>
    <cellStyle name="常规 6 17" xfId="31455"/>
    <cellStyle name="常规 6 18" xfId="31458"/>
    <cellStyle name="常规 6 19" xfId="34754"/>
    <cellStyle name="常规 6 2" xfId="34755"/>
    <cellStyle name="常规 6 2 10" xfId="34756"/>
    <cellStyle name="常规 6 2 10 2" xfId="34757"/>
    <cellStyle name="常规 6 2 10 2 2" xfId="34758"/>
    <cellStyle name="常规 6 2 10 2 2 2" xfId="5657"/>
    <cellStyle name="常规 6 2 10 2 2 2 2" xfId="34759"/>
    <cellStyle name="常规 6 2 10 2 2 3" xfId="66"/>
    <cellStyle name="常规 6 2 10 2 2 4" xfId="34761"/>
    <cellStyle name="常规 6 2 10 2 3" xfId="34762"/>
    <cellStyle name="常规 6 2 10 2 3 2" xfId="34763"/>
    <cellStyle name="常规 6 2 10 2 4" xfId="34764"/>
    <cellStyle name="常规 6 2 10 2 5" xfId="34765"/>
    <cellStyle name="常规 6 2 10 3" xfId="28740"/>
    <cellStyle name="常规 6 2 10 3 2" xfId="28743"/>
    <cellStyle name="常规 6 2 10 3 2 2" xfId="34766"/>
    <cellStyle name="常规 6 2 10 3 3" xfId="32323"/>
    <cellStyle name="常规 6 2 10 3 4" xfId="34767"/>
    <cellStyle name="常规 6 2 10 4" xfId="28747"/>
    <cellStyle name="常规 6 2 10 4 2" xfId="32333"/>
    <cellStyle name="常规 6 2 10 5" xfId="28750"/>
    <cellStyle name="常规 6 2 10 6" xfId="34768"/>
    <cellStyle name="常规 6 2 11" xfId="34739"/>
    <cellStyle name="常规 6 2 11 2" xfId="34769"/>
    <cellStyle name="常规 6 2 11 2 2" xfId="34770"/>
    <cellStyle name="常规 6 2 11 2 2 2" xfId="34771"/>
    <cellStyle name="常规 6 2 11 2 3" xfId="34772"/>
    <cellStyle name="常规 6 2 11 2 4" xfId="34773"/>
    <cellStyle name="常规 6 2 11 3" xfId="25574"/>
    <cellStyle name="常规 6 2 11 3 2" xfId="25579"/>
    <cellStyle name="常规 6 2 11 4" xfId="25592"/>
    <cellStyle name="常规 6 2 11 5" xfId="3186"/>
    <cellStyle name="常规 6 2 12" xfId="34774"/>
    <cellStyle name="常规 6 2 12 2" xfId="34775"/>
    <cellStyle name="常规 6 2 12 2 2" xfId="34776"/>
    <cellStyle name="常规 6 2 12 3" xfId="25609"/>
    <cellStyle name="常规 6 2 12 4" xfId="25364"/>
    <cellStyle name="常规 6 2 13" xfId="17199"/>
    <cellStyle name="常规 6 2 13 2" xfId="17201"/>
    <cellStyle name="常规 6 2 14" xfId="17203"/>
    <cellStyle name="常规 6 2 15" xfId="17207"/>
    <cellStyle name="常规 6 2 16" xfId="1010"/>
    <cellStyle name="常规 6 2 17" xfId="1019"/>
    <cellStyle name="常规 6 2 18" xfId="3273"/>
    <cellStyle name="常规 6 2 19" xfId="20829"/>
    <cellStyle name="常规 6 2 2" xfId="34777"/>
    <cellStyle name="常规 6 2 2 10" xfId="8057"/>
    <cellStyle name="常规 6 2 2 10 2" xfId="8059"/>
    <cellStyle name="常规 6 2 2 10 2 2" xfId="11143"/>
    <cellStyle name="常规 6 2 2 10 2 2 2" xfId="34779"/>
    <cellStyle name="常规 6 2 2 10 2 3" xfId="34780"/>
    <cellStyle name="常规 6 2 2 10 2 4" xfId="34781"/>
    <cellStyle name="常规 6 2 2 10 3" xfId="15738"/>
    <cellStyle name="常规 6 2 2 10 3 2" xfId="9056"/>
    <cellStyle name="常规 6 2 2 10 4" xfId="34782"/>
    <cellStyle name="常规 6 2 2 10 5" xfId="34783"/>
    <cellStyle name="常规 6 2 2 11" xfId="8061"/>
    <cellStyle name="常规 6 2 2 11 2" xfId="34784"/>
    <cellStyle name="常规 6 2 2 11 2 2" xfId="34785"/>
    <cellStyle name="常规 6 2 2 11 3" xfId="34786"/>
    <cellStyle name="常规 6 2 2 11 4" xfId="34787"/>
    <cellStyle name="常规 6 2 2 12" xfId="8063"/>
    <cellStyle name="常规 6 2 2 12 2" xfId="34476"/>
    <cellStyle name="常规 6 2 2 13" xfId="34788"/>
    <cellStyle name="常规 6 2 2 14" xfId="34790"/>
    <cellStyle name="常规 6 2 2 15" xfId="34792"/>
    <cellStyle name="常规 6 2 2 16" xfId="34795"/>
    <cellStyle name="常规 6 2 2 17" xfId="5482"/>
    <cellStyle name="常规 6 2 2 2" xfId="34796"/>
    <cellStyle name="常规 6 2 2 2 10" xfId="34797"/>
    <cellStyle name="常规 6 2 2 2 10 2" xfId="34798"/>
    <cellStyle name="常规 6 2 2 2 10 2 2" xfId="19557"/>
    <cellStyle name="常规 6 2 2 2 10 3" xfId="21065"/>
    <cellStyle name="常规 6 2 2 2 10 4" xfId="34799"/>
    <cellStyle name="常规 6 2 2 2 11" xfId="32124"/>
    <cellStyle name="常规 6 2 2 2 11 2" xfId="32126"/>
    <cellStyle name="常规 6 2 2 2 12" xfId="32130"/>
    <cellStyle name="常规 6 2 2 2 13" xfId="32132"/>
    <cellStyle name="常规 6 2 2 2 2" xfId="19929"/>
    <cellStyle name="常规 6 2 2 2 2 10" xfId="6790"/>
    <cellStyle name="常规 6 2 2 2 2 10 2" xfId="9420"/>
    <cellStyle name="常规 6 2 2 2 2 11" xfId="34801"/>
    <cellStyle name="常规 6 2 2 2 2 12" xfId="34803"/>
    <cellStyle name="常规 6 2 2 2 2 2" xfId="34804"/>
    <cellStyle name="常规 6 2 2 2 2 2 10" xfId="34805"/>
    <cellStyle name="常规 6 2 2 2 2 2 11" xfId="34806"/>
    <cellStyle name="常规 6 2 2 2 2 2 2" xfId="32634"/>
    <cellStyle name="常规 6 2 2 2 2 2 2 2" xfId="3980"/>
    <cellStyle name="常规 6 2 2 2 2 2 2 2 2" xfId="3982"/>
    <cellStyle name="常规 6 2 2 2 2 2 2 2 2 2" xfId="34807"/>
    <cellStyle name="常规 6 2 2 2 2 2 2 2 2 2 2" xfId="34808"/>
    <cellStyle name="常规 6 2 2 2 2 2 2 2 2 2 2 2" xfId="33547"/>
    <cellStyle name="常规 6 2 2 2 2 2 2 2 2 2 2 2 2" xfId="33549"/>
    <cellStyle name="常规 6 2 2 2 2 2 2 2 2 2 2 2 2 2" xfId="33551"/>
    <cellStyle name="常规 6 2 2 2 2 2 2 2 2 2 2 2 3" xfId="33556"/>
    <cellStyle name="常规 6 2 2 2 2 2 2 2 2 2 2 2 4" xfId="33562"/>
    <cellStyle name="常规 6 2 2 2 2 2 2 2 2 2 2 3" xfId="33567"/>
    <cellStyle name="常规 6 2 2 2 2 2 2 2 2 2 2 3 2" xfId="33569"/>
    <cellStyle name="常规 6 2 2 2 2 2 2 2 2 2 2 4" xfId="33577"/>
    <cellStyle name="常规 6 2 2 2 2 2 2 2 2 2 2 5" xfId="23694"/>
    <cellStyle name="常规 6 2 2 2 2 2 2 2 2 2 3" xfId="34809"/>
    <cellStyle name="常规 6 2 2 2 2 2 2 2 2 2 3 2" xfId="33662"/>
    <cellStyle name="常规 6 2 2 2 2 2 2 2 2 2 3 2 2" xfId="33664"/>
    <cellStyle name="常规 6 2 2 2 2 2 2 2 2 2 3 3" xfId="33669"/>
    <cellStyle name="常规 6 2 2 2 2 2 2 2 2 2 3 4" xfId="33672"/>
    <cellStyle name="常规 6 2 2 2 2 2 2 2 2 2 4" xfId="25255"/>
    <cellStyle name="常规 6 2 2 2 2 2 2 2 2 2 4 2" xfId="25258"/>
    <cellStyle name="常规 6 2 2 2 2 2 2 2 2 2 5" xfId="25356"/>
    <cellStyle name="常规 6 2 2 2 2 2 2 2 2 2 6" xfId="25410"/>
    <cellStyle name="常规 6 2 2 2 2 2 2 2 2 3" xfId="34810"/>
    <cellStyle name="常规 6 2 2 2 2 2 2 2 2 3 2" xfId="34811"/>
    <cellStyle name="常规 6 2 2 2 2 2 2 2 2 3 2 2" xfId="33738"/>
    <cellStyle name="常规 6 2 2 2 2 2 2 2 2 3 2 2 2" xfId="11487"/>
    <cellStyle name="常规 6 2 2 2 2 2 2 2 2 3 2 3" xfId="33740"/>
    <cellStyle name="常规 6 2 2 2 2 2 2 2 2 3 2 4" xfId="33742"/>
    <cellStyle name="常规 6 2 2 2 2 2 2 2 2 3 3" xfId="34812"/>
    <cellStyle name="常规 6 2 2 2 2 2 2 2 2 3 3 2" xfId="33815"/>
    <cellStyle name="常规 6 2 2 2 2 2 2 2 2 3 4" xfId="25461"/>
    <cellStyle name="常规 6 2 2 2 2 2 2 2 2 3 5" xfId="25485"/>
    <cellStyle name="常规 6 2 2 2 2 2 2 2 2 4" xfId="34813"/>
    <cellStyle name="常规 6 2 2 2 2 2 2 2 2 4 2" xfId="34814"/>
    <cellStyle name="常规 6 2 2 2 2 2 2 2 2 4 2 2" xfId="33879"/>
    <cellStyle name="常规 6 2 2 2 2 2 2 2 2 4 3" xfId="34815"/>
    <cellStyle name="常规 6 2 2 2 2 2 2 2 2 4 4" xfId="25522"/>
    <cellStyle name="常规 6 2 2 2 2 2 2 2 2 5" xfId="34816"/>
    <cellStyle name="常规 6 2 2 2 2 2 2 2 2 5 2" xfId="34817"/>
    <cellStyle name="常规 6 2 2 2 2 2 2 2 2 6" xfId="34818"/>
    <cellStyle name="常规 6 2 2 2 2 2 2 2 2 7" xfId="34819"/>
    <cellStyle name="常规 6 2 2 2 2 2 2 2 3" xfId="34820"/>
    <cellStyle name="常规 6 2 2 2 2 2 2 2 3 2" xfId="32607"/>
    <cellStyle name="常规 6 2 2 2 2 2 2 2 3 2 2" xfId="32609"/>
    <cellStyle name="常规 6 2 2 2 2 2 2 2 3 2 2 2" xfId="34070"/>
    <cellStyle name="常规 6 2 2 2 2 2 2 2 3 2 2 2 2" xfId="34073"/>
    <cellStyle name="常规 6 2 2 2 2 2 2 2 3 2 2 3" xfId="34078"/>
    <cellStyle name="常规 6 2 2 2 2 2 2 2 3 2 2 4" xfId="34081"/>
    <cellStyle name="常规 6 2 2 2 2 2 2 2 3 2 3" xfId="34821"/>
    <cellStyle name="常规 6 2 2 2 2 2 2 2 3 2 3 2" xfId="34155"/>
    <cellStyle name="常规 6 2 2 2 2 2 2 2 3 2 4" xfId="25567"/>
    <cellStyle name="常规 6 2 2 2 2 2 2 2 3 2 5" xfId="25639"/>
    <cellStyle name="常规 6 2 2 2 2 2 2 2 3 3" xfId="28808"/>
    <cellStyle name="常规 6 2 2 2 2 2 2 2 3 3 2" xfId="34822"/>
    <cellStyle name="常规 6 2 2 2 2 2 2 2 3 3 2 2" xfId="21723"/>
    <cellStyle name="常规 6 2 2 2 2 2 2 2 3 3 3" xfId="34823"/>
    <cellStyle name="常规 6 2 2 2 2 2 2 2 3 3 4" xfId="25729"/>
    <cellStyle name="常规 6 2 2 2 2 2 2 2 3 4" xfId="32611"/>
    <cellStyle name="常规 6 2 2 2 2 2 2 2 3 4 2" xfId="34824"/>
    <cellStyle name="常规 6 2 2 2 2 2 2 2 3 5" xfId="34825"/>
    <cellStyle name="常规 6 2 2 2 2 2 2 2 3 6" xfId="34826"/>
    <cellStyle name="常规 6 2 2 2 2 2 2 2 4" xfId="34827"/>
    <cellStyle name="常规 6 2 2 2 2 2 2 2 4 2" xfId="34828"/>
    <cellStyle name="常规 6 2 2 2 2 2 2 2 4 2 2" xfId="34829"/>
    <cellStyle name="常规 6 2 2 2 2 2 2 2 4 2 2 2" xfId="34830"/>
    <cellStyle name="常规 6 2 2 2 2 2 2 2 4 2 3" xfId="34831"/>
    <cellStyle name="常规 6 2 2 2 2 2 2 2 4 2 4" xfId="34832"/>
    <cellStyle name="常规 6 2 2 2 2 2 2 2 4 3" xfId="34833"/>
    <cellStyle name="常规 6 2 2 2 2 2 2 2 4 3 2" xfId="34834"/>
    <cellStyle name="常规 6 2 2 2 2 2 2 2 4 4" xfId="34835"/>
    <cellStyle name="常规 6 2 2 2 2 2 2 2 4 5" xfId="34836"/>
    <cellStyle name="常规 6 2 2 2 2 2 2 2 5" xfId="34837"/>
    <cellStyle name="常规 6 2 2 2 2 2 2 2 5 2" xfId="34838"/>
    <cellStyle name="常规 6 2 2 2 2 2 2 2 5 2 2" xfId="34839"/>
    <cellStyle name="常规 6 2 2 2 2 2 2 2 5 3" xfId="34840"/>
    <cellStyle name="常规 6 2 2 2 2 2 2 2 5 4" xfId="34841"/>
    <cellStyle name="常规 6 2 2 2 2 2 2 2 6" xfId="34842"/>
    <cellStyle name="常规 6 2 2 2 2 2 2 2 6 2" xfId="34843"/>
    <cellStyle name="常规 6 2 2 2 2 2 2 2 7" xfId="34844"/>
    <cellStyle name="常规 6 2 2 2 2 2 2 2 8" xfId="34845"/>
    <cellStyle name="常规 6 2 2 2 2 2 2 3" xfId="34846"/>
    <cellStyle name="常规 6 2 2 2 2 2 2 3 2" xfId="34847"/>
    <cellStyle name="常规 6 2 2 2 2 2 2 3 2 2" xfId="34848"/>
    <cellStyle name="常规 6 2 2 2 2 2 2 3 2 2 2" xfId="34849"/>
    <cellStyle name="常规 6 2 2 2 2 2 2 3 2 2 2 2" xfId="34850"/>
    <cellStyle name="常规 6 2 2 2 2 2 2 3 2 2 2 2 2" xfId="34851"/>
    <cellStyle name="常规 6 2 2 2 2 2 2 3 2 2 2 3" xfId="18736"/>
    <cellStyle name="常规 6 2 2 2 2 2 2 3 2 2 2 4" xfId="34852"/>
    <cellStyle name="常规 6 2 2 2 2 2 2 3 2 2 3" xfId="34853"/>
    <cellStyle name="常规 6 2 2 2 2 2 2 3 2 2 3 2" xfId="34854"/>
    <cellStyle name="常规 6 2 2 2 2 2 2 3 2 2 4" xfId="34855"/>
    <cellStyle name="常规 6 2 2 2 2 2 2 3 2 2 5" xfId="34856"/>
    <cellStyle name="常规 6 2 2 2 2 2 2 3 2 3" xfId="34857"/>
    <cellStyle name="常规 6 2 2 2 2 2 2 3 2 3 2" xfId="34858"/>
    <cellStyle name="常规 6 2 2 2 2 2 2 3 2 3 2 2" xfId="34859"/>
    <cellStyle name="常规 6 2 2 2 2 2 2 3 2 3 3" xfId="34860"/>
    <cellStyle name="常规 6 2 2 2 2 2 2 3 2 3 4" xfId="34861"/>
    <cellStyle name="常规 6 2 2 2 2 2 2 3 2 4" xfId="34862"/>
    <cellStyle name="常规 6 2 2 2 2 2 2 3 2 4 2" xfId="34863"/>
    <cellStyle name="常规 6 2 2 2 2 2 2 3 2 5" xfId="34864"/>
    <cellStyle name="常规 6 2 2 2 2 2 2 3 2 6" xfId="34865"/>
    <cellStyle name="常规 6 2 2 2 2 2 2 3 3" xfId="34866"/>
    <cellStyle name="常规 6 2 2 2 2 2 2 3 3 2" xfId="34867"/>
    <cellStyle name="常规 6 2 2 2 2 2 2 3 3 2 2" xfId="34868"/>
    <cellStyle name="常规 6 2 2 2 2 2 2 3 3 2 2 2" xfId="34869"/>
    <cellStyle name="常规 6 2 2 2 2 2 2 3 3 2 3" xfId="34870"/>
    <cellStyle name="常规 6 2 2 2 2 2 2 3 3 2 4" xfId="34871"/>
    <cellStyle name="常规 6 2 2 2 2 2 2 3 3 3" xfId="34872"/>
    <cellStyle name="常规 6 2 2 2 2 2 2 3 3 3 2" xfId="34873"/>
    <cellStyle name="常规 6 2 2 2 2 2 2 3 3 4" xfId="34874"/>
    <cellStyle name="常规 6 2 2 2 2 2 2 3 3 5" xfId="34875"/>
    <cellStyle name="常规 6 2 2 2 2 2 2 3 4" xfId="34876"/>
    <cellStyle name="常规 6 2 2 2 2 2 2 3 4 2" xfId="34877"/>
    <cellStyle name="常规 6 2 2 2 2 2 2 3 4 2 2" xfId="34879"/>
    <cellStyle name="常规 6 2 2 2 2 2 2 3 4 3" xfId="34880"/>
    <cellStyle name="常规 6 2 2 2 2 2 2 3 4 4" xfId="34881"/>
    <cellStyle name="常规 6 2 2 2 2 2 2 3 5" xfId="34882"/>
    <cellStyle name="常规 6 2 2 2 2 2 2 3 5 2" xfId="34883"/>
    <cellStyle name="常规 6 2 2 2 2 2 2 3 6" xfId="34884"/>
    <cellStyle name="常规 6 2 2 2 2 2 2 3 7" xfId="34887"/>
    <cellStyle name="常规 6 2 2 2 2 2 2 4" xfId="3992"/>
    <cellStyle name="常规 6 2 2 2 2 2 2 4 2" xfId="26318"/>
    <cellStyle name="常规 6 2 2 2 2 2 2 4 2 2" xfId="26321"/>
    <cellStyle name="常规 6 2 2 2 2 2 2 4 2 2 2" xfId="26324"/>
    <cellStyle name="常规 6 2 2 2 2 2 2 4 2 2 2 2" xfId="26326"/>
    <cellStyle name="常规 6 2 2 2 2 2 2 4 2 2 3" xfId="1418"/>
    <cellStyle name="常规 6 2 2 2 2 2 2 4 2 2 4" xfId="1428"/>
    <cellStyle name="常规 6 2 2 2 2 2 2 4 2 3" xfId="26329"/>
    <cellStyle name="常规 6 2 2 2 2 2 2 4 2 3 2" xfId="26331"/>
    <cellStyle name="常规 6 2 2 2 2 2 2 4 2 4" xfId="26334"/>
    <cellStyle name="常规 6 2 2 2 2 2 2 4 2 5" xfId="26336"/>
    <cellStyle name="常规 6 2 2 2 2 2 2 4 3" xfId="26338"/>
    <cellStyle name="常规 6 2 2 2 2 2 2 4 3 2" xfId="26342"/>
    <cellStyle name="常规 6 2 2 2 2 2 2 4 3 2 2" xfId="26347"/>
    <cellStyle name="常规 6 2 2 2 2 2 2 4 3 3" xfId="25650"/>
    <cellStyle name="常规 6 2 2 2 2 2 2 4 3 4" xfId="25656"/>
    <cellStyle name="常规 6 2 2 2 2 2 2 4 4" xfId="26349"/>
    <cellStyle name="常规 6 2 2 2 2 2 2 4 4 2" xfId="26353"/>
    <cellStyle name="常规 6 2 2 2 2 2 2 4 5" xfId="26355"/>
    <cellStyle name="常规 6 2 2 2 2 2 2 4 6" xfId="26359"/>
    <cellStyle name="常规 6 2 2 2 2 2 2 5" xfId="26362"/>
    <cellStyle name="常规 6 2 2 2 2 2 2 5 2" xfId="26365"/>
    <cellStyle name="常规 6 2 2 2 2 2 2 5 2 2" xfId="26368"/>
    <cellStyle name="常规 6 2 2 2 2 2 2 5 2 2 2" xfId="26370"/>
    <cellStyle name="常规 6 2 2 2 2 2 2 5 2 3" xfId="2394"/>
    <cellStyle name="常规 6 2 2 2 2 2 2 5 2 4" xfId="26372"/>
    <cellStyle name="常规 6 2 2 2 2 2 2 5 3" xfId="26374"/>
    <cellStyle name="常规 6 2 2 2 2 2 2 5 3 2" xfId="26378"/>
    <cellStyle name="常规 6 2 2 2 2 2 2 5 4" xfId="23273"/>
    <cellStyle name="常规 6 2 2 2 2 2 2 5 5" xfId="23286"/>
    <cellStyle name="常规 6 2 2 2 2 2 2 6" xfId="26381"/>
    <cellStyle name="常规 6 2 2 2 2 2 2 6 2" xfId="26384"/>
    <cellStyle name="常规 6 2 2 2 2 2 2 6 2 2" xfId="26386"/>
    <cellStyle name="常规 6 2 2 2 2 2 2 6 3" xfId="26388"/>
    <cellStyle name="常规 6 2 2 2 2 2 2 6 4" xfId="23299"/>
    <cellStyle name="常规 6 2 2 2 2 2 2 7" xfId="26391"/>
    <cellStyle name="常规 6 2 2 2 2 2 2 7 2" xfId="26393"/>
    <cellStyle name="常规 6 2 2 2 2 2 2 8" xfId="26399"/>
    <cellStyle name="常规 6 2 2 2 2 2 2 9" xfId="26404"/>
    <cellStyle name="常规 6 2 2 2 2 2 3" xfId="34888"/>
    <cellStyle name="常规 6 2 2 2 2 2 3 2" xfId="34889"/>
    <cellStyle name="常规 6 2 2 2 2 2 3 2 2" xfId="34890"/>
    <cellStyle name="常规 6 2 2 2 2 2 3 2 2 2" xfId="34891"/>
    <cellStyle name="常规 6 2 2 2 2 2 3 2 2 2 2" xfId="21067"/>
    <cellStyle name="常规 6 2 2 2 2 2 3 2 2 2 2 2" xfId="34892"/>
    <cellStyle name="常规 6 2 2 2 2 2 3 2 2 2 2 2 2" xfId="34893"/>
    <cellStyle name="常规 6 2 2 2 2 2 3 2 2 2 2 2 2 2" xfId="34894"/>
    <cellStyle name="常规 6 2 2 2 2 2 3 2 2 2 2 2 3" xfId="34895"/>
    <cellStyle name="常规 6 2 2 2 2 2 3 2 2 2 2 2 4" xfId="34896"/>
    <cellStyle name="常规 6 2 2 2 2 2 3 2 2 2 2 3" xfId="34897"/>
    <cellStyle name="常规 6 2 2 2 2 2 3 2 2 2 2 3 2" xfId="34898"/>
    <cellStyle name="常规 6 2 2 2 2 2 3 2 2 2 2 4" xfId="34899"/>
    <cellStyle name="常规 6 2 2 2 2 2 3 2 2 2 2 5" xfId="34900"/>
    <cellStyle name="常规 6 2 2 2 2 2 3 2 2 2 3" xfId="21069"/>
    <cellStyle name="常规 6 2 2 2 2 2 3 2 2 2 3 2" xfId="34901"/>
    <cellStyle name="常规 6 2 2 2 2 2 3 2 2 2 3 2 2" xfId="34902"/>
    <cellStyle name="常规 6 2 2 2 2 2 3 2 2 2 3 3" xfId="34903"/>
    <cellStyle name="常规 6 2 2 2 2 2 3 2 2 2 3 4" xfId="34904"/>
    <cellStyle name="常规 6 2 2 2 2 2 3 2 2 2 4" xfId="34905"/>
    <cellStyle name="常规 6 2 2 2 2 2 3 2 2 2 4 2" xfId="34906"/>
    <cellStyle name="常规 6 2 2 2 2 2 3 2 2 2 5" xfId="34907"/>
    <cellStyle name="常规 6 2 2 2 2 2 3 2 2 2 6" xfId="34908"/>
    <cellStyle name="常规 6 2 2 2 2 2 3 2 2 3" xfId="34909"/>
    <cellStyle name="常规 6 2 2 2 2 2 3 2 2 3 2" xfId="34910"/>
    <cellStyle name="常规 6 2 2 2 2 2 3 2 2 3 2 2" xfId="34911"/>
    <cellStyle name="常规 6 2 2 2 2 2 3 2 2 3 2 2 2" xfId="34912"/>
    <cellStyle name="常规 6 2 2 2 2 2 3 2 2 3 2 3" xfId="34913"/>
    <cellStyle name="常规 6 2 2 2 2 2 3 2 2 3 2 4" xfId="34914"/>
    <cellStyle name="常规 6 2 2 2 2 2 3 2 2 3 3" xfId="34915"/>
    <cellStyle name="常规 6 2 2 2 2 2 3 2 2 3 3 2" xfId="34916"/>
    <cellStyle name="常规 6 2 2 2 2 2 3 2 2 3 4" xfId="34917"/>
    <cellStyle name="常规 6 2 2 2 2 2 3 2 2 3 5" xfId="34918"/>
    <cellStyle name="常规 6 2 2 2 2 2 3 2 2 4" xfId="34919"/>
    <cellStyle name="常规 6 2 2 2 2 2 3 2 2 4 2" xfId="34920"/>
    <cellStyle name="常规 6 2 2 2 2 2 3 2 2 4 2 2" xfId="34921"/>
    <cellStyle name="常规 6 2 2 2 2 2 3 2 2 4 3" xfId="34922"/>
    <cellStyle name="常规 6 2 2 2 2 2 3 2 2 4 4" xfId="34923"/>
    <cellStyle name="常规 6 2 2 2 2 2 3 2 2 5" xfId="34924"/>
    <cellStyle name="常规 6 2 2 2 2 2 3 2 2 5 2" xfId="34925"/>
    <cellStyle name="常规 6 2 2 2 2 2 3 2 2 6" xfId="34926"/>
    <cellStyle name="常规 6 2 2 2 2 2 3 2 2 7" xfId="34927"/>
    <cellStyle name="常规 6 2 2 2 2 2 3 2 3" xfId="34928"/>
    <cellStyle name="常规 6 2 2 2 2 2 3 2 3 2" xfId="34929"/>
    <cellStyle name="常规 6 2 2 2 2 2 3 2 3 2 2" xfId="34930"/>
    <cellStyle name="常规 6 2 2 2 2 2 3 2 3 2 2 2" xfId="34931"/>
    <cellStyle name="常规 6 2 2 2 2 2 3 2 3 2 2 2 2" xfId="34932"/>
    <cellStyle name="常规 6 2 2 2 2 2 3 2 3 2 2 3" xfId="34933"/>
    <cellStyle name="常规 6 2 2 2 2 2 3 2 3 2 2 4" xfId="34934"/>
    <cellStyle name="常规 6 2 2 2 2 2 3 2 3 2 3" xfId="34935"/>
    <cellStyle name="常规 6 2 2 2 2 2 3 2 3 2 3 2" xfId="34936"/>
    <cellStyle name="常规 6 2 2 2 2 2 3 2 3 2 4" xfId="34937"/>
    <cellStyle name="常规 6 2 2 2 2 2 3 2 3 2 5" xfId="34938"/>
    <cellStyle name="常规 6 2 2 2 2 2 3 2 3 3" xfId="34939"/>
    <cellStyle name="常规 6 2 2 2 2 2 3 2 3 3 2" xfId="34940"/>
    <cellStyle name="常规 6 2 2 2 2 2 3 2 3 3 2 2" xfId="34941"/>
    <cellStyle name="常规 6 2 2 2 2 2 3 2 3 3 3" xfId="34942"/>
    <cellStyle name="常规 6 2 2 2 2 2 3 2 3 3 4" xfId="34943"/>
    <cellStyle name="常规 6 2 2 2 2 2 3 2 3 4" xfId="34944"/>
    <cellStyle name="常规 6 2 2 2 2 2 3 2 3 4 2" xfId="34945"/>
    <cellStyle name="常规 6 2 2 2 2 2 3 2 3 5" xfId="34946"/>
    <cellStyle name="常规 6 2 2 2 2 2 3 2 3 6" xfId="34947"/>
    <cellStyle name="常规 6 2 2 2 2 2 3 2 4" xfId="34948"/>
    <cellStyle name="常规 6 2 2 2 2 2 3 2 4 2" xfId="34949"/>
    <cellStyle name="常规 6 2 2 2 2 2 3 2 4 2 2" xfId="34950"/>
    <cellStyle name="常规 6 2 2 2 2 2 3 2 4 2 2 2" xfId="34951"/>
    <cellStyle name="常规 6 2 2 2 2 2 3 2 4 2 3" xfId="34952"/>
    <cellStyle name="常规 6 2 2 2 2 2 3 2 4 2 4" xfId="34953"/>
    <cellStyle name="常规 6 2 2 2 2 2 3 2 4 3" xfId="34954"/>
    <cellStyle name="常规 6 2 2 2 2 2 3 2 4 3 2" xfId="34955"/>
    <cellStyle name="常规 6 2 2 2 2 2 3 2 4 4" xfId="34956"/>
    <cellStyle name="常规 6 2 2 2 2 2 3 2 4 5" xfId="34957"/>
    <cellStyle name="常规 6 2 2 2 2 2 3 2 5" xfId="34958"/>
    <cellStyle name="常规 6 2 2 2 2 2 3 2 5 2" xfId="34959"/>
    <cellStyle name="常规 6 2 2 2 2 2 3 2 5 2 2" xfId="34960"/>
    <cellStyle name="常规 6 2 2 2 2 2 3 2 5 3" xfId="34961"/>
    <cellStyle name="常规 6 2 2 2 2 2 3 2 5 4" xfId="34962"/>
    <cellStyle name="常规 6 2 2 2 2 2 3 2 6" xfId="34963"/>
    <cellStyle name="常规 6 2 2 2 2 2 3 2 6 2" xfId="34964"/>
    <cellStyle name="常规 6 2 2 2 2 2 3 2 7" xfId="34965"/>
    <cellStyle name="常规 6 2 2 2 2 2 3 2 8" xfId="34966"/>
    <cellStyle name="常规 6 2 2 2 2 2 3 3" xfId="34967"/>
    <cellStyle name="常规 6 2 2 2 2 2 3 3 2" xfId="34968"/>
    <cellStyle name="常规 6 2 2 2 2 2 3 3 2 2" xfId="34969"/>
    <cellStyle name="常规 6 2 2 2 2 2 3 3 2 2 2" xfId="34970"/>
    <cellStyle name="常规 6 2 2 2 2 2 3 3 2 2 2 2" xfId="34971"/>
    <cellStyle name="常规 6 2 2 2 2 2 3 3 2 2 2 2 2" xfId="34972"/>
    <cellStyle name="常规 6 2 2 2 2 2 3 3 2 2 2 3" xfId="34973"/>
    <cellStyle name="常规 6 2 2 2 2 2 3 3 2 2 2 4" xfId="34974"/>
    <cellStyle name="常规 6 2 2 2 2 2 3 3 2 2 3" xfId="34975"/>
    <cellStyle name="常规 6 2 2 2 2 2 3 3 2 2 3 2" xfId="3500"/>
    <cellStyle name="常规 6 2 2 2 2 2 3 3 2 2 4" xfId="34976"/>
    <cellStyle name="常规 6 2 2 2 2 2 3 3 2 2 5" xfId="34977"/>
    <cellStyle name="常规 6 2 2 2 2 2 3 3 2 3" xfId="34978"/>
    <cellStyle name="常规 6 2 2 2 2 2 3 3 2 3 2" xfId="34979"/>
    <cellStyle name="常规 6 2 2 2 2 2 3 3 2 3 2 2" xfId="34980"/>
    <cellStyle name="常规 6 2 2 2 2 2 3 3 2 3 3" xfId="34981"/>
    <cellStyle name="常规 6 2 2 2 2 2 3 3 2 3 4" xfId="34983"/>
    <cellStyle name="常规 6 2 2 2 2 2 3 3 2 4" xfId="34984"/>
    <cellStyle name="常规 6 2 2 2 2 2 3 3 2 4 2" xfId="34985"/>
    <cellStyle name="常规 6 2 2 2 2 2 3 3 2 5" xfId="34986"/>
    <cellStyle name="常规 6 2 2 2 2 2 3 3 2 6" xfId="34987"/>
    <cellStyle name="常规 6 2 2 2 2 2 3 3 3" xfId="34988"/>
    <cellStyle name="常规 6 2 2 2 2 2 3 3 3 2" xfId="34989"/>
    <cellStyle name="常规 6 2 2 2 2 2 3 3 3 2 2" xfId="34990"/>
    <cellStyle name="常规 6 2 2 2 2 2 3 3 3 2 2 2" xfId="34991"/>
    <cellStyle name="常规 6 2 2 2 2 2 3 3 3 2 3" xfId="34992"/>
    <cellStyle name="常规 6 2 2 2 2 2 3 3 3 2 4" xfId="34993"/>
    <cellStyle name="常规 6 2 2 2 2 2 3 3 3 3" xfId="34994"/>
    <cellStyle name="常规 6 2 2 2 2 2 3 3 3 3 2" xfId="34995"/>
    <cellStyle name="常规 6 2 2 2 2 2 3 3 3 4" xfId="34996"/>
    <cellStyle name="常规 6 2 2 2 2 2 3 3 3 5" xfId="34997"/>
    <cellStyle name="常规 6 2 2 2 2 2 3 3 4" xfId="34998"/>
    <cellStyle name="常规 6 2 2 2 2 2 3 3 4 2" xfId="34999"/>
    <cellStyle name="常规 6 2 2 2 2 2 3 3 4 2 2" xfId="35001"/>
    <cellStyle name="常规 6 2 2 2 2 2 3 3 4 3" xfId="35002"/>
    <cellStyle name="常规 6 2 2 2 2 2 3 3 4 4" xfId="35003"/>
    <cellStyle name="常规 6 2 2 2 2 2 3 3 5" xfId="35004"/>
    <cellStyle name="常规 6 2 2 2 2 2 3 3 5 2" xfId="35005"/>
    <cellStyle name="常规 6 2 2 2 2 2 3 3 6" xfId="35006"/>
    <cellStyle name="常规 6 2 2 2 2 2 3 3 7" xfId="35008"/>
    <cellStyle name="常规 6 2 2 2 2 2 3 4" xfId="4016"/>
    <cellStyle name="常规 6 2 2 2 2 2 3 4 2" xfId="10691"/>
    <cellStyle name="常规 6 2 2 2 2 2 3 4 2 2" xfId="10695"/>
    <cellStyle name="常规 6 2 2 2 2 2 3 4 2 2 2" xfId="10698"/>
    <cellStyle name="常规 6 2 2 2 2 2 3 4 2 2 2 2" xfId="35009"/>
    <cellStyle name="常规 6 2 2 2 2 2 3 4 2 2 3" xfId="35010"/>
    <cellStyle name="常规 6 2 2 2 2 2 3 4 2 2 4" xfId="35011"/>
    <cellStyle name="常规 6 2 2 2 2 2 3 4 2 3" xfId="10837"/>
    <cellStyle name="常规 6 2 2 2 2 2 3 4 2 3 2" xfId="35012"/>
    <cellStyle name="常规 6 2 2 2 2 2 3 4 2 4" xfId="10917"/>
    <cellStyle name="常规 6 2 2 2 2 2 3 4 2 5" xfId="35013"/>
    <cellStyle name="常规 6 2 2 2 2 2 3 4 3" xfId="10984"/>
    <cellStyle name="常规 6 2 2 2 2 2 3 4 3 2" xfId="10991"/>
    <cellStyle name="常规 6 2 2 2 2 2 3 4 3 2 2" xfId="35014"/>
    <cellStyle name="常规 6 2 2 2 2 2 3 4 3 3" xfId="35016"/>
    <cellStyle name="常规 6 2 2 2 2 2 3 4 3 4" xfId="35018"/>
    <cellStyle name="常规 6 2 2 2 2 2 3 4 4" xfId="6888"/>
    <cellStyle name="常规 6 2 2 2 2 2 3 4 4 2" xfId="35019"/>
    <cellStyle name="常规 6 2 2 2 2 2 3 4 5" xfId="11273"/>
    <cellStyle name="常规 6 2 2 2 2 2 3 4 6" xfId="35020"/>
    <cellStyle name="常规 6 2 2 2 2 2 3 5" xfId="26407"/>
    <cellStyle name="常规 6 2 2 2 2 2 3 5 2" xfId="11816"/>
    <cellStyle name="常规 6 2 2 2 2 2 3 5 2 2" xfId="11819"/>
    <cellStyle name="常规 6 2 2 2 2 2 3 5 2 2 2" xfId="35021"/>
    <cellStyle name="常规 6 2 2 2 2 2 3 5 2 3" xfId="35022"/>
    <cellStyle name="常规 6 2 2 2 2 2 3 5 2 4" xfId="35023"/>
    <cellStyle name="常规 6 2 2 2 2 2 3 5 3" xfId="11977"/>
    <cellStyle name="常规 6 2 2 2 2 2 3 5 3 2" xfId="35024"/>
    <cellStyle name="常规 6 2 2 2 2 2 3 5 4" xfId="12088"/>
    <cellStyle name="常规 6 2 2 2 2 2 3 5 5" xfId="35025"/>
    <cellStyle name="常规 6 2 2 2 2 2 3 6" xfId="7874"/>
    <cellStyle name="常规 6 2 2 2 2 2 3 6 2" xfId="7877"/>
    <cellStyle name="常规 6 2 2 2 2 2 3 6 2 2" xfId="35026"/>
    <cellStyle name="常规 6 2 2 2 2 2 3 6 3" xfId="35027"/>
    <cellStyle name="常规 6 2 2 2 2 2 3 6 4" xfId="35028"/>
    <cellStyle name="常规 6 2 2 2 2 2 3 7" xfId="7885"/>
    <cellStyle name="常规 6 2 2 2 2 2 3 7 2" xfId="35029"/>
    <cellStyle name="常规 6 2 2 2 2 2 3 8" xfId="5755"/>
    <cellStyle name="常规 6 2 2 2 2 2 3 9" xfId="35030"/>
    <cellStyle name="常规 6 2 2 2 2 2 4" xfId="35031"/>
    <cellStyle name="常规 6 2 2 2 2 2 4 2" xfId="35032"/>
    <cellStyle name="常规 6 2 2 2 2 2 4 2 2" xfId="35033"/>
    <cellStyle name="常规 6 2 2 2 2 2 4 2 2 2" xfId="35034"/>
    <cellStyle name="常规 6 2 2 2 2 2 4 2 2 2 2" xfId="35036"/>
    <cellStyle name="常规 6 2 2 2 2 2 4 2 2 2 2 2" xfId="35037"/>
    <cellStyle name="常规 6 2 2 2 2 2 4 2 2 2 2 2 2" xfId="35038"/>
    <cellStyle name="常规 6 2 2 2 2 2 4 2 2 2 2 3" xfId="35039"/>
    <cellStyle name="常规 6 2 2 2 2 2 4 2 2 2 2 4" xfId="35040"/>
    <cellStyle name="常规 6 2 2 2 2 2 4 2 2 2 3" xfId="35042"/>
    <cellStyle name="常规 6 2 2 2 2 2 4 2 2 2 3 2" xfId="35043"/>
    <cellStyle name="常规 6 2 2 2 2 2 4 2 2 2 4" xfId="35044"/>
    <cellStyle name="常规 6 2 2 2 2 2 4 2 2 2 5" xfId="35045"/>
    <cellStyle name="常规 6 2 2 2 2 2 4 2 2 3" xfId="35046"/>
    <cellStyle name="常规 6 2 2 2 2 2 4 2 2 3 2" xfId="35047"/>
    <cellStyle name="常规 6 2 2 2 2 2 4 2 2 3 2 2" xfId="35048"/>
    <cellStyle name="常规 6 2 2 2 2 2 4 2 2 3 3" xfId="35049"/>
    <cellStyle name="常规 6 2 2 2 2 2 4 2 2 3 4" xfId="35050"/>
    <cellStyle name="常规 6 2 2 2 2 2 4 2 2 4" xfId="35051"/>
    <cellStyle name="常规 6 2 2 2 2 2 4 2 2 4 2" xfId="35052"/>
    <cellStyle name="常规 6 2 2 2 2 2 4 2 2 5" xfId="35053"/>
    <cellStyle name="常规 6 2 2 2 2 2 4 2 2 6" xfId="35054"/>
    <cellStyle name="常规 6 2 2 2 2 2 4 2 3" xfId="35055"/>
    <cellStyle name="常规 6 2 2 2 2 2 4 2 3 2" xfId="35056"/>
    <cellStyle name="常规 6 2 2 2 2 2 4 2 3 2 2" xfId="35057"/>
    <cellStyle name="常规 6 2 2 2 2 2 4 2 3 2 2 2" xfId="35058"/>
    <cellStyle name="常规 6 2 2 2 2 2 4 2 3 2 3" xfId="35059"/>
    <cellStyle name="常规 6 2 2 2 2 2 4 2 3 2 4" xfId="35060"/>
    <cellStyle name="常规 6 2 2 2 2 2 4 2 3 3" xfId="35061"/>
    <cellStyle name="常规 6 2 2 2 2 2 4 2 3 3 2" xfId="35062"/>
    <cellStyle name="常规 6 2 2 2 2 2 4 2 3 4" xfId="35063"/>
    <cellStyle name="常规 6 2 2 2 2 2 4 2 3 5" xfId="35064"/>
    <cellStyle name="常规 6 2 2 2 2 2 4 2 4" xfId="35065"/>
    <cellStyle name="常规 6 2 2 2 2 2 4 2 4 2" xfId="35066"/>
    <cellStyle name="常规 6 2 2 2 2 2 4 2 4 2 2" xfId="35067"/>
    <cellStyle name="常规 6 2 2 2 2 2 4 2 4 3" xfId="35068"/>
    <cellStyle name="常规 6 2 2 2 2 2 4 2 4 4" xfId="35069"/>
    <cellStyle name="常规 6 2 2 2 2 2 4 2 5" xfId="35071"/>
    <cellStyle name="常规 6 2 2 2 2 2 4 2 5 2" xfId="35072"/>
    <cellStyle name="常规 6 2 2 2 2 2 4 2 6" xfId="35073"/>
    <cellStyle name="常规 6 2 2 2 2 2 4 2 7" xfId="35074"/>
    <cellStyle name="常规 6 2 2 2 2 2 4 3" xfId="35075"/>
    <cellStyle name="常规 6 2 2 2 2 2 4 3 2" xfId="35076"/>
    <cellStyle name="常规 6 2 2 2 2 2 4 3 2 2" xfId="35077"/>
    <cellStyle name="常规 6 2 2 2 2 2 4 3 2 2 2" xfId="35078"/>
    <cellStyle name="常规 6 2 2 2 2 2 4 3 2 2 2 2" xfId="35079"/>
    <cellStyle name="常规 6 2 2 2 2 2 4 3 2 2 3" xfId="35080"/>
    <cellStyle name="常规 6 2 2 2 2 2 4 3 2 2 4" xfId="35081"/>
    <cellStyle name="常规 6 2 2 2 2 2 4 3 2 3" xfId="35082"/>
    <cellStyle name="常规 6 2 2 2 2 2 4 3 2 3 2" xfId="35083"/>
    <cellStyle name="常规 6 2 2 2 2 2 4 3 2 4" xfId="35084"/>
    <cellStyle name="常规 6 2 2 2 2 2 4 3 2 5" xfId="35085"/>
    <cellStyle name="常规 6 2 2 2 2 2 4 3 3" xfId="35086"/>
    <cellStyle name="常规 6 2 2 2 2 2 4 3 3 2" xfId="35087"/>
    <cellStyle name="常规 6 2 2 2 2 2 4 3 3 2 2" xfId="35088"/>
    <cellStyle name="常规 6 2 2 2 2 2 4 3 3 3" xfId="35089"/>
    <cellStyle name="常规 6 2 2 2 2 2 4 3 3 4" xfId="35090"/>
    <cellStyle name="常规 6 2 2 2 2 2 4 3 4" xfId="35091"/>
    <cellStyle name="常规 6 2 2 2 2 2 4 3 4 2" xfId="35092"/>
    <cellStyle name="常规 6 2 2 2 2 2 4 3 5" xfId="35093"/>
    <cellStyle name="常规 6 2 2 2 2 2 4 3 6" xfId="35094"/>
    <cellStyle name="常规 6 2 2 2 2 2 4 4" xfId="26412"/>
    <cellStyle name="常规 6 2 2 2 2 2 4 4 2" xfId="13538"/>
    <cellStyle name="常规 6 2 2 2 2 2 4 4 2 2" xfId="6530"/>
    <cellStyle name="常规 6 2 2 2 2 2 4 4 2 2 2" xfId="35095"/>
    <cellStyle name="常规 6 2 2 2 2 2 4 4 2 3" xfId="35096"/>
    <cellStyle name="常规 6 2 2 2 2 2 4 4 2 4" xfId="35097"/>
    <cellStyle name="常规 6 2 2 2 2 2 4 4 3" xfId="13638"/>
    <cellStyle name="常规 6 2 2 2 2 2 4 4 3 2" xfId="35098"/>
    <cellStyle name="常规 6 2 2 2 2 2 4 4 4" xfId="13697"/>
    <cellStyle name="常规 6 2 2 2 2 2 4 4 5" xfId="35099"/>
    <cellStyle name="常规 6 2 2 2 2 2 4 5" xfId="26415"/>
    <cellStyle name="常规 6 2 2 2 2 2 4 5 2" xfId="13995"/>
    <cellStyle name="常规 6 2 2 2 2 2 4 5 2 2" xfId="35100"/>
    <cellStyle name="常规 6 2 2 2 2 2 4 5 3" xfId="35101"/>
    <cellStyle name="常规 6 2 2 2 2 2 4 5 4" xfId="35102"/>
    <cellStyle name="常规 6 2 2 2 2 2 4 6" xfId="7890"/>
    <cellStyle name="常规 6 2 2 2 2 2 4 6 2" xfId="35103"/>
    <cellStyle name="常规 6 2 2 2 2 2 4 7" xfId="26417"/>
    <cellStyle name="常规 6 2 2 2 2 2 4 8" xfId="35104"/>
    <cellStyle name="常规 6 2 2 2 2 2 5" xfId="35105"/>
    <cellStyle name="常规 6 2 2 2 2 2 5 2" xfId="35106"/>
    <cellStyle name="常规 6 2 2 2 2 2 5 2 2" xfId="35107"/>
    <cellStyle name="常规 6 2 2 2 2 2 5 2 2 2" xfId="35108"/>
    <cellStyle name="常规 6 2 2 2 2 2 5 2 2 2 2" xfId="35109"/>
    <cellStyle name="常规 6 2 2 2 2 2 5 2 2 2 2 2" xfId="35110"/>
    <cellStyle name="常规 6 2 2 2 2 2 5 2 2 2 3" xfId="35111"/>
    <cellStyle name="常规 6 2 2 2 2 2 5 2 2 2 4" xfId="35112"/>
    <cellStyle name="常规 6 2 2 2 2 2 5 2 2 3" xfId="35113"/>
    <cellStyle name="常规 6 2 2 2 2 2 5 2 2 3 2" xfId="35114"/>
    <cellStyle name="常规 6 2 2 2 2 2 5 2 2 4" xfId="35115"/>
    <cellStyle name="常规 6 2 2 2 2 2 5 2 2 5" xfId="35116"/>
    <cellStyle name="常规 6 2 2 2 2 2 5 2 3" xfId="35117"/>
    <cellStyle name="常规 6 2 2 2 2 2 5 2 3 2" xfId="35119"/>
    <cellStyle name="常规 6 2 2 2 2 2 5 2 3 2 2" xfId="35120"/>
    <cellStyle name="常规 6 2 2 2 2 2 5 2 3 3" xfId="35122"/>
    <cellStyle name="常规 6 2 2 2 2 2 5 2 3 4" xfId="35123"/>
    <cellStyle name="常规 6 2 2 2 2 2 5 2 4" xfId="35124"/>
    <cellStyle name="常规 6 2 2 2 2 2 5 2 4 2" xfId="35126"/>
    <cellStyle name="常规 6 2 2 2 2 2 5 2 5" xfId="35127"/>
    <cellStyle name="常规 6 2 2 2 2 2 5 2 6" xfId="35128"/>
    <cellStyle name="常规 6 2 2 2 2 2 5 3" xfId="35129"/>
    <cellStyle name="常规 6 2 2 2 2 2 5 3 2" xfId="35130"/>
    <cellStyle name="常规 6 2 2 2 2 2 5 3 2 2" xfId="35131"/>
    <cellStyle name="常规 6 2 2 2 2 2 5 3 2 2 2" xfId="35132"/>
    <cellStyle name="常规 6 2 2 2 2 2 5 3 2 3" xfId="35133"/>
    <cellStyle name="常规 6 2 2 2 2 2 5 3 2 4" xfId="35134"/>
    <cellStyle name="常规 6 2 2 2 2 2 5 3 3" xfId="35135"/>
    <cellStyle name="常规 6 2 2 2 2 2 5 3 3 2" xfId="35137"/>
    <cellStyle name="常规 6 2 2 2 2 2 5 3 4" xfId="35138"/>
    <cellStyle name="常规 6 2 2 2 2 2 5 3 5" xfId="35139"/>
    <cellStyle name="常规 6 2 2 2 2 2 5 4" xfId="26422"/>
    <cellStyle name="常规 6 2 2 2 2 2 5 4 2" xfId="14796"/>
    <cellStyle name="常规 6 2 2 2 2 2 5 4 2 2" xfId="35140"/>
    <cellStyle name="常规 6 2 2 2 2 2 5 4 3" xfId="35141"/>
    <cellStyle name="常规 6 2 2 2 2 2 5 4 4" xfId="35142"/>
    <cellStyle name="常规 6 2 2 2 2 2 5 5" xfId="26424"/>
    <cellStyle name="常规 6 2 2 2 2 2 5 5 2" xfId="35143"/>
    <cellStyle name="常规 6 2 2 2 2 2 5 6" xfId="26427"/>
    <cellStyle name="常规 6 2 2 2 2 2 5 7" xfId="35144"/>
    <cellStyle name="常规 6 2 2 2 2 2 6" xfId="35145"/>
    <cellStyle name="常规 6 2 2 2 2 2 6 2" xfId="35146"/>
    <cellStyle name="常规 6 2 2 2 2 2 6 2 2" xfId="35147"/>
    <cellStyle name="常规 6 2 2 2 2 2 6 2 2 2" xfId="35148"/>
    <cellStyle name="常规 6 2 2 2 2 2 6 2 2 2 2" xfId="35149"/>
    <cellStyle name="常规 6 2 2 2 2 2 6 2 2 3" xfId="35150"/>
    <cellStyle name="常规 6 2 2 2 2 2 6 2 2 4" xfId="35151"/>
    <cellStyle name="常规 6 2 2 2 2 2 6 2 3" xfId="35152"/>
    <cellStyle name="常规 6 2 2 2 2 2 6 2 3 2" xfId="35154"/>
    <cellStyle name="常规 6 2 2 2 2 2 6 2 4" xfId="35155"/>
    <cellStyle name="常规 6 2 2 2 2 2 6 2 5" xfId="35156"/>
    <cellStyle name="常规 6 2 2 2 2 2 6 3" xfId="35157"/>
    <cellStyle name="常规 6 2 2 2 2 2 6 3 2" xfId="35158"/>
    <cellStyle name="常规 6 2 2 2 2 2 6 3 2 2" xfId="35159"/>
    <cellStyle name="常规 6 2 2 2 2 2 6 3 3" xfId="35160"/>
    <cellStyle name="常规 6 2 2 2 2 2 6 3 4" xfId="35161"/>
    <cellStyle name="常规 6 2 2 2 2 2 6 4" xfId="25047"/>
    <cellStyle name="常规 6 2 2 2 2 2 6 4 2" xfId="15430"/>
    <cellStyle name="常规 6 2 2 2 2 2 6 5" xfId="35162"/>
    <cellStyle name="常规 6 2 2 2 2 2 6 6" xfId="35163"/>
    <cellStyle name="常规 6 2 2 2 2 2 7" xfId="35164"/>
    <cellStyle name="常规 6 2 2 2 2 2 7 2" xfId="35165"/>
    <cellStyle name="常规 6 2 2 2 2 2 7 2 2" xfId="35166"/>
    <cellStyle name="常规 6 2 2 2 2 2 7 2 2 2" xfId="35167"/>
    <cellStyle name="常规 6 2 2 2 2 2 7 2 3" xfId="35168"/>
    <cellStyle name="常规 6 2 2 2 2 2 7 2 4" xfId="184"/>
    <cellStyle name="常规 6 2 2 2 2 2 7 3" xfId="35169"/>
    <cellStyle name="常规 6 2 2 2 2 2 7 3 2" xfId="35170"/>
    <cellStyle name="常规 6 2 2 2 2 2 7 4" xfId="35171"/>
    <cellStyle name="常规 6 2 2 2 2 2 7 5" xfId="35172"/>
    <cellStyle name="常规 6 2 2 2 2 2 8" xfId="35173"/>
    <cellStyle name="常规 6 2 2 2 2 2 8 2" xfId="35174"/>
    <cellStyle name="常规 6 2 2 2 2 2 8 2 2" xfId="35175"/>
    <cellStyle name="常规 6 2 2 2 2 2 8 3" xfId="35176"/>
    <cellStyle name="常规 6 2 2 2 2 2 8 4" xfId="35177"/>
    <cellStyle name="常规 6 2 2 2 2 2 9" xfId="35178"/>
    <cellStyle name="常规 6 2 2 2 2 2 9 2" xfId="35179"/>
    <cellStyle name="常规 6 2 2 2 2 3" xfId="35180"/>
    <cellStyle name="常规 6 2 2 2 2 3 2" xfId="35181"/>
    <cellStyle name="常规 6 2 2 2 2 3 2 2" xfId="35182"/>
    <cellStyle name="常规 6 2 2 2 2 3 2 2 2" xfId="35183"/>
    <cellStyle name="常规 6 2 2 2 2 3 2 2 2 2" xfId="35184"/>
    <cellStyle name="常规 6 2 2 2 2 3 2 2 2 2 2" xfId="35185"/>
    <cellStyle name="常规 6 2 2 2 2 3 2 2 2 2 2 2" xfId="35186"/>
    <cellStyle name="常规 6 2 2 2 2 3 2 2 2 2 2 2 2" xfId="35187"/>
    <cellStyle name="常规 6 2 2 2 2 3 2 2 2 2 2 3" xfId="35188"/>
    <cellStyle name="常规 6 2 2 2 2 3 2 2 2 2 2 4" xfId="35189"/>
    <cellStyle name="常规 6 2 2 2 2 3 2 2 2 2 3" xfId="35190"/>
    <cellStyle name="常规 6 2 2 2 2 3 2 2 2 2 3 2" xfId="35191"/>
    <cellStyle name="常规 6 2 2 2 2 3 2 2 2 2 4" xfId="35192"/>
    <cellStyle name="常规 6 2 2 2 2 3 2 2 2 2 5" xfId="35193"/>
    <cellStyle name="常规 6 2 2 2 2 3 2 2 2 3" xfId="35194"/>
    <cellStyle name="常规 6 2 2 2 2 3 2 2 2 3 2" xfId="35195"/>
    <cellStyle name="常规 6 2 2 2 2 3 2 2 2 3 2 2" xfId="35196"/>
    <cellStyle name="常规 6 2 2 2 2 3 2 2 2 3 3" xfId="35197"/>
    <cellStyle name="常规 6 2 2 2 2 3 2 2 2 3 4" xfId="35198"/>
    <cellStyle name="常规 6 2 2 2 2 3 2 2 2 4" xfId="35199"/>
    <cellStyle name="常规 6 2 2 2 2 3 2 2 2 4 2" xfId="35200"/>
    <cellStyle name="常规 6 2 2 2 2 3 2 2 2 5" xfId="35201"/>
    <cellStyle name="常规 6 2 2 2 2 3 2 2 2 6" xfId="35202"/>
    <cellStyle name="常规 6 2 2 2 2 3 2 2 3" xfId="35203"/>
    <cellStyle name="常规 6 2 2 2 2 3 2 2 3 2" xfId="35204"/>
    <cellStyle name="常规 6 2 2 2 2 3 2 2 3 2 2" xfId="35205"/>
    <cellStyle name="常规 6 2 2 2 2 3 2 2 3 2 2 2" xfId="35206"/>
    <cellStyle name="常规 6 2 2 2 2 3 2 2 3 2 3" xfId="35207"/>
    <cellStyle name="常规 6 2 2 2 2 3 2 2 3 2 4" xfId="35208"/>
    <cellStyle name="常规 6 2 2 2 2 3 2 2 3 3" xfId="35209"/>
    <cellStyle name="常规 6 2 2 2 2 3 2 2 3 3 2" xfId="35210"/>
    <cellStyle name="常规 6 2 2 2 2 3 2 2 3 4" xfId="35211"/>
    <cellStyle name="常规 6 2 2 2 2 3 2 2 3 5" xfId="35212"/>
    <cellStyle name="常规 6 2 2 2 2 3 2 2 4" xfId="35213"/>
    <cellStyle name="常规 6 2 2 2 2 3 2 2 4 2" xfId="35214"/>
    <cellStyle name="常规 6 2 2 2 2 3 2 2 4 2 2" xfId="35215"/>
    <cellStyle name="常规 6 2 2 2 2 3 2 2 4 3" xfId="35216"/>
    <cellStyle name="常规 6 2 2 2 2 3 2 2 4 4" xfId="35217"/>
    <cellStyle name="常规 6 2 2 2 2 3 2 2 5" xfId="35218"/>
    <cellStyle name="常规 6 2 2 2 2 3 2 2 5 2" xfId="35219"/>
    <cellStyle name="常规 6 2 2 2 2 3 2 2 6" xfId="35220"/>
    <cellStyle name="常规 6 2 2 2 2 3 2 2 7" xfId="35221"/>
    <cellStyle name="常规 6 2 2 2 2 3 2 3" xfId="35222"/>
    <cellStyle name="常规 6 2 2 2 2 3 2 3 2" xfId="35223"/>
    <cellStyle name="常规 6 2 2 2 2 3 2 3 2 2" xfId="35224"/>
    <cellStyle name="常规 6 2 2 2 2 3 2 3 2 2 2" xfId="35225"/>
    <cellStyle name="常规 6 2 2 2 2 3 2 3 2 2 2 2" xfId="35226"/>
    <cellStyle name="常规 6 2 2 2 2 3 2 3 2 2 3" xfId="35227"/>
    <cellStyle name="常规 6 2 2 2 2 3 2 3 2 2 4" xfId="35228"/>
    <cellStyle name="常规 6 2 2 2 2 3 2 3 2 3" xfId="35229"/>
    <cellStyle name="常规 6 2 2 2 2 3 2 3 2 3 2" xfId="35230"/>
    <cellStyle name="常规 6 2 2 2 2 3 2 3 2 4" xfId="35231"/>
    <cellStyle name="常规 6 2 2 2 2 3 2 3 2 5" xfId="35232"/>
    <cellStyle name="常规 6 2 2 2 2 3 2 3 3" xfId="35233"/>
    <cellStyle name="常规 6 2 2 2 2 3 2 3 3 2" xfId="35234"/>
    <cellStyle name="常规 6 2 2 2 2 3 2 3 3 2 2" xfId="35235"/>
    <cellStyle name="常规 6 2 2 2 2 3 2 3 3 3" xfId="3734"/>
    <cellStyle name="常规 6 2 2 2 2 3 2 3 3 4" xfId="6774"/>
    <cellStyle name="常规 6 2 2 2 2 3 2 3 4" xfId="35236"/>
    <cellStyle name="常规 6 2 2 2 2 3 2 3 4 2" xfId="35237"/>
    <cellStyle name="常规 6 2 2 2 2 3 2 3 5" xfId="35238"/>
    <cellStyle name="常规 6 2 2 2 2 3 2 3 6" xfId="35239"/>
    <cellStyle name="常规 6 2 2 2 2 3 2 4" xfId="26435"/>
    <cellStyle name="常规 6 2 2 2 2 3 2 4 2" xfId="26438"/>
    <cellStyle name="常规 6 2 2 2 2 3 2 4 2 2" xfId="26443"/>
    <cellStyle name="常规 6 2 2 2 2 3 2 4 2 2 2" xfId="26445"/>
    <cellStyle name="常规 6 2 2 2 2 3 2 4 2 3" xfId="26447"/>
    <cellStyle name="常规 6 2 2 2 2 3 2 4 2 4" xfId="26449"/>
    <cellStyle name="常规 6 2 2 2 2 3 2 4 3" xfId="13863"/>
    <cellStyle name="常规 6 2 2 2 2 3 2 4 3 2" xfId="26451"/>
    <cellStyle name="常规 6 2 2 2 2 3 2 4 4" xfId="26454"/>
    <cellStyle name="常规 6 2 2 2 2 3 2 4 5" xfId="26456"/>
    <cellStyle name="常规 6 2 2 2 2 3 2 5" xfId="26459"/>
    <cellStyle name="常规 6 2 2 2 2 3 2 5 2" xfId="26462"/>
    <cellStyle name="常规 6 2 2 2 2 3 2 5 2 2" xfId="26464"/>
    <cellStyle name="常规 6 2 2 2 2 3 2 5 3" xfId="26467"/>
    <cellStyle name="常规 6 2 2 2 2 3 2 5 4" xfId="23348"/>
    <cellStyle name="常规 6 2 2 2 2 3 2 6" xfId="26470"/>
    <cellStyle name="常规 6 2 2 2 2 3 2 6 2" xfId="26472"/>
    <cellStyle name="常规 6 2 2 2 2 3 2 7" xfId="26476"/>
    <cellStyle name="常规 6 2 2 2 2 3 2 8" xfId="26480"/>
    <cellStyle name="常规 6 2 2 2 2 3 3" xfId="35240"/>
    <cellStyle name="常规 6 2 2 2 2 3 3 2" xfId="35241"/>
    <cellStyle name="常规 6 2 2 2 2 3 3 2 2" xfId="35242"/>
    <cellStyle name="常规 6 2 2 2 2 3 3 2 2 2" xfId="35243"/>
    <cellStyle name="常规 6 2 2 2 2 3 3 2 2 2 2" xfId="35244"/>
    <cellStyle name="常规 6 2 2 2 2 3 3 2 2 2 2 2" xfId="35245"/>
    <cellStyle name="常规 6 2 2 2 2 3 3 2 2 2 3" xfId="35246"/>
    <cellStyle name="常规 6 2 2 2 2 3 3 2 2 2 4" xfId="35247"/>
    <cellStyle name="常规 6 2 2 2 2 3 3 2 2 3" xfId="35248"/>
    <cellStyle name="常规 6 2 2 2 2 3 3 2 2 3 2" xfId="35249"/>
    <cellStyle name="常规 6 2 2 2 2 3 3 2 2 4" xfId="35250"/>
    <cellStyle name="常规 6 2 2 2 2 3 3 2 2 5" xfId="35251"/>
    <cellStyle name="常规 6 2 2 2 2 3 3 2 3" xfId="35252"/>
    <cellStyle name="常规 6 2 2 2 2 3 3 2 3 2" xfId="35253"/>
    <cellStyle name="常规 6 2 2 2 2 3 3 2 3 2 2" xfId="35254"/>
    <cellStyle name="常规 6 2 2 2 2 3 3 2 3 3" xfId="9140"/>
    <cellStyle name="常规 6 2 2 2 2 3 3 2 3 4" xfId="35255"/>
    <cellStyle name="常规 6 2 2 2 2 3 3 2 4" xfId="35256"/>
    <cellStyle name="常规 6 2 2 2 2 3 3 2 4 2" xfId="35257"/>
    <cellStyle name="常规 6 2 2 2 2 3 3 2 5" xfId="35258"/>
    <cellStyle name="常规 6 2 2 2 2 3 3 2 6" xfId="35259"/>
    <cellStyle name="常规 6 2 2 2 2 3 3 3" xfId="35260"/>
    <cellStyle name="常规 6 2 2 2 2 3 3 3 2" xfId="35261"/>
    <cellStyle name="常规 6 2 2 2 2 3 3 3 2 2" xfId="35262"/>
    <cellStyle name="常规 6 2 2 2 2 3 3 3 2 2 2" xfId="35263"/>
    <cellStyle name="常规 6 2 2 2 2 3 3 3 2 3" xfId="35264"/>
    <cellStyle name="常规 6 2 2 2 2 3 3 3 2 4" xfId="35265"/>
    <cellStyle name="常规 6 2 2 2 2 3 3 3 3" xfId="35266"/>
    <cellStyle name="常规 6 2 2 2 2 3 3 3 3 2" xfId="35267"/>
    <cellStyle name="常规 6 2 2 2 2 3 3 3 4" xfId="35268"/>
    <cellStyle name="常规 6 2 2 2 2 3 3 3 5" xfId="35269"/>
    <cellStyle name="常规 6 2 2 2 2 3 3 4" xfId="26485"/>
    <cellStyle name="常规 6 2 2 2 2 3 3 4 2" xfId="3033"/>
    <cellStyle name="常规 6 2 2 2 2 3 3 4 2 2" xfId="6424"/>
    <cellStyle name="常规 6 2 2 2 2 3 3 4 3" xfId="3965"/>
    <cellStyle name="常规 6 2 2 2 2 3 3 4 4" xfId="3976"/>
    <cellStyle name="常规 6 2 2 2 2 3 3 5" xfId="26488"/>
    <cellStyle name="常规 6 2 2 2 2 3 3 5 2" xfId="6434"/>
    <cellStyle name="常规 6 2 2 2 2 3 3 6" xfId="7899"/>
    <cellStyle name="常规 6 2 2 2 2 3 3 7" xfId="26490"/>
    <cellStyle name="常规 6 2 2 2 2 3 4" xfId="35270"/>
    <cellStyle name="常规 6 2 2 2 2 3 4 2" xfId="35271"/>
    <cellStyle name="常规 6 2 2 2 2 3 4 2 2" xfId="35272"/>
    <cellStyle name="常规 6 2 2 2 2 3 4 2 2 2" xfId="35273"/>
    <cellStyle name="常规 6 2 2 2 2 3 4 2 2 2 2" xfId="35275"/>
    <cellStyle name="常规 6 2 2 2 2 3 4 2 2 3" xfId="35276"/>
    <cellStyle name="常规 6 2 2 2 2 3 4 2 2 4" xfId="35277"/>
    <cellStyle name="常规 6 2 2 2 2 3 4 2 3" xfId="35278"/>
    <cellStyle name="常规 6 2 2 2 2 3 4 2 3 2" xfId="35279"/>
    <cellStyle name="常规 6 2 2 2 2 3 4 2 4" xfId="35280"/>
    <cellStyle name="常规 6 2 2 2 2 3 4 2 5" xfId="35281"/>
    <cellStyle name="常规 6 2 2 2 2 3 4 3" xfId="35282"/>
    <cellStyle name="常规 6 2 2 2 2 3 4 3 2" xfId="35283"/>
    <cellStyle name="常规 6 2 2 2 2 3 4 3 2 2" xfId="35284"/>
    <cellStyle name="常规 6 2 2 2 2 3 4 3 3" xfId="35285"/>
    <cellStyle name="常规 6 2 2 2 2 3 4 3 4" xfId="35286"/>
    <cellStyle name="常规 6 2 2 2 2 3 4 4" xfId="26495"/>
    <cellStyle name="常规 6 2 2 2 2 3 4 4 2" xfId="4227"/>
    <cellStyle name="常规 6 2 2 2 2 3 4 5" xfId="16653"/>
    <cellStyle name="常规 6 2 2 2 2 3 4 6" xfId="16660"/>
    <cellStyle name="常规 6 2 2 2 2 3 5" xfId="35287"/>
    <cellStyle name="常规 6 2 2 2 2 3 5 2" xfId="35288"/>
    <cellStyle name="常规 6 2 2 2 2 3 5 2 2" xfId="35289"/>
    <cellStyle name="常规 6 2 2 2 2 3 5 2 2 2" xfId="35290"/>
    <cellStyle name="常规 6 2 2 2 2 3 5 2 3" xfId="35291"/>
    <cellStyle name="常规 6 2 2 2 2 3 5 2 4" xfId="35292"/>
    <cellStyle name="常规 6 2 2 2 2 3 5 3" xfId="35293"/>
    <cellStyle name="常规 6 2 2 2 2 3 5 3 2" xfId="35294"/>
    <cellStyle name="常规 6 2 2 2 2 3 5 4" xfId="26499"/>
    <cellStyle name="常规 6 2 2 2 2 3 5 5" xfId="35295"/>
    <cellStyle name="常规 6 2 2 2 2 3 6" xfId="35296"/>
    <cellStyle name="常规 6 2 2 2 2 3 6 2" xfId="35297"/>
    <cellStyle name="常规 6 2 2 2 2 3 6 2 2" xfId="35298"/>
    <cellStyle name="常规 6 2 2 2 2 3 6 3" xfId="35299"/>
    <cellStyle name="常规 6 2 2 2 2 3 6 4" xfId="35300"/>
    <cellStyle name="常规 6 2 2 2 2 3 7" xfId="35301"/>
    <cellStyle name="常规 6 2 2 2 2 3 7 2" xfId="35302"/>
    <cellStyle name="常规 6 2 2 2 2 3 8" xfId="35303"/>
    <cellStyle name="常规 6 2 2 2 2 3 9" xfId="35304"/>
    <cellStyle name="常规 6 2 2 2 2 4" xfId="35305"/>
    <cellStyle name="常规 6 2 2 2 2 4 2" xfId="35306"/>
    <cellStyle name="常规 6 2 2 2 2 4 2 2" xfId="35307"/>
    <cellStyle name="常规 6 2 2 2 2 4 2 2 2" xfId="35308"/>
    <cellStyle name="常规 6 2 2 2 2 4 2 2 2 2" xfId="35309"/>
    <cellStyle name="常规 6 2 2 2 2 4 2 2 2 2 2" xfId="35310"/>
    <cellStyle name="常规 6 2 2 2 2 4 2 2 2 2 2 2" xfId="35311"/>
    <cellStyle name="常规 6 2 2 2 2 4 2 2 2 2 2 2 2" xfId="35312"/>
    <cellStyle name="常规 6 2 2 2 2 4 2 2 2 2 2 3" xfId="35313"/>
    <cellStyle name="常规 6 2 2 2 2 4 2 2 2 2 2 4" xfId="35314"/>
    <cellStyle name="常规 6 2 2 2 2 4 2 2 2 2 3" xfId="35315"/>
    <cellStyle name="常规 6 2 2 2 2 4 2 2 2 2 3 2" xfId="35316"/>
    <cellStyle name="常规 6 2 2 2 2 4 2 2 2 2 4" xfId="35317"/>
    <cellStyle name="常规 6 2 2 2 2 4 2 2 2 2 5" xfId="35318"/>
    <cellStyle name="常规 6 2 2 2 2 4 2 2 2 3" xfId="35319"/>
    <cellStyle name="常规 6 2 2 2 2 4 2 2 2 3 2" xfId="35320"/>
    <cellStyle name="常规 6 2 2 2 2 4 2 2 2 3 2 2" xfId="35321"/>
    <cellStyle name="常规 6 2 2 2 2 4 2 2 2 3 3" xfId="35322"/>
    <cellStyle name="常规 6 2 2 2 2 4 2 2 2 3 4" xfId="35323"/>
    <cellStyle name="常规 6 2 2 2 2 4 2 2 2 4" xfId="9837"/>
    <cellStyle name="常规 6 2 2 2 2 4 2 2 2 4 2" xfId="11827"/>
    <cellStyle name="常规 6 2 2 2 2 4 2 2 2 5" xfId="11829"/>
    <cellStyle name="常规 6 2 2 2 2 4 2 2 2 6" xfId="11831"/>
    <cellStyle name="常规 6 2 2 2 2 4 2 2 3" xfId="13956"/>
    <cellStyle name="常规 6 2 2 2 2 4 2 2 3 2" xfId="35324"/>
    <cellStyle name="常规 6 2 2 2 2 4 2 2 3 2 2" xfId="35325"/>
    <cellStyle name="常规 6 2 2 2 2 4 2 2 3 2 2 2" xfId="35326"/>
    <cellStyle name="常规 6 2 2 2 2 4 2 2 3 2 3" xfId="35327"/>
    <cellStyle name="常规 6 2 2 2 2 4 2 2 3 2 4" xfId="35328"/>
    <cellStyle name="常规 6 2 2 2 2 4 2 2 3 3" xfId="35329"/>
    <cellStyle name="常规 6 2 2 2 2 4 2 2 3 3 2" xfId="35330"/>
    <cellStyle name="常规 6 2 2 2 2 4 2 2 3 4" xfId="11835"/>
    <cellStyle name="常规 6 2 2 2 2 4 2 2 3 5" xfId="35331"/>
    <cellStyle name="常规 6 2 2 2 2 4 2 2 4" xfId="35332"/>
    <cellStyle name="常规 6 2 2 2 2 4 2 2 4 2" xfId="35333"/>
    <cellStyle name="常规 6 2 2 2 2 4 2 2 4 2 2" xfId="35334"/>
    <cellStyle name="常规 6 2 2 2 2 4 2 2 4 3" xfId="35335"/>
    <cellStyle name="常规 6 2 2 2 2 4 2 2 4 4" xfId="35336"/>
    <cellStyle name="常规 6 2 2 2 2 4 2 2 5" xfId="35337"/>
    <cellStyle name="常规 6 2 2 2 2 4 2 2 5 2" xfId="35338"/>
    <cellStyle name="常规 6 2 2 2 2 4 2 2 6" xfId="35339"/>
    <cellStyle name="常规 6 2 2 2 2 4 2 2 7" xfId="35340"/>
    <cellStyle name="常规 6 2 2 2 2 4 2 3" xfId="35341"/>
    <cellStyle name="常规 6 2 2 2 2 4 2 3 2" xfId="35342"/>
    <cellStyle name="常规 6 2 2 2 2 4 2 3 2 2" xfId="35343"/>
    <cellStyle name="常规 6 2 2 2 2 4 2 3 2 2 2" xfId="35344"/>
    <cellStyle name="常规 6 2 2 2 2 4 2 3 2 2 2 2" xfId="35345"/>
    <cellStyle name="常规 6 2 2 2 2 4 2 3 2 2 3" xfId="35346"/>
    <cellStyle name="常规 6 2 2 2 2 4 2 3 2 2 4" xfId="35347"/>
    <cellStyle name="常规 6 2 2 2 2 4 2 3 2 3" xfId="35348"/>
    <cellStyle name="常规 6 2 2 2 2 4 2 3 2 3 2" xfId="35349"/>
    <cellStyle name="常规 6 2 2 2 2 4 2 3 2 4" xfId="11841"/>
    <cellStyle name="常规 6 2 2 2 2 4 2 3 2 5" xfId="35350"/>
    <cellStyle name="常规 6 2 2 2 2 4 2 3 3" xfId="35351"/>
    <cellStyle name="常规 6 2 2 2 2 4 2 3 3 2" xfId="35352"/>
    <cellStyle name="常规 6 2 2 2 2 4 2 3 3 2 2" xfId="35353"/>
    <cellStyle name="常规 6 2 2 2 2 4 2 3 3 3" xfId="7738"/>
    <cellStyle name="常规 6 2 2 2 2 4 2 3 3 4" xfId="7781"/>
    <cellStyle name="常规 6 2 2 2 2 4 2 3 4" xfId="35354"/>
    <cellStyle name="常规 6 2 2 2 2 4 2 3 4 2" xfId="35355"/>
    <cellStyle name="常规 6 2 2 2 2 4 2 3 5" xfId="35356"/>
    <cellStyle name="常规 6 2 2 2 2 4 2 3 6" xfId="35357"/>
    <cellStyle name="常规 6 2 2 2 2 4 2 4" xfId="26506"/>
    <cellStyle name="常规 6 2 2 2 2 4 2 4 2" xfId="26510"/>
    <cellStyle name="常规 6 2 2 2 2 4 2 4 2 2" xfId="9930"/>
    <cellStyle name="常规 6 2 2 2 2 4 2 4 2 2 2" xfId="35358"/>
    <cellStyle name="常规 6 2 2 2 2 4 2 4 2 3" xfId="35359"/>
    <cellStyle name="常规 6 2 2 2 2 4 2 4 2 4" xfId="35360"/>
    <cellStyle name="常规 6 2 2 2 2 4 2 4 3" xfId="26513"/>
    <cellStyle name="常规 6 2 2 2 2 4 2 4 3 2" xfId="35361"/>
    <cellStyle name="常规 6 2 2 2 2 4 2 4 4" xfId="26515"/>
    <cellStyle name="常规 6 2 2 2 2 4 2 4 5" xfId="35362"/>
    <cellStyle name="常规 6 2 2 2 2 4 2 5" xfId="26518"/>
    <cellStyle name="常规 6 2 2 2 2 4 2 5 2" xfId="26520"/>
    <cellStyle name="常规 6 2 2 2 2 4 2 5 2 2" xfId="35363"/>
    <cellStyle name="常规 6 2 2 2 2 4 2 5 3" xfId="35364"/>
    <cellStyle name="常规 6 2 2 2 2 4 2 5 4" xfId="35365"/>
    <cellStyle name="常规 6 2 2 2 2 4 2 6" xfId="26523"/>
    <cellStyle name="常规 6 2 2 2 2 4 2 6 2" xfId="33333"/>
    <cellStyle name="常规 6 2 2 2 2 4 2 7" xfId="26525"/>
    <cellStyle name="常规 6 2 2 2 2 4 2 8" xfId="35366"/>
    <cellStyle name="常规 6 2 2 2 2 4 3" xfId="35367"/>
    <cellStyle name="常规 6 2 2 2 2 4 3 2" xfId="35368"/>
    <cellStyle name="常规 6 2 2 2 2 4 3 2 2" xfId="35369"/>
    <cellStyle name="常规 6 2 2 2 2 4 3 2 2 2" xfId="35370"/>
    <cellStyle name="常规 6 2 2 2 2 4 3 2 2 2 2" xfId="35371"/>
    <cellStyle name="常规 6 2 2 2 2 4 3 2 2 2 2 2" xfId="35372"/>
    <cellStyle name="常规 6 2 2 2 2 4 3 2 2 2 3" xfId="35373"/>
    <cellStyle name="常规 6 2 2 2 2 4 3 2 2 2 4" xfId="35374"/>
    <cellStyle name="常规 6 2 2 2 2 4 3 2 2 3" xfId="35375"/>
    <cellStyle name="常规 6 2 2 2 2 4 3 2 2 3 2" xfId="35376"/>
    <cellStyle name="常规 6 2 2 2 2 4 3 2 2 4" xfId="10047"/>
    <cellStyle name="常规 6 2 2 2 2 4 3 2 2 5" xfId="35377"/>
    <cellStyle name="常规 6 2 2 2 2 4 3 2 3" xfId="35378"/>
    <cellStyle name="常规 6 2 2 2 2 4 3 2 3 2" xfId="35379"/>
    <cellStyle name="常规 6 2 2 2 2 4 3 2 3 2 2" xfId="35380"/>
    <cellStyle name="常规 6 2 2 2 2 4 3 2 3 3" xfId="35381"/>
    <cellStyle name="常规 6 2 2 2 2 4 3 2 3 4" xfId="35382"/>
    <cellStyle name="常规 6 2 2 2 2 4 3 2 4" xfId="35383"/>
    <cellStyle name="常规 6 2 2 2 2 4 3 2 4 2" xfId="35384"/>
    <cellStyle name="常规 6 2 2 2 2 4 3 2 5" xfId="35385"/>
    <cellStyle name="常规 6 2 2 2 2 4 3 2 6" xfId="35386"/>
    <cellStyle name="常规 6 2 2 2 2 4 3 3" xfId="35387"/>
    <cellStyle name="常规 6 2 2 2 2 4 3 3 2" xfId="35388"/>
    <cellStyle name="常规 6 2 2 2 2 4 3 3 2 2" xfId="35389"/>
    <cellStyle name="常规 6 2 2 2 2 4 3 3 2 2 2" xfId="35390"/>
    <cellStyle name="常规 6 2 2 2 2 4 3 3 2 3" xfId="35391"/>
    <cellStyle name="常规 6 2 2 2 2 4 3 3 2 4" xfId="35392"/>
    <cellStyle name="常规 6 2 2 2 2 4 3 3 3" xfId="35393"/>
    <cellStyle name="常规 6 2 2 2 2 4 3 3 3 2" xfId="35394"/>
    <cellStyle name="常规 6 2 2 2 2 4 3 3 4" xfId="35395"/>
    <cellStyle name="常规 6 2 2 2 2 4 3 3 5" xfId="35396"/>
    <cellStyle name="常规 6 2 2 2 2 4 3 4" xfId="14004"/>
    <cellStyle name="常规 6 2 2 2 2 4 3 4 2" xfId="5275"/>
    <cellStyle name="常规 6 2 2 2 2 4 3 4 2 2" xfId="35397"/>
    <cellStyle name="常规 6 2 2 2 2 4 3 4 3" xfId="35398"/>
    <cellStyle name="常规 6 2 2 2 2 4 3 4 4" xfId="35399"/>
    <cellStyle name="常规 6 2 2 2 2 4 3 5" xfId="14007"/>
    <cellStyle name="常规 6 2 2 2 2 4 3 5 2" xfId="35400"/>
    <cellStyle name="常规 6 2 2 2 2 4 3 6" xfId="14010"/>
    <cellStyle name="常规 6 2 2 2 2 4 3 7" xfId="35401"/>
    <cellStyle name="常规 6 2 2 2 2 4 4" xfId="35402"/>
    <cellStyle name="常规 6 2 2 2 2 4 4 2" xfId="35403"/>
    <cellStyle name="常规 6 2 2 2 2 4 4 2 2" xfId="35404"/>
    <cellStyle name="常规 6 2 2 2 2 4 4 2 2 2" xfId="35405"/>
    <cellStyle name="常规 6 2 2 2 2 4 4 2 2 2 2" xfId="35406"/>
    <cellStyle name="常规 6 2 2 2 2 4 4 2 2 3" xfId="35407"/>
    <cellStyle name="常规 6 2 2 2 2 4 4 2 2 4" xfId="35408"/>
    <cellStyle name="常规 6 2 2 2 2 4 4 2 3" xfId="35409"/>
    <cellStyle name="常规 6 2 2 2 2 4 4 2 3 2" xfId="35410"/>
    <cellStyle name="常规 6 2 2 2 2 4 4 2 4" xfId="35411"/>
    <cellStyle name="常规 6 2 2 2 2 4 4 2 5" xfId="35412"/>
    <cellStyle name="常规 6 2 2 2 2 4 4 3" xfId="35413"/>
    <cellStyle name="常规 6 2 2 2 2 4 4 3 2" xfId="35414"/>
    <cellStyle name="常规 6 2 2 2 2 4 4 3 2 2" xfId="35415"/>
    <cellStyle name="常规 6 2 2 2 2 4 4 3 3" xfId="35416"/>
    <cellStyle name="常规 6 2 2 2 2 4 4 3 4" xfId="35417"/>
    <cellStyle name="常规 6 2 2 2 2 4 4 4" xfId="14017"/>
    <cellStyle name="常规 6 2 2 2 2 4 4 4 2" xfId="35418"/>
    <cellStyle name="常规 6 2 2 2 2 4 4 5" xfId="35419"/>
    <cellStyle name="常规 6 2 2 2 2 4 4 6" xfId="35420"/>
    <cellStyle name="常规 6 2 2 2 2 4 5" xfId="35421"/>
    <cellStyle name="常规 6 2 2 2 2 4 5 2" xfId="35422"/>
    <cellStyle name="常规 6 2 2 2 2 4 5 2 2" xfId="35423"/>
    <cellStyle name="常规 6 2 2 2 2 4 5 2 2 2" xfId="35424"/>
    <cellStyle name="常规 6 2 2 2 2 4 5 2 3" xfId="35425"/>
    <cellStyle name="常规 6 2 2 2 2 4 5 2 4" xfId="35426"/>
    <cellStyle name="常规 6 2 2 2 2 4 5 3" xfId="35427"/>
    <cellStyle name="常规 6 2 2 2 2 4 5 3 2" xfId="35428"/>
    <cellStyle name="常规 6 2 2 2 2 4 5 4" xfId="29053"/>
    <cellStyle name="常规 6 2 2 2 2 4 5 5" xfId="35429"/>
    <cellStyle name="常规 6 2 2 2 2 4 6" xfId="35430"/>
    <cellStyle name="常规 6 2 2 2 2 4 6 2" xfId="35431"/>
    <cellStyle name="常规 6 2 2 2 2 4 6 2 2" xfId="35432"/>
    <cellStyle name="常规 6 2 2 2 2 4 6 3" xfId="35433"/>
    <cellStyle name="常规 6 2 2 2 2 4 6 4" xfId="35434"/>
    <cellStyle name="常规 6 2 2 2 2 4 7" xfId="35435"/>
    <cellStyle name="常规 6 2 2 2 2 4 7 2" xfId="35436"/>
    <cellStyle name="常规 6 2 2 2 2 4 8" xfId="30419"/>
    <cellStyle name="常规 6 2 2 2 2 4 9" xfId="30427"/>
    <cellStyle name="常规 6 2 2 2 2 5" xfId="35437"/>
    <cellStyle name="常规 6 2 2 2 2 5 2" xfId="35438"/>
    <cellStyle name="常规 6 2 2 2 2 5 2 2" xfId="35439"/>
    <cellStyle name="常规 6 2 2 2 2 5 2 2 2" xfId="35440"/>
    <cellStyle name="常规 6 2 2 2 2 5 2 2 2 2" xfId="35441"/>
    <cellStyle name="常规 6 2 2 2 2 5 2 2 2 2 2" xfId="35442"/>
    <cellStyle name="常规 6 2 2 2 2 5 2 2 2 2 2 2" xfId="35443"/>
    <cellStyle name="常规 6 2 2 2 2 5 2 2 2 2 3" xfId="35444"/>
    <cellStyle name="常规 6 2 2 2 2 5 2 2 2 2 4" xfId="35445"/>
    <cellStyle name="常规 6 2 2 2 2 5 2 2 2 3" xfId="35446"/>
    <cellStyle name="常规 6 2 2 2 2 5 2 2 2 3 2" xfId="35447"/>
    <cellStyle name="常规 6 2 2 2 2 5 2 2 2 4" xfId="11901"/>
    <cellStyle name="常规 6 2 2 2 2 5 2 2 2 5" xfId="35448"/>
    <cellStyle name="常规 6 2 2 2 2 5 2 2 3" xfId="35449"/>
    <cellStyle name="常规 6 2 2 2 2 5 2 2 3 2" xfId="6543"/>
    <cellStyle name="常规 6 2 2 2 2 5 2 2 3 2 2" xfId="35450"/>
    <cellStyle name="常规 6 2 2 2 2 5 2 2 3 3" xfId="16025"/>
    <cellStyle name="常规 6 2 2 2 2 5 2 2 3 4" xfId="35451"/>
    <cellStyle name="常规 6 2 2 2 2 5 2 2 4" xfId="35452"/>
    <cellStyle name="常规 6 2 2 2 2 5 2 2 4 2" xfId="16031"/>
    <cellStyle name="常规 6 2 2 2 2 5 2 2 5" xfId="35453"/>
    <cellStyle name="常规 6 2 2 2 2 5 2 2 6" xfId="35454"/>
    <cellStyle name="常规 6 2 2 2 2 5 2 3" xfId="35455"/>
    <cellStyle name="常规 6 2 2 2 2 5 2 3 2" xfId="35456"/>
    <cellStyle name="常规 6 2 2 2 2 5 2 3 2 2" xfId="35457"/>
    <cellStyle name="常规 6 2 2 2 2 5 2 3 2 2 2" xfId="35458"/>
    <cellStyle name="常规 6 2 2 2 2 5 2 3 2 3" xfId="35459"/>
    <cellStyle name="常规 6 2 2 2 2 5 2 3 2 4" xfId="35460"/>
    <cellStyle name="常规 6 2 2 2 2 5 2 3 3" xfId="35461"/>
    <cellStyle name="常规 6 2 2 2 2 5 2 3 3 2" xfId="16035"/>
    <cellStyle name="常规 6 2 2 2 2 5 2 3 4" xfId="35462"/>
    <cellStyle name="常规 6 2 2 2 2 5 2 3 5" xfId="35463"/>
    <cellStyle name="常规 6 2 2 2 2 5 2 4" xfId="26530"/>
    <cellStyle name="常规 6 2 2 2 2 5 2 4 2" xfId="26532"/>
    <cellStyle name="常规 6 2 2 2 2 5 2 4 2 2" xfId="35464"/>
    <cellStyle name="常规 6 2 2 2 2 5 2 4 3" xfId="35465"/>
    <cellStyle name="常规 6 2 2 2 2 5 2 4 4" xfId="35466"/>
    <cellStyle name="常规 6 2 2 2 2 5 2 5" xfId="26534"/>
    <cellStyle name="常规 6 2 2 2 2 5 2 5 2" xfId="35467"/>
    <cellStyle name="常规 6 2 2 2 2 5 2 6" xfId="26536"/>
    <cellStyle name="常规 6 2 2 2 2 5 2 7" xfId="35468"/>
    <cellStyle name="常规 6 2 2 2 2 5 3" xfId="35469"/>
    <cellStyle name="常规 6 2 2 2 2 5 3 2" xfId="35470"/>
    <cellStyle name="常规 6 2 2 2 2 5 3 2 2" xfId="35471"/>
    <cellStyle name="常规 6 2 2 2 2 5 3 2 2 2" xfId="35472"/>
    <cellStyle name="常规 6 2 2 2 2 5 3 2 2 2 2" xfId="35473"/>
    <cellStyle name="常规 6 2 2 2 2 5 3 2 2 3" xfId="35474"/>
    <cellStyle name="常规 6 2 2 2 2 5 3 2 2 4" xfId="35475"/>
    <cellStyle name="常规 6 2 2 2 2 5 3 2 3" xfId="35476"/>
    <cellStyle name="常规 6 2 2 2 2 5 3 2 3 2" xfId="16052"/>
    <cellStyle name="常规 6 2 2 2 2 5 3 2 4" xfId="35477"/>
    <cellStyle name="常规 6 2 2 2 2 5 3 2 5" xfId="35478"/>
    <cellStyle name="常规 6 2 2 2 2 5 3 3" xfId="35479"/>
    <cellStyle name="常规 6 2 2 2 2 5 3 3 2" xfId="35480"/>
    <cellStyle name="常规 6 2 2 2 2 5 3 3 2 2" xfId="35481"/>
    <cellStyle name="常规 6 2 2 2 2 5 3 3 3" xfId="35482"/>
    <cellStyle name="常规 6 2 2 2 2 5 3 3 4" xfId="35483"/>
    <cellStyle name="常规 6 2 2 2 2 5 3 4" xfId="14036"/>
    <cellStyle name="常规 6 2 2 2 2 5 3 4 2" xfId="35484"/>
    <cellStyle name="常规 6 2 2 2 2 5 3 5" xfId="35485"/>
    <cellStyle name="常规 6 2 2 2 2 5 3 6" xfId="35486"/>
    <cellStyle name="常规 6 2 2 2 2 5 4" xfId="35487"/>
    <cellStyle name="常规 6 2 2 2 2 5 4 2" xfId="35488"/>
    <cellStyle name="常规 6 2 2 2 2 5 4 2 2" xfId="35489"/>
    <cellStyle name="常规 6 2 2 2 2 5 4 2 2 2" xfId="35490"/>
    <cellStyle name="常规 6 2 2 2 2 5 4 2 3" xfId="35491"/>
    <cellStyle name="常规 6 2 2 2 2 5 4 2 4" xfId="35492"/>
    <cellStyle name="常规 6 2 2 2 2 5 4 3" xfId="35493"/>
    <cellStyle name="常规 6 2 2 2 2 5 4 3 2" xfId="35494"/>
    <cellStyle name="常规 6 2 2 2 2 5 4 4" xfId="35495"/>
    <cellStyle name="常规 6 2 2 2 2 5 4 5" xfId="35496"/>
    <cellStyle name="常规 6 2 2 2 2 5 5" xfId="35497"/>
    <cellStyle name="常规 6 2 2 2 2 5 5 2" xfId="35498"/>
    <cellStyle name="常规 6 2 2 2 2 5 5 2 2" xfId="35499"/>
    <cellStyle name="常规 6 2 2 2 2 5 5 3" xfId="35500"/>
    <cellStyle name="常规 6 2 2 2 2 5 5 4" xfId="35501"/>
    <cellStyle name="常规 6 2 2 2 2 5 6" xfId="35503"/>
    <cellStyle name="常规 6 2 2 2 2 5 6 2" xfId="35505"/>
    <cellStyle name="常规 6 2 2 2 2 5 7" xfId="22561"/>
    <cellStyle name="常规 6 2 2 2 2 5 8" xfId="30436"/>
    <cellStyle name="常规 6 2 2 2 2 6" xfId="35506"/>
    <cellStyle name="常规 6 2 2 2 2 6 2" xfId="35507"/>
    <cellStyle name="常规 6 2 2 2 2 6 2 2" xfId="35508"/>
    <cellStyle name="常规 6 2 2 2 2 6 2 2 2" xfId="35509"/>
    <cellStyle name="常规 6 2 2 2 2 6 2 2 2 2" xfId="35510"/>
    <cellStyle name="常规 6 2 2 2 2 6 2 2 2 2 2" xfId="35511"/>
    <cellStyle name="常规 6 2 2 2 2 6 2 2 2 3" xfId="35512"/>
    <cellStyle name="常规 6 2 2 2 2 6 2 2 2 4" xfId="35513"/>
    <cellStyle name="常规 6 2 2 2 2 6 2 2 3" xfId="35514"/>
    <cellStyle name="常规 6 2 2 2 2 6 2 2 3 2" xfId="10762"/>
    <cellStyle name="常规 6 2 2 2 2 6 2 2 4" xfId="35515"/>
    <cellStyle name="常规 6 2 2 2 2 6 2 2 5" xfId="35516"/>
    <cellStyle name="常规 6 2 2 2 2 6 2 3" xfId="35517"/>
    <cellStyle name="常规 6 2 2 2 2 6 2 3 2" xfId="35518"/>
    <cellStyle name="常规 6 2 2 2 2 6 2 3 2 2" xfId="35519"/>
    <cellStyle name="常规 6 2 2 2 2 6 2 3 3" xfId="35520"/>
    <cellStyle name="常规 6 2 2 2 2 6 2 3 4" xfId="35521"/>
    <cellStyle name="常规 6 2 2 2 2 6 2 4" xfId="26540"/>
    <cellStyle name="常规 6 2 2 2 2 6 2 4 2" xfId="35522"/>
    <cellStyle name="常规 6 2 2 2 2 6 2 5" xfId="35523"/>
    <cellStyle name="常规 6 2 2 2 2 6 2 6" xfId="35524"/>
    <cellStyle name="常规 6 2 2 2 2 6 3" xfId="35525"/>
    <cellStyle name="常规 6 2 2 2 2 6 3 2" xfId="35526"/>
    <cellStyle name="常规 6 2 2 2 2 6 3 2 2" xfId="35527"/>
    <cellStyle name="常规 6 2 2 2 2 6 3 2 2 2" xfId="35528"/>
    <cellStyle name="常规 6 2 2 2 2 6 3 2 3" xfId="35529"/>
    <cellStyle name="常规 6 2 2 2 2 6 3 2 4" xfId="35530"/>
    <cellStyle name="常规 6 2 2 2 2 6 3 3" xfId="35531"/>
    <cellStyle name="常规 6 2 2 2 2 6 3 3 2" xfId="35532"/>
    <cellStyle name="常规 6 2 2 2 2 6 3 4" xfId="35533"/>
    <cellStyle name="常规 6 2 2 2 2 6 3 5" xfId="35534"/>
    <cellStyle name="常规 6 2 2 2 2 6 4" xfId="35535"/>
    <cellStyle name="常规 6 2 2 2 2 6 4 2" xfId="35536"/>
    <cellStyle name="常规 6 2 2 2 2 6 4 2 2" xfId="35537"/>
    <cellStyle name="常规 6 2 2 2 2 6 4 3" xfId="35538"/>
    <cellStyle name="常规 6 2 2 2 2 6 4 4" xfId="35539"/>
    <cellStyle name="常规 6 2 2 2 2 6 5" xfId="35540"/>
    <cellStyle name="常规 6 2 2 2 2 6 5 2" xfId="35541"/>
    <cellStyle name="常规 6 2 2 2 2 6 6" xfId="35543"/>
    <cellStyle name="常规 6 2 2 2 2 6 7" xfId="35544"/>
    <cellStyle name="常规 6 2 2 2 2 7" xfId="35545"/>
    <cellStyle name="常规 6 2 2 2 2 7 2" xfId="35546"/>
    <cellStyle name="常规 6 2 2 2 2 7 2 2" xfId="35547"/>
    <cellStyle name="常规 6 2 2 2 2 7 2 2 2" xfId="35548"/>
    <cellStyle name="常规 6 2 2 2 2 7 2 2 2 2" xfId="35549"/>
    <cellStyle name="常规 6 2 2 2 2 7 2 2 3" xfId="35550"/>
    <cellStyle name="常规 6 2 2 2 2 7 2 2 4" xfId="35551"/>
    <cellStyle name="常规 6 2 2 2 2 7 2 3" xfId="35552"/>
    <cellStyle name="常规 6 2 2 2 2 7 2 3 2" xfId="35553"/>
    <cellStyle name="常规 6 2 2 2 2 7 2 4" xfId="35554"/>
    <cellStyle name="常规 6 2 2 2 2 7 2 5" xfId="35555"/>
    <cellStyle name="常规 6 2 2 2 2 7 3" xfId="35556"/>
    <cellStyle name="常规 6 2 2 2 2 7 3 2" xfId="35557"/>
    <cellStyle name="常规 6 2 2 2 2 7 3 2 2" xfId="35558"/>
    <cellStyle name="常规 6 2 2 2 2 7 3 3" xfId="35559"/>
    <cellStyle name="常规 6 2 2 2 2 7 3 4" xfId="35560"/>
    <cellStyle name="常规 6 2 2 2 2 7 4" xfId="35561"/>
    <cellStyle name="常规 6 2 2 2 2 7 4 2" xfId="35562"/>
    <cellStyle name="常规 6 2 2 2 2 7 5" xfId="35563"/>
    <cellStyle name="常规 6 2 2 2 2 7 6" xfId="35564"/>
    <cellStyle name="常规 6 2 2 2 2 8" xfId="35565"/>
    <cellStyle name="常规 6 2 2 2 2 8 2" xfId="35566"/>
    <cellStyle name="常规 6 2 2 2 2 8 2 2" xfId="35567"/>
    <cellStyle name="常规 6 2 2 2 2 8 2 2 2" xfId="35568"/>
    <cellStyle name="常规 6 2 2 2 2 8 2 3" xfId="35569"/>
    <cellStyle name="常规 6 2 2 2 2 8 2 4" xfId="35570"/>
    <cellStyle name="常规 6 2 2 2 2 8 3" xfId="35571"/>
    <cellStyle name="常规 6 2 2 2 2 8 3 2" xfId="35572"/>
    <cellStyle name="常规 6 2 2 2 2 8 4" xfId="35573"/>
    <cellStyle name="常规 6 2 2 2 2 8 5" xfId="35574"/>
    <cellStyle name="常规 6 2 2 2 2 9" xfId="35575"/>
    <cellStyle name="常规 6 2 2 2 2 9 2" xfId="35576"/>
    <cellStyle name="常规 6 2 2 2 2 9 2 2" xfId="35577"/>
    <cellStyle name="常规 6 2 2 2 2 9 3" xfId="35578"/>
    <cellStyle name="常规 6 2 2 2 2 9 4" xfId="35579"/>
    <cellStyle name="常规 6 2 2 2 3" xfId="35580"/>
    <cellStyle name="常规 6 2 2 2 3 10" xfId="35581"/>
    <cellStyle name="常规 6 2 2 2 3 11" xfId="35582"/>
    <cellStyle name="常规 6 2 2 2 3 2" xfId="35583"/>
    <cellStyle name="常规 6 2 2 2 3 2 2" xfId="35584"/>
    <cellStyle name="常规 6 2 2 2 3 2 2 2" xfId="35585"/>
    <cellStyle name="常规 6 2 2 2 3 2 2 2 2" xfId="35586"/>
    <cellStyle name="常规 6 2 2 2 3 2 2 2 2 2" xfId="35587"/>
    <cellStyle name="常规 6 2 2 2 3 2 2 2 2 2 2" xfId="35588"/>
    <cellStyle name="常规 6 2 2 2 3 2 2 2 2 2 2 2" xfId="35589"/>
    <cellStyle name="常规 6 2 2 2 3 2 2 2 2 2 2 2 2" xfId="35590"/>
    <cellStyle name="常规 6 2 2 2 3 2 2 2 2 2 2 3" xfId="35591"/>
    <cellStyle name="常规 6 2 2 2 3 2 2 2 2 2 2 4" xfId="35592"/>
    <cellStyle name="常规 6 2 2 2 3 2 2 2 2 2 3" xfId="35593"/>
    <cellStyle name="常规 6 2 2 2 3 2 2 2 2 2 3 2" xfId="35594"/>
    <cellStyle name="常规 6 2 2 2 3 2 2 2 2 2 4" xfId="35595"/>
    <cellStyle name="常规 6 2 2 2 3 2 2 2 2 2 5" xfId="35596"/>
    <cellStyle name="常规 6 2 2 2 3 2 2 2 2 3" xfId="35597"/>
    <cellStyle name="常规 6 2 2 2 3 2 2 2 2 3 2" xfId="35598"/>
    <cellStyle name="常规 6 2 2 2 3 2 2 2 2 3 2 2" xfId="35599"/>
    <cellStyle name="常规 6 2 2 2 3 2 2 2 2 3 3" xfId="35600"/>
    <cellStyle name="常规 6 2 2 2 3 2 2 2 2 3 4" xfId="35601"/>
    <cellStyle name="常规 6 2 2 2 3 2 2 2 2 4" xfId="35602"/>
    <cellStyle name="常规 6 2 2 2 3 2 2 2 2 4 2" xfId="35603"/>
    <cellStyle name="常规 6 2 2 2 3 2 2 2 2 5" xfId="35604"/>
    <cellStyle name="常规 6 2 2 2 3 2 2 2 2 6" xfId="35605"/>
    <cellStyle name="常规 6 2 2 2 3 2 2 2 3" xfId="35606"/>
    <cellStyle name="常规 6 2 2 2 3 2 2 2 3 2" xfId="35607"/>
    <cellStyle name="常规 6 2 2 2 3 2 2 2 3 2 2" xfId="35608"/>
    <cellStyle name="常规 6 2 2 2 3 2 2 2 3 2 2 2" xfId="35609"/>
    <cellStyle name="常规 6 2 2 2 3 2 2 2 3 2 3" xfId="35610"/>
    <cellStyle name="常规 6 2 2 2 3 2 2 2 3 2 4" xfId="35611"/>
    <cellStyle name="常规 6 2 2 2 3 2 2 2 3 3" xfId="35612"/>
    <cellStyle name="常规 6 2 2 2 3 2 2 2 3 3 2" xfId="35613"/>
    <cellStyle name="常规 6 2 2 2 3 2 2 2 3 4" xfId="35614"/>
    <cellStyle name="常规 6 2 2 2 3 2 2 2 3 5" xfId="35615"/>
    <cellStyle name="常规 6 2 2 2 3 2 2 2 4" xfId="35616"/>
    <cellStyle name="常规 6 2 2 2 3 2 2 2 4 2" xfId="35617"/>
    <cellStyle name="常规 6 2 2 2 3 2 2 2 4 2 2" xfId="35618"/>
    <cellStyle name="常规 6 2 2 2 3 2 2 2 4 3" xfId="35619"/>
    <cellStyle name="常规 6 2 2 2 3 2 2 2 4 4" xfId="35620"/>
    <cellStyle name="常规 6 2 2 2 3 2 2 2 5" xfId="35621"/>
    <cellStyle name="常规 6 2 2 2 3 2 2 2 5 2" xfId="35622"/>
    <cellStyle name="常规 6 2 2 2 3 2 2 2 6" xfId="35623"/>
    <cellStyle name="常规 6 2 2 2 3 2 2 2 7" xfId="31415"/>
    <cellStyle name="常规 6 2 2 2 3 2 2 3" xfId="35624"/>
    <cellStyle name="常规 6 2 2 2 3 2 2 3 2" xfId="35625"/>
    <cellStyle name="常规 6 2 2 2 3 2 2 3 2 2" xfId="35626"/>
    <cellStyle name="常规 6 2 2 2 3 2 2 3 2 2 2" xfId="35627"/>
    <cellStyle name="常规 6 2 2 2 3 2 2 3 2 2 2 2" xfId="35628"/>
    <cellStyle name="常规 6 2 2 2 3 2 2 3 2 2 3" xfId="35629"/>
    <cellStyle name="常规 6 2 2 2 3 2 2 3 2 2 4" xfId="35630"/>
    <cellStyle name="常规 6 2 2 2 3 2 2 3 2 3" xfId="35631"/>
    <cellStyle name="常规 6 2 2 2 3 2 2 3 2 3 2" xfId="35632"/>
    <cellStyle name="常规 6 2 2 2 3 2 2 3 2 4" xfId="35633"/>
    <cellStyle name="常规 6 2 2 2 3 2 2 3 2 5" xfId="35634"/>
    <cellStyle name="常规 6 2 2 2 3 2 2 3 3" xfId="35635"/>
    <cellStyle name="常规 6 2 2 2 3 2 2 3 3 2" xfId="35636"/>
    <cellStyle name="常规 6 2 2 2 3 2 2 3 3 2 2" xfId="35637"/>
    <cellStyle name="常规 6 2 2 2 3 2 2 3 3 3" xfId="35638"/>
    <cellStyle name="常规 6 2 2 2 3 2 2 3 3 4" xfId="35639"/>
    <cellStyle name="常规 6 2 2 2 3 2 2 3 4" xfId="35640"/>
    <cellStyle name="常规 6 2 2 2 3 2 2 3 4 2" xfId="35641"/>
    <cellStyle name="常规 6 2 2 2 3 2 2 3 5" xfId="35642"/>
    <cellStyle name="常规 6 2 2 2 3 2 2 3 6" xfId="35643"/>
    <cellStyle name="常规 6 2 2 2 3 2 2 4" xfId="24250"/>
    <cellStyle name="常规 6 2 2 2 3 2 2 4 2" xfId="26829"/>
    <cellStyle name="常规 6 2 2 2 3 2 2 4 2 2" xfId="26832"/>
    <cellStyle name="常规 6 2 2 2 3 2 2 4 2 2 2" xfId="35644"/>
    <cellStyle name="常规 6 2 2 2 3 2 2 4 2 3" xfId="35645"/>
    <cellStyle name="常规 6 2 2 2 3 2 2 4 2 4" xfId="35646"/>
    <cellStyle name="常规 6 2 2 2 3 2 2 4 3" xfId="26834"/>
    <cellStyle name="常规 6 2 2 2 3 2 2 4 3 2" xfId="35647"/>
    <cellStyle name="常规 6 2 2 2 3 2 2 4 4" xfId="26840"/>
    <cellStyle name="常规 6 2 2 2 3 2 2 4 5" xfId="35648"/>
    <cellStyle name="常规 6 2 2 2 3 2 2 5" xfId="24254"/>
    <cellStyle name="常规 6 2 2 2 3 2 2 5 2" xfId="26844"/>
    <cellStyle name="常规 6 2 2 2 3 2 2 5 2 2" xfId="35649"/>
    <cellStyle name="常规 6 2 2 2 3 2 2 5 3" xfId="35650"/>
    <cellStyle name="常规 6 2 2 2 3 2 2 5 4" xfId="35651"/>
    <cellStyle name="常规 6 2 2 2 3 2 2 6" xfId="26850"/>
    <cellStyle name="常规 6 2 2 2 3 2 2 6 2" xfId="35652"/>
    <cellStyle name="常规 6 2 2 2 3 2 2 7" xfId="26854"/>
    <cellStyle name="常规 6 2 2 2 3 2 2 8" xfId="35653"/>
    <cellStyle name="常规 6 2 2 2 3 2 3" xfId="25652"/>
    <cellStyle name="常规 6 2 2 2 3 2 3 2" xfId="25654"/>
    <cellStyle name="常规 6 2 2 2 3 2 3 2 2" xfId="35654"/>
    <cellStyle name="常规 6 2 2 2 3 2 3 2 2 2" xfId="35655"/>
    <cellStyle name="常规 6 2 2 2 3 2 3 2 2 2 2" xfId="35656"/>
    <cellStyle name="常规 6 2 2 2 3 2 3 2 2 2 2 2" xfId="35657"/>
    <cellStyle name="常规 6 2 2 2 3 2 3 2 2 2 3" xfId="35658"/>
    <cellStyle name="常规 6 2 2 2 3 2 3 2 2 2 4" xfId="35659"/>
    <cellStyle name="常规 6 2 2 2 3 2 3 2 2 3" xfId="35660"/>
    <cellStyle name="常规 6 2 2 2 3 2 3 2 2 3 2" xfId="35661"/>
    <cellStyle name="常规 6 2 2 2 3 2 3 2 2 4" xfId="35662"/>
    <cellStyle name="常规 6 2 2 2 3 2 3 2 2 5" xfId="35663"/>
    <cellStyle name="常规 6 2 2 2 3 2 3 2 3" xfId="35664"/>
    <cellStyle name="常规 6 2 2 2 3 2 3 2 3 2" xfId="35665"/>
    <cellStyle name="常规 6 2 2 2 3 2 3 2 3 2 2" xfId="35666"/>
    <cellStyle name="常规 6 2 2 2 3 2 3 2 3 3" xfId="35667"/>
    <cellStyle name="常规 6 2 2 2 3 2 3 2 3 4" xfId="35668"/>
    <cellStyle name="常规 6 2 2 2 3 2 3 2 4" xfId="35669"/>
    <cellStyle name="常规 6 2 2 2 3 2 3 2 4 2" xfId="35670"/>
    <cellStyle name="常规 6 2 2 2 3 2 3 2 5" xfId="35671"/>
    <cellStyle name="常规 6 2 2 2 3 2 3 2 6" xfId="35672"/>
    <cellStyle name="常规 6 2 2 2 3 2 3 3" xfId="35673"/>
    <cellStyle name="常规 6 2 2 2 3 2 3 3 2" xfId="35674"/>
    <cellStyle name="常规 6 2 2 2 3 2 3 3 2 2" xfId="35675"/>
    <cellStyle name="常规 6 2 2 2 3 2 3 3 2 2 2" xfId="35676"/>
    <cellStyle name="常规 6 2 2 2 3 2 3 3 2 3" xfId="35677"/>
    <cellStyle name="常规 6 2 2 2 3 2 3 3 2 4" xfId="35678"/>
    <cellStyle name="常规 6 2 2 2 3 2 3 3 3" xfId="35679"/>
    <cellStyle name="常规 6 2 2 2 3 2 3 3 3 2" xfId="35680"/>
    <cellStyle name="常规 6 2 2 2 3 2 3 3 4" xfId="35681"/>
    <cellStyle name="常规 6 2 2 2 3 2 3 3 5" xfId="35682"/>
    <cellStyle name="常规 6 2 2 2 3 2 3 4" xfId="26860"/>
    <cellStyle name="常规 6 2 2 2 3 2 3 4 2" xfId="26864"/>
    <cellStyle name="常规 6 2 2 2 3 2 3 4 2 2" xfId="35683"/>
    <cellStyle name="常规 6 2 2 2 3 2 3 4 3" xfId="35684"/>
    <cellStyle name="常规 6 2 2 2 3 2 3 4 4" xfId="35685"/>
    <cellStyle name="常规 6 2 2 2 3 2 3 5" xfId="26867"/>
    <cellStyle name="常规 6 2 2 2 3 2 3 5 2" xfId="35687"/>
    <cellStyle name="常规 6 2 2 2 3 2 3 6" xfId="7917"/>
    <cellStyle name="常规 6 2 2 2 3 2 3 7" xfId="35688"/>
    <cellStyle name="常规 6 2 2 2 3 2 4" xfId="25658"/>
    <cellStyle name="常规 6 2 2 2 3 2 4 2" xfId="35689"/>
    <cellStyle name="常规 6 2 2 2 3 2 4 2 2" xfId="35691"/>
    <cellStyle name="常规 6 2 2 2 3 2 4 2 2 2" xfId="35693"/>
    <cellStyle name="常规 6 2 2 2 3 2 4 2 2 2 2" xfId="35695"/>
    <cellStyle name="常规 6 2 2 2 3 2 4 2 2 3" xfId="35696"/>
    <cellStyle name="常规 6 2 2 2 3 2 4 2 2 4" xfId="35697"/>
    <cellStyle name="常规 6 2 2 2 3 2 4 2 3" xfId="35699"/>
    <cellStyle name="常规 6 2 2 2 3 2 4 2 3 2" xfId="35700"/>
    <cellStyle name="常规 6 2 2 2 3 2 4 2 4" xfId="35702"/>
    <cellStyle name="常规 6 2 2 2 3 2 4 2 5" xfId="35703"/>
    <cellStyle name="常规 6 2 2 2 3 2 4 3" xfId="35704"/>
    <cellStyle name="常规 6 2 2 2 3 2 4 3 2" xfId="35706"/>
    <cellStyle name="常规 6 2 2 2 3 2 4 3 2 2" xfId="35707"/>
    <cellStyle name="常规 6 2 2 2 3 2 4 3 3" xfId="35709"/>
    <cellStyle name="常规 6 2 2 2 3 2 4 3 4" xfId="35710"/>
    <cellStyle name="常规 6 2 2 2 3 2 4 4" xfId="26873"/>
    <cellStyle name="常规 6 2 2 2 3 2 4 4 2" xfId="35711"/>
    <cellStyle name="常规 6 2 2 2 3 2 4 5" xfId="35712"/>
    <cellStyle name="常规 6 2 2 2 3 2 4 6" xfId="35713"/>
    <cellStyle name="常规 6 2 2 2 3 2 5" xfId="25660"/>
    <cellStyle name="常规 6 2 2 2 3 2 5 2" xfId="35714"/>
    <cellStyle name="常规 6 2 2 2 3 2 5 2 2" xfId="35716"/>
    <cellStyle name="常规 6 2 2 2 3 2 5 2 2 2" xfId="35717"/>
    <cellStyle name="常规 6 2 2 2 3 2 5 2 3" xfId="35719"/>
    <cellStyle name="常规 6 2 2 2 3 2 5 2 4" xfId="35720"/>
    <cellStyle name="常规 6 2 2 2 3 2 5 3" xfId="35721"/>
    <cellStyle name="常规 6 2 2 2 3 2 5 3 2" xfId="35722"/>
    <cellStyle name="常规 6 2 2 2 3 2 5 4" xfId="35723"/>
    <cellStyle name="常规 6 2 2 2 3 2 5 5" xfId="35724"/>
    <cellStyle name="常规 6 2 2 2 3 2 6" xfId="35725"/>
    <cellStyle name="常规 6 2 2 2 3 2 6 2" xfId="35726"/>
    <cellStyle name="常规 6 2 2 2 3 2 6 2 2" xfId="35727"/>
    <cellStyle name="常规 6 2 2 2 3 2 6 3" xfId="35728"/>
    <cellStyle name="常规 6 2 2 2 3 2 6 4" xfId="35729"/>
    <cellStyle name="常规 6 2 2 2 3 2 7" xfId="35730"/>
    <cellStyle name="常规 6 2 2 2 3 2 7 2" xfId="35731"/>
    <cellStyle name="常规 6 2 2 2 3 2 8" xfId="35732"/>
    <cellStyle name="常规 6 2 2 2 3 2 9" xfId="35733"/>
    <cellStyle name="常规 6 2 2 2 3 3" xfId="35734"/>
    <cellStyle name="常规 6 2 2 2 3 3 2" xfId="35735"/>
    <cellStyle name="常规 6 2 2 2 3 3 2 2" xfId="35736"/>
    <cellStyle name="常规 6 2 2 2 3 3 2 2 2" xfId="35737"/>
    <cellStyle name="常规 6 2 2 2 3 3 2 2 2 2" xfId="35738"/>
    <cellStyle name="常规 6 2 2 2 3 3 2 2 2 2 2" xfId="35739"/>
    <cellStyle name="常规 6 2 2 2 3 3 2 2 2 2 2 2" xfId="35740"/>
    <cellStyle name="常规 6 2 2 2 3 3 2 2 2 2 2 2 2" xfId="35741"/>
    <cellStyle name="常规 6 2 2 2 3 3 2 2 2 2 2 3" xfId="35742"/>
    <cellStyle name="常规 6 2 2 2 3 3 2 2 2 2 2 4" xfId="35743"/>
    <cellStyle name="常规 6 2 2 2 3 3 2 2 2 2 3" xfId="35744"/>
    <cellStyle name="常规 6 2 2 2 3 3 2 2 2 2 3 2" xfId="35745"/>
    <cellStyle name="常规 6 2 2 2 3 3 2 2 2 2 4" xfId="35746"/>
    <cellStyle name="常规 6 2 2 2 3 3 2 2 2 2 5" xfId="35747"/>
    <cellStyle name="常规 6 2 2 2 3 3 2 2 2 3" xfId="35748"/>
    <cellStyle name="常规 6 2 2 2 3 3 2 2 2 3 2" xfId="35749"/>
    <cellStyle name="常规 6 2 2 2 3 3 2 2 2 3 2 2" xfId="35750"/>
    <cellStyle name="常规 6 2 2 2 3 3 2 2 2 3 3" xfId="35751"/>
    <cellStyle name="常规 6 2 2 2 3 3 2 2 2 3 4" xfId="35752"/>
    <cellStyle name="常规 6 2 2 2 3 3 2 2 2 4" xfId="35753"/>
    <cellStyle name="常规 6 2 2 2 3 3 2 2 2 4 2" xfId="35754"/>
    <cellStyle name="常规 6 2 2 2 3 3 2 2 2 5" xfId="35755"/>
    <cellStyle name="常规 6 2 2 2 3 3 2 2 2 6" xfId="35756"/>
    <cellStyle name="常规 6 2 2 2 3 3 2 2 3" xfId="35757"/>
    <cellStyle name="常规 6 2 2 2 3 3 2 2 3 2" xfId="35758"/>
    <cellStyle name="常规 6 2 2 2 3 3 2 2 3 2 2" xfId="35759"/>
    <cellStyle name="常规 6 2 2 2 3 3 2 2 3 2 2 2" xfId="35760"/>
    <cellStyle name="常规 6 2 2 2 3 3 2 2 3 2 3" xfId="35761"/>
    <cellStyle name="常规 6 2 2 2 3 3 2 2 3 2 4" xfId="35762"/>
    <cellStyle name="常规 6 2 2 2 3 3 2 2 3 3" xfId="35763"/>
    <cellStyle name="常规 6 2 2 2 3 3 2 2 3 3 2" xfId="35764"/>
    <cellStyle name="常规 6 2 2 2 3 3 2 2 3 4" xfId="35765"/>
    <cellStyle name="常规 6 2 2 2 3 3 2 2 3 5" xfId="35766"/>
    <cellStyle name="常规 6 2 2 2 3 3 2 2 4" xfId="35767"/>
    <cellStyle name="常规 6 2 2 2 3 3 2 2 4 2" xfId="35768"/>
    <cellStyle name="常规 6 2 2 2 3 3 2 2 4 2 2" xfId="35769"/>
    <cellStyle name="常规 6 2 2 2 3 3 2 2 4 3" xfId="35770"/>
    <cellStyle name="常规 6 2 2 2 3 3 2 2 4 4" xfId="35771"/>
    <cellStyle name="常规 6 2 2 2 3 3 2 2 5" xfId="35772"/>
    <cellStyle name="常规 6 2 2 2 3 3 2 2 5 2" xfId="35773"/>
    <cellStyle name="常规 6 2 2 2 3 3 2 2 6" xfId="35774"/>
    <cellStyle name="常规 6 2 2 2 3 3 2 2 7" xfId="35775"/>
    <cellStyle name="常规 6 2 2 2 3 3 2 3" xfId="35776"/>
    <cellStyle name="常规 6 2 2 2 3 3 2 3 2" xfId="35777"/>
    <cellStyle name="常规 6 2 2 2 3 3 2 3 2 2" xfId="35778"/>
    <cellStyle name="常规 6 2 2 2 3 3 2 3 2 2 2" xfId="35779"/>
    <cellStyle name="常规 6 2 2 2 3 3 2 3 2 2 2 2" xfId="35780"/>
    <cellStyle name="常规 6 2 2 2 3 3 2 3 2 2 3" xfId="35781"/>
    <cellStyle name="常规 6 2 2 2 3 3 2 3 2 2 4" xfId="35782"/>
    <cellStyle name="常规 6 2 2 2 3 3 2 3 2 3" xfId="35783"/>
    <cellStyle name="常规 6 2 2 2 3 3 2 3 2 3 2" xfId="35784"/>
    <cellStyle name="常规 6 2 2 2 3 3 2 3 2 4" xfId="35785"/>
    <cellStyle name="常规 6 2 2 2 3 3 2 3 2 5" xfId="35786"/>
    <cellStyle name="常规 6 2 2 2 3 3 2 3 3" xfId="35787"/>
    <cellStyle name="常规 6 2 2 2 3 3 2 3 3 2" xfId="35788"/>
    <cellStyle name="常规 6 2 2 2 3 3 2 3 3 2 2" xfId="35789"/>
    <cellStyle name="常规 6 2 2 2 3 3 2 3 3 3" xfId="35790"/>
    <cellStyle name="常规 6 2 2 2 3 3 2 3 3 4" xfId="35791"/>
    <cellStyle name="常规 6 2 2 2 3 3 2 3 4" xfId="35792"/>
    <cellStyle name="常规 6 2 2 2 3 3 2 3 4 2" xfId="35793"/>
    <cellStyle name="常规 6 2 2 2 3 3 2 3 5" xfId="35794"/>
    <cellStyle name="常规 6 2 2 2 3 3 2 3 6" xfId="35795"/>
    <cellStyle name="常规 6 2 2 2 3 3 2 4" xfId="26882"/>
    <cellStyle name="常规 6 2 2 2 3 3 2 4 2" xfId="26886"/>
    <cellStyle name="常规 6 2 2 2 3 3 2 4 2 2" xfId="35796"/>
    <cellStyle name="常规 6 2 2 2 3 3 2 4 2 2 2" xfId="35797"/>
    <cellStyle name="常规 6 2 2 2 3 3 2 4 2 3" xfId="35798"/>
    <cellStyle name="常规 6 2 2 2 3 3 2 4 2 4" xfId="35799"/>
    <cellStyle name="常规 6 2 2 2 3 3 2 4 3" xfId="35800"/>
    <cellStyle name="常规 6 2 2 2 3 3 2 4 3 2" xfId="35801"/>
    <cellStyle name="常规 6 2 2 2 3 3 2 4 4" xfId="35802"/>
    <cellStyle name="常规 6 2 2 2 3 3 2 4 5" xfId="35803"/>
    <cellStyle name="常规 6 2 2 2 3 3 2 5" xfId="26889"/>
    <cellStyle name="常规 6 2 2 2 3 3 2 5 2" xfId="35804"/>
    <cellStyle name="常规 6 2 2 2 3 3 2 5 2 2" xfId="35805"/>
    <cellStyle name="常规 6 2 2 2 3 3 2 5 3" xfId="35806"/>
    <cellStyle name="常规 6 2 2 2 3 3 2 5 4" xfId="35807"/>
    <cellStyle name="常规 6 2 2 2 3 3 2 6" xfId="26893"/>
    <cellStyle name="常规 6 2 2 2 3 3 2 6 2" xfId="33346"/>
    <cellStyle name="常规 6 2 2 2 3 3 2 7" xfId="35808"/>
    <cellStyle name="常规 6 2 2 2 3 3 2 8" xfId="35810"/>
    <cellStyle name="常规 6 2 2 2 3 3 3" xfId="25664"/>
    <cellStyle name="常规 6 2 2 2 3 3 3 2" xfId="35811"/>
    <cellStyle name="常规 6 2 2 2 3 3 3 2 2" xfId="35812"/>
    <cellStyle name="常规 6 2 2 2 3 3 3 2 2 2" xfId="35813"/>
    <cellStyle name="常规 6 2 2 2 3 3 3 2 2 2 2" xfId="35814"/>
    <cellStyle name="常规 6 2 2 2 3 3 3 2 2 2 2 2" xfId="35815"/>
    <cellStyle name="常规 6 2 2 2 3 3 3 2 2 2 3" xfId="35816"/>
    <cellStyle name="常规 6 2 2 2 3 3 3 2 2 2 4" xfId="35817"/>
    <cellStyle name="常规 6 2 2 2 3 3 3 2 2 3" xfId="35818"/>
    <cellStyle name="常规 6 2 2 2 3 3 3 2 2 3 2" xfId="35819"/>
    <cellStyle name="常规 6 2 2 2 3 3 3 2 2 4" xfId="35820"/>
    <cellStyle name="常规 6 2 2 2 3 3 3 2 2 5" xfId="35821"/>
    <cellStyle name="常规 6 2 2 2 3 3 3 2 3" xfId="35822"/>
    <cellStyle name="常规 6 2 2 2 3 3 3 2 3 2" xfId="35823"/>
    <cellStyle name="常规 6 2 2 2 3 3 3 2 3 2 2" xfId="35824"/>
    <cellStyle name="常规 6 2 2 2 3 3 3 2 3 3" xfId="35825"/>
    <cellStyle name="常规 6 2 2 2 3 3 3 2 3 4" xfId="35826"/>
    <cellStyle name="常规 6 2 2 2 3 3 3 2 4" xfId="35827"/>
    <cellStyle name="常规 6 2 2 2 3 3 3 2 4 2" xfId="35828"/>
    <cellStyle name="常规 6 2 2 2 3 3 3 2 5" xfId="35829"/>
    <cellStyle name="常规 6 2 2 2 3 3 3 2 6" xfId="35830"/>
    <cellStyle name="常规 6 2 2 2 3 3 3 3" xfId="35831"/>
    <cellStyle name="常规 6 2 2 2 3 3 3 3 2" xfId="35832"/>
    <cellStyle name="常规 6 2 2 2 3 3 3 3 2 2" xfId="25519"/>
    <cellStyle name="常规 6 2 2 2 3 3 3 3 2 2 2" xfId="25523"/>
    <cellStyle name="常规 6 2 2 2 3 3 3 3 2 3" xfId="25547"/>
    <cellStyle name="常规 6 2 2 2 3 3 3 3 2 4" xfId="24742"/>
    <cellStyle name="常规 6 2 2 2 3 3 3 3 3" xfId="35833"/>
    <cellStyle name="常规 6 2 2 2 3 3 3 3 3 2" xfId="25734"/>
    <cellStyle name="常规 6 2 2 2 3 3 3 3 4" xfId="35834"/>
    <cellStyle name="常规 6 2 2 2 3 3 3 3 5" xfId="35835"/>
    <cellStyle name="常规 6 2 2 2 3 3 3 4" xfId="26898"/>
    <cellStyle name="常规 6 2 2 2 3 3 3 4 2" xfId="35836"/>
    <cellStyle name="常规 6 2 2 2 3 3 3 4 2 2" xfId="26281"/>
    <cellStyle name="常规 6 2 2 2 3 3 3 4 3" xfId="35837"/>
    <cellStyle name="常规 6 2 2 2 3 3 3 4 4" xfId="35838"/>
    <cellStyle name="常规 6 2 2 2 3 3 3 5" xfId="35839"/>
    <cellStyle name="常规 6 2 2 2 3 3 3 5 2" xfId="35841"/>
    <cellStyle name="常规 6 2 2 2 3 3 3 6" xfId="35842"/>
    <cellStyle name="常规 6 2 2 2 3 3 3 7" xfId="35843"/>
    <cellStyle name="常规 6 2 2 2 3 3 4" xfId="35844"/>
    <cellStyle name="常规 6 2 2 2 3 3 4 2" xfId="35845"/>
    <cellStyle name="常规 6 2 2 2 3 3 4 2 2" xfId="35847"/>
    <cellStyle name="常规 6 2 2 2 3 3 4 2 2 2" xfId="35848"/>
    <cellStyle name="常规 6 2 2 2 3 3 4 2 2 2 2" xfId="35849"/>
    <cellStyle name="常规 6 2 2 2 3 3 4 2 2 3" xfId="35850"/>
    <cellStyle name="常规 6 2 2 2 3 3 4 2 2 4" xfId="35851"/>
    <cellStyle name="常规 6 2 2 2 3 3 4 2 3" xfId="35853"/>
    <cellStyle name="常规 6 2 2 2 3 3 4 2 3 2" xfId="35854"/>
    <cellStyle name="常规 6 2 2 2 3 3 4 2 4" xfId="35855"/>
    <cellStyle name="常规 6 2 2 2 3 3 4 2 5" xfId="10383"/>
    <cellStyle name="常规 6 2 2 2 3 3 4 3" xfId="35856"/>
    <cellStyle name="常规 6 2 2 2 3 3 4 3 2" xfId="35857"/>
    <cellStyle name="常规 6 2 2 2 3 3 4 3 2 2" xfId="27975"/>
    <cellStyle name="常规 6 2 2 2 3 3 4 3 3" xfId="35858"/>
    <cellStyle name="常规 6 2 2 2 3 3 4 3 4" xfId="35859"/>
    <cellStyle name="常规 6 2 2 2 3 3 4 4" xfId="35860"/>
    <cellStyle name="常规 6 2 2 2 3 3 4 4 2" xfId="35861"/>
    <cellStyle name="常规 6 2 2 2 3 3 4 5" xfId="35862"/>
    <cellStyle name="常规 6 2 2 2 3 3 4 6" xfId="35863"/>
    <cellStyle name="常规 6 2 2 2 3 3 5" xfId="35864"/>
    <cellStyle name="常规 6 2 2 2 3 3 5 2" xfId="35865"/>
    <cellStyle name="常规 6 2 2 2 3 3 5 2 2" xfId="35866"/>
    <cellStyle name="常规 6 2 2 2 3 3 5 2 2 2" xfId="35867"/>
    <cellStyle name="常规 6 2 2 2 3 3 5 2 3" xfId="35868"/>
    <cellStyle name="常规 6 2 2 2 3 3 5 2 4" xfId="35869"/>
    <cellStyle name="常规 6 2 2 2 3 3 5 3" xfId="35870"/>
    <cellStyle name="常规 6 2 2 2 3 3 5 3 2" xfId="35871"/>
    <cellStyle name="常规 6 2 2 2 3 3 5 4" xfId="35872"/>
    <cellStyle name="常规 6 2 2 2 3 3 5 5" xfId="35873"/>
    <cellStyle name="常规 6 2 2 2 3 3 6" xfId="35874"/>
    <cellStyle name="常规 6 2 2 2 3 3 6 2" xfId="35875"/>
    <cellStyle name="常规 6 2 2 2 3 3 6 2 2" xfId="35876"/>
    <cellStyle name="常规 6 2 2 2 3 3 6 3" xfId="35877"/>
    <cellStyle name="常规 6 2 2 2 3 3 6 4" xfId="35878"/>
    <cellStyle name="常规 6 2 2 2 3 3 7" xfId="35879"/>
    <cellStyle name="常规 6 2 2 2 3 3 7 2" xfId="35880"/>
    <cellStyle name="常规 6 2 2 2 3 3 8" xfId="31896"/>
    <cellStyle name="常规 6 2 2 2 3 3 9" xfId="35881"/>
    <cellStyle name="常规 6 2 2 2 3 4" xfId="35882"/>
    <cellStyle name="常规 6 2 2 2 3 4 2" xfId="35883"/>
    <cellStyle name="常规 6 2 2 2 3 4 2 2" xfId="35884"/>
    <cellStyle name="常规 6 2 2 2 3 4 2 2 2" xfId="35885"/>
    <cellStyle name="常规 6 2 2 2 3 4 2 2 2 2" xfId="35886"/>
    <cellStyle name="常规 6 2 2 2 3 4 2 2 2 2 2" xfId="35887"/>
    <cellStyle name="常规 6 2 2 2 3 4 2 2 2 2 2 2" xfId="35888"/>
    <cellStyle name="常规 6 2 2 2 3 4 2 2 2 2 3" xfId="35889"/>
    <cellStyle name="常规 6 2 2 2 3 4 2 2 2 2 4" xfId="35890"/>
    <cellStyle name="常规 6 2 2 2 3 4 2 2 2 3" xfId="35891"/>
    <cellStyle name="常规 6 2 2 2 3 4 2 2 2 3 2" xfId="35892"/>
    <cellStyle name="常规 6 2 2 2 3 4 2 2 2 4" xfId="11993"/>
    <cellStyle name="常规 6 2 2 2 3 4 2 2 2 5" xfId="35894"/>
    <cellStyle name="常规 6 2 2 2 3 4 2 2 3" xfId="35895"/>
    <cellStyle name="常规 6 2 2 2 3 4 2 2 3 2" xfId="35896"/>
    <cellStyle name="常规 6 2 2 2 3 4 2 2 3 2 2" xfId="35897"/>
    <cellStyle name="常规 6 2 2 2 3 4 2 2 3 3" xfId="35898"/>
    <cellStyle name="常规 6 2 2 2 3 4 2 2 3 4" xfId="35900"/>
    <cellStyle name="常规 6 2 2 2 3 4 2 2 4" xfId="35901"/>
    <cellStyle name="常规 6 2 2 2 3 4 2 2 4 2" xfId="35902"/>
    <cellStyle name="常规 6 2 2 2 3 4 2 2 5" xfId="35903"/>
    <cellStyle name="常规 6 2 2 2 3 4 2 2 6" xfId="35904"/>
    <cellStyle name="常规 6 2 2 2 3 4 2 3" xfId="35905"/>
    <cellStyle name="常规 6 2 2 2 3 4 2 3 2" xfId="35906"/>
    <cellStyle name="常规 6 2 2 2 3 4 2 3 2 2" xfId="35907"/>
    <cellStyle name="常规 6 2 2 2 3 4 2 3 2 2 2" xfId="35908"/>
    <cellStyle name="常规 6 2 2 2 3 4 2 3 2 3" xfId="35909"/>
    <cellStyle name="常规 6 2 2 2 3 4 2 3 2 4" xfId="35911"/>
    <cellStyle name="常规 6 2 2 2 3 4 2 3 3" xfId="35912"/>
    <cellStyle name="常规 6 2 2 2 3 4 2 3 3 2" xfId="35913"/>
    <cellStyle name="常规 6 2 2 2 3 4 2 3 4" xfId="35914"/>
    <cellStyle name="常规 6 2 2 2 3 4 2 3 5" xfId="35915"/>
    <cellStyle name="常规 6 2 2 2 3 4 2 4" xfId="26911"/>
    <cellStyle name="常规 6 2 2 2 3 4 2 4 2" xfId="35916"/>
    <cellStyle name="常规 6 2 2 2 3 4 2 4 2 2" xfId="35918"/>
    <cellStyle name="常规 6 2 2 2 3 4 2 4 3" xfId="35919"/>
    <cellStyle name="常规 6 2 2 2 3 4 2 4 4" xfId="35920"/>
    <cellStyle name="常规 6 2 2 2 3 4 2 5" xfId="35921"/>
    <cellStyle name="常规 6 2 2 2 3 4 2 5 2" xfId="35922"/>
    <cellStyle name="常规 6 2 2 2 3 4 2 6" xfId="35923"/>
    <cellStyle name="常规 6 2 2 2 3 4 2 7" xfId="35924"/>
    <cellStyle name="常规 6 2 2 2 3 4 3" xfId="35925"/>
    <cellStyle name="常规 6 2 2 2 3 4 3 2" xfId="35926"/>
    <cellStyle name="常规 6 2 2 2 3 4 3 2 2" xfId="35927"/>
    <cellStyle name="常规 6 2 2 2 3 4 3 2 2 2" xfId="35928"/>
    <cellStyle name="常规 6 2 2 2 3 4 3 2 2 2 2" xfId="35929"/>
    <cellStyle name="常规 6 2 2 2 3 4 3 2 2 3" xfId="35930"/>
    <cellStyle name="常规 6 2 2 2 3 4 3 2 2 4" xfId="35932"/>
    <cellStyle name="常规 6 2 2 2 3 4 3 2 3" xfId="35933"/>
    <cellStyle name="常规 6 2 2 2 3 4 3 2 3 2" xfId="35934"/>
    <cellStyle name="常规 6 2 2 2 3 4 3 2 4" xfId="35935"/>
    <cellStyle name="常规 6 2 2 2 3 4 3 2 5" xfId="35936"/>
    <cellStyle name="常规 6 2 2 2 3 4 3 3" xfId="35937"/>
    <cellStyle name="常规 6 2 2 2 3 4 3 3 2" xfId="35938"/>
    <cellStyle name="常规 6 2 2 2 3 4 3 3 2 2" xfId="35939"/>
    <cellStyle name="常规 6 2 2 2 3 4 3 3 3" xfId="35940"/>
    <cellStyle name="常规 6 2 2 2 3 4 3 3 4" xfId="35941"/>
    <cellStyle name="常规 6 2 2 2 3 4 3 4" xfId="14059"/>
    <cellStyle name="常规 6 2 2 2 3 4 3 4 2" xfId="35943"/>
    <cellStyle name="常规 6 2 2 2 3 4 3 5" xfId="35945"/>
    <cellStyle name="常规 6 2 2 2 3 4 3 6" xfId="35947"/>
    <cellStyle name="常规 6 2 2 2 3 4 4" xfId="35948"/>
    <cellStyle name="常规 6 2 2 2 3 4 4 2" xfId="35949"/>
    <cellStyle name="常规 6 2 2 2 3 4 4 2 2" xfId="35950"/>
    <cellStyle name="常规 6 2 2 2 3 4 4 2 2 2" xfId="35951"/>
    <cellStyle name="常规 6 2 2 2 3 4 4 2 3" xfId="35952"/>
    <cellStyle name="常规 6 2 2 2 3 4 4 2 4" xfId="35953"/>
    <cellStyle name="常规 6 2 2 2 3 4 4 3" xfId="35954"/>
    <cellStyle name="常规 6 2 2 2 3 4 4 3 2" xfId="35955"/>
    <cellStyle name="常规 6 2 2 2 3 4 4 4" xfId="35957"/>
    <cellStyle name="常规 6 2 2 2 3 4 4 5" xfId="35959"/>
    <cellStyle name="常规 6 2 2 2 3 4 5" xfId="35960"/>
    <cellStyle name="常规 6 2 2 2 3 4 5 2" xfId="35961"/>
    <cellStyle name="常规 6 2 2 2 3 4 5 2 2" xfId="35962"/>
    <cellStyle name="常规 6 2 2 2 3 4 5 3" xfId="35963"/>
    <cellStyle name="常规 6 2 2 2 3 4 5 4" xfId="35965"/>
    <cellStyle name="常规 6 2 2 2 3 4 6" xfId="35966"/>
    <cellStyle name="常规 6 2 2 2 3 4 6 2" xfId="35967"/>
    <cellStyle name="常规 6 2 2 2 3 4 7" xfId="35968"/>
    <cellStyle name="常规 6 2 2 2 3 4 8" xfId="30450"/>
    <cellStyle name="常规 6 2 2 2 3 5" xfId="35969"/>
    <cellStyle name="常规 6 2 2 2 3 5 2" xfId="35970"/>
    <cellStyle name="常规 6 2 2 2 3 5 2 2" xfId="35971"/>
    <cellStyle name="常规 6 2 2 2 3 5 2 2 2" xfId="35972"/>
    <cellStyle name="常规 6 2 2 2 3 5 2 2 2 2" xfId="35973"/>
    <cellStyle name="常规 6 2 2 2 3 5 2 2 2 2 2" xfId="35974"/>
    <cellStyle name="常规 6 2 2 2 3 5 2 2 2 3" xfId="35975"/>
    <cellStyle name="常规 6 2 2 2 3 5 2 2 2 4" xfId="35977"/>
    <cellStyle name="常规 6 2 2 2 3 5 2 2 3" xfId="35978"/>
    <cellStyle name="常规 6 2 2 2 3 5 2 2 3 2" xfId="11533"/>
    <cellStyle name="常规 6 2 2 2 3 5 2 2 4" xfId="35979"/>
    <cellStyle name="常规 6 2 2 2 3 5 2 2 5" xfId="35980"/>
    <cellStyle name="常规 6 2 2 2 3 5 2 3" xfId="35981"/>
    <cellStyle name="常规 6 2 2 2 3 5 2 3 2" xfId="35982"/>
    <cellStyle name="常规 6 2 2 2 3 5 2 3 2 2" xfId="35983"/>
    <cellStyle name="常规 6 2 2 2 3 5 2 3 3" xfId="35984"/>
    <cellStyle name="常规 6 2 2 2 3 5 2 3 4" xfId="35985"/>
    <cellStyle name="常规 6 2 2 2 3 5 2 4" xfId="35986"/>
    <cellStyle name="常规 6 2 2 2 3 5 2 4 2" xfId="34003"/>
    <cellStyle name="常规 6 2 2 2 3 5 2 5" xfId="35987"/>
    <cellStyle name="常规 6 2 2 2 3 5 2 6" xfId="35988"/>
    <cellStyle name="常规 6 2 2 2 3 5 3" xfId="35989"/>
    <cellStyle name="常规 6 2 2 2 3 5 3 2" xfId="35990"/>
    <cellStyle name="常规 6 2 2 2 3 5 3 2 2" xfId="35991"/>
    <cellStyle name="常规 6 2 2 2 3 5 3 2 2 2" xfId="10735"/>
    <cellStyle name="常规 6 2 2 2 3 5 3 2 3" xfId="35992"/>
    <cellStyle name="常规 6 2 2 2 3 5 3 2 4" xfId="35993"/>
    <cellStyle name="常规 6 2 2 2 3 5 3 3" xfId="35994"/>
    <cellStyle name="常规 6 2 2 2 3 5 3 3 2" xfId="35995"/>
    <cellStyle name="常规 6 2 2 2 3 5 3 4" xfId="35997"/>
    <cellStyle name="常规 6 2 2 2 3 5 3 5" xfId="35999"/>
    <cellStyle name="常规 6 2 2 2 3 5 4" xfId="36000"/>
    <cellStyle name="常规 6 2 2 2 3 5 4 2" xfId="36001"/>
    <cellStyle name="常规 6 2 2 2 3 5 4 2 2" xfId="36002"/>
    <cellStyle name="常规 6 2 2 2 3 5 4 3" xfId="36003"/>
    <cellStyle name="常规 6 2 2 2 3 5 4 4" xfId="36005"/>
    <cellStyle name="常规 6 2 2 2 3 5 5" xfId="36006"/>
    <cellStyle name="常规 6 2 2 2 3 5 5 2" xfId="36007"/>
    <cellStyle name="常规 6 2 2 2 3 5 6" xfId="36009"/>
    <cellStyle name="常规 6 2 2 2 3 5 7" xfId="36010"/>
    <cellStyle name="常规 6 2 2 2 3 6" xfId="36011"/>
    <cellStyle name="常规 6 2 2 2 3 6 2" xfId="36012"/>
    <cellStyle name="常规 6 2 2 2 3 6 2 2" xfId="36013"/>
    <cellStyle name="常规 6 2 2 2 3 6 2 2 2" xfId="36014"/>
    <cellStyle name="常规 6 2 2 2 3 6 2 2 2 2" xfId="36015"/>
    <cellStyle name="常规 6 2 2 2 3 6 2 2 3" xfId="36016"/>
    <cellStyle name="常规 6 2 2 2 3 6 2 2 4" xfId="36017"/>
    <cellStyle name="常规 6 2 2 2 3 6 2 3" xfId="36018"/>
    <cellStyle name="常规 6 2 2 2 3 6 2 3 2" xfId="36019"/>
    <cellStyle name="常规 6 2 2 2 3 6 2 4" xfId="36020"/>
    <cellStyle name="常规 6 2 2 2 3 6 2 5" xfId="36021"/>
    <cellStyle name="常规 6 2 2 2 3 6 3" xfId="36022"/>
    <cellStyle name="常规 6 2 2 2 3 6 3 2" xfId="36023"/>
    <cellStyle name="常规 6 2 2 2 3 6 3 2 2" xfId="10575"/>
    <cellStyle name="常规 6 2 2 2 3 6 3 3" xfId="36024"/>
    <cellStyle name="常规 6 2 2 2 3 6 3 4" xfId="36026"/>
    <cellStyle name="常规 6 2 2 2 3 6 4" xfId="36027"/>
    <cellStyle name="常规 6 2 2 2 3 6 4 2" xfId="36028"/>
    <cellStyle name="常规 6 2 2 2 3 6 5" xfId="36029"/>
    <cellStyle name="常规 6 2 2 2 3 6 6" xfId="36030"/>
    <cellStyle name="常规 6 2 2 2 3 7" xfId="36031"/>
    <cellStyle name="常规 6 2 2 2 3 7 2" xfId="36032"/>
    <cellStyle name="常规 6 2 2 2 3 7 2 2" xfId="36033"/>
    <cellStyle name="常规 6 2 2 2 3 7 2 2 2" xfId="36034"/>
    <cellStyle name="常规 6 2 2 2 3 7 2 3" xfId="36035"/>
    <cellStyle name="常规 6 2 2 2 3 7 2 4" xfId="36036"/>
    <cellStyle name="常规 6 2 2 2 3 7 3" xfId="36037"/>
    <cellStyle name="常规 6 2 2 2 3 7 3 2" xfId="36038"/>
    <cellStyle name="常规 6 2 2 2 3 7 4" xfId="36039"/>
    <cellStyle name="常规 6 2 2 2 3 7 5" xfId="36040"/>
    <cellStyle name="常规 6 2 2 2 3 8" xfId="36041"/>
    <cellStyle name="常规 6 2 2 2 3 8 2" xfId="36042"/>
    <cellStyle name="常规 6 2 2 2 3 8 2 2" xfId="36043"/>
    <cellStyle name="常规 6 2 2 2 3 8 3" xfId="36044"/>
    <cellStyle name="常规 6 2 2 2 3 8 4" xfId="36045"/>
    <cellStyle name="常规 6 2 2 2 3 9" xfId="36046"/>
    <cellStyle name="常规 6 2 2 2 3 9 2" xfId="36047"/>
    <cellStyle name="常规 6 2 2 2 4" xfId="36048"/>
    <cellStyle name="常规 6 2 2 2 4 2" xfId="36049"/>
    <cellStyle name="常规 6 2 2 2 4 2 2" xfId="36050"/>
    <cellStyle name="常规 6 2 2 2 4 2 2 2" xfId="36051"/>
    <cellStyle name="常规 6 2 2 2 4 2 2 2 2" xfId="36052"/>
    <cellStyle name="常规 6 2 2 2 4 2 2 2 2 2" xfId="36053"/>
    <cellStyle name="常规 6 2 2 2 4 2 2 2 2 2 2" xfId="36054"/>
    <cellStyle name="常规 6 2 2 2 4 2 2 2 2 2 2 2" xfId="36055"/>
    <cellStyle name="常规 6 2 2 2 4 2 2 2 2 2 3" xfId="36056"/>
    <cellStyle name="常规 6 2 2 2 4 2 2 2 2 2 4" xfId="36057"/>
    <cellStyle name="常规 6 2 2 2 4 2 2 2 2 3" xfId="36058"/>
    <cellStyle name="常规 6 2 2 2 4 2 2 2 2 3 2" xfId="36059"/>
    <cellStyle name="常规 6 2 2 2 4 2 2 2 2 4" xfId="36060"/>
    <cellStyle name="常规 6 2 2 2 4 2 2 2 2 5" xfId="36061"/>
    <cellStyle name="常规 6 2 2 2 4 2 2 2 3" xfId="36062"/>
    <cellStyle name="常规 6 2 2 2 4 2 2 2 3 2" xfId="36063"/>
    <cellStyle name="常规 6 2 2 2 4 2 2 2 3 2 2" xfId="36064"/>
    <cellStyle name="常规 6 2 2 2 4 2 2 2 3 3" xfId="36065"/>
    <cellStyle name="常规 6 2 2 2 4 2 2 2 3 4" xfId="36066"/>
    <cellStyle name="常规 6 2 2 2 4 2 2 2 4" xfId="36067"/>
    <cellStyle name="常规 6 2 2 2 4 2 2 2 4 2" xfId="36068"/>
    <cellStyle name="常规 6 2 2 2 4 2 2 2 5" xfId="36069"/>
    <cellStyle name="常规 6 2 2 2 4 2 2 2 6" xfId="36070"/>
    <cellStyle name="常规 6 2 2 2 4 2 2 3" xfId="36071"/>
    <cellStyle name="常规 6 2 2 2 4 2 2 3 2" xfId="36072"/>
    <cellStyle name="常规 6 2 2 2 4 2 2 3 2 2" xfId="36073"/>
    <cellStyle name="常规 6 2 2 2 4 2 2 3 2 2 2" xfId="36074"/>
    <cellStyle name="常规 6 2 2 2 4 2 2 3 2 3" xfId="36075"/>
    <cellStyle name="常规 6 2 2 2 4 2 2 3 2 4" xfId="36076"/>
    <cellStyle name="常规 6 2 2 2 4 2 2 3 3" xfId="36077"/>
    <cellStyle name="常规 6 2 2 2 4 2 2 3 3 2" xfId="36078"/>
    <cellStyle name="常规 6 2 2 2 4 2 2 3 4" xfId="36079"/>
    <cellStyle name="常规 6 2 2 2 4 2 2 3 5" xfId="36080"/>
    <cellStyle name="常规 6 2 2 2 4 2 2 4" xfId="27165"/>
    <cellStyle name="常规 6 2 2 2 4 2 2 4 2" xfId="1379"/>
    <cellStyle name="常规 6 2 2 2 4 2 2 4 2 2" xfId="27167"/>
    <cellStyle name="常规 6 2 2 2 4 2 2 4 3" xfId="1388"/>
    <cellStyle name="常规 6 2 2 2 4 2 2 4 4" xfId="1396"/>
    <cellStyle name="常规 6 2 2 2 4 2 2 5" xfId="27169"/>
    <cellStyle name="常规 6 2 2 2 4 2 2 5 2" xfId="27173"/>
    <cellStyle name="常规 6 2 2 2 4 2 2 6" xfId="27180"/>
    <cellStyle name="常规 6 2 2 2 4 2 2 7" xfId="27184"/>
    <cellStyle name="常规 6 2 2 2 4 2 3" xfId="25676"/>
    <cellStyle name="常规 6 2 2 2 4 2 3 2" xfId="36081"/>
    <cellStyle name="常规 6 2 2 2 4 2 3 2 2" xfId="36082"/>
    <cellStyle name="常规 6 2 2 2 4 2 3 2 2 2" xfId="36083"/>
    <cellStyle name="常规 6 2 2 2 4 2 3 2 2 2 2" xfId="36084"/>
    <cellStyle name="常规 6 2 2 2 4 2 3 2 2 3" xfId="36085"/>
    <cellStyle name="常规 6 2 2 2 4 2 3 2 2 4" xfId="36086"/>
    <cellStyle name="常规 6 2 2 2 4 2 3 2 3" xfId="36087"/>
    <cellStyle name="常规 6 2 2 2 4 2 3 2 3 2" xfId="36088"/>
    <cellStyle name="常规 6 2 2 2 4 2 3 2 4" xfId="36089"/>
    <cellStyle name="常规 6 2 2 2 4 2 3 2 5" xfId="36090"/>
    <cellStyle name="常规 6 2 2 2 4 2 3 3" xfId="36091"/>
    <cellStyle name="常规 6 2 2 2 4 2 3 3 2" xfId="36092"/>
    <cellStyle name="常规 6 2 2 2 4 2 3 3 2 2" xfId="36093"/>
    <cellStyle name="常规 6 2 2 2 4 2 3 3 3" xfId="36094"/>
    <cellStyle name="常规 6 2 2 2 4 2 3 3 4" xfId="36095"/>
    <cellStyle name="常规 6 2 2 2 4 2 3 4" xfId="27191"/>
    <cellStyle name="常规 6 2 2 2 4 2 3 4 2" xfId="27195"/>
    <cellStyle name="常规 6 2 2 2 4 2 3 5" xfId="27197"/>
    <cellStyle name="常规 6 2 2 2 4 2 3 6" xfId="27202"/>
    <cellStyle name="常规 6 2 2 2 4 2 4" xfId="36096"/>
    <cellStyle name="常规 6 2 2 2 4 2 4 2" xfId="36097"/>
    <cellStyle name="常规 6 2 2 2 4 2 4 2 2" xfId="36099"/>
    <cellStyle name="常规 6 2 2 2 4 2 4 2 2 2" xfId="36100"/>
    <cellStyle name="常规 6 2 2 2 4 2 4 2 3" xfId="36102"/>
    <cellStyle name="常规 6 2 2 2 4 2 4 2 4" xfId="36103"/>
    <cellStyle name="常规 6 2 2 2 4 2 4 3" xfId="36104"/>
    <cellStyle name="常规 6 2 2 2 4 2 4 3 2" xfId="36105"/>
    <cellStyle name="常规 6 2 2 2 4 2 4 4" xfId="27206"/>
    <cellStyle name="常规 6 2 2 2 4 2 4 5" xfId="36106"/>
    <cellStyle name="常规 6 2 2 2 4 2 5" xfId="36107"/>
    <cellStyle name="常规 6 2 2 2 4 2 5 2" xfId="36108"/>
    <cellStyle name="常规 6 2 2 2 4 2 5 2 2" xfId="36109"/>
    <cellStyle name="常规 6 2 2 2 4 2 5 3" xfId="36110"/>
    <cellStyle name="常规 6 2 2 2 4 2 5 4" xfId="36111"/>
    <cellStyle name="常规 6 2 2 2 4 2 6" xfId="36112"/>
    <cellStyle name="常规 6 2 2 2 4 2 6 2" xfId="36113"/>
    <cellStyle name="常规 6 2 2 2 4 2 7" xfId="36114"/>
    <cellStyle name="常规 6 2 2 2 4 2 8" xfId="36115"/>
    <cellStyle name="常规 6 2 2 2 4 3" xfId="36116"/>
    <cellStyle name="常规 6 2 2 2 4 3 2" xfId="36117"/>
    <cellStyle name="常规 6 2 2 2 4 3 2 2" xfId="36118"/>
    <cellStyle name="常规 6 2 2 2 4 3 2 2 2" xfId="36119"/>
    <cellStyle name="常规 6 2 2 2 4 3 2 2 2 2" xfId="36120"/>
    <cellStyle name="常规 6 2 2 2 4 3 2 2 2 2 2" xfId="2945"/>
    <cellStyle name="常规 6 2 2 2 4 3 2 2 2 3" xfId="36121"/>
    <cellStyle name="常规 6 2 2 2 4 3 2 2 2 4" xfId="36122"/>
    <cellStyle name="常规 6 2 2 2 4 3 2 2 3" xfId="36123"/>
    <cellStyle name="常规 6 2 2 2 4 3 2 2 3 2" xfId="36124"/>
    <cellStyle name="常规 6 2 2 2 4 3 2 2 4" xfId="36125"/>
    <cellStyle name="常规 6 2 2 2 4 3 2 2 5" xfId="36126"/>
    <cellStyle name="常规 6 2 2 2 4 3 2 3" xfId="36127"/>
    <cellStyle name="常规 6 2 2 2 4 3 2 3 2" xfId="36128"/>
    <cellStyle name="常规 6 2 2 2 4 3 2 3 2 2" xfId="36129"/>
    <cellStyle name="常规 6 2 2 2 4 3 2 3 3" xfId="36130"/>
    <cellStyle name="常规 6 2 2 2 4 3 2 3 4" xfId="36131"/>
    <cellStyle name="常规 6 2 2 2 4 3 2 4" xfId="23279"/>
    <cellStyle name="常规 6 2 2 2 4 3 2 4 2" xfId="27216"/>
    <cellStyle name="常规 6 2 2 2 4 3 2 5" xfId="27218"/>
    <cellStyle name="常规 6 2 2 2 4 3 2 6" xfId="27223"/>
    <cellStyle name="常规 6 2 2 2 4 3 3" xfId="36132"/>
    <cellStyle name="常规 6 2 2 2 4 3 3 2" xfId="36133"/>
    <cellStyle name="常规 6 2 2 2 4 3 3 2 2" xfId="36134"/>
    <cellStyle name="常规 6 2 2 2 4 3 3 2 2 2" xfId="1363"/>
    <cellStyle name="常规 6 2 2 2 4 3 3 2 3" xfId="36135"/>
    <cellStyle name="常规 6 2 2 2 4 3 3 2 4" xfId="36136"/>
    <cellStyle name="常规 6 2 2 2 4 3 3 3" xfId="36137"/>
    <cellStyle name="常规 6 2 2 2 4 3 3 3 2" xfId="36138"/>
    <cellStyle name="常规 6 2 2 2 4 3 3 4" xfId="27226"/>
    <cellStyle name="常规 6 2 2 2 4 3 3 5" xfId="36139"/>
    <cellStyle name="常规 6 2 2 2 4 3 4" xfId="36140"/>
    <cellStyle name="常规 6 2 2 2 4 3 4 2" xfId="36141"/>
    <cellStyle name="常规 6 2 2 2 4 3 4 2 2" xfId="36142"/>
    <cellStyle name="常规 6 2 2 2 4 3 4 3" xfId="36143"/>
    <cellStyle name="常规 6 2 2 2 4 3 4 4" xfId="36144"/>
    <cellStyle name="常规 6 2 2 2 4 3 5" xfId="36145"/>
    <cellStyle name="常规 6 2 2 2 4 3 5 2" xfId="36146"/>
    <cellStyle name="常规 6 2 2 2 4 3 6" xfId="36147"/>
    <cellStyle name="常规 6 2 2 2 4 3 7" xfId="36148"/>
    <cellStyle name="常规 6 2 2 2 4 4" xfId="36149"/>
    <cellStyle name="常规 6 2 2 2 4 4 2" xfId="36150"/>
    <cellStyle name="常规 6 2 2 2 4 4 2 2" xfId="36151"/>
    <cellStyle name="常规 6 2 2 2 4 4 2 2 2" xfId="36152"/>
    <cellStyle name="常规 6 2 2 2 4 4 2 2 2 2" xfId="36153"/>
    <cellStyle name="常规 6 2 2 2 4 4 2 2 3" xfId="36154"/>
    <cellStyle name="常规 6 2 2 2 4 4 2 2 4" xfId="36155"/>
    <cellStyle name="常规 6 2 2 2 4 4 2 3" xfId="36156"/>
    <cellStyle name="常规 6 2 2 2 4 4 2 3 2" xfId="36157"/>
    <cellStyle name="常规 6 2 2 2 4 4 2 4" xfId="27236"/>
    <cellStyle name="常规 6 2 2 2 4 4 2 5" xfId="26561"/>
    <cellStyle name="常规 6 2 2 2 4 4 3" xfId="36158"/>
    <cellStyle name="常规 6 2 2 2 4 4 3 2" xfId="36159"/>
    <cellStyle name="常规 6 2 2 2 4 4 3 2 2" xfId="36160"/>
    <cellStyle name="常规 6 2 2 2 4 4 3 3" xfId="36161"/>
    <cellStyle name="常规 6 2 2 2 4 4 3 4" xfId="34595"/>
    <cellStyle name="常规 6 2 2 2 4 4 4" xfId="36162"/>
    <cellStyle name="常规 6 2 2 2 4 4 4 2" xfId="36163"/>
    <cellStyle name="常规 6 2 2 2 4 4 5" xfId="36164"/>
    <cellStyle name="常规 6 2 2 2 4 4 6" xfId="36165"/>
    <cellStyle name="常规 6 2 2 2 4 5" xfId="36166"/>
    <cellStyle name="常规 6 2 2 2 4 5 2" xfId="36167"/>
    <cellStyle name="常规 6 2 2 2 4 5 2 2" xfId="36168"/>
    <cellStyle name="常规 6 2 2 2 4 5 2 2 2" xfId="36169"/>
    <cellStyle name="常规 6 2 2 2 4 5 2 3" xfId="36170"/>
    <cellStyle name="常规 6 2 2 2 4 5 2 4" xfId="34599"/>
    <cellStyle name="常规 6 2 2 2 4 5 3" xfId="36171"/>
    <cellStyle name="常规 6 2 2 2 4 5 3 2" xfId="36172"/>
    <cellStyle name="常规 6 2 2 2 4 5 4" xfId="36173"/>
    <cellStyle name="常规 6 2 2 2 4 5 5" xfId="36174"/>
    <cellStyle name="常规 6 2 2 2 4 6" xfId="36175"/>
    <cellStyle name="常规 6 2 2 2 4 6 2" xfId="36176"/>
    <cellStyle name="常规 6 2 2 2 4 6 2 2" xfId="36177"/>
    <cellStyle name="常规 6 2 2 2 4 6 3" xfId="36178"/>
    <cellStyle name="常规 6 2 2 2 4 6 4" xfId="36179"/>
    <cellStyle name="常规 6 2 2 2 4 7" xfId="36180"/>
    <cellStyle name="常规 6 2 2 2 4 7 2" xfId="36181"/>
    <cellStyle name="常规 6 2 2 2 4 8" xfId="36182"/>
    <cellStyle name="常规 6 2 2 2 4 9" xfId="36183"/>
    <cellStyle name="常规 6 2 2 2 5" xfId="36184"/>
    <cellStyle name="常规 6 2 2 2 5 2" xfId="36185"/>
    <cellStyle name="常规 6 2 2 2 5 2 2" xfId="28026"/>
    <cellStyle name="常规 6 2 2 2 5 2 2 2" xfId="36186"/>
    <cellStyle name="常规 6 2 2 2 5 2 2 2 2" xfId="36187"/>
    <cellStyle name="常规 6 2 2 2 5 2 2 2 2 2" xfId="36188"/>
    <cellStyle name="常规 6 2 2 2 5 2 2 2 2 2 2" xfId="3371"/>
    <cellStyle name="常规 6 2 2 2 5 2 2 2 2 2 2 2" xfId="36189"/>
    <cellStyle name="常规 6 2 2 2 5 2 2 2 2 2 3" xfId="36190"/>
    <cellStyle name="常规 6 2 2 2 5 2 2 2 2 2 4" xfId="36191"/>
    <cellStyle name="常规 6 2 2 2 5 2 2 2 2 3" xfId="36192"/>
    <cellStyle name="常规 6 2 2 2 5 2 2 2 2 3 2" xfId="36193"/>
    <cellStyle name="常规 6 2 2 2 5 2 2 2 2 4" xfId="36194"/>
    <cellStyle name="常规 6 2 2 2 5 2 2 2 2 5" xfId="36195"/>
    <cellStyle name="常规 6 2 2 2 5 2 2 2 3" xfId="36196"/>
    <cellStyle name="常规 6 2 2 2 5 2 2 2 3 2" xfId="36197"/>
    <cellStyle name="常规 6 2 2 2 5 2 2 2 3 2 2" xfId="36198"/>
    <cellStyle name="常规 6 2 2 2 5 2 2 2 3 3" xfId="36199"/>
    <cellStyle name="常规 6 2 2 2 5 2 2 2 3 4" xfId="36200"/>
    <cellStyle name="常规 6 2 2 2 5 2 2 2 4" xfId="36201"/>
    <cellStyle name="常规 6 2 2 2 5 2 2 2 4 2" xfId="36202"/>
    <cellStyle name="常规 6 2 2 2 5 2 2 2 5" xfId="36203"/>
    <cellStyle name="常规 6 2 2 2 5 2 2 2 6" xfId="36204"/>
    <cellStyle name="常规 6 2 2 2 5 2 2 3" xfId="36205"/>
    <cellStyle name="常规 6 2 2 2 5 2 2 3 2" xfId="36206"/>
    <cellStyle name="常规 6 2 2 2 5 2 2 3 2 2" xfId="36207"/>
    <cellStyle name="常规 6 2 2 2 5 2 2 3 2 2 2" xfId="36208"/>
    <cellStyle name="常规 6 2 2 2 5 2 2 3 2 3" xfId="36209"/>
    <cellStyle name="常规 6 2 2 2 5 2 2 3 2 4" xfId="36210"/>
    <cellStyle name="常规 6 2 2 2 5 2 2 3 3" xfId="36211"/>
    <cellStyle name="常规 6 2 2 2 5 2 2 3 3 2" xfId="10137"/>
    <cellStyle name="常规 6 2 2 2 5 2 2 3 4" xfId="36212"/>
    <cellStyle name="常规 6 2 2 2 5 2 2 3 5" xfId="36213"/>
    <cellStyle name="常规 6 2 2 2 5 2 2 4" xfId="27405"/>
    <cellStyle name="常规 6 2 2 2 5 2 2 4 2" xfId="27409"/>
    <cellStyle name="常规 6 2 2 2 5 2 2 4 2 2" xfId="36214"/>
    <cellStyle name="常规 6 2 2 2 5 2 2 4 3" xfId="36215"/>
    <cellStyle name="常规 6 2 2 2 5 2 2 4 4" xfId="36216"/>
    <cellStyle name="常规 6 2 2 2 5 2 2 5" xfId="27411"/>
    <cellStyle name="常规 6 2 2 2 5 2 2 5 2" xfId="36217"/>
    <cellStyle name="常规 6 2 2 2 5 2 2 6" xfId="27417"/>
    <cellStyle name="常规 6 2 2 2 5 2 2 7" xfId="36218"/>
    <cellStyle name="常规 6 2 2 2 5 2 3" xfId="28028"/>
    <cellStyle name="常规 6 2 2 2 5 2 3 2" xfId="36219"/>
    <cellStyle name="常规 6 2 2 2 5 2 3 2 2" xfId="36220"/>
    <cellStyle name="常规 6 2 2 2 5 2 3 2 2 2" xfId="36221"/>
    <cellStyle name="常规 6 2 2 2 5 2 3 2 2 2 2" xfId="36222"/>
    <cellStyle name="常规 6 2 2 2 5 2 3 2 2 3" xfId="36223"/>
    <cellStyle name="常规 6 2 2 2 5 2 3 2 2 4" xfId="36224"/>
    <cellStyle name="常规 6 2 2 2 5 2 3 2 3" xfId="36225"/>
    <cellStyle name="常规 6 2 2 2 5 2 3 2 3 2" xfId="36226"/>
    <cellStyle name="常规 6 2 2 2 5 2 3 2 4" xfId="36227"/>
    <cellStyle name="常规 6 2 2 2 5 2 3 2 5" xfId="36228"/>
    <cellStyle name="常规 6 2 2 2 5 2 3 3" xfId="36229"/>
    <cellStyle name="常规 6 2 2 2 5 2 3 3 2" xfId="36230"/>
    <cellStyle name="常规 6 2 2 2 5 2 3 3 2 2" xfId="36231"/>
    <cellStyle name="常规 6 2 2 2 5 2 3 3 3" xfId="36232"/>
    <cellStyle name="常规 6 2 2 2 5 2 3 3 4" xfId="36233"/>
    <cellStyle name="常规 6 2 2 2 5 2 3 4" xfId="27421"/>
    <cellStyle name="常规 6 2 2 2 5 2 3 4 2" xfId="36234"/>
    <cellStyle name="常规 6 2 2 2 5 2 3 5" xfId="36235"/>
    <cellStyle name="常规 6 2 2 2 5 2 3 6" xfId="36236"/>
    <cellStyle name="常规 6 2 2 2 5 2 4" xfId="36237"/>
    <cellStyle name="常规 6 2 2 2 5 2 4 2" xfId="36238"/>
    <cellStyle name="常规 6 2 2 2 5 2 4 2 2" xfId="36239"/>
    <cellStyle name="常规 6 2 2 2 5 2 4 2 2 2" xfId="36240"/>
    <cellStyle name="常规 6 2 2 2 5 2 4 2 3" xfId="36241"/>
    <cellStyle name="常规 6 2 2 2 5 2 4 2 4" xfId="36242"/>
    <cellStyle name="常规 6 2 2 2 5 2 4 3" xfId="36243"/>
    <cellStyle name="常规 6 2 2 2 5 2 4 3 2" xfId="36244"/>
    <cellStyle name="常规 6 2 2 2 5 2 4 4" xfId="36245"/>
    <cellStyle name="常规 6 2 2 2 5 2 4 5" xfId="36246"/>
    <cellStyle name="常规 6 2 2 2 5 2 5" xfId="36247"/>
    <cellStyle name="常规 6 2 2 2 5 2 5 2" xfId="36248"/>
    <cellStyle name="常规 6 2 2 2 5 2 5 2 2" xfId="36249"/>
    <cellStyle name="常规 6 2 2 2 5 2 5 3" xfId="36250"/>
    <cellStyle name="常规 6 2 2 2 5 2 5 4" xfId="36251"/>
    <cellStyle name="常规 6 2 2 2 5 2 6" xfId="36252"/>
    <cellStyle name="常规 6 2 2 2 5 2 6 2" xfId="36253"/>
    <cellStyle name="常规 6 2 2 2 5 2 7" xfId="36254"/>
    <cellStyle name="常规 6 2 2 2 5 2 8" xfId="30836"/>
    <cellStyle name="常规 6 2 2 2 5 3" xfId="36255"/>
    <cellStyle name="常规 6 2 2 2 5 3 2" xfId="36256"/>
    <cellStyle name="常规 6 2 2 2 5 3 2 2" xfId="36257"/>
    <cellStyle name="常规 6 2 2 2 5 3 2 2 2" xfId="34042"/>
    <cellStyle name="常规 6 2 2 2 5 3 2 2 2 2" xfId="36258"/>
    <cellStyle name="常规 6 2 2 2 5 3 2 2 2 2 2" xfId="36259"/>
    <cellStyle name="常规 6 2 2 2 5 3 2 2 2 3" xfId="36260"/>
    <cellStyle name="常规 6 2 2 2 5 3 2 2 2 4" xfId="36261"/>
    <cellStyle name="常规 6 2 2 2 5 3 2 2 3" xfId="36262"/>
    <cellStyle name="常规 6 2 2 2 5 3 2 2 3 2" xfId="36263"/>
    <cellStyle name="常规 6 2 2 2 5 3 2 2 4" xfId="36264"/>
    <cellStyle name="常规 6 2 2 2 5 3 2 2 5" xfId="36265"/>
    <cellStyle name="常规 6 2 2 2 5 3 2 3" xfId="36266"/>
    <cellStyle name="常规 6 2 2 2 5 3 2 3 2" xfId="36267"/>
    <cellStyle name="常规 6 2 2 2 5 3 2 3 2 2" xfId="36269"/>
    <cellStyle name="常规 6 2 2 2 5 3 2 3 3" xfId="36270"/>
    <cellStyle name="常规 6 2 2 2 5 3 2 3 4" xfId="36271"/>
    <cellStyle name="常规 6 2 2 2 5 3 2 4" xfId="27431"/>
    <cellStyle name="常规 6 2 2 2 5 3 2 4 2" xfId="36272"/>
    <cellStyle name="常规 6 2 2 2 5 3 2 5" xfId="36273"/>
    <cellStyle name="常规 6 2 2 2 5 3 2 6" xfId="36274"/>
    <cellStyle name="常规 6 2 2 2 5 3 3" xfId="36275"/>
    <cellStyle name="常规 6 2 2 2 5 3 3 2" xfId="36276"/>
    <cellStyle name="常规 6 2 2 2 5 3 3 2 2" xfId="36277"/>
    <cellStyle name="常规 6 2 2 2 5 3 3 2 2 2" xfId="36278"/>
    <cellStyle name="常规 6 2 2 2 5 3 3 2 3" xfId="36279"/>
    <cellStyle name="常规 6 2 2 2 5 3 3 2 4" xfId="36280"/>
    <cellStyle name="常规 6 2 2 2 5 3 3 3" xfId="36281"/>
    <cellStyle name="常规 6 2 2 2 5 3 3 3 2" xfId="36282"/>
    <cellStyle name="常规 6 2 2 2 5 3 3 4" xfId="36283"/>
    <cellStyle name="常规 6 2 2 2 5 3 3 5" xfId="36284"/>
    <cellStyle name="常规 6 2 2 2 5 3 4" xfId="36285"/>
    <cellStyle name="常规 6 2 2 2 5 3 4 2" xfId="36286"/>
    <cellStyle name="常规 6 2 2 2 5 3 4 2 2" xfId="36287"/>
    <cellStyle name="常规 6 2 2 2 5 3 4 3" xfId="36288"/>
    <cellStyle name="常规 6 2 2 2 5 3 4 4" xfId="36289"/>
    <cellStyle name="常规 6 2 2 2 5 3 5" xfId="36290"/>
    <cellStyle name="常规 6 2 2 2 5 3 5 2" xfId="36291"/>
    <cellStyle name="常规 6 2 2 2 5 3 6" xfId="36292"/>
    <cellStyle name="常规 6 2 2 2 5 3 7" xfId="36293"/>
    <cellStyle name="常规 6 2 2 2 5 4" xfId="36294"/>
    <cellStyle name="常规 6 2 2 2 5 4 2" xfId="36295"/>
    <cellStyle name="常规 6 2 2 2 5 4 2 2" xfId="36296"/>
    <cellStyle name="常规 6 2 2 2 5 4 2 2 2" xfId="34116"/>
    <cellStyle name="常规 6 2 2 2 5 4 2 2 2 2" xfId="36297"/>
    <cellStyle name="常规 6 2 2 2 5 4 2 2 3" xfId="36298"/>
    <cellStyle name="常规 6 2 2 2 5 4 2 2 4" xfId="36299"/>
    <cellStyle name="常规 6 2 2 2 5 4 2 3" xfId="36300"/>
    <cellStyle name="常规 6 2 2 2 5 4 2 3 2" xfId="36301"/>
    <cellStyle name="常规 6 2 2 2 5 4 2 4" xfId="34607"/>
    <cellStyle name="常规 6 2 2 2 5 4 2 5" xfId="36302"/>
    <cellStyle name="常规 6 2 2 2 5 4 3" xfId="36303"/>
    <cellStyle name="常规 6 2 2 2 5 4 3 2" xfId="36304"/>
    <cellStyle name="常规 6 2 2 2 5 4 3 2 2" xfId="36305"/>
    <cellStyle name="常规 6 2 2 2 5 4 3 3" xfId="36306"/>
    <cellStyle name="常规 6 2 2 2 5 4 3 4" xfId="36308"/>
    <cellStyle name="常规 6 2 2 2 5 4 4" xfId="36309"/>
    <cellStyle name="常规 6 2 2 2 5 4 4 2" xfId="36310"/>
    <cellStyle name="常规 6 2 2 2 5 4 5" xfId="36311"/>
    <cellStyle name="常规 6 2 2 2 5 4 6" xfId="36312"/>
    <cellStyle name="常规 6 2 2 2 5 5" xfId="36313"/>
    <cellStyle name="常规 6 2 2 2 5 5 2" xfId="36314"/>
    <cellStyle name="常规 6 2 2 2 5 5 2 2" xfId="36315"/>
    <cellStyle name="常规 6 2 2 2 5 5 2 2 2" xfId="36316"/>
    <cellStyle name="常规 6 2 2 2 5 5 2 3" xfId="36317"/>
    <cellStyle name="常规 6 2 2 2 5 5 2 4" xfId="36318"/>
    <cellStyle name="常规 6 2 2 2 5 5 3" xfId="36319"/>
    <cellStyle name="常规 6 2 2 2 5 5 3 2" xfId="36320"/>
    <cellStyle name="常规 6 2 2 2 5 5 4" xfId="36321"/>
    <cellStyle name="常规 6 2 2 2 5 5 5" xfId="36322"/>
    <cellStyle name="常规 6 2 2 2 5 6" xfId="36324"/>
    <cellStyle name="常规 6 2 2 2 5 6 2" xfId="36326"/>
    <cellStyle name="常规 6 2 2 2 5 6 2 2" xfId="36328"/>
    <cellStyle name="常规 6 2 2 2 5 6 3" xfId="36330"/>
    <cellStyle name="常规 6 2 2 2 5 6 4" xfId="36332"/>
    <cellStyle name="常规 6 2 2 2 5 7" xfId="36334"/>
    <cellStyle name="常规 6 2 2 2 5 7 2" xfId="36336"/>
    <cellStyle name="常规 6 2 2 2 5 8" xfId="36338"/>
    <cellStyle name="常规 6 2 2 2 5 9" xfId="36340"/>
    <cellStyle name="常规 6 2 2 2 6" xfId="36341"/>
    <cellStyle name="常规 6 2 2 2 6 2" xfId="36342"/>
    <cellStyle name="常规 6 2 2 2 6 2 2" xfId="36343"/>
    <cellStyle name="常规 6 2 2 2 6 2 2 2" xfId="36344"/>
    <cellStyle name="常规 6 2 2 2 6 2 2 2 2" xfId="36345"/>
    <cellStyle name="常规 6 2 2 2 6 2 2 2 2 2" xfId="36346"/>
    <cellStyle name="常规 6 2 2 2 6 2 2 2 2 2 2" xfId="36347"/>
    <cellStyle name="常规 6 2 2 2 6 2 2 2 2 3" xfId="36348"/>
    <cellStyle name="常规 6 2 2 2 6 2 2 2 2 4" xfId="36349"/>
    <cellStyle name="常规 6 2 2 2 6 2 2 2 3" xfId="36350"/>
    <cellStyle name="常规 6 2 2 2 6 2 2 2 3 2" xfId="36351"/>
    <cellStyle name="常规 6 2 2 2 6 2 2 2 4" xfId="36352"/>
    <cellStyle name="常规 6 2 2 2 6 2 2 2 5" xfId="36353"/>
    <cellStyle name="常规 6 2 2 2 6 2 2 3" xfId="36354"/>
    <cellStyle name="常规 6 2 2 2 6 2 2 3 2" xfId="36355"/>
    <cellStyle name="常规 6 2 2 2 6 2 2 3 2 2" xfId="36356"/>
    <cellStyle name="常规 6 2 2 2 6 2 2 3 3" xfId="36357"/>
    <cellStyle name="常规 6 2 2 2 6 2 2 3 4" xfId="36358"/>
    <cellStyle name="常规 6 2 2 2 6 2 2 4" xfId="27520"/>
    <cellStyle name="常规 6 2 2 2 6 2 2 4 2" xfId="36359"/>
    <cellStyle name="常规 6 2 2 2 6 2 2 5" xfId="36360"/>
    <cellStyle name="常规 6 2 2 2 6 2 2 6" xfId="36361"/>
    <cellStyle name="常规 6 2 2 2 6 2 3" xfId="36362"/>
    <cellStyle name="常规 6 2 2 2 6 2 3 2" xfId="36363"/>
    <cellStyle name="常规 6 2 2 2 6 2 3 2 2" xfId="36364"/>
    <cellStyle name="常规 6 2 2 2 6 2 3 2 2 2" xfId="36365"/>
    <cellStyle name="常规 6 2 2 2 6 2 3 2 3" xfId="36366"/>
    <cellStyle name="常规 6 2 2 2 6 2 3 2 4" xfId="36367"/>
    <cellStyle name="常规 6 2 2 2 6 2 3 3" xfId="36368"/>
    <cellStyle name="常规 6 2 2 2 6 2 3 3 2" xfId="36369"/>
    <cellStyle name="常规 6 2 2 2 6 2 3 4" xfId="36370"/>
    <cellStyle name="常规 6 2 2 2 6 2 3 5" xfId="36371"/>
    <cellStyle name="常规 6 2 2 2 6 2 4" xfId="36372"/>
    <cellStyle name="常规 6 2 2 2 6 2 4 2" xfId="36373"/>
    <cellStyle name="常规 6 2 2 2 6 2 4 2 2" xfId="36374"/>
    <cellStyle name="常规 6 2 2 2 6 2 4 3" xfId="36375"/>
    <cellStyle name="常规 6 2 2 2 6 2 4 4" xfId="9700"/>
    <cellStyle name="常规 6 2 2 2 6 2 5" xfId="36376"/>
    <cellStyle name="常规 6 2 2 2 6 2 5 2" xfId="36377"/>
    <cellStyle name="常规 6 2 2 2 6 2 6" xfId="36378"/>
    <cellStyle name="常规 6 2 2 2 6 2 7" xfId="36379"/>
    <cellStyle name="常规 6 2 2 2 6 3" xfId="36380"/>
    <cellStyle name="常规 6 2 2 2 6 3 2" xfId="36381"/>
    <cellStyle name="常规 6 2 2 2 6 3 2 2" xfId="36382"/>
    <cellStyle name="常规 6 2 2 2 6 3 2 2 2" xfId="36383"/>
    <cellStyle name="常规 6 2 2 2 6 3 2 2 2 2" xfId="36384"/>
    <cellStyle name="常规 6 2 2 2 6 3 2 2 3" xfId="36385"/>
    <cellStyle name="常规 6 2 2 2 6 3 2 2 4" xfId="36386"/>
    <cellStyle name="常规 6 2 2 2 6 3 2 3" xfId="36387"/>
    <cellStyle name="常规 6 2 2 2 6 3 2 3 2" xfId="36388"/>
    <cellStyle name="常规 6 2 2 2 6 3 2 4" xfId="36389"/>
    <cellStyle name="常规 6 2 2 2 6 3 2 5" xfId="36390"/>
    <cellStyle name="常规 6 2 2 2 6 3 3" xfId="36391"/>
    <cellStyle name="常规 6 2 2 2 6 3 3 2" xfId="36392"/>
    <cellStyle name="常规 6 2 2 2 6 3 3 2 2" xfId="36393"/>
    <cellStyle name="常规 6 2 2 2 6 3 3 3" xfId="36394"/>
    <cellStyle name="常规 6 2 2 2 6 3 3 4" xfId="36395"/>
    <cellStyle name="常规 6 2 2 2 6 3 4" xfId="36396"/>
    <cellStyle name="常规 6 2 2 2 6 3 4 2" xfId="36397"/>
    <cellStyle name="常规 6 2 2 2 6 3 5" xfId="36398"/>
    <cellStyle name="常规 6 2 2 2 6 3 6" xfId="36399"/>
    <cellStyle name="常规 6 2 2 2 6 4" xfId="36400"/>
    <cellStyle name="常规 6 2 2 2 6 4 2" xfId="36401"/>
    <cellStyle name="常规 6 2 2 2 6 4 2 2" xfId="36402"/>
    <cellStyle name="常规 6 2 2 2 6 4 2 2 2" xfId="36403"/>
    <cellStyle name="常规 6 2 2 2 6 4 2 3" xfId="36404"/>
    <cellStyle name="常规 6 2 2 2 6 4 2 4" xfId="36405"/>
    <cellStyle name="常规 6 2 2 2 6 4 3" xfId="36406"/>
    <cellStyle name="常规 6 2 2 2 6 4 3 2" xfId="36407"/>
    <cellStyle name="常规 6 2 2 2 6 4 4" xfId="36408"/>
    <cellStyle name="常规 6 2 2 2 6 4 5" xfId="36409"/>
    <cellStyle name="常规 6 2 2 2 6 5" xfId="36410"/>
    <cellStyle name="常规 6 2 2 2 6 5 2" xfId="36411"/>
    <cellStyle name="常规 6 2 2 2 6 5 2 2" xfId="36412"/>
    <cellStyle name="常规 6 2 2 2 6 5 3" xfId="36413"/>
    <cellStyle name="常规 6 2 2 2 6 5 4" xfId="36414"/>
    <cellStyle name="常规 6 2 2 2 6 6" xfId="36416"/>
    <cellStyle name="常规 6 2 2 2 6 6 2" xfId="36418"/>
    <cellStyle name="常规 6 2 2 2 6 7" xfId="36420"/>
    <cellStyle name="常规 6 2 2 2 6 8" xfId="36422"/>
    <cellStyle name="常规 6 2 2 2 7" xfId="36423"/>
    <cellStyle name="常规 6 2 2 2 7 2" xfId="36424"/>
    <cellStyle name="常规 6 2 2 2 7 2 2" xfId="36425"/>
    <cellStyle name="常规 6 2 2 2 7 2 2 2" xfId="36426"/>
    <cellStyle name="常规 6 2 2 2 7 2 2 2 2" xfId="25408"/>
    <cellStyle name="常规 6 2 2 2 7 2 2 2 2 2" xfId="36427"/>
    <cellStyle name="常规 6 2 2 2 7 2 2 2 3" xfId="36428"/>
    <cellStyle name="常规 6 2 2 2 7 2 2 2 4" xfId="36429"/>
    <cellStyle name="常规 6 2 2 2 7 2 2 3" xfId="36430"/>
    <cellStyle name="常规 6 2 2 2 7 2 2 3 2" xfId="36431"/>
    <cellStyle name="常规 6 2 2 2 7 2 2 4" xfId="36432"/>
    <cellStyle name="常规 6 2 2 2 7 2 2 5" xfId="36433"/>
    <cellStyle name="常规 6 2 2 2 7 2 3" xfId="36434"/>
    <cellStyle name="常规 6 2 2 2 7 2 3 2" xfId="36435"/>
    <cellStyle name="常规 6 2 2 2 7 2 3 2 2" xfId="36436"/>
    <cellStyle name="常规 6 2 2 2 7 2 3 3" xfId="36437"/>
    <cellStyle name="常规 6 2 2 2 7 2 3 4" xfId="36438"/>
    <cellStyle name="常规 6 2 2 2 7 2 4" xfId="36439"/>
    <cellStyle name="常规 6 2 2 2 7 2 4 2" xfId="36440"/>
    <cellStyle name="常规 6 2 2 2 7 2 5" xfId="36441"/>
    <cellStyle name="常规 6 2 2 2 7 2 6" xfId="36442"/>
    <cellStyle name="常规 6 2 2 2 7 3" xfId="36443"/>
    <cellStyle name="常规 6 2 2 2 7 3 2" xfId="36444"/>
    <cellStyle name="常规 6 2 2 2 7 3 2 2" xfId="36445"/>
    <cellStyle name="常规 6 2 2 2 7 3 2 2 2" xfId="25686"/>
    <cellStyle name="常规 6 2 2 2 7 3 2 3" xfId="36446"/>
    <cellStyle name="常规 6 2 2 2 7 3 2 4" xfId="36447"/>
    <cellStyle name="常规 6 2 2 2 7 3 3" xfId="36448"/>
    <cellStyle name="常规 6 2 2 2 7 3 3 2" xfId="36449"/>
    <cellStyle name="常规 6 2 2 2 7 3 4" xfId="36450"/>
    <cellStyle name="常规 6 2 2 2 7 3 5" xfId="36451"/>
    <cellStyle name="常规 6 2 2 2 7 4" xfId="36452"/>
    <cellStyle name="常规 6 2 2 2 7 4 2" xfId="36453"/>
    <cellStyle name="常规 6 2 2 2 7 4 2 2" xfId="36454"/>
    <cellStyle name="常规 6 2 2 2 7 4 3" xfId="36455"/>
    <cellStyle name="常规 6 2 2 2 7 4 4" xfId="36456"/>
    <cellStyle name="常规 6 2 2 2 7 5" xfId="36457"/>
    <cellStyle name="常规 6 2 2 2 7 5 2" xfId="36458"/>
    <cellStyle name="常规 6 2 2 2 7 6" xfId="36460"/>
    <cellStyle name="常规 6 2 2 2 7 7" xfId="36462"/>
    <cellStyle name="常规 6 2 2 2 8" xfId="36463"/>
    <cellStyle name="常规 6 2 2 2 8 2" xfId="36464"/>
    <cellStyle name="常规 6 2 2 2 8 2 2" xfId="36465"/>
    <cellStyle name="常规 6 2 2 2 8 2 2 2" xfId="36466"/>
    <cellStyle name="常规 6 2 2 2 8 2 2 2 2" xfId="23122"/>
    <cellStyle name="常规 6 2 2 2 8 2 2 3" xfId="36467"/>
    <cellStyle name="常规 6 2 2 2 8 2 2 4" xfId="36468"/>
    <cellStyle name="常规 6 2 2 2 8 2 3" xfId="36469"/>
    <cellStyle name="常规 6 2 2 2 8 2 3 2" xfId="36470"/>
    <cellStyle name="常规 6 2 2 2 8 2 4" xfId="36471"/>
    <cellStyle name="常规 6 2 2 2 8 2 5" xfId="36472"/>
    <cellStyle name="常规 6 2 2 2 8 3" xfId="36473"/>
    <cellStyle name="常规 6 2 2 2 8 3 2" xfId="36474"/>
    <cellStyle name="常规 6 2 2 2 8 3 2 2" xfId="36475"/>
    <cellStyle name="常规 6 2 2 2 8 3 3" xfId="36476"/>
    <cellStyle name="常规 6 2 2 2 8 3 4" xfId="36477"/>
    <cellStyle name="常规 6 2 2 2 8 4" xfId="36478"/>
    <cellStyle name="常规 6 2 2 2 8 4 2" xfId="36479"/>
    <cellStyle name="常规 6 2 2 2 8 5" xfId="36480"/>
    <cellStyle name="常规 6 2 2 2 8 6" xfId="36482"/>
    <cellStyle name="常规 6 2 2 2 9" xfId="36483"/>
    <cellStyle name="常规 6 2 2 2 9 2" xfId="36484"/>
    <cellStyle name="常规 6 2 2 2 9 2 2" xfId="36485"/>
    <cellStyle name="常规 6 2 2 2 9 2 2 2" xfId="36486"/>
    <cellStyle name="常规 6 2 2 2 9 2 3" xfId="36487"/>
    <cellStyle name="常规 6 2 2 2 9 2 4" xfId="36488"/>
    <cellStyle name="常规 6 2 2 2 9 3" xfId="36489"/>
    <cellStyle name="常规 6 2 2 2 9 3 2" xfId="36490"/>
    <cellStyle name="常规 6 2 2 2 9 4" xfId="36491"/>
    <cellStyle name="常规 6 2 2 2 9 5" xfId="36492"/>
    <cellStyle name="常规 6 2 2 3" xfId="36493"/>
    <cellStyle name="常规 6 2 2 3 10" xfId="36494"/>
    <cellStyle name="常规 6 2 2 3 10 2" xfId="36495"/>
    <cellStyle name="常规 6 2 2 3 11" xfId="36496"/>
    <cellStyle name="常规 6 2 2 3 12" xfId="25643"/>
    <cellStyle name="常规 6 2 2 3 2" xfId="36497"/>
    <cellStyle name="常规 6 2 2 3 2 10" xfId="8141"/>
    <cellStyle name="常规 6 2 2 3 2 11" xfId="8144"/>
    <cellStyle name="常规 6 2 2 3 2 2" xfId="36498"/>
    <cellStyle name="常规 6 2 2 3 2 2 2" xfId="36499"/>
    <cellStyle name="常规 6 2 2 3 2 2 2 2" xfId="36500"/>
    <cellStyle name="常规 6 2 2 3 2 2 2 2 2" xfId="36501"/>
    <cellStyle name="常规 6 2 2 3 2 2 2 2 2 2" xfId="36502"/>
    <cellStyle name="常规 6 2 2 3 2 2 2 2 2 2 2" xfId="36503"/>
    <cellStyle name="常规 6 2 2 3 2 2 2 2 2 2 2 2" xfId="36504"/>
    <cellStyle name="常规 6 2 2 3 2 2 2 2 2 2 2 2 2" xfId="36505"/>
    <cellStyle name="常规 6 2 2 3 2 2 2 2 2 2 2 3" xfId="36506"/>
    <cellStyle name="常规 6 2 2 3 2 2 2 2 2 2 2 4" xfId="36507"/>
    <cellStyle name="常规 6 2 2 3 2 2 2 2 2 2 3" xfId="36508"/>
    <cellStyle name="常规 6 2 2 3 2 2 2 2 2 2 3 2" xfId="36509"/>
    <cellStyle name="常规 6 2 2 3 2 2 2 2 2 2 4" xfId="34878"/>
    <cellStyle name="常规 6 2 2 3 2 2 2 2 2 2 5" xfId="36510"/>
    <cellStyle name="常规 6 2 2 3 2 2 2 2 2 3" xfId="36511"/>
    <cellStyle name="常规 6 2 2 3 2 2 2 2 2 3 2" xfId="36512"/>
    <cellStyle name="常规 6 2 2 3 2 2 2 2 2 3 2 2" xfId="36513"/>
    <cellStyle name="常规 6 2 2 3 2 2 2 2 2 3 3" xfId="36514"/>
    <cellStyle name="常规 6 2 2 3 2 2 2 2 2 3 4" xfId="36515"/>
    <cellStyle name="常规 6 2 2 3 2 2 2 2 2 4" xfId="36516"/>
    <cellStyle name="常规 6 2 2 3 2 2 2 2 2 4 2" xfId="36517"/>
    <cellStyle name="常规 6 2 2 3 2 2 2 2 2 5" xfId="36518"/>
    <cellStyle name="常规 6 2 2 3 2 2 2 2 2 6" xfId="9776"/>
    <cellStyle name="常规 6 2 2 3 2 2 2 2 3" xfId="36519"/>
    <cellStyle name="常规 6 2 2 3 2 2 2 2 3 2" xfId="36520"/>
    <cellStyle name="常规 6 2 2 3 2 2 2 2 3 2 2" xfId="36521"/>
    <cellStyle name="常规 6 2 2 3 2 2 2 2 3 2 2 2" xfId="36522"/>
    <cellStyle name="常规 6 2 2 3 2 2 2 2 3 2 3" xfId="36523"/>
    <cellStyle name="常规 6 2 2 3 2 2 2 2 3 2 4" xfId="36524"/>
    <cellStyle name="常规 6 2 2 3 2 2 2 2 3 3" xfId="36525"/>
    <cellStyle name="常规 6 2 2 3 2 2 2 2 3 3 2" xfId="36526"/>
    <cellStyle name="常规 6 2 2 3 2 2 2 2 3 4" xfId="36527"/>
    <cellStyle name="常规 6 2 2 3 2 2 2 2 3 5" xfId="36528"/>
    <cellStyle name="常规 6 2 2 3 2 2 2 2 4" xfId="36529"/>
    <cellStyle name="常规 6 2 2 3 2 2 2 2 4 2" xfId="36530"/>
    <cellStyle name="常规 6 2 2 3 2 2 2 2 4 2 2" xfId="36531"/>
    <cellStyle name="常规 6 2 2 3 2 2 2 2 4 3" xfId="36532"/>
    <cellStyle name="常规 6 2 2 3 2 2 2 2 4 4" xfId="36533"/>
    <cellStyle name="常规 6 2 2 3 2 2 2 2 5" xfId="36534"/>
    <cellStyle name="常规 6 2 2 3 2 2 2 2 5 2" xfId="15251"/>
    <cellStyle name="常规 6 2 2 3 2 2 2 2 6" xfId="36535"/>
    <cellStyle name="常规 6 2 2 3 2 2 2 2 7" xfId="36536"/>
    <cellStyle name="常规 6 2 2 3 2 2 2 3" xfId="36537"/>
    <cellStyle name="常规 6 2 2 3 2 2 2 3 2" xfId="36538"/>
    <cellStyle name="常规 6 2 2 3 2 2 2 3 2 2" xfId="36539"/>
    <cellStyle name="常规 6 2 2 3 2 2 2 3 2 2 2" xfId="36540"/>
    <cellStyle name="常规 6 2 2 3 2 2 2 3 2 2 2 2" xfId="36541"/>
    <cellStyle name="常规 6 2 2 3 2 2 2 3 2 2 3" xfId="36542"/>
    <cellStyle name="常规 6 2 2 3 2 2 2 3 2 2 4" xfId="36543"/>
    <cellStyle name="常规 6 2 2 3 2 2 2 3 2 3" xfId="36544"/>
    <cellStyle name="常规 6 2 2 3 2 2 2 3 2 3 2" xfId="36545"/>
    <cellStyle name="常规 6 2 2 3 2 2 2 3 2 4" xfId="36546"/>
    <cellStyle name="常规 6 2 2 3 2 2 2 3 2 5" xfId="36547"/>
    <cellStyle name="常规 6 2 2 3 2 2 2 3 3" xfId="36548"/>
    <cellStyle name="常规 6 2 2 3 2 2 2 3 3 2" xfId="36549"/>
    <cellStyle name="常规 6 2 2 3 2 2 2 3 3 2 2" xfId="36550"/>
    <cellStyle name="常规 6 2 2 3 2 2 2 3 3 3" xfId="36551"/>
    <cellStyle name="常规 6 2 2 3 2 2 2 3 3 4" xfId="36552"/>
    <cellStyle name="常规 6 2 2 3 2 2 2 3 4" xfId="36553"/>
    <cellStyle name="常规 6 2 2 3 2 2 2 3 4 2" xfId="36554"/>
    <cellStyle name="常规 6 2 2 3 2 2 2 3 5" xfId="36555"/>
    <cellStyle name="常规 6 2 2 3 2 2 2 3 6" xfId="36556"/>
    <cellStyle name="常规 6 2 2 3 2 2 2 4" xfId="28281"/>
    <cellStyle name="常规 6 2 2 3 2 2 2 4 2" xfId="28284"/>
    <cellStyle name="常规 6 2 2 3 2 2 2 4 2 2" xfId="28287"/>
    <cellStyle name="常规 6 2 2 3 2 2 2 4 2 2 2" xfId="36557"/>
    <cellStyle name="常规 6 2 2 3 2 2 2 4 2 3" xfId="36558"/>
    <cellStyle name="常规 6 2 2 3 2 2 2 4 2 4" xfId="36559"/>
    <cellStyle name="常规 6 2 2 3 2 2 2 4 3" xfId="28289"/>
    <cellStyle name="常规 6 2 2 3 2 2 2 4 3 2" xfId="36560"/>
    <cellStyle name="常规 6 2 2 3 2 2 2 4 4" xfId="8247"/>
    <cellStyle name="常规 6 2 2 3 2 2 2 4 5" xfId="36561"/>
    <cellStyle name="常规 6 2 2 3 2 2 2 5" xfId="28294"/>
    <cellStyle name="常规 6 2 2 3 2 2 2 5 2" xfId="28297"/>
    <cellStyle name="常规 6 2 2 3 2 2 2 5 2 2" xfId="36562"/>
    <cellStyle name="常规 6 2 2 3 2 2 2 5 3" xfId="36563"/>
    <cellStyle name="常规 6 2 2 3 2 2 2 5 4" xfId="36564"/>
    <cellStyle name="常规 6 2 2 3 2 2 2 6" xfId="28300"/>
    <cellStyle name="常规 6 2 2 3 2 2 2 6 2" xfId="36565"/>
    <cellStyle name="常规 6 2 2 3 2 2 2 7" xfId="28303"/>
    <cellStyle name="常规 6 2 2 3 2 2 2 8" xfId="36566"/>
    <cellStyle name="常规 6 2 2 3 2 2 3" xfId="36567"/>
    <cellStyle name="常规 6 2 2 3 2 2 3 2" xfId="36568"/>
    <cellStyle name="常规 6 2 2 3 2 2 3 2 2" xfId="36569"/>
    <cellStyle name="常规 6 2 2 3 2 2 3 2 2 2" xfId="36570"/>
    <cellStyle name="常规 6 2 2 3 2 2 3 2 2 2 2" xfId="36571"/>
    <cellStyle name="常规 6 2 2 3 2 2 3 2 2 2 2 2" xfId="36572"/>
    <cellStyle name="常规 6 2 2 3 2 2 3 2 2 2 3" xfId="36573"/>
    <cellStyle name="常规 6 2 2 3 2 2 3 2 2 2 4" xfId="35000"/>
    <cellStyle name="常规 6 2 2 3 2 2 3 2 2 3" xfId="36574"/>
    <cellStyle name="常规 6 2 2 3 2 2 3 2 2 3 2" xfId="36575"/>
    <cellStyle name="常规 6 2 2 3 2 2 3 2 2 4" xfId="36576"/>
    <cellStyle name="常规 6 2 2 3 2 2 3 2 2 5" xfId="36577"/>
    <cellStyle name="常规 6 2 2 3 2 2 3 2 3" xfId="36578"/>
    <cellStyle name="常规 6 2 2 3 2 2 3 2 3 2" xfId="36579"/>
    <cellStyle name="常规 6 2 2 3 2 2 3 2 3 2 2" xfId="36580"/>
    <cellStyle name="常规 6 2 2 3 2 2 3 2 3 3" xfId="36581"/>
    <cellStyle name="常规 6 2 2 3 2 2 3 2 3 4" xfId="36582"/>
    <cellStyle name="常规 6 2 2 3 2 2 3 2 4" xfId="36583"/>
    <cellStyle name="常规 6 2 2 3 2 2 3 2 4 2" xfId="36584"/>
    <cellStyle name="常规 6 2 2 3 2 2 3 2 5" xfId="36585"/>
    <cellStyle name="常规 6 2 2 3 2 2 3 2 6" xfId="36586"/>
    <cellStyle name="常规 6 2 2 3 2 2 3 3" xfId="36587"/>
    <cellStyle name="常规 6 2 2 3 2 2 3 3 2" xfId="36588"/>
    <cellStyle name="常规 6 2 2 3 2 2 3 3 2 2" xfId="36589"/>
    <cellStyle name="常规 6 2 2 3 2 2 3 3 2 2 2" xfId="36590"/>
    <cellStyle name="常规 6 2 2 3 2 2 3 3 2 3" xfId="36591"/>
    <cellStyle name="常规 6 2 2 3 2 2 3 3 2 4" xfId="10235"/>
    <cellStyle name="常规 6 2 2 3 2 2 3 3 3" xfId="36592"/>
    <cellStyle name="常规 6 2 2 3 2 2 3 3 3 2" xfId="36593"/>
    <cellStyle name="常规 6 2 2 3 2 2 3 3 4" xfId="36594"/>
    <cellStyle name="常规 6 2 2 3 2 2 3 3 5" xfId="36595"/>
    <cellStyle name="常规 6 2 2 3 2 2 3 4" xfId="28308"/>
    <cellStyle name="常规 6 2 2 3 2 2 3 4 2" xfId="28311"/>
    <cellStyle name="常规 6 2 2 3 2 2 3 4 2 2" xfId="36596"/>
    <cellStyle name="常规 6 2 2 3 2 2 3 4 3" xfId="36597"/>
    <cellStyle name="常规 6 2 2 3 2 2 3 4 4" xfId="36598"/>
    <cellStyle name="常规 6 2 2 3 2 2 3 5" xfId="28314"/>
    <cellStyle name="常规 6 2 2 3 2 2 3 5 2" xfId="36599"/>
    <cellStyle name="常规 6 2 2 3 2 2 3 6" xfId="8042"/>
    <cellStyle name="常规 6 2 2 3 2 2 3 7" xfId="36600"/>
    <cellStyle name="常规 6 2 2 3 2 2 4" xfId="36601"/>
    <cellStyle name="常规 6 2 2 3 2 2 4 2" xfId="36602"/>
    <cellStyle name="常规 6 2 2 3 2 2 4 2 2" xfId="36603"/>
    <cellStyle name="常规 6 2 2 3 2 2 4 2 2 2" xfId="36604"/>
    <cellStyle name="常规 6 2 2 3 2 2 4 2 2 2 2" xfId="36605"/>
    <cellStyle name="常规 6 2 2 3 2 2 4 2 2 3" xfId="36606"/>
    <cellStyle name="常规 6 2 2 3 2 2 4 2 2 4" xfId="36607"/>
    <cellStyle name="常规 6 2 2 3 2 2 4 2 3" xfId="36608"/>
    <cellStyle name="常规 6 2 2 3 2 2 4 2 3 2" xfId="36610"/>
    <cellStyle name="常规 6 2 2 3 2 2 4 2 4" xfId="36611"/>
    <cellStyle name="常规 6 2 2 3 2 2 4 2 5" xfId="36612"/>
    <cellStyle name="常规 6 2 2 3 2 2 4 3" xfId="36613"/>
    <cellStyle name="常规 6 2 2 3 2 2 4 3 2" xfId="36614"/>
    <cellStyle name="常规 6 2 2 3 2 2 4 3 2 2" xfId="36615"/>
    <cellStyle name="常规 6 2 2 3 2 2 4 3 3" xfId="36616"/>
    <cellStyle name="常规 6 2 2 3 2 2 4 3 4" xfId="36617"/>
    <cellStyle name="常规 6 2 2 3 2 2 4 4" xfId="8962"/>
    <cellStyle name="常规 6 2 2 3 2 2 4 4 2" xfId="36618"/>
    <cellStyle name="常规 6 2 2 3 2 2 4 5" xfId="36619"/>
    <cellStyle name="常规 6 2 2 3 2 2 4 6" xfId="36620"/>
    <cellStyle name="常规 6 2 2 3 2 2 5" xfId="36622"/>
    <cellStyle name="常规 6 2 2 3 2 2 5 2" xfId="36624"/>
    <cellStyle name="常规 6 2 2 3 2 2 5 2 2" xfId="36625"/>
    <cellStyle name="常规 6 2 2 3 2 2 5 2 2 2" xfId="36626"/>
    <cellStyle name="常规 6 2 2 3 2 2 5 2 3" xfId="36627"/>
    <cellStyle name="常规 6 2 2 3 2 2 5 2 4" xfId="36628"/>
    <cellStyle name="常规 6 2 2 3 2 2 5 3" xfId="36629"/>
    <cellStyle name="常规 6 2 2 3 2 2 5 3 2" xfId="36630"/>
    <cellStyle name="常规 6 2 2 3 2 2 5 4" xfId="36631"/>
    <cellStyle name="常规 6 2 2 3 2 2 5 5" xfId="36632"/>
    <cellStyle name="常规 6 2 2 3 2 2 6" xfId="36634"/>
    <cellStyle name="常规 6 2 2 3 2 2 6 2" xfId="12963"/>
    <cellStyle name="常规 6 2 2 3 2 2 6 2 2" xfId="36635"/>
    <cellStyle name="常规 6 2 2 3 2 2 6 3" xfId="12965"/>
    <cellStyle name="常规 6 2 2 3 2 2 6 4" xfId="36636"/>
    <cellStyle name="常规 6 2 2 3 2 2 7" xfId="36638"/>
    <cellStyle name="常规 6 2 2 3 2 2 7 2" xfId="12992"/>
    <cellStyle name="常规 6 2 2 3 2 2 8" xfId="36640"/>
    <cellStyle name="常规 6 2 2 3 2 2 9" xfId="36642"/>
    <cellStyle name="常规 6 2 2 3 2 3" xfId="36643"/>
    <cellStyle name="常规 6 2 2 3 2 3 2" xfId="36644"/>
    <cellStyle name="常规 6 2 2 3 2 3 2 2" xfId="36645"/>
    <cellStyle name="常规 6 2 2 3 2 3 2 2 2" xfId="36646"/>
    <cellStyle name="常规 6 2 2 3 2 3 2 2 2 2" xfId="36647"/>
    <cellStyle name="常规 6 2 2 3 2 3 2 2 2 2 2" xfId="36648"/>
    <cellStyle name="常规 6 2 2 3 2 3 2 2 2 2 2 2" xfId="36649"/>
    <cellStyle name="常规 6 2 2 3 2 3 2 2 2 2 2 2 2" xfId="36650"/>
    <cellStyle name="常规 6 2 2 3 2 3 2 2 2 2 2 3" xfId="36651"/>
    <cellStyle name="常规 6 2 2 3 2 3 2 2 2 2 2 4" xfId="36652"/>
    <cellStyle name="常规 6 2 2 3 2 3 2 2 2 2 3" xfId="36653"/>
    <cellStyle name="常规 6 2 2 3 2 3 2 2 2 2 3 2" xfId="36654"/>
    <cellStyle name="常规 6 2 2 3 2 3 2 2 2 2 4" xfId="36655"/>
    <cellStyle name="常规 6 2 2 3 2 3 2 2 2 2 5" xfId="36656"/>
    <cellStyle name="常规 6 2 2 3 2 3 2 2 2 3" xfId="36657"/>
    <cellStyle name="常规 6 2 2 3 2 3 2 2 2 3 2" xfId="36658"/>
    <cellStyle name="常规 6 2 2 3 2 3 2 2 2 3 2 2" xfId="36659"/>
    <cellStyle name="常规 6 2 2 3 2 3 2 2 2 3 3" xfId="36660"/>
    <cellStyle name="常规 6 2 2 3 2 3 2 2 2 3 4" xfId="6823"/>
    <cellStyle name="常规 6 2 2 3 2 3 2 2 2 4" xfId="36661"/>
    <cellStyle name="常规 6 2 2 3 2 3 2 2 2 4 2" xfId="36662"/>
    <cellStyle name="常规 6 2 2 3 2 3 2 2 2 5" xfId="36663"/>
    <cellStyle name="常规 6 2 2 3 2 3 2 2 2 6" xfId="36664"/>
    <cellStyle name="常规 6 2 2 3 2 3 2 2 3" xfId="36665"/>
    <cellStyle name="常规 6 2 2 3 2 3 2 2 3 2" xfId="36666"/>
    <cellStyle name="常规 6 2 2 3 2 3 2 2 3 2 2" xfId="36667"/>
    <cellStyle name="常规 6 2 2 3 2 3 2 2 3 2 2 2" xfId="36668"/>
    <cellStyle name="常规 6 2 2 3 2 3 2 2 3 2 3" xfId="36669"/>
    <cellStyle name="常规 6 2 2 3 2 3 2 2 3 2 4" xfId="36670"/>
    <cellStyle name="常规 6 2 2 3 2 3 2 2 3 3" xfId="36671"/>
    <cellStyle name="常规 6 2 2 3 2 3 2 2 3 3 2" xfId="36672"/>
    <cellStyle name="常规 6 2 2 3 2 3 2 2 3 4" xfId="36673"/>
    <cellStyle name="常规 6 2 2 3 2 3 2 2 3 5" xfId="36674"/>
    <cellStyle name="常规 6 2 2 3 2 3 2 2 4" xfId="36675"/>
    <cellStyle name="常规 6 2 2 3 2 3 2 2 4 2" xfId="36676"/>
    <cellStyle name="常规 6 2 2 3 2 3 2 2 4 2 2" xfId="36677"/>
    <cellStyle name="常规 6 2 2 3 2 3 2 2 4 3" xfId="36678"/>
    <cellStyle name="常规 6 2 2 3 2 3 2 2 4 4" xfId="36679"/>
    <cellStyle name="常规 6 2 2 3 2 3 2 2 5" xfId="14876"/>
    <cellStyle name="常规 6 2 2 3 2 3 2 2 5 2" xfId="15367"/>
    <cellStyle name="常规 6 2 2 3 2 3 2 2 6" xfId="14880"/>
    <cellStyle name="常规 6 2 2 3 2 3 2 2 7" xfId="32858"/>
    <cellStyle name="常规 6 2 2 3 2 3 2 3" xfId="36680"/>
    <cellStyle name="常规 6 2 2 3 2 3 2 3 2" xfId="36681"/>
    <cellStyle name="常规 6 2 2 3 2 3 2 3 2 2" xfId="36682"/>
    <cellStyle name="常规 6 2 2 3 2 3 2 3 2 2 2" xfId="36683"/>
    <cellStyle name="常规 6 2 2 3 2 3 2 3 2 2 2 2" xfId="36684"/>
    <cellStyle name="常规 6 2 2 3 2 3 2 3 2 2 3" xfId="36685"/>
    <cellStyle name="常规 6 2 2 3 2 3 2 3 2 2 4" xfId="36686"/>
    <cellStyle name="常规 6 2 2 3 2 3 2 3 2 3" xfId="36687"/>
    <cellStyle name="常规 6 2 2 3 2 3 2 3 2 3 2" xfId="36688"/>
    <cellStyle name="常规 6 2 2 3 2 3 2 3 2 4" xfId="36689"/>
    <cellStyle name="常规 6 2 2 3 2 3 2 3 2 5" xfId="36690"/>
    <cellStyle name="常规 6 2 2 3 2 3 2 3 3" xfId="36691"/>
    <cellStyle name="常规 6 2 2 3 2 3 2 3 3 2" xfId="36692"/>
    <cellStyle name="常规 6 2 2 3 2 3 2 3 3 2 2" xfId="36693"/>
    <cellStyle name="常规 6 2 2 3 2 3 2 3 3 3" xfId="36694"/>
    <cellStyle name="常规 6 2 2 3 2 3 2 3 3 4" xfId="36695"/>
    <cellStyle name="常规 6 2 2 3 2 3 2 3 4" xfId="36696"/>
    <cellStyle name="常规 6 2 2 3 2 3 2 3 4 2" xfId="36697"/>
    <cellStyle name="常规 6 2 2 3 2 3 2 3 5" xfId="7243"/>
    <cellStyle name="常规 6 2 2 3 2 3 2 3 6" xfId="36698"/>
    <cellStyle name="常规 6 2 2 3 2 3 2 4" xfId="28319"/>
    <cellStyle name="常规 6 2 2 3 2 3 2 4 2" xfId="28322"/>
    <cellStyle name="常规 6 2 2 3 2 3 2 4 2 2" xfId="25297"/>
    <cellStyle name="常规 6 2 2 3 2 3 2 4 2 2 2" xfId="36699"/>
    <cellStyle name="常规 6 2 2 3 2 3 2 4 2 3" xfId="25300"/>
    <cellStyle name="常规 6 2 2 3 2 3 2 4 2 4" xfId="36700"/>
    <cellStyle name="常规 6 2 2 3 2 3 2 4 3" xfId="36701"/>
    <cellStyle name="常规 6 2 2 3 2 3 2 4 3 2" xfId="36702"/>
    <cellStyle name="常规 6 2 2 3 2 3 2 4 4" xfId="36703"/>
    <cellStyle name="常规 6 2 2 3 2 3 2 4 5" xfId="36704"/>
    <cellStyle name="常规 6 2 2 3 2 3 2 5" xfId="28325"/>
    <cellStyle name="常规 6 2 2 3 2 3 2 5 2" xfId="36705"/>
    <cellStyle name="常规 6 2 2 3 2 3 2 5 2 2" xfId="36706"/>
    <cellStyle name="常规 6 2 2 3 2 3 2 5 3" xfId="36707"/>
    <cellStyle name="常规 6 2 2 3 2 3 2 5 4" xfId="36708"/>
    <cellStyle name="常规 6 2 2 3 2 3 2 6" xfId="28328"/>
    <cellStyle name="常规 6 2 2 3 2 3 2 6 2" xfId="33387"/>
    <cellStyle name="常规 6 2 2 3 2 3 2 7" xfId="36709"/>
    <cellStyle name="常规 6 2 2 3 2 3 2 8" xfId="36710"/>
    <cellStyle name="常规 6 2 2 3 2 3 3" xfId="36711"/>
    <cellStyle name="常规 6 2 2 3 2 3 3 2" xfId="36712"/>
    <cellStyle name="常规 6 2 2 3 2 3 3 2 2" xfId="36713"/>
    <cellStyle name="常规 6 2 2 3 2 3 3 2 2 2" xfId="36714"/>
    <cellStyle name="常规 6 2 2 3 2 3 3 2 2 2 2" xfId="36715"/>
    <cellStyle name="常规 6 2 2 3 2 3 3 2 2 2 2 2" xfId="36716"/>
    <cellStyle name="常规 6 2 2 3 2 3 3 2 2 2 3" xfId="36717"/>
    <cellStyle name="常规 6 2 2 3 2 3 3 2 2 2 4" xfId="36718"/>
    <cellStyle name="常规 6 2 2 3 2 3 3 2 2 3" xfId="36719"/>
    <cellStyle name="常规 6 2 2 3 2 3 3 2 2 3 2" xfId="36720"/>
    <cellStyle name="常规 6 2 2 3 2 3 3 2 2 4" xfId="36721"/>
    <cellStyle name="常规 6 2 2 3 2 3 3 2 2 5" xfId="36722"/>
    <cellStyle name="常规 6 2 2 3 2 3 3 2 3" xfId="36723"/>
    <cellStyle name="常规 6 2 2 3 2 3 3 2 3 2" xfId="36724"/>
    <cellStyle name="常规 6 2 2 3 2 3 3 2 3 2 2" xfId="36725"/>
    <cellStyle name="常规 6 2 2 3 2 3 3 2 3 3" xfId="36726"/>
    <cellStyle name="常规 6 2 2 3 2 3 3 2 3 4" xfId="36727"/>
    <cellStyle name="常规 6 2 2 3 2 3 3 2 4" xfId="36728"/>
    <cellStyle name="常规 6 2 2 3 2 3 3 2 4 2" xfId="36729"/>
    <cellStyle name="常规 6 2 2 3 2 3 3 2 5" xfId="12608"/>
    <cellStyle name="常规 6 2 2 3 2 3 3 2 6" xfId="36730"/>
    <cellStyle name="常规 6 2 2 3 2 3 3 3" xfId="36731"/>
    <cellStyle name="常规 6 2 2 3 2 3 3 3 2" xfId="36732"/>
    <cellStyle name="常规 6 2 2 3 2 3 3 3 2 2" xfId="36733"/>
    <cellStyle name="常规 6 2 2 3 2 3 3 3 2 2 2" xfId="36734"/>
    <cellStyle name="常规 6 2 2 3 2 3 3 3 2 3" xfId="36735"/>
    <cellStyle name="常规 6 2 2 3 2 3 3 3 2 4" xfId="36736"/>
    <cellStyle name="常规 6 2 2 3 2 3 3 3 3" xfId="36737"/>
    <cellStyle name="常规 6 2 2 3 2 3 3 3 3 2" xfId="36738"/>
    <cellStyle name="常规 6 2 2 3 2 3 3 3 4" xfId="36739"/>
    <cellStyle name="常规 6 2 2 3 2 3 3 3 5" xfId="36740"/>
    <cellStyle name="常规 6 2 2 3 2 3 3 4" xfId="28333"/>
    <cellStyle name="常规 6 2 2 3 2 3 3 4 2" xfId="36741"/>
    <cellStyle name="常规 6 2 2 3 2 3 3 4 2 2" xfId="36742"/>
    <cellStyle name="常规 6 2 2 3 2 3 3 4 3" xfId="36743"/>
    <cellStyle name="常规 6 2 2 3 2 3 3 4 4" xfId="36744"/>
    <cellStyle name="常规 6 2 2 3 2 3 3 5" xfId="36745"/>
    <cellStyle name="常规 6 2 2 3 2 3 3 5 2" xfId="36746"/>
    <cellStyle name="常规 6 2 2 3 2 3 3 6" xfId="36747"/>
    <cellStyle name="常规 6 2 2 3 2 3 3 7" xfId="36748"/>
    <cellStyle name="常规 6 2 2 3 2 3 4" xfId="36749"/>
    <cellStyle name="常规 6 2 2 3 2 3 4 2" xfId="36750"/>
    <cellStyle name="常规 6 2 2 3 2 3 4 2 2" xfId="36751"/>
    <cellStyle name="常规 6 2 2 3 2 3 4 2 2 2" xfId="36752"/>
    <cellStyle name="常规 6 2 2 3 2 3 4 2 2 2 2" xfId="36753"/>
    <cellStyle name="常规 6 2 2 3 2 3 4 2 2 3" xfId="36754"/>
    <cellStyle name="常规 6 2 2 3 2 3 4 2 2 4" xfId="36755"/>
    <cellStyle name="常规 6 2 2 3 2 3 4 2 3" xfId="36756"/>
    <cellStyle name="常规 6 2 2 3 2 3 4 2 3 2" xfId="36758"/>
    <cellStyle name="常规 6 2 2 3 2 3 4 2 4" xfId="36759"/>
    <cellStyle name="常规 6 2 2 3 2 3 4 2 5" xfId="36760"/>
    <cellStyle name="常规 6 2 2 3 2 3 4 3" xfId="36761"/>
    <cellStyle name="常规 6 2 2 3 2 3 4 3 2" xfId="36762"/>
    <cellStyle name="常规 6 2 2 3 2 3 4 3 2 2" xfId="36763"/>
    <cellStyle name="常规 6 2 2 3 2 3 4 3 3" xfId="36764"/>
    <cellStyle name="常规 6 2 2 3 2 3 4 3 4" xfId="36765"/>
    <cellStyle name="常规 6 2 2 3 2 3 4 4" xfId="36766"/>
    <cellStyle name="常规 6 2 2 3 2 3 4 4 2" xfId="36767"/>
    <cellStyle name="常规 6 2 2 3 2 3 4 5" xfId="36768"/>
    <cellStyle name="常规 6 2 2 3 2 3 4 6" xfId="36769"/>
    <cellStyle name="常规 6 2 2 3 2 3 5" xfId="36771"/>
    <cellStyle name="常规 6 2 2 3 2 3 5 2" xfId="36772"/>
    <cellStyle name="常规 6 2 2 3 2 3 5 2 2" xfId="36773"/>
    <cellStyle name="常规 6 2 2 3 2 3 5 2 2 2" xfId="36774"/>
    <cellStyle name="常规 6 2 2 3 2 3 5 2 3" xfId="36775"/>
    <cellStyle name="常规 6 2 2 3 2 3 5 2 4" xfId="36776"/>
    <cellStyle name="常规 6 2 2 3 2 3 5 3" xfId="36777"/>
    <cellStyle name="常规 6 2 2 3 2 3 5 3 2" xfId="36778"/>
    <cellStyle name="常规 6 2 2 3 2 3 5 4" xfId="36779"/>
    <cellStyle name="常规 6 2 2 3 2 3 5 5" xfId="36780"/>
    <cellStyle name="常规 6 2 2 3 2 3 6" xfId="36781"/>
    <cellStyle name="常规 6 2 2 3 2 3 6 2" xfId="456"/>
    <cellStyle name="常规 6 2 2 3 2 3 6 2 2" xfId="36782"/>
    <cellStyle name="常规 6 2 2 3 2 3 6 3" xfId="36783"/>
    <cellStyle name="常规 6 2 2 3 2 3 6 4" xfId="36784"/>
    <cellStyle name="常规 6 2 2 3 2 3 7" xfId="36785"/>
    <cellStyle name="常规 6 2 2 3 2 3 7 2" xfId="527"/>
    <cellStyle name="常规 6 2 2 3 2 3 8" xfId="36787"/>
    <cellStyle name="常规 6 2 2 3 2 3 9" xfId="36789"/>
    <cellStyle name="常规 6 2 2 3 2 4" xfId="36790"/>
    <cellStyle name="常规 6 2 2 3 2 4 2" xfId="36791"/>
    <cellStyle name="常规 6 2 2 3 2 4 2 2" xfId="36792"/>
    <cellStyle name="常规 6 2 2 3 2 4 2 2 2" xfId="36793"/>
    <cellStyle name="常规 6 2 2 3 2 4 2 2 2 2" xfId="36794"/>
    <cellStyle name="常规 6 2 2 3 2 4 2 2 2 2 2" xfId="36795"/>
    <cellStyle name="常规 6 2 2 3 2 4 2 2 2 2 2 2" xfId="36796"/>
    <cellStyle name="常规 6 2 2 3 2 4 2 2 2 2 3" xfId="36797"/>
    <cellStyle name="常规 6 2 2 3 2 4 2 2 2 2 4" xfId="36798"/>
    <cellStyle name="常规 6 2 2 3 2 4 2 2 2 3" xfId="36799"/>
    <cellStyle name="常规 6 2 2 3 2 4 2 2 2 3 2" xfId="36800"/>
    <cellStyle name="常规 6 2 2 3 2 4 2 2 2 4" xfId="36801"/>
    <cellStyle name="常规 6 2 2 3 2 4 2 2 2 5" xfId="36802"/>
    <cellStyle name="常规 6 2 2 3 2 4 2 2 3" xfId="36803"/>
    <cellStyle name="常规 6 2 2 3 2 4 2 2 3 2" xfId="36804"/>
    <cellStyle name="常规 6 2 2 3 2 4 2 2 3 2 2" xfId="36805"/>
    <cellStyle name="常规 6 2 2 3 2 4 2 2 3 3" xfId="36806"/>
    <cellStyle name="常规 6 2 2 3 2 4 2 2 3 4" xfId="36807"/>
    <cellStyle name="常规 6 2 2 3 2 4 2 2 4" xfId="36808"/>
    <cellStyle name="常规 6 2 2 3 2 4 2 2 4 2" xfId="36809"/>
    <cellStyle name="常规 6 2 2 3 2 4 2 2 5" xfId="14959"/>
    <cellStyle name="常规 6 2 2 3 2 4 2 2 6" xfId="36810"/>
    <cellStyle name="常规 6 2 2 3 2 4 2 3" xfId="36811"/>
    <cellStyle name="常规 6 2 2 3 2 4 2 3 2" xfId="36812"/>
    <cellStyle name="常规 6 2 2 3 2 4 2 3 2 2" xfId="36813"/>
    <cellStyle name="常规 6 2 2 3 2 4 2 3 2 2 2" xfId="36814"/>
    <cellStyle name="常规 6 2 2 3 2 4 2 3 2 3" xfId="36815"/>
    <cellStyle name="常规 6 2 2 3 2 4 2 3 2 4" xfId="36816"/>
    <cellStyle name="常规 6 2 2 3 2 4 2 3 3" xfId="36817"/>
    <cellStyle name="常规 6 2 2 3 2 4 2 3 3 2" xfId="36818"/>
    <cellStyle name="常规 6 2 2 3 2 4 2 3 4" xfId="36819"/>
    <cellStyle name="常规 6 2 2 3 2 4 2 3 5" xfId="36820"/>
    <cellStyle name="常规 6 2 2 3 2 4 2 4" xfId="28340"/>
    <cellStyle name="常规 6 2 2 3 2 4 2 4 2" xfId="36821"/>
    <cellStyle name="常规 6 2 2 3 2 4 2 4 2 2" xfId="36822"/>
    <cellStyle name="常规 6 2 2 3 2 4 2 4 3" xfId="36823"/>
    <cellStyle name="常规 6 2 2 3 2 4 2 4 4" xfId="36824"/>
    <cellStyle name="常规 6 2 2 3 2 4 2 5" xfId="36825"/>
    <cellStyle name="常规 6 2 2 3 2 4 2 5 2" xfId="36826"/>
    <cellStyle name="常规 6 2 2 3 2 4 2 6" xfId="36827"/>
    <cellStyle name="常规 6 2 2 3 2 4 2 7" xfId="36828"/>
    <cellStyle name="常规 6 2 2 3 2 4 3" xfId="36829"/>
    <cellStyle name="常规 6 2 2 3 2 4 3 2" xfId="36830"/>
    <cellStyle name="常规 6 2 2 3 2 4 3 2 2" xfId="36831"/>
    <cellStyle name="常规 6 2 2 3 2 4 3 2 2 2" xfId="36832"/>
    <cellStyle name="常规 6 2 2 3 2 4 3 2 2 2 2" xfId="36833"/>
    <cellStyle name="常规 6 2 2 3 2 4 3 2 2 3" xfId="36834"/>
    <cellStyle name="常规 6 2 2 3 2 4 3 2 2 4" xfId="36835"/>
    <cellStyle name="常规 6 2 2 3 2 4 3 2 3" xfId="36836"/>
    <cellStyle name="常规 6 2 2 3 2 4 3 2 3 2" xfId="36837"/>
    <cellStyle name="常规 6 2 2 3 2 4 3 2 4" xfId="36838"/>
    <cellStyle name="常规 6 2 2 3 2 4 3 2 5" xfId="36839"/>
    <cellStyle name="常规 6 2 2 3 2 4 3 3" xfId="36840"/>
    <cellStyle name="常规 6 2 2 3 2 4 3 3 2" xfId="36841"/>
    <cellStyle name="常规 6 2 2 3 2 4 3 3 2 2" xfId="36842"/>
    <cellStyle name="常规 6 2 2 3 2 4 3 3 3" xfId="36843"/>
    <cellStyle name="常规 6 2 2 3 2 4 3 3 4" xfId="36844"/>
    <cellStyle name="常规 6 2 2 3 2 4 3 4" xfId="14277"/>
    <cellStyle name="常规 6 2 2 3 2 4 3 4 2" xfId="14281"/>
    <cellStyle name="常规 6 2 2 3 2 4 3 5" xfId="14283"/>
    <cellStyle name="常规 6 2 2 3 2 4 3 6" xfId="14285"/>
    <cellStyle name="常规 6 2 2 3 2 4 4" xfId="36845"/>
    <cellStyle name="常规 6 2 2 3 2 4 4 2" xfId="36846"/>
    <cellStyle name="常规 6 2 2 3 2 4 4 2 2" xfId="36847"/>
    <cellStyle name="常规 6 2 2 3 2 4 4 2 2 2" xfId="36848"/>
    <cellStyle name="常规 6 2 2 3 2 4 4 2 3" xfId="36849"/>
    <cellStyle name="常规 6 2 2 3 2 4 4 2 4" xfId="36850"/>
    <cellStyle name="常规 6 2 2 3 2 4 4 3" xfId="36851"/>
    <cellStyle name="常规 6 2 2 3 2 4 4 3 2" xfId="36852"/>
    <cellStyle name="常规 6 2 2 3 2 4 4 4" xfId="9022"/>
    <cellStyle name="常规 6 2 2 3 2 4 4 5" xfId="36853"/>
    <cellStyle name="常规 6 2 2 3 2 4 5" xfId="36854"/>
    <cellStyle name="常规 6 2 2 3 2 4 5 2" xfId="36855"/>
    <cellStyle name="常规 6 2 2 3 2 4 5 2 2" xfId="36856"/>
    <cellStyle name="常规 6 2 2 3 2 4 5 3" xfId="36857"/>
    <cellStyle name="常规 6 2 2 3 2 4 5 4" xfId="36858"/>
    <cellStyle name="常规 6 2 2 3 2 4 6" xfId="36859"/>
    <cellStyle name="常规 6 2 2 3 2 4 6 2" xfId="36860"/>
    <cellStyle name="常规 6 2 2 3 2 4 7" xfId="36861"/>
    <cellStyle name="常规 6 2 2 3 2 4 8" xfId="30475"/>
    <cellStyle name="常规 6 2 2 3 2 5" xfId="36862"/>
    <cellStyle name="常规 6 2 2 3 2 5 2" xfId="36863"/>
    <cellStyle name="常规 6 2 2 3 2 5 2 2" xfId="36864"/>
    <cellStyle name="常规 6 2 2 3 2 5 2 2 2" xfId="36865"/>
    <cellStyle name="常规 6 2 2 3 2 5 2 2 2 2" xfId="36866"/>
    <cellStyle name="常规 6 2 2 3 2 5 2 2 2 2 2" xfId="36867"/>
    <cellStyle name="常规 6 2 2 3 2 5 2 2 2 3" xfId="36868"/>
    <cellStyle name="常规 6 2 2 3 2 5 2 2 2 4" xfId="36869"/>
    <cellStyle name="常规 6 2 2 3 2 5 2 2 3" xfId="36870"/>
    <cellStyle name="常规 6 2 2 3 2 5 2 2 3 2" xfId="13362"/>
    <cellStyle name="常规 6 2 2 3 2 5 2 2 4" xfId="36871"/>
    <cellStyle name="常规 6 2 2 3 2 5 2 2 5" xfId="36872"/>
    <cellStyle name="常规 6 2 2 3 2 5 2 3" xfId="36873"/>
    <cellStyle name="常规 6 2 2 3 2 5 2 3 2" xfId="36874"/>
    <cellStyle name="常规 6 2 2 3 2 5 2 3 2 2" xfId="36875"/>
    <cellStyle name="常规 6 2 2 3 2 5 2 3 3" xfId="36876"/>
    <cellStyle name="常规 6 2 2 3 2 5 2 3 4" xfId="36877"/>
    <cellStyle name="常规 6 2 2 3 2 5 2 4" xfId="36878"/>
    <cellStyle name="常规 6 2 2 3 2 5 2 4 2" xfId="36879"/>
    <cellStyle name="常规 6 2 2 3 2 5 2 5" xfId="36880"/>
    <cellStyle name="常规 6 2 2 3 2 5 2 6" xfId="36881"/>
    <cellStyle name="常规 6 2 2 3 2 5 3" xfId="36882"/>
    <cellStyle name="常规 6 2 2 3 2 5 3 2" xfId="36883"/>
    <cellStyle name="常规 6 2 2 3 2 5 3 2 2" xfId="36884"/>
    <cellStyle name="常规 6 2 2 3 2 5 3 2 2 2" xfId="36885"/>
    <cellStyle name="常规 6 2 2 3 2 5 3 2 3" xfId="36886"/>
    <cellStyle name="常规 6 2 2 3 2 5 3 2 4" xfId="36887"/>
    <cellStyle name="常规 6 2 2 3 2 5 3 3" xfId="36888"/>
    <cellStyle name="常规 6 2 2 3 2 5 3 3 2" xfId="36889"/>
    <cellStyle name="常规 6 2 2 3 2 5 3 4" xfId="14288"/>
    <cellStyle name="常规 6 2 2 3 2 5 3 5" xfId="36890"/>
    <cellStyle name="常规 6 2 2 3 2 5 4" xfId="36891"/>
    <cellStyle name="常规 6 2 2 3 2 5 4 2" xfId="36892"/>
    <cellStyle name="常规 6 2 2 3 2 5 4 2 2" xfId="36893"/>
    <cellStyle name="常规 6 2 2 3 2 5 4 3" xfId="36894"/>
    <cellStyle name="常规 6 2 2 3 2 5 4 4" xfId="36895"/>
    <cellStyle name="常规 6 2 2 3 2 5 5" xfId="36896"/>
    <cellStyle name="常规 6 2 2 3 2 5 5 2" xfId="36897"/>
    <cellStyle name="常规 6 2 2 3 2 5 6" xfId="36899"/>
    <cellStyle name="常规 6 2 2 3 2 5 7" xfId="36900"/>
    <cellStyle name="常规 6 2 2 3 2 6" xfId="36901"/>
    <cellStyle name="常规 6 2 2 3 2 6 2" xfId="36902"/>
    <cellStyle name="常规 6 2 2 3 2 6 2 2" xfId="36903"/>
    <cellStyle name="常规 6 2 2 3 2 6 2 2 2" xfId="36904"/>
    <cellStyle name="常规 6 2 2 3 2 6 2 2 2 2" xfId="36905"/>
    <cellStyle name="常规 6 2 2 3 2 6 2 2 3" xfId="36906"/>
    <cellStyle name="常规 6 2 2 3 2 6 2 2 4" xfId="36907"/>
    <cellStyle name="常规 6 2 2 3 2 6 2 3" xfId="36908"/>
    <cellStyle name="常规 6 2 2 3 2 6 2 3 2" xfId="36909"/>
    <cellStyle name="常规 6 2 2 3 2 6 2 4" xfId="36910"/>
    <cellStyle name="常规 6 2 2 3 2 6 2 5" xfId="36911"/>
    <cellStyle name="常规 6 2 2 3 2 6 3" xfId="36912"/>
    <cellStyle name="常规 6 2 2 3 2 6 3 2" xfId="36913"/>
    <cellStyle name="常规 6 2 2 3 2 6 3 2 2" xfId="36914"/>
    <cellStyle name="常规 6 2 2 3 2 6 3 3" xfId="36915"/>
    <cellStyle name="常规 6 2 2 3 2 6 3 4" xfId="36916"/>
    <cellStyle name="常规 6 2 2 3 2 6 4" xfId="36917"/>
    <cellStyle name="常规 6 2 2 3 2 6 4 2" xfId="36918"/>
    <cellStyle name="常规 6 2 2 3 2 6 5" xfId="36919"/>
    <cellStyle name="常规 6 2 2 3 2 6 6" xfId="36920"/>
    <cellStyle name="常规 6 2 2 3 2 7" xfId="36921"/>
    <cellStyle name="常规 6 2 2 3 2 7 2" xfId="36922"/>
    <cellStyle name="常规 6 2 2 3 2 7 2 2" xfId="36923"/>
    <cellStyle name="常规 6 2 2 3 2 7 2 2 2" xfId="11912"/>
    <cellStyle name="常规 6 2 2 3 2 7 2 3" xfId="36924"/>
    <cellStyle name="常规 6 2 2 3 2 7 2 4" xfId="36925"/>
    <cellStyle name="常规 6 2 2 3 2 7 3" xfId="36926"/>
    <cellStyle name="常规 6 2 2 3 2 7 3 2" xfId="36927"/>
    <cellStyle name="常规 6 2 2 3 2 7 4" xfId="36928"/>
    <cellStyle name="常规 6 2 2 3 2 7 5" xfId="36929"/>
    <cellStyle name="常规 6 2 2 3 2 8" xfId="36930"/>
    <cellStyle name="常规 6 2 2 3 2 8 2" xfId="36931"/>
    <cellStyle name="常规 6 2 2 3 2 8 2 2" xfId="36932"/>
    <cellStyle name="常规 6 2 2 3 2 8 3" xfId="36933"/>
    <cellStyle name="常规 6 2 2 3 2 8 4" xfId="36934"/>
    <cellStyle name="常规 6 2 2 3 2 9" xfId="36935"/>
    <cellStyle name="常规 6 2 2 3 2 9 2" xfId="36936"/>
    <cellStyle name="常规 6 2 2 3 3" xfId="36937"/>
    <cellStyle name="常规 6 2 2 3 3 2" xfId="10988"/>
    <cellStyle name="常规 6 2 2 3 3 2 2" xfId="10995"/>
    <cellStyle name="常规 6 2 2 3 3 2 2 2" xfId="10997"/>
    <cellStyle name="常规 6 2 2 3 3 2 2 2 2" xfId="10999"/>
    <cellStyle name="常规 6 2 2 3 3 2 2 2 2 2" xfId="11001"/>
    <cellStyle name="常规 6 2 2 3 3 2 2 2 2 2 2" xfId="11003"/>
    <cellStyle name="常规 6 2 2 3 3 2 2 2 2 2 2 2" xfId="11006"/>
    <cellStyle name="常规 6 2 2 3 3 2 2 2 2 2 3" xfId="11008"/>
    <cellStyle name="常规 6 2 2 3 3 2 2 2 2 2 4" xfId="11010"/>
    <cellStyle name="常规 6 2 2 3 3 2 2 2 2 3" xfId="11012"/>
    <cellStyle name="常规 6 2 2 3 3 2 2 2 2 3 2" xfId="11014"/>
    <cellStyle name="常规 6 2 2 3 3 2 2 2 2 4" xfId="11016"/>
    <cellStyle name="常规 6 2 2 3 3 2 2 2 2 5" xfId="11018"/>
    <cellStyle name="常规 6 2 2 3 3 2 2 2 3" xfId="11020"/>
    <cellStyle name="常规 6 2 2 3 3 2 2 2 3 2" xfId="11022"/>
    <cellStyle name="常规 6 2 2 3 3 2 2 2 3 2 2" xfId="11024"/>
    <cellStyle name="常规 6 2 2 3 3 2 2 2 3 3" xfId="11026"/>
    <cellStyle name="常规 6 2 2 3 3 2 2 2 3 4" xfId="11028"/>
    <cellStyle name="常规 6 2 2 3 3 2 2 2 4" xfId="4066"/>
    <cellStyle name="常规 6 2 2 3 3 2 2 2 4 2" xfId="11031"/>
    <cellStyle name="常规 6 2 2 3 3 2 2 2 5" xfId="11034"/>
    <cellStyle name="常规 6 2 2 3 3 2 2 2 6" xfId="11037"/>
    <cellStyle name="常规 6 2 2 3 3 2 2 3" xfId="11040"/>
    <cellStyle name="常规 6 2 2 3 3 2 2 3 2" xfId="11042"/>
    <cellStyle name="常规 6 2 2 3 3 2 2 3 2 2" xfId="11044"/>
    <cellStyle name="常规 6 2 2 3 3 2 2 3 2 2 2" xfId="11046"/>
    <cellStyle name="常规 6 2 2 3 3 2 2 3 2 3" xfId="11048"/>
    <cellStyle name="常规 6 2 2 3 3 2 2 3 2 4" xfId="11050"/>
    <cellStyle name="常规 6 2 2 3 3 2 2 3 3" xfId="11052"/>
    <cellStyle name="常规 6 2 2 3 3 2 2 3 3 2" xfId="11054"/>
    <cellStyle name="常规 6 2 2 3 3 2 2 3 4" xfId="11057"/>
    <cellStyle name="常规 6 2 2 3 3 2 2 3 5" xfId="11060"/>
    <cellStyle name="常规 6 2 2 3 3 2 2 4" xfId="11063"/>
    <cellStyle name="常规 6 2 2 3 3 2 2 4 2" xfId="11066"/>
    <cellStyle name="常规 6 2 2 3 3 2 2 4 2 2" xfId="11069"/>
    <cellStyle name="常规 6 2 2 3 3 2 2 4 3" xfId="11072"/>
    <cellStyle name="常规 6 2 2 3 3 2 2 4 4" xfId="11075"/>
    <cellStyle name="常规 6 2 2 3 3 2 2 5" xfId="11078"/>
    <cellStyle name="常规 6 2 2 3 3 2 2 5 2" xfId="11082"/>
    <cellStyle name="常规 6 2 2 3 3 2 2 6" xfId="11087"/>
    <cellStyle name="常规 6 2 2 3 3 2 2 7" xfId="11091"/>
    <cellStyle name="常规 6 2 2 3 3 2 3" xfId="11095"/>
    <cellStyle name="常规 6 2 2 3 3 2 3 2" xfId="11099"/>
    <cellStyle name="常规 6 2 2 3 3 2 3 2 2" xfId="11101"/>
    <cellStyle name="常规 6 2 2 3 3 2 3 2 2 2" xfId="11103"/>
    <cellStyle name="常规 6 2 2 3 3 2 3 2 2 2 2" xfId="11105"/>
    <cellStyle name="常规 6 2 2 3 3 2 3 2 2 3" xfId="11107"/>
    <cellStyle name="常规 6 2 2 3 3 2 3 2 2 4" xfId="11109"/>
    <cellStyle name="常规 6 2 2 3 3 2 3 2 3" xfId="11111"/>
    <cellStyle name="常规 6 2 2 3 3 2 3 2 3 2" xfId="11113"/>
    <cellStyle name="常规 6 2 2 3 3 2 3 2 4" xfId="11116"/>
    <cellStyle name="常规 6 2 2 3 3 2 3 2 5" xfId="11118"/>
    <cellStyle name="常规 6 2 2 3 3 2 3 3" xfId="11120"/>
    <cellStyle name="常规 6 2 2 3 3 2 3 3 2" xfId="11122"/>
    <cellStyle name="常规 6 2 2 3 3 2 3 3 2 2" xfId="11124"/>
    <cellStyle name="常规 6 2 2 3 3 2 3 3 3" xfId="11126"/>
    <cellStyle name="常规 6 2 2 3 3 2 3 3 4" xfId="11128"/>
    <cellStyle name="常规 6 2 2 3 3 2 3 4" xfId="11130"/>
    <cellStyle name="常规 6 2 2 3 3 2 3 4 2" xfId="11133"/>
    <cellStyle name="常规 6 2 2 3 3 2 3 5" xfId="11136"/>
    <cellStyle name="常规 6 2 2 3 3 2 3 6" xfId="11140"/>
    <cellStyle name="常规 6 2 2 3 3 2 4" xfId="11144"/>
    <cellStyle name="常规 6 2 2 3 3 2 4 2" xfId="11146"/>
    <cellStyle name="常规 6 2 2 3 3 2 4 2 2" xfId="11148"/>
    <cellStyle name="常规 6 2 2 3 3 2 4 2 2 2" xfId="11151"/>
    <cellStyle name="常规 6 2 2 3 3 2 4 2 3" xfId="11154"/>
    <cellStyle name="常规 6 2 2 3 3 2 4 2 4" xfId="11156"/>
    <cellStyle name="常规 6 2 2 3 3 2 4 3" xfId="11158"/>
    <cellStyle name="常规 6 2 2 3 3 2 4 3 2" xfId="11160"/>
    <cellStyle name="常规 6 2 2 3 3 2 4 4" xfId="2546"/>
    <cellStyle name="常规 6 2 2 3 3 2 4 5" xfId="9053"/>
    <cellStyle name="常规 6 2 2 3 3 2 5" xfId="11163"/>
    <cellStyle name="常规 6 2 2 3 3 2 5 2" xfId="11165"/>
    <cellStyle name="常规 6 2 2 3 3 2 5 2 2" xfId="11167"/>
    <cellStyle name="常规 6 2 2 3 3 2 5 3" xfId="11169"/>
    <cellStyle name="常规 6 2 2 3 3 2 5 4" xfId="9061"/>
    <cellStyle name="常规 6 2 2 3 3 2 6" xfId="11171"/>
    <cellStyle name="常规 6 2 2 3 3 2 6 2" xfId="11173"/>
    <cellStyle name="常规 6 2 2 3 3 2 7" xfId="11176"/>
    <cellStyle name="常规 6 2 2 3 3 2 8" xfId="7949"/>
    <cellStyle name="常规 6 2 2 3 3 3" xfId="6890"/>
    <cellStyle name="常规 6 2 2 3 3 3 2" xfId="11180"/>
    <cellStyle name="常规 6 2 2 3 3 3 2 2" xfId="11183"/>
    <cellStyle name="常规 6 2 2 3 3 3 2 2 2" xfId="11185"/>
    <cellStyle name="常规 6 2 2 3 3 3 2 2 2 2" xfId="11188"/>
    <cellStyle name="常规 6 2 2 3 3 3 2 2 2 2 2" xfId="11190"/>
    <cellStyle name="常规 6 2 2 3 3 3 2 2 2 3" xfId="11192"/>
    <cellStyle name="常规 6 2 2 3 3 3 2 2 2 4" xfId="11194"/>
    <cellStyle name="常规 6 2 2 3 3 3 2 2 3" xfId="11197"/>
    <cellStyle name="常规 6 2 2 3 3 3 2 2 3 2" xfId="11200"/>
    <cellStyle name="常规 6 2 2 3 3 3 2 2 4" xfId="11204"/>
    <cellStyle name="常规 6 2 2 3 3 3 2 2 5" xfId="11206"/>
    <cellStyle name="常规 6 2 2 3 3 3 2 3" xfId="11210"/>
    <cellStyle name="常规 6 2 2 3 3 3 2 3 2" xfId="11212"/>
    <cellStyle name="常规 6 2 2 3 3 3 2 3 2 2" xfId="11214"/>
    <cellStyle name="常规 6 2 2 3 3 3 2 3 3" xfId="11217"/>
    <cellStyle name="常规 6 2 2 3 3 3 2 3 4" xfId="11219"/>
    <cellStyle name="常规 6 2 2 3 3 3 2 4" xfId="11221"/>
    <cellStyle name="常规 6 2 2 3 3 3 2 4 2" xfId="11224"/>
    <cellStyle name="常规 6 2 2 3 3 3 2 5" xfId="11227"/>
    <cellStyle name="常规 6 2 2 3 3 3 2 6" xfId="11231"/>
    <cellStyle name="常规 6 2 2 3 3 3 3" xfId="11234"/>
    <cellStyle name="常规 6 2 2 3 3 3 3 2" xfId="11236"/>
    <cellStyle name="常规 6 2 2 3 3 3 3 2 2" xfId="11238"/>
    <cellStyle name="常规 6 2 2 3 3 3 3 2 2 2" xfId="11240"/>
    <cellStyle name="常规 6 2 2 3 3 3 3 2 3" xfId="11243"/>
    <cellStyle name="常规 6 2 2 3 3 3 3 2 4" xfId="11246"/>
    <cellStyle name="常规 6 2 2 3 3 3 3 3" xfId="11248"/>
    <cellStyle name="常规 6 2 2 3 3 3 3 3 2" xfId="11250"/>
    <cellStyle name="常规 6 2 2 3 3 3 3 4" xfId="11252"/>
    <cellStyle name="常规 6 2 2 3 3 3 3 5" xfId="11255"/>
    <cellStyle name="常规 6 2 2 3 3 3 4" xfId="11257"/>
    <cellStyle name="常规 6 2 2 3 3 3 4 2" xfId="11259"/>
    <cellStyle name="常规 6 2 2 3 3 3 4 2 2" xfId="11261"/>
    <cellStyle name="常规 6 2 2 3 3 3 4 3" xfId="11263"/>
    <cellStyle name="常规 6 2 2 3 3 3 4 4" xfId="9074"/>
    <cellStyle name="常规 6 2 2 3 3 3 5" xfId="11265"/>
    <cellStyle name="常规 6 2 2 3 3 3 5 2" xfId="11267"/>
    <cellStyle name="常规 6 2 2 3 3 3 6" xfId="11269"/>
    <cellStyle name="常规 6 2 2 3 3 3 7" xfId="11271"/>
    <cellStyle name="常规 6 2 2 3 3 4" xfId="11275"/>
    <cellStyle name="常规 6 2 2 3 3 4 2" xfId="11277"/>
    <cellStyle name="常规 6 2 2 3 3 4 2 2" xfId="11280"/>
    <cellStyle name="常规 6 2 2 3 3 4 2 2 2" xfId="11282"/>
    <cellStyle name="常规 6 2 2 3 3 4 2 2 2 2" xfId="11286"/>
    <cellStyle name="常规 6 2 2 3 3 4 2 2 3" xfId="11289"/>
    <cellStyle name="常规 6 2 2 3 3 4 2 2 4" xfId="11291"/>
    <cellStyle name="常规 6 2 2 3 3 4 2 3" xfId="11293"/>
    <cellStyle name="常规 6 2 2 3 3 4 2 3 2" xfId="11296"/>
    <cellStyle name="常规 6 2 2 3 3 4 2 4" xfId="11298"/>
    <cellStyle name="常规 6 2 2 3 3 4 2 5" xfId="11301"/>
    <cellStyle name="常规 6 2 2 3 3 4 3" xfId="11303"/>
    <cellStyle name="常规 6 2 2 3 3 4 3 2" xfId="11305"/>
    <cellStyle name="常规 6 2 2 3 3 4 3 2 2" xfId="11307"/>
    <cellStyle name="常规 6 2 2 3 3 4 3 3" xfId="11309"/>
    <cellStyle name="常规 6 2 2 3 3 4 3 4" xfId="11312"/>
    <cellStyle name="常规 6 2 2 3 3 4 4" xfId="11315"/>
    <cellStyle name="常规 6 2 2 3 3 4 4 2" xfId="11317"/>
    <cellStyle name="常规 6 2 2 3 3 4 5" xfId="11319"/>
    <cellStyle name="常规 6 2 2 3 3 4 6" xfId="11321"/>
    <cellStyle name="常规 6 2 2 3 3 5" xfId="11323"/>
    <cellStyle name="常规 6 2 2 3 3 5 2" xfId="11325"/>
    <cellStyle name="常规 6 2 2 3 3 5 2 2" xfId="11327"/>
    <cellStyle name="常规 6 2 2 3 3 5 2 2 2" xfId="11330"/>
    <cellStyle name="常规 6 2 2 3 3 5 2 3" xfId="11332"/>
    <cellStyle name="常规 6 2 2 3 3 5 2 4" xfId="11334"/>
    <cellStyle name="常规 6 2 2 3 3 5 3" xfId="11336"/>
    <cellStyle name="常规 6 2 2 3 3 5 3 2" xfId="11338"/>
    <cellStyle name="常规 6 2 2 3 3 5 4" xfId="11340"/>
    <cellStyle name="常规 6 2 2 3 3 5 5" xfId="11343"/>
    <cellStyle name="常规 6 2 2 3 3 6" xfId="11345"/>
    <cellStyle name="常规 6 2 2 3 3 6 2" xfId="11347"/>
    <cellStyle name="常规 6 2 2 3 3 6 2 2" xfId="11350"/>
    <cellStyle name="常规 6 2 2 3 3 6 3" xfId="11352"/>
    <cellStyle name="常规 6 2 2 3 3 6 4" xfId="11354"/>
    <cellStyle name="常规 6 2 2 3 3 7" xfId="36938"/>
    <cellStyle name="常规 6 2 2 3 3 7 2" xfId="36939"/>
    <cellStyle name="常规 6 2 2 3 3 8" xfId="36940"/>
    <cellStyle name="常规 6 2 2 3 3 9" xfId="36941"/>
    <cellStyle name="常规 6 2 2 3 4" xfId="36942"/>
    <cellStyle name="常规 6 2 2 3 4 2" xfId="11979"/>
    <cellStyle name="常规 6 2 2 3 4 2 2" xfId="11982"/>
    <cellStyle name="常规 6 2 2 3 4 2 2 2" xfId="11985"/>
    <cellStyle name="常规 6 2 2 3 4 2 2 2 2" xfId="11987"/>
    <cellStyle name="常规 6 2 2 3 4 2 2 2 2 2" xfId="11990"/>
    <cellStyle name="常规 6 2 2 3 4 2 2 2 2 2 2" xfId="11992"/>
    <cellStyle name="常规 6 2 2 3 4 2 2 2 2 2 2 2" xfId="36943"/>
    <cellStyle name="常规 6 2 2 3 4 2 2 2 2 2 3" xfId="35893"/>
    <cellStyle name="常规 6 2 2 3 4 2 2 2 2 2 4" xfId="36944"/>
    <cellStyle name="常规 6 2 2 3 4 2 2 2 2 3" xfId="11996"/>
    <cellStyle name="常规 6 2 2 3 4 2 2 2 2 3 2" xfId="35899"/>
    <cellStyle name="常规 6 2 2 3 4 2 2 2 2 4" xfId="11998"/>
    <cellStyle name="常规 6 2 2 3 4 2 2 2 2 5" xfId="36945"/>
    <cellStyle name="常规 6 2 2 3 4 2 2 2 3" xfId="12000"/>
    <cellStyle name="常规 6 2 2 3 4 2 2 2 3 2" xfId="12003"/>
    <cellStyle name="常规 6 2 2 3 4 2 2 2 3 2 2" xfId="35910"/>
    <cellStyle name="常规 6 2 2 3 4 2 2 2 3 3" xfId="36946"/>
    <cellStyle name="常规 6 2 2 3 4 2 2 2 3 4" xfId="36947"/>
    <cellStyle name="常规 6 2 2 3 4 2 2 2 4" xfId="12007"/>
    <cellStyle name="常规 6 2 2 3 4 2 2 2 4 2" xfId="36948"/>
    <cellStyle name="常规 6 2 2 3 4 2 2 2 5" xfId="12010"/>
    <cellStyle name="常规 6 2 2 3 4 2 2 2 6" xfId="36949"/>
    <cellStyle name="常规 6 2 2 3 4 2 2 3" xfId="12013"/>
    <cellStyle name="常规 6 2 2 3 4 2 2 3 2" xfId="12015"/>
    <cellStyle name="常规 6 2 2 3 4 2 2 3 2 2" xfId="12017"/>
    <cellStyle name="常规 6 2 2 3 4 2 2 3 2 2 2" xfId="35931"/>
    <cellStyle name="常规 6 2 2 3 4 2 2 3 2 3" xfId="36950"/>
    <cellStyle name="常规 6 2 2 3 4 2 2 3 2 4" xfId="36951"/>
    <cellStyle name="常规 6 2 2 3 4 2 2 3 3" xfId="12019"/>
    <cellStyle name="常规 6 2 2 3 4 2 2 3 3 2" xfId="36952"/>
    <cellStyle name="常规 6 2 2 3 4 2 2 3 4" xfId="12021"/>
    <cellStyle name="常规 6 2 2 3 4 2 2 3 5" xfId="36953"/>
    <cellStyle name="常规 6 2 2 3 4 2 2 4" xfId="12024"/>
    <cellStyle name="常规 6 2 2 3 4 2 2 4 2" xfId="12027"/>
    <cellStyle name="常规 6 2 2 3 4 2 2 4 2 2" xfId="36954"/>
    <cellStyle name="常规 6 2 2 3 4 2 2 4 3" xfId="36955"/>
    <cellStyle name="常规 6 2 2 3 4 2 2 4 4" xfId="36956"/>
    <cellStyle name="常规 6 2 2 3 4 2 2 5" xfId="12030"/>
    <cellStyle name="常规 6 2 2 3 4 2 2 5 2" xfId="20207"/>
    <cellStyle name="常规 6 2 2 3 4 2 2 6" xfId="12037"/>
    <cellStyle name="常规 6 2 2 3 4 2 2 7" xfId="36957"/>
    <cellStyle name="常规 6 2 2 3 4 2 3" xfId="12041"/>
    <cellStyle name="常规 6 2 2 3 4 2 3 2" xfId="12043"/>
    <cellStyle name="常规 6 2 2 3 4 2 3 2 2" xfId="12046"/>
    <cellStyle name="常规 6 2 2 3 4 2 3 2 2 2" xfId="12049"/>
    <cellStyle name="常规 6 2 2 3 4 2 3 2 2 2 2" xfId="35976"/>
    <cellStyle name="常规 6 2 2 3 4 2 3 2 2 3" xfId="36958"/>
    <cellStyle name="常规 6 2 2 3 4 2 3 2 2 4" xfId="36959"/>
    <cellStyle name="常规 6 2 2 3 4 2 3 2 3" xfId="12052"/>
    <cellStyle name="常规 6 2 2 3 4 2 3 2 3 2" xfId="36960"/>
    <cellStyle name="常规 6 2 2 3 4 2 3 2 4" xfId="12055"/>
    <cellStyle name="常规 6 2 2 3 4 2 3 2 5" xfId="36961"/>
    <cellStyle name="常规 6 2 2 3 4 2 3 3" xfId="12058"/>
    <cellStyle name="常规 6 2 2 3 4 2 3 3 2" xfId="12063"/>
    <cellStyle name="常规 6 2 2 3 4 2 3 3 2 2" xfId="36962"/>
    <cellStyle name="常规 6 2 2 3 4 2 3 3 3" xfId="36963"/>
    <cellStyle name="常规 6 2 2 3 4 2 3 3 4" xfId="36964"/>
    <cellStyle name="常规 6 2 2 3 4 2 3 4" xfId="12066"/>
    <cellStyle name="常规 6 2 2 3 4 2 3 4 2" xfId="36965"/>
    <cellStyle name="常规 6 2 2 3 4 2 3 5" xfId="12071"/>
    <cellStyle name="常规 6 2 2 3 4 2 3 6" xfId="36966"/>
    <cellStyle name="常规 6 2 2 3 4 2 4" xfId="12073"/>
    <cellStyle name="常规 6 2 2 3 4 2 4 2" xfId="12075"/>
    <cellStyle name="常规 6 2 2 3 4 2 4 2 2" xfId="9774"/>
    <cellStyle name="常规 6 2 2 3 4 2 4 2 2 2" xfId="36967"/>
    <cellStyle name="常规 6 2 2 3 4 2 4 2 3" xfId="36968"/>
    <cellStyle name="常规 6 2 2 3 4 2 4 2 4" xfId="36969"/>
    <cellStyle name="常规 6 2 2 3 4 2 4 3" xfId="12078"/>
    <cellStyle name="常规 6 2 2 3 4 2 4 3 2" xfId="36970"/>
    <cellStyle name="常规 6 2 2 3 4 2 4 4" xfId="9096"/>
    <cellStyle name="常规 6 2 2 3 4 2 4 5" xfId="36971"/>
    <cellStyle name="常规 6 2 2 3 4 2 5" xfId="12080"/>
    <cellStyle name="常规 6 2 2 3 4 2 5 2" xfId="12082"/>
    <cellStyle name="常规 6 2 2 3 4 2 5 2 2" xfId="36972"/>
    <cellStyle name="常规 6 2 2 3 4 2 5 3" xfId="36973"/>
    <cellStyle name="常规 6 2 2 3 4 2 5 4" xfId="36974"/>
    <cellStyle name="常规 6 2 2 3 4 2 6" xfId="12084"/>
    <cellStyle name="常规 6 2 2 3 4 2 6 2" xfId="36975"/>
    <cellStyle name="常规 6 2 2 3 4 2 7" xfId="12086"/>
    <cellStyle name="常规 6 2 2 3 4 2 8" xfId="36977"/>
    <cellStyle name="常规 6 2 2 3 4 3" xfId="12091"/>
    <cellStyle name="常规 6 2 2 3 4 3 2" xfId="12094"/>
    <cellStyle name="常规 6 2 2 3 4 3 2 2" xfId="12096"/>
    <cellStyle name="常规 6 2 2 3 4 3 2 2 2" xfId="12100"/>
    <cellStyle name="常规 6 2 2 3 4 3 2 2 2 2" xfId="12103"/>
    <cellStyle name="常规 6 2 2 3 4 3 2 2 2 2 2" xfId="36978"/>
    <cellStyle name="常规 6 2 2 3 4 3 2 2 2 3" xfId="36979"/>
    <cellStyle name="常规 6 2 2 3 4 3 2 2 2 4" xfId="36980"/>
    <cellStyle name="常规 6 2 2 3 4 3 2 2 3" xfId="12107"/>
    <cellStyle name="常规 6 2 2 3 4 3 2 2 3 2" xfId="36981"/>
    <cellStyle name="常规 6 2 2 3 4 3 2 2 4" xfId="12112"/>
    <cellStyle name="常规 6 2 2 3 4 3 2 2 5" xfId="36982"/>
    <cellStyle name="常规 6 2 2 3 4 3 2 3" xfId="12116"/>
    <cellStyle name="常规 6 2 2 3 4 3 2 3 2" xfId="12119"/>
    <cellStyle name="常规 6 2 2 3 4 3 2 3 2 2" xfId="36983"/>
    <cellStyle name="常规 6 2 2 3 4 3 2 3 3" xfId="36984"/>
    <cellStyle name="常规 6 2 2 3 4 3 2 3 4" xfId="36985"/>
    <cellStyle name="常规 6 2 2 3 4 3 2 4" xfId="12122"/>
    <cellStyle name="常规 6 2 2 3 4 3 2 4 2" xfId="36986"/>
    <cellStyle name="常规 6 2 2 3 4 3 2 5" xfId="12126"/>
    <cellStyle name="常规 6 2 2 3 4 3 2 6" xfId="36987"/>
    <cellStyle name="常规 6 2 2 3 4 3 3" xfId="12132"/>
    <cellStyle name="常规 6 2 2 3 4 3 3 2" xfId="12134"/>
    <cellStyle name="常规 6 2 2 3 4 3 3 2 2" xfId="12137"/>
    <cellStyle name="常规 6 2 2 3 4 3 3 2 2 2" xfId="36988"/>
    <cellStyle name="常规 6 2 2 3 4 3 3 2 3" xfId="36989"/>
    <cellStyle name="常规 6 2 2 3 4 3 3 2 4" xfId="36990"/>
    <cellStyle name="常规 6 2 2 3 4 3 3 3" xfId="12140"/>
    <cellStyle name="常规 6 2 2 3 4 3 3 3 2" xfId="36991"/>
    <cellStyle name="常规 6 2 2 3 4 3 3 4" xfId="12144"/>
    <cellStyle name="常规 6 2 2 3 4 3 3 5" xfId="36992"/>
    <cellStyle name="常规 6 2 2 3 4 3 4" xfId="12150"/>
    <cellStyle name="常规 6 2 2 3 4 3 4 2" xfId="12152"/>
    <cellStyle name="常规 6 2 2 3 4 3 4 2 2" xfId="36993"/>
    <cellStyle name="常规 6 2 2 3 4 3 4 3" xfId="17692"/>
    <cellStyle name="常规 6 2 2 3 4 3 4 4" xfId="36994"/>
    <cellStyle name="常规 6 2 2 3 4 3 5" xfId="12157"/>
    <cellStyle name="常规 6 2 2 3 4 3 5 2" xfId="36995"/>
    <cellStyle name="常规 6 2 2 3 4 3 6" xfId="12160"/>
    <cellStyle name="常规 6 2 2 3 4 3 7" xfId="36996"/>
    <cellStyle name="常规 6 2 2 3 4 4" xfId="12163"/>
    <cellStyle name="常规 6 2 2 3 4 4 2" xfId="12166"/>
    <cellStyle name="常规 6 2 2 3 4 4 2 2" xfId="12168"/>
    <cellStyle name="常规 6 2 2 3 4 4 2 2 2" xfId="12172"/>
    <cellStyle name="常规 6 2 2 3 4 4 2 2 2 2" xfId="36997"/>
    <cellStyle name="常规 6 2 2 3 4 4 2 2 3" xfId="36998"/>
    <cellStyle name="常规 6 2 2 3 4 4 2 2 4" xfId="36999"/>
    <cellStyle name="常规 6 2 2 3 4 4 2 3" xfId="12176"/>
    <cellStyle name="常规 6 2 2 3 4 4 2 3 2" xfId="37000"/>
    <cellStyle name="常规 6 2 2 3 4 4 2 4" xfId="12180"/>
    <cellStyle name="常规 6 2 2 3 4 4 2 5" xfId="37001"/>
    <cellStyle name="常规 6 2 2 3 4 4 3" xfId="12185"/>
    <cellStyle name="常规 6 2 2 3 4 4 3 2" xfId="12187"/>
    <cellStyle name="常规 6 2 2 3 4 4 3 2 2" xfId="37002"/>
    <cellStyle name="常规 6 2 2 3 4 4 3 3" xfId="31793"/>
    <cellStyle name="常规 6 2 2 3 4 4 3 4" xfId="37004"/>
    <cellStyle name="常规 6 2 2 3 4 4 4" xfId="12191"/>
    <cellStyle name="常规 6 2 2 3 4 4 4 2" xfId="37005"/>
    <cellStyle name="常规 6 2 2 3 4 4 5" xfId="12194"/>
    <cellStyle name="常规 6 2 2 3 4 4 6" xfId="37006"/>
    <cellStyle name="常规 6 2 2 3 4 5" xfId="12197"/>
    <cellStyle name="常规 6 2 2 3 4 5 2" xfId="12199"/>
    <cellStyle name="常规 6 2 2 3 4 5 2 2" xfId="12201"/>
    <cellStyle name="常规 6 2 2 3 4 5 2 2 2" xfId="37007"/>
    <cellStyle name="常规 6 2 2 3 4 5 2 3" xfId="34551"/>
    <cellStyle name="常规 6 2 2 3 4 5 2 4" xfId="37008"/>
    <cellStyle name="常规 6 2 2 3 4 5 3" xfId="12204"/>
    <cellStyle name="常规 6 2 2 3 4 5 3 2" xfId="37009"/>
    <cellStyle name="常规 6 2 2 3 4 5 4" xfId="12207"/>
    <cellStyle name="常规 6 2 2 3 4 5 5" xfId="37010"/>
    <cellStyle name="常规 6 2 2 3 4 6" xfId="12211"/>
    <cellStyle name="常规 6 2 2 3 4 6 2" xfId="12213"/>
    <cellStyle name="常规 6 2 2 3 4 6 2 2" xfId="37011"/>
    <cellStyle name="常规 6 2 2 3 4 6 3" xfId="37012"/>
    <cellStyle name="常规 6 2 2 3 4 6 4" xfId="37013"/>
    <cellStyle name="常规 6 2 2 3 4 7" xfId="37014"/>
    <cellStyle name="常规 6 2 2 3 4 7 2" xfId="37015"/>
    <cellStyle name="常规 6 2 2 3 4 8" xfId="37016"/>
    <cellStyle name="常规 6 2 2 3 4 9" xfId="37017"/>
    <cellStyle name="常规 6 2 2 3 5" xfId="37018"/>
    <cellStyle name="常规 6 2 2 3 5 2" xfId="12416"/>
    <cellStyle name="常规 6 2 2 3 5 2 2" xfId="12418"/>
    <cellStyle name="常规 6 2 2 3 5 2 2 2" xfId="12420"/>
    <cellStyle name="常规 6 2 2 3 5 2 2 2 2" xfId="12422"/>
    <cellStyle name="常规 6 2 2 3 5 2 2 2 2 2" xfId="37019"/>
    <cellStyle name="常规 6 2 2 3 5 2 2 2 2 2 2" xfId="37020"/>
    <cellStyle name="常规 6 2 2 3 5 2 2 2 2 3" xfId="37021"/>
    <cellStyle name="常规 6 2 2 3 5 2 2 2 2 4" xfId="37022"/>
    <cellStyle name="常规 6 2 2 3 5 2 2 2 3" xfId="37023"/>
    <cellStyle name="常规 6 2 2 3 5 2 2 2 3 2" xfId="37024"/>
    <cellStyle name="常规 6 2 2 3 5 2 2 2 4" xfId="37025"/>
    <cellStyle name="常规 6 2 2 3 5 2 2 2 5" xfId="37026"/>
    <cellStyle name="常规 6 2 2 3 5 2 2 3" xfId="12424"/>
    <cellStyle name="常规 6 2 2 3 5 2 2 3 2" xfId="37027"/>
    <cellStyle name="常规 6 2 2 3 5 2 2 3 2 2" xfId="37028"/>
    <cellStyle name="常规 6 2 2 3 5 2 2 3 3" xfId="37029"/>
    <cellStyle name="常规 6 2 2 3 5 2 2 3 4" xfId="37030"/>
    <cellStyle name="常规 6 2 2 3 5 2 2 4" xfId="12426"/>
    <cellStyle name="常规 6 2 2 3 5 2 2 4 2" xfId="37031"/>
    <cellStyle name="常规 6 2 2 3 5 2 2 5" xfId="37032"/>
    <cellStyle name="常规 6 2 2 3 5 2 2 6" xfId="37033"/>
    <cellStyle name="常规 6 2 2 3 5 2 3" xfId="12429"/>
    <cellStyle name="常规 6 2 2 3 5 2 3 2" xfId="12431"/>
    <cellStyle name="常规 6 2 2 3 5 2 3 2 2" xfId="37034"/>
    <cellStyle name="常规 6 2 2 3 5 2 3 2 2 2" xfId="37035"/>
    <cellStyle name="常规 6 2 2 3 5 2 3 2 3" xfId="37036"/>
    <cellStyle name="常规 6 2 2 3 5 2 3 2 4" xfId="37037"/>
    <cellStyle name="常规 6 2 2 3 5 2 3 3" xfId="37038"/>
    <cellStyle name="常规 6 2 2 3 5 2 3 3 2" xfId="37039"/>
    <cellStyle name="常规 6 2 2 3 5 2 3 4" xfId="37040"/>
    <cellStyle name="常规 6 2 2 3 5 2 3 5" xfId="37041"/>
    <cellStyle name="常规 6 2 2 3 5 2 4" xfId="12433"/>
    <cellStyle name="常规 6 2 2 3 5 2 4 2" xfId="37042"/>
    <cellStyle name="常规 6 2 2 3 5 2 4 2 2" xfId="37043"/>
    <cellStyle name="常规 6 2 2 3 5 2 4 3" xfId="37044"/>
    <cellStyle name="常规 6 2 2 3 5 2 4 4" xfId="32948"/>
    <cellStyle name="常规 6 2 2 3 5 2 5" xfId="12435"/>
    <cellStyle name="常规 6 2 2 3 5 2 5 2" xfId="37045"/>
    <cellStyle name="常规 6 2 2 3 5 2 6" xfId="37046"/>
    <cellStyle name="常规 6 2 2 3 5 2 7" xfId="37047"/>
    <cellStyle name="常规 6 2 2 3 5 3" xfId="12439"/>
    <cellStyle name="常规 6 2 2 3 5 3 2" xfId="12442"/>
    <cellStyle name="常规 6 2 2 3 5 3 2 2" xfId="12444"/>
    <cellStyle name="常规 6 2 2 3 5 3 2 2 2" xfId="34562"/>
    <cellStyle name="常规 6 2 2 3 5 3 2 2 2 2" xfId="37048"/>
    <cellStyle name="常规 6 2 2 3 5 3 2 2 3" xfId="37049"/>
    <cellStyle name="常规 6 2 2 3 5 3 2 2 4" xfId="37050"/>
    <cellStyle name="常规 6 2 2 3 5 3 2 3" xfId="34564"/>
    <cellStyle name="常规 6 2 2 3 5 3 2 3 2" xfId="37051"/>
    <cellStyle name="常规 6 2 2 3 5 3 2 4" xfId="34566"/>
    <cellStyle name="常规 6 2 2 3 5 3 2 5" xfId="37052"/>
    <cellStyle name="常规 6 2 2 3 5 3 3" xfId="12447"/>
    <cellStyle name="常规 6 2 2 3 5 3 3 2" xfId="34571"/>
    <cellStyle name="常规 6 2 2 3 5 3 3 2 2" xfId="37053"/>
    <cellStyle name="常规 6 2 2 3 5 3 3 3" xfId="34573"/>
    <cellStyle name="常规 6 2 2 3 5 3 3 4" xfId="37054"/>
    <cellStyle name="常规 6 2 2 3 5 3 4" xfId="12450"/>
    <cellStyle name="常规 6 2 2 3 5 3 4 2" xfId="37055"/>
    <cellStyle name="常规 6 2 2 3 5 3 5" xfId="37056"/>
    <cellStyle name="常规 6 2 2 3 5 3 6" xfId="37057"/>
    <cellStyle name="常规 6 2 2 3 5 4" xfId="12454"/>
    <cellStyle name="常规 6 2 2 3 5 4 2" xfId="12458"/>
    <cellStyle name="常规 6 2 2 3 5 4 2 2" xfId="20646"/>
    <cellStyle name="常规 6 2 2 3 5 4 2 2 2" xfId="37058"/>
    <cellStyle name="常规 6 2 2 3 5 4 2 3" xfId="32913"/>
    <cellStyle name="常规 6 2 2 3 5 4 2 4" xfId="37059"/>
    <cellStyle name="常规 6 2 2 3 5 4 3" xfId="37060"/>
    <cellStyle name="常规 6 2 2 3 5 4 3 2" xfId="37061"/>
    <cellStyle name="常规 6 2 2 3 5 4 4" xfId="37062"/>
    <cellStyle name="常规 6 2 2 3 5 4 5" xfId="37063"/>
    <cellStyle name="常规 6 2 2 3 5 5" xfId="12461"/>
    <cellStyle name="常规 6 2 2 3 5 5 2" xfId="37064"/>
    <cellStyle name="常规 6 2 2 3 5 5 2 2" xfId="37065"/>
    <cellStyle name="常规 6 2 2 3 5 5 3" xfId="37066"/>
    <cellStyle name="常规 6 2 2 3 5 5 4" xfId="37067"/>
    <cellStyle name="常规 6 2 2 3 5 6" xfId="12464"/>
    <cellStyle name="常规 6 2 2 3 5 6 2" xfId="37069"/>
    <cellStyle name="常规 6 2 2 3 5 7" xfId="37071"/>
    <cellStyle name="常规 6 2 2 3 5 8" xfId="37073"/>
    <cellStyle name="常规 6 2 2 3 6" xfId="37074"/>
    <cellStyle name="常规 6 2 2 3 6 2" xfId="12691"/>
    <cellStyle name="常规 6 2 2 3 6 2 2" xfId="12693"/>
    <cellStyle name="常规 6 2 2 3 6 2 2 2" xfId="12697"/>
    <cellStyle name="常规 6 2 2 3 6 2 2 2 2" xfId="12699"/>
    <cellStyle name="常规 6 2 2 3 6 2 2 2 2 2" xfId="37075"/>
    <cellStyle name="常规 6 2 2 3 6 2 2 2 3" xfId="37076"/>
    <cellStyle name="常规 6 2 2 3 6 2 2 2 4" xfId="37077"/>
    <cellStyle name="常规 6 2 2 3 6 2 2 3" xfId="12703"/>
    <cellStyle name="常规 6 2 2 3 6 2 2 3 2" xfId="37078"/>
    <cellStyle name="常规 6 2 2 3 6 2 2 4" xfId="12705"/>
    <cellStyle name="常规 6 2 2 3 6 2 2 5" xfId="37079"/>
    <cellStyle name="常规 6 2 2 3 6 2 3" xfId="12708"/>
    <cellStyle name="常规 6 2 2 3 6 2 3 2" xfId="12710"/>
    <cellStyle name="常规 6 2 2 3 6 2 3 2 2" xfId="37080"/>
    <cellStyle name="常规 6 2 2 3 6 2 3 3" xfId="37081"/>
    <cellStyle name="常规 6 2 2 3 6 2 3 4" xfId="37082"/>
    <cellStyle name="常规 6 2 2 3 6 2 4" xfId="12712"/>
    <cellStyle name="常规 6 2 2 3 6 2 4 2" xfId="37083"/>
    <cellStyle name="常规 6 2 2 3 6 2 5" xfId="12715"/>
    <cellStyle name="常规 6 2 2 3 6 2 6" xfId="37084"/>
    <cellStyle name="常规 6 2 2 3 6 3" xfId="12719"/>
    <cellStyle name="常规 6 2 2 3 6 3 2" xfId="12721"/>
    <cellStyle name="常规 6 2 2 3 6 3 2 2" xfId="12723"/>
    <cellStyle name="常规 6 2 2 3 6 3 2 2 2" xfId="37085"/>
    <cellStyle name="常规 6 2 2 3 6 3 2 3" xfId="29188"/>
    <cellStyle name="常规 6 2 2 3 6 3 2 4" xfId="37086"/>
    <cellStyle name="常规 6 2 2 3 6 3 3" xfId="12728"/>
    <cellStyle name="常规 6 2 2 3 6 3 3 2" xfId="37087"/>
    <cellStyle name="常规 6 2 2 3 6 3 4" xfId="12731"/>
    <cellStyle name="常规 6 2 2 3 6 3 5" xfId="37088"/>
    <cellStyle name="常规 6 2 2 3 6 4" xfId="12733"/>
    <cellStyle name="常规 6 2 2 3 6 4 2" xfId="12736"/>
    <cellStyle name="常规 6 2 2 3 6 4 2 2" xfId="37089"/>
    <cellStyle name="常规 6 2 2 3 6 4 3" xfId="37090"/>
    <cellStyle name="常规 6 2 2 3 6 4 4" xfId="29309"/>
    <cellStyle name="常规 6 2 2 3 6 5" xfId="12738"/>
    <cellStyle name="常规 6 2 2 3 6 5 2" xfId="37091"/>
    <cellStyle name="常规 6 2 2 3 6 6" xfId="12741"/>
    <cellStyle name="常规 6 2 2 3 6 7" xfId="37093"/>
    <cellStyle name="常规 6 2 2 3 7" xfId="37094"/>
    <cellStyle name="常规 6 2 2 3 7 2" xfId="12890"/>
    <cellStyle name="常规 6 2 2 3 7 2 2" xfId="12892"/>
    <cellStyle name="常规 6 2 2 3 7 2 2 2" xfId="12894"/>
    <cellStyle name="常规 6 2 2 3 7 2 2 2 2" xfId="27889"/>
    <cellStyle name="常规 6 2 2 3 7 2 2 3" xfId="37095"/>
    <cellStyle name="常规 6 2 2 3 7 2 2 4" xfId="37096"/>
    <cellStyle name="常规 6 2 2 3 7 2 3" xfId="12896"/>
    <cellStyle name="常规 6 2 2 3 7 2 3 2" xfId="37097"/>
    <cellStyle name="常规 6 2 2 3 7 2 4" xfId="12898"/>
    <cellStyle name="常规 6 2 2 3 7 2 5" xfId="37098"/>
    <cellStyle name="常规 6 2 2 3 7 3" xfId="12900"/>
    <cellStyle name="常规 6 2 2 3 7 3 2" xfId="12902"/>
    <cellStyle name="常规 6 2 2 3 7 3 2 2" xfId="37099"/>
    <cellStyle name="常规 6 2 2 3 7 3 3" xfId="37100"/>
    <cellStyle name="常规 6 2 2 3 7 3 4" xfId="37101"/>
    <cellStyle name="常规 6 2 2 3 7 4" xfId="12904"/>
    <cellStyle name="常规 6 2 2 3 7 4 2" xfId="37102"/>
    <cellStyle name="常规 6 2 2 3 7 5" xfId="12906"/>
    <cellStyle name="常规 6 2 2 3 7 6" xfId="37104"/>
    <cellStyle name="常规 6 2 2 3 8" xfId="37105"/>
    <cellStyle name="常规 6 2 2 3 8 2" xfId="13001"/>
    <cellStyle name="常规 6 2 2 3 8 2 2" xfId="13004"/>
    <cellStyle name="常规 6 2 2 3 8 2 2 2" xfId="37106"/>
    <cellStyle name="常规 6 2 2 3 8 2 3" xfId="37107"/>
    <cellStyle name="常规 6 2 2 3 8 2 4" xfId="37108"/>
    <cellStyle name="常规 6 2 2 3 8 3" xfId="13006"/>
    <cellStyle name="常规 6 2 2 3 8 3 2" xfId="37109"/>
    <cellStyle name="常规 6 2 2 3 8 4" xfId="10074"/>
    <cellStyle name="常规 6 2 2 3 8 5" xfId="37110"/>
    <cellStyle name="常规 6 2 2 3 9" xfId="37111"/>
    <cellStyle name="常规 6 2 2 3 9 2" xfId="13034"/>
    <cellStyle name="常规 6 2 2 3 9 2 2" xfId="37112"/>
    <cellStyle name="常规 6 2 2 3 9 3" xfId="13036"/>
    <cellStyle name="常规 6 2 2 3 9 4" xfId="37113"/>
    <cellStyle name="常规 6 2 2 4" xfId="37114"/>
    <cellStyle name="常规 6 2 2 4 10" xfId="37115"/>
    <cellStyle name="常规 6 2 2 4 11" xfId="37116"/>
    <cellStyle name="常规 6 2 2 4 2" xfId="37117"/>
    <cellStyle name="常规 6 2 2 4 2 2" xfId="37118"/>
    <cellStyle name="常规 6 2 2 4 2 2 2" xfId="37119"/>
    <cellStyle name="常规 6 2 2 4 2 2 2 2" xfId="37120"/>
    <cellStyle name="常规 6 2 2 4 2 2 2 2 2" xfId="37121"/>
    <cellStyle name="常规 6 2 2 4 2 2 2 2 2 2" xfId="37122"/>
    <cellStyle name="常规 6 2 2 4 2 2 2 2 2 2 2" xfId="37123"/>
    <cellStyle name="常规 6 2 2 4 2 2 2 2 2 2 2 2" xfId="37124"/>
    <cellStyle name="常规 6 2 2 4 2 2 2 2 2 2 3" xfId="37125"/>
    <cellStyle name="常规 6 2 2 4 2 2 2 2 2 2 4" xfId="37126"/>
    <cellStyle name="常规 6 2 2 4 2 2 2 2 2 3" xfId="37127"/>
    <cellStyle name="常规 6 2 2 4 2 2 2 2 2 3 2" xfId="37128"/>
    <cellStyle name="常规 6 2 2 4 2 2 2 2 2 4" xfId="37129"/>
    <cellStyle name="常规 6 2 2 4 2 2 2 2 2 5" xfId="37130"/>
    <cellStyle name="常规 6 2 2 4 2 2 2 2 3" xfId="30167"/>
    <cellStyle name="常规 6 2 2 4 2 2 2 2 3 2" xfId="30170"/>
    <cellStyle name="常规 6 2 2 4 2 2 2 2 3 2 2" xfId="37132"/>
    <cellStyle name="常规 6 2 2 4 2 2 2 2 3 3" xfId="37134"/>
    <cellStyle name="常规 6 2 2 4 2 2 2 2 3 4" xfId="37136"/>
    <cellStyle name="常规 6 2 2 4 2 2 2 2 4" xfId="5816"/>
    <cellStyle name="常规 6 2 2 4 2 2 2 2 4 2" xfId="37138"/>
    <cellStyle name="常规 6 2 2 4 2 2 2 2 5" xfId="16281"/>
    <cellStyle name="常规 6 2 2 4 2 2 2 2 6" xfId="37139"/>
    <cellStyle name="常规 6 2 2 4 2 2 2 3" xfId="37140"/>
    <cellStyle name="常规 6 2 2 4 2 2 2 3 2" xfId="37141"/>
    <cellStyle name="常规 6 2 2 4 2 2 2 3 2 2" xfId="37142"/>
    <cellStyle name="常规 6 2 2 4 2 2 2 3 2 2 2" xfId="37143"/>
    <cellStyle name="常规 6 2 2 4 2 2 2 3 2 3" xfId="37144"/>
    <cellStyle name="常规 6 2 2 4 2 2 2 3 2 4" xfId="37145"/>
    <cellStyle name="常规 6 2 2 4 2 2 2 3 3" xfId="30173"/>
    <cellStyle name="常规 6 2 2 4 2 2 2 3 3 2" xfId="37147"/>
    <cellStyle name="常规 6 2 2 4 2 2 2 3 4" xfId="37148"/>
    <cellStyle name="常规 6 2 2 4 2 2 2 3 5" xfId="37149"/>
    <cellStyle name="常规 6 2 2 4 2 2 2 4" xfId="28963"/>
    <cellStyle name="常规 6 2 2 4 2 2 2 4 2" xfId="25965"/>
    <cellStyle name="常规 6 2 2 4 2 2 2 4 2 2" xfId="28965"/>
    <cellStyle name="常规 6 2 2 4 2 2 2 4 3" xfId="25969"/>
    <cellStyle name="常规 6 2 2 4 2 2 2 4 4" xfId="28967"/>
    <cellStyle name="常规 6 2 2 4 2 2 2 5" xfId="28971"/>
    <cellStyle name="常规 6 2 2 4 2 2 2 5 2" xfId="22938"/>
    <cellStyle name="常规 6 2 2 4 2 2 2 6" xfId="8500"/>
    <cellStyle name="常规 6 2 2 4 2 2 2 7" xfId="8509"/>
    <cellStyle name="常规 6 2 2 4 2 2 3" xfId="37150"/>
    <cellStyle name="常规 6 2 2 4 2 2 3 2" xfId="37151"/>
    <cellStyle name="常规 6 2 2 4 2 2 3 2 2" xfId="37152"/>
    <cellStyle name="常规 6 2 2 4 2 2 3 2 2 2" xfId="37153"/>
    <cellStyle name="常规 6 2 2 4 2 2 3 2 2 2 2" xfId="37154"/>
    <cellStyle name="常规 6 2 2 4 2 2 3 2 2 3" xfId="37155"/>
    <cellStyle name="常规 6 2 2 4 2 2 3 2 2 4" xfId="37156"/>
    <cellStyle name="常规 6 2 2 4 2 2 3 2 3" xfId="30187"/>
    <cellStyle name="常规 6 2 2 4 2 2 3 2 3 2" xfId="37158"/>
    <cellStyle name="常规 6 2 2 4 2 2 3 2 4" xfId="37159"/>
    <cellStyle name="常规 6 2 2 4 2 2 3 2 5" xfId="37160"/>
    <cellStyle name="常规 6 2 2 4 2 2 3 3" xfId="37161"/>
    <cellStyle name="常规 6 2 2 4 2 2 3 3 2" xfId="37162"/>
    <cellStyle name="常规 6 2 2 4 2 2 3 3 2 2" xfId="37163"/>
    <cellStyle name="常规 6 2 2 4 2 2 3 3 3" xfId="37164"/>
    <cellStyle name="常规 6 2 2 4 2 2 3 3 4" xfId="37165"/>
    <cellStyle name="常规 6 2 2 4 2 2 3 4" xfId="28976"/>
    <cellStyle name="常规 6 2 2 4 2 2 3 4 2" xfId="26054"/>
    <cellStyle name="常规 6 2 2 4 2 2 3 5" xfId="28979"/>
    <cellStyle name="常规 6 2 2 4 2 2 3 6" xfId="8517"/>
    <cellStyle name="常规 6 2 2 4 2 2 4" xfId="37166"/>
    <cellStyle name="常规 6 2 2 4 2 2 4 2" xfId="37167"/>
    <cellStyle name="常规 6 2 2 4 2 2 4 2 2" xfId="37168"/>
    <cellStyle name="常规 6 2 2 4 2 2 4 2 2 2" xfId="37169"/>
    <cellStyle name="常规 6 2 2 4 2 2 4 2 3" xfId="37170"/>
    <cellStyle name="常规 6 2 2 4 2 2 4 2 4" xfId="37171"/>
    <cellStyle name="常规 6 2 2 4 2 2 4 3" xfId="37172"/>
    <cellStyle name="常规 6 2 2 4 2 2 4 3 2" xfId="37173"/>
    <cellStyle name="常规 6 2 2 4 2 2 4 4" xfId="9137"/>
    <cellStyle name="常规 6 2 2 4 2 2 4 5" xfId="37174"/>
    <cellStyle name="常规 6 2 2 4 2 2 5" xfId="37176"/>
    <cellStyle name="常规 6 2 2 4 2 2 5 2" xfId="37177"/>
    <cellStyle name="常规 6 2 2 4 2 2 5 2 2" xfId="37178"/>
    <cellStyle name="常规 6 2 2 4 2 2 5 3" xfId="37179"/>
    <cellStyle name="常规 6 2 2 4 2 2 5 4" xfId="37180"/>
    <cellStyle name="常规 6 2 2 4 2 2 6" xfId="37181"/>
    <cellStyle name="常规 6 2 2 4 2 2 6 2" xfId="37182"/>
    <cellStyle name="常规 6 2 2 4 2 2 7" xfId="37183"/>
    <cellStyle name="常规 6 2 2 4 2 2 8" xfId="37185"/>
    <cellStyle name="常规 6 2 2 4 2 3" xfId="37186"/>
    <cellStyle name="常规 6 2 2 4 2 3 2" xfId="37187"/>
    <cellStyle name="常规 6 2 2 4 2 3 2 2" xfId="37188"/>
    <cellStyle name="常规 6 2 2 4 2 3 2 2 2" xfId="37189"/>
    <cellStyle name="常规 6 2 2 4 2 3 2 2 2 2" xfId="37190"/>
    <cellStyle name="常规 6 2 2 4 2 3 2 2 2 2 2" xfId="37191"/>
    <cellStyle name="常规 6 2 2 4 2 3 2 2 2 3" xfId="37192"/>
    <cellStyle name="常规 6 2 2 4 2 3 2 2 2 4" xfId="37193"/>
    <cellStyle name="常规 6 2 2 4 2 3 2 2 3" xfId="15502"/>
    <cellStyle name="常规 6 2 2 4 2 3 2 2 3 2" xfId="37195"/>
    <cellStyle name="常规 6 2 2 4 2 3 2 2 4" xfId="37196"/>
    <cellStyle name="常规 6 2 2 4 2 3 2 2 5" xfId="37197"/>
    <cellStyle name="常规 6 2 2 4 2 3 2 3" xfId="37198"/>
    <cellStyle name="常规 6 2 2 4 2 3 2 3 2" xfId="37199"/>
    <cellStyle name="常规 6 2 2 4 2 3 2 3 2 2" xfId="37200"/>
    <cellStyle name="常规 6 2 2 4 2 3 2 3 3" xfId="37201"/>
    <cellStyle name="常规 6 2 2 4 2 3 2 3 4" xfId="37202"/>
    <cellStyle name="常规 6 2 2 4 2 3 2 4" xfId="28987"/>
    <cellStyle name="常规 6 2 2 4 2 3 2 4 2" xfId="26185"/>
    <cellStyle name="常规 6 2 2 4 2 3 2 5" xfId="28990"/>
    <cellStyle name="常规 6 2 2 4 2 3 2 6" xfId="8529"/>
    <cellStyle name="常规 6 2 2 4 2 3 3" xfId="37203"/>
    <cellStyle name="常规 6 2 2 4 2 3 3 2" xfId="37204"/>
    <cellStyle name="常规 6 2 2 4 2 3 3 2 2" xfId="37205"/>
    <cellStyle name="常规 6 2 2 4 2 3 3 2 2 2" xfId="37206"/>
    <cellStyle name="常规 6 2 2 4 2 3 3 2 3" xfId="37207"/>
    <cellStyle name="常规 6 2 2 4 2 3 3 2 4" xfId="37208"/>
    <cellStyle name="常规 6 2 2 4 2 3 3 3" xfId="37209"/>
    <cellStyle name="常规 6 2 2 4 2 3 3 3 2" xfId="37210"/>
    <cellStyle name="常规 6 2 2 4 2 3 3 4" xfId="28993"/>
    <cellStyle name="常规 6 2 2 4 2 3 3 5" xfId="37211"/>
    <cellStyle name="常规 6 2 2 4 2 3 4" xfId="37212"/>
    <cellStyle name="常规 6 2 2 4 2 3 4 2" xfId="37213"/>
    <cellStyle name="常规 6 2 2 4 2 3 4 2 2" xfId="37214"/>
    <cellStyle name="常规 6 2 2 4 2 3 4 3" xfId="37215"/>
    <cellStyle name="常规 6 2 2 4 2 3 4 4" xfId="37216"/>
    <cellStyle name="常规 6 2 2 4 2 3 5" xfId="37217"/>
    <cellStyle name="常规 6 2 2 4 2 3 5 2" xfId="37218"/>
    <cellStyle name="常规 6 2 2 4 2 3 6" xfId="37219"/>
    <cellStyle name="常规 6 2 2 4 2 3 7" xfId="37220"/>
    <cellStyle name="常规 6 2 2 4 2 4" xfId="37221"/>
    <cellStyle name="常规 6 2 2 4 2 4 2" xfId="37222"/>
    <cellStyle name="常规 6 2 2 4 2 4 2 2" xfId="37223"/>
    <cellStyle name="常规 6 2 2 4 2 4 2 2 2" xfId="37224"/>
    <cellStyle name="常规 6 2 2 4 2 4 2 2 2 2" xfId="37225"/>
    <cellStyle name="常规 6 2 2 4 2 4 2 2 3" xfId="37226"/>
    <cellStyle name="常规 6 2 2 4 2 4 2 2 4" xfId="37227"/>
    <cellStyle name="常规 6 2 2 4 2 4 2 3" xfId="37228"/>
    <cellStyle name="常规 6 2 2 4 2 4 2 3 2" xfId="37229"/>
    <cellStyle name="常规 6 2 2 4 2 4 2 4" xfId="28998"/>
    <cellStyle name="常规 6 2 2 4 2 4 2 5" xfId="37230"/>
    <cellStyle name="常规 6 2 2 4 2 4 3" xfId="37231"/>
    <cellStyle name="常规 6 2 2 4 2 4 3 2" xfId="37232"/>
    <cellStyle name="常规 6 2 2 4 2 4 3 2 2" xfId="37233"/>
    <cellStyle name="常规 6 2 2 4 2 4 3 3" xfId="37234"/>
    <cellStyle name="常规 6 2 2 4 2 4 3 4" xfId="14440"/>
    <cellStyle name="常规 6 2 2 4 2 4 4" xfId="37235"/>
    <cellStyle name="常规 6 2 2 4 2 4 4 2" xfId="37236"/>
    <cellStyle name="常规 6 2 2 4 2 4 5" xfId="37237"/>
    <cellStyle name="常规 6 2 2 4 2 4 6" xfId="37238"/>
    <cellStyle name="常规 6 2 2 4 2 5" xfId="37239"/>
    <cellStyle name="常规 6 2 2 4 2 5 2" xfId="37240"/>
    <cellStyle name="常规 6 2 2 4 2 5 2 2" xfId="37241"/>
    <cellStyle name="常规 6 2 2 4 2 5 2 2 2" xfId="37242"/>
    <cellStyle name="常规 6 2 2 4 2 5 2 3" xfId="37243"/>
    <cellStyle name="常规 6 2 2 4 2 5 2 4" xfId="37244"/>
    <cellStyle name="常规 6 2 2 4 2 5 3" xfId="37245"/>
    <cellStyle name="常规 6 2 2 4 2 5 3 2" xfId="37246"/>
    <cellStyle name="常规 6 2 2 4 2 5 4" xfId="37247"/>
    <cellStyle name="常规 6 2 2 4 2 5 5" xfId="37248"/>
    <cellStyle name="常规 6 2 2 4 2 6" xfId="37249"/>
    <cellStyle name="常规 6 2 2 4 2 6 2" xfId="37250"/>
    <cellStyle name="常规 6 2 2 4 2 6 2 2" xfId="37251"/>
    <cellStyle name="常规 6 2 2 4 2 6 3" xfId="37252"/>
    <cellStyle name="常规 6 2 2 4 2 6 4" xfId="37253"/>
    <cellStyle name="常规 6 2 2 4 2 7" xfId="37254"/>
    <cellStyle name="常规 6 2 2 4 2 7 2" xfId="37255"/>
    <cellStyle name="常规 6 2 2 4 2 8" xfId="37256"/>
    <cellStyle name="常规 6 2 2 4 2 9" xfId="37257"/>
    <cellStyle name="常规 6 2 2 4 3" xfId="37258"/>
    <cellStyle name="常规 6 2 2 4 3 2" xfId="13640"/>
    <cellStyle name="常规 6 2 2 4 3 2 2" xfId="13643"/>
    <cellStyle name="常规 6 2 2 4 3 2 2 2" xfId="13645"/>
    <cellStyle name="常规 6 2 2 4 3 2 2 2 2" xfId="13647"/>
    <cellStyle name="常规 6 2 2 4 3 2 2 2 2 2" xfId="5723"/>
    <cellStyle name="常规 6 2 2 4 3 2 2 2 2 2 2" xfId="13650"/>
    <cellStyle name="常规 6 2 2 4 3 2 2 2 2 2 2 2" xfId="37259"/>
    <cellStyle name="常规 6 2 2 4 3 2 2 2 2 2 3" xfId="37260"/>
    <cellStyle name="常规 6 2 2 4 3 2 2 2 2 2 4" xfId="37261"/>
    <cellStyle name="常规 6 2 2 4 3 2 2 2 2 3" xfId="5729"/>
    <cellStyle name="常规 6 2 2 4 3 2 2 2 2 3 2" xfId="37262"/>
    <cellStyle name="常规 6 2 2 4 3 2 2 2 2 4" xfId="13653"/>
    <cellStyle name="常规 6 2 2 4 3 2 2 2 2 5" xfId="37263"/>
    <cellStyle name="常规 6 2 2 4 3 2 2 2 3" xfId="13655"/>
    <cellStyle name="常规 6 2 2 4 3 2 2 2 3 2" xfId="5742"/>
    <cellStyle name="常规 6 2 2 4 3 2 2 2 3 2 2" xfId="37264"/>
    <cellStyle name="常规 6 2 2 4 3 2 2 2 3 3" xfId="37266"/>
    <cellStyle name="常规 6 2 2 4 3 2 2 2 3 4" xfId="37267"/>
    <cellStyle name="常规 6 2 2 4 3 2 2 2 4" xfId="13659"/>
    <cellStyle name="常规 6 2 2 4 3 2 2 2 4 2" xfId="37269"/>
    <cellStyle name="常规 6 2 2 4 3 2 2 2 5" xfId="13661"/>
    <cellStyle name="常规 6 2 2 4 3 2 2 2 6" xfId="37270"/>
    <cellStyle name="常规 6 2 2 4 3 2 2 3" xfId="13663"/>
    <cellStyle name="常规 6 2 2 4 3 2 2 3 2" xfId="13665"/>
    <cellStyle name="常规 6 2 2 4 3 2 2 3 2 2" xfId="5772"/>
    <cellStyle name="常规 6 2 2 4 3 2 2 3 2 2 2" xfId="37271"/>
    <cellStyle name="常规 6 2 2 4 3 2 2 3 2 3" xfId="16611"/>
    <cellStyle name="常规 6 2 2 4 3 2 2 3 2 4" xfId="16619"/>
    <cellStyle name="常规 6 2 2 4 3 2 2 3 3" xfId="13667"/>
    <cellStyle name="常规 6 2 2 4 3 2 2 3 3 2" xfId="37273"/>
    <cellStyle name="常规 6 2 2 4 3 2 2 3 4" xfId="13669"/>
    <cellStyle name="常规 6 2 2 4 3 2 2 3 5" xfId="37274"/>
    <cellStyle name="常规 6 2 2 4 3 2 2 4" xfId="13672"/>
    <cellStyle name="常规 6 2 2 4 3 2 2 4 2" xfId="13677"/>
    <cellStyle name="常规 6 2 2 4 3 2 2 4 2 2" xfId="37275"/>
    <cellStyle name="常规 6 2 2 4 3 2 2 4 3" xfId="37276"/>
    <cellStyle name="常规 6 2 2 4 3 2 2 4 4" xfId="37277"/>
    <cellStyle name="常规 6 2 2 4 3 2 2 5" xfId="13682"/>
    <cellStyle name="常规 6 2 2 4 3 2 2 5 2" xfId="24079"/>
    <cellStyle name="常规 6 2 2 4 3 2 2 6" xfId="8552"/>
    <cellStyle name="常规 6 2 2 4 3 2 2 7" xfId="37278"/>
    <cellStyle name="常规 6 2 2 4 3 2 3" xfId="13685"/>
    <cellStyle name="常规 6 2 2 4 3 2 3 2" xfId="3415"/>
    <cellStyle name="常规 6 2 2 4 3 2 3 2 2" xfId="3541"/>
    <cellStyle name="常规 6 2 2 4 3 2 3 2 2 2" xfId="3551"/>
    <cellStyle name="常规 6 2 2 4 3 2 3 2 2 2 2" xfId="37279"/>
    <cellStyle name="常规 6 2 2 4 3 2 3 2 2 3" xfId="37280"/>
    <cellStyle name="常规 6 2 2 4 3 2 3 2 2 4" xfId="37281"/>
    <cellStyle name="常规 6 2 2 4 3 2 3 2 3" xfId="3579"/>
    <cellStyle name="常规 6 2 2 4 3 2 3 2 3 2" xfId="37283"/>
    <cellStyle name="常规 6 2 2 4 3 2 3 2 4" xfId="1039"/>
    <cellStyle name="常规 6 2 2 4 3 2 3 2 5" xfId="37284"/>
    <cellStyle name="常规 6 2 2 4 3 2 3 3" xfId="3824"/>
    <cellStyle name="常规 6 2 2 4 3 2 3 3 2" xfId="3862"/>
    <cellStyle name="常规 6 2 2 4 3 2 3 3 2 2" xfId="37285"/>
    <cellStyle name="常规 6 2 2 4 3 2 3 3 3" xfId="37286"/>
    <cellStyle name="常规 6 2 2 4 3 2 3 3 4" xfId="37287"/>
    <cellStyle name="常规 6 2 2 4 3 2 3 4" xfId="534"/>
    <cellStyle name="常规 6 2 2 4 3 2 3 4 2" xfId="37288"/>
    <cellStyle name="常规 6 2 2 4 3 2 3 5" xfId="257"/>
    <cellStyle name="常规 6 2 2 4 3 2 3 6" xfId="37289"/>
    <cellStyle name="常规 6 2 2 4 3 2 4" xfId="13687"/>
    <cellStyle name="常规 6 2 2 4 3 2 4 2" xfId="4107"/>
    <cellStyle name="常规 6 2 2 4 3 2 4 2 2" xfId="10017"/>
    <cellStyle name="常规 6 2 2 4 3 2 4 2 2 2" xfId="37290"/>
    <cellStyle name="常规 6 2 2 4 3 2 4 2 3" xfId="37291"/>
    <cellStyle name="常规 6 2 2 4 3 2 4 2 4" xfId="37292"/>
    <cellStyle name="常规 6 2 2 4 3 2 4 3" xfId="4110"/>
    <cellStyle name="常规 6 2 2 4 3 2 4 3 2" xfId="37293"/>
    <cellStyle name="常规 6 2 2 4 3 2 4 4" xfId="595"/>
    <cellStyle name="常规 6 2 2 4 3 2 4 5" xfId="37294"/>
    <cellStyle name="常规 6 2 2 4 3 2 5" xfId="13689"/>
    <cellStyle name="常规 6 2 2 4 3 2 5 2" xfId="13691"/>
    <cellStyle name="常规 6 2 2 4 3 2 5 2 2" xfId="37295"/>
    <cellStyle name="常规 6 2 2 4 3 2 5 3" xfId="37296"/>
    <cellStyle name="常规 6 2 2 4 3 2 5 4" xfId="37297"/>
    <cellStyle name="常规 6 2 2 4 3 2 6" xfId="13693"/>
    <cellStyle name="常规 6 2 2 4 3 2 6 2" xfId="37298"/>
    <cellStyle name="常规 6 2 2 4 3 2 7" xfId="13695"/>
    <cellStyle name="常规 6 2 2 4 3 2 8" xfId="37300"/>
    <cellStyle name="常规 6 2 2 4 3 3" xfId="13699"/>
    <cellStyle name="常规 6 2 2 4 3 3 2" xfId="13701"/>
    <cellStyle name="常规 6 2 2 4 3 3 2 2" xfId="13703"/>
    <cellStyle name="常规 6 2 2 4 3 3 2 2 2" xfId="4069"/>
    <cellStyle name="常规 6 2 2 4 3 3 2 2 2 2" xfId="3571"/>
    <cellStyle name="常规 6 2 2 4 3 3 2 2 2 2 2" xfId="37301"/>
    <cellStyle name="常规 6 2 2 4 3 3 2 2 2 3" xfId="37302"/>
    <cellStyle name="常规 6 2 2 4 3 3 2 2 2 4" xfId="37303"/>
    <cellStyle name="常规 6 2 2 4 3 3 2 2 3" xfId="13706"/>
    <cellStyle name="常规 6 2 2 4 3 3 2 2 3 2" xfId="37304"/>
    <cellStyle name="常规 6 2 2 4 3 3 2 2 4" xfId="13708"/>
    <cellStyle name="常规 6 2 2 4 3 3 2 2 5" xfId="37305"/>
    <cellStyle name="常规 6 2 2 4 3 3 2 3" xfId="13710"/>
    <cellStyle name="常规 6 2 2 4 3 3 2 3 2" xfId="13712"/>
    <cellStyle name="常规 6 2 2 4 3 3 2 3 2 2" xfId="37306"/>
    <cellStyle name="常规 6 2 2 4 3 3 2 3 3" xfId="37307"/>
    <cellStyle name="常规 6 2 2 4 3 3 2 3 4" xfId="37308"/>
    <cellStyle name="常规 6 2 2 4 3 3 2 4" xfId="13714"/>
    <cellStyle name="常规 6 2 2 4 3 3 2 4 2" xfId="37309"/>
    <cellStyle name="常规 6 2 2 4 3 3 2 5" xfId="13719"/>
    <cellStyle name="常规 6 2 2 4 3 3 2 6" xfId="37310"/>
    <cellStyle name="常规 6 2 2 4 3 3 3" xfId="13721"/>
    <cellStyle name="常规 6 2 2 4 3 3 3 2" xfId="13724"/>
    <cellStyle name="常规 6 2 2 4 3 3 3 2 2" xfId="2443"/>
    <cellStyle name="常规 6 2 2 4 3 3 3 2 2 2" xfId="37311"/>
    <cellStyle name="常规 6 2 2 4 3 3 3 2 3" xfId="37312"/>
    <cellStyle name="常规 6 2 2 4 3 3 3 2 4" xfId="37313"/>
    <cellStyle name="常规 6 2 2 4 3 3 3 3" xfId="13727"/>
    <cellStyle name="常规 6 2 2 4 3 3 3 3 2" xfId="37314"/>
    <cellStyle name="常规 6 2 2 4 3 3 3 4" xfId="13730"/>
    <cellStyle name="常规 6 2 2 4 3 3 3 5" xfId="37315"/>
    <cellStyle name="常规 6 2 2 4 3 3 4" xfId="13732"/>
    <cellStyle name="常规 6 2 2 4 3 3 4 2" xfId="13735"/>
    <cellStyle name="常规 6 2 2 4 3 3 4 2 2" xfId="37316"/>
    <cellStyle name="常规 6 2 2 4 3 3 4 3" xfId="37317"/>
    <cellStyle name="常规 6 2 2 4 3 3 4 4" xfId="37318"/>
    <cellStyle name="常规 6 2 2 4 3 3 5" xfId="13737"/>
    <cellStyle name="常规 6 2 2 4 3 3 5 2" xfId="37319"/>
    <cellStyle name="常规 6 2 2 4 3 3 6" xfId="13739"/>
    <cellStyle name="常规 6 2 2 4 3 3 7" xfId="37320"/>
    <cellStyle name="常规 6 2 2 4 3 4" xfId="13741"/>
    <cellStyle name="常规 6 2 2 4 3 4 2" xfId="13743"/>
    <cellStyle name="常规 6 2 2 4 3 4 2 2" xfId="13746"/>
    <cellStyle name="常规 6 2 2 4 3 4 2 2 2" xfId="218"/>
    <cellStyle name="常规 6 2 2 4 3 4 2 2 2 2" xfId="37321"/>
    <cellStyle name="常规 6 2 2 4 3 4 2 2 3" xfId="37322"/>
    <cellStyle name="常规 6 2 2 4 3 4 2 2 4" xfId="37323"/>
    <cellStyle name="常规 6 2 2 4 3 4 2 3" xfId="13748"/>
    <cellStyle name="常规 6 2 2 4 3 4 2 3 2" xfId="37324"/>
    <cellStyle name="常规 6 2 2 4 3 4 2 4" xfId="13750"/>
    <cellStyle name="常规 6 2 2 4 3 4 2 5" xfId="37325"/>
    <cellStyle name="常规 6 2 2 4 3 4 3" xfId="13752"/>
    <cellStyle name="常规 6 2 2 4 3 4 3 2" xfId="13755"/>
    <cellStyle name="常规 6 2 2 4 3 4 3 2 2" xfId="37326"/>
    <cellStyle name="常规 6 2 2 4 3 4 3 3" xfId="37327"/>
    <cellStyle name="常规 6 2 2 4 3 4 3 4" xfId="37329"/>
    <cellStyle name="常规 6 2 2 4 3 4 4" xfId="13757"/>
    <cellStyle name="常规 6 2 2 4 3 4 4 2" xfId="37330"/>
    <cellStyle name="常规 6 2 2 4 3 4 5" xfId="13759"/>
    <cellStyle name="常规 6 2 2 4 3 4 6" xfId="37331"/>
    <cellStyle name="常规 6 2 2 4 3 5" xfId="13761"/>
    <cellStyle name="常规 6 2 2 4 3 5 2" xfId="13763"/>
    <cellStyle name="常规 6 2 2 4 3 5 2 2" xfId="13765"/>
    <cellStyle name="常规 6 2 2 4 3 5 2 2 2" xfId="37332"/>
    <cellStyle name="常规 6 2 2 4 3 5 2 3" xfId="37333"/>
    <cellStyle name="常规 6 2 2 4 3 5 2 4" xfId="37334"/>
    <cellStyle name="常规 6 2 2 4 3 5 3" xfId="13767"/>
    <cellStyle name="常规 6 2 2 4 3 5 3 2" xfId="37335"/>
    <cellStyle name="常规 6 2 2 4 3 5 4" xfId="13769"/>
    <cellStyle name="常规 6 2 2 4 3 5 5" xfId="37336"/>
    <cellStyle name="常规 6 2 2 4 3 6" xfId="13771"/>
    <cellStyle name="常规 6 2 2 4 3 6 2" xfId="13773"/>
    <cellStyle name="常规 6 2 2 4 3 6 2 2" xfId="37337"/>
    <cellStyle name="常规 6 2 2 4 3 6 3" xfId="37338"/>
    <cellStyle name="常规 6 2 2 4 3 6 4" xfId="37339"/>
    <cellStyle name="常规 6 2 2 4 3 7" xfId="37340"/>
    <cellStyle name="常规 6 2 2 4 3 7 2" xfId="37341"/>
    <cellStyle name="常规 6 2 2 4 3 8" xfId="37342"/>
    <cellStyle name="常规 6 2 2 4 3 9" xfId="37344"/>
    <cellStyle name="常规 6 2 2 4 4" xfId="37345"/>
    <cellStyle name="常规 6 2 2 4 4 2" xfId="14050"/>
    <cellStyle name="常规 6 2 2 4 4 2 2" xfId="14052"/>
    <cellStyle name="常规 6 2 2 4 4 2 2 2" xfId="14055"/>
    <cellStyle name="常规 6 2 2 4 4 2 2 2 2" xfId="14058"/>
    <cellStyle name="常规 6 2 2 4 4 2 2 2 2 2" xfId="35942"/>
    <cellStyle name="常规 6 2 2 4 4 2 2 2 2 2 2" xfId="37346"/>
    <cellStyle name="常规 6 2 2 4 4 2 2 2 2 3" xfId="37347"/>
    <cellStyle name="常规 6 2 2 4 4 2 2 2 2 4" xfId="37348"/>
    <cellStyle name="常规 6 2 2 4 4 2 2 2 3" xfId="35944"/>
    <cellStyle name="常规 6 2 2 4 4 2 2 2 3 2" xfId="37349"/>
    <cellStyle name="常规 6 2 2 4 4 2 2 2 4" xfId="35946"/>
    <cellStyle name="常规 6 2 2 4 4 2 2 2 5" xfId="37350"/>
    <cellStyle name="常规 6 2 2 4 4 2 2 3" xfId="14062"/>
    <cellStyle name="常规 6 2 2 4 4 2 2 3 2" xfId="35956"/>
    <cellStyle name="常规 6 2 2 4 4 2 2 3 2 2" xfId="37351"/>
    <cellStyle name="常规 6 2 2 4 4 2 2 3 3" xfId="35958"/>
    <cellStyle name="常规 6 2 2 4 4 2 2 3 4" xfId="37352"/>
    <cellStyle name="常规 6 2 2 4 4 2 2 4" xfId="14065"/>
    <cellStyle name="常规 6 2 2 4 4 2 2 4 2" xfId="35964"/>
    <cellStyle name="常规 6 2 2 4 4 2 2 5" xfId="37353"/>
    <cellStyle name="常规 6 2 2 4 4 2 2 6" xfId="37354"/>
    <cellStyle name="常规 6 2 2 4 4 2 3" xfId="14069"/>
    <cellStyle name="常规 6 2 2 4 4 2 3 2" xfId="14071"/>
    <cellStyle name="常规 6 2 2 4 4 2 3 2 2" xfId="35996"/>
    <cellStyle name="常规 6 2 2 4 4 2 3 2 2 2" xfId="37355"/>
    <cellStyle name="常规 6 2 2 4 4 2 3 2 3" xfId="35998"/>
    <cellStyle name="常规 6 2 2 4 4 2 3 2 4" xfId="37356"/>
    <cellStyle name="常规 6 2 2 4 4 2 3 3" xfId="37357"/>
    <cellStyle name="常规 6 2 2 4 4 2 3 3 2" xfId="36004"/>
    <cellStyle name="常规 6 2 2 4 4 2 3 4" xfId="37358"/>
    <cellStyle name="常规 6 2 2 4 4 2 3 5" xfId="37359"/>
    <cellStyle name="常规 6 2 2 4 4 2 4" xfId="14073"/>
    <cellStyle name="常规 6 2 2 4 4 2 4 2" xfId="37360"/>
    <cellStyle name="常规 6 2 2 4 4 2 4 2 2" xfId="36025"/>
    <cellStyle name="常规 6 2 2 4 4 2 4 3" xfId="37361"/>
    <cellStyle name="常规 6 2 2 4 4 2 4 4" xfId="37362"/>
    <cellStyle name="常规 6 2 2 4 4 2 5" xfId="14075"/>
    <cellStyle name="常规 6 2 2 4 4 2 5 2" xfId="37363"/>
    <cellStyle name="常规 6 2 2 4 4 2 6" xfId="37365"/>
    <cellStyle name="常规 6 2 2 4 4 2 7" xfId="37367"/>
    <cellStyle name="常规 6 2 2 4 4 3" xfId="14078"/>
    <cellStyle name="常规 6 2 2 4 4 3 2" xfId="14081"/>
    <cellStyle name="常规 6 2 2 4 4 3 2 2" xfId="14083"/>
    <cellStyle name="常规 6 2 2 4 4 3 2 2 2" xfId="34594"/>
    <cellStyle name="常规 6 2 2 4 4 3 2 2 2 2" xfId="37368"/>
    <cellStyle name="常规 6 2 2 4 4 3 2 2 3" xfId="37369"/>
    <cellStyle name="常规 6 2 2 4 4 3 2 2 4" xfId="37370"/>
    <cellStyle name="常规 6 2 2 4 4 3 2 3" xfId="27239"/>
    <cellStyle name="常规 6 2 2 4 4 3 2 3 2" xfId="37371"/>
    <cellStyle name="常规 6 2 2 4 4 3 2 4" xfId="34597"/>
    <cellStyle name="常规 6 2 2 4 4 3 2 5" xfId="37372"/>
    <cellStyle name="常规 6 2 2 4 4 3 3" xfId="14087"/>
    <cellStyle name="常规 6 2 2 4 4 3 3 2" xfId="34601"/>
    <cellStyle name="常规 6 2 2 4 4 3 3 2 2" xfId="37373"/>
    <cellStyle name="常规 6 2 2 4 4 3 3 3" xfId="34603"/>
    <cellStyle name="常规 6 2 2 4 4 3 3 4" xfId="37374"/>
    <cellStyle name="常规 6 2 2 4 4 3 4" xfId="14090"/>
    <cellStyle name="常规 6 2 2 4 4 3 4 2" xfId="37375"/>
    <cellStyle name="常规 6 2 2 4 4 3 5" xfId="37376"/>
    <cellStyle name="常规 6 2 2 4 4 3 6" xfId="37378"/>
    <cellStyle name="常规 6 2 2 4 4 4" xfId="14093"/>
    <cellStyle name="常规 6 2 2 4 4 4 2" xfId="14095"/>
    <cellStyle name="常规 6 2 2 4 4 4 2 2" xfId="34609"/>
    <cellStyle name="常规 6 2 2 4 4 4 2 2 2" xfId="36307"/>
    <cellStyle name="常规 6 2 2 4 4 4 2 3" xfId="34611"/>
    <cellStyle name="常规 6 2 2 4 4 4 2 4" xfId="37379"/>
    <cellStyle name="常规 6 2 2 4 4 4 3" xfId="37380"/>
    <cellStyle name="常规 6 2 2 4 4 4 3 2" xfId="37381"/>
    <cellStyle name="常规 6 2 2 4 4 4 4" xfId="37382"/>
    <cellStyle name="常规 6 2 2 4 4 4 5" xfId="37383"/>
    <cellStyle name="常规 6 2 2 4 4 5" xfId="14099"/>
    <cellStyle name="常规 6 2 2 4 4 5 2" xfId="37384"/>
    <cellStyle name="常规 6 2 2 4 4 5 2 2" xfId="37385"/>
    <cellStyle name="常规 6 2 2 4 4 5 3" xfId="37386"/>
    <cellStyle name="常规 6 2 2 4 4 5 4" xfId="37387"/>
    <cellStyle name="常规 6 2 2 4 4 6" xfId="14102"/>
    <cellStyle name="常规 6 2 2 4 4 6 2" xfId="37388"/>
    <cellStyle name="常规 6 2 2 4 4 7" xfId="37389"/>
    <cellStyle name="常规 6 2 2 4 4 8" xfId="37390"/>
    <cellStyle name="常规 6 2 2 4 5" xfId="37391"/>
    <cellStyle name="常规 6 2 2 4 5 2" xfId="14294"/>
    <cellStyle name="常规 6 2 2 4 5 2 2" xfId="14296"/>
    <cellStyle name="常规 6 2 2 4 5 2 2 2" xfId="14298"/>
    <cellStyle name="常规 6 2 2 4 5 2 2 2 2" xfId="11311"/>
    <cellStyle name="常规 6 2 2 4 5 2 2 2 2 2" xfId="37392"/>
    <cellStyle name="常规 6 2 2 4 5 2 2 2 3" xfId="37393"/>
    <cellStyle name="常规 6 2 2 4 5 2 2 2 4" xfId="37394"/>
    <cellStyle name="常规 6 2 2 4 5 2 2 3" xfId="9082"/>
    <cellStyle name="常规 6 2 2 4 5 2 2 3 2" xfId="37395"/>
    <cellStyle name="常规 6 2 2 4 5 2 2 4" xfId="14303"/>
    <cellStyle name="常规 6 2 2 4 5 2 2 5" xfId="37396"/>
    <cellStyle name="常规 6 2 2 4 5 2 3" xfId="14305"/>
    <cellStyle name="常规 6 2 2 4 5 2 3 2" xfId="14307"/>
    <cellStyle name="常规 6 2 2 4 5 2 3 2 2" xfId="37397"/>
    <cellStyle name="常规 6 2 2 4 5 2 3 3" xfId="37398"/>
    <cellStyle name="常规 6 2 2 4 5 2 3 4" xfId="37399"/>
    <cellStyle name="常规 6 2 2 4 5 2 4" xfId="14309"/>
    <cellStyle name="常规 6 2 2 4 5 2 4 2" xfId="37400"/>
    <cellStyle name="常规 6 2 2 4 5 2 5" xfId="10430"/>
    <cellStyle name="常规 6 2 2 4 5 2 6" xfId="37402"/>
    <cellStyle name="常规 6 2 2 4 5 3" xfId="14313"/>
    <cellStyle name="常规 6 2 2 4 5 3 2" xfId="14315"/>
    <cellStyle name="常规 6 2 2 4 5 3 2 2" xfId="14317"/>
    <cellStyle name="常规 6 2 2 4 5 3 2 2 2" xfId="37003"/>
    <cellStyle name="常规 6 2 2 4 5 3 2 3" xfId="4594"/>
    <cellStyle name="常规 6 2 2 4 5 3 2 4" xfId="37403"/>
    <cellStyle name="常规 6 2 2 4 5 3 3" xfId="14320"/>
    <cellStyle name="常规 6 2 2 4 5 3 3 2" xfId="37404"/>
    <cellStyle name="常规 6 2 2 4 5 3 4" xfId="14323"/>
    <cellStyle name="常规 6 2 2 4 5 3 5" xfId="37405"/>
    <cellStyle name="常规 6 2 2 4 5 4" xfId="14325"/>
    <cellStyle name="常规 6 2 2 4 5 4 2" xfId="14328"/>
    <cellStyle name="常规 6 2 2 4 5 4 2 2" xfId="37406"/>
    <cellStyle name="常规 6 2 2 4 5 4 3" xfId="37407"/>
    <cellStyle name="常规 6 2 2 4 5 4 4" xfId="37408"/>
    <cellStyle name="常规 6 2 2 4 5 5" xfId="14331"/>
    <cellStyle name="常规 6 2 2 4 5 5 2" xfId="37409"/>
    <cellStyle name="常规 6 2 2 4 5 6" xfId="14334"/>
    <cellStyle name="常规 6 2 2 4 5 7" xfId="37411"/>
    <cellStyle name="常规 6 2 2 4 6" xfId="37412"/>
    <cellStyle name="常规 6 2 2 4 6 2" xfId="14449"/>
    <cellStyle name="常规 6 2 2 4 6 2 2" xfId="14452"/>
    <cellStyle name="常规 6 2 2 4 6 2 2 2" xfId="14455"/>
    <cellStyle name="常规 6 2 2 4 6 2 2 2 2" xfId="37328"/>
    <cellStyle name="常规 6 2 2 4 6 2 2 3" xfId="37413"/>
    <cellStyle name="常规 6 2 2 4 6 2 2 4" xfId="37414"/>
    <cellStyle name="常规 6 2 2 4 6 2 3" xfId="14458"/>
    <cellStyle name="常规 6 2 2 4 6 2 3 2" xfId="37415"/>
    <cellStyle name="常规 6 2 2 4 6 2 4" xfId="14461"/>
    <cellStyle name="常规 6 2 2 4 6 2 5" xfId="37416"/>
    <cellStyle name="常规 6 2 2 4 6 3" xfId="14465"/>
    <cellStyle name="常规 6 2 2 4 6 3 2" xfId="14468"/>
    <cellStyle name="常规 6 2 2 4 6 3 2 2" xfId="37417"/>
    <cellStyle name="常规 6 2 2 4 6 3 3" xfId="23087"/>
    <cellStyle name="常规 6 2 2 4 6 3 4" xfId="37418"/>
    <cellStyle name="常规 6 2 2 4 6 4" xfId="14474"/>
    <cellStyle name="常规 6 2 2 4 6 4 2" xfId="37419"/>
    <cellStyle name="常规 6 2 2 4 6 5" xfId="14478"/>
    <cellStyle name="常规 6 2 2 4 6 6" xfId="37421"/>
    <cellStyle name="常规 6 2 2 4 7" xfId="37422"/>
    <cellStyle name="常规 6 2 2 4 7 2" xfId="14539"/>
    <cellStyle name="常规 6 2 2 4 7 2 2" xfId="14543"/>
    <cellStyle name="常规 6 2 2 4 7 2 2 2" xfId="37423"/>
    <cellStyle name="常规 6 2 2 4 7 2 3" xfId="37424"/>
    <cellStyle name="常规 6 2 2 4 7 2 4" xfId="37425"/>
    <cellStyle name="常规 6 2 2 4 7 3" xfId="14548"/>
    <cellStyle name="常规 6 2 2 4 7 3 2" xfId="37426"/>
    <cellStyle name="常规 6 2 2 4 7 4" xfId="14552"/>
    <cellStyle name="常规 6 2 2 4 7 5" xfId="37427"/>
    <cellStyle name="常规 6 2 2 4 8" xfId="1729"/>
    <cellStyle name="常规 6 2 2 4 8 2" xfId="14586"/>
    <cellStyle name="常规 6 2 2 4 8 2 2" xfId="37428"/>
    <cellStyle name="常规 6 2 2 4 8 3" xfId="14590"/>
    <cellStyle name="常规 6 2 2 4 8 4" xfId="10130"/>
    <cellStyle name="常规 6 2 2 4 9" xfId="37429"/>
    <cellStyle name="常规 6 2 2 4 9 2" xfId="14611"/>
    <cellStyle name="常规 6 2 2 5" xfId="37430"/>
    <cellStyle name="常规 6 2 2 5 2" xfId="37431"/>
    <cellStyle name="常规 6 2 2 5 2 2" xfId="37432"/>
    <cellStyle name="常规 6 2 2 5 2 2 2" xfId="37433"/>
    <cellStyle name="常规 6 2 2 5 2 2 2 2" xfId="37434"/>
    <cellStyle name="常规 6 2 2 5 2 2 2 2 2" xfId="37435"/>
    <cellStyle name="常规 6 2 2 5 2 2 2 2 2 2" xfId="37436"/>
    <cellStyle name="常规 6 2 2 5 2 2 2 2 2 2 2" xfId="37437"/>
    <cellStyle name="常规 6 2 2 5 2 2 2 2 2 3" xfId="37438"/>
    <cellStyle name="常规 6 2 2 5 2 2 2 2 2 4" xfId="37439"/>
    <cellStyle name="常规 6 2 2 5 2 2 2 2 3" xfId="37440"/>
    <cellStyle name="常规 6 2 2 5 2 2 2 2 3 2" xfId="37442"/>
    <cellStyle name="常规 6 2 2 5 2 2 2 2 4" xfId="37443"/>
    <cellStyle name="常规 6 2 2 5 2 2 2 2 5" xfId="37444"/>
    <cellStyle name="常规 6 2 2 5 2 2 2 3" xfId="37445"/>
    <cellStyle name="常规 6 2 2 5 2 2 2 3 2" xfId="37446"/>
    <cellStyle name="常规 6 2 2 5 2 2 2 3 2 2" xfId="37447"/>
    <cellStyle name="常规 6 2 2 5 2 2 2 3 3" xfId="37448"/>
    <cellStyle name="常规 6 2 2 5 2 2 2 3 4" xfId="37449"/>
    <cellStyle name="常规 6 2 2 5 2 2 2 4" xfId="7307"/>
    <cellStyle name="常规 6 2 2 5 2 2 2 4 2" xfId="37450"/>
    <cellStyle name="常规 6 2 2 5 2 2 2 5" xfId="37451"/>
    <cellStyle name="常规 6 2 2 5 2 2 2 6" xfId="7317"/>
    <cellStyle name="常规 6 2 2 5 2 2 3" xfId="8697"/>
    <cellStyle name="常规 6 2 2 5 2 2 3 2" xfId="37452"/>
    <cellStyle name="常规 6 2 2 5 2 2 3 2 2" xfId="37453"/>
    <cellStyle name="常规 6 2 2 5 2 2 3 2 2 2" xfId="37454"/>
    <cellStyle name="常规 6 2 2 5 2 2 3 2 3" xfId="37455"/>
    <cellStyle name="常规 6 2 2 5 2 2 3 2 4" xfId="37456"/>
    <cellStyle name="常规 6 2 2 5 2 2 3 3" xfId="37457"/>
    <cellStyle name="常规 6 2 2 5 2 2 3 3 2" xfId="37458"/>
    <cellStyle name="常规 6 2 2 5 2 2 3 4" xfId="37459"/>
    <cellStyle name="常规 6 2 2 5 2 2 3 5" xfId="37460"/>
    <cellStyle name="常规 6 2 2 5 2 2 4" xfId="37461"/>
    <cellStyle name="常规 6 2 2 5 2 2 4 2" xfId="37462"/>
    <cellStyle name="常规 6 2 2 5 2 2 4 2 2" xfId="37463"/>
    <cellStyle name="常规 6 2 2 5 2 2 4 3" xfId="37464"/>
    <cellStyle name="常规 6 2 2 5 2 2 4 4" xfId="6204"/>
    <cellStyle name="常规 6 2 2 5 2 2 5" xfId="37465"/>
    <cellStyle name="常规 6 2 2 5 2 2 5 2" xfId="37466"/>
    <cellStyle name="常规 6 2 2 5 2 2 6" xfId="37467"/>
    <cellStyle name="常规 6 2 2 5 2 2 7" xfId="37468"/>
    <cellStyle name="常规 6 2 2 5 2 3" xfId="37469"/>
    <cellStyle name="常规 6 2 2 5 2 3 2" xfId="37470"/>
    <cellStyle name="常规 6 2 2 5 2 3 2 2" xfId="37471"/>
    <cellStyle name="常规 6 2 2 5 2 3 2 2 2" xfId="37472"/>
    <cellStyle name="常规 6 2 2 5 2 3 2 2 2 2" xfId="37473"/>
    <cellStyle name="常规 6 2 2 5 2 3 2 2 3" xfId="37474"/>
    <cellStyle name="常规 6 2 2 5 2 3 2 2 4" xfId="37475"/>
    <cellStyle name="常规 6 2 2 5 2 3 2 3" xfId="37476"/>
    <cellStyle name="常规 6 2 2 5 2 3 2 3 2" xfId="3534"/>
    <cellStyle name="常规 6 2 2 5 2 3 2 4" xfId="37477"/>
    <cellStyle name="常规 6 2 2 5 2 3 2 5" xfId="37478"/>
    <cellStyle name="常规 6 2 2 5 2 3 3" xfId="37479"/>
    <cellStyle name="常规 6 2 2 5 2 3 3 2" xfId="37480"/>
    <cellStyle name="常规 6 2 2 5 2 3 3 2 2" xfId="37481"/>
    <cellStyle name="常规 6 2 2 5 2 3 3 3" xfId="37482"/>
    <cellStyle name="常规 6 2 2 5 2 3 3 4" xfId="37483"/>
    <cellStyle name="常规 6 2 2 5 2 3 4" xfId="37484"/>
    <cellStyle name="常规 6 2 2 5 2 3 4 2" xfId="37485"/>
    <cellStyle name="常规 6 2 2 5 2 3 5" xfId="37486"/>
    <cellStyle name="常规 6 2 2 5 2 3 6" xfId="37487"/>
    <cellStyle name="常规 6 2 2 5 2 4" xfId="37488"/>
    <cellStyle name="常规 6 2 2 5 2 4 2" xfId="37489"/>
    <cellStyle name="常规 6 2 2 5 2 4 2 2" xfId="28588"/>
    <cellStyle name="常规 6 2 2 5 2 4 2 2 2" xfId="5953"/>
    <cellStyle name="常规 6 2 2 5 2 4 2 3" xfId="28593"/>
    <cellStyle name="常规 6 2 2 5 2 4 2 4" xfId="28597"/>
    <cellStyle name="常规 6 2 2 5 2 4 3" xfId="37490"/>
    <cellStyle name="常规 6 2 2 5 2 4 3 2" xfId="28626"/>
    <cellStyle name="常规 6 2 2 5 2 4 4" xfId="37491"/>
    <cellStyle name="常规 6 2 2 5 2 4 5" xfId="37492"/>
    <cellStyle name="常规 6 2 2 5 2 5" xfId="37493"/>
    <cellStyle name="常规 6 2 2 5 2 5 2" xfId="37494"/>
    <cellStyle name="常规 6 2 2 5 2 5 2 2" xfId="28686"/>
    <cellStyle name="常规 6 2 2 5 2 5 3" xfId="37495"/>
    <cellStyle name="常规 6 2 2 5 2 5 4" xfId="37496"/>
    <cellStyle name="常规 6 2 2 5 2 6" xfId="37497"/>
    <cellStyle name="常规 6 2 2 5 2 6 2" xfId="37498"/>
    <cellStyle name="常规 6 2 2 5 2 7" xfId="37499"/>
    <cellStyle name="常规 6 2 2 5 2 8" xfId="37500"/>
    <cellStyle name="常规 6 2 2 5 3" xfId="37501"/>
    <cellStyle name="常规 6 2 2 5 3 2" xfId="14805"/>
    <cellStyle name="常规 6 2 2 5 3 2 2" xfId="9358"/>
    <cellStyle name="常规 6 2 2 5 3 2 2 2" xfId="9361"/>
    <cellStyle name="常规 6 2 2 5 3 2 2 2 2" xfId="3482"/>
    <cellStyle name="常规 6 2 2 5 3 2 2 2 2 2" xfId="37502"/>
    <cellStyle name="常规 6 2 2 5 3 2 2 2 3" xfId="37503"/>
    <cellStyle name="常规 6 2 2 5 3 2 2 2 4" xfId="7293"/>
    <cellStyle name="常规 6 2 2 5 3 2 2 3" xfId="14807"/>
    <cellStyle name="常规 6 2 2 5 3 2 2 3 2" xfId="37504"/>
    <cellStyle name="常规 6 2 2 5 3 2 2 4" xfId="7416"/>
    <cellStyle name="常规 6 2 2 5 3 2 2 5" xfId="37505"/>
    <cellStyle name="常规 6 2 2 5 3 2 3" xfId="9364"/>
    <cellStyle name="常规 6 2 2 5 3 2 3 2" xfId="14809"/>
    <cellStyle name="常规 6 2 2 5 3 2 3 2 2" xfId="37506"/>
    <cellStyle name="常规 6 2 2 5 3 2 3 3" xfId="37507"/>
    <cellStyle name="常规 6 2 2 5 3 2 3 4" xfId="37508"/>
    <cellStyle name="常规 6 2 2 5 3 2 4" xfId="7606"/>
    <cellStyle name="常规 6 2 2 5 3 2 4 2" xfId="7610"/>
    <cellStyle name="常规 6 2 2 5 3 2 5" xfId="649"/>
    <cellStyle name="常规 6 2 2 5 3 2 6" xfId="914"/>
    <cellStyle name="常规 6 2 2 5 3 3" xfId="14811"/>
    <cellStyle name="常规 6 2 2 5 3 3 2" xfId="9427"/>
    <cellStyle name="常规 6 2 2 5 3 3 2 2" xfId="14813"/>
    <cellStyle name="常规 6 2 2 5 3 3 2 2 2" xfId="37509"/>
    <cellStyle name="常规 6 2 2 5 3 3 2 3" xfId="37510"/>
    <cellStyle name="常规 6 2 2 5 3 3 2 4" xfId="37511"/>
    <cellStyle name="常规 6 2 2 5 3 3 3" xfId="9430"/>
    <cellStyle name="常规 6 2 2 5 3 3 3 2" xfId="37512"/>
    <cellStyle name="常规 6 2 2 5 3 3 4" xfId="6395"/>
    <cellStyle name="常规 6 2 2 5 3 3 5" xfId="925"/>
    <cellStyle name="常规 6 2 2 5 3 4" xfId="14815"/>
    <cellStyle name="常规 6 2 2 5 3 4 2" xfId="9461"/>
    <cellStyle name="常规 6 2 2 5 3 4 2 2" xfId="28773"/>
    <cellStyle name="常规 6 2 2 5 3 4 3" xfId="37513"/>
    <cellStyle name="常规 6 2 2 5 3 4 4" xfId="3704"/>
    <cellStyle name="常规 6 2 2 5 3 5" xfId="7187"/>
    <cellStyle name="常规 6 2 2 5 3 5 2" xfId="37514"/>
    <cellStyle name="常规 6 2 2 5 3 6" xfId="6763"/>
    <cellStyle name="常规 6 2 2 5 3 7" xfId="37515"/>
    <cellStyle name="常规 6 2 2 5 4" xfId="37516"/>
    <cellStyle name="常规 6 2 2 5 4 2" xfId="15003"/>
    <cellStyle name="常规 6 2 2 5 4 2 2" xfId="9577"/>
    <cellStyle name="常规 6 2 2 5 4 2 2 2" xfId="15005"/>
    <cellStyle name="常规 6 2 2 5 4 2 2 2 2" xfId="11541"/>
    <cellStyle name="常规 6 2 2 5 4 2 2 3" xfId="15007"/>
    <cellStyle name="常规 6 2 2 5 4 2 2 4" xfId="15009"/>
    <cellStyle name="常规 6 2 2 5 4 2 3" xfId="15011"/>
    <cellStyle name="常规 6 2 2 5 4 2 3 2" xfId="15013"/>
    <cellStyle name="常规 6 2 2 5 4 2 4" xfId="301"/>
    <cellStyle name="常规 6 2 2 5 4 2 5" xfId="41"/>
    <cellStyle name="常规 6 2 2 5 4 3" xfId="15016"/>
    <cellStyle name="常规 6 2 2 5 4 3 2" xfId="15018"/>
    <cellStyle name="常规 6 2 2 5 4 3 2 2" xfId="15020"/>
    <cellStyle name="常规 6 2 2 5 4 3 3" xfId="15023"/>
    <cellStyle name="常规 6 2 2 5 4 3 4" xfId="7627"/>
    <cellStyle name="常规 6 2 2 5 4 4" xfId="15025"/>
    <cellStyle name="常规 6 2 2 5 4 4 2" xfId="15027"/>
    <cellStyle name="常规 6 2 2 5 4 5" xfId="15"/>
    <cellStyle name="常规 6 2 2 5 4 6" xfId="6838"/>
    <cellStyle name="常规 6 2 2 5 5" xfId="37517"/>
    <cellStyle name="常规 6 2 2 5 5 2" xfId="15097"/>
    <cellStyle name="常规 6 2 2 5 5 2 2" xfId="15099"/>
    <cellStyle name="常规 6 2 2 5 5 2 2 2" xfId="15101"/>
    <cellStyle name="常规 6 2 2 5 5 2 3" xfId="15103"/>
    <cellStyle name="常规 6 2 2 5 5 2 4" xfId="7634"/>
    <cellStyle name="常规 6 2 2 5 5 3" xfId="15105"/>
    <cellStyle name="常规 6 2 2 5 5 3 2" xfId="15107"/>
    <cellStyle name="常规 6 2 2 5 5 4" xfId="15109"/>
    <cellStyle name="常规 6 2 2 5 5 5" xfId="6851"/>
    <cellStyle name="常规 6 2 2 5 6" xfId="37518"/>
    <cellStyle name="常规 6 2 2 5 6 2" xfId="15153"/>
    <cellStyle name="常规 6 2 2 5 6 2 2" xfId="15156"/>
    <cellStyle name="常规 6 2 2 5 6 3" xfId="15160"/>
    <cellStyle name="常规 6 2 2 5 6 4" xfId="15163"/>
    <cellStyle name="常规 6 2 2 5 7" xfId="37519"/>
    <cellStyle name="常规 6 2 2 5 7 2" xfId="15188"/>
    <cellStyle name="常规 6 2 2 5 8" xfId="37520"/>
    <cellStyle name="常规 6 2 2 5 9" xfId="1547"/>
    <cellStyle name="常规 6 2 2 6" xfId="37521"/>
    <cellStyle name="常规 6 2 2 6 2" xfId="37522"/>
    <cellStyle name="常规 6 2 2 6 2 2" xfId="33425"/>
    <cellStyle name="常规 6 2 2 6 2 2 2" xfId="37523"/>
    <cellStyle name="常规 6 2 2 6 2 2 2 2" xfId="37524"/>
    <cellStyle name="常规 6 2 2 6 2 2 2 2 2" xfId="37525"/>
    <cellStyle name="常规 6 2 2 6 2 2 2 2 2 2" xfId="37526"/>
    <cellStyle name="常规 6 2 2 6 2 2 2 2 2 2 2" xfId="37527"/>
    <cellStyle name="常规 6 2 2 6 2 2 2 2 2 3" xfId="37528"/>
    <cellStyle name="常规 6 2 2 6 2 2 2 2 2 4" xfId="37529"/>
    <cellStyle name="常规 6 2 2 6 2 2 2 2 3" xfId="37530"/>
    <cellStyle name="常规 6 2 2 6 2 2 2 2 3 2" xfId="37531"/>
    <cellStyle name="常规 6 2 2 6 2 2 2 2 4" xfId="37532"/>
    <cellStyle name="常规 6 2 2 6 2 2 2 2 5" xfId="37533"/>
    <cellStyle name="常规 6 2 2 6 2 2 2 3" xfId="37534"/>
    <cellStyle name="常规 6 2 2 6 2 2 2 3 2" xfId="37535"/>
    <cellStyle name="常规 6 2 2 6 2 2 2 3 2 2" xfId="37536"/>
    <cellStyle name="常规 6 2 2 6 2 2 2 3 3" xfId="37537"/>
    <cellStyle name="常规 6 2 2 6 2 2 2 3 4" xfId="37538"/>
    <cellStyle name="常规 6 2 2 6 2 2 2 4" xfId="4412"/>
    <cellStyle name="常规 6 2 2 6 2 2 2 4 2" xfId="37539"/>
    <cellStyle name="常规 6 2 2 6 2 2 2 5" xfId="37540"/>
    <cellStyle name="常规 6 2 2 6 2 2 2 6" xfId="37541"/>
    <cellStyle name="常规 6 2 2 6 2 2 3" xfId="37542"/>
    <cellStyle name="常规 6 2 2 6 2 2 3 2" xfId="37543"/>
    <cellStyle name="常规 6 2 2 6 2 2 3 2 2" xfId="37544"/>
    <cellStyle name="常规 6 2 2 6 2 2 3 2 2 2" xfId="37545"/>
    <cellStyle name="常规 6 2 2 6 2 2 3 2 3" xfId="37546"/>
    <cellStyle name="常规 6 2 2 6 2 2 3 2 4" xfId="37547"/>
    <cellStyle name="常规 6 2 2 6 2 2 3 3" xfId="37548"/>
    <cellStyle name="常规 6 2 2 6 2 2 3 3 2" xfId="37549"/>
    <cellStyle name="常规 6 2 2 6 2 2 3 4" xfId="37550"/>
    <cellStyle name="常规 6 2 2 6 2 2 3 5" xfId="37551"/>
    <cellStyle name="常规 6 2 2 6 2 2 4" xfId="37552"/>
    <cellStyle name="常规 6 2 2 6 2 2 4 2" xfId="37553"/>
    <cellStyle name="常规 6 2 2 6 2 2 4 2 2" xfId="37554"/>
    <cellStyle name="常规 6 2 2 6 2 2 4 3" xfId="37555"/>
    <cellStyle name="常规 6 2 2 6 2 2 4 4" xfId="37556"/>
    <cellStyle name="常规 6 2 2 6 2 2 5" xfId="37557"/>
    <cellStyle name="常规 6 2 2 6 2 2 5 2" xfId="37558"/>
    <cellStyle name="常规 6 2 2 6 2 2 6" xfId="37559"/>
    <cellStyle name="常规 6 2 2 6 2 2 7" xfId="37560"/>
    <cellStyle name="常规 6 2 2 6 2 3" xfId="37561"/>
    <cellStyle name="常规 6 2 2 6 2 3 2" xfId="37562"/>
    <cellStyle name="常规 6 2 2 6 2 3 2 2" xfId="37563"/>
    <cellStyle name="常规 6 2 2 6 2 3 2 2 2" xfId="37564"/>
    <cellStyle name="常规 6 2 2 6 2 3 2 2 2 2" xfId="37565"/>
    <cellStyle name="常规 6 2 2 6 2 3 2 2 3" xfId="37566"/>
    <cellStyle name="常规 6 2 2 6 2 3 2 2 4" xfId="37567"/>
    <cellStyle name="常规 6 2 2 6 2 3 2 3" xfId="37568"/>
    <cellStyle name="常规 6 2 2 6 2 3 2 3 2" xfId="37569"/>
    <cellStyle name="常规 6 2 2 6 2 3 2 4" xfId="37570"/>
    <cellStyle name="常规 6 2 2 6 2 3 2 5" xfId="37571"/>
    <cellStyle name="常规 6 2 2 6 2 3 3" xfId="37572"/>
    <cellStyle name="常规 6 2 2 6 2 3 3 2" xfId="37573"/>
    <cellStyle name="常规 6 2 2 6 2 3 3 2 2" xfId="37574"/>
    <cellStyle name="常规 6 2 2 6 2 3 3 3" xfId="37575"/>
    <cellStyle name="常规 6 2 2 6 2 3 3 4" xfId="37576"/>
    <cellStyle name="常规 6 2 2 6 2 3 4" xfId="37577"/>
    <cellStyle name="常规 6 2 2 6 2 3 4 2" xfId="37578"/>
    <cellStyle name="常规 6 2 2 6 2 3 5" xfId="37579"/>
    <cellStyle name="常规 6 2 2 6 2 3 6" xfId="37580"/>
    <cellStyle name="常规 6 2 2 6 2 4" xfId="37581"/>
    <cellStyle name="常规 6 2 2 6 2 4 2" xfId="37582"/>
    <cellStyle name="常规 6 2 2 6 2 4 2 2" xfId="1859"/>
    <cellStyle name="常规 6 2 2 6 2 4 2 2 2" xfId="16210"/>
    <cellStyle name="常规 6 2 2 6 2 4 2 3" xfId="16214"/>
    <cellStyle name="常规 6 2 2 6 2 4 2 4" xfId="1901"/>
    <cellStyle name="常规 6 2 2 6 2 4 3" xfId="37583"/>
    <cellStyle name="常规 6 2 2 6 2 4 3 2" xfId="16218"/>
    <cellStyle name="常规 6 2 2 6 2 4 4" xfId="37584"/>
    <cellStyle name="常规 6 2 2 6 2 4 5" xfId="37585"/>
    <cellStyle name="常规 6 2 2 6 2 5" xfId="37586"/>
    <cellStyle name="常规 6 2 2 6 2 5 2" xfId="37587"/>
    <cellStyle name="常规 6 2 2 6 2 5 2 2" xfId="16231"/>
    <cellStyle name="常规 6 2 2 6 2 5 3" xfId="37588"/>
    <cellStyle name="常规 6 2 2 6 2 5 4" xfId="37589"/>
    <cellStyle name="常规 6 2 2 6 2 6" xfId="37590"/>
    <cellStyle name="常规 6 2 2 6 2 6 2" xfId="37591"/>
    <cellStyle name="常规 6 2 2 6 2 7" xfId="37592"/>
    <cellStyle name="常规 6 2 2 6 2 8" xfId="37593"/>
    <cellStyle name="常规 6 2 2 6 3" xfId="37594"/>
    <cellStyle name="常规 6 2 2 6 3 2" xfId="15458"/>
    <cellStyle name="常规 6 2 2 6 3 2 2" xfId="7262"/>
    <cellStyle name="常规 6 2 2 6 3 2 2 2" xfId="1891"/>
    <cellStyle name="常规 6 2 2 6 3 2 2 2 2" xfId="7271"/>
    <cellStyle name="常规 6 2 2 6 3 2 2 2 2 2" xfId="37595"/>
    <cellStyle name="常规 6 2 2 6 3 2 2 2 3" xfId="37596"/>
    <cellStyle name="常规 6 2 2 6 3 2 2 2 4" xfId="37597"/>
    <cellStyle name="常规 6 2 2 6 3 2 2 3" xfId="5398"/>
    <cellStyle name="常规 6 2 2 6 3 2 2 3 2" xfId="37598"/>
    <cellStyle name="常规 6 2 2 6 3 2 2 4" xfId="362"/>
    <cellStyle name="常规 6 2 2 6 3 2 2 5" xfId="37599"/>
    <cellStyle name="常规 6 2 2 6 3 2 3" xfId="1980"/>
    <cellStyle name="常规 6 2 2 6 3 2 3 2" xfId="1990"/>
    <cellStyle name="常规 6 2 2 6 3 2 3 2 2" xfId="37600"/>
    <cellStyle name="常规 6 2 2 6 3 2 3 3" xfId="37601"/>
    <cellStyle name="常规 6 2 2 6 3 2 3 4" xfId="37602"/>
    <cellStyle name="常规 6 2 2 6 3 2 4" xfId="2012"/>
    <cellStyle name="常规 6 2 2 6 3 2 4 2" xfId="2023"/>
    <cellStyle name="常规 6 2 2 6 3 2 5" xfId="274"/>
    <cellStyle name="常规 6 2 2 6 3 2 6" xfId="213"/>
    <cellStyle name="常规 6 2 2 6 3 3" xfId="15461"/>
    <cellStyle name="常规 6 2 2 6 3 3 2" xfId="7285"/>
    <cellStyle name="常规 6 2 2 6 3 3 2 2" xfId="5115"/>
    <cellStyle name="常规 6 2 2 6 3 3 2 2 2" xfId="37603"/>
    <cellStyle name="常规 6 2 2 6 3 3 2 3" xfId="37604"/>
    <cellStyle name="常规 6 2 2 6 3 3 2 4" xfId="37605"/>
    <cellStyle name="常规 6 2 2 6 3 3 3" xfId="2057"/>
    <cellStyle name="常规 6 2 2 6 3 3 3 2" xfId="37606"/>
    <cellStyle name="常规 6 2 2 6 3 3 4" xfId="2086"/>
    <cellStyle name="常规 6 2 2 6 3 3 5" xfId="37607"/>
    <cellStyle name="常规 6 2 2 6 3 4" xfId="8339"/>
    <cellStyle name="常规 6 2 2 6 3 4 2" xfId="7301"/>
    <cellStyle name="常规 6 2 2 6 3 4 2 2" xfId="8342"/>
    <cellStyle name="常规 6 2 2 6 3 4 3" xfId="37608"/>
    <cellStyle name="常规 6 2 2 6 3 4 4" xfId="37609"/>
    <cellStyle name="常规 6 2 2 6 3 5" xfId="7202"/>
    <cellStyle name="常规 6 2 2 6 3 5 2" xfId="37610"/>
    <cellStyle name="常规 6 2 2 6 3 6" xfId="6191"/>
    <cellStyle name="常规 6 2 2 6 3 7" xfId="37611"/>
    <cellStyle name="常规 6 2 2 6 4" xfId="37612"/>
    <cellStyle name="常规 6 2 2 6 4 2" xfId="15589"/>
    <cellStyle name="常规 6 2 2 6 4 2 2" xfId="7325"/>
    <cellStyle name="常规 6 2 2 6 4 2 2 2" xfId="5662"/>
    <cellStyle name="常规 6 2 2 6 4 2 2 2 2" xfId="37614"/>
    <cellStyle name="常规 6 2 2 6 4 2 2 3" xfId="30085"/>
    <cellStyle name="常规 6 2 2 6 4 2 2 4" xfId="37615"/>
    <cellStyle name="常规 6 2 2 6 4 2 3" xfId="2164"/>
    <cellStyle name="常规 6 2 2 6 4 2 3 2" xfId="37616"/>
    <cellStyle name="常规 6 2 2 6 4 2 4" xfId="7334"/>
    <cellStyle name="常规 6 2 2 6 4 2 5" xfId="37617"/>
    <cellStyle name="常规 6 2 2 6 4 3" xfId="15591"/>
    <cellStyle name="常规 6 2 2 6 4 3 2" xfId="7348"/>
    <cellStyle name="常规 6 2 2 6 4 3 2 2" xfId="37618"/>
    <cellStyle name="常规 6 2 2 6 4 3 3" xfId="37619"/>
    <cellStyle name="常规 6 2 2 6 4 3 4" xfId="37620"/>
    <cellStyle name="常规 6 2 2 6 4 4" xfId="8350"/>
    <cellStyle name="常规 6 2 2 6 4 4 2" xfId="37621"/>
    <cellStyle name="常规 6 2 2 6 4 5" xfId="6867"/>
    <cellStyle name="常规 6 2 2 6 4 6" xfId="37622"/>
    <cellStyle name="常规 6 2 2 6 5" xfId="37623"/>
    <cellStyle name="常规 6 2 2 6 5 2" xfId="15644"/>
    <cellStyle name="常规 6 2 2 6 5 2 2" xfId="7367"/>
    <cellStyle name="常规 6 2 2 6 5 2 2 2" xfId="37624"/>
    <cellStyle name="常规 6 2 2 6 5 2 3" xfId="37625"/>
    <cellStyle name="常规 6 2 2 6 5 2 4" xfId="37626"/>
    <cellStyle name="常规 6 2 2 6 5 3" xfId="15646"/>
    <cellStyle name="常规 6 2 2 6 5 3 2" xfId="37627"/>
    <cellStyle name="常规 6 2 2 6 5 4" xfId="8354"/>
    <cellStyle name="常规 6 2 2 6 5 5" xfId="37628"/>
    <cellStyle name="常规 6 2 2 6 6" xfId="37629"/>
    <cellStyle name="常规 6 2 2 6 6 2" xfId="15680"/>
    <cellStyle name="常规 6 2 2 6 6 2 2" xfId="37630"/>
    <cellStyle name="常规 6 2 2 6 6 3" xfId="15683"/>
    <cellStyle name="常规 6 2 2 6 6 4" xfId="37631"/>
    <cellStyle name="常规 6 2 2 6 7" xfId="37632"/>
    <cellStyle name="常规 6 2 2 6 7 2" xfId="15698"/>
    <cellStyle name="常规 6 2 2 6 8" xfId="37633"/>
    <cellStyle name="常规 6 2 2 6 9" xfId="1589"/>
    <cellStyle name="常规 6 2 2 7" xfId="5208"/>
    <cellStyle name="常规 6 2 2 7 2" xfId="37634"/>
    <cellStyle name="常规 6 2 2 7 2 2" xfId="37635"/>
    <cellStyle name="常规 6 2 2 7 2 2 2" xfId="37636"/>
    <cellStyle name="常规 6 2 2 7 2 2 2 2" xfId="37637"/>
    <cellStyle name="常规 6 2 2 7 2 2 2 2 2" xfId="37638"/>
    <cellStyle name="常规 6 2 2 7 2 2 2 2 2 2" xfId="37639"/>
    <cellStyle name="常规 6 2 2 7 2 2 2 2 3" xfId="37640"/>
    <cellStyle name="常规 6 2 2 7 2 2 2 2 4" xfId="37641"/>
    <cellStyle name="常规 6 2 2 7 2 2 2 3" xfId="37642"/>
    <cellStyle name="常规 6 2 2 7 2 2 2 3 2" xfId="37643"/>
    <cellStyle name="常规 6 2 2 7 2 2 2 4" xfId="37644"/>
    <cellStyle name="常规 6 2 2 7 2 2 2 5" xfId="37645"/>
    <cellStyle name="常规 6 2 2 7 2 2 3" xfId="37646"/>
    <cellStyle name="常规 6 2 2 7 2 2 3 2" xfId="37647"/>
    <cellStyle name="常规 6 2 2 7 2 2 3 2 2" xfId="37648"/>
    <cellStyle name="常规 6 2 2 7 2 2 3 3" xfId="37649"/>
    <cellStyle name="常规 6 2 2 7 2 2 3 4" xfId="37650"/>
    <cellStyle name="常规 6 2 2 7 2 2 4" xfId="37651"/>
    <cellStyle name="常规 6 2 2 7 2 2 4 2" xfId="37652"/>
    <cellStyle name="常规 6 2 2 7 2 2 5" xfId="19874"/>
    <cellStyle name="常规 6 2 2 7 2 2 6" xfId="37653"/>
    <cellStyle name="常规 6 2 2 7 2 3" xfId="37654"/>
    <cellStyle name="常规 6 2 2 7 2 3 2" xfId="37655"/>
    <cellStyle name="常规 6 2 2 7 2 3 2 2" xfId="37656"/>
    <cellStyle name="常规 6 2 2 7 2 3 2 2 2" xfId="37657"/>
    <cellStyle name="常规 6 2 2 7 2 3 2 3" xfId="37658"/>
    <cellStyle name="常规 6 2 2 7 2 3 2 4" xfId="37659"/>
    <cellStyle name="常规 6 2 2 7 2 3 3" xfId="37660"/>
    <cellStyle name="常规 6 2 2 7 2 3 3 2" xfId="31805"/>
    <cellStyle name="常规 6 2 2 7 2 3 4" xfId="37661"/>
    <cellStyle name="常规 6 2 2 7 2 3 5" xfId="37662"/>
    <cellStyle name="常规 6 2 2 7 2 4" xfId="37663"/>
    <cellStyle name="常规 6 2 2 7 2 4 2" xfId="37664"/>
    <cellStyle name="常规 6 2 2 7 2 4 2 2" xfId="13406"/>
    <cellStyle name="常规 6 2 2 7 2 4 3" xfId="37665"/>
    <cellStyle name="常规 6 2 2 7 2 4 4" xfId="37666"/>
    <cellStyle name="常规 6 2 2 7 2 5" xfId="37667"/>
    <cellStyle name="常规 6 2 2 7 2 5 2" xfId="37668"/>
    <cellStyle name="常规 6 2 2 7 2 6" xfId="37670"/>
    <cellStyle name="常规 6 2 2 7 2 7" xfId="37672"/>
    <cellStyle name="常规 6 2 2 7 3" xfId="37673"/>
    <cellStyle name="常规 6 2 2 7 3 2" xfId="15751"/>
    <cellStyle name="常规 6 2 2 7 3 2 2" xfId="7400"/>
    <cellStyle name="常规 6 2 2 7 3 2 2 2" xfId="37674"/>
    <cellStyle name="常规 6 2 2 7 3 2 2 2 2" xfId="37675"/>
    <cellStyle name="常规 6 2 2 7 3 2 2 3" xfId="37676"/>
    <cellStyle name="常规 6 2 2 7 3 2 2 4" xfId="2383"/>
    <cellStyle name="常规 6 2 2 7 3 2 3" xfId="37677"/>
    <cellStyle name="常规 6 2 2 7 3 2 3 2" xfId="37678"/>
    <cellStyle name="常规 6 2 2 7 3 2 4" xfId="3014"/>
    <cellStyle name="常规 6 2 2 7 3 2 5" xfId="37679"/>
    <cellStyle name="常规 6 2 2 7 3 3" xfId="15753"/>
    <cellStyle name="常规 6 2 2 7 3 3 2" xfId="37680"/>
    <cellStyle name="常规 6 2 2 7 3 3 2 2" xfId="37681"/>
    <cellStyle name="常规 6 2 2 7 3 3 3" xfId="37682"/>
    <cellStyle name="常规 6 2 2 7 3 3 4" xfId="37683"/>
    <cellStyle name="常规 6 2 2 7 3 4" xfId="8361"/>
    <cellStyle name="常规 6 2 2 7 3 4 2" xfId="37684"/>
    <cellStyle name="常规 6 2 2 7 3 5" xfId="37685"/>
    <cellStyle name="常规 6 2 2 7 3 6" xfId="37687"/>
    <cellStyle name="常规 6 2 2 7 4" xfId="37688"/>
    <cellStyle name="常规 6 2 2 7 4 2" xfId="15772"/>
    <cellStyle name="常规 6 2 2 7 4 2 2" xfId="37689"/>
    <cellStyle name="常规 6 2 2 7 4 2 2 2" xfId="37690"/>
    <cellStyle name="常规 6 2 2 7 4 2 3" xfId="37691"/>
    <cellStyle name="常规 6 2 2 7 4 2 4" xfId="37692"/>
    <cellStyle name="常规 6 2 2 7 4 3" xfId="15774"/>
    <cellStyle name="常规 6 2 2 7 4 3 2" xfId="37693"/>
    <cellStyle name="常规 6 2 2 7 4 4" xfId="37694"/>
    <cellStyle name="常规 6 2 2 7 4 5" xfId="37695"/>
    <cellStyle name="常规 6 2 2 7 5" xfId="37696"/>
    <cellStyle name="常规 6 2 2 7 5 2" xfId="15784"/>
    <cellStyle name="常规 6 2 2 7 5 2 2" xfId="37697"/>
    <cellStyle name="常规 6 2 2 7 5 3" xfId="37698"/>
    <cellStyle name="常规 6 2 2 7 5 4" xfId="37699"/>
    <cellStyle name="常规 6 2 2 7 6" xfId="37700"/>
    <cellStyle name="常规 6 2 2 7 6 2" xfId="37701"/>
    <cellStyle name="常规 6 2 2 7 7" xfId="37702"/>
    <cellStyle name="常规 6 2 2 7 8" xfId="37703"/>
    <cellStyle name="常规 6 2 2 8" xfId="37704"/>
    <cellStyle name="常规 6 2 2 8 2" xfId="37705"/>
    <cellStyle name="常规 6 2 2 8 2 2" xfId="37706"/>
    <cellStyle name="常规 6 2 2 8 2 2 2" xfId="37707"/>
    <cellStyle name="常规 6 2 2 8 2 2 2 2" xfId="6810"/>
    <cellStyle name="常规 6 2 2 8 2 2 2 2 2" xfId="37708"/>
    <cellStyle name="常规 6 2 2 8 2 2 2 3" xfId="25745"/>
    <cellStyle name="常规 6 2 2 8 2 2 2 4" xfId="37709"/>
    <cellStyle name="常规 6 2 2 8 2 2 3" xfId="37710"/>
    <cellStyle name="常规 6 2 2 8 2 2 3 2" xfId="24833"/>
    <cellStyle name="常规 6 2 2 8 2 2 4" xfId="37711"/>
    <cellStyle name="常规 6 2 2 8 2 2 5" xfId="37712"/>
    <cellStyle name="常规 6 2 2 8 2 3" xfId="37713"/>
    <cellStyle name="常规 6 2 2 8 2 3 2" xfId="37714"/>
    <cellStyle name="常规 6 2 2 8 2 3 2 2" xfId="25841"/>
    <cellStyle name="常规 6 2 2 8 2 3 3" xfId="37715"/>
    <cellStyle name="常规 6 2 2 8 2 3 4" xfId="37716"/>
    <cellStyle name="常规 6 2 2 8 2 4" xfId="37717"/>
    <cellStyle name="常规 6 2 2 8 2 4 2" xfId="37718"/>
    <cellStyle name="常规 6 2 2 8 2 5" xfId="37719"/>
    <cellStyle name="常规 6 2 2 8 2 6" xfId="37721"/>
    <cellStyle name="常规 6 2 2 8 3" xfId="37722"/>
    <cellStyle name="常规 6 2 2 8 3 2" xfId="15820"/>
    <cellStyle name="常规 6 2 2 8 3 2 2" xfId="37723"/>
    <cellStyle name="常规 6 2 2 8 3 2 2 2" xfId="26426"/>
    <cellStyle name="常规 6 2 2 8 3 2 3" xfId="37724"/>
    <cellStyle name="常规 6 2 2 8 3 2 4" xfId="37725"/>
    <cellStyle name="常规 6 2 2 8 3 3" xfId="4036"/>
    <cellStyle name="常规 6 2 2 8 3 3 2" xfId="37726"/>
    <cellStyle name="常规 6 2 2 8 3 4" xfId="37727"/>
    <cellStyle name="常规 6 2 2 8 3 5" xfId="37728"/>
    <cellStyle name="常规 6 2 2 8 4" xfId="37729"/>
    <cellStyle name="常规 6 2 2 8 4 2" xfId="15834"/>
    <cellStyle name="常规 6 2 2 8 4 2 2" xfId="37730"/>
    <cellStyle name="常规 6 2 2 8 4 3" xfId="37731"/>
    <cellStyle name="常规 6 2 2 8 4 4" xfId="37732"/>
    <cellStyle name="常规 6 2 2 8 5" xfId="29118"/>
    <cellStyle name="常规 6 2 2 8 5 2" xfId="22775"/>
    <cellStyle name="常规 6 2 2 8 6" xfId="12913"/>
    <cellStyle name="常规 6 2 2 8 7" xfId="12926"/>
    <cellStyle name="常规 6 2 2 9" xfId="37733"/>
    <cellStyle name="常规 6 2 2 9 2" xfId="37734"/>
    <cellStyle name="常规 6 2 2 9 2 2" xfId="37735"/>
    <cellStyle name="常规 6 2 2 9 2 2 2" xfId="37736"/>
    <cellStyle name="常规 6 2 2 9 2 2 2 2" xfId="18774"/>
    <cellStyle name="常规 6 2 2 9 2 2 3" xfId="37737"/>
    <cellStyle name="常规 6 2 2 9 2 2 4" xfId="37738"/>
    <cellStyle name="常规 6 2 2 9 2 3" xfId="37739"/>
    <cellStyle name="常规 6 2 2 9 2 3 2" xfId="37740"/>
    <cellStyle name="常规 6 2 2 9 2 4" xfId="37741"/>
    <cellStyle name="常规 6 2 2 9 2 5" xfId="37742"/>
    <cellStyle name="常规 6 2 2 9 3" xfId="37743"/>
    <cellStyle name="常规 6 2 2 9 3 2" xfId="15882"/>
    <cellStyle name="常规 6 2 2 9 3 2 2" xfId="37744"/>
    <cellStyle name="常规 6 2 2 9 3 3" xfId="37745"/>
    <cellStyle name="常规 6 2 2 9 3 4" xfId="16434"/>
    <cellStyle name="常规 6 2 2 9 4" xfId="37746"/>
    <cellStyle name="常规 6 2 2 9 4 2" xfId="37747"/>
    <cellStyle name="常规 6 2 2 9 5" xfId="18788"/>
    <cellStyle name="常规 6 2 2 9 6" xfId="12943"/>
    <cellStyle name="常规 6 2 3" xfId="37748"/>
    <cellStyle name="常规 6 2 4" xfId="37749"/>
    <cellStyle name="常规 6 2 4 10" xfId="37750"/>
    <cellStyle name="常规 6 2 4 10 2" xfId="37751"/>
    <cellStyle name="常规 6 2 4 10 2 2" xfId="37752"/>
    <cellStyle name="常规 6 2 4 10 3" xfId="37753"/>
    <cellStyle name="常规 6 2 4 10 4" xfId="37754"/>
    <cellStyle name="常规 6 2 4 11" xfId="37755"/>
    <cellStyle name="常规 6 2 4 11 2" xfId="37756"/>
    <cellStyle name="常规 6 2 4 12" xfId="37757"/>
    <cellStyle name="常规 6 2 4 13" xfId="37758"/>
    <cellStyle name="常规 6 2 4 2" xfId="37760"/>
    <cellStyle name="常规 6 2 4 2 10" xfId="37761"/>
    <cellStyle name="常规 6 2 4 2 10 2" xfId="37762"/>
    <cellStyle name="常规 6 2 4 2 11" xfId="37763"/>
    <cellStyle name="常规 6 2 4 2 12" xfId="37764"/>
    <cellStyle name="常规 6 2 4 2 2" xfId="37766"/>
    <cellStyle name="常规 6 2 4 2 2 10" xfId="37767"/>
    <cellStyle name="常规 6 2 4 2 2 11" xfId="37768"/>
    <cellStyle name="常规 6 2 4 2 2 2" xfId="37770"/>
    <cellStyle name="常规 6 2 4 2 2 2 2" xfId="37772"/>
    <cellStyle name="常规 6 2 4 2 2 2 2 2" xfId="37773"/>
    <cellStyle name="常规 6 2 4 2 2 2 2 2 2" xfId="37774"/>
    <cellStyle name="常规 6 2 4 2 2 2 2 2 2 2" xfId="37775"/>
    <cellStyle name="常规 6 2 4 2 2 2 2 2 2 2 2" xfId="37776"/>
    <cellStyle name="常规 6 2 4 2 2 2 2 2 2 2 2 2" xfId="37777"/>
    <cellStyle name="常规 6 2 4 2 2 2 2 2 2 2 2 2 2" xfId="37778"/>
    <cellStyle name="常规 6 2 4 2 2 2 2 2 2 2 2 3" xfId="37779"/>
    <cellStyle name="常规 6 2 4 2 2 2 2 2 2 2 2 4" xfId="37780"/>
    <cellStyle name="常规 6 2 4 2 2 2 2 2 2 2 3" xfId="37781"/>
    <cellStyle name="常规 6 2 4 2 2 2 2 2 2 2 3 2" xfId="37782"/>
    <cellStyle name="常规 6 2 4 2 2 2 2 2 2 2 4" xfId="37783"/>
    <cellStyle name="常规 6 2 4 2 2 2 2 2 2 2 5" xfId="25465"/>
    <cellStyle name="常规 6 2 4 2 2 2 2 2 2 3" xfId="37784"/>
    <cellStyle name="常规 6 2 4 2 2 2 2 2 2 3 2" xfId="37785"/>
    <cellStyle name="常规 6 2 4 2 2 2 2 2 2 3 2 2" xfId="34982"/>
    <cellStyle name="常规 6 2 4 2 2 2 2 2 2 3 3" xfId="37786"/>
    <cellStyle name="常规 6 2 4 2 2 2 2 2 2 3 4" xfId="37787"/>
    <cellStyle name="常规 6 2 4 2 2 2 2 2 2 4" xfId="37788"/>
    <cellStyle name="常规 6 2 4 2 2 2 2 2 2 4 2" xfId="37789"/>
    <cellStyle name="常规 6 2 4 2 2 2 2 2 2 5" xfId="37790"/>
    <cellStyle name="常规 6 2 4 2 2 2 2 2 2 6" xfId="37791"/>
    <cellStyle name="常规 6 2 4 2 2 2 2 2 3" xfId="37792"/>
    <cellStyle name="常规 6 2 4 2 2 2 2 2 3 2" xfId="37793"/>
    <cellStyle name="常规 6 2 4 2 2 2 2 2 3 2 2" xfId="37794"/>
    <cellStyle name="常规 6 2 4 2 2 2 2 2 3 2 2 2" xfId="37795"/>
    <cellStyle name="常规 6 2 4 2 2 2 2 2 3 2 3" xfId="37796"/>
    <cellStyle name="常规 6 2 4 2 2 2 2 2 3 2 4" xfId="37797"/>
    <cellStyle name="常规 6 2 4 2 2 2 2 2 3 3" xfId="37798"/>
    <cellStyle name="常规 6 2 4 2 2 2 2 2 3 3 2" xfId="37799"/>
    <cellStyle name="常规 6 2 4 2 2 2 2 2 3 4" xfId="37801"/>
    <cellStyle name="常规 6 2 4 2 2 2 2 2 3 5" xfId="37803"/>
    <cellStyle name="常规 6 2 4 2 2 2 2 2 4" xfId="37804"/>
    <cellStyle name="常规 6 2 4 2 2 2 2 2 4 2" xfId="37805"/>
    <cellStyle name="常规 6 2 4 2 2 2 2 2 4 2 2" xfId="37806"/>
    <cellStyle name="常规 6 2 4 2 2 2 2 2 4 3" xfId="37807"/>
    <cellStyle name="常规 6 2 4 2 2 2 2 2 4 4" xfId="37808"/>
    <cellStyle name="常规 6 2 4 2 2 2 2 2 5" xfId="37809"/>
    <cellStyle name="常规 6 2 4 2 2 2 2 2 5 2" xfId="37810"/>
    <cellStyle name="常规 6 2 4 2 2 2 2 2 6" xfId="37811"/>
    <cellStyle name="常规 6 2 4 2 2 2 2 2 7" xfId="37812"/>
    <cellStyle name="常规 6 2 4 2 2 2 2 3" xfId="37813"/>
    <cellStyle name="常规 6 2 4 2 2 2 2 3 2" xfId="37814"/>
    <cellStyle name="常规 6 2 4 2 2 2 2 3 2 2" xfId="37815"/>
    <cellStyle name="常规 6 2 4 2 2 2 2 3 2 2 2" xfId="37816"/>
    <cellStyle name="常规 6 2 4 2 2 2 2 3 2 2 2 2" xfId="37817"/>
    <cellStyle name="常规 6 2 4 2 2 2 2 3 2 2 3" xfId="37818"/>
    <cellStyle name="常规 6 2 4 2 2 2 2 3 2 2 4" xfId="37819"/>
    <cellStyle name="常规 6 2 4 2 2 2 2 3 2 3" xfId="37820"/>
    <cellStyle name="常规 6 2 4 2 2 2 2 3 2 3 2" xfId="37821"/>
    <cellStyle name="常规 6 2 4 2 2 2 2 3 2 4" xfId="37822"/>
    <cellStyle name="常规 6 2 4 2 2 2 2 3 2 5" xfId="37823"/>
    <cellStyle name="常规 6 2 4 2 2 2 2 3 3" xfId="37824"/>
    <cellStyle name="常规 6 2 4 2 2 2 2 3 3 2" xfId="37825"/>
    <cellStyle name="常规 6 2 4 2 2 2 2 3 3 2 2" xfId="37826"/>
    <cellStyle name="常规 6 2 4 2 2 2 2 3 3 3" xfId="37827"/>
    <cellStyle name="常规 6 2 4 2 2 2 2 3 3 4" xfId="37828"/>
    <cellStyle name="常规 6 2 4 2 2 2 2 3 4" xfId="37829"/>
    <cellStyle name="常规 6 2 4 2 2 2 2 3 4 2" xfId="37830"/>
    <cellStyle name="常规 6 2 4 2 2 2 2 3 5" xfId="37831"/>
    <cellStyle name="常规 6 2 4 2 2 2 2 3 6" xfId="37832"/>
    <cellStyle name="常规 6 2 4 2 2 2 2 4" xfId="29930"/>
    <cellStyle name="常规 6 2 4 2 2 2 2 4 2" xfId="12628"/>
    <cellStyle name="常规 6 2 4 2 2 2 2 4 2 2" xfId="22522"/>
    <cellStyle name="常规 6 2 4 2 2 2 2 4 2 2 2" xfId="37833"/>
    <cellStyle name="常规 6 2 4 2 2 2 2 4 2 3" xfId="37834"/>
    <cellStyle name="常规 6 2 4 2 2 2 2 4 2 4" xfId="37835"/>
    <cellStyle name="常规 6 2 4 2 2 2 2 4 3" xfId="12631"/>
    <cellStyle name="常规 6 2 4 2 2 2 2 4 3 2" xfId="37836"/>
    <cellStyle name="常规 6 2 4 2 2 2 2 4 4" xfId="29933"/>
    <cellStyle name="常规 6 2 4 2 2 2 2 4 5" xfId="37837"/>
    <cellStyle name="常规 6 2 4 2 2 2 2 5" xfId="29937"/>
    <cellStyle name="常规 6 2 4 2 2 2 2 5 2" xfId="12651"/>
    <cellStyle name="常规 6 2 4 2 2 2 2 5 2 2" xfId="37838"/>
    <cellStyle name="常规 6 2 4 2 2 2 2 5 3" xfId="37839"/>
    <cellStyle name="常规 6 2 4 2 2 2 2 5 4" xfId="37840"/>
    <cellStyle name="常规 6 2 4 2 2 2 2 6" xfId="5178"/>
    <cellStyle name="常规 6 2 4 2 2 2 2 6 2" xfId="37841"/>
    <cellStyle name="常规 6 2 4 2 2 2 2 7" xfId="6582"/>
    <cellStyle name="常规 6 2 4 2 2 2 2 8" xfId="37842"/>
    <cellStyle name="常规 6 2 4 2 2 2 3" xfId="37843"/>
    <cellStyle name="常规 6 2 4 2 2 2 3 2" xfId="37844"/>
    <cellStyle name="常规 6 2 4 2 2 2 3 2 2" xfId="37845"/>
    <cellStyle name="常规 6 2 4 2 2 2 3 2 2 2" xfId="37846"/>
    <cellStyle name="常规 6 2 4 2 2 2 3 2 2 2 2" xfId="37847"/>
    <cellStyle name="常规 6 2 4 2 2 2 3 2 2 2 2 2" xfId="37848"/>
    <cellStyle name="常规 6 2 4 2 2 2 3 2 2 2 3" xfId="37849"/>
    <cellStyle name="常规 6 2 4 2 2 2 3 2 2 2 4" xfId="37850"/>
    <cellStyle name="常规 6 2 4 2 2 2 3 2 2 3" xfId="37851"/>
    <cellStyle name="常规 6 2 4 2 2 2 3 2 2 3 2" xfId="37852"/>
    <cellStyle name="常规 6 2 4 2 2 2 3 2 2 4" xfId="37853"/>
    <cellStyle name="常规 6 2 4 2 2 2 3 2 2 5" xfId="37854"/>
    <cellStyle name="常规 6 2 4 2 2 2 3 2 3" xfId="37855"/>
    <cellStyle name="常规 6 2 4 2 2 2 3 2 3 2" xfId="37856"/>
    <cellStyle name="常规 6 2 4 2 2 2 3 2 3 2 2" xfId="37857"/>
    <cellStyle name="常规 6 2 4 2 2 2 3 2 3 3" xfId="37858"/>
    <cellStyle name="常规 6 2 4 2 2 2 3 2 3 4" xfId="37859"/>
    <cellStyle name="常规 6 2 4 2 2 2 3 2 4" xfId="37860"/>
    <cellStyle name="常规 6 2 4 2 2 2 3 2 4 2" xfId="37861"/>
    <cellStyle name="常规 6 2 4 2 2 2 3 2 5" xfId="37862"/>
    <cellStyle name="常规 6 2 4 2 2 2 3 2 6" xfId="37863"/>
    <cellStyle name="常规 6 2 4 2 2 2 3 3" xfId="37864"/>
    <cellStyle name="常规 6 2 4 2 2 2 3 3 2" xfId="37865"/>
    <cellStyle name="常规 6 2 4 2 2 2 3 3 2 2" xfId="37866"/>
    <cellStyle name="常规 6 2 4 2 2 2 3 3 2 2 2" xfId="37867"/>
    <cellStyle name="常规 6 2 4 2 2 2 3 3 2 3" xfId="37868"/>
    <cellStyle name="常规 6 2 4 2 2 2 3 3 2 4" xfId="37869"/>
    <cellStyle name="常规 6 2 4 2 2 2 3 3 3" xfId="37870"/>
    <cellStyle name="常规 6 2 4 2 2 2 3 3 3 2" xfId="37871"/>
    <cellStyle name="常规 6 2 4 2 2 2 3 3 4" xfId="37872"/>
    <cellStyle name="常规 6 2 4 2 2 2 3 3 5" xfId="37873"/>
    <cellStyle name="常规 6 2 4 2 2 2 3 4" xfId="7778"/>
    <cellStyle name="常规 6 2 4 2 2 2 3 4 2" xfId="1268"/>
    <cellStyle name="常规 6 2 4 2 2 2 3 4 2 2" xfId="37875"/>
    <cellStyle name="常规 6 2 4 2 2 2 3 4 3" xfId="37876"/>
    <cellStyle name="常规 6 2 4 2 2 2 3 4 4" xfId="37877"/>
    <cellStyle name="常规 6 2 4 2 2 2 3 5" xfId="2968"/>
    <cellStyle name="常规 6 2 4 2 2 2 3 5 2" xfId="37878"/>
    <cellStyle name="常规 6 2 4 2 2 2 3 6" xfId="6587"/>
    <cellStyle name="常规 6 2 4 2 2 2 3 7" xfId="21379"/>
    <cellStyle name="常规 6 2 4 2 2 2 4" xfId="37879"/>
    <cellStyle name="常规 6 2 4 2 2 2 4 2" xfId="37880"/>
    <cellStyle name="常规 6 2 4 2 2 2 4 2 2" xfId="37881"/>
    <cellStyle name="常规 6 2 4 2 2 2 4 2 2 2" xfId="37882"/>
    <cellStyle name="常规 6 2 4 2 2 2 4 2 2 2 2" xfId="37883"/>
    <cellStyle name="常规 6 2 4 2 2 2 4 2 2 3" xfId="37884"/>
    <cellStyle name="常规 6 2 4 2 2 2 4 2 2 4" xfId="37885"/>
    <cellStyle name="常规 6 2 4 2 2 2 4 2 3" xfId="37886"/>
    <cellStyle name="常规 6 2 4 2 2 2 4 2 3 2" xfId="37887"/>
    <cellStyle name="常规 6 2 4 2 2 2 4 2 4" xfId="37888"/>
    <cellStyle name="常规 6 2 4 2 2 2 4 2 5" xfId="37889"/>
    <cellStyle name="常规 6 2 4 2 2 2 4 3" xfId="37890"/>
    <cellStyle name="常规 6 2 4 2 2 2 4 3 2" xfId="37891"/>
    <cellStyle name="常规 6 2 4 2 2 2 4 3 2 2" xfId="37892"/>
    <cellStyle name="常规 6 2 4 2 2 2 4 3 3" xfId="37893"/>
    <cellStyle name="常规 6 2 4 2 2 2 4 3 4" xfId="37894"/>
    <cellStyle name="常规 6 2 4 2 2 2 4 4" xfId="7796"/>
    <cellStyle name="常规 6 2 4 2 2 2 4 4 2" xfId="37895"/>
    <cellStyle name="常规 6 2 4 2 2 2 4 5" xfId="37896"/>
    <cellStyle name="常规 6 2 4 2 2 2 4 6" xfId="37897"/>
    <cellStyle name="常规 6 2 4 2 2 2 5" xfId="37898"/>
    <cellStyle name="常规 6 2 4 2 2 2 5 2" xfId="37899"/>
    <cellStyle name="常规 6 2 4 2 2 2 5 2 2" xfId="37900"/>
    <cellStyle name="常规 6 2 4 2 2 2 5 2 2 2" xfId="37901"/>
    <cellStyle name="常规 6 2 4 2 2 2 5 2 3" xfId="37902"/>
    <cellStyle name="常规 6 2 4 2 2 2 5 2 4" xfId="37903"/>
    <cellStyle name="常规 6 2 4 2 2 2 5 3" xfId="37904"/>
    <cellStyle name="常规 6 2 4 2 2 2 5 3 2" xfId="37905"/>
    <cellStyle name="常规 6 2 4 2 2 2 5 4" xfId="37906"/>
    <cellStyle name="常规 6 2 4 2 2 2 5 5" xfId="37907"/>
    <cellStyle name="常规 6 2 4 2 2 2 6" xfId="37908"/>
    <cellStyle name="常规 6 2 4 2 2 2 6 2" xfId="37909"/>
    <cellStyle name="常规 6 2 4 2 2 2 6 2 2" xfId="37910"/>
    <cellStyle name="常规 6 2 4 2 2 2 6 3" xfId="37911"/>
    <cellStyle name="常规 6 2 4 2 2 2 6 4" xfId="37912"/>
    <cellStyle name="常规 6 2 4 2 2 2 7" xfId="37913"/>
    <cellStyle name="常规 6 2 4 2 2 2 7 2" xfId="37914"/>
    <cellStyle name="常规 6 2 4 2 2 2 8" xfId="37915"/>
    <cellStyle name="常规 6 2 4 2 2 2 9" xfId="37916"/>
    <cellStyle name="常规 6 2 4 2 2 3" xfId="37918"/>
    <cellStyle name="常规 6 2 4 2 2 3 2" xfId="37919"/>
    <cellStyle name="常规 6 2 4 2 2 3 2 2" xfId="37920"/>
    <cellStyle name="常规 6 2 4 2 2 3 2 2 2" xfId="37921"/>
    <cellStyle name="常规 6 2 4 2 2 3 2 2 2 2" xfId="37922"/>
    <cellStyle name="常规 6 2 4 2 2 3 2 2 2 2 2" xfId="37923"/>
    <cellStyle name="常规 6 2 4 2 2 3 2 2 2 2 2 2" xfId="37924"/>
    <cellStyle name="常规 6 2 4 2 2 3 2 2 2 2 2 2 2" xfId="37925"/>
    <cellStyle name="常规 6 2 4 2 2 3 2 2 2 2 2 3" xfId="37926"/>
    <cellStyle name="常规 6 2 4 2 2 3 2 2 2 2 2 4" xfId="37927"/>
    <cellStyle name="常规 6 2 4 2 2 3 2 2 2 2 3" xfId="37928"/>
    <cellStyle name="常规 6 2 4 2 2 3 2 2 2 2 3 2" xfId="37929"/>
    <cellStyle name="常规 6 2 4 2 2 3 2 2 2 2 4" xfId="37930"/>
    <cellStyle name="常规 6 2 4 2 2 3 2 2 2 2 5" xfId="27929"/>
    <cellStyle name="常规 6 2 4 2 2 3 2 2 2 3" xfId="37931"/>
    <cellStyle name="常规 6 2 4 2 2 3 2 2 2 3 2" xfId="37932"/>
    <cellStyle name="常规 6 2 4 2 2 3 2 2 2 3 2 2" xfId="37933"/>
    <cellStyle name="常规 6 2 4 2 2 3 2 2 2 3 3" xfId="37934"/>
    <cellStyle name="常规 6 2 4 2 2 3 2 2 2 3 4" xfId="37935"/>
    <cellStyle name="常规 6 2 4 2 2 3 2 2 2 4" xfId="37936"/>
    <cellStyle name="常规 6 2 4 2 2 3 2 2 2 4 2" xfId="37937"/>
    <cellStyle name="常规 6 2 4 2 2 3 2 2 2 5" xfId="37938"/>
    <cellStyle name="常规 6 2 4 2 2 3 2 2 2 6" xfId="37939"/>
    <cellStyle name="常规 6 2 4 2 2 3 2 2 3" xfId="37940"/>
    <cellStyle name="常规 6 2 4 2 2 3 2 2 3 2" xfId="37941"/>
    <cellStyle name="常规 6 2 4 2 2 3 2 2 3 2 2" xfId="37942"/>
    <cellStyle name="常规 6 2 4 2 2 3 2 2 3 2 2 2" xfId="37943"/>
    <cellStyle name="常规 6 2 4 2 2 3 2 2 3 2 3" xfId="37944"/>
    <cellStyle name="常规 6 2 4 2 2 3 2 2 3 2 4" xfId="37945"/>
    <cellStyle name="常规 6 2 4 2 2 3 2 2 3 3" xfId="37946"/>
    <cellStyle name="常规 6 2 4 2 2 3 2 2 3 3 2" xfId="37947"/>
    <cellStyle name="常规 6 2 4 2 2 3 2 2 3 4" xfId="37948"/>
    <cellStyle name="常规 6 2 4 2 2 3 2 2 3 5" xfId="37950"/>
    <cellStyle name="常规 6 2 4 2 2 3 2 2 4" xfId="37951"/>
    <cellStyle name="常规 6 2 4 2 2 3 2 2 4 2" xfId="37952"/>
    <cellStyle name="常规 6 2 4 2 2 3 2 2 4 2 2" xfId="37953"/>
    <cellStyle name="常规 6 2 4 2 2 3 2 2 4 3" xfId="37954"/>
    <cellStyle name="常规 6 2 4 2 2 3 2 2 4 4" xfId="37955"/>
    <cellStyle name="常规 6 2 4 2 2 3 2 2 5" xfId="37956"/>
    <cellStyle name="常规 6 2 4 2 2 3 2 2 5 2" xfId="37957"/>
    <cellStyle name="常规 6 2 4 2 2 3 2 2 6" xfId="37958"/>
    <cellStyle name="常规 6 2 4 2 2 3 2 2 7" xfId="37959"/>
    <cellStyle name="常规 6 2 4 2 2 3 2 3" xfId="37960"/>
    <cellStyle name="常规 6 2 4 2 2 3 2 3 2" xfId="37961"/>
    <cellStyle name="常规 6 2 4 2 2 3 2 3 2 2" xfId="37962"/>
    <cellStyle name="常规 6 2 4 2 2 3 2 3 2 2 2" xfId="37963"/>
    <cellStyle name="常规 6 2 4 2 2 3 2 3 2 2 2 2" xfId="37964"/>
    <cellStyle name="常规 6 2 4 2 2 3 2 3 2 2 3" xfId="37965"/>
    <cellStyle name="常规 6 2 4 2 2 3 2 3 2 2 4" xfId="37966"/>
    <cellStyle name="常规 6 2 4 2 2 3 2 3 2 3" xfId="37967"/>
    <cellStyle name="常规 6 2 4 2 2 3 2 3 2 3 2" xfId="37968"/>
    <cellStyle name="常规 6 2 4 2 2 3 2 3 2 4" xfId="37969"/>
    <cellStyle name="常规 6 2 4 2 2 3 2 3 2 5" xfId="37970"/>
    <cellStyle name="常规 6 2 4 2 2 3 2 3 3" xfId="37971"/>
    <cellStyle name="常规 6 2 4 2 2 3 2 3 3 2" xfId="37972"/>
    <cellStyle name="常规 6 2 4 2 2 3 2 3 3 2 2" xfId="37973"/>
    <cellStyle name="常规 6 2 4 2 2 3 2 3 3 3" xfId="37974"/>
    <cellStyle name="常规 6 2 4 2 2 3 2 3 3 4" xfId="37975"/>
    <cellStyle name="常规 6 2 4 2 2 3 2 3 4" xfId="37976"/>
    <cellStyle name="常规 6 2 4 2 2 3 2 3 4 2" xfId="37977"/>
    <cellStyle name="常规 6 2 4 2 2 3 2 3 5" xfId="37978"/>
    <cellStyle name="常规 6 2 4 2 2 3 2 3 6" xfId="37979"/>
    <cellStyle name="常规 6 2 4 2 2 3 2 4" xfId="29948"/>
    <cellStyle name="常规 6 2 4 2 2 3 2 4 2" xfId="12856"/>
    <cellStyle name="常规 6 2 4 2 2 3 2 4 2 2" xfId="37980"/>
    <cellStyle name="常规 6 2 4 2 2 3 2 4 2 2 2" xfId="37981"/>
    <cellStyle name="常规 6 2 4 2 2 3 2 4 2 3" xfId="37983"/>
    <cellStyle name="常规 6 2 4 2 2 3 2 4 2 4" xfId="37984"/>
    <cellStyle name="常规 6 2 4 2 2 3 2 4 3" xfId="37985"/>
    <cellStyle name="常规 6 2 4 2 2 3 2 4 3 2" xfId="37986"/>
    <cellStyle name="常规 6 2 4 2 2 3 2 4 4" xfId="37987"/>
    <cellStyle name="常规 6 2 4 2 2 3 2 4 5" xfId="37988"/>
    <cellStyle name="常规 6 2 4 2 2 3 2 5" xfId="29952"/>
    <cellStyle name="常规 6 2 4 2 2 3 2 5 2" xfId="37989"/>
    <cellStyle name="常规 6 2 4 2 2 3 2 5 2 2" xfId="37990"/>
    <cellStyle name="常规 6 2 4 2 2 3 2 5 3" xfId="37991"/>
    <cellStyle name="常规 6 2 4 2 2 3 2 5 4" xfId="37992"/>
    <cellStyle name="常规 6 2 4 2 2 3 2 6" xfId="6595"/>
    <cellStyle name="常规 6 2 4 2 2 3 2 6 2" xfId="27612"/>
    <cellStyle name="常规 6 2 4 2 2 3 2 7" xfId="37993"/>
    <cellStyle name="常规 6 2 4 2 2 3 2 8" xfId="37994"/>
    <cellStyle name="常规 6 2 4 2 2 3 3" xfId="37995"/>
    <cellStyle name="常规 6 2 4 2 2 3 3 2" xfId="37996"/>
    <cellStyle name="常规 6 2 4 2 2 3 3 2 2" xfId="37997"/>
    <cellStyle name="常规 6 2 4 2 2 3 3 2 2 2" xfId="37998"/>
    <cellStyle name="常规 6 2 4 2 2 3 3 2 2 2 2" xfId="37999"/>
    <cellStyle name="常规 6 2 4 2 2 3 3 2 2 2 2 2" xfId="25238"/>
    <cellStyle name="常规 6 2 4 2 2 3 3 2 2 2 3" xfId="38000"/>
    <cellStyle name="常规 6 2 4 2 2 3 3 2 2 2 4" xfId="38001"/>
    <cellStyle name="常规 6 2 4 2 2 3 3 2 2 3" xfId="38002"/>
    <cellStyle name="常规 6 2 4 2 2 3 3 2 2 3 2" xfId="38003"/>
    <cellStyle name="常规 6 2 4 2 2 3 3 2 2 4" xfId="38004"/>
    <cellStyle name="常规 6 2 4 2 2 3 3 2 2 5" xfId="38005"/>
    <cellStyle name="常规 6 2 4 2 2 3 3 2 3" xfId="38006"/>
    <cellStyle name="常规 6 2 4 2 2 3 3 2 3 2" xfId="38007"/>
    <cellStyle name="常规 6 2 4 2 2 3 3 2 3 2 2" xfId="38008"/>
    <cellStyle name="常规 6 2 4 2 2 3 3 2 3 3" xfId="38009"/>
    <cellStyle name="常规 6 2 4 2 2 3 3 2 3 4" xfId="38010"/>
    <cellStyle name="常规 6 2 4 2 2 3 3 2 4" xfId="38011"/>
    <cellStyle name="常规 6 2 4 2 2 3 3 2 4 2" xfId="38012"/>
    <cellStyle name="常规 6 2 4 2 2 3 3 2 5" xfId="38013"/>
    <cellStyle name="常规 6 2 4 2 2 3 3 2 6" xfId="38014"/>
    <cellStyle name="常规 6 2 4 2 2 3 3 3" xfId="38015"/>
    <cellStyle name="常规 6 2 4 2 2 3 3 3 2" xfId="38016"/>
    <cellStyle name="常规 6 2 4 2 2 3 3 3 2 2" xfId="38017"/>
    <cellStyle name="常规 6 2 4 2 2 3 3 3 2 2 2" xfId="38018"/>
    <cellStyle name="常规 6 2 4 2 2 3 3 3 2 3" xfId="38019"/>
    <cellStyle name="常规 6 2 4 2 2 3 3 3 2 4" xfId="38020"/>
    <cellStyle name="常规 6 2 4 2 2 3 3 3 3" xfId="38021"/>
    <cellStyle name="常规 6 2 4 2 2 3 3 3 3 2" xfId="38022"/>
    <cellStyle name="常规 6 2 4 2 2 3 3 3 4" xfId="38023"/>
    <cellStyle name="常规 6 2 4 2 2 3 3 3 5" xfId="38024"/>
    <cellStyle name="常规 6 2 4 2 2 3 3 4" xfId="6079"/>
    <cellStyle name="常规 6 2 4 2 2 3 3 4 2" xfId="38025"/>
    <cellStyle name="常规 6 2 4 2 2 3 3 4 2 2" xfId="38027"/>
    <cellStyle name="常规 6 2 4 2 2 3 3 4 3" xfId="38028"/>
    <cellStyle name="常规 6 2 4 2 2 3 3 4 4" xfId="38029"/>
    <cellStyle name="常规 6 2 4 2 2 3 3 5" xfId="38030"/>
    <cellStyle name="常规 6 2 4 2 2 3 3 5 2" xfId="38031"/>
    <cellStyle name="常规 6 2 4 2 2 3 3 6" xfId="38032"/>
    <cellStyle name="常规 6 2 4 2 2 3 3 7" xfId="38033"/>
    <cellStyle name="常规 6 2 4 2 2 3 4" xfId="38034"/>
    <cellStyle name="常规 6 2 4 2 2 3 4 2" xfId="38035"/>
    <cellStyle name="常规 6 2 4 2 2 3 4 2 2" xfId="38037"/>
    <cellStyle name="常规 6 2 4 2 2 3 4 2 2 2" xfId="38039"/>
    <cellStyle name="常规 6 2 4 2 2 3 4 2 2 2 2" xfId="38040"/>
    <cellStyle name="常规 6 2 4 2 2 3 4 2 2 3" xfId="38041"/>
    <cellStyle name="常规 6 2 4 2 2 3 4 2 2 4" xfId="38042"/>
    <cellStyle name="常规 6 2 4 2 2 3 4 2 3" xfId="38044"/>
    <cellStyle name="常规 6 2 4 2 2 3 4 2 3 2" xfId="38045"/>
    <cellStyle name="常规 6 2 4 2 2 3 4 2 4" xfId="38047"/>
    <cellStyle name="常规 6 2 4 2 2 3 4 2 5" xfId="38048"/>
    <cellStyle name="常规 6 2 4 2 2 3 4 3" xfId="38049"/>
    <cellStyle name="常规 6 2 4 2 2 3 4 3 2" xfId="38051"/>
    <cellStyle name="常规 6 2 4 2 2 3 4 3 2 2" xfId="38052"/>
    <cellStyle name="常规 6 2 4 2 2 3 4 3 3" xfId="38054"/>
    <cellStyle name="常规 6 2 4 2 2 3 4 3 4" xfId="38055"/>
    <cellStyle name="常规 6 2 4 2 2 3 4 4" xfId="38056"/>
    <cellStyle name="常规 6 2 4 2 2 3 4 4 2" xfId="38058"/>
    <cellStyle name="常规 6 2 4 2 2 3 4 5" xfId="38059"/>
    <cellStyle name="常规 6 2 4 2 2 3 4 6" xfId="38060"/>
    <cellStyle name="常规 6 2 4 2 2 3 5" xfId="38061"/>
    <cellStyle name="常规 6 2 4 2 2 3 5 2" xfId="38062"/>
    <cellStyle name="常规 6 2 4 2 2 3 5 2 2" xfId="38064"/>
    <cellStyle name="常规 6 2 4 2 2 3 5 2 2 2" xfId="38065"/>
    <cellStyle name="常规 6 2 4 2 2 3 5 2 3" xfId="38067"/>
    <cellStyle name="常规 6 2 4 2 2 3 5 2 4" xfId="38068"/>
    <cellStyle name="常规 6 2 4 2 2 3 5 3" xfId="38069"/>
    <cellStyle name="常规 6 2 4 2 2 3 5 3 2" xfId="34794"/>
    <cellStyle name="常规 6 2 4 2 2 3 5 4" xfId="38070"/>
    <cellStyle name="常规 6 2 4 2 2 3 5 5" xfId="38071"/>
    <cellStyle name="常规 6 2 4 2 2 3 6" xfId="38072"/>
    <cellStyle name="常规 6 2 4 2 2 3 6 2" xfId="38073"/>
    <cellStyle name="常规 6 2 4 2 2 3 6 2 2" xfId="38075"/>
    <cellStyle name="常规 6 2 4 2 2 3 6 3" xfId="38076"/>
    <cellStyle name="常规 6 2 4 2 2 3 6 4" xfId="38077"/>
    <cellStyle name="常规 6 2 4 2 2 3 7" xfId="38078"/>
    <cellStyle name="常规 6 2 4 2 2 3 7 2" xfId="38079"/>
    <cellStyle name="常规 6 2 4 2 2 3 8" xfId="38080"/>
    <cellStyle name="常规 6 2 4 2 2 3 9" xfId="38081"/>
    <cellStyle name="常规 6 2 4 2 2 4" xfId="38083"/>
    <cellStyle name="常规 6 2 4 2 2 4 2" xfId="38084"/>
    <cellStyle name="常规 6 2 4 2 2 4 2 2" xfId="38085"/>
    <cellStyle name="常规 6 2 4 2 2 4 2 2 2" xfId="38086"/>
    <cellStyle name="常规 6 2 4 2 2 4 2 2 2 2" xfId="38087"/>
    <cellStyle name="常规 6 2 4 2 2 4 2 2 2 2 2" xfId="38088"/>
    <cellStyle name="常规 6 2 4 2 2 4 2 2 2 2 2 2" xfId="38089"/>
    <cellStyle name="常规 6 2 4 2 2 4 2 2 2 2 3" xfId="38090"/>
    <cellStyle name="常规 6 2 4 2 2 4 2 2 2 2 4" xfId="38091"/>
    <cellStyle name="常规 6 2 4 2 2 4 2 2 2 3" xfId="38092"/>
    <cellStyle name="常规 6 2 4 2 2 4 2 2 2 3 2" xfId="38093"/>
    <cellStyle name="常规 6 2 4 2 2 4 2 2 2 4" xfId="38094"/>
    <cellStyle name="常规 6 2 4 2 2 4 2 2 2 5" xfId="38095"/>
    <cellStyle name="常规 6 2 4 2 2 4 2 2 3" xfId="38096"/>
    <cellStyle name="常规 6 2 4 2 2 4 2 2 3 2" xfId="38097"/>
    <cellStyle name="常规 6 2 4 2 2 4 2 2 3 2 2" xfId="38098"/>
    <cellStyle name="常规 6 2 4 2 2 4 2 2 3 3" xfId="38099"/>
    <cellStyle name="常规 6 2 4 2 2 4 2 2 3 4" xfId="38100"/>
    <cellStyle name="常规 6 2 4 2 2 4 2 2 4" xfId="38101"/>
    <cellStyle name="常规 6 2 4 2 2 4 2 2 4 2" xfId="38102"/>
    <cellStyle name="常规 6 2 4 2 2 4 2 2 5" xfId="38103"/>
    <cellStyle name="常规 6 2 4 2 2 4 2 2 6" xfId="38104"/>
    <cellStyle name="常规 6 2 4 2 2 4 2 3" xfId="38105"/>
    <cellStyle name="常规 6 2 4 2 2 4 2 3 2" xfId="38106"/>
    <cellStyle name="常规 6 2 4 2 2 4 2 3 2 2" xfId="38107"/>
    <cellStyle name="常规 6 2 4 2 2 4 2 3 2 2 2" xfId="38108"/>
    <cellStyle name="常规 6 2 4 2 2 4 2 3 2 3" xfId="38109"/>
    <cellStyle name="常规 6 2 4 2 2 4 2 3 2 4" xfId="38110"/>
    <cellStyle name="常规 6 2 4 2 2 4 2 3 3" xfId="38111"/>
    <cellStyle name="常规 6 2 4 2 2 4 2 3 3 2" xfId="38112"/>
    <cellStyle name="常规 6 2 4 2 2 4 2 3 4" xfId="38113"/>
    <cellStyle name="常规 6 2 4 2 2 4 2 3 5" xfId="38114"/>
    <cellStyle name="常规 6 2 4 2 2 4 2 4" xfId="29964"/>
    <cellStyle name="常规 6 2 4 2 2 4 2 4 2" xfId="38115"/>
    <cellStyle name="常规 6 2 4 2 2 4 2 4 2 2" xfId="38116"/>
    <cellStyle name="常规 6 2 4 2 2 4 2 4 3" xfId="38117"/>
    <cellStyle name="常规 6 2 4 2 2 4 2 4 4" xfId="38118"/>
    <cellStyle name="常规 6 2 4 2 2 4 2 5" xfId="38119"/>
    <cellStyle name="常规 6 2 4 2 2 4 2 5 2" xfId="38120"/>
    <cellStyle name="常规 6 2 4 2 2 4 2 6" xfId="38121"/>
    <cellStyle name="常规 6 2 4 2 2 4 2 7" xfId="38122"/>
    <cellStyle name="常规 6 2 4 2 2 4 3" xfId="38123"/>
    <cellStyle name="常规 6 2 4 2 2 4 3 2" xfId="38124"/>
    <cellStyle name="常规 6 2 4 2 2 4 3 2 2" xfId="209"/>
    <cellStyle name="常规 6 2 4 2 2 4 3 2 2 2" xfId="38125"/>
    <cellStyle name="常规 6 2 4 2 2 4 3 2 2 2 2" xfId="38126"/>
    <cellStyle name="常规 6 2 4 2 2 4 3 2 2 3" xfId="38127"/>
    <cellStyle name="常规 6 2 4 2 2 4 3 2 2 4" xfId="38128"/>
    <cellStyle name="常规 6 2 4 2 2 4 3 2 3" xfId="38129"/>
    <cellStyle name="常规 6 2 4 2 2 4 3 2 3 2" xfId="38130"/>
    <cellStyle name="常规 6 2 4 2 2 4 3 2 4" xfId="38131"/>
    <cellStyle name="常规 6 2 4 2 2 4 3 2 5" xfId="38132"/>
    <cellStyle name="常规 6 2 4 2 2 4 3 3" xfId="38133"/>
    <cellStyle name="常规 6 2 4 2 2 4 3 3 2" xfId="38134"/>
    <cellStyle name="常规 6 2 4 2 2 4 3 3 2 2" xfId="38135"/>
    <cellStyle name="常规 6 2 4 2 2 4 3 3 3" xfId="38136"/>
    <cellStyle name="常规 6 2 4 2 2 4 3 3 4" xfId="38137"/>
    <cellStyle name="常规 6 2 4 2 2 4 3 4" xfId="7819"/>
    <cellStyle name="常规 6 2 4 2 2 4 3 4 2" xfId="38138"/>
    <cellStyle name="常规 6 2 4 2 2 4 3 5" xfId="38139"/>
    <cellStyle name="常规 6 2 4 2 2 4 3 6" xfId="38140"/>
    <cellStyle name="常规 6 2 4 2 2 4 4" xfId="38141"/>
    <cellStyle name="常规 6 2 4 2 2 4 4 2" xfId="38142"/>
    <cellStyle name="常规 6 2 4 2 2 4 4 2 2" xfId="38144"/>
    <cellStyle name="常规 6 2 4 2 2 4 4 2 2 2" xfId="38145"/>
    <cellStyle name="常规 6 2 4 2 2 4 4 2 3" xfId="38147"/>
    <cellStyle name="常规 6 2 4 2 2 4 4 2 4" xfId="38148"/>
    <cellStyle name="常规 6 2 4 2 2 4 4 3" xfId="38149"/>
    <cellStyle name="常规 6 2 4 2 2 4 4 3 2" xfId="38151"/>
    <cellStyle name="常规 6 2 4 2 2 4 4 4" xfId="38152"/>
    <cellStyle name="常规 6 2 4 2 2 4 4 5" xfId="38153"/>
    <cellStyle name="常规 6 2 4 2 2 4 5" xfId="38154"/>
    <cellStyle name="常规 6 2 4 2 2 4 5 2" xfId="38155"/>
    <cellStyle name="常规 6 2 4 2 2 4 5 2 2" xfId="38157"/>
    <cellStyle name="常规 6 2 4 2 2 4 5 3" xfId="38158"/>
    <cellStyle name="常规 6 2 4 2 2 4 5 4" xfId="38159"/>
    <cellStyle name="常规 6 2 4 2 2 4 6" xfId="3827"/>
    <cellStyle name="常规 6 2 4 2 2 4 6 2" xfId="1057"/>
    <cellStyle name="常规 6 2 4 2 2 4 7" xfId="3850"/>
    <cellStyle name="常规 6 2 4 2 2 4 8" xfId="3855"/>
    <cellStyle name="常规 6 2 4 2 2 5" xfId="38160"/>
    <cellStyle name="常规 6 2 4 2 2 5 2" xfId="38161"/>
    <cellStyle name="常规 6 2 4 2 2 5 2 2" xfId="38162"/>
    <cellStyle name="常规 6 2 4 2 2 5 2 2 2" xfId="38163"/>
    <cellStyle name="常规 6 2 4 2 2 5 2 2 2 2" xfId="38164"/>
    <cellStyle name="常规 6 2 4 2 2 5 2 2 2 2 2" xfId="38165"/>
    <cellStyle name="常规 6 2 4 2 2 5 2 2 2 3" xfId="38166"/>
    <cellStyle name="常规 6 2 4 2 2 5 2 2 2 4" xfId="38167"/>
    <cellStyle name="常规 6 2 4 2 2 5 2 2 3" xfId="38168"/>
    <cellStyle name="常规 6 2 4 2 2 5 2 2 3 2" xfId="38169"/>
    <cellStyle name="常规 6 2 4 2 2 5 2 2 4" xfId="38170"/>
    <cellStyle name="常规 6 2 4 2 2 5 2 2 5" xfId="38171"/>
    <cellStyle name="常规 6 2 4 2 2 5 2 3" xfId="38172"/>
    <cellStyle name="常规 6 2 4 2 2 5 2 3 2" xfId="38173"/>
    <cellStyle name="常规 6 2 4 2 2 5 2 3 2 2" xfId="38174"/>
    <cellStyle name="常规 6 2 4 2 2 5 2 3 3" xfId="38175"/>
    <cellStyle name="常规 6 2 4 2 2 5 2 3 4" xfId="38176"/>
    <cellStyle name="常规 6 2 4 2 2 5 2 4" xfId="38177"/>
    <cellStyle name="常规 6 2 4 2 2 5 2 4 2" xfId="38178"/>
    <cellStyle name="常规 6 2 4 2 2 5 2 5" xfId="38179"/>
    <cellStyle name="常规 6 2 4 2 2 5 2 6" xfId="38180"/>
    <cellStyle name="常规 6 2 4 2 2 5 3" xfId="38181"/>
    <cellStyle name="常规 6 2 4 2 2 5 3 2" xfId="38183"/>
    <cellStyle name="常规 6 2 4 2 2 5 3 2 2" xfId="38184"/>
    <cellStyle name="常规 6 2 4 2 2 5 3 2 2 2" xfId="38185"/>
    <cellStyle name="常规 6 2 4 2 2 5 3 2 3" xfId="38186"/>
    <cellStyle name="常规 6 2 4 2 2 5 3 2 4" xfId="38187"/>
    <cellStyle name="常规 6 2 4 2 2 5 3 3" xfId="38188"/>
    <cellStyle name="常规 6 2 4 2 2 5 3 3 2" xfId="38189"/>
    <cellStyle name="常规 6 2 4 2 2 5 3 4" xfId="38190"/>
    <cellStyle name="常规 6 2 4 2 2 5 3 5" xfId="38191"/>
    <cellStyle name="常规 6 2 4 2 2 5 4" xfId="38192"/>
    <cellStyle name="常规 6 2 4 2 2 5 4 2" xfId="38194"/>
    <cellStyle name="常规 6 2 4 2 2 5 4 2 2" xfId="38196"/>
    <cellStyle name="常规 6 2 4 2 2 5 4 3" xfId="38197"/>
    <cellStyle name="常规 6 2 4 2 2 5 4 4" xfId="38198"/>
    <cellStyle name="常规 6 2 4 2 2 5 5" xfId="38199"/>
    <cellStyle name="常规 6 2 4 2 2 5 5 2" xfId="38200"/>
    <cellStyle name="常规 6 2 4 2 2 5 6" xfId="38201"/>
    <cellStyle name="常规 6 2 4 2 2 5 7" xfId="38202"/>
    <cellStyle name="常规 6 2 4 2 2 6" xfId="38203"/>
    <cellStyle name="常规 6 2 4 2 2 6 2" xfId="38204"/>
    <cellStyle name="常规 6 2 4 2 2 6 2 2" xfId="38205"/>
    <cellStyle name="常规 6 2 4 2 2 6 2 2 2" xfId="38206"/>
    <cellStyle name="常规 6 2 4 2 2 6 2 2 2 2" xfId="38207"/>
    <cellStyle name="常规 6 2 4 2 2 6 2 2 3" xfId="38208"/>
    <cellStyle name="常规 6 2 4 2 2 6 2 2 4" xfId="38210"/>
    <cellStyle name="常规 6 2 4 2 2 6 2 3" xfId="38211"/>
    <cellStyle name="常规 6 2 4 2 2 6 2 3 2" xfId="38212"/>
    <cellStyle name="常规 6 2 4 2 2 6 2 4" xfId="38213"/>
    <cellStyle name="常规 6 2 4 2 2 6 2 5" xfId="38214"/>
    <cellStyle name="常规 6 2 4 2 2 6 3" xfId="38215"/>
    <cellStyle name="常规 6 2 4 2 2 6 3 2" xfId="38216"/>
    <cellStyle name="常规 6 2 4 2 2 6 3 2 2" xfId="38217"/>
    <cellStyle name="常规 6 2 4 2 2 6 3 3" xfId="38218"/>
    <cellStyle name="常规 6 2 4 2 2 6 3 4" xfId="38219"/>
    <cellStyle name="常规 6 2 4 2 2 6 4" xfId="38220"/>
    <cellStyle name="常规 6 2 4 2 2 6 4 2" xfId="38221"/>
    <cellStyle name="常规 6 2 4 2 2 6 5" xfId="38222"/>
    <cellStyle name="常规 6 2 4 2 2 6 6" xfId="38223"/>
    <cellStyle name="常规 6 2 4 2 2 7" xfId="38224"/>
    <cellStyle name="常规 6 2 4 2 2 7 2" xfId="38225"/>
    <cellStyle name="常规 6 2 4 2 2 7 2 2" xfId="38226"/>
    <cellStyle name="常规 6 2 4 2 2 7 2 2 2" xfId="38227"/>
    <cellStyle name="常规 6 2 4 2 2 7 2 3" xfId="38228"/>
    <cellStyle name="常规 6 2 4 2 2 7 2 4" xfId="38229"/>
    <cellStyle name="常规 6 2 4 2 2 7 3" xfId="38230"/>
    <cellStyle name="常规 6 2 4 2 2 7 3 2" xfId="38231"/>
    <cellStyle name="常规 6 2 4 2 2 7 4" xfId="38232"/>
    <cellStyle name="常规 6 2 4 2 2 7 5" xfId="38233"/>
    <cellStyle name="常规 6 2 4 2 2 8" xfId="38234"/>
    <cellStyle name="常规 6 2 4 2 2 8 2" xfId="38235"/>
    <cellStyle name="常规 6 2 4 2 2 8 2 2" xfId="38236"/>
    <cellStyle name="常规 6 2 4 2 2 8 3" xfId="38237"/>
    <cellStyle name="常规 6 2 4 2 2 8 4" xfId="38238"/>
    <cellStyle name="常规 6 2 4 2 2 9" xfId="38239"/>
    <cellStyle name="常规 6 2 4 2 2 9 2" xfId="38240"/>
    <cellStyle name="常规 6 2 4 2 3" xfId="38242"/>
    <cellStyle name="常规 6 2 4 2 3 2" xfId="38244"/>
    <cellStyle name="常规 6 2 4 2 3 2 2" xfId="38245"/>
    <cellStyle name="常规 6 2 4 2 3 2 2 2" xfId="38246"/>
    <cellStyle name="常规 6 2 4 2 3 2 2 2 2" xfId="38247"/>
    <cellStyle name="常规 6 2 4 2 3 2 2 2 2 2" xfId="38248"/>
    <cellStyle name="常规 6 2 4 2 3 2 2 2 2 2 2" xfId="35015"/>
    <cellStyle name="常规 6 2 4 2 3 2 2 2 2 2 2 2" xfId="38249"/>
    <cellStyle name="常规 6 2 4 2 3 2 2 2 2 2 3" xfId="35017"/>
    <cellStyle name="常规 6 2 4 2 3 2 2 2 2 2 4" xfId="38250"/>
    <cellStyle name="常规 6 2 4 2 3 2 2 2 2 3" xfId="38251"/>
    <cellStyle name="常规 6 2 4 2 3 2 2 2 2 3 2" xfId="38252"/>
    <cellStyle name="常规 6 2 4 2 3 2 2 2 2 4" xfId="38253"/>
    <cellStyle name="常规 6 2 4 2 3 2 2 2 2 5" xfId="38254"/>
    <cellStyle name="常规 6 2 4 2 3 2 2 2 3" xfId="38255"/>
    <cellStyle name="常规 6 2 4 2 3 2 2 2 3 2" xfId="38256"/>
    <cellStyle name="常规 6 2 4 2 3 2 2 2 3 2 2" xfId="38257"/>
    <cellStyle name="常规 6 2 4 2 3 2 2 2 3 3" xfId="38258"/>
    <cellStyle name="常规 6 2 4 2 3 2 2 2 3 4" xfId="38259"/>
    <cellStyle name="常规 6 2 4 2 3 2 2 2 4" xfId="38260"/>
    <cellStyle name="常规 6 2 4 2 3 2 2 2 4 2" xfId="38261"/>
    <cellStyle name="常规 6 2 4 2 3 2 2 2 5" xfId="38262"/>
    <cellStyle name="常规 6 2 4 2 3 2 2 2 6" xfId="38263"/>
    <cellStyle name="常规 6 2 4 2 3 2 2 3" xfId="38264"/>
    <cellStyle name="常规 6 2 4 2 3 2 2 3 2" xfId="38265"/>
    <cellStyle name="常规 6 2 4 2 3 2 2 3 2 2" xfId="38266"/>
    <cellStyle name="常规 6 2 4 2 3 2 2 3 2 2 2" xfId="38267"/>
    <cellStyle name="常规 6 2 4 2 3 2 2 3 2 3" xfId="38268"/>
    <cellStyle name="常规 6 2 4 2 3 2 2 3 2 4" xfId="38269"/>
    <cellStyle name="常规 6 2 4 2 3 2 2 3 3" xfId="38270"/>
    <cellStyle name="常规 6 2 4 2 3 2 2 3 3 2" xfId="38271"/>
    <cellStyle name="常规 6 2 4 2 3 2 2 3 4" xfId="38272"/>
    <cellStyle name="常规 6 2 4 2 3 2 2 3 5" xfId="38273"/>
    <cellStyle name="常规 6 2 4 2 3 2 2 4" xfId="25720"/>
    <cellStyle name="常规 6 2 4 2 3 2 2 4 2" xfId="14415"/>
    <cellStyle name="常规 6 2 4 2 3 2 2 4 2 2" xfId="30061"/>
    <cellStyle name="常规 6 2 4 2 3 2 2 4 3" xfId="30066"/>
    <cellStyle name="常规 6 2 4 2 3 2 2 4 4" xfId="30070"/>
    <cellStyle name="常规 6 2 4 2 3 2 2 5" xfId="25723"/>
    <cellStyle name="常规 6 2 4 2 3 2 2 5 2" xfId="30073"/>
    <cellStyle name="常规 6 2 4 2 3 2 2 6" xfId="2267"/>
    <cellStyle name="常规 6 2 4 2 3 2 2 7" xfId="30075"/>
    <cellStyle name="常规 6 2 4 2 3 2 3" xfId="38274"/>
    <cellStyle name="常规 6 2 4 2 3 2 3 2" xfId="38275"/>
    <cellStyle name="常规 6 2 4 2 3 2 3 2 2" xfId="3671"/>
    <cellStyle name="常规 6 2 4 2 3 2 3 2 2 2" xfId="7041"/>
    <cellStyle name="常规 6 2 4 2 3 2 3 2 2 2 2" xfId="3971"/>
    <cellStyle name="常规 6 2 4 2 3 2 3 2 2 3" xfId="7059"/>
    <cellStyle name="常规 6 2 4 2 3 2 3 2 2 4" xfId="7065"/>
    <cellStyle name="常规 6 2 4 2 3 2 3 2 3" xfId="7083"/>
    <cellStyle name="常规 6 2 4 2 3 2 3 2 3 2" xfId="7089"/>
    <cellStyle name="常规 6 2 4 2 3 2 3 2 4" xfId="7127"/>
    <cellStyle name="常规 6 2 4 2 3 2 3 2 5" xfId="7141"/>
    <cellStyle name="常规 6 2 4 2 3 2 3 3" xfId="38276"/>
    <cellStyle name="常规 6 2 4 2 3 2 3 3 2" xfId="3716"/>
    <cellStyle name="常规 6 2 4 2 3 2 3 3 2 2" xfId="3638"/>
    <cellStyle name="常规 6 2 4 2 3 2 3 3 3" xfId="7167"/>
    <cellStyle name="常规 6 2 4 2 3 2 3 3 4" xfId="7169"/>
    <cellStyle name="常规 6 2 4 2 3 2 3 4" xfId="5575"/>
    <cellStyle name="常规 6 2 4 2 3 2 3 4 2" xfId="3756"/>
    <cellStyle name="常规 6 2 4 2 3 2 3 5" xfId="5584"/>
    <cellStyle name="常规 6 2 4 2 3 2 3 6" xfId="5590"/>
    <cellStyle name="常规 6 2 4 2 3 2 4" xfId="38277"/>
    <cellStyle name="常规 6 2 4 2 3 2 4 2" xfId="38278"/>
    <cellStyle name="常规 6 2 4 2 3 2 4 2 2" xfId="196"/>
    <cellStyle name="常规 6 2 4 2 3 2 4 2 2 2" xfId="7999"/>
    <cellStyle name="常规 6 2 4 2 3 2 4 2 3" xfId="8037"/>
    <cellStyle name="常规 6 2 4 2 3 2 4 2 4" xfId="8055"/>
    <cellStyle name="常规 6 2 4 2 3 2 4 3" xfId="38279"/>
    <cellStyle name="常规 6 2 4 2 3 2 4 3 2" xfId="8107"/>
    <cellStyle name="常规 6 2 4 2 3 2 4 4" xfId="5599"/>
    <cellStyle name="常规 6 2 4 2 3 2 4 5" xfId="38280"/>
    <cellStyle name="常规 6 2 4 2 3 2 5" xfId="38281"/>
    <cellStyle name="常规 6 2 4 2 3 2 5 2" xfId="38282"/>
    <cellStyle name="常规 6 2 4 2 3 2 5 2 2" xfId="8876"/>
    <cellStyle name="常规 6 2 4 2 3 2 5 3" xfId="38283"/>
    <cellStyle name="常规 6 2 4 2 3 2 5 4" xfId="38284"/>
    <cellStyle name="常规 6 2 4 2 3 2 6" xfId="4117"/>
    <cellStyle name="常规 6 2 4 2 3 2 6 2" xfId="24831"/>
    <cellStyle name="常规 6 2 4 2 3 2 7" xfId="38285"/>
    <cellStyle name="常规 6 2 4 2 3 2 8" xfId="38286"/>
    <cellStyle name="常规 6 2 4 2 3 3" xfId="38287"/>
    <cellStyle name="常规 6 2 4 2 3 3 2" xfId="38288"/>
    <cellStyle name="常规 6 2 4 2 3 3 2 2" xfId="38289"/>
    <cellStyle name="常规 6 2 4 2 3 3 2 2 2" xfId="38290"/>
    <cellStyle name="常规 6 2 4 2 3 3 2 2 2 2" xfId="38291"/>
    <cellStyle name="常规 6 2 4 2 3 3 2 2 2 2 2" xfId="38292"/>
    <cellStyle name="常规 6 2 4 2 3 3 2 2 2 3" xfId="38293"/>
    <cellStyle name="常规 6 2 4 2 3 3 2 2 2 4" xfId="28436"/>
    <cellStyle name="常规 6 2 4 2 3 3 2 2 3" xfId="38294"/>
    <cellStyle name="常规 6 2 4 2 3 3 2 2 3 2" xfId="38295"/>
    <cellStyle name="常规 6 2 4 2 3 3 2 2 4" xfId="38296"/>
    <cellStyle name="常规 6 2 4 2 3 3 2 2 5" xfId="38297"/>
    <cellStyle name="常规 6 2 4 2 3 3 2 3" xfId="38298"/>
    <cellStyle name="常规 6 2 4 2 3 3 2 3 2" xfId="38299"/>
    <cellStyle name="常规 6 2 4 2 3 3 2 3 2 2" xfId="38300"/>
    <cellStyle name="常规 6 2 4 2 3 3 2 3 3" xfId="38301"/>
    <cellStyle name="常规 6 2 4 2 3 3 2 3 4" xfId="38302"/>
    <cellStyle name="常规 6 2 4 2 3 3 2 4" xfId="25805"/>
    <cellStyle name="常规 6 2 4 2 3 3 2 4 2" xfId="571"/>
    <cellStyle name="常规 6 2 4 2 3 3 2 5" xfId="25808"/>
    <cellStyle name="常规 6 2 4 2 3 3 2 6" xfId="30080"/>
    <cellStyle name="常规 6 2 4 2 3 3 3" xfId="38303"/>
    <cellStyle name="常规 6 2 4 2 3 3 3 2" xfId="38304"/>
    <cellStyle name="常规 6 2 4 2 3 3 3 2 2" xfId="6208"/>
    <cellStyle name="常规 6 2 4 2 3 3 3 2 2 2" xfId="38305"/>
    <cellStyle name="常规 6 2 4 2 3 3 3 2 3" xfId="38306"/>
    <cellStyle name="常规 6 2 4 2 3 3 3 2 4" xfId="38307"/>
    <cellStyle name="常规 6 2 4 2 3 3 3 3" xfId="38308"/>
    <cellStyle name="常规 6 2 4 2 3 3 3 3 2" xfId="38309"/>
    <cellStyle name="常规 6 2 4 2 3 3 3 4" xfId="5642"/>
    <cellStyle name="常规 6 2 4 2 3 3 3 5" xfId="38310"/>
    <cellStyle name="常规 6 2 4 2 3 3 4" xfId="38311"/>
    <cellStyle name="常规 6 2 4 2 3 3 4 2" xfId="38312"/>
    <cellStyle name="常规 6 2 4 2 3 3 4 2 2" xfId="38314"/>
    <cellStyle name="常规 6 2 4 2 3 3 4 3" xfId="38315"/>
    <cellStyle name="常规 6 2 4 2 3 3 4 4" xfId="38316"/>
    <cellStyle name="常规 6 2 4 2 3 3 5" xfId="38317"/>
    <cellStyle name="常规 6 2 4 2 3 3 5 2" xfId="38318"/>
    <cellStyle name="常规 6 2 4 2 3 3 6" xfId="38319"/>
    <cellStyle name="常规 6 2 4 2 3 3 7" xfId="38320"/>
    <cellStyle name="常规 6 2 4 2 3 4" xfId="38321"/>
    <cellStyle name="常规 6 2 4 2 3 4 2" xfId="38322"/>
    <cellStyle name="常规 6 2 4 2 3 4 2 2" xfId="38323"/>
    <cellStyle name="常规 6 2 4 2 3 4 2 2 2" xfId="38324"/>
    <cellStyle name="常规 6 2 4 2 3 4 2 2 2 2" xfId="38325"/>
    <cellStyle name="常规 6 2 4 2 3 4 2 2 3" xfId="38326"/>
    <cellStyle name="常规 6 2 4 2 3 4 2 2 4" xfId="38327"/>
    <cellStyle name="常规 6 2 4 2 3 4 2 3" xfId="38328"/>
    <cellStyle name="常规 6 2 4 2 3 4 2 3 2" xfId="38329"/>
    <cellStyle name="常规 6 2 4 2 3 4 2 4" xfId="25859"/>
    <cellStyle name="常规 6 2 4 2 3 4 2 5" xfId="38330"/>
    <cellStyle name="常规 6 2 4 2 3 4 3" xfId="38331"/>
    <cellStyle name="常规 6 2 4 2 3 4 3 2" xfId="38332"/>
    <cellStyle name="常规 6 2 4 2 3 4 3 2 2" xfId="7497"/>
    <cellStyle name="常规 6 2 4 2 3 4 3 3" xfId="38333"/>
    <cellStyle name="常规 6 2 4 2 3 4 3 4" xfId="37613"/>
    <cellStyle name="常规 6 2 4 2 3 4 4" xfId="38334"/>
    <cellStyle name="常规 6 2 4 2 3 4 4 2" xfId="38335"/>
    <cellStyle name="常规 6 2 4 2 3 4 5" xfId="7857"/>
    <cellStyle name="常规 6 2 4 2 3 4 6" xfId="38336"/>
    <cellStyle name="常规 6 2 4 2 3 5" xfId="38337"/>
    <cellStyle name="常规 6 2 4 2 3 5 2" xfId="38338"/>
    <cellStyle name="常规 6 2 4 2 3 5 2 2" xfId="38339"/>
    <cellStyle name="常规 6 2 4 2 3 5 2 2 2" xfId="38340"/>
    <cellStyle name="常规 6 2 4 2 3 5 2 3" xfId="38341"/>
    <cellStyle name="常规 6 2 4 2 3 5 2 4" xfId="38342"/>
    <cellStyle name="常规 6 2 4 2 3 5 3" xfId="38343"/>
    <cellStyle name="常规 6 2 4 2 3 5 3 2" xfId="38344"/>
    <cellStyle name="常规 6 2 4 2 3 5 4" xfId="38345"/>
    <cellStyle name="常规 6 2 4 2 3 5 5" xfId="38346"/>
    <cellStyle name="常规 6 2 4 2 3 6" xfId="38347"/>
    <cellStyle name="常规 6 2 4 2 3 6 2" xfId="38348"/>
    <cellStyle name="常规 6 2 4 2 3 6 2 2" xfId="38349"/>
    <cellStyle name="常规 6 2 4 2 3 6 3" xfId="38350"/>
    <cellStyle name="常规 6 2 4 2 3 6 4" xfId="38351"/>
    <cellStyle name="常规 6 2 4 2 3 7" xfId="21446"/>
    <cellStyle name="常规 6 2 4 2 3 7 2" xfId="21449"/>
    <cellStyle name="常规 6 2 4 2 3 8" xfId="21451"/>
    <cellStyle name="常规 6 2 4 2 3 9" xfId="44"/>
    <cellStyle name="常规 6 2 4 2 4" xfId="38353"/>
    <cellStyle name="常规 6 2 4 2 4 2" xfId="38354"/>
    <cellStyle name="常规 6 2 4 2 4 2 2" xfId="38355"/>
    <cellStyle name="常规 6 2 4 2 4 2 2 2" xfId="38356"/>
    <cellStyle name="常规 6 2 4 2 4 2 2 2 2" xfId="38357"/>
    <cellStyle name="常规 6 2 4 2 4 2 2 2 2 2" xfId="38358"/>
    <cellStyle name="常规 6 2 4 2 4 2 2 2 2 2 2" xfId="38359"/>
    <cellStyle name="常规 6 2 4 2 4 2 2 2 2 2 2 2" xfId="38360"/>
    <cellStyle name="常规 6 2 4 2 4 2 2 2 2 2 3" xfId="38361"/>
    <cellStyle name="常规 6 2 4 2 4 2 2 2 2 2 4" xfId="38362"/>
    <cellStyle name="常规 6 2 4 2 4 2 2 2 2 3" xfId="38363"/>
    <cellStyle name="常规 6 2 4 2 4 2 2 2 2 3 2" xfId="38364"/>
    <cellStyle name="常规 6 2 4 2 4 2 2 2 2 4" xfId="38365"/>
    <cellStyle name="常规 6 2 4 2 4 2 2 2 2 5" xfId="38366"/>
    <cellStyle name="常规 6 2 4 2 4 2 2 2 3" xfId="38367"/>
    <cellStyle name="常规 6 2 4 2 4 2 2 2 3 2" xfId="38368"/>
    <cellStyle name="常规 6 2 4 2 4 2 2 2 3 2 2" xfId="38369"/>
    <cellStyle name="常规 6 2 4 2 4 2 2 2 3 3" xfId="38370"/>
    <cellStyle name="常规 6 2 4 2 4 2 2 2 3 4" xfId="38371"/>
    <cellStyle name="常规 6 2 4 2 4 2 2 2 4" xfId="23301"/>
    <cellStyle name="常规 6 2 4 2 4 2 2 2 4 2" xfId="23303"/>
    <cellStyle name="常规 6 2 4 2 4 2 2 2 5" xfId="23308"/>
    <cellStyle name="常规 6 2 4 2 4 2 2 2 6" xfId="23312"/>
    <cellStyle name="常规 6 2 4 2 4 2 2 3" xfId="38372"/>
    <cellStyle name="常规 6 2 4 2 4 2 2 3 2" xfId="38373"/>
    <cellStyle name="常规 6 2 4 2 4 2 2 3 2 2" xfId="38374"/>
    <cellStyle name="常规 6 2 4 2 4 2 2 3 2 2 2" xfId="38375"/>
    <cellStyle name="常规 6 2 4 2 4 2 2 3 2 3" xfId="38376"/>
    <cellStyle name="常规 6 2 4 2 4 2 2 3 2 4" xfId="38377"/>
    <cellStyle name="常规 6 2 4 2 4 2 2 3 3" xfId="38378"/>
    <cellStyle name="常规 6 2 4 2 4 2 2 3 3 2" xfId="38379"/>
    <cellStyle name="常规 6 2 4 2 4 2 2 3 4" xfId="23317"/>
    <cellStyle name="常规 6 2 4 2 4 2 2 3 5" xfId="23320"/>
    <cellStyle name="常规 6 2 4 2 4 2 2 4" xfId="26397"/>
    <cellStyle name="常规 6 2 4 2 4 2 2 4 2" xfId="30147"/>
    <cellStyle name="常规 6 2 4 2 4 2 2 4 2 2" xfId="38380"/>
    <cellStyle name="常规 6 2 4 2 4 2 2 4 3" xfId="38381"/>
    <cellStyle name="常规 6 2 4 2 4 2 2 4 4" xfId="23325"/>
    <cellStyle name="常规 6 2 4 2 4 2 2 5" xfId="26402"/>
    <cellStyle name="常规 6 2 4 2 4 2 2 5 2" xfId="38382"/>
    <cellStyle name="常规 6 2 4 2 4 2 2 6" xfId="10765"/>
    <cellStyle name="常规 6 2 4 2 4 2 2 7" xfId="38383"/>
    <cellStyle name="常规 6 2 4 2 4 2 3" xfId="38384"/>
    <cellStyle name="常规 6 2 4 2 4 2 3 2" xfId="38385"/>
    <cellStyle name="常规 6 2 4 2 4 2 3 2 2" xfId="7880"/>
    <cellStyle name="常规 6 2 4 2 4 2 3 2 2 2" xfId="38386"/>
    <cellStyle name="常规 6 2 4 2 4 2 3 2 2 2 2" xfId="38387"/>
    <cellStyle name="常规 6 2 4 2 4 2 3 2 2 3" xfId="38388"/>
    <cellStyle name="常规 6 2 4 2 4 2 3 2 2 4" xfId="38389"/>
    <cellStyle name="常规 6 2 4 2 4 2 3 2 3" xfId="38390"/>
    <cellStyle name="常规 6 2 4 2 4 2 3 2 3 2" xfId="38391"/>
    <cellStyle name="常规 6 2 4 2 4 2 3 2 4" xfId="12437"/>
    <cellStyle name="常规 6 2 4 2 4 2 3 2 5" xfId="12452"/>
    <cellStyle name="常规 6 2 4 2 4 2 3 3" xfId="38392"/>
    <cellStyle name="常规 6 2 4 2 4 2 3 3 2" xfId="38393"/>
    <cellStyle name="常规 6 2 4 2 4 2 3 3 2 2" xfId="38394"/>
    <cellStyle name="常规 6 2 4 2 4 2 3 3 3" xfId="38395"/>
    <cellStyle name="常规 6 2 4 2 4 2 3 3 4" xfId="12717"/>
    <cellStyle name="常规 6 2 4 2 4 2 3 4" xfId="5753"/>
    <cellStyle name="常规 6 2 4 2 4 2 3 4 2" xfId="38396"/>
    <cellStyle name="常规 6 2 4 2 4 2 3 5" xfId="38397"/>
    <cellStyle name="常规 6 2 4 2 4 2 3 6" xfId="38398"/>
    <cellStyle name="常规 6 2 4 2 4 2 4" xfId="38399"/>
    <cellStyle name="常规 6 2 4 2 4 2 4 2" xfId="38400"/>
    <cellStyle name="常规 6 2 4 2 4 2 4 2 2" xfId="38401"/>
    <cellStyle name="常规 6 2 4 2 4 2 4 2 2 2" xfId="38402"/>
    <cellStyle name="常规 6 2 4 2 4 2 4 2 3" xfId="38403"/>
    <cellStyle name="常规 6 2 4 2 4 2 4 2 4" xfId="14311"/>
    <cellStyle name="常规 6 2 4 2 4 2 4 3" xfId="38404"/>
    <cellStyle name="常规 6 2 4 2 4 2 4 3 2" xfId="38405"/>
    <cellStyle name="常规 6 2 4 2 4 2 4 4" xfId="38406"/>
    <cellStyle name="常规 6 2 4 2 4 2 4 5" xfId="38407"/>
    <cellStyle name="常规 6 2 4 2 4 2 5" xfId="38408"/>
    <cellStyle name="常规 6 2 4 2 4 2 5 2" xfId="38409"/>
    <cellStyle name="常规 6 2 4 2 4 2 5 2 2" xfId="38410"/>
    <cellStyle name="常规 6 2 4 2 4 2 5 3" xfId="38411"/>
    <cellStyle name="常规 6 2 4 2 4 2 5 4" xfId="38412"/>
    <cellStyle name="常规 6 2 4 2 4 2 6" xfId="38413"/>
    <cellStyle name="常规 6 2 4 2 4 2 6 2" xfId="38414"/>
    <cellStyle name="常规 6 2 4 2 4 2 7" xfId="38415"/>
    <cellStyle name="常规 6 2 4 2 4 2 8" xfId="38416"/>
    <cellStyle name="常规 6 2 4 2 4 3" xfId="38417"/>
    <cellStyle name="常规 6 2 4 2 4 3 2" xfId="38418"/>
    <cellStyle name="常规 6 2 4 2 4 3 2 2" xfId="38419"/>
    <cellStyle name="常规 6 2 4 2 4 3 2 2 2" xfId="38420"/>
    <cellStyle name="常规 6 2 4 2 4 3 2 2 2 2" xfId="38421"/>
    <cellStyle name="常规 6 2 4 2 4 3 2 2 2 2 2" xfId="38422"/>
    <cellStyle name="常规 6 2 4 2 4 3 2 2 2 3" xfId="38423"/>
    <cellStyle name="常规 6 2 4 2 4 3 2 2 2 4" xfId="38424"/>
    <cellStyle name="常规 6 2 4 2 4 3 2 2 3" xfId="38425"/>
    <cellStyle name="常规 6 2 4 2 4 3 2 2 3 2" xfId="38426"/>
    <cellStyle name="常规 6 2 4 2 4 3 2 2 4" xfId="23357"/>
    <cellStyle name="常规 6 2 4 2 4 3 2 2 5" xfId="23360"/>
    <cellStyle name="常规 6 2 4 2 4 3 2 3" xfId="38427"/>
    <cellStyle name="常规 6 2 4 2 4 3 2 3 2" xfId="38428"/>
    <cellStyle name="常规 6 2 4 2 4 3 2 3 2 2" xfId="38429"/>
    <cellStyle name="常规 6 2 4 2 4 3 2 3 3" xfId="38430"/>
    <cellStyle name="常规 6 2 4 2 4 3 2 3 4" xfId="23363"/>
    <cellStyle name="常规 6 2 4 2 4 3 2 4" xfId="26478"/>
    <cellStyle name="常规 6 2 4 2 4 3 2 4 2" xfId="38431"/>
    <cellStyle name="常规 6 2 4 2 4 3 2 5" xfId="38432"/>
    <cellStyle name="常规 6 2 4 2 4 3 2 6" xfId="38433"/>
    <cellStyle name="常规 6 2 4 2 4 3 3" xfId="38434"/>
    <cellStyle name="常规 6 2 4 2 4 3 3 2" xfId="38435"/>
    <cellStyle name="常规 6 2 4 2 4 3 3 2 2" xfId="38436"/>
    <cellStyle name="常规 6 2 4 2 4 3 3 2 2 2" xfId="38437"/>
    <cellStyle name="常规 6 2 4 2 4 3 3 2 3" xfId="38438"/>
    <cellStyle name="常规 6 2 4 2 4 3 3 2 4" xfId="23371"/>
    <cellStyle name="常规 6 2 4 2 4 3 3 3" xfId="38439"/>
    <cellStyle name="常规 6 2 4 2 4 3 3 3 2" xfId="38440"/>
    <cellStyle name="常规 6 2 4 2 4 3 3 4" xfId="38441"/>
    <cellStyle name="常规 6 2 4 2 4 3 3 5" xfId="38442"/>
    <cellStyle name="常规 6 2 4 2 4 3 4" xfId="38443"/>
    <cellStyle name="常规 6 2 4 2 4 3 4 2" xfId="38444"/>
    <cellStyle name="常规 6 2 4 2 4 3 4 2 2" xfId="38446"/>
    <cellStyle name="常规 6 2 4 2 4 3 4 3" xfId="38447"/>
    <cellStyle name="常规 6 2 4 2 4 3 4 4" xfId="38448"/>
    <cellStyle name="常规 6 2 4 2 4 3 5" xfId="38449"/>
    <cellStyle name="常规 6 2 4 2 4 3 5 2" xfId="38450"/>
    <cellStyle name="常规 6 2 4 2 4 3 6" xfId="38451"/>
    <cellStyle name="常规 6 2 4 2 4 3 7" xfId="38452"/>
    <cellStyle name="常规 6 2 4 2 4 4" xfId="38453"/>
    <cellStyle name="常规 6 2 4 2 4 4 2" xfId="38454"/>
    <cellStyle name="常规 6 2 4 2 4 4 2 2" xfId="38455"/>
    <cellStyle name="常规 6 2 4 2 4 4 2 2 2" xfId="38456"/>
    <cellStyle name="常规 6 2 4 2 4 4 2 2 2 2" xfId="38457"/>
    <cellStyle name="常规 6 2 4 2 4 4 2 2 3" xfId="38458"/>
    <cellStyle name="常规 6 2 4 2 4 4 2 2 4" xfId="23390"/>
    <cellStyle name="常规 6 2 4 2 4 4 2 3" xfId="38459"/>
    <cellStyle name="常规 6 2 4 2 4 4 2 3 2" xfId="38460"/>
    <cellStyle name="常规 6 2 4 2 4 4 2 4" xfId="38461"/>
    <cellStyle name="常规 6 2 4 2 4 4 2 5" xfId="38462"/>
    <cellStyle name="常规 6 2 4 2 4 4 3" xfId="38463"/>
    <cellStyle name="常规 6 2 4 2 4 4 3 2" xfId="38464"/>
    <cellStyle name="常规 6 2 4 2 4 4 3 2 2" xfId="38465"/>
    <cellStyle name="常规 6 2 4 2 4 4 3 3" xfId="38466"/>
    <cellStyle name="常规 6 2 4 2 4 4 3 4" xfId="38467"/>
    <cellStyle name="常规 6 2 4 2 4 4 4" xfId="38468"/>
    <cellStyle name="常规 6 2 4 2 4 4 4 2" xfId="38469"/>
    <cellStyle name="常规 6 2 4 2 4 4 5" xfId="38470"/>
    <cellStyle name="常规 6 2 4 2 4 4 6" xfId="38471"/>
    <cellStyle name="常规 6 2 4 2 4 5" xfId="38472"/>
    <cellStyle name="常规 6 2 4 2 4 5 2" xfId="38473"/>
    <cellStyle name="常规 6 2 4 2 4 5 2 2" xfId="38474"/>
    <cellStyle name="常规 6 2 4 2 4 5 2 2 2" xfId="38475"/>
    <cellStyle name="常规 6 2 4 2 4 5 2 3" xfId="38476"/>
    <cellStyle name="常规 6 2 4 2 4 5 2 4" xfId="38477"/>
    <cellStyle name="常规 6 2 4 2 4 5 3" xfId="38478"/>
    <cellStyle name="常规 6 2 4 2 4 5 3 2" xfId="38479"/>
    <cellStyle name="常规 6 2 4 2 4 5 4" xfId="38480"/>
    <cellStyle name="常规 6 2 4 2 4 5 5" xfId="38481"/>
    <cellStyle name="常规 6 2 4 2 4 6" xfId="38482"/>
    <cellStyle name="常规 6 2 4 2 4 6 2" xfId="38483"/>
    <cellStyle name="常规 6 2 4 2 4 6 2 2" xfId="38484"/>
    <cellStyle name="常规 6 2 4 2 4 6 3" xfId="38485"/>
    <cellStyle name="常规 6 2 4 2 4 6 4" xfId="38486"/>
    <cellStyle name="常规 6 2 4 2 4 7" xfId="21454"/>
    <cellStyle name="常规 6 2 4 2 4 7 2" xfId="38487"/>
    <cellStyle name="常规 6 2 4 2 4 8" xfId="38488"/>
    <cellStyle name="常规 6 2 4 2 4 9" xfId="38489"/>
    <cellStyle name="常规 6 2 4 2 5" xfId="38491"/>
    <cellStyle name="常规 6 2 4 2 5 2" xfId="38492"/>
    <cellStyle name="常规 6 2 4 2 5 2 2" xfId="38493"/>
    <cellStyle name="常规 6 2 4 2 5 2 2 2" xfId="38494"/>
    <cellStyle name="常规 6 2 4 2 5 2 2 2 2" xfId="38495"/>
    <cellStyle name="常规 6 2 4 2 5 2 2 2 2 2" xfId="24637"/>
    <cellStyle name="常规 6 2 4 2 5 2 2 2 2 2 2" xfId="38497"/>
    <cellStyle name="常规 6 2 4 2 5 2 2 2 2 3" xfId="24639"/>
    <cellStyle name="常规 6 2 4 2 5 2 2 2 2 4" xfId="38498"/>
    <cellStyle name="常规 6 2 4 2 5 2 2 2 3" xfId="38499"/>
    <cellStyle name="常规 6 2 4 2 5 2 2 2 3 2" xfId="38500"/>
    <cellStyle name="常规 6 2 4 2 5 2 2 2 4" xfId="15277"/>
    <cellStyle name="常规 6 2 4 2 5 2 2 2 5" xfId="24326"/>
    <cellStyle name="常规 6 2 4 2 5 2 2 3" xfId="38501"/>
    <cellStyle name="常规 6 2 4 2 5 2 2 3 2" xfId="38502"/>
    <cellStyle name="常规 6 2 4 2 5 2 2 3 2 2" xfId="38503"/>
    <cellStyle name="常规 6 2 4 2 5 2 2 3 3" xfId="38504"/>
    <cellStyle name="常规 6 2 4 2 5 2 2 3 4" xfId="24329"/>
    <cellStyle name="常规 6 2 4 2 5 2 2 4" xfId="30169"/>
    <cellStyle name="常规 6 2 4 2 5 2 2 4 2" xfId="37131"/>
    <cellStyle name="常规 6 2 4 2 5 2 2 5" xfId="37133"/>
    <cellStyle name="常规 6 2 4 2 5 2 2 6" xfId="37135"/>
    <cellStyle name="常规 6 2 4 2 5 2 3" xfId="38505"/>
    <cellStyle name="常规 6 2 4 2 5 2 3 2" xfId="38506"/>
    <cellStyle name="常规 6 2 4 2 5 2 3 2 2" xfId="38507"/>
    <cellStyle name="常规 6 2 4 2 5 2 3 2 2 2" xfId="38508"/>
    <cellStyle name="常规 6 2 4 2 5 2 3 2 3" xfId="38509"/>
    <cellStyle name="常规 6 2 4 2 5 2 3 2 4" xfId="24340"/>
    <cellStyle name="常规 6 2 4 2 5 2 3 3" xfId="38510"/>
    <cellStyle name="常规 6 2 4 2 5 2 3 3 2" xfId="38511"/>
    <cellStyle name="常规 6 2 4 2 5 2 3 4" xfId="37137"/>
    <cellStyle name="常规 6 2 4 2 5 2 3 5" xfId="38512"/>
    <cellStyle name="常规 6 2 4 2 5 2 4" xfId="38513"/>
    <cellStyle name="常规 6 2 4 2 5 2 4 2" xfId="38514"/>
    <cellStyle name="常规 6 2 4 2 5 2 4 2 2" xfId="38515"/>
    <cellStyle name="常规 6 2 4 2 5 2 4 3" xfId="38516"/>
    <cellStyle name="常规 6 2 4 2 5 2 4 4" xfId="38517"/>
    <cellStyle name="常规 6 2 4 2 5 2 5" xfId="38518"/>
    <cellStyle name="常规 6 2 4 2 5 2 5 2" xfId="38519"/>
    <cellStyle name="常规 6 2 4 2 5 2 6" xfId="38520"/>
    <cellStyle name="常规 6 2 4 2 5 2 7" xfId="38521"/>
    <cellStyle name="常规 6 2 4 2 5 3" xfId="38522"/>
    <cellStyle name="常规 6 2 4 2 5 3 2" xfId="38523"/>
    <cellStyle name="常规 6 2 4 2 5 3 2 2" xfId="38524"/>
    <cellStyle name="常规 6 2 4 2 5 3 2 2 2" xfId="38525"/>
    <cellStyle name="常规 6 2 4 2 5 3 2 2 2 2" xfId="38526"/>
    <cellStyle name="常规 6 2 4 2 5 3 2 2 3" xfId="38527"/>
    <cellStyle name="常规 6 2 4 2 5 3 2 2 4" xfId="24357"/>
    <cellStyle name="常规 6 2 4 2 5 3 2 3" xfId="38528"/>
    <cellStyle name="常规 6 2 4 2 5 3 2 3 2" xfId="38529"/>
    <cellStyle name="常规 6 2 4 2 5 3 2 4" xfId="37146"/>
    <cellStyle name="常规 6 2 4 2 5 3 2 5" xfId="38530"/>
    <cellStyle name="常规 6 2 4 2 5 3 3" xfId="38531"/>
    <cellStyle name="常规 6 2 4 2 5 3 3 2" xfId="38532"/>
    <cellStyle name="常规 6 2 4 2 5 3 3 2 2" xfId="38533"/>
    <cellStyle name="常规 6 2 4 2 5 3 3 3" xfId="38534"/>
    <cellStyle name="常规 6 2 4 2 5 3 3 4" xfId="38535"/>
    <cellStyle name="常规 6 2 4 2 5 3 4" xfId="38536"/>
    <cellStyle name="常规 6 2 4 2 5 3 4 2" xfId="38537"/>
    <cellStyle name="常规 6 2 4 2 5 3 5" xfId="38538"/>
    <cellStyle name="常规 6 2 4 2 5 3 6" xfId="38539"/>
    <cellStyle name="常规 6 2 4 2 5 4" xfId="38540"/>
    <cellStyle name="常规 6 2 4 2 5 4 2" xfId="38541"/>
    <cellStyle name="常规 6 2 4 2 5 4 2 2" xfId="38542"/>
    <cellStyle name="常规 6 2 4 2 5 4 2 2 2" xfId="38543"/>
    <cellStyle name="常规 6 2 4 2 5 4 2 3" xfId="38544"/>
    <cellStyle name="常规 6 2 4 2 5 4 2 4" xfId="38545"/>
    <cellStyle name="常规 6 2 4 2 5 4 3" xfId="16381"/>
    <cellStyle name="常规 6 2 4 2 5 4 3 2" xfId="38546"/>
    <cellStyle name="常规 6 2 4 2 5 4 4" xfId="38547"/>
    <cellStyle name="常规 6 2 4 2 5 4 5" xfId="38548"/>
    <cellStyle name="常规 6 2 4 2 5 5" xfId="38549"/>
    <cellStyle name="常规 6 2 4 2 5 5 2" xfId="38550"/>
    <cellStyle name="常规 6 2 4 2 5 5 2 2" xfId="38551"/>
    <cellStyle name="常规 6 2 4 2 5 5 3" xfId="38552"/>
    <cellStyle name="常规 6 2 4 2 5 5 4" xfId="38553"/>
    <cellStyle name="常规 6 2 4 2 5 6" xfId="38555"/>
    <cellStyle name="常规 6 2 4 2 5 6 2" xfId="38557"/>
    <cellStyle name="常规 6 2 4 2 5 7" xfId="38559"/>
    <cellStyle name="常规 6 2 4 2 5 8" xfId="38561"/>
    <cellStyle name="常规 6 2 4 2 6" xfId="38562"/>
    <cellStyle name="常规 6 2 4 2 6 2" xfId="38563"/>
    <cellStyle name="常规 6 2 4 2 6 2 2" xfId="38564"/>
    <cellStyle name="常规 6 2 4 2 6 2 2 2" xfId="38565"/>
    <cellStyle name="常规 6 2 4 2 6 2 2 2 2" xfId="38566"/>
    <cellStyle name="常规 6 2 4 2 6 2 2 2 2 2" xfId="24928"/>
    <cellStyle name="常规 6 2 4 2 6 2 2 2 3" xfId="38567"/>
    <cellStyle name="常规 6 2 4 2 6 2 2 2 4" xfId="38568"/>
    <cellStyle name="常规 6 2 4 2 6 2 2 3" xfId="38569"/>
    <cellStyle name="常规 6 2 4 2 6 2 2 3 2" xfId="38570"/>
    <cellStyle name="常规 6 2 4 2 6 2 2 4" xfId="37157"/>
    <cellStyle name="常规 6 2 4 2 6 2 2 5" xfId="38571"/>
    <cellStyle name="常规 6 2 4 2 6 2 3" xfId="38572"/>
    <cellStyle name="常规 6 2 4 2 6 2 3 2" xfId="38573"/>
    <cellStyle name="常规 6 2 4 2 6 2 3 2 2" xfId="38574"/>
    <cellStyle name="常规 6 2 4 2 6 2 3 3" xfId="38575"/>
    <cellStyle name="常规 6 2 4 2 6 2 3 4" xfId="38576"/>
    <cellStyle name="常规 6 2 4 2 6 2 4" xfId="38577"/>
    <cellStyle name="常规 6 2 4 2 6 2 4 2" xfId="38578"/>
    <cellStyle name="常规 6 2 4 2 6 2 5" xfId="38579"/>
    <cellStyle name="常规 6 2 4 2 6 2 6" xfId="38580"/>
    <cellStyle name="常规 6 2 4 2 6 3" xfId="38581"/>
    <cellStyle name="常规 6 2 4 2 6 3 2" xfId="38582"/>
    <cellStyle name="常规 6 2 4 2 6 3 2 2" xfId="38583"/>
    <cellStyle name="常规 6 2 4 2 6 3 2 2 2" xfId="38584"/>
    <cellStyle name="常规 6 2 4 2 6 3 2 3" xfId="38585"/>
    <cellStyle name="常规 6 2 4 2 6 3 2 4" xfId="38586"/>
    <cellStyle name="常规 6 2 4 2 6 3 3" xfId="38587"/>
    <cellStyle name="常规 6 2 4 2 6 3 3 2" xfId="38588"/>
    <cellStyle name="常规 6 2 4 2 6 3 4" xfId="38589"/>
    <cellStyle name="常规 6 2 4 2 6 3 5" xfId="38590"/>
    <cellStyle name="常规 6 2 4 2 6 4" xfId="38591"/>
    <cellStyle name="常规 6 2 4 2 6 4 2" xfId="38592"/>
    <cellStyle name="常规 6 2 4 2 6 4 2 2" xfId="38594"/>
    <cellStyle name="常规 6 2 4 2 6 4 3" xfId="38595"/>
    <cellStyle name="常规 6 2 4 2 6 4 4" xfId="38596"/>
    <cellStyle name="常规 6 2 4 2 6 5" xfId="38597"/>
    <cellStyle name="常规 6 2 4 2 6 5 2" xfId="38598"/>
    <cellStyle name="常规 6 2 4 2 6 6" xfId="38600"/>
    <cellStyle name="常规 6 2 4 2 6 7" xfId="38602"/>
    <cellStyle name="常规 6 2 4 2 7" xfId="38603"/>
    <cellStyle name="常规 6 2 4 2 7 2" xfId="38604"/>
    <cellStyle name="常规 6 2 4 2 7 2 2" xfId="38605"/>
    <cellStyle name="常规 6 2 4 2 7 2 2 2" xfId="38606"/>
    <cellStyle name="常规 6 2 4 2 7 2 2 2 2" xfId="29578"/>
    <cellStyle name="常规 6 2 4 2 7 2 2 3" xfId="38608"/>
    <cellStyle name="常规 6 2 4 2 7 2 2 4" xfId="38609"/>
    <cellStyle name="常规 6 2 4 2 7 2 3" xfId="38610"/>
    <cellStyle name="常规 6 2 4 2 7 2 3 2" xfId="38611"/>
    <cellStyle name="常规 6 2 4 2 7 2 4" xfId="38612"/>
    <cellStyle name="常规 6 2 4 2 7 2 5" xfId="12923"/>
    <cellStyle name="常规 6 2 4 2 7 3" xfId="38613"/>
    <cellStyle name="常规 6 2 4 2 7 3 2" xfId="38614"/>
    <cellStyle name="常规 6 2 4 2 7 3 2 2" xfId="38615"/>
    <cellStyle name="常规 6 2 4 2 7 3 3" xfId="38616"/>
    <cellStyle name="常规 6 2 4 2 7 3 4" xfId="38617"/>
    <cellStyle name="常规 6 2 4 2 7 4" xfId="38618"/>
    <cellStyle name="常规 6 2 4 2 7 4 2" xfId="38619"/>
    <cellStyle name="常规 6 2 4 2 7 5" xfId="38620"/>
    <cellStyle name="常规 6 2 4 2 7 6" xfId="38622"/>
    <cellStyle name="常规 6 2 4 2 8" xfId="38623"/>
    <cellStyle name="常规 6 2 4 2 8 2" xfId="38624"/>
    <cellStyle name="常规 6 2 4 2 8 2 2" xfId="38625"/>
    <cellStyle name="常规 6 2 4 2 8 2 2 2" xfId="38627"/>
    <cellStyle name="常规 6 2 4 2 8 2 3" xfId="38628"/>
    <cellStyle name="常规 6 2 4 2 8 2 4" xfId="38629"/>
    <cellStyle name="常规 6 2 4 2 8 3" xfId="35690"/>
    <cellStyle name="常规 6 2 4 2 8 3 2" xfId="35692"/>
    <cellStyle name="常规 6 2 4 2 8 4" xfId="35698"/>
    <cellStyle name="常规 6 2 4 2 8 5" xfId="35701"/>
    <cellStyle name="常规 6 2 4 2 9" xfId="38630"/>
    <cellStyle name="常规 6 2 4 2 9 2" xfId="38631"/>
    <cellStyle name="常规 6 2 4 2 9 2 2" xfId="38632"/>
    <cellStyle name="常规 6 2 4 2 9 3" xfId="35705"/>
    <cellStyle name="常规 6 2 4 2 9 4" xfId="35708"/>
    <cellStyle name="常规 6 2 4 3" xfId="38634"/>
    <cellStyle name="常规 6 2 4 3 10" xfId="38635"/>
    <cellStyle name="常规 6 2 4 3 11" xfId="38636"/>
    <cellStyle name="常规 6 2 4 3 2" xfId="38638"/>
    <cellStyle name="常规 6 2 4 3 2 2" xfId="38640"/>
    <cellStyle name="常规 6 2 4 3 2 2 2" xfId="38641"/>
    <cellStyle name="常规 6 2 4 3 2 2 2 2" xfId="38642"/>
    <cellStyle name="常规 6 2 4 3 2 2 2 2 2" xfId="36639"/>
    <cellStyle name="常规 6 2 4 3 2 2 2 2 2 2" xfId="38643"/>
    <cellStyle name="常规 6 2 4 3 2 2 2 2 2 2 2" xfId="38644"/>
    <cellStyle name="常规 6 2 4 3 2 2 2 2 2 2 2 2" xfId="38645"/>
    <cellStyle name="常规 6 2 4 3 2 2 2 2 2 2 3" xfId="38646"/>
    <cellStyle name="常规 6 2 4 3 2 2 2 2 2 2 4" xfId="38647"/>
    <cellStyle name="常规 6 2 4 3 2 2 2 2 2 3" xfId="38648"/>
    <cellStyle name="常规 6 2 4 3 2 2 2 2 2 3 2" xfId="38649"/>
    <cellStyle name="常规 6 2 4 3 2 2 2 2 2 4" xfId="38650"/>
    <cellStyle name="常规 6 2 4 3 2 2 2 2 2 5" xfId="38651"/>
    <cellStyle name="常规 6 2 4 3 2 2 2 2 3" xfId="36641"/>
    <cellStyle name="常规 6 2 4 3 2 2 2 2 3 2" xfId="38652"/>
    <cellStyle name="常规 6 2 4 3 2 2 2 2 3 2 2" xfId="38653"/>
    <cellStyle name="常规 6 2 4 3 2 2 2 2 3 3" xfId="38654"/>
    <cellStyle name="常规 6 2 4 3 2 2 2 2 3 4" xfId="38655"/>
    <cellStyle name="常规 6 2 4 3 2 2 2 2 4" xfId="38656"/>
    <cellStyle name="常规 6 2 4 3 2 2 2 2 4 2" xfId="38657"/>
    <cellStyle name="常规 6 2 4 3 2 2 2 2 5" xfId="38658"/>
    <cellStyle name="常规 6 2 4 3 2 2 2 2 6" xfId="38659"/>
    <cellStyle name="常规 6 2 4 3 2 2 2 3" xfId="38660"/>
    <cellStyle name="常规 6 2 4 3 2 2 2 3 2" xfId="36786"/>
    <cellStyle name="常规 6 2 4 3 2 2 2 3 2 2" xfId="589"/>
    <cellStyle name="常规 6 2 4 3 2 2 2 3 2 2 2" xfId="38661"/>
    <cellStyle name="常规 6 2 4 3 2 2 2 3 2 3" xfId="38662"/>
    <cellStyle name="常规 6 2 4 3 2 2 2 3 2 4" xfId="38663"/>
    <cellStyle name="常规 6 2 4 3 2 2 2 3 3" xfId="36788"/>
    <cellStyle name="常规 6 2 4 3 2 2 2 3 3 2" xfId="670"/>
    <cellStyle name="常规 6 2 4 3 2 2 2 3 4" xfId="38664"/>
    <cellStyle name="常规 6 2 4 3 2 2 2 3 5" xfId="38665"/>
    <cellStyle name="常规 6 2 4 3 2 2 2 4" xfId="30471"/>
    <cellStyle name="常规 6 2 4 3 2 2 2 4 2" xfId="30474"/>
    <cellStyle name="常规 6 2 4 3 2 2 2 4 2 2" xfId="30477"/>
    <cellStyle name="常规 6 2 4 3 2 2 2 4 3" xfId="30479"/>
    <cellStyle name="常规 6 2 4 3 2 2 2 4 4" xfId="30481"/>
    <cellStyle name="常规 6 2 4 3 2 2 2 5" xfId="30484"/>
    <cellStyle name="常规 6 2 4 3 2 2 2 5 2" xfId="30487"/>
    <cellStyle name="常规 6 2 4 3 2 2 2 6" xfId="6676"/>
    <cellStyle name="常规 6 2 4 3 2 2 2 7" xfId="30489"/>
    <cellStyle name="常规 6 2 4 3 2 2 3" xfId="38666"/>
    <cellStyle name="常规 6 2 4 3 2 2 3 2" xfId="38667"/>
    <cellStyle name="常规 6 2 4 3 2 2 3 2 2" xfId="7948"/>
    <cellStyle name="常规 6 2 4 3 2 2 3 2 2 2" xfId="38668"/>
    <cellStyle name="常规 6 2 4 3 2 2 3 2 2 2 2" xfId="38669"/>
    <cellStyle name="常规 6 2 4 3 2 2 3 2 2 3" xfId="38670"/>
    <cellStyle name="常规 6 2 4 3 2 2 3 2 2 4" xfId="38671"/>
    <cellStyle name="常规 6 2 4 3 2 2 3 2 3" xfId="38672"/>
    <cellStyle name="常规 6 2 4 3 2 2 3 2 3 2" xfId="38673"/>
    <cellStyle name="常规 6 2 4 3 2 2 3 2 4" xfId="38674"/>
    <cellStyle name="常规 6 2 4 3 2 2 3 2 5" xfId="38675"/>
    <cellStyle name="常规 6 2 4 3 2 2 3 3" xfId="38676"/>
    <cellStyle name="常规 6 2 4 3 2 2 3 3 2" xfId="38677"/>
    <cellStyle name="常规 6 2 4 3 2 2 3 3 2 2" xfId="38678"/>
    <cellStyle name="常规 6 2 4 3 2 2 3 3 3" xfId="38679"/>
    <cellStyle name="常规 6 2 4 3 2 2 3 3 4" xfId="38680"/>
    <cellStyle name="常规 6 2 4 3 2 2 3 4" xfId="7958"/>
    <cellStyle name="常规 6 2 4 3 2 2 3 4 2" xfId="30493"/>
    <cellStyle name="常规 6 2 4 3 2 2 3 5" xfId="7961"/>
    <cellStyle name="常规 6 2 4 3 2 2 3 6" xfId="30495"/>
    <cellStyle name="常规 6 2 4 3 2 2 4" xfId="38681"/>
    <cellStyle name="常规 6 2 4 3 2 2 4 2" xfId="38682"/>
    <cellStyle name="常规 6 2 4 3 2 2 4 2 2" xfId="36976"/>
    <cellStyle name="常规 6 2 4 3 2 2 4 2 2 2" xfId="38683"/>
    <cellStyle name="常规 6 2 4 3 2 2 4 2 3" xfId="36609"/>
    <cellStyle name="常规 6 2 4 3 2 2 4 2 4" xfId="38684"/>
    <cellStyle name="常规 6 2 4 3 2 2 4 3" xfId="38685"/>
    <cellStyle name="常规 6 2 4 3 2 2 4 3 2" xfId="38686"/>
    <cellStyle name="常规 6 2 4 3 2 2 4 4" xfId="7968"/>
    <cellStyle name="常规 6 2 4 3 2 2 4 5" xfId="38687"/>
    <cellStyle name="常规 6 2 4 3 2 2 5" xfId="38688"/>
    <cellStyle name="常规 6 2 4 3 2 2 5 2" xfId="38689"/>
    <cellStyle name="常规 6 2 4 3 2 2 5 2 2" xfId="38690"/>
    <cellStyle name="常规 6 2 4 3 2 2 5 3" xfId="38691"/>
    <cellStyle name="常规 6 2 4 3 2 2 5 4" xfId="38692"/>
    <cellStyle name="常规 6 2 4 3 2 2 6" xfId="38693"/>
    <cellStyle name="常规 6 2 4 3 2 2 6 2" xfId="38694"/>
    <cellStyle name="常规 6 2 4 3 2 2 7" xfId="38695"/>
    <cellStyle name="常规 6 2 4 3 2 2 8" xfId="38697"/>
    <cellStyle name="常规 6 2 4 3 2 3" xfId="38698"/>
    <cellStyle name="常规 6 2 4 3 2 3 2" xfId="38699"/>
    <cellStyle name="常规 6 2 4 3 2 3 2 2" xfId="38700"/>
    <cellStyle name="常规 6 2 4 3 2 3 2 2 2" xfId="37184"/>
    <cellStyle name="常规 6 2 4 3 2 3 2 2 2 2" xfId="38701"/>
    <cellStyle name="常规 6 2 4 3 2 3 2 2 2 2 2" xfId="38702"/>
    <cellStyle name="常规 6 2 4 3 2 3 2 2 2 3" xfId="38703"/>
    <cellStyle name="常规 6 2 4 3 2 3 2 2 2 4" xfId="38704"/>
    <cellStyle name="常规 6 2 4 3 2 3 2 2 3" xfId="38705"/>
    <cellStyle name="常规 6 2 4 3 2 3 2 2 3 2" xfId="38706"/>
    <cellStyle name="常规 6 2 4 3 2 3 2 2 4" xfId="38707"/>
    <cellStyle name="常规 6 2 4 3 2 3 2 2 5" xfId="38708"/>
    <cellStyle name="常规 6 2 4 3 2 3 2 3" xfId="38709"/>
    <cellStyle name="常规 6 2 4 3 2 3 2 3 2" xfId="38710"/>
    <cellStyle name="常规 6 2 4 3 2 3 2 3 2 2" xfId="38711"/>
    <cellStyle name="常规 6 2 4 3 2 3 2 3 3" xfId="38712"/>
    <cellStyle name="常规 6 2 4 3 2 3 2 3 4" xfId="38713"/>
    <cellStyle name="常规 6 2 4 3 2 3 2 4" xfId="30501"/>
    <cellStyle name="常规 6 2 4 3 2 3 2 4 2" xfId="30503"/>
    <cellStyle name="常规 6 2 4 3 2 3 2 5" xfId="30505"/>
    <cellStyle name="常规 6 2 4 3 2 3 2 6" xfId="30508"/>
    <cellStyle name="常规 6 2 4 3 2 3 3" xfId="38714"/>
    <cellStyle name="常规 6 2 4 3 2 3 3 2" xfId="38715"/>
    <cellStyle name="常规 6 2 4 3 2 3 3 2 2" xfId="37299"/>
    <cellStyle name="常规 6 2 4 3 2 3 3 2 2 2" xfId="38716"/>
    <cellStyle name="常规 6 2 4 3 2 3 3 2 3" xfId="38717"/>
    <cellStyle name="常规 6 2 4 3 2 3 3 2 4" xfId="38718"/>
    <cellStyle name="常规 6 2 4 3 2 3 3 3" xfId="38719"/>
    <cellStyle name="常规 6 2 4 3 2 3 3 3 2" xfId="38720"/>
    <cellStyle name="常规 6 2 4 3 2 3 3 4" xfId="7982"/>
    <cellStyle name="常规 6 2 4 3 2 3 3 5" xfId="38721"/>
    <cellStyle name="常规 6 2 4 3 2 3 4" xfId="38722"/>
    <cellStyle name="常规 6 2 4 3 2 3 4 2" xfId="38723"/>
    <cellStyle name="常规 6 2 4 3 2 3 4 2 2" xfId="38725"/>
    <cellStyle name="常规 6 2 4 3 2 3 4 3" xfId="38726"/>
    <cellStyle name="常规 6 2 4 3 2 3 4 4" xfId="38727"/>
    <cellStyle name="常规 6 2 4 3 2 3 5" xfId="38728"/>
    <cellStyle name="常规 6 2 4 3 2 3 5 2" xfId="38729"/>
    <cellStyle name="常规 6 2 4 3 2 3 6" xfId="38730"/>
    <cellStyle name="常规 6 2 4 3 2 3 7" xfId="38731"/>
    <cellStyle name="常规 6 2 4 3 2 4" xfId="38732"/>
    <cellStyle name="常规 6 2 4 3 2 4 2" xfId="38733"/>
    <cellStyle name="常规 6 2 4 3 2 4 2 2" xfId="38734"/>
    <cellStyle name="常规 6 2 4 3 2 4 2 2 2" xfId="38735"/>
    <cellStyle name="常规 6 2 4 3 2 4 2 2 2 2" xfId="38736"/>
    <cellStyle name="常规 6 2 4 3 2 4 2 2 3" xfId="38737"/>
    <cellStyle name="常规 6 2 4 3 2 4 2 2 4" xfId="38738"/>
    <cellStyle name="常规 6 2 4 3 2 4 2 3" xfId="38739"/>
    <cellStyle name="常规 6 2 4 3 2 4 2 3 2" xfId="38740"/>
    <cellStyle name="常规 6 2 4 3 2 4 2 4" xfId="30517"/>
    <cellStyle name="常规 6 2 4 3 2 4 2 5" xfId="38741"/>
    <cellStyle name="常规 6 2 4 3 2 4 3" xfId="38742"/>
    <cellStyle name="常规 6 2 4 3 2 4 3 2" xfId="38743"/>
    <cellStyle name="常规 6 2 4 3 2 4 3 2 2" xfId="38744"/>
    <cellStyle name="常规 6 2 4 3 2 4 3 3" xfId="38745"/>
    <cellStyle name="常规 6 2 4 3 2 4 3 4" xfId="38746"/>
    <cellStyle name="常规 6 2 4 3 2 4 4" xfId="38747"/>
    <cellStyle name="常规 6 2 4 3 2 4 4 2" xfId="38748"/>
    <cellStyle name="常规 6 2 4 3 2 4 5" xfId="38749"/>
    <cellStyle name="常规 6 2 4 3 2 4 6" xfId="38750"/>
    <cellStyle name="常规 6 2 4 3 2 5" xfId="38751"/>
    <cellStyle name="常规 6 2 4 3 2 5 2" xfId="38752"/>
    <cellStyle name="常规 6 2 4 3 2 5 2 2" xfId="38753"/>
    <cellStyle name="常规 6 2 4 3 2 5 2 2 2" xfId="38754"/>
    <cellStyle name="常规 6 2 4 3 2 5 2 3" xfId="38755"/>
    <cellStyle name="常规 6 2 4 3 2 5 2 4" xfId="38756"/>
    <cellStyle name="常规 6 2 4 3 2 5 3" xfId="38757"/>
    <cellStyle name="常规 6 2 4 3 2 5 3 2" xfId="38758"/>
    <cellStyle name="常规 6 2 4 3 2 5 4" xfId="38759"/>
    <cellStyle name="常规 6 2 4 3 2 5 5" xfId="38760"/>
    <cellStyle name="常规 6 2 4 3 2 6" xfId="38761"/>
    <cellStyle name="常规 6 2 4 3 2 6 2" xfId="38762"/>
    <cellStyle name="常规 6 2 4 3 2 6 2 2" xfId="38763"/>
    <cellStyle name="常规 6 2 4 3 2 6 3" xfId="38764"/>
    <cellStyle name="常规 6 2 4 3 2 6 4" xfId="38765"/>
    <cellStyle name="常规 6 2 4 3 2 7" xfId="38766"/>
    <cellStyle name="常规 6 2 4 3 2 7 2" xfId="38767"/>
    <cellStyle name="常规 6 2 4 3 2 8" xfId="38768"/>
    <cellStyle name="常规 6 2 4 3 2 9" xfId="38769"/>
    <cellStyle name="常规 6 2 4 3 3" xfId="38771"/>
    <cellStyle name="常规 6 2 4 3 3 2" xfId="38772"/>
    <cellStyle name="常规 6 2 4 3 3 2 2" xfId="38773"/>
    <cellStyle name="常规 6 2 4 3 3 2 2 2" xfId="38774"/>
    <cellStyle name="常规 6 2 4 3 3 2 2 2 2" xfId="38775"/>
    <cellStyle name="常规 6 2 4 3 3 2 2 2 2 2" xfId="38776"/>
    <cellStyle name="常规 6 2 4 3 3 2 2 2 2 2 2" xfId="37802"/>
    <cellStyle name="常规 6 2 4 3 3 2 2 2 2 2 2 2" xfId="38777"/>
    <cellStyle name="常规 6 2 4 3 3 2 2 2 2 2 3" xfId="38778"/>
    <cellStyle name="常规 6 2 4 3 3 2 2 2 2 2 4" xfId="38779"/>
    <cellStyle name="常规 6 2 4 3 3 2 2 2 2 3" xfId="38780"/>
    <cellStyle name="常规 6 2 4 3 3 2 2 2 2 3 2" xfId="38781"/>
    <cellStyle name="常规 6 2 4 3 3 2 2 2 2 4" xfId="38782"/>
    <cellStyle name="常规 6 2 4 3 3 2 2 2 2 5" xfId="38783"/>
    <cellStyle name="常规 6 2 4 3 3 2 2 2 3" xfId="38784"/>
    <cellStyle name="常规 6 2 4 3 3 2 2 2 3 2" xfId="38785"/>
    <cellStyle name="常规 6 2 4 3 3 2 2 2 3 2 2" xfId="38786"/>
    <cellStyle name="常规 6 2 4 3 3 2 2 2 3 3" xfId="38787"/>
    <cellStyle name="常规 6 2 4 3 3 2 2 2 3 4" xfId="38788"/>
    <cellStyle name="常规 6 2 4 3 3 2 2 2 4" xfId="38789"/>
    <cellStyle name="常规 6 2 4 3 3 2 2 2 4 2" xfId="38790"/>
    <cellStyle name="常规 6 2 4 3 3 2 2 2 5" xfId="38791"/>
    <cellStyle name="常规 6 2 4 3 3 2 2 2 6" xfId="38792"/>
    <cellStyle name="常规 6 2 4 3 3 2 2 3" xfId="38793"/>
    <cellStyle name="常规 6 2 4 3 3 2 2 3 2" xfId="38794"/>
    <cellStyle name="常规 6 2 4 3 3 2 2 3 2 2" xfId="38795"/>
    <cellStyle name="常规 6 2 4 3 3 2 2 3 2 2 2" xfId="38796"/>
    <cellStyle name="常规 6 2 4 3 3 2 2 3 2 3" xfId="38797"/>
    <cellStyle name="常规 6 2 4 3 3 2 2 3 2 4" xfId="38798"/>
    <cellStyle name="常规 6 2 4 3 3 2 2 3 3" xfId="38799"/>
    <cellStyle name="常规 6 2 4 3 3 2 2 3 3 2" xfId="38800"/>
    <cellStyle name="常规 6 2 4 3 3 2 2 3 4" xfId="38801"/>
    <cellStyle name="常规 6 2 4 3 3 2 2 3 5" xfId="38802"/>
    <cellStyle name="常规 6 2 4 3 3 2 2 4" xfId="28072"/>
    <cellStyle name="常规 6 2 4 3 3 2 2 4 2" xfId="30571"/>
    <cellStyle name="常规 6 2 4 3 3 2 2 4 2 2" xfId="38803"/>
    <cellStyle name="常规 6 2 4 3 3 2 2 4 3" xfId="38804"/>
    <cellStyle name="常规 6 2 4 3 3 2 2 4 4" xfId="38805"/>
    <cellStyle name="常规 6 2 4 3 3 2 2 5" xfId="28075"/>
    <cellStyle name="常规 6 2 4 3 3 2 2 5 2" xfId="38806"/>
    <cellStyle name="常规 6 2 4 3 3 2 2 6" xfId="30573"/>
    <cellStyle name="常规 6 2 4 3 3 2 2 7" xfId="38807"/>
    <cellStyle name="常规 6 2 4 3 3 2 3" xfId="38808"/>
    <cellStyle name="常规 6 2 4 3 3 2 3 2" xfId="38809"/>
    <cellStyle name="常规 6 2 4 3 3 2 3 2 2" xfId="38810"/>
    <cellStyle name="常规 6 2 4 3 3 2 3 2 2 2" xfId="38811"/>
    <cellStyle name="常规 6 2 4 3 3 2 3 2 2 2 2" xfId="37949"/>
    <cellStyle name="常规 6 2 4 3 3 2 3 2 2 3" xfId="38812"/>
    <cellStyle name="常规 6 2 4 3 3 2 3 2 2 4" xfId="38813"/>
    <cellStyle name="常规 6 2 4 3 3 2 3 2 3" xfId="38814"/>
    <cellStyle name="常规 6 2 4 3 3 2 3 2 3 2" xfId="38815"/>
    <cellStyle name="常规 6 2 4 3 3 2 3 2 4" xfId="38816"/>
    <cellStyle name="常规 6 2 4 3 3 2 3 2 5" xfId="38817"/>
    <cellStyle name="常规 6 2 4 3 3 2 3 3" xfId="38818"/>
    <cellStyle name="常规 6 2 4 3 3 2 3 3 2" xfId="38819"/>
    <cellStyle name="常规 6 2 4 3 3 2 3 3 2 2" xfId="38820"/>
    <cellStyle name="常规 6 2 4 3 3 2 3 3 3" xfId="38821"/>
    <cellStyle name="常规 6 2 4 3 3 2 3 3 4" xfId="38822"/>
    <cellStyle name="常规 6 2 4 3 3 2 3 4" xfId="5887"/>
    <cellStyle name="常规 6 2 4 3 3 2 3 4 2" xfId="38823"/>
    <cellStyle name="常规 6 2 4 3 3 2 3 5" xfId="38824"/>
    <cellStyle name="常规 6 2 4 3 3 2 3 6" xfId="38825"/>
    <cellStyle name="常规 6 2 4 3 3 2 4" xfId="38826"/>
    <cellStyle name="常规 6 2 4 3 3 2 4 2" xfId="38827"/>
    <cellStyle name="常规 6 2 4 3 3 2 4 2 2" xfId="38828"/>
    <cellStyle name="常规 6 2 4 3 3 2 4 2 2 2" xfId="38829"/>
    <cellStyle name="常规 6 2 4 3 3 2 4 2 3" xfId="36757"/>
    <cellStyle name="常规 6 2 4 3 3 2 4 2 4" xfId="38830"/>
    <cellStyle name="常规 6 2 4 3 3 2 4 3" xfId="38831"/>
    <cellStyle name="常规 6 2 4 3 3 2 4 3 2" xfId="38832"/>
    <cellStyle name="常规 6 2 4 3 3 2 4 4" xfId="38833"/>
    <cellStyle name="常规 6 2 4 3 3 2 4 5" xfId="38834"/>
    <cellStyle name="常规 6 2 4 3 3 2 5" xfId="8014"/>
    <cellStyle name="常规 6 2 4 3 3 2 5 2" xfId="18776"/>
    <cellStyle name="常规 6 2 4 3 3 2 5 2 2" xfId="38835"/>
    <cellStyle name="常规 6 2 4 3 3 2 5 3" xfId="38836"/>
    <cellStyle name="常规 6 2 4 3 3 2 5 4" xfId="38837"/>
    <cellStyle name="常规 6 2 4 3 3 2 6" xfId="8017"/>
    <cellStyle name="常规 6 2 4 3 3 2 6 2" xfId="25422"/>
    <cellStyle name="常规 6 2 4 3 3 2 7" xfId="18778"/>
    <cellStyle name="常规 6 2 4 3 3 2 8" xfId="38839"/>
    <cellStyle name="常规 6 2 4 3 3 3" xfId="38840"/>
    <cellStyle name="常规 6 2 4 3 3 3 2" xfId="38841"/>
    <cellStyle name="常规 6 2 4 3 3 3 2 2" xfId="38842"/>
    <cellStyle name="常规 6 2 4 3 3 3 2 2 2" xfId="38843"/>
    <cellStyle name="常规 6 2 4 3 3 3 2 2 2 2" xfId="38844"/>
    <cellStyle name="常规 6 2 4 3 3 3 2 2 2 2 2" xfId="38845"/>
    <cellStyle name="常规 6 2 4 3 3 3 2 2 2 3" xfId="38846"/>
    <cellStyle name="常规 6 2 4 3 3 3 2 2 2 4" xfId="38847"/>
    <cellStyle name="常规 6 2 4 3 3 3 2 2 3" xfId="38848"/>
    <cellStyle name="常规 6 2 4 3 3 3 2 2 3 2" xfId="38849"/>
    <cellStyle name="常规 6 2 4 3 3 3 2 2 4" xfId="38850"/>
    <cellStyle name="常规 6 2 4 3 3 3 2 2 5" xfId="38851"/>
    <cellStyle name="常规 6 2 4 3 3 3 2 3" xfId="38852"/>
    <cellStyle name="常规 6 2 4 3 3 3 2 3 2" xfId="38853"/>
    <cellStyle name="常规 6 2 4 3 3 3 2 3 2 2" xfId="38854"/>
    <cellStyle name="常规 6 2 4 3 3 3 2 3 3" xfId="38855"/>
    <cellStyle name="常规 6 2 4 3 3 3 2 3 4" xfId="38856"/>
    <cellStyle name="常规 6 2 4 3 3 3 2 4" xfId="28138"/>
    <cellStyle name="常规 6 2 4 3 3 3 2 4 2" xfId="38857"/>
    <cellStyle name="常规 6 2 4 3 3 3 2 5" xfId="38858"/>
    <cellStyle name="常规 6 2 4 3 3 3 2 6" xfId="38859"/>
    <cellStyle name="常规 6 2 4 3 3 3 3" xfId="38860"/>
    <cellStyle name="常规 6 2 4 3 3 3 3 2" xfId="38861"/>
    <cellStyle name="常规 6 2 4 3 3 3 3 2 2" xfId="38862"/>
    <cellStyle name="常规 6 2 4 3 3 3 3 2 2 2" xfId="38863"/>
    <cellStyle name="常规 6 2 4 3 3 3 3 2 3" xfId="38864"/>
    <cellStyle name="常规 6 2 4 3 3 3 3 2 4" xfId="38865"/>
    <cellStyle name="常规 6 2 4 3 3 3 3 3" xfId="38866"/>
    <cellStyle name="常规 6 2 4 3 3 3 3 3 2" xfId="38867"/>
    <cellStyle name="常规 6 2 4 3 3 3 3 4" xfId="38868"/>
    <cellStyle name="常规 6 2 4 3 3 3 3 5" xfId="38869"/>
    <cellStyle name="常规 6 2 4 3 3 3 4" xfId="38870"/>
    <cellStyle name="常规 6 2 4 3 3 3 4 2" xfId="38871"/>
    <cellStyle name="常规 6 2 4 3 3 3 4 2 2" xfId="38873"/>
    <cellStyle name="常规 6 2 4 3 3 3 4 3" xfId="38874"/>
    <cellStyle name="常规 6 2 4 3 3 3 4 4" xfId="38875"/>
    <cellStyle name="常规 6 2 4 3 3 3 5" xfId="8026"/>
    <cellStyle name="常规 6 2 4 3 3 3 5 2" xfId="38876"/>
    <cellStyle name="常规 6 2 4 3 3 3 6" xfId="38877"/>
    <cellStyle name="常规 6 2 4 3 3 3 7" xfId="38878"/>
    <cellStyle name="常规 6 2 4 3 3 4" xfId="38879"/>
    <cellStyle name="常规 6 2 4 3 3 4 2" xfId="38880"/>
    <cellStyle name="常规 6 2 4 3 3 4 2 2" xfId="38881"/>
    <cellStyle name="常规 6 2 4 3 3 4 2 2 2" xfId="38882"/>
    <cellStyle name="常规 6 2 4 3 3 4 2 2 2 2" xfId="38883"/>
    <cellStyle name="常规 6 2 4 3 3 4 2 2 3" xfId="350"/>
    <cellStyle name="常规 6 2 4 3 3 4 2 2 4" xfId="401"/>
    <cellStyle name="常规 6 2 4 3 3 4 2 3" xfId="38884"/>
    <cellStyle name="常规 6 2 4 3 3 4 2 3 2" xfId="38885"/>
    <cellStyle name="常规 6 2 4 3 3 4 2 4" xfId="38886"/>
    <cellStyle name="常规 6 2 4 3 3 4 2 5" xfId="38887"/>
    <cellStyle name="常规 6 2 4 3 3 4 3" xfId="38888"/>
    <cellStyle name="常规 6 2 4 3 3 4 3 2" xfId="38889"/>
    <cellStyle name="常规 6 2 4 3 3 4 3 2 2" xfId="38890"/>
    <cellStyle name="常规 6 2 4 3 3 4 3 3" xfId="38891"/>
    <cellStyle name="常规 6 2 4 3 3 4 3 4" xfId="38892"/>
    <cellStyle name="常规 6 2 4 3 3 4 4" xfId="38893"/>
    <cellStyle name="常规 6 2 4 3 3 4 4 2" xfId="38894"/>
    <cellStyle name="常规 6 2 4 3 3 4 5" xfId="38895"/>
    <cellStyle name="常规 6 2 4 3 3 4 6" xfId="38896"/>
    <cellStyle name="常规 6 2 4 3 3 5" xfId="38897"/>
    <cellStyle name="常规 6 2 4 3 3 5 2" xfId="38898"/>
    <cellStyle name="常规 6 2 4 3 3 5 2 2" xfId="38899"/>
    <cellStyle name="常规 6 2 4 3 3 5 2 2 2" xfId="38900"/>
    <cellStyle name="常规 6 2 4 3 3 5 2 3" xfId="38901"/>
    <cellStyle name="常规 6 2 4 3 3 5 2 4" xfId="38902"/>
    <cellStyle name="常规 6 2 4 3 3 5 3" xfId="38903"/>
    <cellStyle name="常规 6 2 4 3 3 5 3 2" xfId="38904"/>
    <cellStyle name="常规 6 2 4 3 3 5 4" xfId="38905"/>
    <cellStyle name="常规 6 2 4 3 3 5 5" xfId="38906"/>
    <cellStyle name="常规 6 2 4 3 3 6" xfId="38907"/>
    <cellStyle name="常规 6 2 4 3 3 6 2" xfId="38908"/>
    <cellStyle name="常规 6 2 4 3 3 6 2 2" xfId="38909"/>
    <cellStyle name="常规 6 2 4 3 3 6 3" xfId="38910"/>
    <cellStyle name="常规 6 2 4 3 3 6 4" xfId="38911"/>
    <cellStyle name="常规 6 2 4 3 3 7" xfId="21462"/>
    <cellStyle name="常规 6 2 4 3 3 7 2" xfId="38912"/>
    <cellStyle name="常规 6 2 4 3 3 8" xfId="38913"/>
    <cellStyle name="常规 6 2 4 3 3 9" xfId="38914"/>
    <cellStyle name="常规 6 2 4 3 4" xfId="38916"/>
    <cellStyle name="常规 6 2 4 3 4 2" xfId="38917"/>
    <cellStyle name="常规 6 2 4 3 4 2 2" xfId="38918"/>
    <cellStyle name="常规 6 2 4 3 4 2 2 2" xfId="38919"/>
    <cellStyle name="常规 6 2 4 3 4 2 2 2 2" xfId="38696"/>
    <cellStyle name="常规 6 2 4 3 4 2 2 2 2 2" xfId="38920"/>
    <cellStyle name="常规 6 2 4 3 4 2 2 2 2 2 2" xfId="38921"/>
    <cellStyle name="常规 6 2 4 3 4 2 2 2 2 3" xfId="38922"/>
    <cellStyle name="常规 6 2 4 3 4 2 2 2 2 4" xfId="38923"/>
    <cellStyle name="常规 6 2 4 3 4 2 2 2 3" xfId="38924"/>
    <cellStyle name="常规 6 2 4 3 4 2 2 2 3 2" xfId="38925"/>
    <cellStyle name="常规 6 2 4 3 4 2 2 2 4" xfId="38926"/>
    <cellStyle name="常规 6 2 4 3 4 2 2 2 5" xfId="38927"/>
    <cellStyle name="常规 6 2 4 3 4 2 2 3" xfId="38928"/>
    <cellStyle name="常规 6 2 4 3 4 2 2 3 2" xfId="38929"/>
    <cellStyle name="常规 6 2 4 3 4 2 2 3 2 2" xfId="38930"/>
    <cellStyle name="常规 6 2 4 3 4 2 2 3 3" xfId="38931"/>
    <cellStyle name="常规 6 2 4 3 4 2 2 3 4" xfId="38932"/>
    <cellStyle name="常规 6 2 4 3 4 2 2 4" xfId="15475"/>
    <cellStyle name="常规 6 2 4 3 4 2 2 4 2" xfId="38933"/>
    <cellStyle name="常规 6 2 4 3 4 2 2 5" xfId="38934"/>
    <cellStyle name="常规 6 2 4 3 4 2 2 6" xfId="38935"/>
    <cellStyle name="常规 6 2 4 3 4 2 3" xfId="38936"/>
    <cellStyle name="常规 6 2 4 3 4 2 3 2" xfId="38937"/>
    <cellStyle name="常规 6 2 4 3 4 2 3 2 2" xfId="38838"/>
    <cellStyle name="常规 6 2 4 3 4 2 3 2 2 2" xfId="38938"/>
    <cellStyle name="常规 6 2 4 3 4 2 3 2 3" xfId="38939"/>
    <cellStyle name="常规 6 2 4 3 4 2 3 2 4" xfId="38940"/>
    <cellStyle name="常规 6 2 4 3 4 2 3 3" xfId="38941"/>
    <cellStyle name="常规 6 2 4 3 4 2 3 3 2" xfId="38942"/>
    <cellStyle name="常规 6 2 4 3 4 2 3 4" xfId="38943"/>
    <cellStyle name="常规 6 2 4 3 4 2 3 5" xfId="38944"/>
    <cellStyle name="常规 6 2 4 3 4 2 4" xfId="38945"/>
    <cellStyle name="常规 6 2 4 3 4 2 4 2" xfId="38946"/>
    <cellStyle name="常规 6 2 4 3 4 2 4 2 2" xfId="38947"/>
    <cellStyle name="常规 6 2 4 3 4 2 4 3" xfId="38948"/>
    <cellStyle name="常规 6 2 4 3 4 2 4 4" xfId="38949"/>
    <cellStyle name="常规 6 2 4 3 4 2 5" xfId="8046"/>
    <cellStyle name="常规 6 2 4 3 4 2 5 2" xfId="38950"/>
    <cellStyle name="常规 6 2 4 3 4 2 6" xfId="38951"/>
    <cellStyle name="常规 6 2 4 3 4 2 7" xfId="38952"/>
    <cellStyle name="常规 6 2 4 3 4 3" xfId="38953"/>
    <cellStyle name="常规 6 2 4 3 4 3 2" xfId="38954"/>
    <cellStyle name="常规 6 2 4 3 4 3 2 2" xfId="38955"/>
    <cellStyle name="常规 6 2 4 3 4 3 2 2 2" xfId="38956"/>
    <cellStyle name="常规 6 2 4 3 4 3 2 2 2 2" xfId="38957"/>
    <cellStyle name="常规 6 2 4 3 4 3 2 2 3" xfId="38958"/>
    <cellStyle name="常规 6 2 4 3 4 3 2 2 4" xfId="38959"/>
    <cellStyle name="常规 6 2 4 3 4 3 2 3" xfId="38960"/>
    <cellStyle name="常规 6 2 4 3 4 3 2 3 2" xfId="38961"/>
    <cellStyle name="常规 6 2 4 3 4 3 2 4" xfId="38962"/>
    <cellStyle name="常规 6 2 4 3 4 3 2 5" xfId="38963"/>
    <cellStyle name="常规 6 2 4 3 4 3 3" xfId="38964"/>
    <cellStyle name="常规 6 2 4 3 4 3 3 2" xfId="38965"/>
    <cellStyle name="常规 6 2 4 3 4 3 3 2 2" xfId="38966"/>
    <cellStyle name="常规 6 2 4 3 4 3 3 3" xfId="38967"/>
    <cellStyle name="常规 6 2 4 3 4 3 3 4" xfId="38968"/>
    <cellStyle name="常规 6 2 4 3 4 3 4" xfId="38969"/>
    <cellStyle name="常规 6 2 4 3 4 3 4 2" xfId="38970"/>
    <cellStyle name="常规 6 2 4 3 4 3 5" xfId="38971"/>
    <cellStyle name="常规 6 2 4 3 4 3 6" xfId="38972"/>
    <cellStyle name="常规 6 2 4 3 4 4" xfId="38973"/>
    <cellStyle name="常规 6 2 4 3 4 4 2" xfId="38974"/>
    <cellStyle name="常规 6 2 4 3 4 4 2 2" xfId="38975"/>
    <cellStyle name="常规 6 2 4 3 4 4 2 2 2" xfId="38976"/>
    <cellStyle name="常规 6 2 4 3 4 4 2 3" xfId="38977"/>
    <cellStyle name="常规 6 2 4 3 4 4 2 4" xfId="38978"/>
    <cellStyle name="常规 6 2 4 3 4 4 3" xfId="38979"/>
    <cellStyle name="常规 6 2 4 3 4 4 3 2" xfId="38980"/>
    <cellStyle name="常规 6 2 4 3 4 4 4" xfId="38981"/>
    <cellStyle name="常规 6 2 4 3 4 4 5" xfId="38982"/>
    <cellStyle name="常规 6 2 4 3 4 5" xfId="38983"/>
    <cellStyle name="常规 6 2 4 3 4 5 2" xfId="38984"/>
    <cellStyle name="常规 6 2 4 3 4 5 2 2" xfId="38985"/>
    <cellStyle name="常规 6 2 4 3 4 5 3" xfId="38986"/>
    <cellStyle name="常规 6 2 4 3 4 5 4" xfId="38987"/>
    <cellStyle name="常规 6 2 4 3 4 6" xfId="38988"/>
    <cellStyle name="常规 6 2 4 3 4 6 2" xfId="38989"/>
    <cellStyle name="常规 6 2 4 3 4 7" xfId="38990"/>
    <cellStyle name="常规 6 2 4 3 4 8" xfId="38991"/>
    <cellStyle name="常规 6 2 4 3 5" xfId="38992"/>
    <cellStyle name="常规 6 2 4 3 5 2" xfId="38993"/>
    <cellStyle name="常规 6 2 4 3 5 2 2" xfId="38994"/>
    <cellStyle name="常规 6 2 4 3 5 2 2 2" xfId="38995"/>
    <cellStyle name="常规 6 2 4 3 5 2 2 2 2" xfId="38996"/>
    <cellStyle name="常规 6 2 4 3 5 2 2 2 2 2" xfId="38997"/>
    <cellStyle name="常规 6 2 4 3 5 2 2 2 3" xfId="38998"/>
    <cellStyle name="常规 6 2 4 3 5 2 2 2 4" xfId="38999"/>
    <cellStyle name="常规 6 2 4 3 5 2 2 3" xfId="39000"/>
    <cellStyle name="常规 6 2 4 3 5 2 2 3 2" xfId="39001"/>
    <cellStyle name="常规 6 2 4 3 5 2 2 4" xfId="37194"/>
    <cellStyle name="常规 6 2 4 3 5 2 2 5" xfId="39002"/>
    <cellStyle name="常规 6 2 4 3 5 2 3" xfId="39003"/>
    <cellStyle name="常规 6 2 4 3 5 2 3 2" xfId="39004"/>
    <cellStyle name="常规 6 2 4 3 5 2 3 2 2" xfId="39005"/>
    <cellStyle name="常规 6 2 4 3 5 2 3 3" xfId="39006"/>
    <cellStyle name="常规 6 2 4 3 5 2 3 4" xfId="39007"/>
    <cellStyle name="常规 6 2 4 3 5 2 4" xfId="39008"/>
    <cellStyle name="常规 6 2 4 3 5 2 4 2" xfId="39009"/>
    <cellStyle name="常规 6 2 4 3 5 2 5" xfId="39010"/>
    <cellStyle name="常规 6 2 4 3 5 2 6" xfId="39011"/>
    <cellStyle name="常规 6 2 4 3 5 3" xfId="39012"/>
    <cellStyle name="常规 6 2 4 3 5 3 2" xfId="39013"/>
    <cellStyle name="常规 6 2 4 3 5 3 2 2" xfId="39014"/>
    <cellStyle name="常规 6 2 4 3 5 3 2 2 2" xfId="39015"/>
    <cellStyle name="常规 6 2 4 3 5 3 2 3" xfId="39016"/>
    <cellStyle name="常规 6 2 4 3 5 3 2 4" xfId="39017"/>
    <cellStyle name="常规 6 2 4 3 5 3 3" xfId="39018"/>
    <cellStyle name="常规 6 2 4 3 5 3 3 2" xfId="39019"/>
    <cellStyle name="常规 6 2 4 3 5 3 4" xfId="39020"/>
    <cellStyle name="常规 6 2 4 3 5 3 5" xfId="39021"/>
    <cellStyle name="常规 6 2 4 3 5 4" xfId="39022"/>
    <cellStyle name="常规 6 2 4 3 5 4 2" xfId="39023"/>
    <cellStyle name="常规 6 2 4 3 5 4 2 2" xfId="39024"/>
    <cellStyle name="常规 6 2 4 3 5 4 3" xfId="39025"/>
    <cellStyle name="常规 6 2 4 3 5 4 4" xfId="39026"/>
    <cellStyle name="常规 6 2 4 3 5 5" xfId="39027"/>
    <cellStyle name="常规 6 2 4 3 5 5 2" xfId="39028"/>
    <cellStyle name="常规 6 2 4 3 5 6" xfId="39030"/>
    <cellStyle name="常规 6 2 4 3 5 7" xfId="39032"/>
    <cellStyle name="常规 6 2 4 3 6" xfId="39033"/>
    <cellStyle name="常规 6 2 4 3 6 2" xfId="39034"/>
    <cellStyle name="常规 6 2 4 3 6 2 2" xfId="39035"/>
    <cellStyle name="常规 6 2 4 3 6 2 2 2" xfId="39036"/>
    <cellStyle name="常规 6 2 4 3 6 2 2 2 2" xfId="39037"/>
    <cellStyle name="常规 6 2 4 3 6 2 2 3" xfId="39038"/>
    <cellStyle name="常规 6 2 4 3 6 2 2 4" xfId="39039"/>
    <cellStyle name="常规 6 2 4 3 6 2 3" xfId="39040"/>
    <cellStyle name="常规 6 2 4 3 6 2 3 2" xfId="39041"/>
    <cellStyle name="常规 6 2 4 3 6 2 4" xfId="39042"/>
    <cellStyle name="常规 6 2 4 3 6 2 5" xfId="39043"/>
    <cellStyle name="常规 6 2 4 3 6 3" xfId="39044"/>
    <cellStyle name="常规 6 2 4 3 6 3 2" xfId="39045"/>
    <cellStyle name="常规 6 2 4 3 6 3 2 2" xfId="39046"/>
    <cellStyle name="常规 6 2 4 3 6 3 3" xfId="39047"/>
    <cellStyle name="常规 6 2 4 3 6 3 4" xfId="20079"/>
    <cellStyle name="常规 6 2 4 3 6 4" xfId="39048"/>
    <cellStyle name="常规 6 2 4 3 6 4 2" xfId="39049"/>
    <cellStyle name="常规 6 2 4 3 6 5" xfId="39050"/>
    <cellStyle name="常规 6 2 4 3 6 6" xfId="39052"/>
    <cellStyle name="常规 6 2 4 3 7" xfId="39053"/>
    <cellStyle name="常规 6 2 4 3 7 2" xfId="39054"/>
    <cellStyle name="常规 6 2 4 3 7 2 2" xfId="39055"/>
    <cellStyle name="常规 6 2 4 3 7 2 2 2" xfId="39056"/>
    <cellStyle name="常规 6 2 4 3 7 2 3" xfId="39057"/>
    <cellStyle name="常规 6 2 4 3 7 2 4" xfId="39058"/>
    <cellStyle name="常规 6 2 4 3 7 3" xfId="39059"/>
    <cellStyle name="常规 6 2 4 3 7 3 2" xfId="39060"/>
    <cellStyle name="常规 6 2 4 3 7 4" xfId="39061"/>
    <cellStyle name="常规 6 2 4 3 7 5" xfId="39062"/>
    <cellStyle name="常规 6 2 4 3 8" xfId="39063"/>
    <cellStyle name="常规 6 2 4 3 8 2" xfId="39064"/>
    <cellStyle name="常规 6 2 4 3 8 2 2" xfId="39065"/>
    <cellStyle name="常规 6 2 4 3 8 3" xfId="35715"/>
    <cellStyle name="常规 6 2 4 3 8 4" xfId="35718"/>
    <cellStyle name="常规 6 2 4 3 9" xfId="39066"/>
    <cellStyle name="常规 6 2 4 3 9 2" xfId="39067"/>
    <cellStyle name="常规 6 2 4 4" xfId="39069"/>
    <cellStyle name="常规 6 2 4 4 2" xfId="39071"/>
    <cellStyle name="常规 6 2 4 4 2 2" xfId="39072"/>
    <cellStyle name="常规 6 2 4 4 2 2 2" xfId="39073"/>
    <cellStyle name="常规 6 2 4 4 2 2 2 2" xfId="39074"/>
    <cellStyle name="常规 6 2 4 4 2 2 2 2 2" xfId="39075"/>
    <cellStyle name="常规 6 2 4 4 2 2 2 2 2 2" xfId="39076"/>
    <cellStyle name="常规 6 2 4 4 2 2 2 2 2 2 2" xfId="39077"/>
    <cellStyle name="常规 6 2 4 4 2 2 2 2 2 3" xfId="39078"/>
    <cellStyle name="常规 6 2 4 4 2 2 2 2 2 4" xfId="39079"/>
    <cellStyle name="常规 6 2 4 4 2 2 2 2 3" xfId="39080"/>
    <cellStyle name="常规 6 2 4 4 2 2 2 2 3 2" xfId="39081"/>
    <cellStyle name="常规 6 2 4 4 2 2 2 2 4" xfId="39082"/>
    <cellStyle name="常规 6 2 4 4 2 2 2 2 5" xfId="1833"/>
    <cellStyle name="常规 6 2 4 4 2 2 2 3" xfId="39083"/>
    <cellStyle name="常规 6 2 4 4 2 2 2 3 2" xfId="39084"/>
    <cellStyle name="常规 6 2 4 4 2 2 2 3 2 2" xfId="39085"/>
    <cellStyle name="常规 6 2 4 4 2 2 2 3 3" xfId="39086"/>
    <cellStyle name="常规 6 2 4 4 2 2 2 3 4" xfId="39087"/>
    <cellStyle name="常规 6 2 4 4 2 2 2 4" xfId="27506"/>
    <cellStyle name="常规 6 2 4 4 2 2 2 4 2" xfId="39088"/>
    <cellStyle name="常规 6 2 4 4 2 2 2 5" xfId="39089"/>
    <cellStyle name="常规 6 2 4 4 2 2 2 6" xfId="39090"/>
    <cellStyle name="常规 6 2 4 4 2 2 3" xfId="39091"/>
    <cellStyle name="常规 6 2 4 4 2 2 3 2" xfId="39092"/>
    <cellStyle name="常规 6 2 4 4 2 2 3 2 2" xfId="39093"/>
    <cellStyle name="常规 6 2 4 4 2 2 3 2 2 2" xfId="39094"/>
    <cellStyle name="常规 6 2 4 4 2 2 3 2 3" xfId="39095"/>
    <cellStyle name="常规 6 2 4 4 2 2 3 2 4" xfId="39096"/>
    <cellStyle name="常规 6 2 4 4 2 2 3 3" xfId="39097"/>
    <cellStyle name="常规 6 2 4 4 2 2 3 3 2" xfId="39098"/>
    <cellStyle name="常规 6 2 4 4 2 2 3 4" xfId="39099"/>
    <cellStyle name="常规 6 2 4 4 2 2 3 5" xfId="39100"/>
    <cellStyle name="常规 6 2 4 4 2 2 4" xfId="39101"/>
    <cellStyle name="常规 6 2 4 4 2 2 4 2" xfId="39102"/>
    <cellStyle name="常规 6 2 4 4 2 2 4 2 2" xfId="39103"/>
    <cellStyle name="常规 6 2 4 4 2 2 4 3" xfId="39104"/>
    <cellStyle name="常规 6 2 4 4 2 2 4 4" xfId="39105"/>
    <cellStyle name="常规 6 2 4 4 2 2 5" xfId="39106"/>
    <cellStyle name="常规 6 2 4 4 2 2 5 2" xfId="39107"/>
    <cellStyle name="常规 6 2 4 4 2 2 6" xfId="39108"/>
    <cellStyle name="常规 6 2 4 4 2 2 7" xfId="39109"/>
    <cellStyle name="常规 6 2 4 4 2 3" xfId="39110"/>
    <cellStyle name="常规 6 2 4 4 2 3 2" xfId="39111"/>
    <cellStyle name="常规 6 2 4 4 2 3 2 2" xfId="39112"/>
    <cellStyle name="常规 6 2 4 4 2 3 2 2 2" xfId="39113"/>
    <cellStyle name="常规 6 2 4 4 2 3 2 2 2 2" xfId="39114"/>
    <cellStyle name="常规 6 2 4 4 2 3 2 2 3" xfId="39115"/>
    <cellStyle name="常规 6 2 4 4 2 3 2 2 4" xfId="39116"/>
    <cellStyle name="常规 6 2 4 4 2 3 2 3" xfId="39117"/>
    <cellStyle name="常规 6 2 4 4 2 3 2 3 2" xfId="39118"/>
    <cellStyle name="常规 6 2 4 4 2 3 2 4" xfId="39119"/>
    <cellStyle name="常规 6 2 4 4 2 3 2 5" xfId="39120"/>
    <cellStyle name="常规 6 2 4 4 2 3 3" xfId="8092"/>
    <cellStyle name="常规 6 2 4 4 2 3 3 2" xfId="39121"/>
    <cellStyle name="常规 6 2 4 4 2 3 3 2 2" xfId="39122"/>
    <cellStyle name="常规 6 2 4 4 2 3 3 3" xfId="39123"/>
    <cellStyle name="常规 6 2 4 4 2 3 3 4" xfId="39124"/>
    <cellStyle name="常规 6 2 4 4 2 3 4" xfId="39125"/>
    <cellStyle name="常规 6 2 4 4 2 3 4 2" xfId="39126"/>
    <cellStyle name="常规 6 2 4 4 2 3 5" xfId="39127"/>
    <cellStyle name="常规 6 2 4 4 2 3 6" xfId="39128"/>
    <cellStyle name="常规 6 2 4 4 2 4" xfId="39129"/>
    <cellStyle name="常规 6 2 4 4 2 4 2" xfId="39130"/>
    <cellStyle name="常规 6 2 4 4 2 4 2 2" xfId="39131"/>
    <cellStyle name="常规 6 2 4 4 2 4 2 2 2" xfId="39132"/>
    <cellStyle name="常规 6 2 4 4 2 4 2 3" xfId="39133"/>
    <cellStyle name="常规 6 2 4 4 2 4 2 4" xfId="39134"/>
    <cellStyle name="常规 6 2 4 4 2 4 3" xfId="39135"/>
    <cellStyle name="常规 6 2 4 4 2 4 3 2" xfId="39136"/>
    <cellStyle name="常规 6 2 4 4 2 4 4" xfId="39137"/>
    <cellStyle name="常规 6 2 4 4 2 4 5" xfId="39138"/>
    <cellStyle name="常规 6 2 4 4 2 5" xfId="39139"/>
    <cellStyle name="常规 6 2 4 4 2 5 2" xfId="39140"/>
    <cellStyle name="常规 6 2 4 4 2 5 2 2" xfId="39141"/>
    <cellStyle name="常规 6 2 4 4 2 5 3" xfId="39142"/>
    <cellStyle name="常规 6 2 4 4 2 5 4" xfId="39143"/>
    <cellStyle name="常规 6 2 4 4 2 6" xfId="39144"/>
    <cellStyle name="常规 6 2 4 4 2 6 2" xfId="39145"/>
    <cellStyle name="常规 6 2 4 4 2 7" xfId="39146"/>
    <cellStyle name="常规 6 2 4 4 2 8" xfId="39147"/>
    <cellStyle name="常规 6 2 4 4 3" xfId="39148"/>
    <cellStyle name="常规 6 2 4 4 3 2" xfId="39149"/>
    <cellStyle name="常规 6 2 4 4 3 2 2" xfId="39150"/>
    <cellStyle name="常规 6 2 4 4 3 2 2 2" xfId="39151"/>
    <cellStyle name="常规 6 2 4 4 3 2 2 2 2" xfId="39153"/>
    <cellStyle name="常规 6 2 4 4 3 2 2 2 2 2" xfId="39154"/>
    <cellStyle name="常规 6 2 4 4 3 2 2 2 3" xfId="39155"/>
    <cellStyle name="常规 6 2 4 4 3 2 2 2 4" xfId="39156"/>
    <cellStyle name="常规 6 2 4 4 3 2 2 3" xfId="39157"/>
    <cellStyle name="常规 6 2 4 4 3 2 2 3 2" xfId="39158"/>
    <cellStyle name="常规 6 2 4 4 3 2 2 4" xfId="39159"/>
    <cellStyle name="常规 6 2 4 4 3 2 2 5" xfId="39160"/>
    <cellStyle name="常规 6 2 4 4 3 2 3" xfId="39161"/>
    <cellStyle name="常规 6 2 4 4 3 2 3 2" xfId="39162"/>
    <cellStyle name="常规 6 2 4 4 3 2 3 2 2" xfId="39164"/>
    <cellStyle name="常规 6 2 4 4 3 2 3 3" xfId="39165"/>
    <cellStyle name="常规 6 2 4 4 3 2 3 4" xfId="39166"/>
    <cellStyle name="常规 6 2 4 4 3 2 4" xfId="39167"/>
    <cellStyle name="常规 6 2 4 4 3 2 4 2" xfId="39168"/>
    <cellStyle name="常规 6 2 4 4 3 2 5" xfId="8119"/>
    <cellStyle name="常规 6 2 4 4 3 2 6" xfId="39169"/>
    <cellStyle name="常规 6 2 4 4 3 3" xfId="39170"/>
    <cellStyle name="常规 6 2 4 4 3 3 2" xfId="39171"/>
    <cellStyle name="常规 6 2 4 4 3 3 2 2" xfId="39172"/>
    <cellStyle name="常规 6 2 4 4 3 3 2 2 2" xfId="39173"/>
    <cellStyle name="常规 6 2 4 4 3 3 2 3" xfId="39174"/>
    <cellStyle name="常规 6 2 4 4 3 3 2 4" xfId="39175"/>
    <cellStyle name="常规 6 2 4 4 3 3 3" xfId="39176"/>
    <cellStyle name="常规 6 2 4 4 3 3 3 2" xfId="39177"/>
    <cellStyle name="常规 6 2 4 4 3 3 4" xfId="39178"/>
    <cellStyle name="常规 6 2 4 4 3 3 5" xfId="39179"/>
    <cellStyle name="常规 6 2 4 4 3 4" xfId="39180"/>
    <cellStyle name="常规 6 2 4 4 3 4 2" xfId="39181"/>
    <cellStyle name="常规 6 2 4 4 3 4 2 2" xfId="39182"/>
    <cellStyle name="常规 6 2 4 4 3 4 3" xfId="39183"/>
    <cellStyle name="常规 6 2 4 4 3 4 4" xfId="39184"/>
    <cellStyle name="常规 6 2 4 4 3 5" xfId="39185"/>
    <cellStyle name="常规 6 2 4 4 3 5 2" xfId="39186"/>
    <cellStyle name="常规 6 2 4 4 3 6" xfId="39187"/>
    <cellStyle name="常规 6 2 4 4 3 7" xfId="39188"/>
    <cellStyle name="常规 6 2 4 4 4" xfId="39189"/>
    <cellStyle name="常规 6 2 4 4 4 2" xfId="39190"/>
    <cellStyle name="常规 6 2 4 4 4 2 2" xfId="39191"/>
    <cellStyle name="常规 6 2 4 4 4 2 2 2" xfId="8498"/>
    <cellStyle name="常规 6 2 4 4 4 2 2 2 2" xfId="39192"/>
    <cellStyle name="常规 6 2 4 4 4 2 2 3" xfId="8507"/>
    <cellStyle name="常规 6 2 4 4 4 2 2 4" xfId="39193"/>
    <cellStyle name="常规 6 2 4 4 4 2 3" xfId="39194"/>
    <cellStyle name="常规 6 2 4 4 4 2 3 2" xfId="39195"/>
    <cellStyle name="常规 6 2 4 4 4 2 4" xfId="39196"/>
    <cellStyle name="常规 6 2 4 4 4 2 5" xfId="39197"/>
    <cellStyle name="常规 6 2 4 4 4 3" xfId="39198"/>
    <cellStyle name="常规 6 2 4 4 4 3 2" xfId="39199"/>
    <cellStyle name="常规 6 2 4 4 4 3 2 2" xfId="39200"/>
    <cellStyle name="常规 6 2 4 4 4 3 3" xfId="39201"/>
    <cellStyle name="常规 6 2 4 4 4 3 4" xfId="39202"/>
    <cellStyle name="常规 6 2 4 4 4 4" xfId="39203"/>
    <cellStyle name="常规 6 2 4 4 4 4 2" xfId="39204"/>
    <cellStyle name="常规 6 2 4 4 4 5" xfId="39205"/>
    <cellStyle name="常规 6 2 4 4 4 6" xfId="39206"/>
    <cellStyle name="常规 6 2 4 4 5" xfId="39207"/>
    <cellStyle name="常规 6 2 4 4 5 2" xfId="39208"/>
    <cellStyle name="常规 6 2 4 4 5 2 2" xfId="39209"/>
    <cellStyle name="常规 6 2 4 4 5 2 2 2" xfId="39210"/>
    <cellStyle name="常规 6 2 4 4 5 2 3" xfId="8559"/>
    <cellStyle name="常规 6 2 4 4 5 2 4" xfId="39211"/>
    <cellStyle name="常规 6 2 4 4 5 3" xfId="39212"/>
    <cellStyle name="常规 6 2 4 4 5 3 2" xfId="39213"/>
    <cellStyle name="常规 6 2 4 4 5 4" xfId="39214"/>
    <cellStyle name="常规 6 2 4 4 5 5" xfId="39215"/>
    <cellStyle name="常规 6 2 4 4 6" xfId="39216"/>
    <cellStyle name="常规 6 2 4 4 6 2" xfId="39217"/>
    <cellStyle name="常规 6 2 4 4 6 2 2" xfId="39218"/>
    <cellStyle name="常规 6 2 4 4 6 3" xfId="39219"/>
    <cellStyle name="常规 6 2 4 4 6 4" xfId="39220"/>
    <cellStyle name="常规 6 2 4 4 7" xfId="39221"/>
    <cellStyle name="常规 6 2 4 4 7 2" xfId="39222"/>
    <cellStyle name="常规 6 2 4 4 8" xfId="39223"/>
    <cellStyle name="常规 6 2 4 4 9" xfId="39224"/>
    <cellStyle name="常规 6 2 4 5" xfId="39226"/>
    <cellStyle name="常规 6 2 4 5 2" xfId="39227"/>
    <cellStyle name="常规 6 2 4 5 2 2" xfId="39228"/>
    <cellStyle name="常规 6 2 4 5 2 2 2" xfId="39229"/>
    <cellStyle name="常规 6 2 4 5 2 2 2 2" xfId="39230"/>
    <cellStyle name="常规 6 2 4 5 2 2 2 2 2" xfId="39231"/>
    <cellStyle name="常规 6 2 4 5 2 2 2 2 2 2" xfId="39232"/>
    <cellStyle name="常规 6 2 4 5 2 2 2 2 2 2 2" xfId="39233"/>
    <cellStyle name="常规 6 2 4 5 2 2 2 2 2 3" xfId="39234"/>
    <cellStyle name="常规 6 2 4 5 2 2 2 2 2 4" xfId="39235"/>
    <cellStyle name="常规 6 2 4 5 2 2 2 2 3" xfId="39236"/>
    <cellStyle name="常规 6 2 4 5 2 2 2 2 3 2" xfId="39237"/>
    <cellStyle name="常规 6 2 4 5 2 2 2 2 4" xfId="39238"/>
    <cellStyle name="常规 6 2 4 5 2 2 2 2 5" xfId="39239"/>
    <cellStyle name="常规 6 2 4 5 2 2 2 3" xfId="39240"/>
    <cellStyle name="常规 6 2 4 5 2 2 2 3 2" xfId="39241"/>
    <cellStyle name="常规 6 2 4 5 2 2 2 3 2 2" xfId="39242"/>
    <cellStyle name="常规 6 2 4 5 2 2 2 3 3" xfId="39243"/>
    <cellStyle name="常规 6 2 4 5 2 2 2 3 4" xfId="39244"/>
    <cellStyle name="常规 6 2 4 5 2 2 2 4" xfId="1266"/>
    <cellStyle name="常规 6 2 4 5 2 2 2 4 2" xfId="39245"/>
    <cellStyle name="常规 6 2 4 5 2 2 2 5" xfId="39246"/>
    <cellStyle name="常规 6 2 4 5 2 2 2 6" xfId="39247"/>
    <cellStyle name="常规 6 2 4 5 2 2 3" xfId="39248"/>
    <cellStyle name="常规 6 2 4 5 2 2 3 2" xfId="39249"/>
    <cellStyle name="常规 6 2 4 5 2 2 3 2 2" xfId="39250"/>
    <cellStyle name="常规 6 2 4 5 2 2 3 2 2 2" xfId="39252"/>
    <cellStyle name="常规 6 2 4 5 2 2 3 2 3" xfId="39253"/>
    <cellStyle name="常规 6 2 4 5 2 2 3 2 4" xfId="39254"/>
    <cellStyle name="常规 6 2 4 5 2 2 3 3" xfId="39255"/>
    <cellStyle name="常规 6 2 4 5 2 2 3 3 2" xfId="39256"/>
    <cellStyle name="常规 6 2 4 5 2 2 3 4" xfId="39257"/>
    <cellStyle name="常规 6 2 4 5 2 2 3 5" xfId="39258"/>
    <cellStyle name="常规 6 2 4 5 2 2 4" xfId="39259"/>
    <cellStyle name="常规 6 2 4 5 2 2 4 2" xfId="39260"/>
    <cellStyle name="常规 6 2 4 5 2 2 4 2 2" xfId="39261"/>
    <cellStyle name="常规 6 2 4 5 2 2 4 3" xfId="39262"/>
    <cellStyle name="常规 6 2 4 5 2 2 4 4" xfId="39263"/>
    <cellStyle name="常规 6 2 4 5 2 2 5" xfId="39264"/>
    <cellStyle name="常规 6 2 4 5 2 2 5 2" xfId="39265"/>
    <cellStyle name="常规 6 2 4 5 2 2 6" xfId="39266"/>
    <cellStyle name="常规 6 2 4 5 2 2 7" xfId="39267"/>
    <cellStyle name="常规 6 2 4 5 2 3" xfId="39268"/>
    <cellStyle name="常规 6 2 4 5 2 3 2" xfId="39269"/>
    <cellStyle name="常规 6 2 4 5 2 3 2 2" xfId="39270"/>
    <cellStyle name="常规 6 2 4 5 2 3 2 2 2" xfId="39271"/>
    <cellStyle name="常规 6 2 4 5 2 3 2 2 2 2" xfId="39272"/>
    <cellStyle name="常规 6 2 4 5 2 3 2 2 3" xfId="39273"/>
    <cellStyle name="常规 6 2 4 5 2 3 2 2 4" xfId="39274"/>
    <cellStyle name="常规 6 2 4 5 2 3 2 3" xfId="39275"/>
    <cellStyle name="常规 6 2 4 5 2 3 2 3 2" xfId="39276"/>
    <cellStyle name="常规 6 2 4 5 2 3 2 4" xfId="39277"/>
    <cellStyle name="常规 6 2 4 5 2 3 2 5" xfId="39278"/>
    <cellStyle name="常规 6 2 4 5 2 3 3" xfId="39279"/>
    <cellStyle name="常规 6 2 4 5 2 3 3 2" xfId="39280"/>
    <cellStyle name="常规 6 2 4 5 2 3 3 2 2" xfId="39281"/>
    <cellStyle name="常规 6 2 4 5 2 3 3 3" xfId="39282"/>
    <cellStyle name="常规 6 2 4 5 2 3 3 4" xfId="39283"/>
    <cellStyle name="常规 6 2 4 5 2 3 4" xfId="39284"/>
    <cellStyle name="常规 6 2 4 5 2 3 4 2" xfId="39285"/>
    <cellStyle name="常规 6 2 4 5 2 3 5" xfId="39286"/>
    <cellStyle name="常规 6 2 4 5 2 3 6" xfId="39287"/>
    <cellStyle name="常规 6 2 4 5 2 4" xfId="39288"/>
    <cellStyle name="常规 6 2 4 5 2 4 2" xfId="39289"/>
    <cellStyle name="常规 6 2 4 5 2 4 2 2" xfId="29190"/>
    <cellStyle name="常规 6 2 4 5 2 4 2 2 2" xfId="39290"/>
    <cellStyle name="常规 6 2 4 5 2 4 2 3" xfId="29192"/>
    <cellStyle name="常规 6 2 4 5 2 4 2 4" xfId="39291"/>
    <cellStyle name="常规 6 2 4 5 2 4 3" xfId="39292"/>
    <cellStyle name="常规 6 2 4 5 2 4 3 2" xfId="14495"/>
    <cellStyle name="常规 6 2 4 5 2 4 4" xfId="39293"/>
    <cellStyle name="常规 6 2 4 5 2 4 5" xfId="39294"/>
    <cellStyle name="常规 6 2 4 5 2 5" xfId="39295"/>
    <cellStyle name="常规 6 2 4 5 2 5 2" xfId="39296"/>
    <cellStyle name="常规 6 2 4 5 2 5 2 2" xfId="29204"/>
    <cellStyle name="常规 6 2 4 5 2 5 3" xfId="39297"/>
    <cellStyle name="常规 6 2 4 5 2 5 4" xfId="39298"/>
    <cellStyle name="常规 6 2 4 5 2 6" xfId="39299"/>
    <cellStyle name="常规 6 2 4 5 2 6 2" xfId="39300"/>
    <cellStyle name="常规 6 2 4 5 2 7" xfId="39301"/>
    <cellStyle name="常规 6 2 4 5 2 8" xfId="39302"/>
    <cellStyle name="常规 6 2 4 5 3" xfId="39303"/>
    <cellStyle name="常规 6 2 4 5 3 2" xfId="39304"/>
    <cellStyle name="常规 6 2 4 5 3 2 2" xfId="39305"/>
    <cellStyle name="常规 6 2 4 5 3 2 2 2" xfId="39306"/>
    <cellStyle name="常规 6 2 4 5 3 2 2 2 2" xfId="39307"/>
    <cellStyle name="常规 6 2 4 5 3 2 2 2 2 2" xfId="21149"/>
    <cellStyle name="常规 6 2 4 5 3 2 2 2 3" xfId="39308"/>
    <cellStyle name="常规 6 2 4 5 3 2 2 2 4" xfId="39309"/>
    <cellStyle name="常规 6 2 4 5 3 2 2 3" xfId="39310"/>
    <cellStyle name="常规 6 2 4 5 3 2 2 3 2" xfId="39311"/>
    <cellStyle name="常规 6 2 4 5 3 2 2 4" xfId="39312"/>
    <cellStyle name="常规 6 2 4 5 3 2 2 5" xfId="39313"/>
    <cellStyle name="常规 6 2 4 5 3 2 3" xfId="39314"/>
    <cellStyle name="常规 6 2 4 5 3 2 3 2" xfId="39315"/>
    <cellStyle name="常规 6 2 4 5 3 2 3 2 2" xfId="39316"/>
    <cellStyle name="常规 6 2 4 5 3 2 3 3" xfId="39317"/>
    <cellStyle name="常规 6 2 4 5 3 2 3 4" xfId="39318"/>
    <cellStyle name="常规 6 2 4 5 3 2 4" xfId="6442"/>
    <cellStyle name="常规 6 2 4 5 3 2 4 2" xfId="39319"/>
    <cellStyle name="常规 6 2 4 5 3 2 5" xfId="39320"/>
    <cellStyle name="常规 6 2 4 5 3 2 6" xfId="39321"/>
    <cellStyle name="常规 6 2 4 5 3 3" xfId="39322"/>
    <cellStyle name="常规 6 2 4 5 3 3 2" xfId="39323"/>
    <cellStyle name="常规 6 2 4 5 3 3 2 2" xfId="39324"/>
    <cellStyle name="常规 6 2 4 5 3 3 2 2 2" xfId="39325"/>
    <cellStyle name="常规 6 2 4 5 3 3 2 3" xfId="39326"/>
    <cellStyle name="常规 6 2 4 5 3 3 2 4" xfId="39327"/>
    <cellStyle name="常规 6 2 4 5 3 3 3" xfId="39328"/>
    <cellStyle name="常规 6 2 4 5 3 3 3 2" xfId="39329"/>
    <cellStyle name="常规 6 2 4 5 3 3 4" xfId="39330"/>
    <cellStyle name="常规 6 2 4 5 3 3 5" xfId="39331"/>
    <cellStyle name="常规 6 2 4 5 3 4" xfId="39332"/>
    <cellStyle name="常规 6 2 4 5 3 4 2" xfId="39333"/>
    <cellStyle name="常规 6 2 4 5 3 4 2 2" xfId="29219"/>
    <cellStyle name="常规 6 2 4 5 3 4 3" xfId="39334"/>
    <cellStyle name="常规 6 2 4 5 3 4 4" xfId="39335"/>
    <cellStyle name="常规 6 2 4 5 3 5" xfId="39336"/>
    <cellStyle name="常规 6 2 4 5 3 5 2" xfId="39337"/>
    <cellStyle name="常规 6 2 4 5 3 6" xfId="39338"/>
    <cellStyle name="常规 6 2 4 5 3 7" xfId="39339"/>
    <cellStyle name="常规 6 2 4 5 4" xfId="39340"/>
    <cellStyle name="常规 6 2 4 5 4 2" xfId="39341"/>
    <cellStyle name="常规 6 2 4 5 4 2 2" xfId="39342"/>
    <cellStyle name="常规 6 2 4 5 4 2 2 2" xfId="39343"/>
    <cellStyle name="常规 6 2 4 5 4 2 2 2 2" xfId="39344"/>
    <cellStyle name="常规 6 2 4 5 4 2 2 3" xfId="39345"/>
    <cellStyle name="常规 6 2 4 5 4 2 2 4" xfId="39346"/>
    <cellStyle name="常规 6 2 4 5 4 2 3" xfId="39347"/>
    <cellStyle name="常规 6 2 4 5 4 2 3 2" xfId="39348"/>
    <cellStyle name="常规 6 2 4 5 4 2 4" xfId="39349"/>
    <cellStyle name="常规 6 2 4 5 4 2 5" xfId="39350"/>
    <cellStyle name="常规 6 2 4 5 4 3" xfId="39351"/>
    <cellStyle name="常规 6 2 4 5 4 3 2" xfId="39352"/>
    <cellStyle name="常规 6 2 4 5 4 3 2 2" xfId="39353"/>
    <cellStyle name="常规 6 2 4 5 4 3 3" xfId="39354"/>
    <cellStyle name="常规 6 2 4 5 4 3 4" xfId="39355"/>
    <cellStyle name="常规 6 2 4 5 4 4" xfId="39356"/>
    <cellStyle name="常规 6 2 4 5 4 4 2" xfId="39357"/>
    <cellStyle name="常规 6 2 4 5 4 5" xfId="39358"/>
    <cellStyle name="常规 6 2 4 5 4 6" xfId="39359"/>
    <cellStyle name="常规 6 2 4 5 5" xfId="2832"/>
    <cellStyle name="常规 6 2 4 5 5 2" xfId="8653"/>
    <cellStyle name="常规 6 2 4 5 5 2 2" xfId="8657"/>
    <cellStyle name="常规 6 2 4 5 5 2 2 2" xfId="39360"/>
    <cellStyle name="常规 6 2 4 5 5 2 3" xfId="39361"/>
    <cellStyle name="常规 6 2 4 5 5 2 4" xfId="39362"/>
    <cellStyle name="常规 6 2 4 5 5 3" xfId="8662"/>
    <cellStyle name="常规 6 2 4 5 5 3 2" xfId="39363"/>
    <cellStyle name="常规 6 2 4 5 5 4" xfId="4511"/>
    <cellStyle name="常规 6 2 4 5 5 5" xfId="39364"/>
    <cellStyle name="常规 6 2 4 5 6" xfId="8666"/>
    <cellStyle name="常规 6 2 4 5 6 2" xfId="8671"/>
    <cellStyle name="常规 6 2 4 5 6 2 2" xfId="39365"/>
    <cellStyle name="常规 6 2 4 5 6 3" xfId="39366"/>
    <cellStyle name="常规 6 2 4 5 6 4" xfId="39367"/>
    <cellStyle name="常规 6 2 4 5 7" xfId="8676"/>
    <cellStyle name="常规 6 2 4 5 7 2" xfId="39368"/>
    <cellStyle name="常规 6 2 4 5 8" xfId="8681"/>
    <cellStyle name="常规 6 2 4 5 9" xfId="39369"/>
    <cellStyle name="常规 6 2 4 6" xfId="39371"/>
    <cellStyle name="常规 6 2 4 6 2" xfId="39372"/>
    <cellStyle name="常规 6 2 4 6 2 2" xfId="39373"/>
    <cellStyle name="常规 6 2 4 6 2 2 2" xfId="39374"/>
    <cellStyle name="常规 6 2 4 6 2 2 2 2" xfId="39375"/>
    <cellStyle name="常规 6 2 4 6 2 2 2 2 2" xfId="39376"/>
    <cellStyle name="常规 6 2 4 6 2 2 2 2 2 2" xfId="39377"/>
    <cellStyle name="常规 6 2 4 6 2 2 2 2 3" xfId="39378"/>
    <cellStyle name="常规 6 2 4 6 2 2 2 2 4" xfId="39379"/>
    <cellStyle name="常规 6 2 4 6 2 2 2 3" xfId="39380"/>
    <cellStyle name="常规 6 2 4 6 2 2 2 3 2" xfId="39381"/>
    <cellStyle name="常规 6 2 4 6 2 2 2 4" xfId="39382"/>
    <cellStyle name="常规 6 2 4 6 2 2 2 5" xfId="39383"/>
    <cellStyle name="常规 6 2 4 6 2 2 3" xfId="39384"/>
    <cellStyle name="常规 6 2 4 6 2 2 3 2" xfId="39385"/>
    <cellStyle name="常规 6 2 4 6 2 2 3 2 2" xfId="39386"/>
    <cellStyle name="常规 6 2 4 6 2 2 3 3" xfId="39387"/>
    <cellStyle name="常规 6 2 4 6 2 2 3 4" xfId="39388"/>
    <cellStyle name="常规 6 2 4 6 2 2 4" xfId="39389"/>
    <cellStyle name="常规 6 2 4 6 2 2 4 2" xfId="39390"/>
    <cellStyle name="常规 6 2 4 6 2 2 5" xfId="39391"/>
    <cellStyle name="常规 6 2 4 6 2 2 6" xfId="39392"/>
    <cellStyle name="常规 6 2 4 6 2 3" xfId="39393"/>
    <cellStyle name="常规 6 2 4 6 2 3 2" xfId="39394"/>
    <cellStyle name="常规 6 2 4 6 2 3 2 2" xfId="39395"/>
    <cellStyle name="常规 6 2 4 6 2 3 2 2 2" xfId="39396"/>
    <cellStyle name="常规 6 2 4 6 2 3 2 3" xfId="39397"/>
    <cellStyle name="常规 6 2 4 6 2 3 2 4" xfId="39398"/>
    <cellStyle name="常规 6 2 4 6 2 3 3" xfId="39399"/>
    <cellStyle name="常规 6 2 4 6 2 3 3 2" xfId="39400"/>
    <cellStyle name="常规 6 2 4 6 2 3 4" xfId="39401"/>
    <cellStyle name="常规 6 2 4 6 2 3 5" xfId="39402"/>
    <cellStyle name="常规 6 2 4 6 2 4" xfId="4714"/>
    <cellStyle name="常规 6 2 4 6 2 4 2" xfId="4719"/>
    <cellStyle name="常规 6 2 4 6 2 4 2 2" xfId="4219"/>
    <cellStyle name="常规 6 2 4 6 2 4 3" xfId="3240"/>
    <cellStyle name="常规 6 2 4 6 2 4 4" xfId="4725"/>
    <cellStyle name="常规 6 2 4 6 2 5" xfId="4728"/>
    <cellStyle name="常规 6 2 4 6 2 5 2" xfId="4731"/>
    <cellStyle name="常规 6 2 4 6 2 6" xfId="4742"/>
    <cellStyle name="常规 6 2 4 6 2 7" xfId="4750"/>
    <cellStyle name="常规 6 2 4 6 3" xfId="39403"/>
    <cellStyle name="常规 6 2 4 6 3 2" xfId="39404"/>
    <cellStyle name="常规 6 2 4 6 3 2 2" xfId="39405"/>
    <cellStyle name="常规 6 2 4 6 3 2 2 2" xfId="39406"/>
    <cellStyle name="常规 6 2 4 6 3 2 2 2 2" xfId="39407"/>
    <cellStyle name="常规 6 2 4 6 3 2 2 3" xfId="39408"/>
    <cellStyle name="常规 6 2 4 6 3 2 2 4" xfId="39409"/>
    <cellStyle name="常规 6 2 4 6 3 2 3" xfId="39410"/>
    <cellStyle name="常规 6 2 4 6 3 2 3 2" xfId="39411"/>
    <cellStyle name="常规 6 2 4 6 3 2 4" xfId="39412"/>
    <cellStyle name="常规 6 2 4 6 3 2 5" xfId="39413"/>
    <cellStyle name="常规 6 2 4 6 3 3" xfId="39414"/>
    <cellStyle name="常规 6 2 4 6 3 3 2" xfId="39415"/>
    <cellStyle name="常规 6 2 4 6 3 3 2 2" xfId="39416"/>
    <cellStyle name="常规 6 2 4 6 3 3 3" xfId="39417"/>
    <cellStyle name="常规 6 2 4 6 3 3 4" xfId="39418"/>
    <cellStyle name="常规 6 2 4 6 3 4" xfId="4765"/>
    <cellStyle name="常规 6 2 4 6 3 4 2" xfId="4770"/>
    <cellStyle name="常规 6 2 4 6 3 5" xfId="4780"/>
    <cellStyle name="常规 6 2 4 6 3 6" xfId="4792"/>
    <cellStyle name="常规 6 2 4 6 4" xfId="39419"/>
    <cellStyle name="常规 6 2 4 6 4 2" xfId="39420"/>
    <cellStyle name="常规 6 2 4 6 4 2 2" xfId="39421"/>
    <cellStyle name="常规 6 2 4 6 4 2 2 2" xfId="39422"/>
    <cellStyle name="常规 6 2 4 6 4 2 3" xfId="39423"/>
    <cellStyle name="常规 6 2 4 6 4 2 4" xfId="39424"/>
    <cellStyle name="常规 6 2 4 6 4 3" xfId="39425"/>
    <cellStyle name="常规 6 2 4 6 4 3 2" xfId="39426"/>
    <cellStyle name="常规 6 2 4 6 4 4" xfId="4810"/>
    <cellStyle name="常规 6 2 4 6 4 5" xfId="4817"/>
    <cellStyle name="常规 6 2 4 6 5" xfId="7265"/>
    <cellStyle name="常规 6 2 4 6 5 2" xfId="1895"/>
    <cellStyle name="常规 6 2 4 6 5 2 2" xfId="39427"/>
    <cellStyle name="常规 6 2 4 6 5 3" xfId="39428"/>
    <cellStyle name="常规 6 2 4 6 5 4" xfId="369"/>
    <cellStyle name="常规 6 2 4 6 6" xfId="1984"/>
    <cellStyle name="常规 6 2 4 6 6 2" xfId="39429"/>
    <cellStyle name="常规 6 2 4 6 7" xfId="2017"/>
    <cellStyle name="常规 6 2 4 6 8" xfId="39430"/>
    <cellStyle name="常规 6 2 4 7" xfId="39431"/>
    <cellStyle name="常规 6 2 4 7 2" xfId="39432"/>
    <cellStyle name="常规 6 2 4 7 2 2" xfId="39433"/>
    <cellStyle name="常规 6 2 4 7 2 2 2" xfId="2890"/>
    <cellStyle name="常规 6 2 4 7 2 2 2 2" xfId="2894"/>
    <cellStyle name="常规 6 2 4 7 2 2 2 2 2" xfId="12743"/>
    <cellStyle name="常规 6 2 4 7 2 2 2 3" xfId="12839"/>
    <cellStyle name="常规 6 2 4 7 2 2 2 4" xfId="12875"/>
    <cellStyle name="常规 6 2 4 7 2 2 3" xfId="2899"/>
    <cellStyle name="常规 6 2 4 7 2 2 3 2" xfId="12909"/>
    <cellStyle name="常规 6 2 4 7 2 2 4" xfId="2903"/>
    <cellStyle name="常规 6 2 4 7 2 2 5" xfId="13041"/>
    <cellStyle name="常规 6 2 4 7 2 3" xfId="39434"/>
    <cellStyle name="常规 6 2 4 7 2 3 2" xfId="2918"/>
    <cellStyle name="常规 6 2 4 7 2 3 2 2" xfId="2923"/>
    <cellStyle name="常规 6 2 4 7 2 3 3" xfId="2930"/>
    <cellStyle name="常规 6 2 4 7 2 3 4" xfId="2934"/>
    <cellStyle name="常规 6 2 4 7 2 4" xfId="2338"/>
    <cellStyle name="常规 6 2 4 7 2 4 2" xfId="2345"/>
    <cellStyle name="常规 6 2 4 7 2 5" xfId="2359"/>
    <cellStyle name="常规 6 2 4 7 2 6" xfId="2372"/>
    <cellStyle name="常规 6 2 4 7 3" xfId="39435"/>
    <cellStyle name="常规 6 2 4 7 3 2" xfId="39436"/>
    <cellStyle name="常规 6 2 4 7 3 2 2" xfId="39437"/>
    <cellStyle name="常规 6 2 4 7 3 2 2 2" xfId="39438"/>
    <cellStyle name="常规 6 2 4 7 3 2 3" xfId="39439"/>
    <cellStyle name="常规 6 2 4 7 3 2 4" xfId="39440"/>
    <cellStyle name="常规 6 2 4 7 3 3" xfId="39441"/>
    <cellStyle name="常规 6 2 4 7 3 3 2" xfId="39442"/>
    <cellStyle name="常规 6 2 4 7 3 4" xfId="507"/>
    <cellStyle name="常规 6 2 4 7 3 5" xfId="525"/>
    <cellStyle name="常规 6 2 4 7 4" xfId="39443"/>
    <cellStyle name="常规 6 2 4 7 4 2" xfId="39444"/>
    <cellStyle name="常规 6 2 4 7 4 2 2" xfId="39445"/>
    <cellStyle name="常规 6 2 4 7 4 3" xfId="39446"/>
    <cellStyle name="常规 6 2 4 7 4 4" xfId="1940"/>
    <cellStyle name="常规 6 2 4 7 5" xfId="7288"/>
    <cellStyle name="常规 6 2 4 7 5 2" xfId="39447"/>
    <cellStyle name="常规 6 2 4 7 6" xfId="39448"/>
    <cellStyle name="常规 6 2 4 7 7" xfId="39449"/>
    <cellStyle name="常规 6 2 4 8" xfId="39450"/>
    <cellStyle name="常规 6 2 4 8 2" xfId="39451"/>
    <cellStyle name="常规 6 2 4 8 2 2" xfId="39452"/>
    <cellStyle name="常规 6 2 4 8 2 2 2" xfId="39453"/>
    <cellStyle name="常规 6 2 4 8 2 2 2 2" xfId="17466"/>
    <cellStyle name="常规 6 2 4 8 2 2 3" xfId="39455"/>
    <cellStyle name="常规 6 2 4 8 2 2 4" xfId="39457"/>
    <cellStyle name="常规 6 2 4 8 2 3" xfId="39458"/>
    <cellStyle name="常规 6 2 4 8 2 3 2" xfId="39459"/>
    <cellStyle name="常规 6 2 4 8 2 4" xfId="4862"/>
    <cellStyle name="常规 6 2 4 8 2 5" xfId="757"/>
    <cellStyle name="常规 6 2 4 8 3" xfId="39460"/>
    <cellStyle name="常规 6 2 4 8 3 2" xfId="39461"/>
    <cellStyle name="常规 6 2 4 8 3 2 2" xfId="39462"/>
    <cellStyle name="常规 6 2 4 8 3 3" xfId="39463"/>
    <cellStyle name="常规 6 2 4 8 3 4" xfId="4877"/>
    <cellStyle name="常规 6 2 4 8 4" xfId="39464"/>
    <cellStyle name="常规 6 2 4 8 4 2" xfId="39465"/>
    <cellStyle name="常规 6 2 4 8 5" xfId="7305"/>
    <cellStyle name="常规 6 2 4 8 6" xfId="39466"/>
    <cellStyle name="常规 6 2 4 9" xfId="39467"/>
    <cellStyle name="常规 6 2 4 9 2" xfId="39468"/>
    <cellStyle name="常规 6 2 4 9 2 2" xfId="39469"/>
    <cellStyle name="常规 6 2 4 9 2 2 2" xfId="39470"/>
    <cellStyle name="常规 6 2 4 9 2 3" xfId="39471"/>
    <cellStyle name="常规 6 2 4 9 2 4" xfId="4901"/>
    <cellStyle name="常规 6 2 4 9 3" xfId="39472"/>
    <cellStyle name="常规 6 2 4 9 3 2" xfId="39473"/>
    <cellStyle name="常规 6 2 4 9 4" xfId="39474"/>
    <cellStyle name="常规 6 2 4 9 5" xfId="39475"/>
    <cellStyle name="常规 6 2 5" xfId="39476"/>
    <cellStyle name="常规 6 2 5 10" xfId="39477"/>
    <cellStyle name="常规 6 2 5 10 2" xfId="39478"/>
    <cellStyle name="常规 6 2 5 11" xfId="39479"/>
    <cellStyle name="常规 6 2 5 12" xfId="39480"/>
    <cellStyle name="常规 6 2 5 2" xfId="39482"/>
    <cellStyle name="常规 6 2 5 2 10" xfId="39483"/>
    <cellStyle name="常规 6 2 5 2 11" xfId="39484"/>
    <cellStyle name="常规 6 2 5 2 2" xfId="39486"/>
    <cellStyle name="常规 6 2 5 2 2 2" xfId="39488"/>
    <cellStyle name="常规 6 2 5 2 2 2 2" xfId="39490"/>
    <cellStyle name="常规 6 2 5 2 2 2 2 2" xfId="39491"/>
    <cellStyle name="常规 6 2 5 2 2 2 2 2 2" xfId="39492"/>
    <cellStyle name="常规 6 2 5 2 2 2 2 2 2 2" xfId="39493"/>
    <cellStyle name="常规 6 2 5 2 2 2 2 2 2 2 2" xfId="39494"/>
    <cellStyle name="常规 6 2 5 2 2 2 2 2 2 2 2 2" xfId="39495"/>
    <cellStyle name="常规 6 2 5 2 2 2 2 2 2 2 3" xfId="39496"/>
    <cellStyle name="常规 6 2 5 2 2 2 2 2 2 2 4" xfId="39497"/>
    <cellStyle name="常规 6 2 5 2 2 2 2 2 2 3" xfId="39498"/>
    <cellStyle name="常规 6 2 5 2 2 2 2 2 2 3 2" xfId="39499"/>
    <cellStyle name="常规 6 2 5 2 2 2 2 2 2 4" xfId="37874"/>
    <cellStyle name="常规 6 2 5 2 2 2 2 2 2 5" xfId="39500"/>
    <cellStyle name="常规 6 2 5 2 2 2 2 2 3" xfId="39501"/>
    <cellStyle name="常规 6 2 5 2 2 2 2 2 3 2" xfId="39502"/>
    <cellStyle name="常规 6 2 5 2 2 2 2 2 3 2 2" xfId="39503"/>
    <cellStyle name="常规 6 2 5 2 2 2 2 2 3 3" xfId="39504"/>
    <cellStyle name="常规 6 2 5 2 2 2 2 2 3 4" xfId="39505"/>
    <cellStyle name="常规 6 2 5 2 2 2 2 2 4" xfId="39506"/>
    <cellStyle name="常规 6 2 5 2 2 2 2 2 4 2" xfId="39507"/>
    <cellStyle name="常规 6 2 5 2 2 2 2 2 5" xfId="39508"/>
    <cellStyle name="常规 6 2 5 2 2 2 2 2 6" xfId="39509"/>
    <cellStyle name="常规 6 2 5 2 2 2 2 3" xfId="39510"/>
    <cellStyle name="常规 6 2 5 2 2 2 2 3 2" xfId="39511"/>
    <cellStyle name="常规 6 2 5 2 2 2 2 3 2 2" xfId="39512"/>
    <cellStyle name="常规 6 2 5 2 2 2 2 3 2 2 2" xfId="39513"/>
    <cellStyle name="常规 6 2 5 2 2 2 2 3 2 3" xfId="16575"/>
    <cellStyle name="常规 6 2 5 2 2 2 2 3 2 4" xfId="9691"/>
    <cellStyle name="常规 6 2 5 2 2 2 2 3 3" xfId="39514"/>
    <cellStyle name="常规 6 2 5 2 2 2 2 3 3 2" xfId="39515"/>
    <cellStyle name="常规 6 2 5 2 2 2 2 3 4" xfId="39516"/>
    <cellStyle name="常规 6 2 5 2 2 2 2 3 5" xfId="39517"/>
    <cellStyle name="常规 6 2 5 2 2 2 2 4" xfId="30988"/>
    <cellStyle name="常规 6 2 5 2 2 2 2 4 2" xfId="30990"/>
    <cellStyle name="常规 6 2 5 2 2 2 2 4 2 2" xfId="15255"/>
    <cellStyle name="常规 6 2 5 2 2 2 2 4 3" xfId="30992"/>
    <cellStyle name="常规 6 2 5 2 2 2 2 4 4" xfId="30883"/>
    <cellStyle name="常规 6 2 5 2 2 2 2 5" xfId="30994"/>
    <cellStyle name="常规 6 2 5 2 2 2 2 5 2" xfId="30996"/>
    <cellStyle name="常规 6 2 5 2 2 2 2 6" xfId="30998"/>
    <cellStyle name="常规 6 2 5 2 2 2 2 7" xfId="31000"/>
    <cellStyle name="常规 6 2 5 2 2 2 3" xfId="39518"/>
    <cellStyle name="常规 6 2 5 2 2 2 3 2" xfId="39519"/>
    <cellStyle name="常规 6 2 5 2 2 2 3 2 2" xfId="39520"/>
    <cellStyle name="常规 6 2 5 2 2 2 3 2 2 2" xfId="39521"/>
    <cellStyle name="常规 6 2 5 2 2 2 3 2 2 2 2" xfId="39522"/>
    <cellStyle name="常规 6 2 5 2 2 2 3 2 2 3" xfId="39523"/>
    <cellStyle name="常规 6 2 5 2 2 2 3 2 2 4" xfId="39524"/>
    <cellStyle name="常规 6 2 5 2 2 2 3 2 3" xfId="39525"/>
    <cellStyle name="常规 6 2 5 2 2 2 3 2 3 2" xfId="39526"/>
    <cellStyle name="常规 6 2 5 2 2 2 3 2 4" xfId="39527"/>
    <cellStyle name="常规 6 2 5 2 2 2 3 2 5" xfId="39528"/>
    <cellStyle name="常规 6 2 5 2 2 2 3 3" xfId="39529"/>
    <cellStyle name="常规 6 2 5 2 2 2 3 3 2" xfId="39530"/>
    <cellStyle name="常规 6 2 5 2 2 2 3 3 2 2" xfId="39531"/>
    <cellStyle name="常规 6 2 5 2 2 2 3 3 3" xfId="39532"/>
    <cellStyle name="常规 6 2 5 2 2 2 3 3 4" xfId="39533"/>
    <cellStyle name="常规 6 2 5 2 2 2 3 4" xfId="8729"/>
    <cellStyle name="常规 6 2 5 2 2 2 3 4 2" xfId="31003"/>
    <cellStyle name="常规 6 2 5 2 2 2 3 5" xfId="8734"/>
    <cellStyle name="常规 6 2 5 2 2 2 3 6" xfId="31005"/>
    <cellStyle name="常规 6 2 5 2 2 2 4" xfId="8739"/>
    <cellStyle name="常规 6 2 5 2 2 2 4 2" xfId="8743"/>
    <cellStyle name="常规 6 2 5 2 2 2 4 2 2" xfId="39534"/>
    <cellStyle name="常规 6 2 5 2 2 2 4 2 2 2" xfId="39535"/>
    <cellStyle name="常规 6 2 5 2 2 2 4 2 3" xfId="39536"/>
    <cellStyle name="常规 6 2 5 2 2 2 4 2 4" xfId="39537"/>
    <cellStyle name="常规 6 2 5 2 2 2 4 3" xfId="39538"/>
    <cellStyle name="常规 6 2 5 2 2 2 4 3 2" xfId="39539"/>
    <cellStyle name="常规 6 2 5 2 2 2 4 4" xfId="8751"/>
    <cellStyle name="常规 6 2 5 2 2 2 4 5" xfId="39540"/>
    <cellStyle name="常规 6 2 5 2 2 2 5" xfId="8755"/>
    <cellStyle name="常规 6 2 5 2 2 2 5 2" xfId="39541"/>
    <cellStyle name="常规 6 2 5 2 2 2 5 2 2" xfId="39542"/>
    <cellStyle name="常规 6 2 5 2 2 2 5 3" xfId="39543"/>
    <cellStyle name="常规 6 2 5 2 2 2 5 4" xfId="39544"/>
    <cellStyle name="常规 6 2 5 2 2 2 6" xfId="8760"/>
    <cellStyle name="常规 6 2 5 2 2 2 6 2" xfId="39545"/>
    <cellStyle name="常规 6 2 5 2 2 2 7" xfId="39546"/>
    <cellStyle name="常规 6 2 5 2 2 2 8" xfId="39547"/>
    <cellStyle name="常规 6 2 5 2 2 3" xfId="39549"/>
    <cellStyle name="常规 6 2 5 2 2 3 2" xfId="39550"/>
    <cellStyle name="常规 6 2 5 2 2 3 2 2" xfId="39551"/>
    <cellStyle name="常规 6 2 5 2 2 3 2 2 2" xfId="39552"/>
    <cellStyle name="常规 6 2 5 2 2 3 2 2 2 2" xfId="39553"/>
    <cellStyle name="常规 6 2 5 2 2 3 2 2 2 2 2" xfId="39554"/>
    <cellStyle name="常规 6 2 5 2 2 3 2 2 2 3" xfId="39555"/>
    <cellStyle name="常规 6 2 5 2 2 3 2 2 2 4" xfId="38026"/>
    <cellStyle name="常规 6 2 5 2 2 3 2 2 3" xfId="39556"/>
    <cellStyle name="常规 6 2 5 2 2 3 2 2 3 2" xfId="39557"/>
    <cellStyle name="常规 6 2 5 2 2 3 2 2 4" xfId="39558"/>
    <cellStyle name="常规 6 2 5 2 2 3 2 2 5" xfId="39559"/>
    <cellStyle name="常规 6 2 5 2 2 3 2 3" xfId="39560"/>
    <cellStyle name="常规 6 2 5 2 2 3 2 3 2" xfId="39561"/>
    <cellStyle name="常规 6 2 5 2 2 3 2 3 2 2" xfId="39562"/>
    <cellStyle name="常规 6 2 5 2 2 3 2 3 3" xfId="39563"/>
    <cellStyle name="常规 6 2 5 2 2 3 2 3 4" xfId="39564"/>
    <cellStyle name="常规 6 2 5 2 2 3 2 4" xfId="16888"/>
    <cellStyle name="常规 6 2 5 2 2 3 2 4 2" xfId="11445"/>
    <cellStyle name="常规 6 2 5 2 2 3 2 5" xfId="1407"/>
    <cellStyle name="常规 6 2 5 2 2 3 2 6" xfId="31010"/>
    <cellStyle name="常规 6 2 5 2 2 3 3" xfId="39565"/>
    <cellStyle name="常规 6 2 5 2 2 3 3 2" xfId="39566"/>
    <cellStyle name="常规 6 2 5 2 2 3 3 2 2" xfId="39567"/>
    <cellStyle name="常规 6 2 5 2 2 3 3 2 2 2" xfId="39568"/>
    <cellStyle name="常规 6 2 5 2 2 3 3 2 3" xfId="39569"/>
    <cellStyle name="常规 6 2 5 2 2 3 3 2 4" xfId="39570"/>
    <cellStyle name="常规 6 2 5 2 2 3 3 3" xfId="39571"/>
    <cellStyle name="常规 6 2 5 2 2 3 3 3 2" xfId="39572"/>
    <cellStyle name="常规 6 2 5 2 2 3 3 4" xfId="6003"/>
    <cellStyle name="常规 6 2 5 2 2 3 3 5" xfId="39573"/>
    <cellStyle name="常规 6 2 5 2 2 3 4" xfId="8767"/>
    <cellStyle name="常规 6 2 5 2 2 3 4 2" xfId="39574"/>
    <cellStyle name="常规 6 2 5 2 2 3 4 2 2" xfId="39576"/>
    <cellStyle name="常规 6 2 5 2 2 3 4 3" xfId="39577"/>
    <cellStyle name="常规 6 2 5 2 2 3 4 4" xfId="39578"/>
    <cellStyle name="常规 6 2 5 2 2 3 5" xfId="39579"/>
    <cellStyle name="常规 6 2 5 2 2 3 5 2" xfId="39580"/>
    <cellStyle name="常规 6 2 5 2 2 3 6" xfId="39581"/>
    <cellStyle name="常规 6 2 5 2 2 3 7" xfId="39582"/>
    <cellStyle name="常规 6 2 5 2 2 4" xfId="39584"/>
    <cellStyle name="常规 6 2 5 2 2 4 2" xfId="39585"/>
    <cellStyle name="常规 6 2 5 2 2 4 2 2" xfId="39586"/>
    <cellStyle name="常规 6 2 5 2 2 4 2 2 2" xfId="39587"/>
    <cellStyle name="常规 6 2 5 2 2 4 2 2 2 2" xfId="39588"/>
    <cellStyle name="常规 6 2 5 2 2 4 2 2 3" xfId="39589"/>
    <cellStyle name="常规 6 2 5 2 2 4 2 2 4" xfId="39590"/>
    <cellStyle name="常规 6 2 5 2 2 4 2 3" xfId="39591"/>
    <cellStyle name="常规 6 2 5 2 2 4 2 3 2" xfId="39592"/>
    <cellStyle name="常规 6 2 5 2 2 4 2 4" xfId="16896"/>
    <cellStyle name="常规 6 2 5 2 2 4 2 5" xfId="39593"/>
    <cellStyle name="常规 6 2 5 2 2 4 3" xfId="39594"/>
    <cellStyle name="常规 6 2 5 2 2 4 3 2" xfId="39595"/>
    <cellStyle name="常规 6 2 5 2 2 4 3 2 2" xfId="39596"/>
    <cellStyle name="常规 6 2 5 2 2 4 3 3" xfId="39597"/>
    <cellStyle name="常规 6 2 5 2 2 4 3 4" xfId="39598"/>
    <cellStyle name="常规 6 2 5 2 2 4 4" xfId="39599"/>
    <cellStyle name="常规 6 2 5 2 2 4 4 2" xfId="39600"/>
    <cellStyle name="常规 6 2 5 2 2 4 5" xfId="39601"/>
    <cellStyle name="常规 6 2 5 2 2 4 6" xfId="39602"/>
    <cellStyle name="常规 6 2 5 2 2 5" xfId="39603"/>
    <cellStyle name="常规 6 2 5 2 2 5 2" xfId="39604"/>
    <cellStyle name="常规 6 2 5 2 2 5 2 2" xfId="39605"/>
    <cellStyle name="常规 6 2 5 2 2 5 2 2 2" xfId="39606"/>
    <cellStyle name="常规 6 2 5 2 2 5 2 3" xfId="39607"/>
    <cellStyle name="常规 6 2 5 2 2 5 2 4" xfId="39608"/>
    <cellStyle name="常规 6 2 5 2 2 5 3" xfId="39609"/>
    <cellStyle name="常规 6 2 5 2 2 5 3 2" xfId="39610"/>
    <cellStyle name="常规 6 2 5 2 2 5 4" xfId="39611"/>
    <cellStyle name="常规 6 2 5 2 2 5 5" xfId="39612"/>
    <cellStyle name="常规 6 2 5 2 2 6" xfId="39613"/>
    <cellStyle name="常规 6 2 5 2 2 6 2" xfId="39614"/>
    <cellStyle name="常规 6 2 5 2 2 6 2 2" xfId="39615"/>
    <cellStyle name="常规 6 2 5 2 2 6 3" xfId="39616"/>
    <cellStyle name="常规 6 2 5 2 2 6 4" xfId="39617"/>
    <cellStyle name="常规 6 2 5 2 2 7" xfId="39618"/>
    <cellStyle name="常规 6 2 5 2 2 7 2" xfId="39619"/>
    <cellStyle name="常规 6 2 5 2 2 8" xfId="39620"/>
    <cellStyle name="常规 6 2 5 2 2 9" xfId="39621"/>
    <cellStyle name="常规 6 2 5 2 3" xfId="39623"/>
    <cellStyle name="常规 6 2 5 2 3 2" xfId="39625"/>
    <cellStyle name="常规 6 2 5 2 3 2 2" xfId="39626"/>
    <cellStyle name="常规 6 2 5 2 3 2 2 2" xfId="39627"/>
    <cellStyle name="常规 6 2 5 2 3 2 2 2 2" xfId="39628"/>
    <cellStyle name="常规 6 2 5 2 3 2 2 2 2 2" xfId="39629"/>
    <cellStyle name="常规 6 2 5 2 3 2 2 2 2 2 2" xfId="39631"/>
    <cellStyle name="常规 6 2 5 2 3 2 2 2 2 2 2 2" xfId="39632"/>
    <cellStyle name="常规 6 2 5 2 3 2 2 2 2 2 3" xfId="39633"/>
    <cellStyle name="常规 6 2 5 2 3 2 2 2 2 2 4" xfId="39634"/>
    <cellStyle name="常规 6 2 5 2 3 2 2 2 2 3" xfId="39635"/>
    <cellStyle name="常规 6 2 5 2 3 2 2 2 2 3 2" xfId="39636"/>
    <cellStyle name="常规 6 2 5 2 3 2 2 2 2 4" xfId="7196"/>
    <cellStyle name="常规 6 2 5 2 3 2 2 2 2 5" xfId="6861"/>
    <cellStyle name="常规 6 2 5 2 3 2 2 2 3" xfId="39637"/>
    <cellStyle name="常规 6 2 5 2 3 2 2 2 3 2" xfId="39638"/>
    <cellStyle name="常规 6 2 5 2 3 2 2 2 3 2 2" xfId="39639"/>
    <cellStyle name="常规 6 2 5 2 3 2 2 2 3 3" xfId="39640"/>
    <cellStyle name="常规 6 2 5 2 3 2 2 2 3 4" xfId="7214"/>
    <cellStyle name="常规 6 2 5 2 3 2 2 2 4" xfId="39641"/>
    <cellStyle name="常规 6 2 5 2 3 2 2 2 4 2" xfId="39642"/>
    <cellStyle name="常规 6 2 5 2 3 2 2 2 5" xfId="39643"/>
    <cellStyle name="常规 6 2 5 2 3 2 2 2 6" xfId="39644"/>
    <cellStyle name="常规 6 2 5 2 3 2 2 3" xfId="39645"/>
    <cellStyle name="常规 6 2 5 2 3 2 2 3 2" xfId="39646"/>
    <cellStyle name="常规 6 2 5 2 3 2 2 3 2 2" xfId="39647"/>
    <cellStyle name="常规 6 2 5 2 3 2 2 3 2 2 2" xfId="39648"/>
    <cellStyle name="常规 6 2 5 2 3 2 2 3 2 3" xfId="39649"/>
    <cellStyle name="常规 6 2 5 2 3 2 2 3 2 4" xfId="3933"/>
    <cellStyle name="常规 6 2 5 2 3 2 2 3 3" xfId="39650"/>
    <cellStyle name="常规 6 2 5 2 3 2 2 3 3 2" xfId="39651"/>
    <cellStyle name="常规 6 2 5 2 3 2 2 3 4" xfId="39652"/>
    <cellStyle name="常规 6 2 5 2 3 2 2 3 5" xfId="39653"/>
    <cellStyle name="常规 6 2 5 2 3 2 2 4" xfId="31088"/>
    <cellStyle name="常规 6 2 5 2 3 2 2 4 2" xfId="31092"/>
    <cellStyle name="常规 6 2 5 2 3 2 2 4 2 2" xfId="39654"/>
    <cellStyle name="常规 6 2 5 2 3 2 2 4 3" xfId="39655"/>
    <cellStyle name="常规 6 2 5 2 3 2 2 4 4" xfId="39656"/>
    <cellStyle name="常规 6 2 5 2 3 2 2 5" xfId="31094"/>
    <cellStyle name="常规 6 2 5 2 3 2 2 5 2" xfId="39657"/>
    <cellStyle name="常规 6 2 5 2 3 2 2 6" xfId="31096"/>
    <cellStyle name="常规 6 2 5 2 3 2 2 7" xfId="39658"/>
    <cellStyle name="常规 6 2 5 2 3 2 3" xfId="39659"/>
    <cellStyle name="常规 6 2 5 2 3 2 3 2" xfId="39660"/>
    <cellStyle name="常规 6 2 5 2 3 2 3 2 2" xfId="1274"/>
    <cellStyle name="常规 6 2 5 2 3 2 3 2 2 2" xfId="39661"/>
    <cellStyle name="常规 6 2 5 2 3 2 3 2 2 2 2" xfId="39663"/>
    <cellStyle name="常规 6 2 5 2 3 2 3 2 2 3" xfId="39664"/>
    <cellStyle name="常规 6 2 5 2 3 2 3 2 2 4" xfId="8186"/>
    <cellStyle name="常规 6 2 5 2 3 2 3 2 3" xfId="39665"/>
    <cellStyle name="常规 6 2 5 2 3 2 3 2 3 2" xfId="39666"/>
    <cellStyle name="常规 6 2 5 2 3 2 3 2 4" xfId="39667"/>
    <cellStyle name="常规 6 2 5 2 3 2 3 2 5" xfId="39668"/>
    <cellStyle name="常规 6 2 5 2 3 2 3 3" xfId="39669"/>
    <cellStyle name="常规 6 2 5 2 3 2 3 3 2" xfId="39670"/>
    <cellStyle name="常规 6 2 5 2 3 2 3 3 2 2" xfId="39671"/>
    <cellStyle name="常规 6 2 5 2 3 2 3 3 3" xfId="39672"/>
    <cellStyle name="常规 6 2 5 2 3 2 3 3 4" xfId="39673"/>
    <cellStyle name="常规 6 2 5 2 3 2 3 4" xfId="8798"/>
    <cellStyle name="常规 6 2 5 2 3 2 3 4 2" xfId="39674"/>
    <cellStyle name="常规 6 2 5 2 3 2 3 5" xfId="39675"/>
    <cellStyle name="常规 6 2 5 2 3 2 3 6" xfId="39676"/>
    <cellStyle name="常规 6 2 5 2 3 2 4" xfId="8801"/>
    <cellStyle name="常规 6 2 5 2 3 2 4 2" xfId="39677"/>
    <cellStyle name="常规 6 2 5 2 3 2 4 2 2" xfId="39678"/>
    <cellStyle name="常规 6 2 5 2 3 2 4 2 2 2" xfId="39679"/>
    <cellStyle name="常规 6 2 5 2 3 2 4 2 3" xfId="39680"/>
    <cellStyle name="常规 6 2 5 2 3 2 4 2 4" xfId="39681"/>
    <cellStyle name="常规 6 2 5 2 3 2 4 3" xfId="39682"/>
    <cellStyle name="常规 6 2 5 2 3 2 4 3 2" xfId="39683"/>
    <cellStyle name="常规 6 2 5 2 3 2 4 4" xfId="39684"/>
    <cellStyle name="常规 6 2 5 2 3 2 4 5" xfId="39686"/>
    <cellStyle name="常规 6 2 5 2 3 2 5" xfId="39687"/>
    <cellStyle name="常规 6 2 5 2 3 2 5 2" xfId="39688"/>
    <cellStyle name="常规 6 2 5 2 3 2 5 2 2" xfId="39689"/>
    <cellStyle name="常规 6 2 5 2 3 2 5 3" xfId="39690"/>
    <cellStyle name="常规 6 2 5 2 3 2 5 4" xfId="39691"/>
    <cellStyle name="常规 6 2 5 2 3 2 6" xfId="39692"/>
    <cellStyle name="常规 6 2 5 2 3 2 6 2" xfId="26014"/>
    <cellStyle name="常规 6 2 5 2 3 2 7" xfId="39693"/>
    <cellStyle name="常规 6 2 5 2 3 2 8" xfId="39694"/>
    <cellStyle name="常规 6 2 5 2 3 3" xfId="39695"/>
    <cellStyle name="常规 6 2 5 2 3 3 2" xfId="39696"/>
    <cellStyle name="常规 6 2 5 2 3 3 2 2" xfId="39697"/>
    <cellStyle name="常规 6 2 5 2 3 3 2 2 2" xfId="39698"/>
    <cellStyle name="常规 6 2 5 2 3 3 2 2 2 2" xfId="39699"/>
    <cellStyle name="常规 6 2 5 2 3 3 2 2 2 2 2" xfId="3595"/>
    <cellStyle name="常规 6 2 5 2 3 3 2 2 2 3" xfId="39700"/>
    <cellStyle name="常规 6 2 5 2 3 3 2 2 2 4" xfId="39701"/>
    <cellStyle name="常规 6 2 5 2 3 3 2 2 3" xfId="39702"/>
    <cellStyle name="常规 6 2 5 2 3 3 2 2 3 2" xfId="39703"/>
    <cellStyle name="常规 6 2 5 2 3 3 2 2 4" xfId="39704"/>
    <cellStyle name="常规 6 2 5 2 3 3 2 2 5" xfId="39705"/>
    <cellStyle name="常规 6 2 5 2 3 3 2 3" xfId="39706"/>
    <cellStyle name="常规 6 2 5 2 3 3 2 3 2" xfId="39707"/>
    <cellStyle name="常规 6 2 5 2 3 3 2 3 2 2" xfId="39708"/>
    <cellStyle name="常规 6 2 5 2 3 3 2 3 3" xfId="39709"/>
    <cellStyle name="常规 6 2 5 2 3 3 2 3 4" xfId="39710"/>
    <cellStyle name="常规 6 2 5 2 3 3 2 4" xfId="16915"/>
    <cellStyle name="常规 6 2 5 2 3 3 2 4 2" xfId="39711"/>
    <cellStyle name="常规 6 2 5 2 3 3 2 5" xfId="39712"/>
    <cellStyle name="常规 6 2 5 2 3 3 2 6" xfId="39713"/>
    <cellStyle name="常规 6 2 5 2 3 3 3" xfId="39714"/>
    <cellStyle name="常规 6 2 5 2 3 3 3 2" xfId="39715"/>
    <cellStyle name="常规 6 2 5 2 3 3 3 2 2" xfId="39716"/>
    <cellStyle name="常规 6 2 5 2 3 3 3 2 2 2" xfId="39717"/>
    <cellStyle name="常规 6 2 5 2 3 3 3 2 3" xfId="39718"/>
    <cellStyle name="常规 6 2 5 2 3 3 3 2 4" xfId="39719"/>
    <cellStyle name="常规 6 2 5 2 3 3 3 3" xfId="39720"/>
    <cellStyle name="常规 6 2 5 2 3 3 3 3 2" xfId="39721"/>
    <cellStyle name="常规 6 2 5 2 3 3 3 4" xfId="39722"/>
    <cellStyle name="常规 6 2 5 2 3 3 3 5" xfId="39723"/>
    <cellStyle name="常规 6 2 5 2 3 3 4" xfId="39724"/>
    <cellStyle name="常规 6 2 5 2 3 3 4 2" xfId="39725"/>
    <cellStyle name="常规 6 2 5 2 3 3 4 2 2" xfId="39727"/>
    <cellStyle name="常规 6 2 5 2 3 3 4 3" xfId="39728"/>
    <cellStyle name="常规 6 2 5 2 3 3 4 4" xfId="39729"/>
    <cellStyle name="常规 6 2 5 2 3 3 5" xfId="39730"/>
    <cellStyle name="常规 6 2 5 2 3 3 5 2" xfId="39731"/>
    <cellStyle name="常规 6 2 5 2 3 3 6" xfId="39732"/>
    <cellStyle name="常规 6 2 5 2 3 3 7" xfId="39733"/>
    <cellStyle name="常规 6 2 5 2 3 4" xfId="39734"/>
    <cellStyle name="常规 6 2 5 2 3 4 2" xfId="39735"/>
    <cellStyle name="常规 6 2 5 2 3 4 2 2" xfId="39736"/>
    <cellStyle name="常规 6 2 5 2 3 4 2 2 2" xfId="39737"/>
    <cellStyle name="常规 6 2 5 2 3 4 2 2 2 2" xfId="39738"/>
    <cellStyle name="常规 6 2 5 2 3 4 2 2 3" xfId="39739"/>
    <cellStyle name="常规 6 2 5 2 3 4 2 2 4" xfId="39740"/>
    <cellStyle name="常规 6 2 5 2 3 4 2 3" xfId="39741"/>
    <cellStyle name="常规 6 2 5 2 3 4 2 3 2" xfId="39742"/>
    <cellStyle name="常规 6 2 5 2 3 4 2 4" xfId="39743"/>
    <cellStyle name="常规 6 2 5 2 3 4 2 5" xfId="39744"/>
    <cellStyle name="常规 6 2 5 2 3 4 3" xfId="39745"/>
    <cellStyle name="常规 6 2 5 2 3 4 3 2" xfId="39746"/>
    <cellStyle name="常规 6 2 5 2 3 4 3 2 2" xfId="39747"/>
    <cellStyle name="常规 6 2 5 2 3 4 3 3" xfId="39748"/>
    <cellStyle name="常规 6 2 5 2 3 4 3 4" xfId="39749"/>
    <cellStyle name="常规 6 2 5 2 3 4 4" xfId="39750"/>
    <cellStyle name="常规 6 2 5 2 3 4 4 2" xfId="39751"/>
    <cellStyle name="常规 6 2 5 2 3 4 5" xfId="39752"/>
    <cellStyle name="常规 6 2 5 2 3 4 6" xfId="39753"/>
    <cellStyle name="常规 6 2 5 2 3 5" xfId="16922"/>
    <cellStyle name="常规 6 2 5 2 3 5 2" xfId="16925"/>
    <cellStyle name="常规 6 2 5 2 3 5 2 2" xfId="39754"/>
    <cellStyle name="常规 6 2 5 2 3 5 2 2 2" xfId="39755"/>
    <cellStyle name="常规 6 2 5 2 3 5 2 3" xfId="39756"/>
    <cellStyle name="常规 6 2 5 2 3 5 2 4" xfId="39757"/>
    <cellStyle name="常规 6 2 5 2 3 5 3" xfId="39758"/>
    <cellStyle name="常规 6 2 5 2 3 5 3 2" xfId="39759"/>
    <cellStyle name="常规 6 2 5 2 3 5 4" xfId="39760"/>
    <cellStyle name="常规 6 2 5 2 3 5 5" xfId="39761"/>
    <cellStyle name="常规 6 2 5 2 3 6" xfId="16928"/>
    <cellStyle name="常规 6 2 5 2 3 6 2" xfId="39762"/>
    <cellStyle name="常规 6 2 5 2 3 6 2 2" xfId="39763"/>
    <cellStyle name="常规 6 2 5 2 3 6 3" xfId="39764"/>
    <cellStyle name="常规 6 2 5 2 3 6 4" xfId="39765"/>
    <cellStyle name="常规 6 2 5 2 3 7" xfId="16931"/>
    <cellStyle name="常规 6 2 5 2 3 7 2" xfId="39766"/>
    <cellStyle name="常规 6 2 5 2 3 8" xfId="39767"/>
    <cellStyle name="常规 6 2 5 2 3 9" xfId="39768"/>
    <cellStyle name="常规 6 2 5 2 4" xfId="39770"/>
    <cellStyle name="常规 6 2 5 2 4 2" xfId="39771"/>
    <cellStyle name="常规 6 2 5 2 4 2 2" xfId="39772"/>
    <cellStyle name="常规 6 2 5 2 4 2 2 2" xfId="39773"/>
    <cellStyle name="常规 6 2 5 2 4 2 2 2 2" xfId="39774"/>
    <cellStyle name="常规 6 2 5 2 4 2 2 2 2 2" xfId="39775"/>
    <cellStyle name="常规 6 2 5 2 4 2 2 2 2 2 2" xfId="39776"/>
    <cellStyle name="常规 6 2 5 2 4 2 2 2 2 3" xfId="39777"/>
    <cellStyle name="常规 6 2 5 2 4 2 2 2 2 4" xfId="39778"/>
    <cellStyle name="常规 6 2 5 2 4 2 2 2 3" xfId="39779"/>
    <cellStyle name="常规 6 2 5 2 4 2 2 2 3 2" xfId="39780"/>
    <cellStyle name="常规 6 2 5 2 4 2 2 2 4" xfId="39781"/>
    <cellStyle name="常规 6 2 5 2 4 2 2 2 5" xfId="39782"/>
    <cellStyle name="常规 6 2 5 2 4 2 2 3" xfId="39783"/>
    <cellStyle name="常规 6 2 5 2 4 2 2 3 2" xfId="39784"/>
    <cellStyle name="常规 6 2 5 2 4 2 2 3 2 2" xfId="1976"/>
    <cellStyle name="常规 6 2 5 2 4 2 2 3 3" xfId="39785"/>
    <cellStyle name="常规 6 2 5 2 4 2 2 3 4" xfId="39786"/>
    <cellStyle name="常规 6 2 5 2 4 2 2 4" xfId="2270"/>
    <cellStyle name="常规 6 2 5 2 4 2 2 4 2" xfId="39787"/>
    <cellStyle name="常规 6 2 5 2 4 2 2 5" xfId="39788"/>
    <cellStyle name="常规 6 2 5 2 4 2 2 6" xfId="39789"/>
    <cellStyle name="常规 6 2 5 2 4 2 3" xfId="39790"/>
    <cellStyle name="常规 6 2 5 2 4 2 3 2" xfId="5582"/>
    <cellStyle name="常规 6 2 5 2 4 2 3 2 2" xfId="39791"/>
    <cellStyle name="常规 6 2 5 2 4 2 3 2 2 2" xfId="39792"/>
    <cellStyle name="常规 6 2 5 2 4 2 3 2 3" xfId="39793"/>
    <cellStyle name="常规 6 2 5 2 4 2 3 2 4" xfId="39794"/>
    <cellStyle name="常规 6 2 5 2 4 2 3 3" xfId="39795"/>
    <cellStyle name="常规 6 2 5 2 4 2 3 3 2" xfId="39796"/>
    <cellStyle name="常规 6 2 5 2 4 2 3 4" xfId="39797"/>
    <cellStyle name="常规 6 2 5 2 4 2 3 5" xfId="39798"/>
    <cellStyle name="常规 6 2 5 2 4 2 4" xfId="39799"/>
    <cellStyle name="常规 6 2 5 2 4 2 4 2" xfId="39800"/>
    <cellStyle name="常规 6 2 5 2 4 2 4 2 2" xfId="39801"/>
    <cellStyle name="常规 6 2 5 2 4 2 4 3" xfId="39802"/>
    <cellStyle name="常规 6 2 5 2 4 2 4 4" xfId="39803"/>
    <cellStyle name="常规 6 2 5 2 4 2 5" xfId="39804"/>
    <cellStyle name="常规 6 2 5 2 4 2 5 2" xfId="39805"/>
    <cellStyle name="常规 6 2 5 2 4 2 6" xfId="39806"/>
    <cellStyle name="常规 6 2 5 2 4 2 7" xfId="4970"/>
    <cellStyle name="常规 6 2 5 2 4 3" xfId="39807"/>
    <cellStyle name="常规 6 2 5 2 4 3 2" xfId="39808"/>
    <cellStyle name="常规 6 2 5 2 4 3 2 2" xfId="39809"/>
    <cellStyle name="常规 6 2 5 2 4 3 2 2 2" xfId="39810"/>
    <cellStyle name="常规 6 2 5 2 4 3 2 2 2 2" xfId="39811"/>
    <cellStyle name="常规 6 2 5 2 4 3 2 2 3" xfId="39812"/>
    <cellStyle name="常规 6 2 5 2 4 3 2 2 4" xfId="39813"/>
    <cellStyle name="常规 6 2 5 2 4 3 2 3" xfId="39814"/>
    <cellStyle name="常规 6 2 5 2 4 3 2 3 2" xfId="39815"/>
    <cellStyle name="常规 6 2 5 2 4 3 2 4" xfId="39816"/>
    <cellStyle name="常规 6 2 5 2 4 3 2 5" xfId="39817"/>
    <cellStyle name="常规 6 2 5 2 4 3 3" xfId="39818"/>
    <cellStyle name="常规 6 2 5 2 4 3 3 2" xfId="39819"/>
    <cellStyle name="常规 6 2 5 2 4 3 3 2 2" xfId="39820"/>
    <cellStyle name="常规 6 2 5 2 4 3 3 3" xfId="39821"/>
    <cellStyle name="常规 6 2 5 2 4 3 3 4" xfId="39822"/>
    <cellStyle name="常规 6 2 5 2 4 3 4" xfId="39823"/>
    <cellStyle name="常规 6 2 5 2 4 3 4 2" xfId="39824"/>
    <cellStyle name="常规 6 2 5 2 4 3 5" xfId="39825"/>
    <cellStyle name="常规 6 2 5 2 4 3 6" xfId="39826"/>
    <cellStyle name="常规 6 2 5 2 4 4" xfId="39827"/>
    <cellStyle name="常规 6 2 5 2 4 4 2" xfId="39828"/>
    <cellStyle name="常规 6 2 5 2 4 4 2 2" xfId="39829"/>
    <cellStyle name="常规 6 2 5 2 4 4 2 2 2" xfId="39830"/>
    <cellStyle name="常规 6 2 5 2 4 4 2 3" xfId="39831"/>
    <cellStyle name="常规 6 2 5 2 4 4 2 4" xfId="39832"/>
    <cellStyle name="常规 6 2 5 2 4 4 3" xfId="39833"/>
    <cellStyle name="常规 6 2 5 2 4 4 3 2" xfId="39834"/>
    <cellStyle name="常规 6 2 5 2 4 4 4" xfId="39835"/>
    <cellStyle name="常规 6 2 5 2 4 4 5" xfId="39836"/>
    <cellStyle name="常规 6 2 5 2 4 5" xfId="16936"/>
    <cellStyle name="常规 6 2 5 2 4 5 2" xfId="39837"/>
    <cellStyle name="常规 6 2 5 2 4 5 2 2" xfId="39838"/>
    <cellStyle name="常规 6 2 5 2 4 5 3" xfId="39839"/>
    <cellStyle name="常规 6 2 5 2 4 5 4" xfId="39840"/>
    <cellStyle name="常规 6 2 5 2 4 6" xfId="39841"/>
    <cellStyle name="常规 6 2 5 2 4 6 2" xfId="39842"/>
    <cellStyle name="常规 6 2 5 2 4 7" xfId="39843"/>
    <cellStyle name="常规 6 2 5 2 4 8" xfId="39844"/>
    <cellStyle name="常规 6 2 5 2 5" xfId="39846"/>
    <cellStyle name="常规 6 2 5 2 5 2" xfId="39847"/>
    <cellStyle name="常规 6 2 5 2 5 2 2" xfId="39848"/>
    <cellStyle name="常规 6 2 5 2 5 2 2 2" xfId="39849"/>
    <cellStyle name="常规 6 2 5 2 5 2 2 2 2" xfId="39850"/>
    <cellStyle name="常规 6 2 5 2 5 2 2 2 2 2" xfId="39851"/>
    <cellStyle name="常规 6 2 5 2 5 2 2 2 3" xfId="39852"/>
    <cellStyle name="常规 6 2 5 2 5 2 2 2 4" xfId="39853"/>
    <cellStyle name="常规 6 2 5 2 5 2 2 3" xfId="39854"/>
    <cellStyle name="常规 6 2 5 2 5 2 2 3 2" xfId="39855"/>
    <cellStyle name="常规 6 2 5 2 5 2 2 4" xfId="5741"/>
    <cellStyle name="常规 6 2 5 2 5 2 2 5" xfId="37265"/>
    <cellStyle name="常规 6 2 5 2 5 2 3" xfId="39856"/>
    <cellStyle name="常规 6 2 5 2 5 2 3 2" xfId="39857"/>
    <cellStyle name="常规 6 2 5 2 5 2 3 2 2" xfId="39858"/>
    <cellStyle name="常规 6 2 5 2 5 2 3 3" xfId="39859"/>
    <cellStyle name="常规 6 2 5 2 5 2 3 4" xfId="37268"/>
    <cellStyle name="常规 6 2 5 2 5 2 4" xfId="39860"/>
    <cellStyle name="常规 6 2 5 2 5 2 4 2" xfId="16178"/>
    <cellStyle name="常规 6 2 5 2 5 2 5" xfId="39861"/>
    <cellStyle name="常规 6 2 5 2 5 2 6" xfId="39862"/>
    <cellStyle name="常规 6 2 5 2 5 3" xfId="39863"/>
    <cellStyle name="常规 6 2 5 2 5 3 2" xfId="39864"/>
    <cellStyle name="常规 6 2 5 2 5 3 2 2" xfId="39865"/>
    <cellStyle name="常规 6 2 5 2 5 3 2 2 2" xfId="39866"/>
    <cellStyle name="常规 6 2 5 2 5 3 2 3" xfId="39867"/>
    <cellStyle name="常规 6 2 5 2 5 3 2 4" xfId="37272"/>
    <cellStyle name="常规 6 2 5 2 5 3 3" xfId="39868"/>
    <cellStyle name="常规 6 2 5 2 5 3 3 2" xfId="39869"/>
    <cellStyle name="常规 6 2 5 2 5 3 4" xfId="39870"/>
    <cellStyle name="常规 6 2 5 2 5 3 5" xfId="39871"/>
    <cellStyle name="常规 6 2 5 2 5 4" xfId="39872"/>
    <cellStyle name="常规 6 2 5 2 5 4 2" xfId="39873"/>
    <cellStyle name="常规 6 2 5 2 5 4 2 2" xfId="39874"/>
    <cellStyle name="常规 6 2 5 2 5 4 3" xfId="39875"/>
    <cellStyle name="常规 6 2 5 2 5 4 4" xfId="39876"/>
    <cellStyle name="常规 6 2 5 2 5 5" xfId="39877"/>
    <cellStyle name="常规 6 2 5 2 5 5 2" xfId="39878"/>
    <cellStyle name="常规 6 2 5 2 5 6" xfId="39880"/>
    <cellStyle name="常规 6 2 5 2 5 7" xfId="39882"/>
    <cellStyle name="常规 6 2 5 2 6" xfId="39883"/>
    <cellStyle name="常规 6 2 5 2 6 2" xfId="39884"/>
    <cellStyle name="常规 6 2 5 2 6 2 2" xfId="39885"/>
    <cellStyle name="常规 6 2 5 2 6 2 2 2" xfId="39886"/>
    <cellStyle name="常规 6 2 5 2 6 2 2 2 2" xfId="39887"/>
    <cellStyle name="常规 6 2 5 2 6 2 2 3" xfId="39888"/>
    <cellStyle name="常规 6 2 5 2 6 2 2 4" xfId="37282"/>
    <cellStyle name="常规 6 2 5 2 6 2 3" xfId="39889"/>
    <cellStyle name="常规 6 2 5 2 6 2 3 2" xfId="39890"/>
    <cellStyle name="常规 6 2 5 2 6 2 4" xfId="39891"/>
    <cellStyle name="常规 6 2 5 2 6 2 5" xfId="39892"/>
    <cellStyle name="常规 6 2 5 2 6 3" xfId="39893"/>
    <cellStyle name="常规 6 2 5 2 6 3 2" xfId="39894"/>
    <cellStyle name="常规 6 2 5 2 6 3 2 2" xfId="39895"/>
    <cellStyle name="常规 6 2 5 2 6 3 3" xfId="39896"/>
    <cellStyle name="常规 6 2 5 2 6 3 4" xfId="39897"/>
    <cellStyle name="常规 6 2 5 2 6 4" xfId="39898"/>
    <cellStyle name="常规 6 2 5 2 6 4 2" xfId="39899"/>
    <cellStyle name="常规 6 2 5 2 6 5" xfId="39900"/>
    <cellStyle name="常规 6 2 5 2 6 6" xfId="39902"/>
    <cellStyle name="常规 6 2 5 2 7" xfId="39903"/>
    <cellStyle name="常规 6 2 5 2 7 2" xfId="39904"/>
    <cellStyle name="常规 6 2 5 2 7 2 2" xfId="39905"/>
    <cellStyle name="常规 6 2 5 2 7 2 2 2" xfId="39906"/>
    <cellStyle name="常规 6 2 5 2 7 2 3" xfId="39907"/>
    <cellStyle name="常规 6 2 5 2 7 2 4" xfId="39908"/>
    <cellStyle name="常规 6 2 5 2 7 3" xfId="39909"/>
    <cellStyle name="常规 6 2 5 2 7 3 2" xfId="39910"/>
    <cellStyle name="常规 6 2 5 2 7 4" xfId="39911"/>
    <cellStyle name="常规 6 2 5 2 7 5" xfId="39912"/>
    <cellStyle name="常规 6 2 5 2 8" xfId="39913"/>
    <cellStyle name="常规 6 2 5 2 8 2" xfId="39914"/>
    <cellStyle name="常规 6 2 5 2 8 2 2" xfId="39915"/>
    <cellStyle name="常规 6 2 5 2 8 3" xfId="35846"/>
    <cellStyle name="常规 6 2 5 2 8 4" xfId="35852"/>
    <cellStyle name="常规 6 2 5 2 9" xfId="39916"/>
    <cellStyle name="常规 6 2 5 2 9 2" xfId="39917"/>
    <cellStyle name="常规 6 2 5 3" xfId="39919"/>
    <cellStyle name="常规 6 2 5 3 2" xfId="39921"/>
    <cellStyle name="常规 6 2 5 3 2 2" xfId="39923"/>
    <cellStyle name="常规 6 2 5 3 2 2 2" xfId="39924"/>
    <cellStyle name="常规 6 2 5 3 2 2 2 2" xfId="39925"/>
    <cellStyle name="常规 6 2 5 3 2 2 2 2 2" xfId="39926"/>
    <cellStyle name="常规 6 2 5 3 2 2 2 2 2 2" xfId="13090"/>
    <cellStyle name="常规 6 2 5 3 2 2 2 2 2 2 2" xfId="39927"/>
    <cellStyle name="常规 6 2 5 3 2 2 2 2 2 3" xfId="39928"/>
    <cellStyle name="常规 6 2 5 3 2 2 2 2 2 4" xfId="39929"/>
    <cellStyle name="常规 6 2 5 3 2 2 2 2 3" xfId="27314"/>
    <cellStyle name="常规 6 2 5 3 2 2 2 2 3 2" xfId="39930"/>
    <cellStyle name="常规 6 2 5 3 2 2 2 2 4" xfId="39931"/>
    <cellStyle name="常规 6 2 5 3 2 2 2 2 5" xfId="39932"/>
    <cellStyle name="常规 6 2 5 3 2 2 2 3" xfId="39933"/>
    <cellStyle name="常规 6 2 5 3 2 2 2 3 2" xfId="39934"/>
    <cellStyle name="常规 6 2 5 3 2 2 2 3 2 2" xfId="39935"/>
    <cellStyle name="常规 6 2 5 3 2 2 2 3 3" xfId="39936"/>
    <cellStyle name="常规 6 2 5 3 2 2 2 3 4" xfId="39937"/>
    <cellStyle name="常规 6 2 5 3 2 2 2 4" xfId="31223"/>
    <cellStyle name="常规 6 2 5 3 2 2 2 4 2" xfId="39938"/>
    <cellStyle name="常规 6 2 5 3 2 2 2 5" xfId="39939"/>
    <cellStyle name="常规 6 2 5 3 2 2 2 6" xfId="39940"/>
    <cellStyle name="常规 6 2 5 3 2 2 3" xfId="39941"/>
    <cellStyle name="常规 6 2 5 3 2 2 3 2" xfId="39942"/>
    <cellStyle name="常规 6 2 5 3 2 2 3 2 2" xfId="39943"/>
    <cellStyle name="常规 6 2 5 3 2 2 3 2 2 2" xfId="39944"/>
    <cellStyle name="常规 6 2 5 3 2 2 3 2 3" xfId="39945"/>
    <cellStyle name="常规 6 2 5 3 2 2 3 2 4" xfId="39946"/>
    <cellStyle name="常规 6 2 5 3 2 2 3 3" xfId="39947"/>
    <cellStyle name="常规 6 2 5 3 2 2 3 3 2" xfId="39948"/>
    <cellStyle name="常规 6 2 5 3 2 2 3 4" xfId="39949"/>
    <cellStyle name="常规 6 2 5 3 2 2 3 5" xfId="39950"/>
    <cellStyle name="常规 6 2 5 3 2 2 4" xfId="39951"/>
    <cellStyle name="常规 6 2 5 3 2 2 4 2" xfId="39952"/>
    <cellStyle name="常规 6 2 5 3 2 2 4 2 2" xfId="38607"/>
    <cellStyle name="常规 6 2 5 3 2 2 4 3" xfId="39953"/>
    <cellStyle name="常规 6 2 5 3 2 2 4 4" xfId="39954"/>
    <cellStyle name="常规 6 2 5 3 2 2 5" xfId="39955"/>
    <cellStyle name="常规 6 2 5 3 2 2 5 2" xfId="39956"/>
    <cellStyle name="常规 6 2 5 3 2 2 6" xfId="39957"/>
    <cellStyle name="常规 6 2 5 3 2 2 7" xfId="39958"/>
    <cellStyle name="常规 6 2 5 3 2 3" xfId="39959"/>
    <cellStyle name="常规 6 2 5 3 2 3 2" xfId="39960"/>
    <cellStyle name="常规 6 2 5 3 2 3 2 2" xfId="39961"/>
    <cellStyle name="常规 6 2 5 3 2 3 2 2 2" xfId="39962"/>
    <cellStyle name="常规 6 2 5 3 2 3 2 2 2 2" xfId="39963"/>
    <cellStyle name="常规 6 2 5 3 2 3 2 2 3" xfId="39964"/>
    <cellStyle name="常规 6 2 5 3 2 3 2 2 4" xfId="39965"/>
    <cellStyle name="常规 6 2 5 3 2 3 2 3" xfId="39966"/>
    <cellStyle name="常规 6 2 5 3 2 3 2 3 2" xfId="39967"/>
    <cellStyle name="常规 6 2 5 3 2 3 2 4" xfId="39968"/>
    <cellStyle name="常规 6 2 5 3 2 3 2 5" xfId="39969"/>
    <cellStyle name="常规 6 2 5 3 2 3 3" xfId="39970"/>
    <cellStyle name="常规 6 2 5 3 2 3 3 2" xfId="39971"/>
    <cellStyle name="常规 6 2 5 3 2 3 3 2 2" xfId="39972"/>
    <cellStyle name="常规 6 2 5 3 2 3 3 3" xfId="39973"/>
    <cellStyle name="常规 6 2 5 3 2 3 3 4" xfId="39974"/>
    <cellStyle name="常规 6 2 5 3 2 3 4" xfId="39975"/>
    <cellStyle name="常规 6 2 5 3 2 3 4 2" xfId="39976"/>
    <cellStyle name="常规 6 2 5 3 2 3 5" xfId="39977"/>
    <cellStyle name="常规 6 2 5 3 2 3 6" xfId="39978"/>
    <cellStyle name="常规 6 2 5 3 2 4" xfId="39979"/>
    <cellStyle name="常规 6 2 5 3 2 4 2" xfId="39980"/>
    <cellStyle name="常规 6 2 5 3 2 4 2 2" xfId="39981"/>
    <cellStyle name="常规 6 2 5 3 2 4 2 2 2" xfId="39982"/>
    <cellStyle name="常规 6 2 5 3 2 4 2 3" xfId="39983"/>
    <cellStyle name="常规 6 2 5 3 2 4 2 4" xfId="39984"/>
    <cellStyle name="常规 6 2 5 3 2 4 3" xfId="39985"/>
    <cellStyle name="常规 6 2 5 3 2 4 3 2" xfId="39986"/>
    <cellStyle name="常规 6 2 5 3 2 4 4" xfId="39987"/>
    <cellStyle name="常规 6 2 5 3 2 4 5" xfId="39988"/>
    <cellStyle name="常规 6 2 5 3 2 5" xfId="39989"/>
    <cellStyle name="常规 6 2 5 3 2 5 2" xfId="39990"/>
    <cellStyle name="常规 6 2 5 3 2 5 2 2" xfId="39991"/>
    <cellStyle name="常规 6 2 5 3 2 5 3" xfId="39992"/>
    <cellStyle name="常规 6 2 5 3 2 5 4" xfId="39993"/>
    <cellStyle name="常规 6 2 5 3 2 6" xfId="39994"/>
    <cellStyle name="常规 6 2 5 3 2 6 2" xfId="39995"/>
    <cellStyle name="常规 6 2 5 3 2 7" xfId="39996"/>
    <cellStyle name="常规 6 2 5 3 2 8" xfId="39997"/>
    <cellStyle name="常规 6 2 5 3 3" xfId="39999"/>
    <cellStyle name="常规 6 2 5 3 3 2" xfId="40000"/>
    <cellStyle name="常规 6 2 5 3 3 2 2" xfId="40001"/>
    <cellStyle name="常规 6 2 5 3 3 2 2 2" xfId="40002"/>
    <cellStyle name="常规 6 2 5 3 3 2 2 2 2" xfId="40003"/>
    <cellStyle name="常规 6 2 5 3 3 2 2 2 2 2" xfId="40004"/>
    <cellStyle name="常规 6 2 5 3 3 2 2 2 3" xfId="40005"/>
    <cellStyle name="常规 6 2 5 3 3 2 2 2 4" xfId="40006"/>
    <cellStyle name="常规 6 2 5 3 3 2 2 3" xfId="40007"/>
    <cellStyle name="常规 6 2 5 3 3 2 2 3 2" xfId="40008"/>
    <cellStyle name="常规 6 2 5 3 3 2 2 4" xfId="40009"/>
    <cellStyle name="常规 6 2 5 3 3 2 2 5" xfId="40010"/>
    <cellStyle name="常规 6 2 5 3 3 2 3" xfId="40011"/>
    <cellStyle name="常规 6 2 5 3 3 2 3 2" xfId="40012"/>
    <cellStyle name="常规 6 2 5 3 3 2 3 2 2" xfId="40013"/>
    <cellStyle name="常规 6 2 5 3 3 2 3 3" xfId="40014"/>
    <cellStyle name="常规 6 2 5 3 3 2 3 4" xfId="40015"/>
    <cellStyle name="常规 6 2 5 3 3 2 4" xfId="40016"/>
    <cellStyle name="常规 6 2 5 3 3 2 4 2" xfId="40017"/>
    <cellStyle name="常规 6 2 5 3 3 2 5" xfId="8884"/>
    <cellStyle name="常规 6 2 5 3 3 2 6" xfId="40018"/>
    <cellStyle name="常规 6 2 5 3 3 3" xfId="40019"/>
    <cellStyle name="常规 6 2 5 3 3 3 2" xfId="40020"/>
    <cellStyle name="常规 6 2 5 3 3 3 2 2" xfId="40021"/>
    <cellStyle name="常规 6 2 5 3 3 3 2 2 2" xfId="40022"/>
    <cellStyle name="常规 6 2 5 3 3 3 2 3" xfId="40023"/>
    <cellStyle name="常规 6 2 5 3 3 3 2 4" xfId="40024"/>
    <cellStyle name="常规 6 2 5 3 3 3 3" xfId="40025"/>
    <cellStyle name="常规 6 2 5 3 3 3 3 2" xfId="40026"/>
    <cellStyle name="常规 6 2 5 3 3 3 4" xfId="40027"/>
    <cellStyle name="常规 6 2 5 3 3 3 5" xfId="40028"/>
    <cellStyle name="常规 6 2 5 3 3 4" xfId="40029"/>
    <cellStyle name="常规 6 2 5 3 3 4 2" xfId="40030"/>
    <cellStyle name="常规 6 2 5 3 3 4 2 2" xfId="40031"/>
    <cellStyle name="常规 6 2 5 3 3 4 3" xfId="40032"/>
    <cellStyle name="常规 6 2 5 3 3 4 4" xfId="40033"/>
    <cellStyle name="常规 6 2 5 3 3 5" xfId="16975"/>
    <cellStyle name="常规 6 2 5 3 3 5 2" xfId="40034"/>
    <cellStyle name="常规 6 2 5 3 3 6" xfId="40035"/>
    <cellStyle name="常规 6 2 5 3 3 7" xfId="40036"/>
    <cellStyle name="常规 6 2 5 3 4" xfId="40038"/>
    <cellStyle name="常规 6 2 5 3 4 2" xfId="40039"/>
    <cellStyle name="常规 6 2 5 3 4 2 2" xfId="40040"/>
    <cellStyle name="常规 6 2 5 3 4 2 2 2" xfId="40041"/>
    <cellStyle name="常规 6 2 5 3 4 2 2 2 2" xfId="40042"/>
    <cellStyle name="常规 6 2 5 3 4 2 2 3" xfId="40043"/>
    <cellStyle name="常规 6 2 5 3 4 2 2 4" xfId="40044"/>
    <cellStyle name="常规 6 2 5 3 4 2 3" xfId="40045"/>
    <cellStyle name="常规 6 2 5 3 4 2 3 2" xfId="5894"/>
    <cellStyle name="常规 6 2 5 3 4 2 4" xfId="40046"/>
    <cellStyle name="常规 6 2 5 3 4 2 5" xfId="40047"/>
    <cellStyle name="常规 6 2 5 3 4 3" xfId="40048"/>
    <cellStyle name="常规 6 2 5 3 4 3 2" xfId="40049"/>
    <cellStyle name="常规 6 2 5 3 4 3 2 2" xfId="40050"/>
    <cellStyle name="常规 6 2 5 3 4 3 3" xfId="40051"/>
    <cellStyle name="常规 6 2 5 3 4 3 4" xfId="40052"/>
    <cellStyle name="常规 6 2 5 3 4 4" xfId="40053"/>
    <cellStyle name="常规 6 2 5 3 4 4 2" xfId="40054"/>
    <cellStyle name="常规 6 2 5 3 4 5" xfId="40055"/>
    <cellStyle name="常规 6 2 5 3 4 6" xfId="40056"/>
    <cellStyle name="常规 6 2 5 3 5" xfId="40057"/>
    <cellStyle name="常规 6 2 5 3 5 2" xfId="40058"/>
    <cellStyle name="常规 6 2 5 3 5 2 2" xfId="40059"/>
    <cellStyle name="常规 6 2 5 3 5 2 2 2" xfId="40060"/>
    <cellStyle name="常规 6 2 5 3 5 2 3" xfId="40061"/>
    <cellStyle name="常规 6 2 5 3 5 2 4" xfId="40062"/>
    <cellStyle name="常规 6 2 5 3 5 3" xfId="40063"/>
    <cellStyle name="常规 6 2 5 3 5 3 2" xfId="40064"/>
    <cellStyle name="常规 6 2 5 3 5 4" xfId="40065"/>
    <cellStyle name="常规 6 2 5 3 5 5" xfId="40066"/>
    <cellStyle name="常规 6 2 5 3 6" xfId="40067"/>
    <cellStyle name="常规 6 2 5 3 6 2" xfId="40068"/>
    <cellStyle name="常规 6 2 5 3 6 2 2" xfId="40069"/>
    <cellStyle name="常规 6 2 5 3 6 3" xfId="40070"/>
    <cellStyle name="常规 6 2 5 3 6 4" xfId="40071"/>
    <cellStyle name="常规 6 2 5 3 7" xfId="40072"/>
    <cellStyle name="常规 6 2 5 3 7 2" xfId="40073"/>
    <cellStyle name="常规 6 2 5 3 8" xfId="40074"/>
    <cellStyle name="常规 6 2 5 3 9" xfId="40075"/>
    <cellStyle name="常规 6 2 5 4" xfId="40077"/>
    <cellStyle name="常规 6 2 5 4 2" xfId="40079"/>
    <cellStyle name="常规 6 2 5 4 2 2" xfId="1926"/>
    <cellStyle name="常规 6 2 5 4 2 2 2" xfId="1930"/>
    <cellStyle name="常规 6 2 5 4 2 2 2 2" xfId="40080"/>
    <cellStyle name="常规 6 2 5 4 2 2 2 2 2" xfId="40081"/>
    <cellStyle name="常规 6 2 5 4 2 2 2 2 2 2" xfId="40082"/>
    <cellStyle name="常规 6 2 5 4 2 2 2 2 2 2 2" xfId="40084"/>
    <cellStyle name="常规 6 2 5 4 2 2 2 2 2 3" xfId="40085"/>
    <cellStyle name="常规 6 2 5 4 2 2 2 2 2 4" xfId="40086"/>
    <cellStyle name="常规 6 2 5 4 2 2 2 2 3" xfId="40087"/>
    <cellStyle name="常规 6 2 5 4 2 2 2 2 3 2" xfId="40088"/>
    <cellStyle name="常规 6 2 5 4 2 2 2 2 4" xfId="40089"/>
    <cellStyle name="常规 6 2 5 4 2 2 2 2 5" xfId="40090"/>
    <cellStyle name="常规 6 2 5 4 2 2 2 3" xfId="40091"/>
    <cellStyle name="常规 6 2 5 4 2 2 2 3 2" xfId="40092"/>
    <cellStyle name="常规 6 2 5 4 2 2 2 3 2 2" xfId="40093"/>
    <cellStyle name="常规 6 2 5 4 2 2 2 3 3" xfId="40094"/>
    <cellStyle name="常规 6 2 5 4 2 2 2 3 4" xfId="40095"/>
    <cellStyle name="常规 6 2 5 4 2 2 2 4" xfId="20786"/>
    <cellStyle name="常规 6 2 5 4 2 2 2 4 2" xfId="40096"/>
    <cellStyle name="常规 6 2 5 4 2 2 2 5" xfId="40097"/>
    <cellStyle name="常规 6 2 5 4 2 2 2 6" xfId="40098"/>
    <cellStyle name="常规 6 2 5 4 2 2 3" xfId="1935"/>
    <cellStyle name="常规 6 2 5 4 2 2 3 2" xfId="40099"/>
    <cellStyle name="常规 6 2 5 4 2 2 3 2 2" xfId="40100"/>
    <cellStyle name="常规 6 2 5 4 2 2 3 2 2 2" xfId="40101"/>
    <cellStyle name="常规 6 2 5 4 2 2 3 2 3" xfId="40102"/>
    <cellStyle name="常规 6 2 5 4 2 2 3 2 4" xfId="40103"/>
    <cellStyle name="常规 6 2 5 4 2 2 3 3" xfId="40104"/>
    <cellStyle name="常规 6 2 5 4 2 2 3 3 2" xfId="40105"/>
    <cellStyle name="常规 6 2 5 4 2 2 3 4" xfId="40106"/>
    <cellStyle name="常规 6 2 5 4 2 2 3 5" xfId="40107"/>
    <cellStyle name="常规 6 2 5 4 2 2 4" xfId="40108"/>
    <cellStyle name="常规 6 2 5 4 2 2 4 2" xfId="40109"/>
    <cellStyle name="常规 6 2 5 4 2 2 4 2 2" xfId="40110"/>
    <cellStyle name="常规 6 2 5 4 2 2 4 3" xfId="40111"/>
    <cellStyle name="常规 6 2 5 4 2 2 4 4" xfId="40112"/>
    <cellStyle name="常规 6 2 5 4 2 2 5" xfId="40113"/>
    <cellStyle name="常规 6 2 5 4 2 2 5 2" xfId="40114"/>
    <cellStyle name="常规 6 2 5 4 2 2 6" xfId="40115"/>
    <cellStyle name="常规 6 2 5 4 2 2 7" xfId="40116"/>
    <cellStyle name="常规 6 2 5 4 2 3" xfId="1948"/>
    <cellStyle name="常规 6 2 5 4 2 3 2" xfId="1954"/>
    <cellStyle name="常规 6 2 5 4 2 3 2 2" xfId="40117"/>
    <cellStyle name="常规 6 2 5 4 2 3 2 2 2" xfId="40118"/>
    <cellStyle name="常规 6 2 5 4 2 3 2 2 2 2" xfId="40119"/>
    <cellStyle name="常规 6 2 5 4 2 3 2 2 3" xfId="40120"/>
    <cellStyle name="常规 6 2 5 4 2 3 2 2 4" xfId="40121"/>
    <cellStyle name="常规 6 2 5 4 2 3 2 3" xfId="40122"/>
    <cellStyle name="常规 6 2 5 4 2 3 2 3 2" xfId="40123"/>
    <cellStyle name="常规 6 2 5 4 2 3 2 4" xfId="40124"/>
    <cellStyle name="常规 6 2 5 4 2 3 2 5" xfId="40125"/>
    <cellStyle name="常规 6 2 5 4 2 3 3" xfId="1961"/>
    <cellStyle name="常规 6 2 5 4 2 3 3 2" xfId="40126"/>
    <cellStyle name="常规 6 2 5 4 2 3 3 2 2" xfId="40127"/>
    <cellStyle name="常规 6 2 5 4 2 3 3 3" xfId="40128"/>
    <cellStyle name="常规 6 2 5 4 2 3 3 4" xfId="40129"/>
    <cellStyle name="常规 6 2 5 4 2 3 4" xfId="40130"/>
    <cellStyle name="常规 6 2 5 4 2 3 4 2" xfId="40131"/>
    <cellStyle name="常规 6 2 5 4 2 3 5" xfId="40132"/>
    <cellStyle name="常规 6 2 5 4 2 3 6" xfId="40133"/>
    <cellStyle name="常规 6 2 5 4 2 4" xfId="2239"/>
    <cellStyle name="常规 6 2 5 4 2 4 2" xfId="40134"/>
    <cellStyle name="常规 6 2 5 4 2 4 2 2" xfId="40135"/>
    <cellStyle name="常规 6 2 5 4 2 4 2 2 2" xfId="20938"/>
    <cellStyle name="常规 6 2 5 4 2 4 2 3" xfId="40136"/>
    <cellStyle name="常规 6 2 5 4 2 4 2 4" xfId="40137"/>
    <cellStyle name="常规 6 2 5 4 2 4 3" xfId="40138"/>
    <cellStyle name="常规 6 2 5 4 2 4 3 2" xfId="40139"/>
    <cellStyle name="常规 6 2 5 4 2 4 4" xfId="40140"/>
    <cellStyle name="常规 6 2 5 4 2 4 5" xfId="40141"/>
    <cellStyle name="常规 6 2 5 4 2 5" xfId="2243"/>
    <cellStyle name="常规 6 2 5 4 2 5 2" xfId="40142"/>
    <cellStyle name="常规 6 2 5 4 2 5 2 2" xfId="40143"/>
    <cellStyle name="常规 6 2 5 4 2 5 3" xfId="40144"/>
    <cellStyle name="常规 6 2 5 4 2 5 4" xfId="40145"/>
    <cellStyle name="常规 6 2 5 4 2 6" xfId="2247"/>
    <cellStyle name="常规 6 2 5 4 2 6 2" xfId="40146"/>
    <cellStyle name="常规 6 2 5 4 2 7" xfId="2253"/>
    <cellStyle name="常规 6 2 5 4 2 8" xfId="2260"/>
    <cellStyle name="常规 6 2 5 4 3" xfId="40147"/>
    <cellStyle name="常规 6 2 5 4 3 2" xfId="40150"/>
    <cellStyle name="常规 6 2 5 4 3 2 2" xfId="40151"/>
    <cellStyle name="常规 6 2 5 4 3 2 2 2" xfId="40152"/>
    <cellStyle name="常规 6 2 5 4 3 2 2 2 2" xfId="40153"/>
    <cellStyle name="常规 6 2 5 4 3 2 2 2 2 2" xfId="40154"/>
    <cellStyle name="常规 6 2 5 4 3 2 2 2 3" xfId="40155"/>
    <cellStyle name="常规 6 2 5 4 3 2 2 2 4" xfId="40156"/>
    <cellStyle name="常规 6 2 5 4 3 2 2 3" xfId="40157"/>
    <cellStyle name="常规 6 2 5 4 3 2 2 3 2" xfId="40158"/>
    <cellStyle name="常规 6 2 5 4 3 2 2 4" xfId="40159"/>
    <cellStyle name="常规 6 2 5 4 3 2 2 5" xfId="40160"/>
    <cellStyle name="常规 6 2 5 4 3 2 3" xfId="40161"/>
    <cellStyle name="常规 6 2 5 4 3 2 3 2" xfId="40162"/>
    <cellStyle name="常规 6 2 5 4 3 2 3 2 2" xfId="40163"/>
    <cellStyle name="常规 6 2 5 4 3 2 3 3" xfId="40164"/>
    <cellStyle name="常规 6 2 5 4 3 2 3 4" xfId="40165"/>
    <cellStyle name="常规 6 2 5 4 3 2 4" xfId="40166"/>
    <cellStyle name="常规 6 2 5 4 3 2 4 2" xfId="40167"/>
    <cellStyle name="常规 6 2 5 4 3 2 5" xfId="40168"/>
    <cellStyle name="常规 6 2 5 4 3 2 6" xfId="40169"/>
    <cellStyle name="常规 6 2 5 4 3 3" xfId="40172"/>
    <cellStyle name="常规 6 2 5 4 3 3 2" xfId="40173"/>
    <cellStyle name="常规 6 2 5 4 3 3 2 2" xfId="40174"/>
    <cellStyle name="常规 6 2 5 4 3 3 2 2 2" xfId="40175"/>
    <cellStyle name="常规 6 2 5 4 3 3 2 3" xfId="40176"/>
    <cellStyle name="常规 6 2 5 4 3 3 2 4" xfId="40177"/>
    <cellStyle name="常规 6 2 5 4 3 3 3" xfId="40178"/>
    <cellStyle name="常规 6 2 5 4 3 3 3 2" xfId="40179"/>
    <cellStyle name="常规 6 2 5 4 3 3 4" xfId="40180"/>
    <cellStyle name="常规 6 2 5 4 3 3 5" xfId="40181"/>
    <cellStyle name="常规 6 2 5 4 3 4" xfId="40184"/>
    <cellStyle name="常规 6 2 5 4 3 4 2" xfId="40185"/>
    <cellStyle name="常规 6 2 5 4 3 4 2 2" xfId="40186"/>
    <cellStyle name="常规 6 2 5 4 3 4 3" xfId="40187"/>
    <cellStyle name="常规 6 2 5 4 3 4 4" xfId="40188"/>
    <cellStyle name="常规 6 2 5 4 3 5" xfId="40191"/>
    <cellStyle name="常规 6 2 5 4 3 5 2" xfId="40192"/>
    <cellStyle name="常规 6 2 5 4 3 6" xfId="40195"/>
    <cellStyle name="常规 6 2 5 4 3 7" xfId="40198"/>
    <cellStyle name="常规 6 2 5 4 4" xfId="40199"/>
    <cellStyle name="常规 6 2 5 4 4 2" xfId="40200"/>
    <cellStyle name="常规 6 2 5 4 4 2 2" xfId="40201"/>
    <cellStyle name="常规 6 2 5 4 4 2 2 2" xfId="40202"/>
    <cellStyle name="常规 6 2 5 4 4 2 2 2 2" xfId="40203"/>
    <cellStyle name="常规 6 2 5 4 4 2 2 3" xfId="40204"/>
    <cellStyle name="常规 6 2 5 4 4 2 2 4" xfId="40205"/>
    <cellStyle name="常规 6 2 5 4 4 2 3" xfId="40206"/>
    <cellStyle name="常规 6 2 5 4 4 2 3 2" xfId="40207"/>
    <cellStyle name="常规 6 2 5 4 4 2 4" xfId="40208"/>
    <cellStyle name="常规 6 2 5 4 4 2 5" xfId="40209"/>
    <cellStyle name="常规 6 2 5 4 4 3" xfId="40210"/>
    <cellStyle name="常规 6 2 5 4 4 3 2" xfId="40211"/>
    <cellStyle name="常规 6 2 5 4 4 3 2 2" xfId="40212"/>
    <cellStyle name="常规 6 2 5 4 4 3 3" xfId="40213"/>
    <cellStyle name="常规 6 2 5 4 4 3 4" xfId="40214"/>
    <cellStyle name="常规 6 2 5 4 4 4" xfId="40215"/>
    <cellStyle name="常规 6 2 5 4 4 4 2" xfId="40216"/>
    <cellStyle name="常规 6 2 5 4 4 5" xfId="40217"/>
    <cellStyle name="常规 6 2 5 4 4 6" xfId="40218"/>
    <cellStyle name="常规 6 2 5 4 5" xfId="40219"/>
    <cellStyle name="常规 6 2 5 4 5 2" xfId="40220"/>
    <cellStyle name="常规 6 2 5 4 5 2 2" xfId="40221"/>
    <cellStyle name="常规 6 2 5 4 5 2 2 2" xfId="40222"/>
    <cellStyle name="常规 6 2 5 4 5 2 3" xfId="40223"/>
    <cellStyle name="常规 6 2 5 4 5 2 4" xfId="40224"/>
    <cellStyle name="常规 6 2 5 4 5 3" xfId="40225"/>
    <cellStyle name="常规 6 2 5 4 5 3 2" xfId="40226"/>
    <cellStyle name="常规 6 2 5 4 5 4" xfId="40227"/>
    <cellStyle name="常规 6 2 5 4 5 5" xfId="40228"/>
    <cellStyle name="常规 6 2 5 4 6" xfId="40229"/>
    <cellStyle name="常规 6 2 5 4 6 2" xfId="40230"/>
    <cellStyle name="常规 6 2 5 4 6 2 2" xfId="40231"/>
    <cellStyle name="常规 6 2 5 4 6 3" xfId="40232"/>
    <cellStyle name="常规 6 2 5 4 6 4" xfId="40233"/>
    <cellStyle name="常规 6 2 5 4 7" xfId="40234"/>
    <cellStyle name="常规 6 2 5 4 7 2" xfId="40235"/>
    <cellStyle name="常规 6 2 5 4 8" xfId="40236"/>
    <cellStyle name="常规 6 2 5 4 9" xfId="40237"/>
    <cellStyle name="常规 6 2 5 5" xfId="40239"/>
    <cellStyle name="常规 6 2 5 5 2" xfId="40240"/>
    <cellStyle name="常规 6 2 5 5 2 2" xfId="40241"/>
    <cellStyle name="常规 6 2 5 5 2 2 2" xfId="40242"/>
    <cellStyle name="常规 6 2 5 5 2 2 2 2" xfId="40243"/>
    <cellStyle name="常规 6 2 5 5 2 2 2 2 2" xfId="40244"/>
    <cellStyle name="常规 6 2 5 5 2 2 2 2 2 2" xfId="40246"/>
    <cellStyle name="常规 6 2 5 5 2 2 2 2 3" xfId="40247"/>
    <cellStyle name="常规 6 2 5 5 2 2 2 2 4" xfId="40248"/>
    <cellStyle name="常规 6 2 5 5 2 2 2 3" xfId="40249"/>
    <cellStyle name="常规 6 2 5 5 2 2 2 3 2" xfId="40250"/>
    <cellStyle name="常规 6 2 5 5 2 2 2 4" xfId="40251"/>
    <cellStyle name="常规 6 2 5 5 2 2 2 5" xfId="40252"/>
    <cellStyle name="常规 6 2 5 5 2 2 3" xfId="40253"/>
    <cellStyle name="常规 6 2 5 5 2 2 3 2" xfId="34006"/>
    <cellStyle name="常规 6 2 5 5 2 2 3 2 2" xfId="40254"/>
    <cellStyle name="常规 6 2 5 5 2 2 3 3" xfId="34008"/>
    <cellStyle name="常规 6 2 5 5 2 2 3 4" xfId="40255"/>
    <cellStyle name="常规 6 2 5 5 2 2 4" xfId="40256"/>
    <cellStyle name="常规 6 2 5 5 2 2 4 2" xfId="40257"/>
    <cellStyle name="常规 6 2 5 5 2 2 5" xfId="40258"/>
    <cellStyle name="常规 6 2 5 5 2 2 6" xfId="40259"/>
    <cellStyle name="常规 6 2 5 5 2 3" xfId="40260"/>
    <cellStyle name="常规 6 2 5 5 2 3 2" xfId="40261"/>
    <cellStyle name="常规 6 2 5 5 2 3 2 2" xfId="40262"/>
    <cellStyle name="常规 6 2 5 5 2 3 2 2 2" xfId="40263"/>
    <cellStyle name="常规 6 2 5 5 2 3 2 3" xfId="15345"/>
    <cellStyle name="常规 6 2 5 5 2 3 2 4" xfId="40264"/>
    <cellStyle name="常规 6 2 5 5 2 3 3" xfId="40265"/>
    <cellStyle name="常规 6 2 5 5 2 3 3 2" xfId="40266"/>
    <cellStyle name="常规 6 2 5 5 2 3 4" xfId="40267"/>
    <cellStyle name="常规 6 2 5 5 2 3 5" xfId="40268"/>
    <cellStyle name="常规 6 2 5 5 2 4" xfId="40269"/>
    <cellStyle name="常规 6 2 5 5 2 4 2" xfId="40270"/>
    <cellStyle name="常规 6 2 5 5 2 4 2 2" xfId="29303"/>
    <cellStyle name="常规 6 2 5 5 2 4 3" xfId="40271"/>
    <cellStyle name="常规 6 2 5 5 2 4 4" xfId="40272"/>
    <cellStyle name="常规 6 2 5 5 2 5" xfId="40273"/>
    <cellStyle name="常规 6 2 5 5 2 5 2" xfId="25991"/>
    <cellStyle name="常规 6 2 5 5 2 6" xfId="40274"/>
    <cellStyle name="常规 6 2 5 5 2 7" xfId="40275"/>
    <cellStyle name="常规 6 2 5 5 3" xfId="40276"/>
    <cellStyle name="常规 6 2 5 5 3 2" xfId="40277"/>
    <cellStyle name="常规 6 2 5 5 3 2 2" xfId="40278"/>
    <cellStyle name="常规 6 2 5 5 3 2 2 2" xfId="40279"/>
    <cellStyle name="常规 6 2 5 5 3 2 2 2 2" xfId="29675"/>
    <cellStyle name="常规 6 2 5 5 3 2 2 3" xfId="40280"/>
    <cellStyle name="常规 6 2 5 5 3 2 2 4" xfId="40281"/>
    <cellStyle name="常规 6 2 5 5 3 2 3" xfId="40282"/>
    <cellStyle name="常规 6 2 5 5 3 2 3 2" xfId="40283"/>
    <cellStyle name="常规 6 2 5 5 3 2 4" xfId="40284"/>
    <cellStyle name="常规 6 2 5 5 3 2 5" xfId="40285"/>
    <cellStyle name="常规 6 2 5 5 3 3" xfId="40286"/>
    <cellStyle name="常规 6 2 5 5 3 3 2" xfId="40287"/>
    <cellStyle name="常规 6 2 5 5 3 3 2 2" xfId="40288"/>
    <cellStyle name="常规 6 2 5 5 3 3 3" xfId="40289"/>
    <cellStyle name="常规 6 2 5 5 3 3 4" xfId="40290"/>
    <cellStyle name="常规 6 2 5 5 3 4" xfId="40291"/>
    <cellStyle name="常规 6 2 5 5 3 4 2" xfId="40292"/>
    <cellStyle name="常规 6 2 5 5 3 5" xfId="40293"/>
    <cellStyle name="常规 6 2 5 5 3 6" xfId="40294"/>
    <cellStyle name="常规 6 2 5 5 4" xfId="40295"/>
    <cellStyle name="常规 6 2 5 5 4 2" xfId="40296"/>
    <cellStyle name="常规 6 2 5 5 4 2 2" xfId="40297"/>
    <cellStyle name="常规 6 2 5 5 4 2 2 2" xfId="40298"/>
    <cellStyle name="常规 6 2 5 5 4 2 3" xfId="40299"/>
    <cellStyle name="常规 6 2 5 5 4 2 4" xfId="40300"/>
    <cellStyle name="常规 6 2 5 5 4 3" xfId="40301"/>
    <cellStyle name="常规 6 2 5 5 4 3 2" xfId="40302"/>
    <cellStyle name="常规 6 2 5 5 4 4" xfId="40303"/>
    <cellStyle name="常规 6 2 5 5 4 5" xfId="40304"/>
    <cellStyle name="常规 6 2 5 5 5" xfId="8814"/>
    <cellStyle name="常规 6 2 5 5 5 2" xfId="8818"/>
    <cellStyle name="常规 6 2 5 5 5 2 2" xfId="40305"/>
    <cellStyle name="常规 6 2 5 5 5 3" xfId="40306"/>
    <cellStyle name="常规 6 2 5 5 5 4" xfId="40307"/>
    <cellStyle name="常规 6 2 5 5 6" xfId="8822"/>
    <cellStyle name="常规 6 2 5 5 6 2" xfId="40308"/>
    <cellStyle name="常规 6 2 5 5 7" xfId="8826"/>
    <cellStyle name="常规 6 2 5 5 8" xfId="40309"/>
    <cellStyle name="常规 6 2 5 6" xfId="40311"/>
    <cellStyle name="常规 6 2 5 6 2" xfId="40312"/>
    <cellStyle name="常规 6 2 5 6 2 2" xfId="40313"/>
    <cellStyle name="常规 6 2 5 6 2 2 2" xfId="40314"/>
    <cellStyle name="常规 6 2 5 6 2 2 2 2" xfId="40315"/>
    <cellStyle name="常规 6 2 5 6 2 2 2 2 2" xfId="40316"/>
    <cellStyle name="常规 6 2 5 6 2 2 2 3" xfId="40317"/>
    <cellStyle name="常规 6 2 5 6 2 2 2 4" xfId="40318"/>
    <cellStyle name="常规 6 2 5 6 2 2 3" xfId="40319"/>
    <cellStyle name="常规 6 2 5 6 2 2 3 2" xfId="40320"/>
    <cellStyle name="常规 6 2 5 6 2 2 4" xfId="40321"/>
    <cellStyle name="常规 6 2 5 6 2 2 5" xfId="40322"/>
    <cellStyle name="常规 6 2 5 6 2 3" xfId="40323"/>
    <cellStyle name="常规 6 2 5 6 2 3 2" xfId="40324"/>
    <cellStyle name="常规 6 2 5 6 2 3 2 2" xfId="40325"/>
    <cellStyle name="常规 6 2 5 6 2 3 3" xfId="40326"/>
    <cellStyle name="常规 6 2 5 6 2 3 4" xfId="40327"/>
    <cellStyle name="常规 6 2 5 6 2 4" xfId="4925"/>
    <cellStyle name="常规 6 2 5 6 2 4 2" xfId="4927"/>
    <cellStyle name="常规 6 2 5 6 2 5" xfId="4933"/>
    <cellStyle name="常规 6 2 5 6 2 6" xfId="4940"/>
    <cellStyle name="常规 6 2 5 6 3" xfId="40328"/>
    <cellStyle name="常规 6 2 5 6 3 2" xfId="40329"/>
    <cellStyle name="常规 6 2 5 6 3 2 2" xfId="40330"/>
    <cellStyle name="常规 6 2 5 6 3 2 2 2" xfId="40331"/>
    <cellStyle name="常规 6 2 5 6 3 2 3" xfId="40332"/>
    <cellStyle name="常规 6 2 5 6 3 2 4" xfId="40333"/>
    <cellStyle name="常规 6 2 5 6 3 3" xfId="40334"/>
    <cellStyle name="常规 6 2 5 6 3 3 2" xfId="40335"/>
    <cellStyle name="常规 6 2 5 6 3 4" xfId="4952"/>
    <cellStyle name="常规 6 2 5 6 3 5" xfId="4963"/>
    <cellStyle name="常规 6 2 5 6 4" xfId="40336"/>
    <cellStyle name="常规 6 2 5 6 4 2" xfId="40337"/>
    <cellStyle name="常规 6 2 5 6 4 2 2" xfId="40338"/>
    <cellStyle name="常规 6 2 5 6 4 3" xfId="40339"/>
    <cellStyle name="常规 6 2 5 6 4 4" xfId="4982"/>
    <cellStyle name="常规 6 2 5 6 5" xfId="7328"/>
    <cellStyle name="常规 6 2 5 6 5 2" xfId="40340"/>
    <cellStyle name="常规 6 2 5 6 6" xfId="40341"/>
    <cellStyle name="常规 6 2 5 6 7" xfId="40342"/>
    <cellStyle name="常规 6 2 5 7" xfId="40343"/>
    <cellStyle name="常规 6 2 5 7 2" xfId="40344"/>
    <cellStyle name="常规 6 2 5 7 2 2" xfId="40345"/>
    <cellStyle name="常规 6 2 5 7 2 2 2" xfId="40346"/>
    <cellStyle name="常规 6 2 5 7 2 2 2 2" xfId="40347"/>
    <cellStyle name="常规 6 2 5 7 2 2 3" xfId="40348"/>
    <cellStyle name="常规 6 2 5 7 2 2 4" xfId="40349"/>
    <cellStyle name="常规 6 2 5 7 2 3" xfId="40350"/>
    <cellStyle name="常规 6 2 5 7 2 3 2" xfId="40351"/>
    <cellStyle name="常规 6 2 5 7 2 4" xfId="4992"/>
    <cellStyle name="常规 6 2 5 7 2 5" xfId="4995"/>
    <cellStyle name="常规 6 2 5 7 3" xfId="40352"/>
    <cellStyle name="常规 6 2 5 7 3 2" xfId="40353"/>
    <cellStyle name="常规 6 2 5 7 3 2 2" xfId="40354"/>
    <cellStyle name="常规 6 2 5 7 3 3" xfId="40355"/>
    <cellStyle name="常规 6 2 5 7 3 4" xfId="79"/>
    <cellStyle name="常规 6 2 5 7 4" xfId="40356"/>
    <cellStyle name="常规 6 2 5 7 4 2" xfId="40357"/>
    <cellStyle name="常规 6 2 5 7 5" xfId="40358"/>
    <cellStyle name="常规 6 2 5 7 6" xfId="40359"/>
    <cellStyle name="常规 6 2 5 8" xfId="40360"/>
    <cellStyle name="常规 6 2 5 8 2" xfId="40361"/>
    <cellStyle name="常规 6 2 5 8 2 2" xfId="40362"/>
    <cellStyle name="常规 6 2 5 8 2 2 2" xfId="40363"/>
    <cellStyle name="常规 6 2 5 8 2 3" xfId="40364"/>
    <cellStyle name="常规 6 2 5 8 2 4" xfId="1830"/>
    <cellStyle name="常规 6 2 5 8 3" xfId="40365"/>
    <cellStyle name="常规 6 2 5 8 3 2" xfId="40366"/>
    <cellStyle name="常规 6 2 5 8 4" xfId="40367"/>
    <cellStyle name="常规 6 2 5 8 5" xfId="40368"/>
    <cellStyle name="常规 6 2 5 9" xfId="40369"/>
    <cellStyle name="常规 6 2 5 9 2" xfId="40370"/>
    <cellStyle name="常规 6 2 5 9 2 2" xfId="40371"/>
    <cellStyle name="常规 6 2 5 9 3" xfId="40372"/>
    <cellStyle name="常规 6 2 5 9 4" xfId="40373"/>
    <cellStyle name="常规 6 2 6" xfId="40374"/>
    <cellStyle name="常规 6 2 6 10" xfId="40375"/>
    <cellStyle name="常规 6 2 6 11" xfId="40376"/>
    <cellStyle name="常规 6 2 6 2" xfId="40378"/>
    <cellStyle name="常规 6 2 6 2 2" xfId="40380"/>
    <cellStyle name="常规 6 2 6 2 2 2" xfId="40383"/>
    <cellStyle name="常规 6 2 6 2 2 2 2" xfId="40384"/>
    <cellStyle name="常规 6 2 6 2 2 2 2 2" xfId="40385"/>
    <cellStyle name="常规 6 2 6 2 2 2 2 2 2" xfId="40386"/>
    <cellStyle name="常规 6 2 6 2 2 2 2 2 2 2" xfId="40387"/>
    <cellStyle name="常规 6 2 6 2 2 2 2 2 2 2 2" xfId="40388"/>
    <cellStyle name="常规 6 2 6 2 2 2 2 2 2 3" xfId="40389"/>
    <cellStyle name="常规 6 2 6 2 2 2 2 2 2 4" xfId="40390"/>
    <cellStyle name="常规 6 2 6 2 2 2 2 2 3" xfId="40391"/>
    <cellStyle name="常规 6 2 6 2 2 2 2 2 3 2" xfId="40392"/>
    <cellStyle name="常规 6 2 6 2 2 2 2 2 4" xfId="40393"/>
    <cellStyle name="常规 6 2 6 2 2 2 2 2 5" xfId="40394"/>
    <cellStyle name="常规 6 2 6 2 2 2 2 3" xfId="40395"/>
    <cellStyle name="常规 6 2 6 2 2 2 2 3 2" xfId="40396"/>
    <cellStyle name="常规 6 2 6 2 2 2 2 3 2 2" xfId="40397"/>
    <cellStyle name="常规 6 2 6 2 2 2 2 3 3" xfId="40398"/>
    <cellStyle name="常规 6 2 6 2 2 2 2 3 4" xfId="40399"/>
    <cellStyle name="常规 6 2 6 2 2 2 2 4" xfId="26795"/>
    <cellStyle name="常规 6 2 6 2 2 2 2 4 2" xfId="40400"/>
    <cellStyle name="常规 6 2 6 2 2 2 2 5" xfId="40401"/>
    <cellStyle name="常规 6 2 6 2 2 2 2 6" xfId="409"/>
    <cellStyle name="常规 6 2 6 2 2 2 3" xfId="40402"/>
    <cellStyle name="常规 6 2 6 2 2 2 3 2" xfId="40403"/>
    <cellStyle name="常规 6 2 6 2 2 2 3 2 2" xfId="40404"/>
    <cellStyle name="常规 6 2 6 2 2 2 3 2 2 2" xfId="40405"/>
    <cellStyle name="常规 6 2 6 2 2 2 3 2 3" xfId="40406"/>
    <cellStyle name="常规 6 2 6 2 2 2 3 2 4" xfId="40407"/>
    <cellStyle name="常规 6 2 6 2 2 2 3 3" xfId="40408"/>
    <cellStyle name="常规 6 2 6 2 2 2 3 3 2" xfId="40409"/>
    <cellStyle name="常规 6 2 6 2 2 2 3 4" xfId="40410"/>
    <cellStyle name="常规 6 2 6 2 2 2 3 5" xfId="40411"/>
    <cellStyle name="常规 6 2 6 2 2 2 4" xfId="40412"/>
    <cellStyle name="常规 6 2 6 2 2 2 4 2" xfId="40413"/>
    <cellStyle name="常规 6 2 6 2 2 2 4 2 2" xfId="40415"/>
    <cellStyle name="常规 6 2 6 2 2 2 4 3" xfId="40416"/>
    <cellStyle name="常规 6 2 6 2 2 2 4 4" xfId="40417"/>
    <cellStyle name="常规 6 2 6 2 2 2 5" xfId="40418"/>
    <cellStyle name="常规 6 2 6 2 2 2 5 2" xfId="40419"/>
    <cellStyle name="常规 6 2 6 2 2 2 6" xfId="40420"/>
    <cellStyle name="常规 6 2 6 2 2 2 7" xfId="40421"/>
    <cellStyle name="常规 6 2 6 2 2 3" xfId="40423"/>
    <cellStyle name="常规 6 2 6 2 2 3 2" xfId="40424"/>
    <cellStyle name="常规 6 2 6 2 2 3 2 2" xfId="40425"/>
    <cellStyle name="常规 6 2 6 2 2 3 2 2 2" xfId="40426"/>
    <cellStyle name="常规 6 2 6 2 2 3 2 2 2 2" xfId="40427"/>
    <cellStyle name="常规 6 2 6 2 2 3 2 2 3" xfId="40428"/>
    <cellStyle name="常规 6 2 6 2 2 3 2 2 4" xfId="40429"/>
    <cellStyle name="常规 6 2 6 2 2 3 2 3" xfId="40430"/>
    <cellStyle name="常规 6 2 6 2 2 3 2 3 2" xfId="40431"/>
    <cellStyle name="常规 6 2 6 2 2 3 2 4" xfId="40432"/>
    <cellStyle name="常规 6 2 6 2 2 3 2 5" xfId="40433"/>
    <cellStyle name="常规 6 2 6 2 2 3 3" xfId="40434"/>
    <cellStyle name="常规 6 2 6 2 2 3 3 2" xfId="40435"/>
    <cellStyle name="常规 6 2 6 2 2 3 3 2 2" xfId="40436"/>
    <cellStyle name="常规 6 2 6 2 2 3 3 3" xfId="5061"/>
    <cellStyle name="常规 6 2 6 2 2 3 3 4" xfId="40437"/>
    <cellStyle name="常规 6 2 6 2 2 3 4" xfId="40438"/>
    <cellStyle name="常规 6 2 6 2 2 3 4 2" xfId="40439"/>
    <cellStyle name="常规 6 2 6 2 2 3 5" xfId="40440"/>
    <cellStyle name="常规 6 2 6 2 2 3 6" xfId="40441"/>
    <cellStyle name="常规 6 2 6 2 2 4" xfId="40442"/>
    <cellStyle name="常规 6 2 6 2 2 4 2" xfId="40443"/>
    <cellStyle name="常规 6 2 6 2 2 4 2 2" xfId="40444"/>
    <cellStyle name="常规 6 2 6 2 2 4 2 2 2" xfId="40445"/>
    <cellStyle name="常规 6 2 6 2 2 4 2 3" xfId="40446"/>
    <cellStyle name="常规 6 2 6 2 2 4 2 4" xfId="40447"/>
    <cellStyle name="常规 6 2 6 2 2 4 3" xfId="40448"/>
    <cellStyle name="常规 6 2 6 2 2 4 3 2" xfId="40449"/>
    <cellStyle name="常规 6 2 6 2 2 4 4" xfId="40450"/>
    <cellStyle name="常规 6 2 6 2 2 4 5" xfId="40451"/>
    <cellStyle name="常规 6 2 6 2 2 5" xfId="40452"/>
    <cellStyle name="常规 6 2 6 2 2 5 2" xfId="40453"/>
    <cellStyle name="常规 6 2 6 2 2 5 2 2" xfId="40454"/>
    <cellStyle name="常规 6 2 6 2 2 5 3" xfId="40455"/>
    <cellStyle name="常规 6 2 6 2 2 5 4" xfId="40456"/>
    <cellStyle name="常规 6 2 6 2 2 6" xfId="40457"/>
    <cellStyle name="常规 6 2 6 2 2 6 2" xfId="40458"/>
    <cellStyle name="常规 6 2 6 2 2 7" xfId="40459"/>
    <cellStyle name="常规 6 2 6 2 2 8" xfId="40460"/>
    <cellStyle name="常规 6 2 6 2 3" xfId="40462"/>
    <cellStyle name="常规 6 2 6 2 3 2" xfId="40463"/>
    <cellStyle name="常规 6 2 6 2 3 2 2" xfId="40464"/>
    <cellStyle name="常规 6 2 6 2 3 2 2 2" xfId="40465"/>
    <cellStyle name="常规 6 2 6 2 3 2 2 2 2" xfId="40466"/>
    <cellStyle name="常规 6 2 6 2 3 2 2 2 2 2" xfId="40467"/>
    <cellStyle name="常规 6 2 6 2 3 2 2 2 3" xfId="40468"/>
    <cellStyle name="常规 6 2 6 2 3 2 2 2 4" xfId="40469"/>
    <cellStyle name="常规 6 2 6 2 3 2 2 3" xfId="40470"/>
    <cellStyle name="常规 6 2 6 2 3 2 2 3 2" xfId="40471"/>
    <cellStyle name="常规 6 2 6 2 3 2 2 4" xfId="35686"/>
    <cellStyle name="常规 6 2 6 2 3 2 2 5" xfId="40472"/>
    <cellStyle name="常规 6 2 6 2 3 2 3" xfId="40473"/>
    <cellStyle name="常规 6 2 6 2 3 2 3 2" xfId="40474"/>
    <cellStyle name="常规 6 2 6 2 3 2 3 2 2" xfId="40475"/>
    <cellStyle name="常规 6 2 6 2 3 2 3 3" xfId="40476"/>
    <cellStyle name="常规 6 2 6 2 3 2 3 4" xfId="40477"/>
    <cellStyle name="常规 6 2 6 2 3 2 4" xfId="40478"/>
    <cellStyle name="常规 6 2 6 2 3 2 4 2" xfId="40479"/>
    <cellStyle name="常规 6 2 6 2 3 2 5" xfId="40480"/>
    <cellStyle name="常规 6 2 6 2 3 2 6" xfId="40481"/>
    <cellStyle name="常规 6 2 6 2 3 3" xfId="40482"/>
    <cellStyle name="常规 6 2 6 2 3 3 2" xfId="40483"/>
    <cellStyle name="常规 6 2 6 2 3 3 2 2" xfId="40484"/>
    <cellStyle name="常规 6 2 6 2 3 3 2 2 2" xfId="40485"/>
    <cellStyle name="常规 6 2 6 2 3 3 2 3" xfId="40486"/>
    <cellStyle name="常规 6 2 6 2 3 3 2 4" xfId="40487"/>
    <cellStyle name="常规 6 2 6 2 3 3 3" xfId="40488"/>
    <cellStyle name="常规 6 2 6 2 3 3 3 2" xfId="40489"/>
    <cellStyle name="常规 6 2 6 2 3 3 4" xfId="40490"/>
    <cellStyle name="常规 6 2 6 2 3 3 5" xfId="40491"/>
    <cellStyle name="常规 6 2 6 2 3 4" xfId="40492"/>
    <cellStyle name="常规 6 2 6 2 3 4 2" xfId="40493"/>
    <cellStyle name="常规 6 2 6 2 3 4 2 2" xfId="40494"/>
    <cellStyle name="常规 6 2 6 2 3 4 3" xfId="40495"/>
    <cellStyle name="常规 6 2 6 2 3 4 4" xfId="40496"/>
    <cellStyle name="常规 6 2 6 2 3 5" xfId="17131"/>
    <cellStyle name="常规 6 2 6 2 3 5 2" xfId="40497"/>
    <cellStyle name="常规 6 2 6 2 3 6" xfId="40498"/>
    <cellStyle name="常规 6 2 6 2 3 7" xfId="40499"/>
    <cellStyle name="常规 6 2 6 2 4" xfId="40501"/>
    <cellStyle name="常规 6 2 6 2 4 2" xfId="40502"/>
    <cellStyle name="常规 6 2 6 2 4 2 2" xfId="40503"/>
    <cellStyle name="常规 6 2 6 2 4 2 2 2" xfId="40504"/>
    <cellStyle name="常规 6 2 6 2 4 2 2 2 2" xfId="5623"/>
    <cellStyle name="常规 6 2 6 2 4 2 2 3" xfId="40505"/>
    <cellStyle name="常规 6 2 6 2 4 2 2 4" xfId="35840"/>
    <cellStyle name="常规 6 2 6 2 4 2 3" xfId="40506"/>
    <cellStyle name="常规 6 2 6 2 4 2 3 2" xfId="6589"/>
    <cellStyle name="常规 6 2 6 2 4 2 4" xfId="40507"/>
    <cellStyle name="常规 6 2 6 2 4 2 5" xfId="40508"/>
    <cellStyle name="常规 6 2 6 2 4 3" xfId="40509"/>
    <cellStyle name="常规 6 2 6 2 4 3 2" xfId="40510"/>
    <cellStyle name="常规 6 2 6 2 4 3 2 2" xfId="40511"/>
    <cellStyle name="常规 6 2 6 2 4 3 3" xfId="40512"/>
    <cellStyle name="常规 6 2 6 2 4 3 4" xfId="40513"/>
    <cellStyle name="常规 6 2 6 2 4 4" xfId="40514"/>
    <cellStyle name="常规 6 2 6 2 4 4 2" xfId="40515"/>
    <cellStyle name="常规 6 2 6 2 4 5" xfId="40516"/>
    <cellStyle name="常规 6 2 6 2 4 6" xfId="40517"/>
    <cellStyle name="常规 6 2 6 2 5" xfId="40518"/>
    <cellStyle name="常规 6 2 6 2 5 2" xfId="40519"/>
    <cellStyle name="常规 6 2 6 2 5 2 2" xfId="40520"/>
    <cellStyle name="常规 6 2 6 2 5 2 2 2" xfId="40521"/>
    <cellStyle name="常规 6 2 6 2 5 2 3" xfId="40522"/>
    <cellStyle name="常规 6 2 6 2 5 2 4" xfId="40523"/>
    <cellStyle name="常规 6 2 6 2 5 3" xfId="40524"/>
    <cellStyle name="常规 6 2 6 2 5 3 2" xfId="40525"/>
    <cellStyle name="常规 6 2 6 2 5 4" xfId="40526"/>
    <cellStyle name="常规 6 2 6 2 5 5" xfId="40527"/>
    <cellStyle name="常规 6 2 6 2 6" xfId="40528"/>
    <cellStyle name="常规 6 2 6 2 6 2" xfId="40529"/>
    <cellStyle name="常规 6 2 6 2 6 2 2" xfId="40530"/>
    <cellStyle name="常规 6 2 6 2 6 3" xfId="40531"/>
    <cellStyle name="常规 6 2 6 2 6 4" xfId="40532"/>
    <cellStyle name="常规 6 2 6 2 7" xfId="40533"/>
    <cellStyle name="常规 6 2 6 2 7 2" xfId="40534"/>
    <cellStyle name="常规 6 2 6 2 8" xfId="40535"/>
    <cellStyle name="常规 6 2 6 2 9" xfId="40536"/>
    <cellStyle name="常规 6 2 6 3" xfId="40538"/>
    <cellStyle name="常规 6 2 6 3 2" xfId="40540"/>
    <cellStyle name="常规 6 2 6 3 2 2" xfId="40541"/>
    <cellStyle name="常规 6 2 6 3 2 2 2" xfId="40542"/>
    <cellStyle name="常规 6 2 6 3 2 2 2 2" xfId="40543"/>
    <cellStyle name="常规 6 2 6 3 2 2 2 2 2" xfId="40544"/>
    <cellStyle name="常规 6 2 6 3 2 2 2 2 2 2" xfId="40545"/>
    <cellStyle name="常规 6 2 6 3 2 2 2 2 2 2 2" xfId="40546"/>
    <cellStyle name="常规 6 2 6 3 2 2 2 2 2 3" xfId="40547"/>
    <cellStyle name="常规 6 2 6 3 2 2 2 2 2 4" xfId="40548"/>
    <cellStyle name="常规 6 2 6 3 2 2 2 2 3" xfId="40549"/>
    <cellStyle name="常规 6 2 6 3 2 2 2 2 3 2" xfId="40550"/>
    <cellStyle name="常规 6 2 6 3 2 2 2 2 4" xfId="40551"/>
    <cellStyle name="常规 6 2 6 3 2 2 2 2 5" xfId="40552"/>
    <cellStyle name="常规 6 2 6 3 2 2 2 3" xfId="40553"/>
    <cellStyle name="常规 6 2 6 3 2 2 2 3 2" xfId="40554"/>
    <cellStyle name="常规 6 2 6 3 2 2 2 3 2 2" xfId="40555"/>
    <cellStyle name="常规 6 2 6 3 2 2 2 3 3" xfId="40556"/>
    <cellStyle name="常规 6 2 6 3 2 2 2 3 4" xfId="40557"/>
    <cellStyle name="常规 6 2 6 3 2 2 2 4" xfId="27136"/>
    <cellStyle name="常规 6 2 6 3 2 2 2 4 2" xfId="40558"/>
    <cellStyle name="常规 6 2 6 3 2 2 2 5" xfId="40559"/>
    <cellStyle name="常规 6 2 6 3 2 2 2 6" xfId="40560"/>
    <cellStyle name="常规 6 2 6 3 2 2 3" xfId="40561"/>
    <cellStyle name="常规 6 2 6 3 2 2 3 2" xfId="40562"/>
    <cellStyle name="常规 6 2 6 3 2 2 3 2 2" xfId="40563"/>
    <cellStyle name="常规 6 2 6 3 2 2 3 2 2 2" xfId="40564"/>
    <cellStyle name="常规 6 2 6 3 2 2 3 2 3" xfId="40565"/>
    <cellStyle name="常规 6 2 6 3 2 2 3 2 4" xfId="40566"/>
    <cellStyle name="常规 6 2 6 3 2 2 3 3" xfId="40567"/>
    <cellStyle name="常规 6 2 6 3 2 2 3 3 2" xfId="40568"/>
    <cellStyle name="常规 6 2 6 3 2 2 3 4" xfId="40569"/>
    <cellStyle name="常规 6 2 6 3 2 2 3 5" xfId="40570"/>
    <cellStyle name="常规 6 2 6 3 2 2 4" xfId="40571"/>
    <cellStyle name="常规 6 2 6 3 2 2 4 2" xfId="40572"/>
    <cellStyle name="常规 6 2 6 3 2 2 4 2 2" xfId="40573"/>
    <cellStyle name="常规 6 2 6 3 2 2 4 3" xfId="40574"/>
    <cellStyle name="常规 6 2 6 3 2 2 4 4" xfId="40575"/>
    <cellStyle name="常规 6 2 6 3 2 2 5" xfId="40576"/>
    <cellStyle name="常规 6 2 6 3 2 2 5 2" xfId="40577"/>
    <cellStyle name="常规 6 2 6 3 2 2 6" xfId="40578"/>
    <cellStyle name="常规 6 2 6 3 2 2 7" xfId="40579"/>
    <cellStyle name="常规 6 2 6 3 2 3" xfId="40580"/>
    <cellStyle name="常规 6 2 6 3 2 3 2" xfId="40581"/>
    <cellStyle name="常规 6 2 6 3 2 3 2 2" xfId="40582"/>
    <cellStyle name="常规 6 2 6 3 2 3 2 2 2" xfId="40583"/>
    <cellStyle name="常规 6 2 6 3 2 3 2 2 2 2" xfId="40584"/>
    <cellStyle name="常规 6 2 6 3 2 3 2 2 3" xfId="40585"/>
    <cellStyle name="常规 6 2 6 3 2 3 2 2 4" xfId="40586"/>
    <cellStyle name="常规 6 2 6 3 2 3 2 3" xfId="40587"/>
    <cellStyle name="常规 6 2 6 3 2 3 2 3 2" xfId="40588"/>
    <cellStyle name="常规 6 2 6 3 2 3 2 4" xfId="40589"/>
    <cellStyle name="常规 6 2 6 3 2 3 2 5" xfId="40590"/>
    <cellStyle name="常规 6 2 6 3 2 3 3" xfId="40591"/>
    <cellStyle name="常规 6 2 6 3 2 3 3 2" xfId="40592"/>
    <cellStyle name="常规 6 2 6 3 2 3 3 2 2" xfId="40593"/>
    <cellStyle name="常规 6 2 6 3 2 3 3 3" xfId="40594"/>
    <cellStyle name="常规 6 2 6 3 2 3 3 4" xfId="40595"/>
    <cellStyle name="常规 6 2 6 3 2 3 4" xfId="40596"/>
    <cellStyle name="常规 6 2 6 3 2 3 4 2" xfId="40597"/>
    <cellStyle name="常规 6 2 6 3 2 3 5" xfId="40598"/>
    <cellStyle name="常规 6 2 6 3 2 3 6" xfId="40599"/>
    <cellStyle name="常规 6 2 6 3 2 4" xfId="40600"/>
    <cellStyle name="常规 6 2 6 3 2 4 2" xfId="40601"/>
    <cellStyle name="常规 6 2 6 3 2 4 2 2" xfId="40602"/>
    <cellStyle name="常规 6 2 6 3 2 4 2 2 2" xfId="40603"/>
    <cellStyle name="常规 6 2 6 3 2 4 2 3" xfId="40604"/>
    <cellStyle name="常规 6 2 6 3 2 4 2 4" xfId="40605"/>
    <cellStyle name="常规 6 2 6 3 2 4 3" xfId="40606"/>
    <cellStyle name="常规 6 2 6 3 2 4 3 2" xfId="40607"/>
    <cellStyle name="常规 6 2 6 3 2 4 4" xfId="40608"/>
    <cellStyle name="常规 6 2 6 3 2 4 5" xfId="40609"/>
    <cellStyle name="常规 6 2 6 3 2 5" xfId="40610"/>
    <cellStyle name="常规 6 2 6 3 2 5 2" xfId="40611"/>
    <cellStyle name="常规 6 2 6 3 2 5 2 2" xfId="40612"/>
    <cellStyle name="常规 6 2 6 3 2 5 3" xfId="40613"/>
    <cellStyle name="常规 6 2 6 3 2 5 4" xfId="40614"/>
    <cellStyle name="常规 6 2 6 3 2 6" xfId="40615"/>
    <cellStyle name="常规 6 2 6 3 2 6 2" xfId="40616"/>
    <cellStyle name="常规 6 2 6 3 2 7" xfId="40617"/>
    <cellStyle name="常规 6 2 6 3 2 8" xfId="40618"/>
    <cellStyle name="常规 6 2 6 3 3" xfId="40620"/>
    <cellStyle name="常规 6 2 6 3 3 2" xfId="40621"/>
    <cellStyle name="常规 6 2 6 3 3 2 2" xfId="40622"/>
    <cellStyle name="常规 6 2 6 3 3 2 2 2" xfId="40623"/>
    <cellStyle name="常规 6 2 6 3 3 2 2 2 2" xfId="40624"/>
    <cellStyle name="常规 6 2 6 3 3 2 2 2 2 2" xfId="40625"/>
    <cellStyle name="常规 6 2 6 3 3 2 2 2 3" xfId="40626"/>
    <cellStyle name="常规 6 2 6 3 3 2 2 2 4" xfId="40627"/>
    <cellStyle name="常规 6 2 6 3 3 2 2 3" xfId="40628"/>
    <cellStyle name="常规 6 2 6 3 3 2 2 3 2" xfId="40629"/>
    <cellStyle name="常规 6 2 6 3 3 2 2 4" xfId="40630"/>
    <cellStyle name="常规 6 2 6 3 3 2 2 5" xfId="40631"/>
    <cellStyle name="常规 6 2 6 3 3 2 3" xfId="40632"/>
    <cellStyle name="常规 6 2 6 3 3 2 3 2" xfId="40633"/>
    <cellStyle name="常规 6 2 6 3 3 2 3 2 2" xfId="40634"/>
    <cellStyle name="常规 6 2 6 3 3 2 3 3" xfId="40635"/>
    <cellStyle name="常规 6 2 6 3 3 2 3 4" xfId="40636"/>
    <cellStyle name="常规 6 2 6 3 3 2 4" xfId="40637"/>
    <cellStyle name="常规 6 2 6 3 3 2 4 2" xfId="40638"/>
    <cellStyle name="常规 6 2 6 3 3 2 5" xfId="40639"/>
    <cellStyle name="常规 6 2 6 3 3 2 6" xfId="40640"/>
    <cellStyle name="常规 6 2 6 3 3 3" xfId="40641"/>
    <cellStyle name="常规 6 2 6 3 3 3 2" xfId="40642"/>
    <cellStyle name="常规 6 2 6 3 3 3 2 2" xfId="40643"/>
    <cellStyle name="常规 6 2 6 3 3 3 2 2 2" xfId="40644"/>
    <cellStyle name="常规 6 2 6 3 3 3 2 3" xfId="40645"/>
    <cellStyle name="常规 6 2 6 3 3 3 2 4" xfId="40646"/>
    <cellStyle name="常规 6 2 6 3 3 3 3" xfId="40647"/>
    <cellStyle name="常规 6 2 6 3 3 3 3 2" xfId="40648"/>
    <cellStyle name="常规 6 2 6 3 3 3 4" xfId="40649"/>
    <cellStyle name="常规 6 2 6 3 3 3 5" xfId="40650"/>
    <cellStyle name="常规 6 2 6 3 3 4" xfId="40651"/>
    <cellStyle name="常规 6 2 6 3 3 4 2" xfId="40652"/>
    <cellStyle name="常规 6 2 6 3 3 4 2 2" xfId="40653"/>
    <cellStyle name="常规 6 2 6 3 3 4 3" xfId="40654"/>
    <cellStyle name="常规 6 2 6 3 3 4 4" xfId="40655"/>
    <cellStyle name="常规 6 2 6 3 3 5" xfId="40656"/>
    <cellStyle name="常规 6 2 6 3 3 5 2" xfId="40657"/>
    <cellStyle name="常规 6 2 6 3 3 6" xfId="40658"/>
    <cellStyle name="常规 6 2 6 3 3 7" xfId="40659"/>
    <cellStyle name="常规 6 2 6 3 4" xfId="40660"/>
    <cellStyle name="常规 6 2 6 3 4 2" xfId="40661"/>
    <cellStyle name="常规 6 2 6 3 4 2 2" xfId="40662"/>
    <cellStyle name="常规 6 2 6 3 4 2 2 2" xfId="40663"/>
    <cellStyle name="常规 6 2 6 3 4 2 2 2 2" xfId="40664"/>
    <cellStyle name="常规 6 2 6 3 4 2 2 3" xfId="40665"/>
    <cellStyle name="常规 6 2 6 3 4 2 2 4" xfId="40666"/>
    <cellStyle name="常规 6 2 6 3 4 2 3" xfId="40667"/>
    <cellStyle name="常规 6 2 6 3 4 2 3 2" xfId="40668"/>
    <cellStyle name="常规 6 2 6 3 4 2 4" xfId="40669"/>
    <cellStyle name="常规 6 2 6 3 4 2 5" xfId="40670"/>
    <cellStyle name="常规 6 2 6 3 4 3" xfId="40671"/>
    <cellStyle name="常规 6 2 6 3 4 3 2" xfId="40672"/>
    <cellStyle name="常规 6 2 6 3 4 3 2 2" xfId="40673"/>
    <cellStyle name="常规 6 2 6 3 4 3 3" xfId="40674"/>
    <cellStyle name="常规 6 2 6 3 4 3 4" xfId="40675"/>
    <cellStyle name="常规 6 2 6 3 4 4" xfId="40676"/>
    <cellStyle name="常规 6 2 6 3 4 4 2" xfId="40677"/>
    <cellStyle name="常规 6 2 6 3 4 5" xfId="40678"/>
    <cellStyle name="常规 6 2 6 3 4 6" xfId="40679"/>
    <cellStyle name="常规 6 2 6 3 5" xfId="40680"/>
    <cellStyle name="常规 6 2 6 3 5 2" xfId="40681"/>
    <cellStyle name="常规 6 2 6 3 5 2 2" xfId="40682"/>
    <cellStyle name="常规 6 2 6 3 5 2 2 2" xfId="40683"/>
    <cellStyle name="常规 6 2 6 3 5 2 3" xfId="40684"/>
    <cellStyle name="常规 6 2 6 3 5 2 4" xfId="40685"/>
    <cellStyle name="常规 6 2 6 3 5 3" xfId="40686"/>
    <cellStyle name="常规 6 2 6 3 5 3 2" xfId="40687"/>
    <cellStyle name="常规 6 2 6 3 5 4" xfId="40688"/>
    <cellStyle name="常规 6 2 6 3 5 5" xfId="40689"/>
    <cellStyle name="常规 6 2 6 3 6" xfId="40690"/>
    <cellStyle name="常规 6 2 6 3 6 2" xfId="40691"/>
    <cellStyle name="常规 6 2 6 3 6 2 2" xfId="40692"/>
    <cellStyle name="常规 6 2 6 3 6 3" xfId="40693"/>
    <cellStyle name="常规 6 2 6 3 6 4" xfId="40694"/>
    <cellStyle name="常规 6 2 6 3 7" xfId="40695"/>
    <cellStyle name="常规 6 2 6 3 7 2" xfId="40696"/>
    <cellStyle name="常规 6 2 6 3 8" xfId="40697"/>
    <cellStyle name="常规 6 2 6 3 9" xfId="40698"/>
    <cellStyle name="常规 6 2 6 4" xfId="40700"/>
    <cellStyle name="常规 6 2 6 4 2" xfId="40701"/>
    <cellStyle name="常规 6 2 6 4 2 2" xfId="40702"/>
    <cellStyle name="常规 6 2 6 4 2 2 2" xfId="40703"/>
    <cellStyle name="常规 6 2 6 4 2 2 2 2" xfId="40704"/>
    <cellStyle name="常规 6 2 6 4 2 2 2 2 2" xfId="29493"/>
    <cellStyle name="常规 6 2 6 4 2 2 2 2 2 2" xfId="40705"/>
    <cellStyle name="常规 6 2 6 4 2 2 2 2 3" xfId="34743"/>
    <cellStyle name="常规 6 2 6 4 2 2 2 2 4" xfId="40706"/>
    <cellStyle name="常规 6 2 6 4 2 2 2 3" xfId="40707"/>
    <cellStyle name="常规 6 2 6 4 2 2 2 3 2" xfId="32104"/>
    <cellStyle name="常规 6 2 6 4 2 2 2 4" xfId="40708"/>
    <cellStyle name="常规 6 2 6 4 2 2 2 5" xfId="40709"/>
    <cellStyle name="常规 6 2 6 4 2 2 3" xfId="40710"/>
    <cellStyle name="常规 6 2 6 4 2 2 3 2" xfId="40711"/>
    <cellStyle name="常规 6 2 6 4 2 2 3 2 2" xfId="34748"/>
    <cellStyle name="常规 6 2 6 4 2 2 3 3" xfId="40712"/>
    <cellStyle name="常规 6 2 6 4 2 2 3 4" xfId="40713"/>
    <cellStyle name="常规 6 2 6 4 2 2 4" xfId="40714"/>
    <cellStyle name="常规 6 2 6 4 2 2 4 2" xfId="40715"/>
    <cellStyle name="常规 6 2 6 4 2 2 5" xfId="40716"/>
    <cellStyle name="常规 6 2 6 4 2 2 6" xfId="40717"/>
    <cellStyle name="常规 6 2 6 4 2 3" xfId="40718"/>
    <cellStyle name="常规 6 2 6 4 2 3 2" xfId="40719"/>
    <cellStyle name="常规 6 2 6 4 2 3 2 2" xfId="40720"/>
    <cellStyle name="常规 6 2 6 4 2 3 2 2 2" xfId="30916"/>
    <cellStyle name="常规 6 2 6 4 2 3 2 3" xfId="40721"/>
    <cellStyle name="常规 6 2 6 4 2 3 2 4" xfId="40722"/>
    <cellStyle name="常规 6 2 6 4 2 3 3" xfId="40723"/>
    <cellStyle name="常规 6 2 6 4 2 3 3 2" xfId="40724"/>
    <cellStyle name="常规 6 2 6 4 2 3 4" xfId="40725"/>
    <cellStyle name="常规 6 2 6 4 2 3 5" xfId="40726"/>
    <cellStyle name="常规 6 2 6 4 2 4" xfId="40727"/>
    <cellStyle name="常规 6 2 6 4 2 4 2" xfId="40728"/>
    <cellStyle name="常规 6 2 6 4 2 4 2 2" xfId="40729"/>
    <cellStyle name="常规 6 2 6 4 2 4 3" xfId="40730"/>
    <cellStyle name="常规 6 2 6 4 2 4 4" xfId="40731"/>
    <cellStyle name="常规 6 2 6 4 2 5" xfId="40732"/>
    <cellStyle name="常规 6 2 6 4 2 5 2" xfId="40733"/>
    <cellStyle name="常规 6 2 6 4 2 6" xfId="40734"/>
    <cellStyle name="常规 6 2 6 4 2 7" xfId="40735"/>
    <cellStyle name="常规 6 2 6 4 3" xfId="40736"/>
    <cellStyle name="常规 6 2 6 4 3 2" xfId="40737"/>
    <cellStyle name="常规 6 2 6 4 3 2 2" xfId="40738"/>
    <cellStyle name="常规 6 2 6 4 3 2 2 2" xfId="40739"/>
    <cellStyle name="常规 6 2 6 4 3 2 2 2 2" xfId="40740"/>
    <cellStyle name="常规 6 2 6 4 3 2 2 3" xfId="40741"/>
    <cellStyle name="常规 6 2 6 4 3 2 2 4" xfId="40742"/>
    <cellStyle name="常规 6 2 6 4 3 2 3" xfId="40743"/>
    <cellStyle name="常规 6 2 6 4 3 2 3 2" xfId="40744"/>
    <cellStyle name="常规 6 2 6 4 3 2 4" xfId="40745"/>
    <cellStyle name="常规 6 2 6 4 3 2 5" xfId="40746"/>
    <cellStyle name="常规 6 2 6 4 3 3" xfId="40747"/>
    <cellStyle name="常规 6 2 6 4 3 3 2" xfId="40748"/>
    <cellStyle name="常规 6 2 6 4 3 3 2 2" xfId="40749"/>
    <cellStyle name="常规 6 2 6 4 3 3 3" xfId="40750"/>
    <cellStyle name="常规 6 2 6 4 3 3 4" xfId="40751"/>
    <cellStyle name="常规 6 2 6 4 3 4" xfId="40752"/>
    <cellStyle name="常规 6 2 6 4 3 4 2" xfId="40753"/>
    <cellStyle name="常规 6 2 6 4 3 5" xfId="40754"/>
    <cellStyle name="常规 6 2 6 4 3 6" xfId="40755"/>
    <cellStyle name="常规 6 2 6 4 4" xfId="40756"/>
    <cellStyle name="常规 6 2 6 4 4 2" xfId="40757"/>
    <cellStyle name="常规 6 2 6 4 4 2 2" xfId="40758"/>
    <cellStyle name="常规 6 2 6 4 4 2 2 2" xfId="40759"/>
    <cellStyle name="常规 6 2 6 4 4 2 3" xfId="40760"/>
    <cellStyle name="常规 6 2 6 4 4 2 4" xfId="40761"/>
    <cellStyle name="常规 6 2 6 4 4 3" xfId="40762"/>
    <cellStyle name="常规 6 2 6 4 4 3 2" xfId="40763"/>
    <cellStyle name="常规 6 2 6 4 4 4" xfId="40764"/>
    <cellStyle name="常规 6 2 6 4 4 5" xfId="40765"/>
    <cellStyle name="常规 6 2 6 4 5" xfId="40766"/>
    <cellStyle name="常规 6 2 6 4 5 2" xfId="40767"/>
    <cellStyle name="常规 6 2 6 4 5 2 2" xfId="40768"/>
    <cellStyle name="常规 6 2 6 4 5 3" xfId="40769"/>
    <cellStyle name="常规 6 2 6 4 5 4" xfId="40770"/>
    <cellStyle name="常规 6 2 6 4 6" xfId="40771"/>
    <cellStyle name="常规 6 2 6 4 6 2" xfId="40772"/>
    <cellStyle name="常规 6 2 6 4 7" xfId="40773"/>
    <cellStyle name="常规 6 2 6 4 8" xfId="40774"/>
    <cellStyle name="常规 6 2 6 5" xfId="40776"/>
    <cellStyle name="常规 6 2 6 5 2" xfId="40777"/>
    <cellStyle name="常规 6 2 6 5 2 2" xfId="40778"/>
    <cellStyle name="常规 6 2 6 5 2 2 2" xfId="40779"/>
    <cellStyle name="常规 6 2 6 5 2 2 2 2" xfId="40780"/>
    <cellStyle name="常规 6 2 6 5 2 2 2 2 2" xfId="40782"/>
    <cellStyle name="常规 6 2 6 5 2 2 2 3" xfId="40783"/>
    <cellStyle name="常规 6 2 6 5 2 2 2 4" xfId="40784"/>
    <cellStyle name="常规 6 2 6 5 2 2 3" xfId="40785"/>
    <cellStyle name="常规 6 2 6 5 2 2 3 2" xfId="29851"/>
    <cellStyle name="常规 6 2 6 5 2 2 4" xfId="40786"/>
    <cellStyle name="常规 6 2 6 5 2 2 5" xfId="40787"/>
    <cellStyle name="常规 6 2 6 5 2 3" xfId="40788"/>
    <cellStyle name="常规 6 2 6 5 2 3 2" xfId="40789"/>
    <cellStyle name="常规 6 2 6 5 2 3 2 2" xfId="40790"/>
    <cellStyle name="常规 6 2 6 5 2 3 3" xfId="40791"/>
    <cellStyle name="常规 6 2 6 5 2 3 4" xfId="40792"/>
    <cellStyle name="常规 6 2 6 5 2 4" xfId="40793"/>
    <cellStyle name="常规 6 2 6 5 2 4 2" xfId="40794"/>
    <cellStyle name="常规 6 2 6 5 2 5" xfId="40795"/>
    <cellStyle name="常规 6 2 6 5 2 6" xfId="40796"/>
    <cellStyle name="常规 6 2 6 5 3" xfId="40797"/>
    <cellStyle name="常规 6 2 6 5 3 2" xfId="40798"/>
    <cellStyle name="常规 6 2 6 5 3 2 2" xfId="40799"/>
    <cellStyle name="常规 6 2 6 5 3 2 2 2" xfId="40800"/>
    <cellStyle name="常规 6 2 6 5 3 2 3" xfId="40801"/>
    <cellStyle name="常规 6 2 6 5 3 2 4" xfId="40802"/>
    <cellStyle name="常规 6 2 6 5 3 3" xfId="40803"/>
    <cellStyle name="常规 6 2 6 5 3 3 2" xfId="40804"/>
    <cellStyle name="常规 6 2 6 5 3 4" xfId="40805"/>
    <cellStyle name="常规 6 2 6 5 3 5" xfId="40806"/>
    <cellStyle name="常规 6 2 6 5 4" xfId="40807"/>
    <cellStyle name="常规 6 2 6 5 4 2" xfId="40808"/>
    <cellStyle name="常规 6 2 6 5 4 2 2" xfId="40809"/>
    <cellStyle name="常规 6 2 6 5 4 3" xfId="40810"/>
    <cellStyle name="常规 6 2 6 5 4 4" xfId="40811"/>
    <cellStyle name="常规 6 2 6 5 5" xfId="8890"/>
    <cellStyle name="常规 6 2 6 5 5 2" xfId="40812"/>
    <cellStyle name="常规 6 2 6 5 6" xfId="40813"/>
    <cellStyle name="常规 6 2 6 5 7" xfId="40814"/>
    <cellStyle name="常规 6 2 6 6" xfId="40815"/>
    <cellStyle name="常规 6 2 6 6 2" xfId="40816"/>
    <cellStyle name="常规 6 2 6 6 2 2" xfId="40817"/>
    <cellStyle name="常规 6 2 6 6 2 2 2" xfId="40818"/>
    <cellStyle name="常规 6 2 6 6 2 2 2 2" xfId="25082"/>
    <cellStyle name="常规 6 2 6 6 2 2 3" xfId="40819"/>
    <cellStyle name="常规 6 2 6 6 2 2 4" xfId="40820"/>
    <cellStyle name="常规 6 2 6 6 2 3" xfId="40821"/>
    <cellStyle name="常规 6 2 6 6 2 3 2" xfId="40822"/>
    <cellStyle name="常规 6 2 6 6 2 4" xfId="5045"/>
    <cellStyle name="常规 6 2 6 6 2 5" xfId="5048"/>
    <cellStyle name="常规 6 2 6 6 3" xfId="40823"/>
    <cellStyle name="常规 6 2 6 6 3 2" xfId="40824"/>
    <cellStyle name="常规 6 2 6 6 3 2 2" xfId="40825"/>
    <cellStyle name="常规 6 2 6 6 3 3" xfId="40826"/>
    <cellStyle name="常规 6 2 6 6 3 4" xfId="5064"/>
    <cellStyle name="常规 6 2 6 6 4" xfId="40827"/>
    <cellStyle name="常规 6 2 6 6 4 2" xfId="40828"/>
    <cellStyle name="常规 6 2 6 6 5" xfId="40829"/>
    <cellStyle name="常规 6 2 6 6 6" xfId="40830"/>
    <cellStyle name="常规 6 2 6 7" xfId="40831"/>
    <cellStyle name="常规 6 2 6 7 2" xfId="40832"/>
    <cellStyle name="常规 6 2 6 7 2 2" xfId="40833"/>
    <cellStyle name="常规 6 2 6 7 2 2 2" xfId="40834"/>
    <cellStyle name="常规 6 2 6 7 2 3" xfId="40835"/>
    <cellStyle name="常规 6 2 6 7 2 4" xfId="5094"/>
    <cellStyle name="常规 6 2 6 7 3" xfId="40836"/>
    <cellStyle name="常规 6 2 6 7 3 2" xfId="40837"/>
    <cellStyle name="常规 6 2 6 7 4" xfId="40838"/>
    <cellStyle name="常规 6 2 6 7 5" xfId="40839"/>
    <cellStyle name="常规 6 2 6 8" xfId="40840"/>
    <cellStyle name="常规 6 2 6 8 2" xfId="19891"/>
    <cellStyle name="常规 6 2 6 8 2 2" xfId="28575"/>
    <cellStyle name="常规 6 2 6 8 3" xfId="28585"/>
    <cellStyle name="常规 6 2 6 8 4" xfId="28590"/>
    <cellStyle name="常规 6 2 6 9" xfId="40841"/>
    <cellStyle name="常规 6 2 6 9 2" xfId="28617"/>
    <cellStyle name="常规 6 2 7" xfId="40842"/>
    <cellStyle name="常规 6 2 7 10" xfId="40843"/>
    <cellStyle name="常规 6 2 7 2" xfId="40845"/>
    <cellStyle name="常规 6 2 7 2 2" xfId="40847"/>
    <cellStyle name="常规 6 2 7 2 2 2" xfId="40848"/>
    <cellStyle name="常规 6 2 7 2 2 2 2" xfId="40849"/>
    <cellStyle name="常规 6 2 7 2 2 2 2 2" xfId="40850"/>
    <cellStyle name="常规 6 2 7 2 2 2 2 2 2" xfId="40851"/>
    <cellStyle name="常规 6 2 7 2 2 2 2 2 2 2" xfId="40852"/>
    <cellStyle name="常规 6 2 7 2 2 2 2 2 2 2 2" xfId="40853"/>
    <cellStyle name="常规 6 2 7 2 2 2 2 2 2 3" xfId="40854"/>
    <cellStyle name="常规 6 2 7 2 2 2 2 2 2 4" xfId="40855"/>
    <cellStyle name="常规 6 2 7 2 2 2 2 2 3" xfId="40856"/>
    <cellStyle name="常规 6 2 7 2 2 2 2 2 3 2" xfId="40857"/>
    <cellStyle name="常规 6 2 7 2 2 2 2 2 4" xfId="29470"/>
    <cellStyle name="常规 6 2 7 2 2 2 2 2 5" xfId="40858"/>
    <cellStyle name="常规 6 2 7 2 2 2 2 3" xfId="40859"/>
    <cellStyle name="常规 6 2 7 2 2 2 2 3 2" xfId="40860"/>
    <cellStyle name="常规 6 2 7 2 2 2 2 3 2 2" xfId="40861"/>
    <cellStyle name="常规 6 2 7 2 2 2 2 3 3" xfId="40862"/>
    <cellStyle name="常规 6 2 7 2 2 2 2 3 4" xfId="40863"/>
    <cellStyle name="常规 6 2 7 2 2 2 2 4" xfId="10907"/>
    <cellStyle name="常规 6 2 7 2 2 2 2 4 2" xfId="40864"/>
    <cellStyle name="常规 6 2 7 2 2 2 2 5" xfId="40865"/>
    <cellStyle name="常规 6 2 7 2 2 2 2 6" xfId="40866"/>
    <cellStyle name="常规 6 2 7 2 2 2 3" xfId="40867"/>
    <cellStyle name="常规 6 2 7 2 2 2 3 2" xfId="40868"/>
    <cellStyle name="常规 6 2 7 2 2 2 3 2 2" xfId="40869"/>
    <cellStyle name="常规 6 2 7 2 2 2 3 2 2 2" xfId="40870"/>
    <cellStyle name="常规 6 2 7 2 2 2 3 2 3" xfId="40871"/>
    <cellStyle name="常规 6 2 7 2 2 2 3 2 4" xfId="40872"/>
    <cellStyle name="常规 6 2 7 2 2 2 3 3" xfId="40873"/>
    <cellStyle name="常规 6 2 7 2 2 2 3 3 2" xfId="40874"/>
    <cellStyle name="常规 6 2 7 2 2 2 3 4" xfId="40875"/>
    <cellStyle name="常规 6 2 7 2 2 2 3 5" xfId="40876"/>
    <cellStyle name="常规 6 2 7 2 2 2 4" xfId="30223"/>
    <cellStyle name="常规 6 2 7 2 2 2 4 2" xfId="30225"/>
    <cellStyle name="常规 6 2 7 2 2 2 4 2 2" xfId="4072"/>
    <cellStyle name="常规 6 2 7 2 2 2 4 3" xfId="30227"/>
    <cellStyle name="常规 6 2 7 2 2 2 4 4" xfId="30229"/>
    <cellStyle name="常规 6 2 7 2 2 2 5" xfId="30231"/>
    <cellStyle name="常规 6 2 7 2 2 2 5 2" xfId="30233"/>
    <cellStyle name="常规 6 2 7 2 2 2 6" xfId="30235"/>
    <cellStyle name="常规 6 2 7 2 2 2 7" xfId="30237"/>
    <cellStyle name="常规 6 2 7 2 2 3" xfId="40877"/>
    <cellStyle name="常规 6 2 7 2 2 3 2" xfId="40878"/>
    <cellStyle name="常规 6 2 7 2 2 3 2 2" xfId="40879"/>
    <cellStyle name="常规 6 2 7 2 2 3 2 2 2" xfId="40880"/>
    <cellStyle name="常规 6 2 7 2 2 3 2 2 2 2" xfId="40881"/>
    <cellStyle name="常规 6 2 7 2 2 3 2 2 3" xfId="40882"/>
    <cellStyle name="常规 6 2 7 2 2 3 2 2 4" xfId="40883"/>
    <cellStyle name="常规 6 2 7 2 2 3 2 3" xfId="40884"/>
    <cellStyle name="常规 6 2 7 2 2 3 2 3 2" xfId="40885"/>
    <cellStyle name="常规 6 2 7 2 2 3 2 4" xfId="40886"/>
    <cellStyle name="常规 6 2 7 2 2 3 2 5" xfId="40887"/>
    <cellStyle name="常规 6 2 7 2 2 3 3" xfId="40888"/>
    <cellStyle name="常规 6 2 7 2 2 3 3 2" xfId="40889"/>
    <cellStyle name="常规 6 2 7 2 2 3 3 2 2" xfId="40890"/>
    <cellStyle name="常规 6 2 7 2 2 3 3 3" xfId="40891"/>
    <cellStyle name="常规 6 2 7 2 2 3 3 4" xfId="40892"/>
    <cellStyle name="常规 6 2 7 2 2 3 4" xfId="17298"/>
    <cellStyle name="常规 6 2 7 2 2 3 4 2" xfId="30240"/>
    <cellStyle name="常规 6 2 7 2 2 3 5" xfId="30242"/>
    <cellStyle name="常规 6 2 7 2 2 3 6" xfId="30246"/>
    <cellStyle name="常规 6 2 7 2 2 4" xfId="40893"/>
    <cellStyle name="常规 6 2 7 2 2 4 2" xfId="40894"/>
    <cellStyle name="常规 6 2 7 2 2 4 2 2" xfId="40895"/>
    <cellStyle name="常规 6 2 7 2 2 4 2 2 2" xfId="40896"/>
    <cellStyle name="常规 6 2 7 2 2 4 2 3" xfId="40897"/>
    <cellStyle name="常规 6 2 7 2 2 4 2 4" xfId="40898"/>
    <cellStyle name="常规 6 2 7 2 2 4 3" xfId="40899"/>
    <cellStyle name="常规 6 2 7 2 2 4 3 2" xfId="40900"/>
    <cellStyle name="常规 6 2 7 2 2 4 4" xfId="30249"/>
    <cellStyle name="常规 6 2 7 2 2 4 5" xfId="40901"/>
    <cellStyle name="常规 6 2 7 2 2 5" xfId="40902"/>
    <cellStyle name="常规 6 2 7 2 2 5 2" xfId="40903"/>
    <cellStyle name="常规 6 2 7 2 2 5 2 2" xfId="40904"/>
    <cellStyle name="常规 6 2 7 2 2 5 3" xfId="40905"/>
    <cellStyle name="常规 6 2 7 2 2 5 4" xfId="40906"/>
    <cellStyle name="常规 6 2 7 2 2 6" xfId="40907"/>
    <cellStyle name="常规 6 2 7 2 2 6 2" xfId="40908"/>
    <cellStyle name="常规 6 2 7 2 2 7" xfId="40909"/>
    <cellStyle name="常规 6 2 7 2 2 8" xfId="40910"/>
    <cellStyle name="常规 6 2 7 2 3" xfId="40911"/>
    <cellStyle name="常规 6 2 7 2 3 2" xfId="40912"/>
    <cellStyle name="常规 6 2 7 2 3 2 2" xfId="40913"/>
    <cellStyle name="常规 6 2 7 2 3 2 2 2" xfId="40914"/>
    <cellStyle name="常规 6 2 7 2 3 2 2 2 2" xfId="40915"/>
    <cellStyle name="常规 6 2 7 2 3 2 2 2 2 2" xfId="40916"/>
    <cellStyle name="常规 6 2 7 2 3 2 2 2 3" xfId="40917"/>
    <cellStyle name="常规 6 2 7 2 3 2 2 2 4" xfId="40918"/>
    <cellStyle name="常规 6 2 7 2 3 2 2 3" xfId="40919"/>
    <cellStyle name="常规 6 2 7 2 3 2 2 3 2" xfId="40920"/>
    <cellStyle name="常规 6 2 7 2 3 2 2 4" xfId="40921"/>
    <cellStyle name="常规 6 2 7 2 3 2 2 5" xfId="40922"/>
    <cellStyle name="常规 6 2 7 2 3 2 3" xfId="40923"/>
    <cellStyle name="常规 6 2 7 2 3 2 3 2" xfId="40924"/>
    <cellStyle name="常规 6 2 7 2 3 2 3 2 2" xfId="40925"/>
    <cellStyle name="常规 6 2 7 2 3 2 3 3" xfId="40926"/>
    <cellStyle name="常规 6 2 7 2 3 2 3 4" xfId="34778"/>
    <cellStyle name="常规 6 2 7 2 3 2 4" xfId="30266"/>
    <cellStyle name="常规 6 2 7 2 3 2 4 2" xfId="30268"/>
    <cellStyle name="常规 6 2 7 2 3 2 5" xfId="30270"/>
    <cellStyle name="常规 6 2 7 2 3 2 6" xfId="30272"/>
    <cellStyle name="常规 6 2 7 2 3 3" xfId="40927"/>
    <cellStyle name="常规 6 2 7 2 3 3 2" xfId="40928"/>
    <cellStyle name="常规 6 2 7 2 3 3 2 2" xfId="40929"/>
    <cellStyle name="常规 6 2 7 2 3 3 2 2 2" xfId="40930"/>
    <cellStyle name="常规 6 2 7 2 3 3 2 3" xfId="5051"/>
    <cellStyle name="常规 6 2 7 2 3 3 2 4" xfId="40931"/>
    <cellStyle name="常规 6 2 7 2 3 3 3" xfId="40932"/>
    <cellStyle name="常规 6 2 7 2 3 3 3 2" xfId="40933"/>
    <cellStyle name="常规 6 2 7 2 3 3 4" xfId="30275"/>
    <cellStyle name="常规 6 2 7 2 3 3 5" xfId="40934"/>
    <cellStyle name="常规 6 2 7 2 3 4" xfId="40935"/>
    <cellStyle name="常规 6 2 7 2 3 4 2" xfId="40936"/>
    <cellStyle name="常规 6 2 7 2 3 4 2 2" xfId="40937"/>
    <cellStyle name="常规 6 2 7 2 3 4 3" xfId="40938"/>
    <cellStyle name="常规 6 2 7 2 3 4 4" xfId="40939"/>
    <cellStyle name="常规 6 2 7 2 3 5" xfId="40940"/>
    <cellStyle name="常规 6 2 7 2 3 5 2" xfId="40941"/>
    <cellStyle name="常规 6 2 7 2 3 6" xfId="40942"/>
    <cellStyle name="常规 6 2 7 2 3 7" xfId="40943"/>
    <cellStyle name="常规 6 2 7 2 4" xfId="40944"/>
    <cellStyle name="常规 6 2 7 2 4 2" xfId="40945"/>
    <cellStyle name="常规 6 2 7 2 4 2 2" xfId="40946"/>
    <cellStyle name="常规 6 2 7 2 4 2 2 2" xfId="40947"/>
    <cellStyle name="常规 6 2 7 2 4 2 2 2 2" xfId="40948"/>
    <cellStyle name="常规 6 2 7 2 4 2 2 3" xfId="40949"/>
    <cellStyle name="常规 6 2 7 2 4 2 2 4" xfId="40950"/>
    <cellStyle name="常规 6 2 7 2 4 2 3" xfId="40951"/>
    <cellStyle name="常规 6 2 7 2 4 2 3 2" xfId="40952"/>
    <cellStyle name="常规 6 2 7 2 4 2 4" xfId="30285"/>
    <cellStyle name="常规 6 2 7 2 4 2 5" xfId="40953"/>
    <cellStyle name="常规 6 2 7 2 4 3" xfId="40954"/>
    <cellStyle name="常规 6 2 7 2 4 3 2" xfId="40955"/>
    <cellStyle name="常规 6 2 7 2 4 3 2 2" xfId="40956"/>
    <cellStyle name="常规 6 2 7 2 4 3 3" xfId="40957"/>
    <cellStyle name="常规 6 2 7 2 4 3 4" xfId="40958"/>
    <cellStyle name="常规 6 2 7 2 4 4" xfId="40959"/>
    <cellStyle name="常规 6 2 7 2 4 4 2" xfId="40960"/>
    <cellStyle name="常规 6 2 7 2 4 5" xfId="40961"/>
    <cellStyle name="常规 6 2 7 2 4 6" xfId="40962"/>
    <cellStyle name="常规 6 2 7 2 5" xfId="40963"/>
    <cellStyle name="常规 6 2 7 2 5 2" xfId="40964"/>
    <cellStyle name="常规 6 2 7 2 5 2 2" xfId="40965"/>
    <cellStyle name="常规 6 2 7 2 5 2 2 2" xfId="40966"/>
    <cellStyle name="常规 6 2 7 2 5 2 3" xfId="40967"/>
    <cellStyle name="常规 6 2 7 2 5 2 4" xfId="40968"/>
    <cellStyle name="常规 6 2 7 2 5 3" xfId="40969"/>
    <cellStyle name="常规 6 2 7 2 5 3 2" xfId="40970"/>
    <cellStyle name="常规 6 2 7 2 5 4" xfId="40971"/>
    <cellStyle name="常规 6 2 7 2 5 5" xfId="40972"/>
    <cellStyle name="常规 6 2 7 2 6" xfId="40973"/>
    <cellStyle name="常规 6 2 7 2 6 2" xfId="40974"/>
    <cellStyle name="常规 6 2 7 2 6 2 2" xfId="40975"/>
    <cellStyle name="常规 6 2 7 2 6 3" xfId="40976"/>
    <cellStyle name="常规 6 2 7 2 6 4" xfId="40977"/>
    <cellStyle name="常规 6 2 7 2 7" xfId="40978"/>
    <cellStyle name="常规 6 2 7 2 7 2" xfId="40979"/>
    <cellStyle name="常规 6 2 7 2 8" xfId="40980"/>
    <cellStyle name="常规 6 2 7 2 9" xfId="40981"/>
    <cellStyle name="常规 6 2 7 3" xfId="40984"/>
    <cellStyle name="常规 6 2 7 3 2" xfId="40986"/>
    <cellStyle name="常规 6 2 7 3 2 2" xfId="40987"/>
    <cellStyle name="常规 6 2 7 3 2 2 2" xfId="40988"/>
    <cellStyle name="常规 6 2 7 3 2 2 2 2" xfId="40989"/>
    <cellStyle name="常规 6 2 7 3 2 2 2 2 2" xfId="17406"/>
    <cellStyle name="常规 6 2 7 3 2 2 2 2 2 2" xfId="40990"/>
    <cellStyle name="常规 6 2 7 3 2 2 2 2 3" xfId="40991"/>
    <cellStyle name="常规 6 2 7 3 2 2 2 2 4" xfId="17431"/>
    <cellStyle name="常规 6 2 7 3 2 2 2 3" xfId="40992"/>
    <cellStyle name="常规 6 2 7 3 2 2 2 3 2" xfId="40993"/>
    <cellStyle name="常规 6 2 7 3 2 2 2 4" xfId="40994"/>
    <cellStyle name="常规 6 2 7 3 2 2 2 5" xfId="40995"/>
    <cellStyle name="常规 6 2 7 3 2 2 3" xfId="40996"/>
    <cellStyle name="常规 6 2 7 3 2 2 3 2" xfId="39454"/>
    <cellStyle name="常规 6 2 7 3 2 2 3 2 2" xfId="40997"/>
    <cellStyle name="常规 6 2 7 3 2 2 3 3" xfId="39456"/>
    <cellStyle name="常规 6 2 7 3 2 2 3 4" xfId="40998"/>
    <cellStyle name="常规 6 2 7 3 2 2 4" xfId="30310"/>
    <cellStyle name="常规 6 2 7 3 2 2 4 2" xfId="17526"/>
    <cellStyle name="常规 6 2 7 3 2 2 5" xfId="30313"/>
    <cellStyle name="常规 6 2 7 3 2 2 6" xfId="20781"/>
    <cellStyle name="常规 6 2 7 3 2 3" xfId="40999"/>
    <cellStyle name="常规 6 2 7 3 2 3 2" xfId="41000"/>
    <cellStyle name="常规 6 2 7 3 2 3 2 2" xfId="41001"/>
    <cellStyle name="常规 6 2 7 3 2 3 2 2 2" xfId="41002"/>
    <cellStyle name="常规 6 2 7 3 2 3 2 3" xfId="41003"/>
    <cellStyle name="常规 6 2 7 3 2 3 2 4" xfId="41004"/>
    <cellStyle name="常规 6 2 7 3 2 3 3" xfId="41005"/>
    <cellStyle name="常规 6 2 7 3 2 3 3 2" xfId="41006"/>
    <cellStyle name="常规 6 2 7 3 2 3 4" xfId="30319"/>
    <cellStyle name="常规 6 2 7 3 2 3 5" xfId="41007"/>
    <cellStyle name="常规 6 2 7 3 2 4" xfId="41008"/>
    <cellStyle name="常规 6 2 7 3 2 4 2" xfId="41009"/>
    <cellStyle name="常规 6 2 7 3 2 4 2 2" xfId="41010"/>
    <cellStyle name="常规 6 2 7 3 2 4 3" xfId="41011"/>
    <cellStyle name="常规 6 2 7 3 2 4 4" xfId="41012"/>
    <cellStyle name="常规 6 2 7 3 2 5" xfId="41013"/>
    <cellStyle name="常规 6 2 7 3 2 5 2" xfId="41014"/>
    <cellStyle name="常规 6 2 7 3 2 6" xfId="41015"/>
    <cellStyle name="常规 6 2 7 3 2 7" xfId="41016"/>
    <cellStyle name="常规 6 2 7 3 3" xfId="41017"/>
    <cellStyle name="常规 6 2 7 3 3 2" xfId="20234"/>
    <cellStyle name="常规 6 2 7 3 3 2 2" xfId="20236"/>
    <cellStyle name="常规 6 2 7 3 3 2 2 2" xfId="19367"/>
    <cellStyle name="常规 6 2 7 3 3 2 2 2 2" xfId="19369"/>
    <cellStyle name="常规 6 2 7 3 3 2 2 3" xfId="19385"/>
    <cellStyle name="常规 6 2 7 3 3 2 2 4" xfId="19394"/>
    <cellStyle name="常规 6 2 7 3 3 2 3" xfId="20238"/>
    <cellStyle name="常规 6 2 7 3 3 2 3 2" xfId="19418"/>
    <cellStyle name="常规 6 2 7 3 3 2 4" xfId="20241"/>
    <cellStyle name="常规 6 2 7 3 3 2 5" xfId="20244"/>
    <cellStyle name="常规 6 2 7 3 3 3" xfId="17328"/>
    <cellStyle name="常规 6 2 7 3 3 3 2" xfId="20247"/>
    <cellStyle name="常规 6 2 7 3 3 3 2 2" xfId="19577"/>
    <cellStyle name="常规 6 2 7 3 3 3 3" xfId="20250"/>
    <cellStyle name="常规 6 2 7 3 3 3 4" xfId="20253"/>
    <cellStyle name="常规 6 2 7 3 3 4" xfId="20256"/>
    <cellStyle name="常规 6 2 7 3 3 4 2" xfId="20259"/>
    <cellStyle name="常规 6 2 7 3 3 5" xfId="20262"/>
    <cellStyle name="常规 6 2 7 3 3 6" xfId="20265"/>
    <cellStyle name="常规 6 2 7 3 4" xfId="41018"/>
    <cellStyle name="常规 6 2 7 3 4 2" xfId="18202"/>
    <cellStyle name="常规 6 2 7 3 4 2 2" xfId="20432"/>
    <cellStyle name="常规 6 2 7 3 4 2 2 2" xfId="20434"/>
    <cellStyle name="常规 6 2 7 3 4 2 3" xfId="20441"/>
    <cellStyle name="常规 6 2 7 3 4 2 4" xfId="20444"/>
    <cellStyle name="常规 6 2 7 3 4 3" xfId="20448"/>
    <cellStyle name="常规 6 2 7 3 4 3 2" xfId="20451"/>
    <cellStyle name="常规 6 2 7 3 4 4" xfId="20461"/>
    <cellStyle name="常规 6 2 7 3 4 5" xfId="20466"/>
    <cellStyle name="常规 6 2 7 3 5" xfId="41019"/>
    <cellStyle name="常规 6 2 7 3 5 2" xfId="20539"/>
    <cellStyle name="常规 6 2 7 3 5 2 2" xfId="20541"/>
    <cellStyle name="常规 6 2 7 3 5 3" xfId="20548"/>
    <cellStyle name="常规 6 2 7 3 5 4" xfId="20554"/>
    <cellStyle name="常规 6 2 7 3 6" xfId="41020"/>
    <cellStyle name="常规 6 2 7 3 6 2" xfId="20595"/>
    <cellStyle name="常规 6 2 7 3 7" xfId="41021"/>
    <cellStyle name="常规 6 2 7 3 8" xfId="41022"/>
    <cellStyle name="常规 6 2 7 4" xfId="41025"/>
    <cellStyle name="常规 6 2 7 4 2" xfId="41026"/>
    <cellStyle name="常规 6 2 7 4 2 2" xfId="41027"/>
    <cellStyle name="常规 6 2 7 4 2 2 2" xfId="41028"/>
    <cellStyle name="常规 6 2 7 4 2 2 2 2" xfId="41029"/>
    <cellStyle name="常规 6 2 7 4 2 2 2 2 2" xfId="41030"/>
    <cellStyle name="常规 6 2 7 4 2 2 2 3" xfId="41031"/>
    <cellStyle name="常规 6 2 7 4 2 2 2 4" xfId="41032"/>
    <cellStyle name="常规 6 2 7 4 2 2 3" xfId="41033"/>
    <cellStyle name="常规 6 2 7 4 2 2 3 2" xfId="41034"/>
    <cellStyle name="常规 6 2 7 4 2 2 4" xfId="30356"/>
    <cellStyle name="常规 6 2 7 4 2 2 5" xfId="41035"/>
    <cellStyle name="常规 6 2 7 4 2 3" xfId="41036"/>
    <cellStyle name="常规 6 2 7 4 2 3 2" xfId="41037"/>
    <cellStyle name="常规 6 2 7 4 2 3 2 2" xfId="41038"/>
    <cellStyle name="常规 6 2 7 4 2 3 3" xfId="41039"/>
    <cellStyle name="常规 6 2 7 4 2 3 4" xfId="41040"/>
    <cellStyle name="常规 6 2 7 4 2 4" xfId="41041"/>
    <cellStyle name="常规 6 2 7 4 2 4 2" xfId="41042"/>
    <cellStyle name="常规 6 2 7 4 2 5" xfId="41043"/>
    <cellStyle name="常规 6 2 7 4 2 6" xfId="41044"/>
    <cellStyle name="常规 6 2 7 4 3" xfId="41045"/>
    <cellStyle name="常规 6 2 7 4 3 2" xfId="1932"/>
    <cellStyle name="常规 6 2 7 4 3 2 2" xfId="8905"/>
    <cellStyle name="常规 6 2 7 4 3 2 2 2" xfId="20232"/>
    <cellStyle name="常规 6 2 7 4 3 2 3" xfId="20799"/>
    <cellStyle name="常规 6 2 7 4 3 2 4" xfId="20802"/>
    <cellStyle name="常规 6 2 7 4 3 3" xfId="8909"/>
    <cellStyle name="常规 6 2 7 4 3 3 2" xfId="20806"/>
    <cellStyle name="常规 6 2 7 4 3 4" xfId="8913"/>
    <cellStyle name="常规 6 2 7 4 3 5" xfId="20815"/>
    <cellStyle name="常规 6 2 7 4 4" xfId="41046"/>
    <cellStyle name="常规 6 2 7 4 4 2" xfId="1957"/>
    <cellStyle name="常规 6 2 7 4 4 2 2" xfId="20891"/>
    <cellStyle name="常规 6 2 7 4 4 3" xfId="16991"/>
    <cellStyle name="常规 6 2 7 4 4 4" xfId="20898"/>
    <cellStyle name="常规 6 2 7 4 5" xfId="41047"/>
    <cellStyle name="常规 6 2 7 4 5 2" xfId="20943"/>
    <cellStyle name="常规 6 2 7 4 6" xfId="41048"/>
    <cellStyle name="常规 6 2 7 4 7" xfId="41049"/>
    <cellStyle name="常规 6 2 7 5" xfId="41051"/>
    <cellStyle name="常规 6 2 7 5 2" xfId="41052"/>
    <cellStyle name="常规 6 2 7 5 2 2" xfId="41053"/>
    <cellStyle name="常规 6 2 7 5 2 2 2" xfId="41054"/>
    <cellStyle name="常规 6 2 7 5 2 2 2 2" xfId="41055"/>
    <cellStyle name="常规 6 2 7 5 2 2 3" xfId="41056"/>
    <cellStyle name="常规 6 2 7 5 2 2 4" xfId="41057"/>
    <cellStyle name="常规 6 2 7 5 2 3" xfId="41058"/>
    <cellStyle name="常规 6 2 7 5 2 3 2" xfId="41059"/>
    <cellStyle name="常规 6 2 7 5 2 4" xfId="41060"/>
    <cellStyle name="常规 6 2 7 5 2 5" xfId="41061"/>
    <cellStyle name="常规 6 2 7 5 3" xfId="41062"/>
    <cellStyle name="常规 6 2 7 5 3 2" xfId="8722"/>
    <cellStyle name="常规 6 2 7 5 3 2 2" xfId="8726"/>
    <cellStyle name="常规 6 2 7 5 3 3" xfId="8731"/>
    <cellStyle name="常规 6 2 7 5 3 4" xfId="8736"/>
    <cellStyle name="常规 6 2 7 5 4" xfId="41063"/>
    <cellStyle name="常规 6 2 7 5 4 2" xfId="8748"/>
    <cellStyle name="常规 6 2 7 5 5" xfId="41064"/>
    <cellStyle name="常规 6 2 7 5 6" xfId="41065"/>
    <cellStyle name="常规 6 2 7 6" xfId="41066"/>
    <cellStyle name="常规 6 2 7 6 2" xfId="41067"/>
    <cellStyle name="常规 6 2 7 6 2 2" xfId="41068"/>
    <cellStyle name="常规 6 2 7 6 2 2 2" xfId="41069"/>
    <cellStyle name="常规 6 2 7 6 2 3" xfId="41070"/>
    <cellStyle name="常规 6 2 7 6 2 4" xfId="1410"/>
    <cellStyle name="常规 6 2 7 6 3" xfId="41071"/>
    <cellStyle name="常规 6 2 7 6 3 2" xfId="5998"/>
    <cellStyle name="常规 6 2 7 6 4" xfId="41072"/>
    <cellStyle name="常规 6 2 7 6 5" xfId="41073"/>
    <cellStyle name="常规 6 2 7 7" xfId="41074"/>
    <cellStyle name="常规 6 2 7 7 2" xfId="41075"/>
    <cellStyle name="常规 6 2 7 7 2 2" xfId="41076"/>
    <cellStyle name="常规 6 2 7 7 3" xfId="41077"/>
    <cellStyle name="常规 6 2 7 7 4" xfId="41078"/>
    <cellStyle name="常规 6 2 7 8" xfId="41079"/>
    <cellStyle name="常规 6 2 7 8 2" xfId="28678"/>
    <cellStyle name="常规 6 2 7 9" xfId="41080"/>
    <cellStyle name="常规 6 2 8" xfId="41081"/>
    <cellStyle name="常规 6 2 8 2" xfId="41083"/>
    <cellStyle name="常规 6 2 8 2 2" xfId="41084"/>
    <cellStyle name="常规 6 2 8 2 2 2" xfId="23951"/>
    <cellStyle name="常规 6 2 8 2 2 2 2" xfId="23953"/>
    <cellStyle name="常规 6 2 8 2 2 2 2 2" xfId="23957"/>
    <cellStyle name="常规 6 2 8 2 2 2 2 2 2" xfId="18556"/>
    <cellStyle name="常规 6 2 8 2 2 2 2 3" xfId="23961"/>
    <cellStyle name="常规 6 2 8 2 2 2 2 4" xfId="23963"/>
    <cellStyle name="常规 6 2 8 2 2 2 3" xfId="23967"/>
    <cellStyle name="常规 6 2 8 2 2 2 3 2" xfId="23971"/>
    <cellStyle name="常规 6 2 8 2 2 2 4" xfId="23977"/>
    <cellStyle name="常规 6 2 8 2 2 2 5" xfId="23988"/>
    <cellStyle name="常规 6 2 8 2 2 3" xfId="17438"/>
    <cellStyle name="常规 6 2 8 2 2 3 2" xfId="17441"/>
    <cellStyle name="常规 6 2 8 2 2 3 2 2" xfId="9851"/>
    <cellStyle name="常规 6 2 8 2 2 3 3" xfId="24006"/>
    <cellStyle name="常规 6 2 8 2 2 3 4" xfId="24010"/>
    <cellStyle name="常规 6 2 8 2 2 4" xfId="17444"/>
    <cellStyle name="常规 6 2 8 2 2 4 2" xfId="24023"/>
    <cellStyle name="常规 6 2 8 2 2 5" xfId="17447"/>
    <cellStyle name="常规 6 2 8 2 2 6" xfId="24036"/>
    <cellStyle name="常规 6 2 8 2 3" xfId="41085"/>
    <cellStyle name="常规 6 2 8 2 3 2" xfId="24142"/>
    <cellStyle name="常规 6 2 8 2 3 2 2" xfId="24144"/>
    <cellStyle name="常规 6 2 8 2 3 2 2 2" xfId="24149"/>
    <cellStyle name="常规 6 2 8 2 3 2 3" xfId="24167"/>
    <cellStyle name="常规 6 2 8 2 3 2 4" xfId="24178"/>
    <cellStyle name="常规 6 2 8 2 3 3" xfId="17451"/>
    <cellStyle name="常规 6 2 8 2 3 3 2" xfId="24191"/>
    <cellStyle name="常规 6 2 8 2 3 4" xfId="24211"/>
    <cellStyle name="常规 6 2 8 2 3 5" xfId="24221"/>
    <cellStyle name="常规 6 2 8 2 4" xfId="41086"/>
    <cellStyle name="常规 6 2 8 2 4 2" xfId="24272"/>
    <cellStyle name="常规 6 2 8 2 4 2 2" xfId="7098"/>
    <cellStyle name="常规 6 2 8 2 4 3" xfId="24283"/>
    <cellStyle name="常规 6 2 8 2 4 4" xfId="24295"/>
    <cellStyle name="常规 6 2 8 2 5" xfId="41087"/>
    <cellStyle name="常规 6 2 8 2 5 2" xfId="24332"/>
    <cellStyle name="常规 6 2 8 2 6" xfId="41088"/>
    <cellStyle name="常规 6 2 8 2 7" xfId="41089"/>
    <cellStyle name="常规 6 2 8 3" xfId="41092"/>
    <cellStyle name="常规 6 2 8 3 2" xfId="41093"/>
    <cellStyle name="常规 6 2 8 3 2 2" xfId="41094"/>
    <cellStyle name="常规 6 2 8 3 2 2 2" xfId="35502"/>
    <cellStyle name="常规 6 2 8 3 2 2 2 2" xfId="35504"/>
    <cellStyle name="常规 6 2 8 3 2 2 3" xfId="22560"/>
    <cellStyle name="常规 6 2 8 3 2 2 4" xfId="30435"/>
    <cellStyle name="常规 6 2 8 3 2 3" xfId="41095"/>
    <cellStyle name="常规 6 2 8 3 2 3 2" xfId="35542"/>
    <cellStyle name="常规 6 2 8 3 2 4" xfId="41096"/>
    <cellStyle name="常规 6 2 8 3 2 5" xfId="41097"/>
    <cellStyle name="常规 6 2 8 3 3" xfId="41098"/>
    <cellStyle name="常规 6 2 8 3 3 2" xfId="41099"/>
    <cellStyle name="常规 6 2 8 3 3 2 2" xfId="36008"/>
    <cellStyle name="常规 6 2 8 3 3 3" xfId="41100"/>
    <cellStyle name="常规 6 2 8 3 3 4" xfId="41101"/>
    <cellStyle name="常规 6 2 8 3 4" xfId="41102"/>
    <cellStyle name="常规 6 2 8 3 4 2" xfId="41103"/>
    <cellStyle name="常规 6 2 8 3 5" xfId="41104"/>
    <cellStyle name="常规 6 2 8 3 6" xfId="41105"/>
    <cellStyle name="常规 6 2 8 4" xfId="41106"/>
    <cellStyle name="常规 6 2 8 4 2" xfId="41107"/>
    <cellStyle name="常规 6 2 8 4 2 2" xfId="41108"/>
    <cellStyle name="常规 6 2 8 4 2 2 2" xfId="36898"/>
    <cellStyle name="常规 6 2 8 4 2 3" xfId="41109"/>
    <cellStyle name="常规 6 2 8 4 2 4" xfId="41110"/>
    <cellStyle name="常规 6 2 8 4 3" xfId="41111"/>
    <cellStyle name="常规 6 2 8 4 3 2" xfId="41112"/>
    <cellStyle name="常规 6 2 8 4 4" xfId="41113"/>
    <cellStyle name="常规 6 2 8 4 5" xfId="41114"/>
    <cellStyle name="常规 6 2 8 5" xfId="41115"/>
    <cellStyle name="常规 6 2 8 5 2" xfId="41116"/>
    <cellStyle name="常规 6 2 8 5 2 2" xfId="41117"/>
    <cellStyle name="常规 6 2 8 5 3" xfId="41118"/>
    <cellStyle name="常规 6 2 8 5 4" xfId="41119"/>
    <cellStyle name="常规 6 2 8 6" xfId="41120"/>
    <cellStyle name="常规 6 2 8 6 2" xfId="41121"/>
    <cellStyle name="常规 6 2 8 7" xfId="41122"/>
    <cellStyle name="常规 6 2 8 8" xfId="41123"/>
    <cellStyle name="常规 6 2 9" xfId="41124"/>
    <cellStyle name="常规 6 2 9 2" xfId="41126"/>
    <cellStyle name="常规 6 2 9 2 2" xfId="41127"/>
    <cellStyle name="常规 6 2 9 2 2 2" xfId="41128"/>
    <cellStyle name="常规 6 2 9 2 2 2 2" xfId="41129"/>
    <cellStyle name="常规 6 2 9 2 2 2 2 2" xfId="41130"/>
    <cellStyle name="常规 6 2 9 2 2 2 3" xfId="41131"/>
    <cellStyle name="常规 6 2 9 2 2 2 4" xfId="30531"/>
    <cellStyle name="常规 6 2 9 2 2 3" xfId="41132"/>
    <cellStyle name="常规 6 2 9 2 2 3 2" xfId="41133"/>
    <cellStyle name="常规 6 2 9 2 2 4" xfId="41134"/>
    <cellStyle name="常规 6 2 9 2 2 5" xfId="41135"/>
    <cellStyle name="常规 6 2 9 2 3" xfId="41136"/>
    <cellStyle name="常规 6 2 9 2 3 2" xfId="41137"/>
    <cellStyle name="常规 6 2 9 2 3 2 2" xfId="2137"/>
    <cellStyle name="常规 6 2 9 2 3 3" xfId="41138"/>
    <cellStyle name="常规 6 2 9 2 3 4" xfId="41139"/>
    <cellStyle name="常规 6 2 9 2 4" xfId="41140"/>
    <cellStyle name="常规 6 2 9 2 4 2" xfId="41141"/>
    <cellStyle name="常规 6 2 9 2 5" xfId="41142"/>
    <cellStyle name="常规 6 2 9 2 6" xfId="41143"/>
    <cellStyle name="常规 6 2 9 3" xfId="1391"/>
    <cellStyle name="常规 6 2 9 3 2" xfId="41144"/>
    <cellStyle name="常规 6 2 9 3 2 2" xfId="41145"/>
    <cellStyle name="常规 6 2 9 3 2 2 2" xfId="41146"/>
    <cellStyle name="常规 6 2 9 3 2 3" xfId="41147"/>
    <cellStyle name="常规 6 2 9 3 2 4" xfId="12265"/>
    <cellStyle name="常规 6 2 9 3 3" xfId="41148"/>
    <cellStyle name="常规 6 2 9 3 3 2" xfId="9500"/>
    <cellStyle name="常规 6 2 9 3 4" xfId="41149"/>
    <cellStyle name="常规 6 2 9 3 5" xfId="41150"/>
    <cellStyle name="常规 6 2 9 4" xfId="41151"/>
    <cellStyle name="常规 6 2 9 4 2" xfId="41152"/>
    <cellStyle name="常规 6 2 9 4 2 2" xfId="41153"/>
    <cellStyle name="常规 6 2 9 4 3" xfId="41154"/>
    <cellStyle name="常规 6 2 9 4 4" xfId="41155"/>
    <cellStyle name="常规 6 2 9 5" xfId="41156"/>
    <cellStyle name="常规 6 2 9 5 2" xfId="41157"/>
    <cellStyle name="常规 6 2 9 6" xfId="41158"/>
    <cellStyle name="常规 6 2 9 7" xfId="41159"/>
    <cellStyle name="常规 6 2_Sheet2" xfId="8867"/>
    <cellStyle name="常规 6 20" xfId="19305"/>
    <cellStyle name="常规 6 21" xfId="31205"/>
    <cellStyle name="常规 6 22" xfId="31453"/>
    <cellStyle name="常规 6 23" xfId="31456"/>
    <cellStyle name="常规 6 3" xfId="41160"/>
    <cellStyle name="常规 6 3 10" xfId="41161"/>
    <cellStyle name="常规 6 3 10 2" xfId="41162"/>
    <cellStyle name="常规 6 3 10 2 2" xfId="41163"/>
    <cellStyle name="常规 6 3 10 2 2 2" xfId="19019"/>
    <cellStyle name="常规 6 3 10 2 3" xfId="41164"/>
    <cellStyle name="常规 6 3 10 2 4" xfId="41165"/>
    <cellStyle name="常规 6 3 10 3" xfId="41166"/>
    <cellStyle name="常规 6 3 10 3 2" xfId="41167"/>
    <cellStyle name="常规 6 3 10 4" xfId="41168"/>
    <cellStyle name="常规 6 3 10 5" xfId="41169"/>
    <cellStyle name="常规 6 3 11" xfId="41170"/>
    <cellStyle name="常规 6 3 11 2" xfId="41171"/>
    <cellStyle name="常规 6 3 11 2 2" xfId="41172"/>
    <cellStyle name="常规 6 3 11 3" xfId="41173"/>
    <cellStyle name="常规 6 3 11 4" xfId="41174"/>
    <cellStyle name="常规 6 3 12" xfId="38593"/>
    <cellStyle name="常规 6 3 12 2" xfId="41175"/>
    <cellStyle name="常规 6 3 13" xfId="41176"/>
    <cellStyle name="常规 6 3 14" xfId="41177"/>
    <cellStyle name="常规 6 3 15" xfId="38496"/>
    <cellStyle name="常规 6 3 16" xfId="41178"/>
    <cellStyle name="常规 6 3 17" xfId="41179"/>
    <cellStyle name="常规 6 3 2" xfId="41180"/>
    <cellStyle name="常规 6 3 3" xfId="41181"/>
    <cellStyle name="常规 6 3 3 10" xfId="41182"/>
    <cellStyle name="常规 6 3 3 10 2" xfId="41183"/>
    <cellStyle name="常规 6 3 3 10 2 2" xfId="22905"/>
    <cellStyle name="常规 6 3 3 10 3" xfId="41184"/>
    <cellStyle name="常规 6 3 3 10 4" xfId="41185"/>
    <cellStyle name="常规 6 3 3 11" xfId="1674"/>
    <cellStyle name="常规 6 3 3 11 2" xfId="23235"/>
    <cellStyle name="常规 6 3 3 12" xfId="1795"/>
    <cellStyle name="常规 6 3 3 13" xfId="23247"/>
    <cellStyle name="常规 6 3 3 2" xfId="41186"/>
    <cellStyle name="常规 6 3 3 2 10" xfId="2609"/>
    <cellStyle name="常规 6 3 3 2 10 2" xfId="41187"/>
    <cellStyle name="常规 6 3 3 2 11" xfId="41188"/>
    <cellStyle name="常规 6 3 3 2 12" xfId="33678"/>
    <cellStyle name="常规 6 3 3 2 2" xfId="41189"/>
    <cellStyle name="常规 6 3 3 2 2 10" xfId="41191"/>
    <cellStyle name="常规 6 3 3 2 2 11" xfId="41193"/>
    <cellStyle name="常规 6 3 3 2 2 2" xfId="41194"/>
    <cellStyle name="常规 6 3 3 2 2 2 2" xfId="41195"/>
    <cellStyle name="常规 6 3 3 2 2 2 2 2" xfId="41196"/>
    <cellStyle name="常规 6 3 3 2 2 2 2 2 2" xfId="41197"/>
    <cellStyle name="常规 6 3 3 2 2 2 2 2 2 2" xfId="41198"/>
    <cellStyle name="常规 6 3 3 2 2 2 2 2 2 2 2" xfId="41199"/>
    <cellStyle name="常规 6 3 3 2 2 2 2 2 2 2 2 2" xfId="41200"/>
    <cellStyle name="常规 6 3 3 2 2 2 2 2 2 2 2 2 2" xfId="41201"/>
    <cellStyle name="常规 6 3 3 2 2 2 2 2 2 2 2 3" xfId="41202"/>
    <cellStyle name="常规 6 3 3 2 2 2 2 2 2 2 2 4" xfId="41203"/>
    <cellStyle name="常规 6 3 3 2 2 2 2 2 2 2 3" xfId="41204"/>
    <cellStyle name="常规 6 3 3 2 2 2 2 2 2 2 3 2" xfId="41205"/>
    <cellStyle name="常规 6 3 3 2 2 2 2 2 2 2 4" xfId="41206"/>
    <cellStyle name="常规 6 3 3 2 2 2 2 2 2 2 5" xfId="41207"/>
    <cellStyle name="常规 6 3 3 2 2 2 2 2 2 3" xfId="41208"/>
    <cellStyle name="常规 6 3 3 2 2 2 2 2 2 3 2" xfId="41209"/>
    <cellStyle name="常规 6 3 3 2 2 2 2 2 2 3 2 2" xfId="41210"/>
    <cellStyle name="常规 6 3 3 2 2 2 2 2 2 3 3" xfId="41211"/>
    <cellStyle name="常规 6 3 3 2 2 2 2 2 2 3 4" xfId="41212"/>
    <cellStyle name="常规 6 3 3 2 2 2 2 2 2 4" xfId="41213"/>
    <cellStyle name="常规 6 3 3 2 2 2 2 2 2 4 2" xfId="41214"/>
    <cellStyle name="常规 6 3 3 2 2 2 2 2 2 5" xfId="41215"/>
    <cellStyle name="常规 6 3 3 2 2 2 2 2 2 6" xfId="41216"/>
    <cellStyle name="常规 6 3 3 2 2 2 2 2 3" xfId="41217"/>
    <cellStyle name="常规 6 3 3 2 2 2 2 2 3 2" xfId="41218"/>
    <cellStyle name="常规 6 3 3 2 2 2 2 2 3 2 2" xfId="41219"/>
    <cellStyle name="常规 6 3 3 2 2 2 2 2 3 2 2 2" xfId="41220"/>
    <cellStyle name="常规 6 3 3 2 2 2 2 2 3 2 3" xfId="41221"/>
    <cellStyle name="常规 6 3 3 2 2 2 2 2 3 2 4" xfId="41222"/>
    <cellStyle name="常规 6 3 3 2 2 2 2 2 3 3" xfId="41223"/>
    <cellStyle name="常规 6 3 3 2 2 2 2 2 3 3 2" xfId="41224"/>
    <cellStyle name="常规 6 3 3 2 2 2 2 2 3 4" xfId="41225"/>
    <cellStyle name="常规 6 3 3 2 2 2 2 2 3 5" xfId="39630"/>
    <cellStyle name="常规 6 3 3 2 2 2 2 2 4" xfId="41226"/>
    <cellStyle name="常规 6 3 3 2 2 2 2 2 4 2" xfId="41227"/>
    <cellStyle name="常规 6 3 3 2 2 2 2 2 4 2 2" xfId="41228"/>
    <cellStyle name="常规 6 3 3 2 2 2 2 2 4 3" xfId="41229"/>
    <cellStyle name="常规 6 3 3 2 2 2 2 2 4 4" xfId="41230"/>
    <cellStyle name="常规 6 3 3 2 2 2 2 2 5" xfId="41231"/>
    <cellStyle name="常规 6 3 3 2 2 2 2 2 5 2" xfId="41233"/>
    <cellStyle name="常规 6 3 3 2 2 2 2 2 6" xfId="41234"/>
    <cellStyle name="常规 6 3 3 2 2 2 2 2 7" xfId="41235"/>
    <cellStyle name="常规 6 3 3 2 2 2 2 3" xfId="41236"/>
    <cellStyle name="常规 6 3 3 2 2 2 2 3 2" xfId="37669"/>
    <cellStyle name="常规 6 3 3 2 2 2 2 3 2 2" xfId="41237"/>
    <cellStyle name="常规 6 3 3 2 2 2 2 3 2 2 2" xfId="41238"/>
    <cellStyle name="常规 6 3 3 2 2 2 2 3 2 2 2 2" xfId="41239"/>
    <cellStyle name="常规 6 3 3 2 2 2 2 3 2 2 3" xfId="41240"/>
    <cellStyle name="常规 6 3 3 2 2 2 2 3 2 2 4" xfId="41241"/>
    <cellStyle name="常规 6 3 3 2 2 2 2 3 2 3" xfId="41242"/>
    <cellStyle name="常规 6 3 3 2 2 2 2 3 2 3 2" xfId="23742"/>
    <cellStyle name="常规 6 3 3 2 2 2 2 3 2 4" xfId="41243"/>
    <cellStyle name="常规 6 3 3 2 2 2 2 3 2 5" xfId="41244"/>
    <cellStyle name="常规 6 3 3 2 2 2 2 3 3" xfId="37671"/>
    <cellStyle name="常规 6 3 3 2 2 2 2 3 3 2" xfId="41245"/>
    <cellStyle name="常规 6 3 3 2 2 2 2 3 3 2 2" xfId="41246"/>
    <cellStyle name="常规 6 3 3 2 2 2 2 3 3 3" xfId="41247"/>
    <cellStyle name="常规 6 3 3 2 2 2 2 3 3 4" xfId="41248"/>
    <cellStyle name="常规 6 3 3 2 2 2 2 3 4" xfId="41249"/>
    <cellStyle name="常规 6 3 3 2 2 2 2 3 4 2" xfId="41250"/>
    <cellStyle name="常规 6 3 3 2 2 2 2 3 5" xfId="41251"/>
    <cellStyle name="常规 6 3 3 2 2 2 2 3 6" xfId="41252"/>
    <cellStyle name="常规 6 3 3 2 2 2 2 4" xfId="41253"/>
    <cellStyle name="常规 6 3 3 2 2 2 2 4 2" xfId="37686"/>
    <cellStyle name="常规 6 3 3 2 2 2 2 4 2 2" xfId="41254"/>
    <cellStyle name="常规 6 3 3 2 2 2 2 4 2 2 2" xfId="41255"/>
    <cellStyle name="常规 6 3 3 2 2 2 2 4 2 3" xfId="41256"/>
    <cellStyle name="常规 6 3 3 2 2 2 2 4 2 4" xfId="41257"/>
    <cellStyle name="常规 6 3 3 2 2 2 2 4 3" xfId="41258"/>
    <cellStyle name="常规 6 3 3 2 2 2 2 4 3 2" xfId="41259"/>
    <cellStyle name="常规 6 3 3 2 2 2 2 4 4" xfId="41260"/>
    <cellStyle name="常规 6 3 3 2 2 2 2 4 5" xfId="41261"/>
    <cellStyle name="常规 6 3 3 2 2 2 2 5" xfId="41262"/>
    <cellStyle name="常规 6 3 3 2 2 2 2 5 2" xfId="41263"/>
    <cellStyle name="常规 6 3 3 2 2 2 2 5 2 2" xfId="41264"/>
    <cellStyle name="常规 6 3 3 2 2 2 2 5 3" xfId="41265"/>
    <cellStyle name="常规 6 3 3 2 2 2 2 5 4" xfId="41266"/>
    <cellStyle name="常规 6 3 3 2 2 2 2 6" xfId="41268"/>
    <cellStyle name="常规 6 3 3 2 2 2 2 6 2" xfId="41269"/>
    <cellStyle name="常规 6 3 3 2 2 2 2 7" xfId="41270"/>
    <cellStyle name="常规 6 3 3 2 2 2 2 8" xfId="41271"/>
    <cellStyle name="常规 6 3 3 2 2 2 3" xfId="41272"/>
    <cellStyle name="常规 6 3 3 2 2 2 3 2" xfId="41273"/>
    <cellStyle name="常规 6 3 3 2 2 2 3 2 2" xfId="41274"/>
    <cellStyle name="常规 6 3 3 2 2 2 3 2 2 2" xfId="41275"/>
    <cellStyle name="常规 6 3 3 2 2 2 3 2 2 2 2" xfId="41276"/>
    <cellStyle name="常规 6 3 3 2 2 2 3 2 2 2 2 2" xfId="41277"/>
    <cellStyle name="常规 6 3 3 2 2 2 3 2 2 2 3" xfId="41278"/>
    <cellStyle name="常规 6 3 3 2 2 2 3 2 2 2 4" xfId="41279"/>
    <cellStyle name="常规 6 3 3 2 2 2 3 2 2 3" xfId="41280"/>
    <cellStyle name="常规 6 3 3 2 2 2 3 2 2 3 2" xfId="41281"/>
    <cellStyle name="常规 6 3 3 2 2 2 3 2 2 4" xfId="41282"/>
    <cellStyle name="常规 6 3 3 2 2 2 3 2 2 5" xfId="41283"/>
    <cellStyle name="常规 6 3 3 2 2 2 3 2 3" xfId="41284"/>
    <cellStyle name="常规 6 3 3 2 2 2 3 2 3 2" xfId="41285"/>
    <cellStyle name="常规 6 3 3 2 2 2 3 2 3 2 2" xfId="41286"/>
    <cellStyle name="常规 6 3 3 2 2 2 3 2 3 3" xfId="41287"/>
    <cellStyle name="常规 6 3 3 2 2 2 3 2 3 4" xfId="41288"/>
    <cellStyle name="常规 6 3 3 2 2 2 3 2 4" xfId="41289"/>
    <cellStyle name="常规 6 3 3 2 2 2 3 2 4 2" xfId="41290"/>
    <cellStyle name="常规 6 3 3 2 2 2 3 2 5" xfId="41291"/>
    <cellStyle name="常规 6 3 3 2 2 2 3 2 6" xfId="41292"/>
    <cellStyle name="常规 6 3 3 2 2 2 3 3" xfId="41293"/>
    <cellStyle name="常规 6 3 3 2 2 2 3 3 2" xfId="37720"/>
    <cellStyle name="常规 6 3 3 2 2 2 3 3 2 2" xfId="41294"/>
    <cellStyle name="常规 6 3 3 2 2 2 3 3 2 2 2" xfId="41295"/>
    <cellStyle name="常规 6 3 3 2 2 2 3 3 2 3" xfId="41296"/>
    <cellStyle name="常规 6 3 3 2 2 2 3 3 2 4" xfId="41297"/>
    <cellStyle name="常规 6 3 3 2 2 2 3 3 3" xfId="41298"/>
    <cellStyle name="常规 6 3 3 2 2 2 3 3 3 2" xfId="41299"/>
    <cellStyle name="常规 6 3 3 2 2 2 3 3 4" xfId="41300"/>
    <cellStyle name="常规 6 3 3 2 2 2 3 3 5" xfId="41301"/>
    <cellStyle name="常规 6 3 3 2 2 2 3 4" xfId="41302"/>
    <cellStyle name="常规 6 3 3 2 2 2 3 4 2" xfId="41303"/>
    <cellStyle name="常规 6 3 3 2 2 2 3 4 2 2" xfId="41305"/>
    <cellStyle name="常规 6 3 3 2 2 2 3 4 3" xfId="41306"/>
    <cellStyle name="常规 6 3 3 2 2 2 3 4 4" xfId="41307"/>
    <cellStyle name="常规 6 3 3 2 2 2 3 5" xfId="41308"/>
    <cellStyle name="常规 6 3 3 2 2 2 3 5 2" xfId="41309"/>
    <cellStyle name="常规 6 3 3 2 2 2 3 6" xfId="41310"/>
    <cellStyle name="常规 6 3 3 2 2 2 3 7" xfId="41311"/>
    <cellStyle name="常规 6 3 3 2 2 2 4" xfId="41312"/>
    <cellStyle name="常规 6 3 3 2 2 2 4 2" xfId="41313"/>
    <cellStyle name="常规 6 3 3 2 2 2 4 2 2" xfId="41314"/>
    <cellStyle name="常规 6 3 3 2 2 2 4 2 2 2" xfId="41315"/>
    <cellStyle name="常规 6 3 3 2 2 2 4 2 2 2 2" xfId="1846"/>
    <cellStyle name="常规 6 3 3 2 2 2 4 2 2 3" xfId="41316"/>
    <cellStyle name="常规 6 3 3 2 2 2 4 2 2 4" xfId="41317"/>
    <cellStyle name="常规 6 3 3 2 2 2 4 2 3" xfId="41318"/>
    <cellStyle name="常规 6 3 3 2 2 2 4 2 3 2" xfId="41319"/>
    <cellStyle name="常规 6 3 3 2 2 2 4 2 4" xfId="41320"/>
    <cellStyle name="常规 6 3 3 2 2 2 4 2 5" xfId="41321"/>
    <cellStyle name="常规 6 3 3 2 2 2 4 3" xfId="41322"/>
    <cellStyle name="常规 6 3 3 2 2 2 4 3 2" xfId="41323"/>
    <cellStyle name="常规 6 3 3 2 2 2 4 3 2 2" xfId="41324"/>
    <cellStyle name="常规 6 3 3 2 2 2 4 3 3" xfId="41325"/>
    <cellStyle name="常规 6 3 3 2 2 2 4 3 4" xfId="41326"/>
    <cellStyle name="常规 6 3 3 2 2 2 4 4" xfId="41327"/>
    <cellStyle name="常规 6 3 3 2 2 2 4 4 2" xfId="32809"/>
    <cellStyle name="常规 6 3 3 2 2 2 4 5" xfId="41328"/>
    <cellStyle name="常规 6 3 3 2 2 2 4 6" xfId="41329"/>
    <cellStyle name="常规 6 3 3 2 2 2 5" xfId="41330"/>
    <cellStyle name="常规 6 3 3 2 2 2 5 2" xfId="41331"/>
    <cellStyle name="常规 6 3 3 2 2 2 5 2 2" xfId="41332"/>
    <cellStyle name="常规 6 3 3 2 2 2 5 2 2 2" xfId="41333"/>
    <cellStyle name="常规 6 3 3 2 2 2 5 2 3" xfId="41334"/>
    <cellStyle name="常规 6 3 3 2 2 2 5 2 4" xfId="41335"/>
    <cellStyle name="常规 6 3 3 2 2 2 5 3" xfId="41336"/>
    <cellStyle name="常规 6 3 3 2 2 2 5 3 2" xfId="41337"/>
    <cellStyle name="常规 6 3 3 2 2 2 5 4" xfId="41338"/>
    <cellStyle name="常规 6 3 3 2 2 2 5 5" xfId="41339"/>
    <cellStyle name="常规 6 3 3 2 2 2 6" xfId="41340"/>
    <cellStyle name="常规 6 3 3 2 2 2 6 2" xfId="41341"/>
    <cellStyle name="常规 6 3 3 2 2 2 6 2 2" xfId="41342"/>
    <cellStyle name="常规 6 3 3 2 2 2 6 3" xfId="41343"/>
    <cellStyle name="常规 6 3 3 2 2 2 6 4" xfId="41344"/>
    <cellStyle name="常规 6 3 3 2 2 2 7" xfId="41345"/>
    <cellStyle name="常规 6 3 3 2 2 2 7 2" xfId="41346"/>
    <cellStyle name="常规 6 3 3 2 2 2 8" xfId="41347"/>
    <cellStyle name="常规 6 3 3 2 2 2 9" xfId="41348"/>
    <cellStyle name="常规 6 3 3 2 2 3" xfId="41349"/>
    <cellStyle name="常规 6 3 3 2 2 3 2" xfId="41350"/>
    <cellStyle name="常规 6 3 3 2 2 3 2 2" xfId="41351"/>
    <cellStyle name="常规 6 3 3 2 2 3 2 2 2" xfId="4483"/>
    <cellStyle name="常规 6 3 3 2 2 3 2 2 2 2" xfId="4489"/>
    <cellStyle name="常规 6 3 3 2 2 3 2 2 2 2 2" xfId="41352"/>
    <cellStyle name="常规 6 3 3 2 2 3 2 2 2 2 2 2" xfId="41353"/>
    <cellStyle name="常规 6 3 3 2 2 3 2 2 2 2 2 2 2" xfId="41354"/>
    <cellStyle name="常规 6 3 3 2 2 3 2 2 2 2 2 3" xfId="41355"/>
    <cellStyle name="常规 6 3 3 2 2 3 2 2 2 2 2 4" xfId="41356"/>
    <cellStyle name="常规 6 3 3 2 2 3 2 2 2 2 3" xfId="41357"/>
    <cellStyle name="常规 6 3 3 2 2 3 2 2 2 2 3 2" xfId="41358"/>
    <cellStyle name="常规 6 3 3 2 2 3 2 2 2 2 4" xfId="41359"/>
    <cellStyle name="常规 6 3 3 2 2 3 2 2 2 2 5" xfId="41360"/>
    <cellStyle name="常规 6 3 3 2 2 3 2 2 2 3" xfId="41361"/>
    <cellStyle name="常规 6 3 3 2 2 3 2 2 2 3 2" xfId="41362"/>
    <cellStyle name="常规 6 3 3 2 2 3 2 2 2 3 2 2" xfId="41363"/>
    <cellStyle name="常规 6 3 3 2 2 3 2 2 2 3 3" xfId="41364"/>
    <cellStyle name="常规 6 3 3 2 2 3 2 2 2 3 4" xfId="41365"/>
    <cellStyle name="常规 6 3 3 2 2 3 2 2 2 4" xfId="41366"/>
    <cellStyle name="常规 6 3 3 2 2 3 2 2 2 4 2" xfId="41367"/>
    <cellStyle name="常规 6 3 3 2 2 3 2 2 2 5" xfId="41368"/>
    <cellStyle name="常规 6 3 3 2 2 3 2 2 2 6" xfId="41369"/>
    <cellStyle name="常规 6 3 3 2 2 3 2 2 3" xfId="4495"/>
    <cellStyle name="常规 6 3 3 2 2 3 2 2 3 2" xfId="41370"/>
    <cellStyle name="常规 6 3 3 2 2 3 2 2 3 2 2" xfId="41371"/>
    <cellStyle name="常规 6 3 3 2 2 3 2 2 3 2 2 2" xfId="41372"/>
    <cellStyle name="常规 6 3 3 2 2 3 2 2 3 2 3" xfId="41373"/>
    <cellStyle name="常规 6 3 3 2 2 3 2 2 3 2 4" xfId="41374"/>
    <cellStyle name="常规 6 3 3 2 2 3 2 2 3 3" xfId="41375"/>
    <cellStyle name="常规 6 3 3 2 2 3 2 2 3 3 2" xfId="41376"/>
    <cellStyle name="常规 6 3 3 2 2 3 2 2 3 4" xfId="41377"/>
    <cellStyle name="常规 6 3 3 2 2 3 2 2 3 5" xfId="39662"/>
    <cellStyle name="常规 6 3 3 2 2 3 2 2 4" xfId="4503"/>
    <cellStyle name="常规 6 3 3 2 2 3 2 2 4 2" xfId="41378"/>
    <cellStyle name="常规 6 3 3 2 2 3 2 2 4 2 2" xfId="41379"/>
    <cellStyle name="常规 6 3 3 2 2 3 2 2 4 3" xfId="41380"/>
    <cellStyle name="常规 6 3 3 2 2 3 2 2 4 4" xfId="41381"/>
    <cellStyle name="常规 6 3 3 2 2 3 2 2 5" xfId="41382"/>
    <cellStyle name="常规 6 3 3 2 2 3 2 2 5 2" xfId="41383"/>
    <cellStyle name="常规 6 3 3 2 2 3 2 2 6" xfId="41384"/>
    <cellStyle name="常规 6 3 3 2 2 3 2 2 7" xfId="41385"/>
    <cellStyle name="常规 6 3 3 2 2 3 2 3" xfId="41386"/>
    <cellStyle name="常规 6 3 3 2 2 3 2 3 2" xfId="4524"/>
    <cellStyle name="常规 6 3 3 2 2 3 2 3 2 2" xfId="41387"/>
    <cellStyle name="常规 6 3 3 2 2 3 2 3 2 2 2" xfId="41388"/>
    <cellStyle name="常规 6 3 3 2 2 3 2 3 2 2 2 2" xfId="41389"/>
    <cellStyle name="常规 6 3 3 2 2 3 2 3 2 2 3" xfId="41390"/>
    <cellStyle name="常规 6 3 3 2 2 3 2 3 2 2 4" xfId="41391"/>
    <cellStyle name="常规 6 3 3 2 2 3 2 3 2 3" xfId="41392"/>
    <cellStyle name="常规 6 3 3 2 2 3 2 3 2 3 2" xfId="41393"/>
    <cellStyle name="常规 6 3 3 2 2 3 2 3 2 4" xfId="41394"/>
    <cellStyle name="常规 6 3 3 2 2 3 2 3 2 5" xfId="41395"/>
    <cellStyle name="常规 6 3 3 2 2 3 2 3 3" xfId="4527"/>
    <cellStyle name="常规 6 3 3 2 2 3 2 3 3 2" xfId="41396"/>
    <cellStyle name="常规 6 3 3 2 2 3 2 3 3 2 2" xfId="41397"/>
    <cellStyle name="常规 6 3 3 2 2 3 2 3 3 3" xfId="41398"/>
    <cellStyle name="常规 6 3 3 2 2 3 2 3 3 4" xfId="41399"/>
    <cellStyle name="常规 6 3 3 2 2 3 2 3 4" xfId="41400"/>
    <cellStyle name="常规 6 3 3 2 2 3 2 3 4 2" xfId="41401"/>
    <cellStyle name="常规 6 3 3 2 2 3 2 3 5" xfId="41402"/>
    <cellStyle name="常规 6 3 3 2 2 3 2 3 6" xfId="41403"/>
    <cellStyle name="常规 6 3 3 2 2 3 2 4" xfId="41404"/>
    <cellStyle name="常规 6 3 3 2 2 3 2 4 2" xfId="108"/>
    <cellStyle name="常规 6 3 3 2 2 3 2 4 2 2" xfId="41405"/>
    <cellStyle name="常规 6 3 3 2 2 3 2 4 2 2 2" xfId="41406"/>
    <cellStyle name="常规 6 3 3 2 2 3 2 4 2 3" xfId="41407"/>
    <cellStyle name="常规 6 3 3 2 2 3 2 4 2 4" xfId="41408"/>
    <cellStyle name="常规 6 3 3 2 2 3 2 4 3" xfId="41409"/>
    <cellStyle name="常规 6 3 3 2 2 3 2 4 3 2" xfId="41410"/>
    <cellStyle name="常规 6 3 3 2 2 3 2 4 4" xfId="41411"/>
    <cellStyle name="常规 6 3 3 2 2 3 2 4 5" xfId="41412"/>
    <cellStyle name="常规 6 3 3 2 2 3 2 5" xfId="41413"/>
    <cellStyle name="常规 6 3 3 2 2 3 2 5 2" xfId="41414"/>
    <cellStyle name="常规 6 3 3 2 2 3 2 5 2 2" xfId="41415"/>
    <cellStyle name="常规 6 3 3 2 2 3 2 5 3" xfId="41416"/>
    <cellStyle name="常规 6 3 3 2 2 3 2 5 4" xfId="41417"/>
    <cellStyle name="常规 6 3 3 2 2 3 2 6" xfId="41418"/>
    <cellStyle name="常规 6 3 3 2 2 3 2 6 2" xfId="33749"/>
    <cellStyle name="常规 6 3 3 2 2 3 2 7" xfId="41419"/>
    <cellStyle name="常规 6 3 3 2 2 3 2 8" xfId="41420"/>
    <cellStyle name="常规 6 3 3 2 2 3 3" xfId="41421"/>
    <cellStyle name="常规 6 3 3 2 2 3 3 2" xfId="41422"/>
    <cellStyle name="常规 6 3 3 2 2 3 3 2 2" xfId="155"/>
    <cellStyle name="常规 6 3 3 2 2 3 3 2 2 2" xfId="41423"/>
    <cellStyle name="常规 6 3 3 2 2 3 3 2 2 2 2" xfId="41424"/>
    <cellStyle name="常规 6 3 3 2 2 3 3 2 2 2 2 2" xfId="41425"/>
    <cellStyle name="常规 6 3 3 2 2 3 3 2 2 2 3" xfId="41426"/>
    <cellStyle name="常规 6 3 3 2 2 3 3 2 2 2 4" xfId="41427"/>
    <cellStyle name="常规 6 3 3 2 2 3 3 2 2 3" xfId="41428"/>
    <cellStyle name="常规 6 3 3 2 2 3 3 2 2 3 2" xfId="41429"/>
    <cellStyle name="常规 6 3 3 2 2 3 3 2 2 4" xfId="41430"/>
    <cellStyle name="常规 6 3 3 2 2 3 3 2 2 5" xfId="41431"/>
    <cellStyle name="常规 6 3 3 2 2 3 3 2 3" xfId="4547"/>
    <cellStyle name="常规 6 3 3 2 2 3 3 2 3 2" xfId="41432"/>
    <cellStyle name="常规 6 3 3 2 2 3 3 2 3 2 2" xfId="41433"/>
    <cellStyle name="常规 6 3 3 2 2 3 3 2 3 3" xfId="41434"/>
    <cellStyle name="常规 6 3 3 2 2 3 3 2 3 4" xfId="41435"/>
    <cellStyle name="常规 6 3 3 2 2 3 3 2 4" xfId="41436"/>
    <cellStyle name="常规 6 3 3 2 2 3 3 2 4 2" xfId="41437"/>
    <cellStyle name="常规 6 3 3 2 2 3 3 2 5" xfId="41438"/>
    <cellStyle name="常规 6 3 3 2 2 3 3 2 6" xfId="41439"/>
    <cellStyle name="常规 6 3 3 2 2 3 3 3" xfId="41440"/>
    <cellStyle name="常规 6 3 3 2 2 3 3 3 2" xfId="4552"/>
    <cellStyle name="常规 6 3 3 2 2 3 3 3 2 2" xfId="41441"/>
    <cellStyle name="常规 6 3 3 2 2 3 3 3 2 2 2" xfId="41442"/>
    <cellStyle name="常规 6 3 3 2 2 3 3 3 2 3" xfId="41443"/>
    <cellStyle name="常规 6 3 3 2 2 3 3 3 2 4" xfId="41444"/>
    <cellStyle name="常规 6 3 3 2 2 3 3 3 3" xfId="41445"/>
    <cellStyle name="常规 6 3 3 2 2 3 3 3 3 2" xfId="41446"/>
    <cellStyle name="常规 6 3 3 2 2 3 3 3 4" xfId="41447"/>
    <cellStyle name="常规 6 3 3 2 2 3 3 3 5" xfId="41448"/>
    <cellStyle name="常规 6 3 3 2 2 3 3 4" xfId="41449"/>
    <cellStyle name="常规 6 3 3 2 2 3 3 4 2" xfId="41450"/>
    <cellStyle name="常规 6 3 3 2 2 3 3 4 2 2" xfId="41452"/>
    <cellStyle name="常规 6 3 3 2 2 3 3 4 3" xfId="41453"/>
    <cellStyle name="常规 6 3 3 2 2 3 3 4 4" xfId="41454"/>
    <cellStyle name="常规 6 3 3 2 2 3 3 5" xfId="41455"/>
    <cellStyle name="常规 6 3 3 2 2 3 3 5 2" xfId="41456"/>
    <cellStyle name="常规 6 3 3 2 2 3 3 6" xfId="41457"/>
    <cellStyle name="常规 6 3 3 2 2 3 3 7" xfId="21212"/>
    <cellStyle name="常规 6 3 3 2 2 3 4" xfId="41458"/>
    <cellStyle name="常规 6 3 3 2 2 3 4 2" xfId="41459"/>
    <cellStyle name="常规 6 3 3 2 2 3 4 2 2" xfId="4572"/>
    <cellStyle name="常规 6 3 3 2 2 3 4 2 2 2" xfId="41460"/>
    <cellStyle name="常规 6 3 3 2 2 3 4 2 2 2 2" xfId="41461"/>
    <cellStyle name="常规 6 3 3 2 2 3 4 2 2 3" xfId="41462"/>
    <cellStyle name="常规 6 3 3 2 2 3 4 2 2 4" xfId="41463"/>
    <cellStyle name="常规 6 3 3 2 2 3 4 2 3" xfId="41464"/>
    <cellStyle name="常规 6 3 3 2 2 3 4 2 3 2" xfId="41465"/>
    <cellStyle name="常规 6 3 3 2 2 3 4 2 4" xfId="41466"/>
    <cellStyle name="常规 6 3 3 2 2 3 4 2 5" xfId="41467"/>
    <cellStyle name="常规 6 3 3 2 2 3 4 3" xfId="41468"/>
    <cellStyle name="常规 6 3 3 2 2 3 4 3 2" xfId="41469"/>
    <cellStyle name="常规 6 3 3 2 2 3 4 3 2 2" xfId="41470"/>
    <cellStyle name="常规 6 3 3 2 2 3 4 3 3" xfId="41471"/>
    <cellStyle name="常规 6 3 3 2 2 3 4 3 4" xfId="41472"/>
    <cellStyle name="常规 6 3 3 2 2 3 4 4" xfId="41473"/>
    <cellStyle name="常规 6 3 3 2 2 3 4 4 2" xfId="32827"/>
    <cellStyle name="常规 6 3 3 2 2 3 4 5" xfId="41474"/>
    <cellStyle name="常规 6 3 3 2 2 3 4 6" xfId="41475"/>
    <cellStyle name="常规 6 3 3 2 2 3 5" xfId="41477"/>
    <cellStyle name="常规 6 3 3 2 2 3 5 2" xfId="41478"/>
    <cellStyle name="常规 6 3 3 2 2 3 5 2 2" xfId="41479"/>
    <cellStyle name="常规 6 3 3 2 2 3 5 2 2 2" xfId="41480"/>
    <cellStyle name="常规 6 3 3 2 2 3 5 2 3" xfId="41481"/>
    <cellStyle name="常规 6 3 3 2 2 3 5 2 4" xfId="41482"/>
    <cellStyle name="常规 6 3 3 2 2 3 5 3" xfId="41483"/>
    <cellStyle name="常规 6 3 3 2 2 3 5 3 2" xfId="41484"/>
    <cellStyle name="常规 6 3 3 2 2 3 5 4" xfId="41485"/>
    <cellStyle name="常规 6 3 3 2 2 3 5 5" xfId="41486"/>
    <cellStyle name="常规 6 3 3 2 2 3 6" xfId="41488"/>
    <cellStyle name="常规 6 3 3 2 2 3 6 2" xfId="41489"/>
    <cellStyle name="常规 6 3 3 2 2 3 6 2 2" xfId="41490"/>
    <cellStyle name="常规 6 3 3 2 2 3 6 3" xfId="41491"/>
    <cellStyle name="常规 6 3 3 2 2 3 6 4" xfId="41492"/>
    <cellStyle name="常规 6 3 3 2 2 3 7" xfId="41493"/>
    <cellStyle name="常规 6 3 3 2 2 3 7 2" xfId="41494"/>
    <cellStyle name="常规 6 3 3 2 2 3 8" xfId="41495"/>
    <cellStyle name="常规 6 3 3 2 2 3 9" xfId="41496"/>
    <cellStyle name="常规 6 3 3 2 2 4" xfId="41497"/>
    <cellStyle name="常规 6 3 3 2 2 4 2" xfId="41498"/>
    <cellStyle name="常规 6 3 3 2 2 4 2 2" xfId="41499"/>
    <cellStyle name="常规 6 3 3 2 2 4 2 2 2" xfId="2322"/>
    <cellStyle name="常规 6 3 3 2 2 4 2 2 2 2" xfId="4843"/>
    <cellStyle name="常规 6 3 3 2 2 4 2 2 2 2 2" xfId="41500"/>
    <cellStyle name="常规 6 3 3 2 2 4 2 2 2 2 2 2" xfId="41501"/>
    <cellStyle name="常规 6 3 3 2 2 4 2 2 2 2 3" xfId="41502"/>
    <cellStyle name="常规 6 3 3 2 2 4 2 2 2 2 4" xfId="41503"/>
    <cellStyle name="常规 6 3 3 2 2 4 2 2 2 3" xfId="41504"/>
    <cellStyle name="常规 6 3 3 2 2 4 2 2 2 3 2" xfId="41505"/>
    <cellStyle name="常规 6 3 3 2 2 4 2 2 2 4" xfId="41506"/>
    <cellStyle name="常规 6 3 3 2 2 4 2 2 2 5" xfId="41507"/>
    <cellStyle name="常规 6 3 3 2 2 4 2 2 3" xfId="2326"/>
    <cellStyle name="常规 6 3 3 2 2 4 2 2 3 2" xfId="41508"/>
    <cellStyle name="常规 6 3 3 2 2 4 2 2 3 2 2" xfId="41509"/>
    <cellStyle name="常规 6 3 3 2 2 4 2 2 3 3" xfId="41510"/>
    <cellStyle name="常规 6 3 3 2 2 4 2 2 3 4" xfId="41511"/>
    <cellStyle name="常规 6 3 3 2 2 4 2 2 4" xfId="4846"/>
    <cellStyle name="常规 6 3 3 2 2 4 2 2 4 2" xfId="41512"/>
    <cellStyle name="常规 6 3 3 2 2 4 2 2 5" xfId="41513"/>
    <cellStyle name="常规 6 3 3 2 2 4 2 2 6" xfId="41514"/>
    <cellStyle name="常规 6 3 3 2 2 4 2 3" xfId="41515"/>
    <cellStyle name="常规 6 3 3 2 2 4 2 3 2" xfId="2371"/>
    <cellStyle name="常规 6 3 3 2 2 4 2 3 2 2" xfId="2995"/>
    <cellStyle name="常规 6 3 3 2 2 4 2 3 2 2 2" xfId="2999"/>
    <cellStyle name="常规 6 3 3 2 2 4 2 3 2 3" xfId="3005"/>
    <cellStyle name="常规 6 3 3 2 2 4 2 3 2 4" xfId="3008"/>
    <cellStyle name="常规 6 3 3 2 2 4 2 3 3" xfId="2378"/>
    <cellStyle name="常规 6 3 3 2 2 4 2 3 3 2" xfId="15860"/>
    <cellStyle name="常规 6 3 3 2 2 4 2 3 4" xfId="41516"/>
    <cellStyle name="常规 6 3 3 2 2 4 2 3 5" xfId="41517"/>
    <cellStyle name="常规 6 3 3 2 2 4 2 4" xfId="41518"/>
    <cellStyle name="常规 6 3 3 2 2 4 2 4 2" xfId="1208"/>
    <cellStyle name="常规 6 3 3 2 2 4 2 4 2 2" xfId="41519"/>
    <cellStyle name="常规 6 3 3 2 2 4 2 4 3" xfId="41520"/>
    <cellStyle name="常规 6 3 3 2 2 4 2 4 4" xfId="41521"/>
    <cellStyle name="常规 6 3 3 2 2 4 2 5" xfId="41522"/>
    <cellStyle name="常规 6 3 3 2 2 4 2 5 2" xfId="41523"/>
    <cellStyle name="常规 6 3 3 2 2 4 2 6" xfId="41524"/>
    <cellStyle name="常规 6 3 3 2 2 4 2 7" xfId="41525"/>
    <cellStyle name="常规 6 3 3 2 2 4 3" xfId="41526"/>
    <cellStyle name="常规 6 3 3 2 2 4 3 2" xfId="13391"/>
    <cellStyle name="常规 6 3 3 2 2 4 3 2 2" xfId="746"/>
    <cellStyle name="常规 6 3 3 2 2 4 3 2 2 2" xfId="41527"/>
    <cellStyle name="常规 6 3 3 2 2 4 3 2 2 2 2" xfId="41528"/>
    <cellStyle name="常规 6 3 3 2 2 4 3 2 2 3" xfId="41529"/>
    <cellStyle name="常规 6 3 3 2 2 4 3 2 2 4" xfId="41530"/>
    <cellStyle name="常规 6 3 3 2 2 4 3 2 3" xfId="3845"/>
    <cellStyle name="常规 6 3 3 2 2 4 3 2 3 2" xfId="41531"/>
    <cellStyle name="常规 6 3 3 2 2 4 3 2 4" xfId="41532"/>
    <cellStyle name="常规 6 3 3 2 2 4 3 2 5" xfId="41533"/>
    <cellStyle name="常规 6 3 3 2 2 4 3 3" xfId="13401"/>
    <cellStyle name="常规 6 3 3 2 2 4 3 3 2" xfId="4870"/>
    <cellStyle name="常规 6 3 3 2 2 4 3 3 2 2" xfId="41534"/>
    <cellStyle name="常规 6 3 3 2 2 4 3 3 3" xfId="41535"/>
    <cellStyle name="常规 6 3 3 2 2 4 3 3 4" xfId="41536"/>
    <cellStyle name="常规 6 3 3 2 2 4 3 4" xfId="41537"/>
    <cellStyle name="常规 6 3 3 2 2 4 3 4 2" xfId="41538"/>
    <cellStyle name="常规 6 3 3 2 2 4 3 5" xfId="41539"/>
    <cellStyle name="常规 6 3 3 2 2 4 3 6" xfId="180"/>
    <cellStyle name="常规 6 3 3 2 2 4 4" xfId="41540"/>
    <cellStyle name="常规 6 3 3 2 2 4 4 2" xfId="13419"/>
    <cellStyle name="常规 6 3 3 2 2 4 4 2 2" xfId="4895"/>
    <cellStyle name="常规 6 3 3 2 2 4 4 2 2 2" xfId="41541"/>
    <cellStyle name="常规 6 3 3 2 2 4 4 2 3" xfId="41542"/>
    <cellStyle name="常规 6 3 3 2 2 4 4 2 4" xfId="41543"/>
    <cellStyle name="常规 6 3 3 2 2 4 4 3" xfId="41544"/>
    <cellStyle name="常规 6 3 3 2 2 4 4 3 2" xfId="41545"/>
    <cellStyle name="常规 6 3 3 2 2 4 4 4" xfId="41546"/>
    <cellStyle name="常规 6 3 3 2 2 4 4 5" xfId="41547"/>
    <cellStyle name="常规 6 3 3 2 2 4 5" xfId="41548"/>
    <cellStyle name="常规 6 3 3 2 2 4 5 2" xfId="41549"/>
    <cellStyle name="常规 6 3 3 2 2 4 5 2 2" xfId="41550"/>
    <cellStyle name="常规 6 3 3 2 2 4 5 3" xfId="41551"/>
    <cellStyle name="常规 6 3 3 2 2 4 5 4" xfId="41552"/>
    <cellStyle name="常规 6 3 3 2 2 4 6" xfId="41553"/>
    <cellStyle name="常规 6 3 3 2 2 4 6 2" xfId="41554"/>
    <cellStyle name="常规 6 3 3 2 2 4 7" xfId="41555"/>
    <cellStyle name="常规 6 3 3 2 2 4 8" xfId="41556"/>
    <cellStyle name="常规 6 3 3 2 2 5" xfId="41557"/>
    <cellStyle name="常规 6 3 3 2 2 5 2" xfId="41558"/>
    <cellStyle name="常规 6 3 3 2 2 5 2 2" xfId="41559"/>
    <cellStyle name="常规 6 3 3 2 2 5 2 2 2" xfId="1097"/>
    <cellStyle name="常规 6 3 3 2 2 5 2 2 2 2" xfId="41560"/>
    <cellStyle name="常规 6 3 3 2 2 5 2 2 2 2 2" xfId="41561"/>
    <cellStyle name="常规 6 3 3 2 2 5 2 2 2 3" xfId="41562"/>
    <cellStyle name="常规 6 3 3 2 2 5 2 2 2 4" xfId="41563"/>
    <cellStyle name="常规 6 3 3 2 2 5 2 2 3" xfId="1104"/>
    <cellStyle name="常规 6 3 3 2 2 5 2 2 3 2" xfId="41564"/>
    <cellStyle name="常规 6 3 3 2 2 5 2 2 4" xfId="41565"/>
    <cellStyle name="常规 6 3 3 2 2 5 2 2 5" xfId="41566"/>
    <cellStyle name="常规 6 3 3 2 2 5 2 3" xfId="41567"/>
    <cellStyle name="常规 6 3 3 2 2 5 2 3 2" xfId="4998"/>
    <cellStyle name="常规 6 3 3 2 2 5 2 3 2 2" xfId="41568"/>
    <cellStyle name="常规 6 3 3 2 2 5 2 3 3" xfId="41569"/>
    <cellStyle name="常规 6 3 3 2 2 5 2 3 4" xfId="41570"/>
    <cellStyle name="常规 6 3 3 2 2 5 2 4" xfId="41571"/>
    <cellStyle name="常规 6 3 3 2 2 5 2 4 2" xfId="41572"/>
    <cellStyle name="常规 6 3 3 2 2 5 2 5" xfId="41573"/>
    <cellStyle name="常规 6 3 3 2 2 5 2 6" xfId="41574"/>
    <cellStyle name="常规 6 3 3 2 2 5 3" xfId="41575"/>
    <cellStyle name="常规 6 3 3 2 2 5 3 2" xfId="13480"/>
    <cellStyle name="常规 6 3 3 2 2 5 3 2 2" xfId="1807"/>
    <cellStyle name="常规 6 3 3 2 2 5 3 2 2 2" xfId="41576"/>
    <cellStyle name="常规 6 3 3 2 2 5 3 2 3" xfId="41577"/>
    <cellStyle name="常规 6 3 3 2 2 5 3 2 4" xfId="41578"/>
    <cellStyle name="常规 6 3 3 2 2 5 3 3" xfId="41579"/>
    <cellStyle name="常规 6 3 3 2 2 5 3 3 2" xfId="41580"/>
    <cellStyle name="常规 6 3 3 2 2 5 3 4" xfId="41581"/>
    <cellStyle name="常规 6 3 3 2 2 5 3 5" xfId="41582"/>
    <cellStyle name="常规 6 3 3 2 2 5 4" xfId="41583"/>
    <cellStyle name="常规 6 3 3 2 2 5 4 2" xfId="41584"/>
    <cellStyle name="常规 6 3 3 2 2 5 4 2 2" xfId="41585"/>
    <cellStyle name="常规 6 3 3 2 2 5 4 3" xfId="41586"/>
    <cellStyle name="常规 6 3 3 2 2 5 4 4" xfId="41587"/>
    <cellStyle name="常规 6 3 3 2 2 5 5" xfId="41588"/>
    <cellStyle name="常规 6 3 3 2 2 5 5 2" xfId="41589"/>
    <cellStyle name="常规 6 3 3 2 2 5 6" xfId="41590"/>
    <cellStyle name="常规 6 3 3 2 2 5 7" xfId="41591"/>
    <cellStyle name="常规 6 3 3 2 2 6" xfId="41592"/>
    <cellStyle name="常规 6 3 3 2 2 6 2" xfId="41593"/>
    <cellStyle name="常规 6 3 3 2 2 6 2 2" xfId="41594"/>
    <cellStyle name="常规 6 3 3 2 2 6 2 2 2" xfId="5091"/>
    <cellStyle name="常规 6 3 3 2 2 6 2 2 2 2" xfId="41595"/>
    <cellStyle name="常规 6 3 3 2 2 6 2 2 3" xfId="41596"/>
    <cellStyle name="常规 6 3 3 2 2 6 2 2 4" xfId="41597"/>
    <cellStyle name="常规 6 3 3 2 2 6 2 3" xfId="41598"/>
    <cellStyle name="常规 6 3 3 2 2 6 2 3 2" xfId="41599"/>
    <cellStyle name="常规 6 3 3 2 2 6 2 4" xfId="41600"/>
    <cellStyle name="常规 6 3 3 2 2 6 2 5" xfId="41601"/>
    <cellStyle name="常规 6 3 3 2 2 6 3" xfId="41602"/>
    <cellStyle name="常规 6 3 3 2 2 6 3 2" xfId="41603"/>
    <cellStyle name="常规 6 3 3 2 2 6 3 2 2" xfId="41604"/>
    <cellStyle name="常规 6 3 3 2 2 6 3 3" xfId="41605"/>
    <cellStyle name="常规 6 3 3 2 2 6 3 4" xfId="41606"/>
    <cellStyle name="常规 6 3 3 2 2 6 4" xfId="41607"/>
    <cellStyle name="常规 6 3 3 2 2 6 4 2" xfId="41608"/>
    <cellStyle name="常规 6 3 3 2 2 6 5" xfId="41609"/>
    <cellStyle name="常规 6 3 3 2 2 6 6" xfId="41610"/>
    <cellStyle name="常规 6 3 3 2 2 7" xfId="41611"/>
    <cellStyle name="常规 6 3 3 2 2 7 2" xfId="41612"/>
    <cellStyle name="常规 6 3 3 2 2 7 2 2" xfId="41613"/>
    <cellStyle name="常规 6 3 3 2 2 7 2 2 2" xfId="41614"/>
    <cellStyle name="常规 6 3 3 2 2 7 2 3" xfId="41615"/>
    <cellStyle name="常规 6 3 3 2 2 7 2 4" xfId="41616"/>
    <cellStyle name="常规 6 3 3 2 2 7 3" xfId="41617"/>
    <cellStyle name="常规 6 3 3 2 2 7 3 2" xfId="41618"/>
    <cellStyle name="常规 6 3 3 2 2 7 4" xfId="41619"/>
    <cellStyle name="常规 6 3 3 2 2 7 5" xfId="41620"/>
    <cellStyle name="常规 6 3 3 2 2 8" xfId="41621"/>
    <cellStyle name="常规 6 3 3 2 2 8 2" xfId="41622"/>
    <cellStyle name="常规 6 3 3 2 2 8 2 2" xfId="41623"/>
    <cellStyle name="常规 6 3 3 2 2 8 3" xfId="41624"/>
    <cellStyle name="常规 6 3 3 2 2 8 4" xfId="41625"/>
    <cellStyle name="常规 6 3 3 2 2 9" xfId="41626"/>
    <cellStyle name="常规 6 3 3 2 2 9 2" xfId="41627"/>
    <cellStyle name="常规 6 3 3 2 3" xfId="14175"/>
    <cellStyle name="常规 6 3 3 2 3 2" xfId="41628"/>
    <cellStyle name="常规 6 3 3 2 3 2 2" xfId="41629"/>
    <cellStyle name="常规 6 3 3 2 3 2 2 2" xfId="41630"/>
    <cellStyle name="常规 6 3 3 2 3 2 2 2 2" xfId="34191"/>
    <cellStyle name="常规 6 3 3 2 3 2 2 2 2 2" xfId="5805"/>
    <cellStyle name="常规 6 3 3 2 3 2 2 2 2 2 2" xfId="34193"/>
    <cellStyle name="常规 6 3 3 2 3 2 2 2 2 2 2 2" xfId="34195"/>
    <cellStyle name="常规 6 3 3 2 3 2 2 2 2 2 3" xfId="34201"/>
    <cellStyle name="常规 6 3 3 2 3 2 2 2 2 2 4" xfId="34205"/>
    <cellStyle name="常规 6 3 3 2 3 2 2 2 2 3" xfId="3545"/>
    <cellStyle name="常规 6 3 3 2 3 2 2 2 2 3 2" xfId="21729"/>
    <cellStyle name="常规 6 3 3 2 3 2 2 2 2 4" xfId="21736"/>
    <cellStyle name="常规 6 3 3 2 3 2 2 2 2 5" xfId="2412"/>
    <cellStyle name="常规 6 3 3 2 3 2 2 2 3" xfId="28870"/>
    <cellStyle name="常规 6 3 3 2 3 2 2 2 3 2" xfId="6142"/>
    <cellStyle name="常规 6 3 3 2 3 2 2 2 3 2 2" xfId="28874"/>
    <cellStyle name="常规 6 3 3 2 3 2 2 2 3 3" xfId="21743"/>
    <cellStyle name="常规 6 3 3 2 3 2 2 2 3 4" xfId="21751"/>
    <cellStyle name="常规 6 3 3 2 3 2 2 2 4" xfId="28930"/>
    <cellStyle name="常规 6 3 3 2 3 2 2 2 4 2" xfId="25817"/>
    <cellStyle name="常规 6 3 3 2 3 2 2 2 5" xfId="28956"/>
    <cellStyle name="常规 6 3 3 2 3 2 2 2 6" xfId="28981"/>
    <cellStyle name="常规 6 3 3 2 3 2 2 3" xfId="41631"/>
    <cellStyle name="常规 6 3 3 2 3 2 2 3 2" xfId="16821"/>
    <cellStyle name="常规 6 3 3 2 3 2 2 3 2 2" xfId="3773"/>
    <cellStyle name="常规 6 3 3 2 3 2 2 3 2 2 2" xfId="13180"/>
    <cellStyle name="常规 6 3 3 2 3 2 2 3 2 3" xfId="22016"/>
    <cellStyle name="常规 6 3 3 2 3 2 2 3 2 4" xfId="34255"/>
    <cellStyle name="常规 6 3 3 2 3 2 2 3 3" xfId="16824"/>
    <cellStyle name="常规 6 3 3 2 3 2 2 3 3 2" xfId="29007"/>
    <cellStyle name="常规 6 3 3 2 3 2 2 3 4" xfId="29014"/>
    <cellStyle name="常规 6 3 3 2 3 2 2 3 5" xfId="29021"/>
    <cellStyle name="常规 6 3 3 2 3 2 2 4" xfId="41632"/>
    <cellStyle name="常规 6 3 3 2 3 2 2 4 2" xfId="8640"/>
    <cellStyle name="常规 6 3 3 2 3 2 2 4 2 2" xfId="34275"/>
    <cellStyle name="常规 6 3 3 2 3 2 2 4 3" xfId="29031"/>
    <cellStyle name="常规 6 3 3 2 3 2 2 4 4" xfId="29048"/>
    <cellStyle name="常规 6 3 3 2 3 2 2 5" xfId="41634"/>
    <cellStyle name="常规 6 3 3 2 3 2 2 5 2" xfId="34291"/>
    <cellStyle name="常规 6 3 3 2 3 2 2 6" xfId="41636"/>
    <cellStyle name="常规 6 3 3 2 3 2 2 7" xfId="41638"/>
    <cellStyle name="常规 6 3 3 2 3 2 3" xfId="41639"/>
    <cellStyle name="常规 6 3 3 2 3 2 3 2" xfId="41640"/>
    <cellStyle name="常规 6 3 3 2 3 2 3 2 2" xfId="34444"/>
    <cellStyle name="常规 6 3 3 2 3 2 3 2 2 2" xfId="6237"/>
    <cellStyle name="常规 6 3 3 2 3 2 3 2 2 2 2" xfId="34446"/>
    <cellStyle name="常规 6 3 3 2 3 2 3 2 2 3" xfId="22518"/>
    <cellStyle name="常规 6 3 3 2 3 2 3 2 2 4" xfId="34465"/>
    <cellStyle name="常规 6 3 3 2 3 2 3 2 3" xfId="29112"/>
    <cellStyle name="常规 6 3 3 2 3 2 3 2 3 2" xfId="29115"/>
    <cellStyle name="常规 6 3 3 2 3 2 3 2 4" xfId="29131"/>
    <cellStyle name="常规 6 3 3 2 3 2 3 2 5" xfId="29134"/>
    <cellStyle name="常规 6 3 3 2 3 2 3 3" xfId="41641"/>
    <cellStyle name="常规 6 3 3 2 3 2 3 3 2" xfId="16835"/>
    <cellStyle name="常规 6 3 3 2 3 2 3 3 2 2" xfId="34493"/>
    <cellStyle name="常规 6 3 3 2 3 2 3 3 3" xfId="29149"/>
    <cellStyle name="常规 6 3 3 2 3 2 3 3 4" xfId="29156"/>
    <cellStyle name="常规 6 3 3 2 3 2 3 4" xfId="41642"/>
    <cellStyle name="常规 6 3 3 2 3 2 3 4 2" xfId="34507"/>
    <cellStyle name="常规 6 3 3 2 3 2 3 5" xfId="41644"/>
    <cellStyle name="常规 6 3 3 2 3 2 3 6" xfId="41645"/>
    <cellStyle name="常规 6 3 3 2 3 2 4" xfId="41646"/>
    <cellStyle name="常规 6 3 3 2 3 2 4 2" xfId="41647"/>
    <cellStyle name="常规 6 3 3 2 3 2 4 2 2" xfId="32568"/>
    <cellStyle name="常规 6 3 3 2 3 2 4 2 2 2" xfId="32572"/>
    <cellStyle name="常规 6 3 3 2 3 2 4 2 3" xfId="29244"/>
    <cellStyle name="常规 6 3 3 2 3 2 4 2 4" xfId="29263"/>
    <cellStyle name="常规 6 3 3 2 3 2 4 3" xfId="41648"/>
    <cellStyle name="常规 6 3 3 2 3 2 4 3 2" xfId="32576"/>
    <cellStyle name="常规 6 3 3 2 3 2 4 4" xfId="41649"/>
    <cellStyle name="常规 6 3 3 2 3 2 4 5" xfId="41650"/>
    <cellStyle name="常规 6 3 3 2 3 2 5" xfId="41651"/>
    <cellStyle name="常规 6 3 3 2 3 2 5 2" xfId="41652"/>
    <cellStyle name="常规 6 3 3 2 3 2 5 2 2" xfId="32581"/>
    <cellStyle name="常规 6 3 3 2 3 2 5 3" xfId="41653"/>
    <cellStyle name="常规 6 3 3 2 3 2 5 4" xfId="41654"/>
    <cellStyle name="常规 6 3 3 2 3 2 6" xfId="9608"/>
    <cellStyle name="常规 6 3 3 2 3 2 6 2" xfId="41655"/>
    <cellStyle name="常规 6 3 3 2 3 2 7" xfId="41656"/>
    <cellStyle name="常规 6 3 3 2 3 2 8" xfId="41657"/>
    <cellStyle name="常规 6 3 3 2 3 3" xfId="41658"/>
    <cellStyle name="常规 6 3 3 2 3 3 2" xfId="41659"/>
    <cellStyle name="常规 6 3 3 2 3 3 2 2" xfId="41660"/>
    <cellStyle name="常规 6 3 3 2 3 3 2 2 2" xfId="5349"/>
    <cellStyle name="常规 6 3 3 2 3 3 2 2 2 2" xfId="41662"/>
    <cellStyle name="常规 6 3 3 2 3 3 2 2 2 2 2" xfId="41664"/>
    <cellStyle name="常规 6 3 3 2 3 3 2 2 2 3" xfId="23539"/>
    <cellStyle name="常规 6 3 3 2 3 3 2 2 2 4" xfId="41666"/>
    <cellStyle name="常规 6 3 3 2 3 3 2 2 3" xfId="5353"/>
    <cellStyle name="常规 6 3 3 2 3 3 2 2 3 2" xfId="41668"/>
    <cellStyle name="常规 6 3 3 2 3 3 2 2 4" xfId="41670"/>
    <cellStyle name="常规 6 3 3 2 3 3 2 2 5" xfId="41672"/>
    <cellStyle name="常规 6 3 3 2 3 3 2 3" xfId="41673"/>
    <cellStyle name="常规 6 3 3 2 3 3 2 3 2" xfId="5364"/>
    <cellStyle name="常规 6 3 3 2 3 3 2 3 2 2" xfId="41675"/>
    <cellStyle name="常规 6 3 3 2 3 3 2 3 3" xfId="41677"/>
    <cellStyle name="常规 6 3 3 2 3 3 2 3 4" xfId="41679"/>
    <cellStyle name="常规 6 3 3 2 3 3 2 4" xfId="41680"/>
    <cellStyle name="常规 6 3 3 2 3 3 2 4 2" xfId="41682"/>
    <cellStyle name="常规 6 3 3 2 3 3 2 5" xfId="41684"/>
    <cellStyle name="常规 6 3 3 2 3 3 2 6" xfId="41685"/>
    <cellStyle name="常规 6 3 3 2 3 3 3" xfId="41686"/>
    <cellStyle name="常规 6 3 3 2 3 3 3 2" xfId="41687"/>
    <cellStyle name="常规 6 3 3 2 3 3 3 2 2" xfId="5391"/>
    <cellStyle name="常规 6 3 3 2 3 3 3 2 2 2" xfId="41689"/>
    <cellStyle name="常规 6 3 3 2 3 3 3 2 3" xfId="41691"/>
    <cellStyle name="常规 6 3 3 2 3 3 3 2 4" xfId="41693"/>
    <cellStyle name="常规 6 3 3 2 3 3 3 3" xfId="41694"/>
    <cellStyle name="常规 6 3 3 2 3 3 3 3 2" xfId="41696"/>
    <cellStyle name="常规 6 3 3 2 3 3 3 4" xfId="41697"/>
    <cellStyle name="常规 6 3 3 2 3 3 3 5" xfId="41698"/>
    <cellStyle name="常规 6 3 3 2 3 3 4" xfId="41699"/>
    <cellStyle name="常规 6 3 3 2 3 3 4 2" xfId="41700"/>
    <cellStyle name="常规 6 3 3 2 3 3 4 2 2" xfId="41702"/>
    <cellStyle name="常规 6 3 3 2 3 3 4 3" xfId="41703"/>
    <cellStyle name="常规 6 3 3 2 3 3 4 4" xfId="41704"/>
    <cellStyle name="常规 6 3 3 2 3 3 5" xfId="41705"/>
    <cellStyle name="常规 6 3 3 2 3 3 5 2" xfId="41706"/>
    <cellStyle name="常规 6 3 3 2 3 3 6" xfId="41707"/>
    <cellStyle name="常规 6 3 3 2 3 3 7" xfId="41708"/>
    <cellStyle name="常规 6 3 3 2 3 4" xfId="41709"/>
    <cellStyle name="常规 6 3 3 2 3 4 2" xfId="41710"/>
    <cellStyle name="常规 6 3 3 2 3 4 2 2" xfId="41711"/>
    <cellStyle name="常规 6 3 3 2 3 4 2 2 2" xfId="5008"/>
    <cellStyle name="常规 6 3 3 2 3 4 2 2 2 2" xfId="41712"/>
    <cellStyle name="常规 6 3 3 2 3 4 2 2 3" xfId="41713"/>
    <cellStyle name="常规 6 3 3 2 3 4 2 2 4" xfId="41714"/>
    <cellStyle name="常规 6 3 3 2 3 4 2 3" xfId="41715"/>
    <cellStyle name="常规 6 3 3 2 3 4 2 3 2" xfId="41716"/>
    <cellStyle name="常规 6 3 3 2 3 4 2 4" xfId="41717"/>
    <cellStyle name="常规 6 3 3 2 3 4 2 5" xfId="41718"/>
    <cellStyle name="常规 6 3 3 2 3 4 3" xfId="41719"/>
    <cellStyle name="常规 6 3 3 2 3 4 3 2" xfId="13584"/>
    <cellStyle name="常规 6 3 3 2 3 4 3 2 2" xfId="41720"/>
    <cellStyle name="常规 6 3 3 2 3 4 3 3" xfId="13590"/>
    <cellStyle name="常规 6 3 3 2 3 4 3 4" xfId="41721"/>
    <cellStyle name="常规 6 3 3 2 3 4 4" xfId="41722"/>
    <cellStyle name="常规 6 3 3 2 3 4 4 2" xfId="13601"/>
    <cellStyle name="常规 6 3 3 2 3 4 5" xfId="13611"/>
    <cellStyle name="常规 6 3 3 2 3 4 6" xfId="13616"/>
    <cellStyle name="常规 6 3 3 2 3 5" xfId="41723"/>
    <cellStyle name="常规 6 3 3 2 3 5 2" xfId="41724"/>
    <cellStyle name="常规 6 3 3 2 3 5 2 2" xfId="41725"/>
    <cellStyle name="常规 6 3 3 2 3 5 2 2 2" xfId="41727"/>
    <cellStyle name="常规 6 3 3 2 3 5 2 3" xfId="41728"/>
    <cellStyle name="常规 6 3 3 2 3 5 2 4" xfId="41729"/>
    <cellStyle name="常规 6 3 3 2 3 5 3" xfId="41730"/>
    <cellStyle name="常规 6 3 3 2 3 5 3 2" xfId="13626"/>
    <cellStyle name="常规 6 3 3 2 3 5 4" xfId="41731"/>
    <cellStyle name="常规 6 3 3 2 3 5 5" xfId="2154"/>
    <cellStyle name="常规 6 3 3 2 3 6" xfId="41732"/>
    <cellStyle name="常规 6 3 3 2 3 6 2" xfId="41733"/>
    <cellStyle name="常规 6 3 3 2 3 6 2 2" xfId="41734"/>
    <cellStyle name="常规 6 3 3 2 3 6 3" xfId="41735"/>
    <cellStyle name="常规 6 3 3 2 3 6 4" xfId="41736"/>
    <cellStyle name="常规 6 3 3 2 3 7" xfId="41737"/>
    <cellStyle name="常规 6 3 3 2 3 7 2" xfId="41738"/>
    <cellStyle name="常规 6 3 3 2 3 8" xfId="41739"/>
    <cellStyle name="常规 6 3 3 2 3 9" xfId="41740"/>
    <cellStyle name="常规 6 3 3 2 4" xfId="41741"/>
    <cellStyle name="常规 6 3 3 2 4 2" xfId="41742"/>
    <cellStyle name="常规 6 3 3 2 4 2 2" xfId="41743"/>
    <cellStyle name="常规 6 3 3 2 4 2 2 2" xfId="41744"/>
    <cellStyle name="常规 6 3 3 2 4 2 2 2 2" xfId="41745"/>
    <cellStyle name="常规 6 3 3 2 4 2 2 2 2 2" xfId="41746"/>
    <cellStyle name="常规 6 3 3 2 4 2 2 2 2 2 2" xfId="41747"/>
    <cellStyle name="常规 6 3 3 2 4 2 2 2 2 2 2 2" xfId="41748"/>
    <cellStyle name="常规 6 3 3 2 4 2 2 2 2 2 3" xfId="41749"/>
    <cellStyle name="常规 6 3 3 2 4 2 2 2 2 2 4" xfId="41750"/>
    <cellStyle name="常规 6 3 3 2 4 2 2 2 2 3" xfId="41751"/>
    <cellStyle name="常规 6 3 3 2 4 2 2 2 2 3 2" xfId="41752"/>
    <cellStyle name="常规 6 3 3 2 4 2 2 2 2 4" xfId="41753"/>
    <cellStyle name="常规 6 3 3 2 4 2 2 2 2 5" xfId="41754"/>
    <cellStyle name="常规 6 3 3 2 4 2 2 2 3" xfId="41755"/>
    <cellStyle name="常规 6 3 3 2 4 2 2 2 3 2" xfId="41756"/>
    <cellStyle name="常规 6 3 3 2 4 2 2 2 3 2 2" xfId="41757"/>
    <cellStyle name="常规 6 3 3 2 4 2 2 2 3 3" xfId="41758"/>
    <cellStyle name="常规 6 3 3 2 4 2 2 2 3 4" xfId="41759"/>
    <cellStyle name="常规 6 3 3 2 4 2 2 2 4" xfId="41760"/>
    <cellStyle name="常规 6 3 3 2 4 2 2 2 4 2" xfId="41761"/>
    <cellStyle name="常规 6 3 3 2 4 2 2 2 5" xfId="41762"/>
    <cellStyle name="常规 6 3 3 2 4 2 2 2 6" xfId="41763"/>
    <cellStyle name="常规 6 3 3 2 4 2 2 3" xfId="41764"/>
    <cellStyle name="常规 6 3 3 2 4 2 2 3 2" xfId="41765"/>
    <cellStyle name="常规 6 3 3 2 4 2 2 3 2 2" xfId="41766"/>
    <cellStyle name="常规 6 3 3 2 4 2 2 3 2 2 2" xfId="41767"/>
    <cellStyle name="常规 6 3 3 2 4 2 2 3 2 3" xfId="41768"/>
    <cellStyle name="常规 6 3 3 2 4 2 2 3 2 4" xfId="41769"/>
    <cellStyle name="常规 6 3 3 2 4 2 2 3 3" xfId="41770"/>
    <cellStyle name="常规 6 3 3 2 4 2 2 3 3 2" xfId="41771"/>
    <cellStyle name="常规 6 3 3 2 4 2 2 3 4" xfId="41772"/>
    <cellStyle name="常规 6 3 3 2 4 2 2 3 5" xfId="41773"/>
    <cellStyle name="常规 6 3 3 2 4 2 2 4" xfId="41774"/>
    <cellStyle name="常规 6 3 3 2 4 2 2 4 2" xfId="41775"/>
    <cellStyle name="常规 6 3 3 2 4 2 2 4 2 2" xfId="41776"/>
    <cellStyle name="常规 6 3 3 2 4 2 2 4 3" xfId="41777"/>
    <cellStyle name="常规 6 3 3 2 4 2 2 4 4" xfId="41778"/>
    <cellStyle name="常规 6 3 3 2 4 2 2 5" xfId="41780"/>
    <cellStyle name="常规 6 3 3 2 4 2 2 5 2" xfId="41781"/>
    <cellStyle name="常规 6 3 3 2 4 2 2 6" xfId="41782"/>
    <cellStyle name="常规 6 3 3 2 4 2 2 7" xfId="41783"/>
    <cellStyle name="常规 6 3 3 2 4 2 3" xfId="41784"/>
    <cellStyle name="常规 6 3 3 2 4 2 3 2" xfId="41785"/>
    <cellStyle name="常规 6 3 3 2 4 2 3 2 2" xfId="41786"/>
    <cellStyle name="常规 6 3 3 2 4 2 3 2 2 2" xfId="41787"/>
    <cellStyle name="常规 6 3 3 2 4 2 3 2 2 2 2" xfId="41788"/>
    <cellStyle name="常规 6 3 3 2 4 2 3 2 2 3" xfId="32311"/>
    <cellStyle name="常规 6 3 3 2 4 2 3 2 2 4" xfId="41789"/>
    <cellStyle name="常规 6 3 3 2 4 2 3 2 3" xfId="41790"/>
    <cellStyle name="常规 6 3 3 2 4 2 3 2 3 2" xfId="41791"/>
    <cellStyle name="常规 6 3 3 2 4 2 3 2 4" xfId="41792"/>
    <cellStyle name="常规 6 3 3 2 4 2 3 2 5" xfId="41793"/>
    <cellStyle name="常规 6 3 3 2 4 2 3 3" xfId="41794"/>
    <cellStyle name="常规 6 3 3 2 4 2 3 3 2" xfId="41795"/>
    <cellStyle name="常规 6 3 3 2 4 2 3 3 2 2" xfId="41796"/>
    <cellStyle name="常规 6 3 3 2 4 2 3 3 3" xfId="41797"/>
    <cellStyle name="常规 6 3 3 2 4 2 3 3 4" xfId="41798"/>
    <cellStyle name="常规 6 3 3 2 4 2 3 4" xfId="41799"/>
    <cellStyle name="常规 6 3 3 2 4 2 3 4 2" xfId="41800"/>
    <cellStyle name="常规 6 3 3 2 4 2 3 5" xfId="41801"/>
    <cellStyle name="常规 6 3 3 2 4 2 3 6" xfId="41802"/>
    <cellStyle name="常规 6 3 3 2 4 2 4" xfId="41803"/>
    <cellStyle name="常规 6 3 3 2 4 2 4 2" xfId="41804"/>
    <cellStyle name="常规 6 3 3 2 4 2 4 2 2" xfId="41805"/>
    <cellStyle name="常规 6 3 3 2 4 2 4 2 2 2" xfId="41806"/>
    <cellStyle name="常规 6 3 3 2 4 2 4 2 3" xfId="41807"/>
    <cellStyle name="常规 6 3 3 2 4 2 4 2 4" xfId="41808"/>
    <cellStyle name="常规 6 3 3 2 4 2 4 3" xfId="41809"/>
    <cellStyle name="常规 6 3 3 2 4 2 4 3 2" xfId="41810"/>
    <cellStyle name="常规 6 3 3 2 4 2 4 4" xfId="41811"/>
    <cellStyle name="常规 6 3 3 2 4 2 4 5" xfId="41812"/>
    <cellStyle name="常规 6 3 3 2 4 2 5" xfId="41813"/>
    <cellStyle name="常规 6 3 3 2 4 2 5 2" xfId="41814"/>
    <cellStyle name="常规 6 3 3 2 4 2 5 2 2" xfId="41815"/>
    <cellStyle name="常规 6 3 3 2 4 2 5 3" xfId="41816"/>
    <cellStyle name="常规 6 3 3 2 4 2 5 4" xfId="41817"/>
    <cellStyle name="常规 6 3 3 2 4 2 6" xfId="41818"/>
    <cellStyle name="常规 6 3 3 2 4 2 6 2" xfId="41819"/>
    <cellStyle name="常规 6 3 3 2 4 2 7" xfId="41820"/>
    <cellStyle name="常规 6 3 3 2 4 2 8" xfId="41821"/>
    <cellStyle name="常规 6 3 3 2 4 3" xfId="41822"/>
    <cellStyle name="常规 6 3 3 2 4 3 2" xfId="41823"/>
    <cellStyle name="常规 6 3 3 2 4 3 2 2" xfId="41824"/>
    <cellStyle name="常规 6 3 3 2 4 3 2 2 2" xfId="5621"/>
    <cellStyle name="常规 6 3 3 2 4 3 2 2 2 2" xfId="41825"/>
    <cellStyle name="常规 6 3 3 2 4 3 2 2 2 2 2" xfId="41826"/>
    <cellStyle name="常规 6 3 3 2 4 3 2 2 2 3" xfId="41827"/>
    <cellStyle name="常规 6 3 3 2 4 3 2 2 2 4" xfId="41828"/>
    <cellStyle name="常规 6 3 3 2 4 3 2 2 3" xfId="5627"/>
    <cellStyle name="常规 6 3 3 2 4 3 2 2 3 2" xfId="41829"/>
    <cellStyle name="常规 6 3 3 2 4 3 2 2 4" xfId="41830"/>
    <cellStyle name="常规 6 3 3 2 4 3 2 2 5" xfId="41831"/>
    <cellStyle name="常规 6 3 3 2 4 3 2 3" xfId="41832"/>
    <cellStyle name="常规 6 3 3 2 4 3 2 3 2" xfId="5634"/>
    <cellStyle name="常规 6 3 3 2 4 3 2 3 2 2" xfId="41833"/>
    <cellStyle name="常规 6 3 3 2 4 3 2 3 3" xfId="41834"/>
    <cellStyle name="常规 6 3 3 2 4 3 2 3 4" xfId="41835"/>
    <cellStyle name="常规 6 3 3 2 4 3 2 4" xfId="41836"/>
    <cellStyle name="常规 6 3 3 2 4 3 2 4 2" xfId="2275"/>
    <cellStyle name="常规 6 3 3 2 4 3 2 5" xfId="41837"/>
    <cellStyle name="常规 6 3 3 2 4 3 2 6" xfId="41838"/>
    <cellStyle name="常规 6 3 3 2 4 3 3" xfId="41839"/>
    <cellStyle name="常规 6 3 3 2 4 3 3 2" xfId="41840"/>
    <cellStyle name="常规 6 3 3 2 4 3 3 2 2" xfId="64"/>
    <cellStyle name="常规 6 3 3 2 4 3 3 2 2 2" xfId="41841"/>
    <cellStyle name="常规 6 3 3 2 4 3 3 2 3" xfId="34760"/>
    <cellStyle name="常规 6 3 3 2 4 3 3 2 4" xfId="41842"/>
    <cellStyle name="常规 6 3 3 2 4 3 3 3" xfId="41843"/>
    <cellStyle name="常规 6 3 3 2 4 3 3 3 2" xfId="41844"/>
    <cellStyle name="常规 6 3 3 2 4 3 3 4" xfId="41845"/>
    <cellStyle name="常规 6 3 3 2 4 3 3 5" xfId="41846"/>
    <cellStyle name="常规 6 3 3 2 4 3 4" xfId="41847"/>
    <cellStyle name="常规 6 3 3 2 4 3 4 2" xfId="41848"/>
    <cellStyle name="常规 6 3 3 2 4 3 4 2 2" xfId="41849"/>
    <cellStyle name="常规 6 3 3 2 4 3 4 3" xfId="41850"/>
    <cellStyle name="常规 6 3 3 2 4 3 4 4" xfId="41851"/>
    <cellStyle name="常规 6 3 3 2 4 3 5" xfId="41852"/>
    <cellStyle name="常规 6 3 3 2 4 3 5 2" xfId="41853"/>
    <cellStyle name="常规 6 3 3 2 4 3 6" xfId="41854"/>
    <cellStyle name="常规 6 3 3 2 4 3 7" xfId="41855"/>
    <cellStyle name="常规 6 3 3 2 4 4" xfId="41856"/>
    <cellStyle name="常规 6 3 3 2 4 4 2" xfId="41857"/>
    <cellStyle name="常规 6 3 3 2 4 4 2 2" xfId="41858"/>
    <cellStyle name="常规 6 3 3 2 4 4 2 2 2" xfId="5774"/>
    <cellStyle name="常规 6 3 3 2 4 4 2 2 2 2" xfId="41859"/>
    <cellStyle name="常规 6 3 3 2 4 4 2 2 3" xfId="41860"/>
    <cellStyle name="常规 6 3 3 2 4 4 2 2 4" xfId="41861"/>
    <cellStyle name="常规 6 3 3 2 4 4 2 3" xfId="41862"/>
    <cellStyle name="常规 6 3 3 2 4 4 2 3 2" xfId="41863"/>
    <cellStyle name="常规 6 3 3 2 4 4 2 4" xfId="41864"/>
    <cellStyle name="常规 6 3 3 2 4 4 2 5" xfId="41865"/>
    <cellStyle name="常规 6 3 3 2 4 4 3" xfId="41866"/>
    <cellStyle name="常规 6 3 3 2 4 4 3 2" xfId="13675"/>
    <cellStyle name="常规 6 3 3 2 4 4 3 2 2" xfId="41867"/>
    <cellStyle name="常规 6 3 3 2 4 4 3 3" xfId="41868"/>
    <cellStyle name="常规 6 3 3 2 4 4 3 4" xfId="41869"/>
    <cellStyle name="常规 6 3 3 2 4 4 4" xfId="41870"/>
    <cellStyle name="常规 6 3 3 2 4 4 4 2" xfId="41871"/>
    <cellStyle name="常规 6 3 3 2 4 4 5" xfId="8556"/>
    <cellStyle name="常规 6 3 3 2 4 4 6" xfId="41872"/>
    <cellStyle name="常规 6 3 3 2 4 5" xfId="41873"/>
    <cellStyle name="常规 6 3 3 2 4 5 2" xfId="41874"/>
    <cellStyle name="常规 6 3 3 2 4 5 2 2" xfId="41875"/>
    <cellStyle name="常规 6 3 3 2 4 5 2 2 2" xfId="41876"/>
    <cellStyle name="常规 6 3 3 2 4 5 2 3" xfId="41877"/>
    <cellStyle name="常规 6 3 3 2 4 5 2 4" xfId="41878"/>
    <cellStyle name="常规 6 3 3 2 4 5 3" xfId="41879"/>
    <cellStyle name="常规 6 3 3 2 4 5 3 2" xfId="41880"/>
    <cellStyle name="常规 6 3 3 2 4 5 4" xfId="41881"/>
    <cellStyle name="常规 6 3 3 2 4 5 5" xfId="41882"/>
    <cellStyle name="常规 6 3 3 2 4 6" xfId="41883"/>
    <cellStyle name="常规 6 3 3 2 4 6 2" xfId="41884"/>
    <cellStyle name="常规 6 3 3 2 4 6 2 2" xfId="41885"/>
    <cellStyle name="常规 6 3 3 2 4 6 3" xfId="41887"/>
    <cellStyle name="常规 6 3 3 2 4 6 4" xfId="41889"/>
    <cellStyle name="常规 6 3 3 2 4 7" xfId="41890"/>
    <cellStyle name="常规 6 3 3 2 4 7 2" xfId="41891"/>
    <cellStyle name="常规 6 3 3 2 4 8" xfId="41892"/>
    <cellStyle name="常规 6 3 3 2 4 9" xfId="41893"/>
    <cellStyle name="常规 6 3 3 2 5" xfId="41894"/>
    <cellStyle name="常规 6 3 3 2 5 2" xfId="41895"/>
    <cellStyle name="常规 6 3 3 2 5 2 2" xfId="41896"/>
    <cellStyle name="常规 6 3 3 2 5 2 2 2" xfId="41897"/>
    <cellStyle name="常规 6 3 3 2 5 2 2 2 2" xfId="41899"/>
    <cellStyle name="常规 6 3 3 2 5 2 2 2 2 2" xfId="41901"/>
    <cellStyle name="常规 6 3 3 2 5 2 2 2 2 2 2" xfId="41902"/>
    <cellStyle name="常规 6 3 3 2 5 2 2 2 2 3" xfId="41903"/>
    <cellStyle name="常规 6 3 3 2 5 2 2 2 2 4" xfId="41904"/>
    <cellStyle name="常规 6 3 3 2 5 2 2 2 3" xfId="41906"/>
    <cellStyle name="常规 6 3 3 2 5 2 2 2 3 2" xfId="41907"/>
    <cellStyle name="常规 6 3 3 2 5 2 2 2 4" xfId="41909"/>
    <cellStyle name="常规 6 3 3 2 5 2 2 2 5" xfId="41910"/>
    <cellStyle name="常规 6 3 3 2 5 2 2 3" xfId="41911"/>
    <cellStyle name="常规 6 3 3 2 5 2 2 3 2" xfId="41913"/>
    <cellStyle name="常规 6 3 3 2 5 2 2 3 2 2" xfId="41914"/>
    <cellStyle name="常规 6 3 3 2 5 2 2 3 3" xfId="41916"/>
    <cellStyle name="常规 6 3 3 2 5 2 2 3 4" xfId="41917"/>
    <cellStyle name="常规 6 3 3 2 5 2 2 4" xfId="41918"/>
    <cellStyle name="常规 6 3 3 2 5 2 2 4 2" xfId="41919"/>
    <cellStyle name="常规 6 3 3 2 5 2 2 5" xfId="41920"/>
    <cellStyle name="常规 6 3 3 2 5 2 2 6" xfId="41921"/>
    <cellStyle name="常规 6 3 3 2 5 2 3" xfId="41922"/>
    <cellStyle name="常规 6 3 3 2 5 2 3 2" xfId="41923"/>
    <cellStyle name="常规 6 3 3 2 5 2 3 2 2" xfId="41925"/>
    <cellStyle name="常规 6 3 3 2 5 2 3 2 2 2" xfId="41926"/>
    <cellStyle name="常规 6 3 3 2 5 2 3 2 3" xfId="41928"/>
    <cellStyle name="常规 6 3 3 2 5 2 3 2 4" xfId="41929"/>
    <cellStyle name="常规 6 3 3 2 5 2 3 3" xfId="41930"/>
    <cellStyle name="常规 6 3 3 2 5 2 3 3 2" xfId="41931"/>
    <cellStyle name="常规 6 3 3 2 5 2 3 4" xfId="41932"/>
    <cellStyle name="常规 6 3 3 2 5 2 3 5" xfId="41933"/>
    <cellStyle name="常规 6 3 3 2 5 2 4" xfId="41934"/>
    <cellStyle name="常规 6 3 3 2 5 2 4 2" xfId="41935"/>
    <cellStyle name="常规 6 3 3 2 5 2 4 2 2" xfId="41936"/>
    <cellStyle name="常规 6 3 3 2 5 2 4 3" xfId="41937"/>
    <cellStyle name="常规 6 3 3 2 5 2 4 4" xfId="41938"/>
    <cellStyle name="常规 6 3 3 2 5 2 5" xfId="41939"/>
    <cellStyle name="常规 6 3 3 2 5 2 5 2" xfId="41940"/>
    <cellStyle name="常规 6 3 3 2 5 2 6" xfId="41941"/>
    <cellStyle name="常规 6 3 3 2 5 2 7" xfId="41942"/>
    <cellStyle name="常规 6 3 3 2 5 3" xfId="41943"/>
    <cellStyle name="常规 6 3 3 2 5 3 2" xfId="41944"/>
    <cellStyle name="常规 6 3 3 2 5 3 2 2" xfId="41945"/>
    <cellStyle name="常规 6 3 3 2 5 3 2 2 2" xfId="1055"/>
    <cellStyle name="常规 6 3 3 2 5 3 2 2 2 2" xfId="41946"/>
    <cellStyle name="常规 6 3 3 2 5 3 2 2 3" xfId="41947"/>
    <cellStyle name="常规 6 3 3 2 5 3 2 2 4" xfId="41948"/>
    <cellStyle name="常规 6 3 3 2 5 3 2 3" xfId="41949"/>
    <cellStyle name="常规 6 3 3 2 5 3 2 3 2" xfId="41950"/>
    <cellStyle name="常规 6 3 3 2 5 3 2 4" xfId="41951"/>
    <cellStyle name="常规 6 3 3 2 5 3 2 5" xfId="41952"/>
    <cellStyle name="常规 6 3 3 2 5 3 3" xfId="41953"/>
    <cellStyle name="常规 6 3 3 2 5 3 3 2" xfId="41954"/>
    <cellStyle name="常规 6 3 3 2 5 3 3 2 2" xfId="41955"/>
    <cellStyle name="常规 6 3 3 2 5 3 3 3" xfId="41956"/>
    <cellStyle name="常规 6 3 3 2 5 3 3 4" xfId="41957"/>
    <cellStyle name="常规 6 3 3 2 5 3 4" xfId="41958"/>
    <cellStyle name="常规 6 3 3 2 5 3 4 2" xfId="41959"/>
    <cellStyle name="常规 6 3 3 2 5 3 5" xfId="41960"/>
    <cellStyle name="常规 6 3 3 2 5 3 6" xfId="41961"/>
    <cellStyle name="常规 6 3 3 2 5 4" xfId="41962"/>
    <cellStyle name="常规 6 3 3 2 5 4 2" xfId="41963"/>
    <cellStyle name="常规 6 3 3 2 5 4 2 2" xfId="41964"/>
    <cellStyle name="常规 6 3 3 2 5 4 2 2 2" xfId="41965"/>
    <cellStyle name="常规 6 3 3 2 5 4 2 3" xfId="41966"/>
    <cellStyle name="常规 6 3 3 2 5 4 2 4" xfId="41967"/>
    <cellStyle name="常规 6 3 3 2 5 4 3" xfId="13717"/>
    <cellStyle name="常规 6 3 3 2 5 4 3 2" xfId="41968"/>
    <cellStyle name="常规 6 3 3 2 5 4 4" xfId="41969"/>
    <cellStyle name="常规 6 3 3 2 5 4 5" xfId="41970"/>
    <cellStyle name="常规 6 3 3 2 5 5" xfId="41971"/>
    <cellStyle name="常规 6 3 3 2 5 5 2" xfId="41972"/>
    <cellStyle name="常规 6 3 3 2 5 5 2 2" xfId="41973"/>
    <cellStyle name="常规 6 3 3 2 5 5 3" xfId="41974"/>
    <cellStyle name="常规 6 3 3 2 5 5 4" xfId="41975"/>
    <cellStyle name="常规 6 3 3 2 5 6" xfId="41977"/>
    <cellStyle name="常规 6 3 3 2 5 6 2" xfId="41979"/>
    <cellStyle name="常规 6 3 3 2 5 7" xfId="41981"/>
    <cellStyle name="常规 6 3 3 2 5 8" xfId="41983"/>
    <cellStyle name="常规 6 3 3 2 6" xfId="41984"/>
    <cellStyle name="常规 6 3 3 2 6 2" xfId="41985"/>
    <cellStyle name="常规 6 3 3 2 6 2 2" xfId="41986"/>
    <cellStyle name="常规 6 3 3 2 6 2 2 2" xfId="41987"/>
    <cellStyle name="常规 6 3 3 2 6 2 2 2 2" xfId="41988"/>
    <cellStyle name="常规 6 3 3 2 6 2 2 2 2 2" xfId="41989"/>
    <cellStyle name="常规 6 3 3 2 6 2 2 2 3" xfId="41990"/>
    <cellStyle name="常规 6 3 3 2 6 2 2 2 4" xfId="41991"/>
    <cellStyle name="常规 6 3 3 2 6 2 2 3" xfId="41992"/>
    <cellStyle name="常规 6 3 3 2 6 2 2 3 2" xfId="41993"/>
    <cellStyle name="常规 6 3 3 2 6 2 2 4" xfId="41994"/>
    <cellStyle name="常规 6 3 3 2 6 2 2 5" xfId="41995"/>
    <cellStyle name="常规 6 3 3 2 6 2 3" xfId="41996"/>
    <cellStyle name="常规 6 3 3 2 6 2 3 2" xfId="41997"/>
    <cellStyle name="常规 6 3 3 2 6 2 3 2 2" xfId="41998"/>
    <cellStyle name="常规 6 3 3 2 6 2 3 3" xfId="41999"/>
    <cellStyle name="常规 6 3 3 2 6 2 3 4" xfId="42000"/>
    <cellStyle name="常规 6 3 3 2 6 2 4" xfId="42001"/>
    <cellStyle name="常规 6 3 3 2 6 2 4 2" xfId="42002"/>
    <cellStyle name="常规 6 3 3 2 6 2 5" xfId="42003"/>
    <cellStyle name="常规 6 3 3 2 6 2 6" xfId="42004"/>
    <cellStyle name="常规 6 3 3 2 6 3" xfId="42005"/>
    <cellStyle name="常规 6 3 3 2 6 3 2" xfId="42006"/>
    <cellStyle name="常规 6 3 3 2 6 3 2 2" xfId="42007"/>
    <cellStyle name="常规 6 3 3 2 6 3 2 2 2" xfId="42008"/>
    <cellStyle name="常规 6 3 3 2 6 3 2 3" xfId="42009"/>
    <cellStyle name="常规 6 3 3 2 6 3 2 4" xfId="42010"/>
    <cellStyle name="常规 6 3 3 2 6 3 3" xfId="42011"/>
    <cellStyle name="常规 6 3 3 2 6 3 3 2" xfId="42012"/>
    <cellStyle name="常规 6 3 3 2 6 3 4" xfId="42013"/>
    <cellStyle name="常规 6 3 3 2 6 3 5" xfId="42014"/>
    <cellStyle name="常规 6 3 3 2 6 4" xfId="42015"/>
    <cellStyle name="常规 6 3 3 2 6 4 2" xfId="42016"/>
    <cellStyle name="常规 6 3 3 2 6 4 2 2" xfId="42017"/>
    <cellStyle name="常规 6 3 3 2 6 4 3" xfId="42018"/>
    <cellStyle name="常规 6 3 3 2 6 4 4" xfId="42019"/>
    <cellStyle name="常规 6 3 3 2 6 5" xfId="42020"/>
    <cellStyle name="常规 6 3 3 2 6 5 2" xfId="42021"/>
    <cellStyle name="常规 6 3 3 2 6 6" xfId="42023"/>
    <cellStyle name="常规 6 3 3 2 6 7" xfId="42025"/>
    <cellStyle name="常规 6 3 3 2 7" xfId="42026"/>
    <cellStyle name="常规 6 3 3 2 7 2" xfId="42027"/>
    <cellStyle name="常规 6 3 3 2 7 2 2" xfId="42028"/>
    <cellStyle name="常规 6 3 3 2 7 2 2 2" xfId="42029"/>
    <cellStyle name="常规 6 3 3 2 7 2 2 2 2" xfId="42030"/>
    <cellStyle name="常规 6 3 3 2 7 2 2 3" xfId="40414"/>
    <cellStyle name="常规 6 3 3 2 7 2 2 4" xfId="42031"/>
    <cellStyle name="常规 6 3 3 2 7 2 3" xfId="42032"/>
    <cellStyle name="常规 6 3 3 2 7 2 3 2" xfId="42033"/>
    <cellStyle name="常规 6 3 3 2 7 2 4" xfId="42034"/>
    <cellStyle name="常规 6 3 3 2 7 2 5" xfId="42035"/>
    <cellStyle name="常规 6 3 3 2 7 3" xfId="42036"/>
    <cellStyle name="常规 6 3 3 2 7 3 2" xfId="42037"/>
    <cellStyle name="常规 6 3 3 2 7 3 2 2" xfId="42038"/>
    <cellStyle name="常规 6 3 3 2 7 3 3" xfId="42039"/>
    <cellStyle name="常规 6 3 3 2 7 3 4" xfId="42040"/>
    <cellStyle name="常规 6 3 3 2 7 4" xfId="42041"/>
    <cellStyle name="常规 6 3 3 2 7 4 2" xfId="42042"/>
    <cellStyle name="常规 6 3 3 2 7 5" xfId="42043"/>
    <cellStyle name="常规 6 3 3 2 7 6" xfId="10494"/>
    <cellStyle name="常规 6 3 3 2 8" xfId="42044"/>
    <cellStyle name="常规 6 3 3 2 8 2" xfId="42045"/>
    <cellStyle name="常规 6 3 3 2 8 2 2" xfId="42046"/>
    <cellStyle name="常规 6 3 3 2 8 2 2 2" xfId="42048"/>
    <cellStyle name="常规 6 3 3 2 8 2 3" xfId="42049"/>
    <cellStyle name="常规 6 3 3 2 8 2 4" xfId="42050"/>
    <cellStyle name="常规 6 3 3 2 8 3" xfId="42051"/>
    <cellStyle name="常规 6 3 3 2 8 3 2" xfId="42052"/>
    <cellStyle name="常规 6 3 3 2 8 4" xfId="42053"/>
    <cellStyle name="常规 6 3 3 2 8 5" xfId="42054"/>
    <cellStyle name="常规 6 3 3 2 9" xfId="42055"/>
    <cellStyle name="常规 6 3 3 2 9 2" xfId="42056"/>
    <cellStyle name="常规 6 3 3 2 9 2 2" xfId="42057"/>
    <cellStyle name="常规 6 3 3 2 9 3" xfId="42058"/>
    <cellStyle name="常规 6 3 3 2 9 4" xfId="42059"/>
    <cellStyle name="常规 6 3 3 3" xfId="42060"/>
    <cellStyle name="常规 6 3 3 3 10" xfId="42061"/>
    <cellStyle name="常规 6 3 3 3 11" xfId="42062"/>
    <cellStyle name="常规 6 3 3 3 2" xfId="42063"/>
    <cellStyle name="常规 6 3 3 3 2 2" xfId="42064"/>
    <cellStyle name="常规 6 3 3 3 2 2 2" xfId="42065"/>
    <cellStyle name="常规 6 3 3 3 2 2 2 2" xfId="42066"/>
    <cellStyle name="常规 6 3 3 3 2 2 2 2 2" xfId="3903"/>
    <cellStyle name="常规 6 3 3 3 2 2 2 2 2 2" xfId="6681"/>
    <cellStyle name="常规 6 3 3 3 2 2 2 2 2 2 2" xfId="42067"/>
    <cellStyle name="常规 6 3 3 3 2 2 2 2 2 2 2 2" xfId="42068"/>
    <cellStyle name="常规 6 3 3 3 2 2 2 2 2 2 3" xfId="42069"/>
    <cellStyle name="常规 6 3 3 3 2 2 2 2 2 2 4" xfId="42070"/>
    <cellStyle name="常规 6 3 3 3 2 2 2 2 2 3" xfId="42071"/>
    <cellStyle name="常规 6 3 3 3 2 2 2 2 2 3 2" xfId="7682"/>
    <cellStyle name="常规 6 3 3 3 2 2 2 2 2 4" xfId="42072"/>
    <cellStyle name="常规 6 3 3 3 2 2 2 2 2 5" xfId="42073"/>
    <cellStyle name="常规 6 3 3 3 2 2 2 2 3" xfId="6780"/>
    <cellStyle name="常规 6 3 3 3 2 2 2 2 3 2" xfId="42074"/>
    <cellStyle name="常规 6 3 3 3 2 2 2 2 3 2 2" xfId="42075"/>
    <cellStyle name="常规 6 3 3 3 2 2 2 2 3 3" xfId="42076"/>
    <cellStyle name="常规 6 3 3 3 2 2 2 2 3 4" xfId="42077"/>
    <cellStyle name="常规 6 3 3 3 2 2 2 2 4" xfId="42078"/>
    <cellStyle name="常规 6 3 3 3 2 2 2 2 4 2" xfId="42079"/>
    <cellStyle name="常规 6 3 3 3 2 2 2 2 5" xfId="35118"/>
    <cellStyle name="常规 6 3 3 3 2 2 2 2 6" xfId="35121"/>
    <cellStyle name="常规 6 3 3 3 2 2 2 3" xfId="42080"/>
    <cellStyle name="常规 6 3 3 3 2 2 2 3 2" xfId="49"/>
    <cellStyle name="常规 6 3 3 3 2 2 2 3 2 2" xfId="42081"/>
    <cellStyle name="常规 6 3 3 3 2 2 2 3 2 2 2" xfId="42082"/>
    <cellStyle name="常规 6 3 3 3 2 2 2 3 2 3" xfId="42083"/>
    <cellStyle name="常规 6 3 3 3 2 2 2 3 2 4" xfId="42084"/>
    <cellStyle name="常规 6 3 3 3 2 2 2 3 3" xfId="42085"/>
    <cellStyle name="常规 6 3 3 3 2 2 2 3 3 2" xfId="42086"/>
    <cellStyle name="常规 6 3 3 3 2 2 2 3 4" xfId="42087"/>
    <cellStyle name="常规 6 3 3 3 2 2 2 3 5" xfId="35125"/>
    <cellStyle name="常规 6 3 3 3 2 2 2 4" xfId="42088"/>
    <cellStyle name="常规 6 3 3 3 2 2 2 4 2" xfId="42089"/>
    <cellStyle name="常规 6 3 3 3 2 2 2 4 2 2" xfId="42090"/>
    <cellStyle name="常规 6 3 3 3 2 2 2 4 3" xfId="42091"/>
    <cellStyle name="常规 6 3 3 3 2 2 2 4 4" xfId="42092"/>
    <cellStyle name="常规 6 3 3 3 2 2 2 5" xfId="42093"/>
    <cellStyle name="常规 6 3 3 3 2 2 2 5 2" xfId="42094"/>
    <cellStyle name="常规 6 3 3 3 2 2 2 6" xfId="42095"/>
    <cellStyle name="常规 6 3 3 3 2 2 2 7" xfId="42096"/>
    <cellStyle name="常规 6 3 3 3 2 2 3" xfId="42097"/>
    <cellStyle name="常规 6 3 3 3 2 2 3 2" xfId="42098"/>
    <cellStyle name="常规 6 3 3 3 2 2 3 2 2" xfId="8600"/>
    <cellStyle name="常规 6 3 3 3 2 2 3 2 2 2" xfId="42099"/>
    <cellStyle name="常规 6 3 3 3 2 2 3 2 2 2 2" xfId="42100"/>
    <cellStyle name="常规 6 3 3 3 2 2 3 2 2 3" xfId="42101"/>
    <cellStyle name="常规 6 3 3 3 2 2 3 2 2 4" xfId="42102"/>
    <cellStyle name="常规 6 3 3 3 2 2 3 2 3" xfId="42103"/>
    <cellStyle name="常规 6 3 3 3 2 2 3 2 3 2" xfId="42104"/>
    <cellStyle name="常规 6 3 3 3 2 2 3 2 4" xfId="42105"/>
    <cellStyle name="常规 6 3 3 3 2 2 3 2 5" xfId="35136"/>
    <cellStyle name="常规 6 3 3 3 2 2 3 3" xfId="42106"/>
    <cellStyle name="常规 6 3 3 3 2 2 3 3 2" xfId="42107"/>
    <cellStyle name="常规 6 3 3 3 2 2 3 3 2 2" xfId="42108"/>
    <cellStyle name="常规 6 3 3 3 2 2 3 3 3" xfId="42109"/>
    <cellStyle name="常规 6 3 3 3 2 2 3 3 4" xfId="42110"/>
    <cellStyle name="常规 6 3 3 3 2 2 3 4" xfId="42111"/>
    <cellStyle name="常规 6 3 3 3 2 2 3 4 2" xfId="42112"/>
    <cellStyle name="常规 6 3 3 3 2 2 3 5" xfId="42113"/>
    <cellStyle name="常规 6 3 3 3 2 2 3 6" xfId="4955"/>
    <cellStyle name="常规 6 3 3 3 2 2 4" xfId="42114"/>
    <cellStyle name="常规 6 3 3 3 2 2 4 2" xfId="42115"/>
    <cellStyle name="常规 6 3 3 3 2 2 4 2 2" xfId="42116"/>
    <cellStyle name="常规 6 3 3 3 2 2 4 2 2 2" xfId="42117"/>
    <cellStyle name="常规 6 3 3 3 2 2 4 2 3" xfId="42118"/>
    <cellStyle name="常规 6 3 3 3 2 2 4 2 4" xfId="42119"/>
    <cellStyle name="常规 6 3 3 3 2 2 4 3" xfId="42120"/>
    <cellStyle name="常规 6 3 3 3 2 2 4 3 2" xfId="42121"/>
    <cellStyle name="常规 6 3 3 3 2 2 4 4" xfId="42122"/>
    <cellStyle name="常规 6 3 3 3 2 2 4 5" xfId="42123"/>
    <cellStyle name="常规 6 3 3 3 2 2 5" xfId="42124"/>
    <cellStyle name="常规 6 3 3 3 2 2 5 2" xfId="42125"/>
    <cellStyle name="常规 6 3 3 3 2 2 5 2 2" xfId="42126"/>
    <cellStyle name="常规 6 3 3 3 2 2 5 3" xfId="42127"/>
    <cellStyle name="常规 6 3 3 3 2 2 5 4" xfId="42128"/>
    <cellStyle name="常规 6 3 3 3 2 2 6" xfId="42129"/>
    <cellStyle name="常规 6 3 3 3 2 2 6 2" xfId="42130"/>
    <cellStyle name="常规 6 3 3 3 2 2 7" xfId="42131"/>
    <cellStyle name="常规 6 3 3 3 2 2 8" xfId="39152"/>
    <cellStyle name="常规 6 3 3 3 2 3" xfId="42132"/>
    <cellStyle name="常规 6 3 3 3 2 3 2" xfId="42133"/>
    <cellStyle name="常规 6 3 3 3 2 3 2 2" xfId="42134"/>
    <cellStyle name="常规 6 3 3 3 2 3 2 2 2" xfId="6248"/>
    <cellStyle name="常规 6 3 3 3 2 3 2 2 2 2" xfId="42135"/>
    <cellStyle name="常规 6 3 3 3 2 3 2 2 2 2 2" xfId="42136"/>
    <cellStyle name="常规 6 3 3 3 2 3 2 2 2 3" xfId="42137"/>
    <cellStyle name="常规 6 3 3 3 2 3 2 2 2 4" xfId="42138"/>
    <cellStyle name="常规 6 3 3 3 2 3 2 2 3" xfId="6251"/>
    <cellStyle name="常规 6 3 3 3 2 3 2 2 3 2" xfId="42139"/>
    <cellStyle name="常规 6 3 3 3 2 3 2 2 4" xfId="42140"/>
    <cellStyle name="常规 6 3 3 3 2 3 2 2 5" xfId="35153"/>
    <cellStyle name="常规 6 3 3 3 2 3 2 3" xfId="42141"/>
    <cellStyle name="常规 6 3 3 3 2 3 2 3 2" xfId="5219"/>
    <cellStyle name="常规 6 3 3 3 2 3 2 3 2 2" xfId="42142"/>
    <cellStyle name="常规 6 3 3 3 2 3 2 3 3" xfId="42143"/>
    <cellStyle name="常规 6 3 3 3 2 3 2 3 4" xfId="42144"/>
    <cellStyle name="常规 6 3 3 3 2 3 2 4" xfId="42145"/>
    <cellStyle name="常规 6 3 3 3 2 3 2 4 2" xfId="42146"/>
    <cellStyle name="常规 6 3 3 3 2 3 2 5" xfId="42147"/>
    <cellStyle name="常规 6 3 3 3 2 3 2 6" xfId="42148"/>
    <cellStyle name="常规 6 3 3 3 2 3 3" xfId="42149"/>
    <cellStyle name="常规 6 3 3 3 2 3 3 2" xfId="42150"/>
    <cellStyle name="常规 6 3 3 3 2 3 3 2 2" xfId="6280"/>
    <cellStyle name="常规 6 3 3 3 2 3 3 2 2 2" xfId="42151"/>
    <cellStyle name="常规 6 3 3 3 2 3 3 2 3" xfId="42152"/>
    <cellStyle name="常规 6 3 3 3 2 3 3 2 4" xfId="42153"/>
    <cellStyle name="常规 6 3 3 3 2 3 3 3" xfId="42154"/>
    <cellStyle name="常规 6 3 3 3 2 3 3 3 2" xfId="42155"/>
    <cellStyle name="常规 6 3 3 3 2 3 3 4" xfId="42156"/>
    <cellStyle name="常规 6 3 3 3 2 3 3 5" xfId="42157"/>
    <cellStyle name="常规 6 3 3 3 2 3 4" xfId="42158"/>
    <cellStyle name="常规 6 3 3 3 2 3 4 2" xfId="42159"/>
    <cellStyle name="常规 6 3 3 3 2 3 4 2 2" xfId="42160"/>
    <cellStyle name="常规 6 3 3 3 2 3 4 3" xfId="42161"/>
    <cellStyle name="常规 6 3 3 3 2 3 4 4" xfId="42162"/>
    <cellStyle name="常规 6 3 3 3 2 3 5" xfId="42163"/>
    <cellStyle name="常规 6 3 3 3 2 3 5 2" xfId="42164"/>
    <cellStyle name="常规 6 3 3 3 2 3 6" xfId="42165"/>
    <cellStyle name="常规 6 3 3 3 2 3 7" xfId="42166"/>
    <cellStyle name="常规 6 3 3 3 2 4" xfId="42167"/>
    <cellStyle name="常规 6 3 3 3 2 4 2" xfId="42168"/>
    <cellStyle name="常规 6 3 3 3 2 4 2 2" xfId="42169"/>
    <cellStyle name="常规 6 3 3 3 2 4 2 2 2" xfId="4499"/>
    <cellStyle name="常规 6 3 3 3 2 4 2 2 2 2" xfId="42170"/>
    <cellStyle name="常规 6 3 3 3 2 4 2 2 3" xfId="42171"/>
    <cellStyle name="常规 6 3 3 3 2 4 2 2 4" xfId="42172"/>
    <cellStyle name="常规 6 3 3 3 2 4 2 3" xfId="42173"/>
    <cellStyle name="常规 6 3 3 3 2 4 2 3 2" xfId="42174"/>
    <cellStyle name="常规 6 3 3 3 2 4 2 4" xfId="42175"/>
    <cellStyle name="常规 6 3 3 3 2 4 2 5" xfId="42176"/>
    <cellStyle name="常规 6 3 3 3 2 4 3" xfId="42177"/>
    <cellStyle name="常规 6 3 3 3 2 4 3 2" xfId="13931"/>
    <cellStyle name="常规 6 3 3 3 2 4 3 2 2" xfId="42178"/>
    <cellStyle name="常规 6 3 3 3 2 4 3 3" xfId="42179"/>
    <cellStyle name="常规 6 3 3 3 2 4 3 4" xfId="42180"/>
    <cellStyle name="常规 6 3 3 3 2 4 4" xfId="42181"/>
    <cellStyle name="常规 6 3 3 3 2 4 4 2" xfId="42182"/>
    <cellStyle name="常规 6 3 3 3 2 4 5" xfId="42183"/>
    <cellStyle name="常规 6 3 3 3 2 4 6" xfId="42184"/>
    <cellStyle name="常规 6 3 3 3 2 5" xfId="37759"/>
    <cellStyle name="常规 6 3 3 3 2 5 2" xfId="37765"/>
    <cellStyle name="常规 6 3 3 3 2 5 2 2" xfId="37769"/>
    <cellStyle name="常规 6 3 3 3 2 5 2 2 2" xfId="37771"/>
    <cellStyle name="常规 6 3 3 3 2 5 2 3" xfId="37917"/>
    <cellStyle name="常规 6 3 3 3 2 5 2 4" xfId="38082"/>
    <cellStyle name="常规 6 3 3 3 2 5 3" xfId="38241"/>
    <cellStyle name="常规 6 3 3 3 2 5 3 2" xfId="38243"/>
    <cellStyle name="常规 6 3 3 3 2 5 4" xfId="38352"/>
    <cellStyle name="常规 6 3 3 3 2 5 5" xfId="38490"/>
    <cellStyle name="常规 6 3 3 3 2 6" xfId="38633"/>
    <cellStyle name="常规 6 3 3 3 2 6 2" xfId="38637"/>
    <cellStyle name="常规 6 3 3 3 2 6 2 2" xfId="38639"/>
    <cellStyle name="常规 6 3 3 3 2 6 3" xfId="38770"/>
    <cellStyle name="常规 6 3 3 3 2 6 4" xfId="38915"/>
    <cellStyle name="常规 6 3 3 3 2 7" xfId="39068"/>
    <cellStyle name="常规 6 3 3 3 2 7 2" xfId="39070"/>
    <cellStyle name="常规 6 3 3 3 2 8" xfId="39225"/>
    <cellStyle name="常规 6 3 3 3 2 9" xfId="39370"/>
    <cellStyle name="常规 6 3 3 3 3" xfId="42185"/>
    <cellStyle name="常规 6 3 3 3 3 2" xfId="42186"/>
    <cellStyle name="常规 6 3 3 3 3 2 2" xfId="42187"/>
    <cellStyle name="常规 6 3 3 3 3 2 2 2" xfId="42188"/>
    <cellStyle name="常规 6 3 3 3 3 2 2 2 2" xfId="42189"/>
    <cellStyle name="常规 6 3 3 3 3 2 2 2 2 2" xfId="42190"/>
    <cellStyle name="常规 6 3 3 3 3 2 2 2 2 2 2" xfId="42191"/>
    <cellStyle name="常规 6 3 3 3 3 2 2 2 2 2 2 2" xfId="42192"/>
    <cellStyle name="常规 6 3 3 3 3 2 2 2 2 2 3" xfId="42193"/>
    <cellStyle name="常规 6 3 3 3 3 2 2 2 2 2 4" xfId="13579"/>
    <cellStyle name="常规 6 3 3 3 3 2 2 2 2 3" xfId="42194"/>
    <cellStyle name="常规 6 3 3 3 3 2 2 2 2 3 2" xfId="2055"/>
    <cellStyle name="常规 6 3 3 3 3 2 2 2 2 4" xfId="42195"/>
    <cellStyle name="常规 6 3 3 3 3 2 2 2 2 5" xfId="42196"/>
    <cellStyle name="常规 6 3 3 3 3 2 2 2 3" xfId="42197"/>
    <cellStyle name="常规 6 3 3 3 3 2 2 2 3 2" xfId="42198"/>
    <cellStyle name="常规 6 3 3 3 3 2 2 2 3 2 2" xfId="42199"/>
    <cellStyle name="常规 6 3 3 3 3 2 2 2 3 3" xfId="42200"/>
    <cellStyle name="常规 6 3 3 3 3 2 2 2 3 4" xfId="42201"/>
    <cellStyle name="常规 6 3 3 3 3 2 2 2 4" xfId="42202"/>
    <cellStyle name="常规 6 3 3 3 3 2 2 2 4 2" xfId="42203"/>
    <cellStyle name="常规 6 3 3 3 3 2 2 2 5" xfId="42204"/>
    <cellStyle name="常规 6 3 3 3 3 2 2 2 6" xfId="42205"/>
    <cellStyle name="常规 6 3 3 3 3 2 2 3" xfId="42206"/>
    <cellStyle name="常规 6 3 3 3 3 2 2 3 2" xfId="42207"/>
    <cellStyle name="常规 6 3 3 3 3 2 2 3 2 2" xfId="42208"/>
    <cellStyle name="常规 6 3 3 3 3 2 2 3 2 2 2" xfId="13999"/>
    <cellStyle name="常规 6 3 3 3 3 2 2 3 2 3" xfId="42209"/>
    <cellStyle name="常规 6 3 3 3 3 2 2 3 2 4" xfId="42210"/>
    <cellStyle name="常规 6 3 3 3 3 2 2 3 3" xfId="42211"/>
    <cellStyle name="常规 6 3 3 3 3 2 2 3 3 2" xfId="42212"/>
    <cellStyle name="常规 6 3 3 3 3 2 2 3 4" xfId="42213"/>
    <cellStyle name="常规 6 3 3 3 3 2 2 3 5" xfId="42214"/>
    <cellStyle name="常规 6 3 3 3 3 2 2 4" xfId="42215"/>
    <cellStyle name="常规 6 3 3 3 3 2 2 4 2" xfId="42216"/>
    <cellStyle name="常规 6 3 3 3 3 2 2 4 2 2" xfId="42217"/>
    <cellStyle name="常规 6 3 3 3 3 2 2 4 3" xfId="42218"/>
    <cellStyle name="常规 6 3 3 3 3 2 2 4 4" xfId="42219"/>
    <cellStyle name="常规 6 3 3 3 3 2 2 5" xfId="42220"/>
    <cellStyle name="常规 6 3 3 3 3 2 2 5 2" xfId="42221"/>
    <cellStyle name="常规 6 3 3 3 3 2 2 6" xfId="42222"/>
    <cellStyle name="常规 6 3 3 3 3 2 2 7" xfId="42223"/>
    <cellStyle name="常规 6 3 3 3 3 2 3" xfId="42224"/>
    <cellStyle name="常规 6 3 3 3 3 2 3 2" xfId="42225"/>
    <cellStyle name="常规 6 3 3 3 3 2 3 2 2" xfId="42226"/>
    <cellStyle name="常规 6 3 3 3 3 2 3 2 2 2" xfId="42227"/>
    <cellStyle name="常规 6 3 3 3 3 2 3 2 2 2 2" xfId="42229"/>
    <cellStyle name="常规 6 3 3 3 3 2 3 2 2 3" xfId="42230"/>
    <cellStyle name="常规 6 3 3 3 3 2 3 2 2 4" xfId="42231"/>
    <cellStyle name="常规 6 3 3 3 3 2 3 2 3" xfId="42232"/>
    <cellStyle name="常规 6 3 3 3 3 2 3 2 3 2" xfId="42233"/>
    <cellStyle name="常规 6 3 3 3 3 2 3 2 4" xfId="42234"/>
    <cellStyle name="常规 6 3 3 3 3 2 3 2 5" xfId="42235"/>
    <cellStyle name="常规 6 3 3 3 3 2 3 3" xfId="42236"/>
    <cellStyle name="常规 6 3 3 3 3 2 3 3 2" xfId="42237"/>
    <cellStyle name="常规 6 3 3 3 3 2 3 3 2 2" xfId="42238"/>
    <cellStyle name="常规 6 3 3 3 3 2 3 3 3" xfId="42239"/>
    <cellStyle name="常规 6 3 3 3 3 2 3 3 4" xfId="42240"/>
    <cellStyle name="常规 6 3 3 3 3 2 3 4" xfId="42241"/>
    <cellStyle name="常规 6 3 3 3 3 2 3 4 2" xfId="42242"/>
    <cellStyle name="常规 6 3 3 3 3 2 3 5" xfId="42243"/>
    <cellStyle name="常规 6 3 3 3 3 2 3 6" xfId="16207"/>
    <cellStyle name="常规 6 3 3 3 3 2 4" xfId="42244"/>
    <cellStyle name="常规 6 3 3 3 3 2 4 2" xfId="42245"/>
    <cellStyle name="常规 6 3 3 3 3 2 4 2 2" xfId="42246"/>
    <cellStyle name="常规 6 3 3 3 3 2 4 2 2 2" xfId="42247"/>
    <cellStyle name="常规 6 3 3 3 3 2 4 2 3" xfId="41232"/>
    <cellStyle name="常规 6 3 3 3 3 2 4 2 4" xfId="42248"/>
    <cellStyle name="常规 6 3 3 3 3 2 4 3" xfId="42249"/>
    <cellStyle name="常规 6 3 3 3 3 2 4 3 2" xfId="42250"/>
    <cellStyle name="常规 6 3 3 3 3 2 4 4" xfId="42251"/>
    <cellStyle name="常规 6 3 3 3 3 2 4 5" xfId="42252"/>
    <cellStyle name="常规 6 3 3 3 3 2 5" xfId="42253"/>
    <cellStyle name="常规 6 3 3 3 3 2 5 2" xfId="42254"/>
    <cellStyle name="常规 6 3 3 3 3 2 5 2 2" xfId="42255"/>
    <cellStyle name="常规 6 3 3 3 3 2 5 3" xfId="42256"/>
    <cellStyle name="常规 6 3 3 3 3 2 5 4" xfId="42257"/>
    <cellStyle name="常规 6 3 3 3 3 2 6" xfId="42258"/>
    <cellStyle name="常规 6 3 3 3 3 2 6 2" xfId="42259"/>
    <cellStyle name="常规 6 3 3 3 3 2 7" xfId="42260"/>
    <cellStyle name="常规 6 3 3 3 3 2 8" xfId="39163"/>
    <cellStyle name="常规 6 3 3 3 3 3" xfId="42261"/>
    <cellStyle name="常规 6 3 3 3 3 3 2" xfId="42262"/>
    <cellStyle name="常规 6 3 3 3 3 3 2 2" xfId="42263"/>
    <cellStyle name="常规 6 3 3 3 3 3 2 2 2" xfId="4229"/>
    <cellStyle name="常规 6 3 3 3 3 3 2 2 2 2" xfId="42264"/>
    <cellStyle name="常规 6 3 3 3 3 3 2 2 2 2 2" xfId="5477"/>
    <cellStyle name="常规 6 3 3 3 3 3 2 2 2 3" xfId="42265"/>
    <cellStyle name="常规 6 3 3 3 3 3 2 2 2 4" xfId="42266"/>
    <cellStyle name="常规 6 3 3 3 3 3 2 2 3" xfId="4236"/>
    <cellStyle name="常规 6 3 3 3 3 3 2 2 3 2" xfId="42267"/>
    <cellStyle name="常规 6 3 3 3 3 3 2 2 4" xfId="42268"/>
    <cellStyle name="常规 6 3 3 3 3 3 2 2 5" xfId="42269"/>
    <cellStyle name="常规 6 3 3 3 3 3 2 3" xfId="42270"/>
    <cellStyle name="常规 6 3 3 3 3 3 2 3 2" xfId="4247"/>
    <cellStyle name="常规 6 3 3 3 3 3 2 3 2 2" xfId="42271"/>
    <cellStyle name="常规 6 3 3 3 3 3 2 3 3" xfId="42272"/>
    <cellStyle name="常规 6 3 3 3 3 3 2 3 4" xfId="42273"/>
    <cellStyle name="常规 6 3 3 3 3 3 2 4" xfId="42274"/>
    <cellStyle name="常规 6 3 3 3 3 3 2 4 2" xfId="42275"/>
    <cellStyle name="常规 6 3 3 3 3 3 2 5" xfId="42276"/>
    <cellStyle name="常规 6 3 3 3 3 3 2 6" xfId="42277"/>
    <cellStyle name="常规 6 3 3 3 3 3 3" xfId="42278"/>
    <cellStyle name="常规 6 3 3 3 3 3 3 2" xfId="42279"/>
    <cellStyle name="常规 6 3 3 3 3 3 3 2 2" xfId="4281"/>
    <cellStyle name="常规 6 3 3 3 3 3 3 2 2 2" xfId="42280"/>
    <cellStyle name="常规 6 3 3 3 3 3 3 2 3" xfId="42281"/>
    <cellStyle name="常规 6 3 3 3 3 3 3 2 4" xfId="42282"/>
    <cellStyle name="常规 6 3 3 3 3 3 3 3" xfId="42283"/>
    <cellStyle name="常规 6 3 3 3 3 3 3 3 2" xfId="42284"/>
    <cellStyle name="常规 6 3 3 3 3 3 3 4" xfId="42285"/>
    <cellStyle name="常规 6 3 3 3 3 3 3 5" xfId="42286"/>
    <cellStyle name="常规 6 3 3 3 3 3 4" xfId="42287"/>
    <cellStyle name="常规 6 3 3 3 3 3 4 2" xfId="42288"/>
    <cellStyle name="常规 6 3 3 3 3 3 4 2 2" xfId="42289"/>
    <cellStyle name="常规 6 3 3 3 3 3 4 3" xfId="42290"/>
    <cellStyle name="常规 6 3 3 3 3 3 4 4" xfId="42291"/>
    <cellStyle name="常规 6 3 3 3 3 3 5" xfId="42292"/>
    <cellStyle name="常规 6 3 3 3 3 3 5 2" xfId="42293"/>
    <cellStyle name="常规 6 3 3 3 3 3 6" xfId="42294"/>
    <cellStyle name="常规 6 3 3 3 3 3 7" xfId="42295"/>
    <cellStyle name="常规 6 3 3 3 3 4" xfId="42296"/>
    <cellStyle name="常规 6 3 3 3 3 4 2" xfId="42297"/>
    <cellStyle name="常规 6 3 3 3 3 4 2 2" xfId="42298"/>
    <cellStyle name="常规 6 3 3 3 3 4 2 2 2" xfId="4362"/>
    <cellStyle name="常规 6 3 3 3 3 4 2 2 2 2" xfId="42299"/>
    <cellStyle name="常规 6 3 3 3 3 4 2 2 3" xfId="42300"/>
    <cellStyle name="常规 6 3 3 3 3 4 2 2 4" xfId="42301"/>
    <cellStyle name="常规 6 3 3 3 3 4 2 3" xfId="4206"/>
    <cellStyle name="常规 6 3 3 3 3 4 2 3 2" xfId="42302"/>
    <cellStyle name="常规 6 3 3 3 3 4 2 4" xfId="2951"/>
    <cellStyle name="常规 6 3 3 3 3 4 2 5" xfId="42303"/>
    <cellStyle name="常规 6 3 3 3 3 4 3" xfId="42304"/>
    <cellStyle name="常规 6 3 3 3 3 4 3 2" xfId="42305"/>
    <cellStyle name="常规 6 3 3 3 3 4 3 2 2" xfId="42306"/>
    <cellStyle name="常规 6 3 3 3 3 4 3 3" xfId="42307"/>
    <cellStyle name="常规 6 3 3 3 3 4 3 4" xfId="42308"/>
    <cellStyle name="常规 6 3 3 3 3 4 4" xfId="42309"/>
    <cellStyle name="常规 6 3 3 3 3 4 4 2" xfId="42310"/>
    <cellStyle name="常规 6 3 3 3 3 4 5" xfId="16790"/>
    <cellStyle name="常规 6 3 3 3 3 4 6" xfId="42311"/>
    <cellStyle name="常规 6 3 3 3 3 5" xfId="39481"/>
    <cellStyle name="常规 6 3 3 3 3 5 2" xfId="39485"/>
    <cellStyle name="常规 6 3 3 3 3 5 2 2" xfId="39487"/>
    <cellStyle name="常规 6 3 3 3 3 5 2 2 2" xfId="39489"/>
    <cellStyle name="常规 6 3 3 3 3 5 2 3" xfId="39548"/>
    <cellStyle name="常规 6 3 3 3 3 5 2 4" xfId="39583"/>
    <cellStyle name="常规 6 3 3 3 3 5 3" xfId="39622"/>
    <cellStyle name="常规 6 3 3 3 3 5 3 2" xfId="39624"/>
    <cellStyle name="常规 6 3 3 3 3 5 4" xfId="39769"/>
    <cellStyle name="常规 6 3 3 3 3 5 5" xfId="39845"/>
    <cellStyle name="常规 6 3 3 3 3 6" xfId="39918"/>
    <cellStyle name="常规 6 3 3 3 3 6 2" xfId="39920"/>
    <cellStyle name="常规 6 3 3 3 3 6 2 2" xfId="39922"/>
    <cellStyle name="常规 6 3 3 3 3 6 3" xfId="39998"/>
    <cellStyle name="常规 6 3 3 3 3 6 4" xfId="40037"/>
    <cellStyle name="常规 6 3 3 3 3 7" xfId="40076"/>
    <cellStyle name="常规 6 3 3 3 3 7 2" xfId="40078"/>
    <cellStyle name="常规 6 3 3 3 3 8" xfId="40238"/>
    <cellStyle name="常规 6 3 3 3 3 9" xfId="40310"/>
    <cellStyle name="常规 6 3 3 3 4" xfId="42312"/>
    <cellStyle name="常规 6 3 3 3 4 2" xfId="42313"/>
    <cellStyle name="常规 6 3 3 3 4 2 2" xfId="42314"/>
    <cellStyle name="常规 6 3 3 3 4 2 2 2" xfId="42315"/>
    <cellStyle name="常规 6 3 3 3 4 2 2 2 2" xfId="42316"/>
    <cellStyle name="常规 6 3 3 3 4 2 2 2 2 2" xfId="42317"/>
    <cellStyle name="常规 6 3 3 3 4 2 2 2 2 2 2" xfId="42318"/>
    <cellStyle name="常规 6 3 3 3 4 2 2 2 2 3" xfId="42319"/>
    <cellStyle name="常规 6 3 3 3 4 2 2 2 2 4" xfId="42320"/>
    <cellStyle name="常规 6 3 3 3 4 2 2 2 3" xfId="42321"/>
    <cellStyle name="常规 6 3 3 3 4 2 2 2 3 2" xfId="42322"/>
    <cellStyle name="常规 6 3 3 3 4 2 2 2 4" xfId="42323"/>
    <cellStyle name="常规 6 3 3 3 4 2 2 2 5" xfId="42324"/>
    <cellStyle name="常规 6 3 3 3 4 2 2 3" xfId="42325"/>
    <cellStyle name="常规 6 3 3 3 4 2 2 3 2" xfId="42326"/>
    <cellStyle name="常规 6 3 3 3 4 2 2 3 2 2" xfId="42327"/>
    <cellStyle name="常规 6 3 3 3 4 2 2 3 3" xfId="42328"/>
    <cellStyle name="常规 6 3 3 3 4 2 2 3 4" xfId="42329"/>
    <cellStyle name="常规 6 3 3 3 4 2 2 4" xfId="42330"/>
    <cellStyle name="常规 6 3 3 3 4 2 2 4 2" xfId="42331"/>
    <cellStyle name="常规 6 3 3 3 4 2 2 5" xfId="42332"/>
    <cellStyle name="常规 6 3 3 3 4 2 2 6" xfId="42333"/>
    <cellStyle name="常规 6 3 3 3 4 2 3" xfId="42334"/>
    <cellStyle name="常规 6 3 3 3 4 2 3 2" xfId="42335"/>
    <cellStyle name="常规 6 3 3 3 4 2 3 2 2" xfId="42336"/>
    <cellStyle name="常规 6 3 3 3 4 2 3 2 2 2" xfId="42337"/>
    <cellStyle name="常规 6 3 3 3 4 2 3 2 3" xfId="42338"/>
    <cellStyle name="常规 6 3 3 3 4 2 3 2 4" xfId="42339"/>
    <cellStyle name="常规 6 3 3 3 4 2 3 3" xfId="42340"/>
    <cellStyle name="常规 6 3 3 3 4 2 3 3 2" xfId="42341"/>
    <cellStyle name="常规 6 3 3 3 4 2 3 4" xfId="42342"/>
    <cellStyle name="常规 6 3 3 3 4 2 3 5" xfId="42343"/>
    <cellStyle name="常规 6 3 3 3 4 2 4" xfId="42344"/>
    <cellStyle name="常规 6 3 3 3 4 2 4 2" xfId="42345"/>
    <cellStyle name="常规 6 3 3 3 4 2 4 2 2" xfId="42346"/>
    <cellStyle name="常规 6 3 3 3 4 2 4 3" xfId="42347"/>
    <cellStyle name="常规 6 3 3 3 4 2 4 4" xfId="42348"/>
    <cellStyle name="常规 6 3 3 3 4 2 5" xfId="42349"/>
    <cellStyle name="常规 6 3 3 3 4 2 5 2" xfId="42350"/>
    <cellStyle name="常规 6 3 3 3 4 2 6" xfId="42351"/>
    <cellStyle name="常规 6 3 3 3 4 2 7" xfId="42352"/>
    <cellStyle name="常规 6 3 3 3 4 3" xfId="42353"/>
    <cellStyle name="常规 6 3 3 3 4 3 2" xfId="42354"/>
    <cellStyle name="常规 6 3 3 3 4 3 2 2" xfId="42356"/>
    <cellStyle name="常规 6 3 3 3 4 3 2 2 2" xfId="1290"/>
    <cellStyle name="常规 6 3 3 3 4 3 2 2 2 2" xfId="42358"/>
    <cellStyle name="常规 6 3 3 3 4 3 2 2 3" xfId="42360"/>
    <cellStyle name="常规 6 3 3 3 4 3 2 2 4" xfId="42362"/>
    <cellStyle name="常规 6 3 3 3 4 3 2 3" xfId="42364"/>
    <cellStyle name="常规 6 3 3 3 4 3 2 3 2" xfId="42366"/>
    <cellStyle name="常规 6 3 3 3 4 3 2 4" xfId="42368"/>
    <cellStyle name="常规 6 3 3 3 4 3 2 5" xfId="42370"/>
    <cellStyle name="常规 6 3 3 3 4 3 3" xfId="42371"/>
    <cellStyle name="常规 6 3 3 3 4 3 3 2" xfId="42373"/>
    <cellStyle name="常规 6 3 3 3 4 3 3 2 2" xfId="42375"/>
    <cellStyle name="常规 6 3 3 3 4 3 3 3" xfId="42377"/>
    <cellStyle name="常规 6 3 3 3 4 3 3 4" xfId="42379"/>
    <cellStyle name="常规 6 3 3 3 4 3 4" xfId="42380"/>
    <cellStyle name="常规 6 3 3 3 4 3 4 2" xfId="42382"/>
    <cellStyle name="常规 6 3 3 3 4 3 5" xfId="42383"/>
    <cellStyle name="常规 6 3 3 3 4 3 6" xfId="42384"/>
    <cellStyle name="常规 6 3 3 3 4 4" xfId="42385"/>
    <cellStyle name="常规 6 3 3 3 4 4 2" xfId="42386"/>
    <cellStyle name="常规 6 3 3 3 4 4 2 2" xfId="42388"/>
    <cellStyle name="常规 6 3 3 3 4 4 2 2 2" xfId="42390"/>
    <cellStyle name="常规 6 3 3 3 4 4 2 3" xfId="42392"/>
    <cellStyle name="常规 6 3 3 3 4 4 2 4" xfId="42394"/>
    <cellStyle name="常规 6 3 3 3 4 4 3" xfId="42395"/>
    <cellStyle name="常规 6 3 3 3 4 4 3 2" xfId="42397"/>
    <cellStyle name="常规 6 3 3 3 4 4 4" xfId="42398"/>
    <cellStyle name="常规 6 3 3 3 4 4 5" xfId="42399"/>
    <cellStyle name="常规 6 3 3 3 4 5" xfId="40377"/>
    <cellStyle name="常规 6 3 3 3 4 5 2" xfId="40379"/>
    <cellStyle name="常规 6 3 3 3 4 5 2 2" xfId="40382"/>
    <cellStyle name="常规 6 3 3 3 4 5 3" xfId="40461"/>
    <cellStyle name="常规 6 3 3 3 4 5 4" xfId="40500"/>
    <cellStyle name="常规 6 3 3 3 4 6" xfId="40537"/>
    <cellStyle name="常规 6 3 3 3 4 6 2" xfId="40539"/>
    <cellStyle name="常规 6 3 3 3 4 7" xfId="40699"/>
    <cellStyle name="常规 6 3 3 3 4 8" xfId="40775"/>
    <cellStyle name="常规 6 3 3 3 5" xfId="42400"/>
    <cellStyle name="常规 6 3 3 3 5 2" xfId="42401"/>
    <cellStyle name="常规 6 3 3 3 5 2 2" xfId="42402"/>
    <cellStyle name="常规 6 3 3 3 5 2 2 2" xfId="42403"/>
    <cellStyle name="常规 6 3 3 3 5 2 2 2 2" xfId="42404"/>
    <cellStyle name="常规 6 3 3 3 5 2 2 2 2 2" xfId="42405"/>
    <cellStyle name="常规 6 3 3 3 5 2 2 2 3" xfId="42406"/>
    <cellStyle name="常规 6 3 3 3 5 2 2 2 4" xfId="42407"/>
    <cellStyle name="常规 6 3 3 3 5 2 2 3" xfId="42408"/>
    <cellStyle name="常规 6 3 3 3 5 2 2 3 2" xfId="42409"/>
    <cellStyle name="常规 6 3 3 3 5 2 2 4" xfId="42410"/>
    <cellStyle name="常规 6 3 3 3 5 2 2 5" xfId="42411"/>
    <cellStyle name="常规 6 3 3 3 5 2 3" xfId="42412"/>
    <cellStyle name="常规 6 3 3 3 5 2 3 2" xfId="42413"/>
    <cellStyle name="常规 6 3 3 3 5 2 3 2 2" xfId="42414"/>
    <cellStyle name="常规 6 3 3 3 5 2 3 3" xfId="42415"/>
    <cellStyle name="常规 6 3 3 3 5 2 3 4" xfId="42416"/>
    <cellStyle name="常规 6 3 3 3 5 2 4" xfId="42417"/>
    <cellStyle name="常规 6 3 3 3 5 2 4 2" xfId="42418"/>
    <cellStyle name="常规 6 3 3 3 5 2 5" xfId="42419"/>
    <cellStyle name="常规 6 3 3 3 5 2 6" xfId="42420"/>
    <cellStyle name="常规 6 3 3 3 5 3" xfId="42421"/>
    <cellStyle name="常规 6 3 3 3 5 3 2" xfId="42422"/>
    <cellStyle name="常规 6 3 3 3 5 3 2 2" xfId="42424"/>
    <cellStyle name="常规 6 3 3 3 5 3 2 2 2" xfId="42426"/>
    <cellStyle name="常规 6 3 3 3 5 3 2 3" xfId="42428"/>
    <cellStyle name="常规 6 3 3 3 5 3 2 4" xfId="42430"/>
    <cellStyle name="常规 6 3 3 3 5 3 3" xfId="42431"/>
    <cellStyle name="常规 6 3 3 3 5 3 3 2" xfId="42433"/>
    <cellStyle name="常规 6 3 3 3 5 3 4" xfId="42434"/>
    <cellStyle name="常规 6 3 3 3 5 3 5" xfId="42435"/>
    <cellStyle name="常规 6 3 3 3 5 4" xfId="42436"/>
    <cellStyle name="常规 6 3 3 3 5 4 2" xfId="42437"/>
    <cellStyle name="常规 6 3 3 3 5 4 2 2" xfId="42439"/>
    <cellStyle name="常规 6 3 3 3 5 4 3" xfId="42440"/>
    <cellStyle name="常规 6 3 3 3 5 4 4" xfId="42441"/>
    <cellStyle name="常规 6 3 3 3 5 5" xfId="40844"/>
    <cellStyle name="常规 6 3 3 3 5 5 2" xfId="40846"/>
    <cellStyle name="常规 6 3 3 3 5 6" xfId="40983"/>
    <cellStyle name="常规 6 3 3 3 5 7" xfId="41024"/>
    <cellStyle name="常规 6 3 3 3 6" xfId="42442"/>
    <cellStyle name="常规 6 3 3 3 6 2" xfId="42443"/>
    <cellStyle name="常规 6 3 3 3 6 2 2" xfId="42444"/>
    <cellStyle name="常规 6 3 3 3 6 2 2 2" xfId="42445"/>
    <cellStyle name="常规 6 3 3 3 6 2 2 2 2" xfId="42446"/>
    <cellStyle name="常规 6 3 3 3 6 2 2 3" xfId="42447"/>
    <cellStyle name="常规 6 3 3 3 6 2 2 4" xfId="42448"/>
    <cellStyle name="常规 6 3 3 3 6 2 3" xfId="42449"/>
    <cellStyle name="常规 6 3 3 3 6 2 3 2" xfId="42450"/>
    <cellStyle name="常规 6 3 3 3 6 2 4" xfId="42451"/>
    <cellStyle name="常规 6 3 3 3 6 2 5" xfId="42452"/>
    <cellStyle name="常规 6 3 3 3 6 3" xfId="42453"/>
    <cellStyle name="常规 6 3 3 3 6 3 2" xfId="42454"/>
    <cellStyle name="常规 6 3 3 3 6 3 2 2" xfId="42456"/>
    <cellStyle name="常规 6 3 3 3 6 3 3" xfId="42457"/>
    <cellStyle name="常规 6 3 3 3 6 3 4" xfId="42458"/>
    <cellStyle name="常规 6 3 3 3 6 4" xfId="42459"/>
    <cellStyle name="常规 6 3 3 3 6 4 2" xfId="42460"/>
    <cellStyle name="常规 6 3 3 3 6 5" xfId="41082"/>
    <cellStyle name="常规 6 3 3 3 6 6" xfId="41091"/>
    <cellStyle name="常规 6 3 3 3 7" xfId="42461"/>
    <cellStyle name="常规 6 3 3 3 7 2" xfId="42462"/>
    <cellStyle name="常规 6 3 3 3 7 2 2" xfId="42463"/>
    <cellStyle name="常规 6 3 3 3 7 2 2 2" xfId="42464"/>
    <cellStyle name="常规 6 3 3 3 7 2 3" xfId="42465"/>
    <cellStyle name="常规 6 3 3 3 7 2 4" xfId="42466"/>
    <cellStyle name="常规 6 3 3 3 7 3" xfId="42467"/>
    <cellStyle name="常规 6 3 3 3 7 3 2" xfId="42468"/>
    <cellStyle name="常规 6 3 3 3 7 4" xfId="42469"/>
    <cellStyle name="常规 6 3 3 3 7 5" xfId="41125"/>
    <cellStyle name="常规 6 3 3 3 8" xfId="42470"/>
    <cellStyle name="常规 6 3 3 3 8 2" xfId="42471"/>
    <cellStyle name="常规 6 3 3 3 8 2 2" xfId="42472"/>
    <cellStyle name="常规 6 3 3 3 8 3" xfId="42473"/>
    <cellStyle name="常规 6 3 3 3 8 4" xfId="42474"/>
    <cellStyle name="常规 6 3 3 3 9" xfId="42475"/>
    <cellStyle name="常规 6 3 3 3 9 2" xfId="42476"/>
    <cellStyle name="常规 6 3 3 4" xfId="42477"/>
    <cellStyle name="常规 6 3 3 4 2" xfId="42478"/>
    <cellStyle name="常规 6 3 3 4 2 2" xfId="42479"/>
    <cellStyle name="常规 6 3 3 4 2 2 2" xfId="42480"/>
    <cellStyle name="常规 6 3 3 4 2 2 2 2" xfId="42481"/>
    <cellStyle name="常规 6 3 3 4 2 2 2 2 2" xfId="42482"/>
    <cellStyle name="常规 6 3 3 4 2 2 2 2 2 2" xfId="42483"/>
    <cellStyle name="常规 6 3 3 4 2 2 2 2 2 2 2" xfId="42484"/>
    <cellStyle name="常规 6 3 3 4 2 2 2 2 2 3" xfId="42485"/>
    <cellStyle name="常规 6 3 3 4 2 2 2 2 2 4" xfId="42486"/>
    <cellStyle name="常规 6 3 3 4 2 2 2 2 3" xfId="42487"/>
    <cellStyle name="常规 6 3 3 4 2 2 2 2 3 2" xfId="42488"/>
    <cellStyle name="常规 6 3 3 4 2 2 2 2 4" xfId="42489"/>
    <cellStyle name="常规 6 3 3 4 2 2 2 2 5" xfId="42490"/>
    <cellStyle name="常规 6 3 3 4 2 2 2 3" xfId="42491"/>
    <cellStyle name="常规 6 3 3 4 2 2 2 3 2" xfId="42492"/>
    <cellStyle name="常规 6 3 3 4 2 2 2 3 2 2" xfId="42493"/>
    <cellStyle name="常规 6 3 3 4 2 2 2 3 3" xfId="42494"/>
    <cellStyle name="常规 6 3 3 4 2 2 2 3 4" xfId="42495"/>
    <cellStyle name="常规 6 3 3 4 2 2 2 4" xfId="42496"/>
    <cellStyle name="常规 6 3 3 4 2 2 2 4 2" xfId="42497"/>
    <cellStyle name="常规 6 3 3 4 2 2 2 5" xfId="42498"/>
    <cellStyle name="常规 6 3 3 4 2 2 2 6" xfId="42499"/>
    <cellStyle name="常规 6 3 3 4 2 2 3" xfId="42500"/>
    <cellStyle name="常规 6 3 3 4 2 2 3 2" xfId="42501"/>
    <cellStyle name="常规 6 3 3 4 2 2 3 2 2" xfId="5697"/>
    <cellStyle name="常规 6 3 3 4 2 2 3 2 2 2" xfId="5699"/>
    <cellStyle name="常规 6 3 3 4 2 2 3 2 3" xfId="72"/>
    <cellStyle name="常规 6 3 3 4 2 2 3 2 4" xfId="5826"/>
    <cellStyle name="常规 6 3 3 4 2 2 3 3" xfId="42502"/>
    <cellStyle name="常规 6 3 3 4 2 2 3 3 2" xfId="4864"/>
    <cellStyle name="常规 6 3 3 4 2 2 3 4" xfId="42503"/>
    <cellStyle name="常规 6 3 3 4 2 2 3 5" xfId="42504"/>
    <cellStyle name="常规 6 3 3 4 2 2 4" xfId="42505"/>
    <cellStyle name="常规 6 3 3 4 2 2 4 2" xfId="42506"/>
    <cellStyle name="常规 6 3 3 4 2 2 4 2 2" xfId="6610"/>
    <cellStyle name="常规 6 3 3 4 2 2 4 3" xfId="42507"/>
    <cellStyle name="常规 6 3 3 4 2 2 4 4" xfId="42508"/>
    <cellStyle name="常规 6 3 3 4 2 2 5" xfId="42509"/>
    <cellStyle name="常规 6 3 3 4 2 2 5 2" xfId="42510"/>
    <cellStyle name="常规 6 3 3 4 2 2 6" xfId="42511"/>
    <cellStyle name="常规 6 3 3 4 2 2 7" xfId="42512"/>
    <cellStyle name="常规 6 3 3 4 2 3" xfId="42513"/>
    <cellStyle name="常规 6 3 3 4 2 3 2" xfId="42514"/>
    <cellStyle name="常规 6 3 3 4 2 3 2 2" xfId="42515"/>
    <cellStyle name="常规 6 3 3 4 2 3 2 2 2" xfId="6788"/>
    <cellStyle name="常规 6 3 3 4 2 3 2 2 2 2" xfId="9419"/>
    <cellStyle name="常规 6 3 3 4 2 3 2 2 3" xfId="34800"/>
    <cellStyle name="常规 6 3 3 4 2 3 2 2 4" xfId="34802"/>
    <cellStyle name="常规 6 3 3 4 2 3 2 3" xfId="42516"/>
    <cellStyle name="常规 6 3 3 4 2 3 2 3 2" xfId="42517"/>
    <cellStyle name="常规 6 3 3 4 2 3 2 4" xfId="42518"/>
    <cellStyle name="常规 6 3 3 4 2 3 2 5" xfId="42519"/>
    <cellStyle name="常规 6 3 3 4 2 3 3" xfId="18270"/>
    <cellStyle name="常规 6 3 3 4 2 3 3 2" xfId="18273"/>
    <cellStyle name="常规 6 3 3 4 2 3 3 2 2" xfId="7546"/>
    <cellStyle name="常规 6 3 3 4 2 3 3 3" xfId="42520"/>
    <cellStyle name="常规 6 3 3 4 2 3 3 4" xfId="42521"/>
    <cellStyle name="常规 6 3 3 4 2 3 4" xfId="18280"/>
    <cellStyle name="常规 6 3 3 4 2 3 4 2" xfId="42522"/>
    <cellStyle name="常规 6 3 3 4 2 3 5" xfId="18285"/>
    <cellStyle name="常规 6 3 3 4 2 3 6" xfId="42523"/>
    <cellStyle name="常规 6 3 3 4 2 4" xfId="42524"/>
    <cellStyle name="常规 6 3 3 4 2 4 2" xfId="42525"/>
    <cellStyle name="常规 6 3 3 4 2 4 2 2" xfId="42526"/>
    <cellStyle name="常规 6 3 3 4 2 4 2 2 2" xfId="42527"/>
    <cellStyle name="常规 6 3 3 4 2 4 2 3" xfId="42528"/>
    <cellStyle name="常规 6 3 3 4 2 4 2 4" xfId="42529"/>
    <cellStyle name="常规 6 3 3 4 2 4 3" xfId="14227"/>
    <cellStyle name="常规 6 3 3 4 2 4 3 2" xfId="14229"/>
    <cellStyle name="常规 6 3 3 4 2 4 4" xfId="42530"/>
    <cellStyle name="常规 6 3 3 4 2 4 5" xfId="42531"/>
    <cellStyle name="常规 6 3 3 4 2 5" xfId="42533"/>
    <cellStyle name="常规 6 3 3 4 2 5 2" xfId="42535"/>
    <cellStyle name="常规 6 3 3 4 2 5 2 2" xfId="42537"/>
    <cellStyle name="常规 6 3 3 4 2 5 3" xfId="42539"/>
    <cellStyle name="常规 6 3 3 4 2 5 4" xfId="42541"/>
    <cellStyle name="常规 6 3 3 4 2 6" xfId="42543"/>
    <cellStyle name="常规 6 3 3 4 2 6 2" xfId="42545"/>
    <cellStyle name="常规 6 3 3 4 2 7" xfId="42547"/>
    <cellStyle name="常规 6 3 3 4 2 8" xfId="42549"/>
    <cellStyle name="常规 6 3 3 4 3" xfId="42550"/>
    <cellStyle name="常规 6 3 3 4 3 2" xfId="42551"/>
    <cellStyle name="常规 6 3 3 4 3 2 2" xfId="42552"/>
    <cellStyle name="常规 6 3 3 4 3 2 2 2" xfId="42553"/>
    <cellStyle name="常规 6 3 3 4 3 2 2 2 2" xfId="42554"/>
    <cellStyle name="常规 6 3 3 4 3 2 2 2 2 2" xfId="42555"/>
    <cellStyle name="常规 6 3 3 4 3 2 2 2 3" xfId="42556"/>
    <cellStyle name="常规 6 3 3 4 3 2 2 2 4" xfId="42557"/>
    <cellStyle name="常规 6 3 3 4 3 2 2 3" xfId="42558"/>
    <cellStyle name="常规 6 3 3 4 3 2 2 3 2" xfId="42559"/>
    <cellStyle name="常规 6 3 3 4 3 2 2 4" xfId="42560"/>
    <cellStyle name="常规 6 3 3 4 3 2 2 5" xfId="42561"/>
    <cellStyle name="常规 6 3 3 4 3 2 3" xfId="42562"/>
    <cellStyle name="常规 6 3 3 4 3 2 3 2" xfId="42563"/>
    <cellStyle name="常规 6 3 3 4 3 2 3 2 2" xfId="42564"/>
    <cellStyle name="常规 6 3 3 4 3 2 3 3" xfId="42565"/>
    <cellStyle name="常规 6 3 3 4 3 2 3 4" xfId="42566"/>
    <cellStyle name="常规 6 3 3 4 3 2 4" xfId="42567"/>
    <cellStyle name="常规 6 3 3 4 3 2 4 2" xfId="42568"/>
    <cellStyle name="常规 6 3 3 4 3 2 5" xfId="42569"/>
    <cellStyle name="常规 6 3 3 4 3 2 6" xfId="42570"/>
    <cellStyle name="常规 6 3 3 4 3 3" xfId="42571"/>
    <cellStyle name="常规 6 3 3 4 3 3 2" xfId="42572"/>
    <cellStyle name="常规 6 3 3 4 3 3 2 2" xfId="42573"/>
    <cellStyle name="常规 6 3 3 4 3 3 2 2 2" xfId="8998"/>
    <cellStyle name="常规 6 3 3 4 3 3 2 3" xfId="42574"/>
    <cellStyle name="常规 6 3 3 4 3 3 2 4" xfId="42575"/>
    <cellStyle name="常规 6 3 3 4 3 3 3" xfId="9009"/>
    <cellStyle name="常规 6 3 3 4 3 3 3 2" xfId="42576"/>
    <cellStyle name="常规 6 3 3 4 3 3 4" xfId="42577"/>
    <cellStyle name="常规 6 3 3 4 3 3 5" xfId="42578"/>
    <cellStyle name="常规 6 3 3 4 3 4" xfId="42579"/>
    <cellStyle name="常规 6 3 3 4 3 4 2" xfId="42580"/>
    <cellStyle name="常规 6 3 3 4 3 4 2 2" xfId="42581"/>
    <cellStyle name="常规 6 3 3 4 3 4 3" xfId="42582"/>
    <cellStyle name="常规 6 3 3 4 3 4 4" xfId="42583"/>
    <cellStyle name="常规 6 3 3 4 3 5" xfId="42585"/>
    <cellStyle name="常规 6 3 3 4 3 5 2" xfId="42587"/>
    <cellStyle name="常规 6 3 3 4 3 6" xfId="42589"/>
    <cellStyle name="常规 6 3 3 4 3 7" xfId="42591"/>
    <cellStyle name="常规 6 3 3 4 4" xfId="42592"/>
    <cellStyle name="常规 6 3 3 4 4 2" xfId="42593"/>
    <cellStyle name="常规 6 3 3 4 4 2 2" xfId="42594"/>
    <cellStyle name="常规 6 3 3 4 4 2 2 2" xfId="42595"/>
    <cellStyle name="常规 6 3 3 4 4 2 2 2 2" xfId="42596"/>
    <cellStyle name="常规 6 3 3 4 4 2 2 3" xfId="42597"/>
    <cellStyle name="常规 6 3 3 4 4 2 2 4" xfId="42598"/>
    <cellStyle name="常规 6 3 3 4 4 2 3" xfId="42599"/>
    <cellStyle name="常规 6 3 3 4 4 2 3 2" xfId="42600"/>
    <cellStyle name="常规 6 3 3 4 4 2 4" xfId="42601"/>
    <cellStyle name="常规 6 3 3 4 4 2 5" xfId="42602"/>
    <cellStyle name="常规 6 3 3 4 4 3" xfId="42603"/>
    <cellStyle name="常规 6 3 3 4 4 3 2" xfId="42604"/>
    <cellStyle name="常规 6 3 3 4 4 3 2 2" xfId="42606"/>
    <cellStyle name="常规 6 3 3 4 4 3 3" xfId="42607"/>
    <cellStyle name="常规 6 3 3 4 4 3 4" xfId="42608"/>
    <cellStyle name="常规 6 3 3 4 4 4" xfId="42609"/>
    <cellStyle name="常规 6 3 3 4 4 4 2" xfId="42610"/>
    <cellStyle name="常规 6 3 3 4 4 5" xfId="42612"/>
    <cellStyle name="常规 6 3 3 4 4 6" xfId="42614"/>
    <cellStyle name="常规 6 3 3 4 5" xfId="42615"/>
    <cellStyle name="常规 6 3 3 4 5 2" xfId="42616"/>
    <cellStyle name="常规 6 3 3 4 5 2 2" xfId="42617"/>
    <cellStyle name="常规 6 3 3 4 5 2 2 2" xfId="9094"/>
    <cellStyle name="常规 6 3 3 4 5 2 3" xfId="42618"/>
    <cellStyle name="常规 6 3 3 4 5 2 4" xfId="42619"/>
    <cellStyle name="常规 6 3 3 4 5 3" xfId="42620"/>
    <cellStyle name="常规 6 3 3 4 5 3 2" xfId="42621"/>
    <cellStyle name="常规 6 3 3 4 5 4" xfId="42622"/>
    <cellStyle name="常规 6 3 3 4 5 5" xfId="42624"/>
    <cellStyle name="常规 6 3 3 4 6" xfId="42625"/>
    <cellStyle name="常规 6 3 3 4 6 2" xfId="42626"/>
    <cellStyle name="常规 6 3 3 4 6 2 2" xfId="42627"/>
    <cellStyle name="常规 6 3 3 4 6 3" xfId="42628"/>
    <cellStyle name="常规 6 3 3 4 6 4" xfId="42629"/>
    <cellStyle name="常规 6 3 3 4 7" xfId="42630"/>
    <cellStyle name="常规 6 3 3 4 7 2" xfId="42631"/>
    <cellStyle name="常规 6 3 3 4 8" xfId="42632"/>
    <cellStyle name="常规 6 3 3 4 9" xfId="42633"/>
    <cellStyle name="常规 6 3 3 5" xfId="42634"/>
    <cellStyle name="常规 6 3 3 5 2" xfId="42635"/>
    <cellStyle name="常规 6 3 3 5 2 2" xfId="42636"/>
    <cellStyle name="常规 6 3 3 5 2 2 2" xfId="42637"/>
    <cellStyle name="常规 6 3 3 5 2 2 2 2" xfId="42638"/>
    <cellStyle name="常规 6 3 3 5 2 2 2 2 2" xfId="42639"/>
    <cellStyle name="常规 6 3 3 5 2 2 2 2 2 2" xfId="42640"/>
    <cellStyle name="常规 6 3 3 5 2 2 2 2 2 2 2" xfId="42641"/>
    <cellStyle name="常规 6 3 3 5 2 2 2 2 2 3" xfId="42642"/>
    <cellStyle name="常规 6 3 3 5 2 2 2 2 2 4" xfId="42643"/>
    <cellStyle name="常规 6 3 3 5 2 2 2 2 3" xfId="42644"/>
    <cellStyle name="常规 6 3 3 5 2 2 2 2 3 2" xfId="42645"/>
    <cellStyle name="常规 6 3 3 5 2 2 2 2 4" xfId="42646"/>
    <cellStyle name="常规 6 3 3 5 2 2 2 2 5" xfId="42647"/>
    <cellStyle name="常规 6 3 3 5 2 2 2 3" xfId="42648"/>
    <cellStyle name="常规 6 3 3 5 2 2 2 3 2" xfId="42649"/>
    <cellStyle name="常规 6 3 3 5 2 2 2 3 2 2" xfId="42650"/>
    <cellStyle name="常规 6 3 3 5 2 2 2 3 3" xfId="42651"/>
    <cellStyle name="常规 6 3 3 5 2 2 2 3 4" xfId="42652"/>
    <cellStyle name="常规 6 3 3 5 2 2 2 4" xfId="42653"/>
    <cellStyle name="常规 6 3 3 5 2 2 2 4 2" xfId="42654"/>
    <cellStyle name="常规 6 3 3 5 2 2 2 5" xfId="42655"/>
    <cellStyle name="常规 6 3 3 5 2 2 2 6" xfId="42656"/>
    <cellStyle name="常规 6 3 3 5 2 2 3" xfId="42657"/>
    <cellStyle name="常规 6 3 3 5 2 2 3 2" xfId="42658"/>
    <cellStyle name="常规 6 3 3 5 2 2 3 2 2" xfId="42659"/>
    <cellStyle name="常规 6 3 3 5 2 2 3 2 2 2" xfId="42660"/>
    <cellStyle name="常规 6 3 3 5 2 2 3 2 3" xfId="42661"/>
    <cellStyle name="常规 6 3 3 5 2 2 3 2 4" xfId="42662"/>
    <cellStyle name="常规 6 3 3 5 2 2 3 3" xfId="42663"/>
    <cellStyle name="常规 6 3 3 5 2 2 3 3 2" xfId="42664"/>
    <cellStyle name="常规 6 3 3 5 2 2 3 4" xfId="42665"/>
    <cellStyle name="常规 6 3 3 5 2 2 3 5" xfId="42666"/>
    <cellStyle name="常规 6 3 3 5 2 2 4" xfId="42667"/>
    <cellStyle name="常规 6 3 3 5 2 2 4 2" xfId="42668"/>
    <cellStyle name="常规 6 3 3 5 2 2 4 2 2" xfId="42669"/>
    <cellStyle name="常规 6 3 3 5 2 2 4 3" xfId="42670"/>
    <cellStyle name="常规 6 3 3 5 2 2 4 4" xfId="42671"/>
    <cellStyle name="常规 6 3 3 5 2 2 5" xfId="42672"/>
    <cellStyle name="常规 6 3 3 5 2 2 5 2" xfId="42673"/>
    <cellStyle name="常规 6 3 3 5 2 2 6" xfId="42674"/>
    <cellStyle name="常规 6 3 3 5 2 2 7" xfId="42675"/>
    <cellStyle name="常规 6 3 3 5 2 3" xfId="42676"/>
    <cellStyle name="常规 6 3 3 5 2 3 2" xfId="42677"/>
    <cellStyle name="常规 6 3 3 5 2 3 2 2" xfId="42678"/>
    <cellStyle name="常规 6 3 3 5 2 3 2 2 2" xfId="7006"/>
    <cellStyle name="常规 6 3 3 5 2 3 2 2 2 2" xfId="42679"/>
    <cellStyle name="常规 6 3 3 5 2 3 2 2 3" xfId="42680"/>
    <cellStyle name="常规 6 3 3 5 2 3 2 2 4" xfId="42681"/>
    <cellStyle name="常规 6 3 3 5 2 3 2 3" xfId="42682"/>
    <cellStyle name="常规 6 3 3 5 2 3 2 3 2" xfId="42683"/>
    <cellStyle name="常规 6 3 3 5 2 3 2 4" xfId="42684"/>
    <cellStyle name="常规 6 3 3 5 2 3 2 5" xfId="42685"/>
    <cellStyle name="常规 6 3 3 5 2 3 3" xfId="18346"/>
    <cellStyle name="常规 6 3 3 5 2 3 3 2" xfId="42686"/>
    <cellStyle name="常规 6 3 3 5 2 3 3 2 2" xfId="42687"/>
    <cellStyle name="常规 6 3 3 5 2 3 3 3" xfId="42688"/>
    <cellStyle name="常规 6 3 3 5 2 3 3 4" xfId="42689"/>
    <cellStyle name="常规 6 3 3 5 2 3 4" xfId="42690"/>
    <cellStyle name="常规 6 3 3 5 2 3 4 2" xfId="42691"/>
    <cellStyle name="常规 6 3 3 5 2 3 5" xfId="42692"/>
    <cellStyle name="常规 6 3 3 5 2 3 6" xfId="42693"/>
    <cellStyle name="常规 6 3 3 5 2 4" xfId="42694"/>
    <cellStyle name="常规 6 3 3 5 2 4 2" xfId="42695"/>
    <cellStyle name="常规 6 3 3 5 2 4 2 2" xfId="42696"/>
    <cellStyle name="常规 6 3 3 5 2 4 2 2 2" xfId="42697"/>
    <cellStyle name="常规 6 3 3 5 2 4 2 3" xfId="42698"/>
    <cellStyle name="常规 6 3 3 5 2 4 2 4" xfId="42699"/>
    <cellStyle name="常规 6 3 3 5 2 4 3" xfId="14410"/>
    <cellStyle name="常规 6 3 3 5 2 4 3 2" xfId="42700"/>
    <cellStyle name="常规 6 3 3 5 2 4 4" xfId="42701"/>
    <cellStyle name="常规 6 3 3 5 2 4 5" xfId="42702"/>
    <cellStyle name="常规 6 3 3 5 2 5" xfId="42703"/>
    <cellStyle name="常规 6 3 3 5 2 5 2" xfId="42704"/>
    <cellStyle name="常规 6 3 3 5 2 5 2 2" xfId="42705"/>
    <cellStyle name="常规 6 3 3 5 2 5 3" xfId="42706"/>
    <cellStyle name="常规 6 3 3 5 2 5 4" xfId="42707"/>
    <cellStyle name="常规 6 3 3 5 2 6" xfId="42708"/>
    <cellStyle name="常规 6 3 3 5 2 6 2" xfId="42709"/>
    <cellStyle name="常规 6 3 3 5 2 7" xfId="42710"/>
    <cellStyle name="常规 6 3 3 5 2 8" xfId="42711"/>
    <cellStyle name="常规 6 3 3 5 3" xfId="42712"/>
    <cellStyle name="常规 6 3 3 5 3 2" xfId="42713"/>
    <cellStyle name="常规 6 3 3 5 3 2 2" xfId="42714"/>
    <cellStyle name="常规 6 3 3 5 3 2 2 2" xfId="42715"/>
    <cellStyle name="常规 6 3 3 5 3 2 2 2 2" xfId="42716"/>
    <cellStyle name="常规 6 3 3 5 3 2 2 2 2 2" xfId="42717"/>
    <cellStyle name="常规 6 3 3 5 3 2 2 2 3" xfId="42718"/>
    <cellStyle name="常规 6 3 3 5 3 2 2 2 4" xfId="42719"/>
    <cellStyle name="常规 6 3 3 5 3 2 2 3" xfId="42720"/>
    <cellStyle name="常规 6 3 3 5 3 2 2 3 2" xfId="42721"/>
    <cellStyle name="常规 6 3 3 5 3 2 2 4" xfId="42722"/>
    <cellStyle name="常规 6 3 3 5 3 2 2 5" xfId="42723"/>
    <cellStyle name="常规 6 3 3 5 3 2 3" xfId="42724"/>
    <cellStyle name="常规 6 3 3 5 3 2 3 2" xfId="42725"/>
    <cellStyle name="常规 6 3 3 5 3 2 3 2 2" xfId="42726"/>
    <cellStyle name="常规 6 3 3 5 3 2 3 3" xfId="42727"/>
    <cellStyle name="常规 6 3 3 5 3 2 3 4" xfId="42728"/>
    <cellStyle name="常规 6 3 3 5 3 2 4" xfId="3674"/>
    <cellStyle name="常规 6 3 3 5 3 2 4 2" xfId="7043"/>
    <cellStyle name="常规 6 3 3 5 3 2 5" xfId="7086"/>
    <cellStyle name="常规 6 3 3 5 3 2 6" xfId="7129"/>
    <cellStyle name="常规 6 3 3 5 3 3" xfId="42729"/>
    <cellStyle name="常规 6 3 3 5 3 3 2" xfId="42730"/>
    <cellStyle name="常规 6 3 3 5 3 3 2 2" xfId="42731"/>
    <cellStyle name="常规 6 3 3 5 3 3 2 2 2" xfId="42732"/>
    <cellStyle name="常规 6 3 3 5 3 3 2 3" xfId="42733"/>
    <cellStyle name="常规 6 3 3 5 3 3 2 4" xfId="42734"/>
    <cellStyle name="常规 6 3 3 5 3 3 3" xfId="42735"/>
    <cellStyle name="常规 6 3 3 5 3 3 3 2" xfId="42736"/>
    <cellStyle name="常规 6 3 3 5 3 3 4" xfId="3719"/>
    <cellStyle name="常规 6 3 3 5 3 3 5" xfId="42737"/>
    <cellStyle name="常规 6 3 3 5 3 4" xfId="42738"/>
    <cellStyle name="常规 6 3 3 5 3 4 2" xfId="42739"/>
    <cellStyle name="常规 6 3 3 5 3 4 2 2" xfId="42740"/>
    <cellStyle name="常规 6 3 3 5 3 4 3" xfId="42741"/>
    <cellStyle name="常规 6 3 3 5 3 4 4" xfId="42742"/>
    <cellStyle name="常规 6 3 3 5 3 5" xfId="42743"/>
    <cellStyle name="常规 6 3 3 5 3 5 2" xfId="42744"/>
    <cellStyle name="常规 6 3 3 5 3 6" xfId="42745"/>
    <cellStyle name="常规 6 3 3 5 3 7" xfId="42746"/>
    <cellStyle name="常规 6 3 3 5 4" xfId="35917"/>
    <cellStyle name="常规 6 3 3 5 4 2" xfId="42747"/>
    <cellStyle name="常规 6 3 3 5 4 2 2" xfId="42748"/>
    <cellStyle name="常规 6 3 3 5 4 2 2 2" xfId="41886"/>
    <cellStyle name="常规 6 3 3 5 4 2 2 2 2" xfId="42749"/>
    <cellStyle name="常规 6 3 3 5 4 2 2 3" xfId="41888"/>
    <cellStyle name="常规 6 3 3 5 4 2 2 4" xfId="42750"/>
    <cellStyle name="常规 6 3 3 5 4 2 3" xfId="42751"/>
    <cellStyle name="常规 6 3 3 5 4 2 3 2" xfId="42752"/>
    <cellStyle name="常规 6 3 3 5 4 2 4" xfId="199"/>
    <cellStyle name="常规 6 3 3 5 4 2 5" xfId="42753"/>
    <cellStyle name="常规 6 3 3 5 4 3" xfId="42754"/>
    <cellStyle name="常规 6 3 3 5 4 3 2" xfId="9163"/>
    <cellStyle name="常规 6 3 3 5 4 3 2 2" xfId="42756"/>
    <cellStyle name="常规 6 3 3 5 4 3 3" xfId="42757"/>
    <cellStyle name="常规 6 3 3 5 4 3 4" xfId="42758"/>
    <cellStyle name="常规 6 3 3 5 4 4" xfId="42759"/>
    <cellStyle name="常规 6 3 3 5 4 4 2" xfId="42760"/>
    <cellStyle name="常规 6 3 3 5 4 5" xfId="42761"/>
    <cellStyle name="常规 6 3 3 5 4 6" xfId="42762"/>
    <cellStyle name="常规 6 3 3 5 5" xfId="9169"/>
    <cellStyle name="常规 6 3 3 5 5 2" xfId="9173"/>
    <cellStyle name="常规 6 3 3 5 5 2 2" xfId="9177"/>
    <cellStyle name="常规 6 3 3 5 5 2 2 2" xfId="40619"/>
    <cellStyle name="常规 6 3 3 5 5 2 3" xfId="42763"/>
    <cellStyle name="常规 6 3 3 5 5 2 4" xfId="42764"/>
    <cellStyle name="常规 6 3 3 5 5 3" xfId="9181"/>
    <cellStyle name="常规 6 3 3 5 5 3 2" xfId="42765"/>
    <cellStyle name="常规 6 3 3 5 5 4" xfId="4716"/>
    <cellStyle name="常规 6 3 3 5 5 5" xfId="42766"/>
    <cellStyle name="常规 6 3 3 5 6" xfId="9185"/>
    <cellStyle name="常规 6 3 3 5 6 2" xfId="9189"/>
    <cellStyle name="常规 6 3 3 5 6 2 2" xfId="42767"/>
    <cellStyle name="常规 6 3 3 5 6 3" xfId="42768"/>
    <cellStyle name="常规 6 3 3 5 6 4" xfId="42769"/>
    <cellStyle name="常规 6 3 3 5 7" xfId="9194"/>
    <cellStyle name="常规 6 3 3 5 7 2" xfId="42770"/>
    <cellStyle name="常规 6 3 3 5 8" xfId="9199"/>
    <cellStyle name="常规 6 3 3 5 9" xfId="42771"/>
    <cellStyle name="常规 6 3 3 6" xfId="42772"/>
    <cellStyle name="常规 6 3 3 6 2" xfId="42773"/>
    <cellStyle name="常规 6 3 3 6 2 2" xfId="42774"/>
    <cellStyle name="常规 6 3 3 6 2 2 2" xfId="42775"/>
    <cellStyle name="常规 6 3 3 6 2 2 2 2" xfId="42776"/>
    <cellStyle name="常规 6 3 3 6 2 2 2 2 2" xfId="42777"/>
    <cellStyle name="常规 6 3 3 6 2 2 2 2 2 2" xfId="42778"/>
    <cellStyle name="常规 6 3 3 6 2 2 2 2 3" xfId="42779"/>
    <cellStyle name="常规 6 3 3 6 2 2 2 2 4" xfId="42780"/>
    <cellStyle name="常规 6 3 3 6 2 2 2 3" xfId="42781"/>
    <cellStyle name="常规 6 3 3 6 2 2 2 3 2" xfId="42782"/>
    <cellStyle name="常规 6 3 3 6 2 2 2 4" xfId="42783"/>
    <cellStyle name="常规 6 3 3 6 2 2 2 5" xfId="27633"/>
    <cellStyle name="常规 6 3 3 6 2 2 3" xfId="42784"/>
    <cellStyle name="常规 6 3 3 6 2 2 3 2" xfId="42785"/>
    <cellStyle name="常规 6 3 3 6 2 2 3 2 2" xfId="42786"/>
    <cellStyle name="常规 6 3 3 6 2 2 3 3" xfId="42787"/>
    <cellStyle name="常规 6 3 3 6 2 2 3 4" xfId="42788"/>
    <cellStyle name="常规 6 3 3 6 2 2 4" xfId="42789"/>
    <cellStyle name="常规 6 3 3 6 2 2 4 2" xfId="42790"/>
    <cellStyle name="常规 6 3 3 6 2 2 5" xfId="42791"/>
    <cellStyle name="常规 6 3 3 6 2 2 6" xfId="42792"/>
    <cellStyle name="常规 6 3 3 6 2 3" xfId="42793"/>
    <cellStyle name="常规 6 3 3 6 2 3 2" xfId="42794"/>
    <cellStyle name="常规 6 3 3 6 2 3 2 2" xfId="42795"/>
    <cellStyle name="常规 6 3 3 6 2 3 2 2 2" xfId="42796"/>
    <cellStyle name="常规 6 3 3 6 2 3 2 3" xfId="42797"/>
    <cellStyle name="常规 6 3 3 6 2 3 2 4" xfId="42798"/>
    <cellStyle name="常规 6 3 3 6 2 3 3" xfId="42799"/>
    <cellStyle name="常规 6 3 3 6 2 3 3 2" xfId="42800"/>
    <cellStyle name="常规 6 3 3 6 2 3 4" xfId="42801"/>
    <cellStyle name="常规 6 3 3 6 2 3 5" xfId="42802"/>
    <cellStyle name="常规 6 3 3 6 2 4" xfId="5284"/>
    <cellStyle name="常规 6 3 3 6 2 4 2" xfId="5289"/>
    <cellStyle name="常规 6 3 3 6 2 4 2 2" xfId="5291"/>
    <cellStyle name="常规 6 3 3 6 2 4 3" xfId="5296"/>
    <cellStyle name="常规 6 3 3 6 2 4 4" xfId="573"/>
    <cellStyle name="常规 6 3 3 6 2 5" xfId="5298"/>
    <cellStyle name="常规 6 3 3 6 2 5 2" xfId="5302"/>
    <cellStyle name="常规 6 3 3 6 2 6" xfId="5305"/>
    <cellStyle name="常规 6 3 3 6 2 7" xfId="3313"/>
    <cellStyle name="常规 6 3 3 6 3" xfId="42803"/>
    <cellStyle name="常规 6 3 3 6 3 2" xfId="42804"/>
    <cellStyle name="常规 6 3 3 6 3 2 2" xfId="42805"/>
    <cellStyle name="常规 6 3 3 6 3 2 2 2" xfId="42806"/>
    <cellStyle name="常规 6 3 3 6 3 2 2 2 2" xfId="42807"/>
    <cellStyle name="常规 6 3 3 6 3 2 2 3" xfId="42808"/>
    <cellStyle name="常规 6 3 3 6 3 2 2 4" xfId="42809"/>
    <cellStyle name="常规 6 3 3 6 3 2 3" xfId="42810"/>
    <cellStyle name="常规 6 3 3 6 3 2 3 2" xfId="42811"/>
    <cellStyle name="常规 6 3 3 6 3 2 4" xfId="6210"/>
    <cellStyle name="常规 6 3 3 6 3 2 5" xfId="42812"/>
    <cellStyle name="常规 6 3 3 6 3 3" xfId="42813"/>
    <cellStyle name="常规 6 3 3 6 3 3 2" xfId="42814"/>
    <cellStyle name="常规 6 3 3 6 3 3 2 2" xfId="42815"/>
    <cellStyle name="常规 6 3 3 6 3 3 3" xfId="42816"/>
    <cellStyle name="常规 6 3 3 6 3 3 4" xfId="42817"/>
    <cellStyle name="常规 6 3 3 6 3 4" xfId="5314"/>
    <cellStyle name="常规 6 3 3 6 3 4 2" xfId="5320"/>
    <cellStyle name="常规 6 3 3 6 3 5" xfId="5326"/>
    <cellStyle name="常规 6 3 3 6 3 6" xfId="5332"/>
    <cellStyle name="常规 6 3 3 6 4" xfId="42818"/>
    <cellStyle name="常规 6 3 3 6 4 2" xfId="42819"/>
    <cellStyle name="常规 6 3 3 6 4 2 2" xfId="42820"/>
    <cellStyle name="常规 6 3 3 6 4 2 2 2" xfId="42821"/>
    <cellStyle name="常规 6 3 3 6 4 2 3" xfId="42822"/>
    <cellStyle name="常规 6 3 3 6 4 2 4" xfId="42823"/>
    <cellStyle name="常规 6 3 3 6 4 3" xfId="42824"/>
    <cellStyle name="常规 6 3 3 6 4 3 2" xfId="42825"/>
    <cellStyle name="常规 6 3 3 6 4 4" xfId="5342"/>
    <cellStyle name="常规 6 3 3 6 4 5" xfId="42826"/>
    <cellStyle name="常规 6 3 3 6 5" xfId="9206"/>
    <cellStyle name="常规 6 3 3 6 5 2" xfId="6286"/>
    <cellStyle name="常规 6 3 3 6 5 2 2" xfId="42827"/>
    <cellStyle name="常规 6 3 3 6 5 3" xfId="42828"/>
    <cellStyle name="常规 6 3 3 6 5 4" xfId="42829"/>
    <cellStyle name="常规 6 3 3 6 6" xfId="9211"/>
    <cellStyle name="常规 6 3 3 6 6 2" xfId="42830"/>
    <cellStyle name="常规 6 3 3 6 7" xfId="9216"/>
    <cellStyle name="常规 6 3 3 6 8" xfId="42831"/>
    <cellStyle name="常规 6 3 3 7" xfId="42832"/>
    <cellStyle name="常规 6 3 3 7 2" xfId="42833"/>
    <cellStyle name="常规 6 3 3 7 2 2" xfId="42834"/>
    <cellStyle name="常规 6 3 3 7 2 2 2" xfId="42835"/>
    <cellStyle name="常规 6 3 3 7 2 2 2 2" xfId="42836"/>
    <cellStyle name="常规 6 3 3 7 2 2 2 2 2" xfId="42837"/>
    <cellStyle name="常规 6 3 3 7 2 2 2 3" xfId="42838"/>
    <cellStyle name="常规 6 3 3 7 2 2 2 4" xfId="42839"/>
    <cellStyle name="常规 6 3 3 7 2 2 3" xfId="23632"/>
    <cellStyle name="常规 6 3 3 7 2 2 3 2" xfId="23635"/>
    <cellStyle name="常规 6 3 3 7 2 2 4" xfId="23655"/>
    <cellStyle name="常规 6 3 3 7 2 2 5" xfId="23665"/>
    <cellStyle name="常规 6 3 3 7 2 3" xfId="42840"/>
    <cellStyle name="常规 6 3 3 7 2 3 2" xfId="42841"/>
    <cellStyle name="常规 6 3 3 7 2 3 2 2" xfId="42842"/>
    <cellStyle name="常规 6 3 3 7 2 3 3" xfId="23675"/>
    <cellStyle name="常规 6 3 3 7 2 3 4" xfId="23685"/>
    <cellStyle name="常规 6 3 3 7 2 4" xfId="5358"/>
    <cellStyle name="常规 6 3 3 7 2 4 2" xfId="4202"/>
    <cellStyle name="常规 6 3 3 7 2 5" xfId="3088"/>
    <cellStyle name="常规 6 3 3 7 2 6" xfId="5363"/>
    <cellStyle name="常规 6 3 3 7 3" xfId="42843"/>
    <cellStyle name="常规 6 3 3 7 3 2" xfId="42844"/>
    <cellStyle name="常规 6 3 3 7 3 2 2" xfId="42845"/>
    <cellStyle name="常规 6 3 3 7 3 2 2 2" xfId="42846"/>
    <cellStyle name="常规 6 3 3 7 3 2 3" xfId="4440"/>
    <cellStyle name="常规 6 3 3 7 3 2 4" xfId="7494"/>
    <cellStyle name="常规 6 3 3 7 3 3" xfId="42847"/>
    <cellStyle name="常规 6 3 3 7 3 3 2" xfId="42848"/>
    <cellStyle name="常规 6 3 3 7 3 4" xfId="5375"/>
    <cellStyle name="常规 6 3 3 7 3 5" xfId="42850"/>
    <cellStyle name="常规 6 3 3 7 4" xfId="42851"/>
    <cellStyle name="常规 6 3 3 7 4 2" xfId="42852"/>
    <cellStyle name="常规 6 3 3 7 4 2 2" xfId="42853"/>
    <cellStyle name="常规 6 3 3 7 4 3" xfId="42854"/>
    <cellStyle name="常规 6 3 3 7 4 4" xfId="42855"/>
    <cellStyle name="常规 6 3 3 7 5" xfId="9224"/>
    <cellStyle name="常规 6 3 3 7 5 2" xfId="42856"/>
    <cellStyle name="常规 6 3 3 7 6" xfId="42857"/>
    <cellStyle name="常规 6 3 3 7 7" xfId="42858"/>
    <cellStyle name="常规 6 3 3 8" xfId="42859"/>
    <cellStyle name="常规 6 3 3 8 2" xfId="42860"/>
    <cellStyle name="常规 6 3 3 8 2 2" xfId="42861"/>
    <cellStyle name="常规 6 3 3 8 2 2 2" xfId="42862"/>
    <cellStyle name="常规 6 3 3 8 2 2 2 2" xfId="42863"/>
    <cellStyle name="常规 6 3 3 8 2 2 3" xfId="23970"/>
    <cellStyle name="常规 6 3 3 8 2 2 4" xfId="23973"/>
    <cellStyle name="常规 6 3 3 8 2 3" xfId="42864"/>
    <cellStyle name="常规 6 3 3 8 2 3 2" xfId="42865"/>
    <cellStyle name="常规 6 3 3 8 2 4" xfId="5396"/>
    <cellStyle name="常规 6 3 3 8 2 5" xfId="42867"/>
    <cellStyle name="常规 6 3 3 8 3" xfId="42228"/>
    <cellStyle name="常规 6 3 3 8 3 2" xfId="42868"/>
    <cellStyle name="常规 6 3 3 8 3 2 2" xfId="42869"/>
    <cellStyle name="常规 6 3 3 8 3 3" xfId="42870"/>
    <cellStyle name="常规 6 3 3 8 3 4" xfId="42871"/>
    <cellStyle name="常规 6 3 3 8 4" xfId="42872"/>
    <cellStyle name="常规 6 3 3 8 4 2" xfId="42873"/>
    <cellStyle name="常规 6 3 3 8 5" xfId="9239"/>
    <cellStyle name="常规 6 3 3 8 6" xfId="42874"/>
    <cellStyle name="常规 6 3 3 9" xfId="42875"/>
    <cellStyle name="常规 6 3 3 9 2" xfId="42876"/>
    <cellStyle name="常规 6 3 3 9 2 2" xfId="42877"/>
    <cellStyle name="常规 6 3 3 9 2 2 2" xfId="42878"/>
    <cellStyle name="常规 6 3 3 9 2 3" xfId="42879"/>
    <cellStyle name="常规 6 3 3 9 2 4" xfId="42880"/>
    <cellStyle name="常规 6 3 3 9 3" xfId="42881"/>
    <cellStyle name="常规 6 3 3 9 3 2" xfId="42882"/>
    <cellStyle name="常规 6 3 3 9 4" xfId="42883"/>
    <cellStyle name="常规 6 3 3 9 5" xfId="42884"/>
    <cellStyle name="常规 6 3 4" xfId="42885"/>
    <cellStyle name="常规 6 3 4 10" xfId="42886"/>
    <cellStyle name="常规 6 3 4 10 2" xfId="42887"/>
    <cellStyle name="常规 6 3 4 11" xfId="42888"/>
    <cellStyle name="常规 6 3 4 12" xfId="42889"/>
    <cellStyle name="常规 6 3 4 2" xfId="42532"/>
    <cellStyle name="常规 6 3 4 2 10" xfId="41476"/>
    <cellStyle name="常规 6 3 4 2 11" xfId="41487"/>
    <cellStyle name="常规 6 3 4 2 2" xfId="42534"/>
    <cellStyle name="常规 6 3 4 2 2 2" xfId="42536"/>
    <cellStyle name="常规 6 3 4 2 2 2 2" xfId="42890"/>
    <cellStyle name="常规 6 3 4 2 2 2 2 2" xfId="42891"/>
    <cellStyle name="常规 6 3 4 2 2 2 2 2 2" xfId="42892"/>
    <cellStyle name="常规 6 3 4 2 2 2 2 2 2 2" xfId="42893"/>
    <cellStyle name="常规 6 3 4 2 2 2 2 2 2 2 2" xfId="42894"/>
    <cellStyle name="常规 6 3 4 2 2 2 2 2 2 2 2 2" xfId="42895"/>
    <cellStyle name="常规 6 3 4 2 2 2 2 2 2 2 3" xfId="42896"/>
    <cellStyle name="常规 6 3 4 2 2 2 2 2 2 2 4" xfId="42897"/>
    <cellStyle name="常规 6 3 4 2 2 2 2 2 2 3" xfId="42898"/>
    <cellStyle name="常规 6 3 4 2 2 2 2 2 2 3 2" xfId="42899"/>
    <cellStyle name="常规 6 3 4 2 2 2 2 2 2 4" xfId="41304"/>
    <cellStyle name="常规 6 3 4 2 2 2 2 2 2 5" xfId="42900"/>
    <cellStyle name="常规 6 3 4 2 2 2 2 2 3" xfId="42901"/>
    <cellStyle name="常规 6 3 4 2 2 2 2 2 3 2" xfId="42902"/>
    <cellStyle name="常规 6 3 4 2 2 2 2 2 3 2 2" xfId="42903"/>
    <cellStyle name="常规 6 3 4 2 2 2 2 2 3 3" xfId="42904"/>
    <cellStyle name="常规 6 3 4 2 2 2 2 2 3 4" xfId="42905"/>
    <cellStyle name="常规 6 3 4 2 2 2 2 2 4" xfId="38036"/>
    <cellStyle name="常规 6 3 4 2 2 2 2 2 4 2" xfId="38038"/>
    <cellStyle name="常规 6 3 4 2 2 2 2 2 5" xfId="38043"/>
    <cellStyle name="常规 6 3 4 2 2 2 2 2 6" xfId="38046"/>
    <cellStyle name="常规 6 3 4 2 2 2 2 3" xfId="42906"/>
    <cellStyle name="常规 6 3 4 2 2 2 2 3 2" xfId="42907"/>
    <cellStyle name="常规 6 3 4 2 2 2 2 3 2 2" xfId="42908"/>
    <cellStyle name="常规 6 3 4 2 2 2 2 3 2 2 2" xfId="42909"/>
    <cellStyle name="常规 6 3 4 2 2 2 2 3 2 3" xfId="42910"/>
    <cellStyle name="常规 6 3 4 2 2 2 2 3 2 4" xfId="42911"/>
    <cellStyle name="常规 6 3 4 2 2 2 2 3 3" xfId="42912"/>
    <cellStyle name="常规 6 3 4 2 2 2 2 3 3 2" xfId="42913"/>
    <cellStyle name="常规 6 3 4 2 2 2 2 3 4" xfId="38050"/>
    <cellStyle name="常规 6 3 4 2 2 2 2 3 5" xfId="38053"/>
    <cellStyle name="常规 6 3 4 2 2 2 2 4" xfId="42914"/>
    <cellStyle name="常规 6 3 4 2 2 2 2 4 2" xfId="42915"/>
    <cellStyle name="常规 6 3 4 2 2 2 2 4 2 2" xfId="42916"/>
    <cellStyle name="常规 6 3 4 2 2 2 2 4 3" xfId="42917"/>
    <cellStyle name="常规 6 3 4 2 2 2 2 4 4" xfId="38057"/>
    <cellStyle name="常规 6 3 4 2 2 2 2 5" xfId="42918"/>
    <cellStyle name="常规 6 3 4 2 2 2 2 5 2" xfId="42919"/>
    <cellStyle name="常规 6 3 4 2 2 2 2 6" xfId="42920"/>
    <cellStyle name="常规 6 3 4 2 2 2 2 7" xfId="42921"/>
    <cellStyle name="常规 6 3 4 2 2 2 3" xfId="42922"/>
    <cellStyle name="常规 6 3 4 2 2 2 3 2" xfId="42923"/>
    <cellStyle name="常规 6 3 4 2 2 2 3 2 2" xfId="42924"/>
    <cellStyle name="常规 6 3 4 2 2 2 3 2 2 2" xfId="42925"/>
    <cellStyle name="常规 6 3 4 2 2 2 3 2 2 2 2" xfId="42926"/>
    <cellStyle name="常规 6 3 4 2 2 2 3 2 2 3" xfId="42927"/>
    <cellStyle name="常规 6 3 4 2 2 2 3 2 2 4" xfId="42928"/>
    <cellStyle name="常规 6 3 4 2 2 2 3 2 3" xfId="42929"/>
    <cellStyle name="常规 6 3 4 2 2 2 3 2 3 2" xfId="42930"/>
    <cellStyle name="常规 6 3 4 2 2 2 3 2 4" xfId="38063"/>
    <cellStyle name="常规 6 3 4 2 2 2 3 2 5" xfId="38066"/>
    <cellStyle name="常规 6 3 4 2 2 2 3 3" xfId="42931"/>
    <cellStyle name="常规 6 3 4 2 2 2 3 3 2" xfId="34789"/>
    <cellStyle name="常规 6 3 4 2 2 2 3 3 2 2" xfId="42932"/>
    <cellStyle name="常规 6 3 4 2 2 2 3 3 3" xfId="34791"/>
    <cellStyle name="常规 6 3 4 2 2 2 3 3 4" xfId="34793"/>
    <cellStyle name="常规 6 3 4 2 2 2 3 4" xfId="42933"/>
    <cellStyle name="常规 6 3 4 2 2 2 3 4 2" xfId="42934"/>
    <cellStyle name="常规 6 3 4 2 2 2 3 5" xfId="42935"/>
    <cellStyle name="常规 6 3 4 2 2 2 3 6" xfId="42936"/>
    <cellStyle name="常规 6 3 4 2 2 2 4" xfId="42937"/>
    <cellStyle name="常规 6 3 4 2 2 2 4 2" xfId="42938"/>
    <cellStyle name="常规 6 3 4 2 2 2 4 2 2" xfId="42939"/>
    <cellStyle name="常规 6 3 4 2 2 2 4 2 2 2" xfId="42940"/>
    <cellStyle name="常规 6 3 4 2 2 2 4 2 3" xfId="42941"/>
    <cellStyle name="常规 6 3 4 2 2 2 4 2 4" xfId="38074"/>
    <cellStyle name="常规 6 3 4 2 2 2 4 3" xfId="42942"/>
    <cellStyle name="常规 6 3 4 2 2 2 4 3 2" xfId="42943"/>
    <cellStyle name="常规 6 3 4 2 2 2 4 4" xfId="42944"/>
    <cellStyle name="常规 6 3 4 2 2 2 4 5" xfId="42945"/>
    <cellStyle name="常规 6 3 4 2 2 2 5" xfId="42946"/>
    <cellStyle name="常规 6 3 4 2 2 2 5 2" xfId="42947"/>
    <cellStyle name="常规 6 3 4 2 2 2 5 2 2" xfId="42948"/>
    <cellStyle name="常规 6 3 4 2 2 2 5 3" xfId="42949"/>
    <cellStyle name="常规 6 3 4 2 2 2 5 4" xfId="42950"/>
    <cellStyle name="常规 6 3 4 2 2 2 6" xfId="42951"/>
    <cellStyle name="常规 6 3 4 2 2 2 6 2" xfId="42952"/>
    <cellStyle name="常规 6 3 4 2 2 2 7" xfId="42953"/>
    <cellStyle name="常规 6 3 4 2 2 2 8" xfId="42954"/>
    <cellStyle name="常规 6 3 4 2 2 3" xfId="42955"/>
    <cellStyle name="常规 6 3 4 2 2 3 2" xfId="42956"/>
    <cellStyle name="常规 6 3 4 2 2 3 2 2" xfId="22089"/>
    <cellStyle name="常规 6 3 4 2 2 3 2 2 2" xfId="7339"/>
    <cellStyle name="常规 6 3 4 2 2 3 2 2 2 2" xfId="42957"/>
    <cellStyle name="常规 6 3 4 2 2 3 2 2 2 2 2" xfId="42958"/>
    <cellStyle name="常规 6 3 4 2 2 3 2 2 2 3" xfId="42959"/>
    <cellStyle name="常规 6 3 4 2 2 3 2 2 2 4" xfId="41451"/>
    <cellStyle name="常规 6 3 4 2 2 3 2 2 3" xfId="7343"/>
    <cellStyle name="常规 6 3 4 2 2 3 2 2 3 2" xfId="42960"/>
    <cellStyle name="常规 6 3 4 2 2 3 2 2 4" xfId="38143"/>
    <cellStyle name="常规 6 3 4 2 2 3 2 2 5" xfId="38146"/>
    <cellStyle name="常规 6 3 4 2 2 3 2 3" xfId="42961"/>
    <cellStyle name="常规 6 3 4 2 2 3 2 3 2" xfId="7354"/>
    <cellStyle name="常规 6 3 4 2 2 3 2 3 2 2" xfId="42962"/>
    <cellStyle name="常规 6 3 4 2 2 3 2 3 3" xfId="42963"/>
    <cellStyle name="常规 6 3 4 2 2 3 2 3 4" xfId="38150"/>
    <cellStyle name="常规 6 3 4 2 2 3 2 4" xfId="42964"/>
    <cellStyle name="常规 6 3 4 2 2 3 2 4 2" xfId="42965"/>
    <cellStyle name="常规 6 3 4 2 2 3 2 5" xfId="42966"/>
    <cellStyle name="常规 6 3 4 2 2 3 2 6" xfId="42967"/>
    <cellStyle name="常规 6 3 4 2 2 3 3" xfId="42968"/>
    <cellStyle name="常规 6 3 4 2 2 3 3 2" xfId="42969"/>
    <cellStyle name="常规 6 3 4 2 2 3 3 2 2" xfId="7376"/>
    <cellStyle name="常规 6 3 4 2 2 3 3 2 2 2" xfId="42970"/>
    <cellStyle name="常规 6 3 4 2 2 3 3 2 3" xfId="42971"/>
    <cellStyle name="常规 6 3 4 2 2 3 3 2 4" xfId="38156"/>
    <cellStyle name="常规 6 3 4 2 2 3 3 3" xfId="42972"/>
    <cellStyle name="常规 6 3 4 2 2 3 3 3 2" xfId="42973"/>
    <cellStyle name="常规 6 3 4 2 2 3 3 4" xfId="42974"/>
    <cellStyle name="常规 6 3 4 2 2 3 3 5" xfId="42975"/>
    <cellStyle name="常规 6 3 4 2 2 3 4" xfId="42976"/>
    <cellStyle name="常规 6 3 4 2 2 3 4 2" xfId="42977"/>
    <cellStyle name="常规 6 3 4 2 2 3 4 2 2" xfId="42978"/>
    <cellStyle name="常规 6 3 4 2 2 3 4 3" xfId="42979"/>
    <cellStyle name="常规 6 3 4 2 2 3 4 4" xfId="42980"/>
    <cellStyle name="常规 6 3 4 2 2 3 5" xfId="42981"/>
    <cellStyle name="常规 6 3 4 2 2 3 5 2" xfId="42982"/>
    <cellStyle name="常规 6 3 4 2 2 3 6" xfId="42983"/>
    <cellStyle name="常规 6 3 4 2 2 3 7" xfId="42984"/>
    <cellStyle name="常规 6 3 4 2 2 4" xfId="42985"/>
    <cellStyle name="常规 6 3 4 2 2 4 2" xfId="42986"/>
    <cellStyle name="常规 6 3 4 2 2 4 2 2" xfId="42987"/>
    <cellStyle name="常规 6 3 4 2 2 4 2 2 2" xfId="7424"/>
    <cellStyle name="常规 6 3 4 2 2 4 2 2 2 2" xfId="42988"/>
    <cellStyle name="常规 6 3 4 2 2 4 2 2 3" xfId="42989"/>
    <cellStyle name="常规 6 3 4 2 2 4 2 2 4" xfId="38195"/>
    <cellStyle name="常规 6 3 4 2 2 4 2 3" xfId="42990"/>
    <cellStyle name="常规 6 3 4 2 2 4 2 3 2" xfId="42991"/>
    <cellStyle name="常规 6 3 4 2 2 4 2 4" xfId="42992"/>
    <cellStyle name="常规 6 3 4 2 2 4 2 5" xfId="42993"/>
    <cellStyle name="常规 6 3 4 2 2 4 3" xfId="42994"/>
    <cellStyle name="常规 6 3 4 2 2 4 3 2" xfId="14761"/>
    <cellStyle name="常规 6 3 4 2 2 4 3 2 2" xfId="42995"/>
    <cellStyle name="常规 6 3 4 2 2 4 3 3" xfId="42996"/>
    <cellStyle name="常规 6 3 4 2 2 4 3 4" xfId="42997"/>
    <cellStyle name="常规 6 3 4 2 2 4 4" xfId="42998"/>
    <cellStyle name="常规 6 3 4 2 2 4 4 2" xfId="42999"/>
    <cellStyle name="常规 6 3 4 2 2 4 5" xfId="43000"/>
    <cellStyle name="常规 6 3 4 2 2 4 6" xfId="43001"/>
    <cellStyle name="常规 6 3 4 2 2 5" xfId="43002"/>
    <cellStyle name="常规 6 3 4 2 2 5 2" xfId="43003"/>
    <cellStyle name="常规 6 3 4 2 2 5 2 2" xfId="43004"/>
    <cellStyle name="常规 6 3 4 2 2 5 2 2 2" xfId="43005"/>
    <cellStyle name="常规 6 3 4 2 2 5 2 3" xfId="43006"/>
    <cellStyle name="常规 6 3 4 2 2 5 2 4" xfId="43007"/>
    <cellStyle name="常规 6 3 4 2 2 5 3" xfId="43008"/>
    <cellStyle name="常规 6 3 4 2 2 5 3 2" xfId="43009"/>
    <cellStyle name="常规 6 3 4 2 2 5 4" xfId="43010"/>
    <cellStyle name="常规 6 3 4 2 2 5 5" xfId="43011"/>
    <cellStyle name="常规 6 3 4 2 2 6" xfId="43012"/>
    <cellStyle name="常规 6 3 4 2 2 6 2" xfId="43013"/>
    <cellStyle name="常规 6 3 4 2 2 6 2 2" xfId="43014"/>
    <cellStyle name="常规 6 3 4 2 2 6 3" xfId="43015"/>
    <cellStyle name="常规 6 3 4 2 2 6 4" xfId="43016"/>
    <cellStyle name="常规 6 3 4 2 2 7" xfId="43017"/>
    <cellStyle name="常规 6 3 4 2 2 7 2" xfId="43018"/>
    <cellStyle name="常规 6 3 4 2 2 8" xfId="43019"/>
    <cellStyle name="常规 6 3 4 2 2 9" xfId="43020"/>
    <cellStyle name="常规 6 3 4 2 3" xfId="42538"/>
    <cellStyle name="常规 6 3 4 2 3 2" xfId="43021"/>
    <cellStyle name="常规 6 3 4 2 3 2 2" xfId="9204"/>
    <cellStyle name="常规 6 3 4 2 3 2 2 2" xfId="6265"/>
    <cellStyle name="常规 6 3 4 2 3 2 2 2 2" xfId="1159"/>
    <cellStyle name="常规 6 3 4 2 3 2 2 2 2 2" xfId="43022"/>
    <cellStyle name="常规 6 3 4 2 3 2 2 2 2 2 2" xfId="43023"/>
    <cellStyle name="常规 6 3 4 2 3 2 2 2 2 2 2 2" xfId="43024"/>
    <cellStyle name="常规 6 3 4 2 3 2 2 2 2 2 3" xfId="43025"/>
    <cellStyle name="常规 6 3 4 2 3 2 2 2 2 2 4" xfId="43026"/>
    <cellStyle name="常规 6 3 4 2 3 2 2 2 2 3" xfId="43027"/>
    <cellStyle name="常规 6 3 4 2 3 2 2 2 2 3 2" xfId="43028"/>
    <cellStyle name="常规 6 3 4 2 3 2 2 2 2 4" xfId="34509"/>
    <cellStyle name="常规 6 3 4 2 3 2 2 2 2 5" xfId="34511"/>
    <cellStyle name="常规 6 3 4 2 3 2 2 2 3" xfId="43029"/>
    <cellStyle name="常规 6 3 4 2 3 2 2 2 3 2" xfId="43030"/>
    <cellStyle name="常规 6 3 4 2 3 2 2 2 3 2 2" xfId="43031"/>
    <cellStyle name="常规 6 3 4 2 3 2 2 2 3 3" xfId="43032"/>
    <cellStyle name="常规 6 3 4 2 3 2 2 2 3 4" xfId="29163"/>
    <cellStyle name="常规 6 3 4 2 3 2 2 2 4" xfId="38313"/>
    <cellStyle name="常规 6 3 4 2 3 2 2 2 4 2" xfId="16501"/>
    <cellStyle name="常规 6 3 4 2 3 2 2 2 5" xfId="43033"/>
    <cellStyle name="常规 6 3 4 2 3 2 2 2 6" xfId="43034"/>
    <cellStyle name="常规 6 3 4 2 3 2 2 3" xfId="6271"/>
    <cellStyle name="常规 6 3 4 2 3 2 2 3 2" xfId="43035"/>
    <cellStyle name="常规 6 3 4 2 3 2 2 3 2 2" xfId="43036"/>
    <cellStyle name="常规 6 3 4 2 3 2 2 3 2 2 2" xfId="43037"/>
    <cellStyle name="常规 6 3 4 2 3 2 2 3 2 3" xfId="43038"/>
    <cellStyle name="常规 6 3 4 2 3 2 2 3 2 4" xfId="18397"/>
    <cellStyle name="常规 6 3 4 2 3 2 2 3 3" xfId="43039"/>
    <cellStyle name="常规 6 3 4 2 3 2 2 3 3 2" xfId="43040"/>
    <cellStyle name="常规 6 3 4 2 3 2 2 3 4" xfId="43041"/>
    <cellStyle name="常规 6 3 4 2 3 2 2 3 5" xfId="43042"/>
    <cellStyle name="常规 6 3 4 2 3 2 2 4" xfId="5339"/>
    <cellStyle name="常规 6 3 4 2 3 2 2 4 2" xfId="43043"/>
    <cellStyle name="常规 6 3 4 2 3 2 2 4 2 2" xfId="43044"/>
    <cellStyle name="常规 6 3 4 2 3 2 2 4 3" xfId="43045"/>
    <cellStyle name="常规 6 3 4 2 3 2 2 4 4" xfId="43046"/>
    <cellStyle name="常规 6 3 4 2 3 2 2 5" xfId="43047"/>
    <cellStyle name="常规 6 3 4 2 3 2 2 5 2" xfId="43048"/>
    <cellStyle name="常规 6 3 4 2 3 2 2 6" xfId="43049"/>
    <cellStyle name="常规 6 3 4 2 3 2 2 7" xfId="43050"/>
    <cellStyle name="常规 6 3 4 2 3 2 3" xfId="9208"/>
    <cellStyle name="常规 6 3 4 2 3 2 3 2" xfId="6288"/>
    <cellStyle name="常规 6 3 4 2 3 2 3 2 2" xfId="43051"/>
    <cellStyle name="常规 6 3 4 2 3 2 3 2 2 2" xfId="43052"/>
    <cellStyle name="常规 6 3 4 2 3 2 3 2 2 2 2" xfId="30513"/>
    <cellStyle name="常规 6 3 4 2 3 2 3 2 2 3" xfId="43053"/>
    <cellStyle name="常规 6 3 4 2 3 2 3 2 2 4" xfId="34652"/>
    <cellStyle name="常规 6 3 4 2 3 2 3 2 3" xfId="43054"/>
    <cellStyle name="常规 6 3 4 2 3 2 3 2 3 2" xfId="43055"/>
    <cellStyle name="常规 6 3 4 2 3 2 3 2 4" xfId="43056"/>
    <cellStyle name="常规 6 3 4 2 3 2 3 2 5" xfId="43057"/>
    <cellStyle name="常规 6 3 4 2 3 2 3 3" xfId="43058"/>
    <cellStyle name="常规 6 3 4 2 3 2 3 3 2" xfId="43059"/>
    <cellStyle name="常规 6 3 4 2 3 2 3 3 2 2" xfId="43060"/>
    <cellStyle name="常规 6 3 4 2 3 2 3 3 3" xfId="43061"/>
    <cellStyle name="常规 6 3 4 2 3 2 3 3 4" xfId="43062"/>
    <cellStyle name="常规 6 3 4 2 3 2 3 4" xfId="43063"/>
    <cellStyle name="常规 6 3 4 2 3 2 3 4 2" xfId="43064"/>
    <cellStyle name="常规 6 3 4 2 3 2 3 5" xfId="43065"/>
    <cellStyle name="常规 6 3 4 2 3 2 3 6" xfId="43066"/>
    <cellStyle name="常规 6 3 4 2 3 2 4" xfId="9213"/>
    <cellStyle name="常规 6 3 4 2 3 2 4 2" xfId="43067"/>
    <cellStyle name="常规 6 3 4 2 3 2 4 2 2" xfId="43068"/>
    <cellStyle name="常规 6 3 4 2 3 2 4 2 2 2" xfId="43069"/>
    <cellStyle name="常规 6 3 4 2 3 2 4 2 3" xfId="43070"/>
    <cellStyle name="常规 6 3 4 2 3 2 4 2 4" xfId="43071"/>
    <cellStyle name="常规 6 3 4 2 3 2 4 3" xfId="43072"/>
    <cellStyle name="常规 6 3 4 2 3 2 4 3 2" xfId="43073"/>
    <cellStyle name="常规 6 3 4 2 3 2 4 4" xfId="43074"/>
    <cellStyle name="常规 6 3 4 2 3 2 4 5" xfId="43075"/>
    <cellStyle name="常规 6 3 4 2 3 2 5" xfId="9218"/>
    <cellStyle name="常规 6 3 4 2 3 2 5 2" xfId="43076"/>
    <cellStyle name="常规 6 3 4 2 3 2 5 2 2" xfId="43077"/>
    <cellStyle name="常规 6 3 4 2 3 2 5 3" xfId="43078"/>
    <cellStyle name="常规 6 3 4 2 3 2 5 4" xfId="43079"/>
    <cellStyle name="常规 6 3 4 2 3 2 6" xfId="43080"/>
    <cellStyle name="常规 6 3 4 2 3 2 6 2" xfId="22654"/>
    <cellStyle name="常规 6 3 4 2 3 2 7" xfId="43081"/>
    <cellStyle name="常规 6 3 4 2 3 2 8" xfId="43082"/>
    <cellStyle name="常规 6 3 4 2 3 3" xfId="43083"/>
    <cellStyle name="常规 6 3 4 2 3 3 2" xfId="9222"/>
    <cellStyle name="常规 6 3 4 2 3 3 2 2" xfId="6335"/>
    <cellStyle name="常规 6 3 4 2 3 3 2 2 2" xfId="105"/>
    <cellStyle name="常规 6 3 4 2 3 3 2 2 2 2" xfId="43084"/>
    <cellStyle name="常规 6 3 4 2 3 3 2 2 2 2 2" xfId="43085"/>
    <cellStyle name="常规 6 3 4 2 3 3 2 2 2 3" xfId="43086"/>
    <cellStyle name="常规 6 3 4 2 3 3 2 2 2 4" xfId="43088"/>
    <cellStyle name="常规 6 3 4 2 3 3 2 2 3" xfId="7502"/>
    <cellStyle name="常规 6 3 4 2 3 3 2 2 3 2" xfId="43089"/>
    <cellStyle name="常规 6 3 4 2 3 3 2 2 4" xfId="43090"/>
    <cellStyle name="常规 6 3 4 2 3 3 2 2 5" xfId="43091"/>
    <cellStyle name="常规 6 3 4 2 3 3 2 3" xfId="43092"/>
    <cellStyle name="常规 6 3 4 2 3 3 2 3 2" xfId="2478"/>
    <cellStyle name="常规 6 3 4 2 3 3 2 3 2 2" xfId="43093"/>
    <cellStyle name="常规 6 3 4 2 3 3 2 3 3" xfId="43094"/>
    <cellStyle name="常规 6 3 4 2 3 3 2 3 4" xfId="43095"/>
    <cellStyle name="常规 6 3 4 2 3 3 2 4" xfId="43096"/>
    <cellStyle name="常规 6 3 4 2 3 3 2 4 2" xfId="43097"/>
    <cellStyle name="常规 6 3 4 2 3 3 2 5" xfId="43098"/>
    <cellStyle name="常规 6 3 4 2 3 3 2 6" xfId="43099"/>
    <cellStyle name="常规 6 3 4 2 3 3 3" xfId="9226"/>
    <cellStyle name="常规 6 3 4 2 3 3 3 2" xfId="43100"/>
    <cellStyle name="常规 6 3 4 2 3 3 3 2 2" xfId="7504"/>
    <cellStyle name="常规 6 3 4 2 3 3 3 2 2 2" xfId="43101"/>
    <cellStyle name="常规 6 3 4 2 3 3 3 2 3" xfId="43102"/>
    <cellStyle name="常规 6 3 4 2 3 3 3 2 4" xfId="43103"/>
    <cellStyle name="常规 6 3 4 2 3 3 3 3" xfId="43104"/>
    <cellStyle name="常规 6 3 4 2 3 3 3 3 2" xfId="43105"/>
    <cellStyle name="常规 6 3 4 2 3 3 3 4" xfId="43106"/>
    <cellStyle name="常规 6 3 4 2 3 3 3 5" xfId="43107"/>
    <cellStyle name="常规 6 3 4 2 3 3 4" xfId="9230"/>
    <cellStyle name="常规 6 3 4 2 3 3 4 2" xfId="43108"/>
    <cellStyle name="常规 6 3 4 2 3 3 4 2 2" xfId="43109"/>
    <cellStyle name="常规 6 3 4 2 3 3 4 3" xfId="43110"/>
    <cellStyle name="常规 6 3 4 2 3 3 4 4" xfId="43111"/>
    <cellStyle name="常规 6 3 4 2 3 3 5" xfId="43112"/>
    <cellStyle name="常规 6 3 4 2 3 3 5 2" xfId="43113"/>
    <cellStyle name="常规 6 3 4 2 3 3 6" xfId="43114"/>
    <cellStyle name="常规 6 3 4 2 3 3 7" xfId="43115"/>
    <cellStyle name="常规 6 3 4 2 3 4" xfId="43116"/>
    <cellStyle name="常规 6 3 4 2 3 4 2" xfId="9237"/>
    <cellStyle name="常规 6 3 4 2 3 4 2 2" xfId="43117"/>
    <cellStyle name="常规 6 3 4 2 3 4 2 2 2" xfId="1204"/>
    <cellStyle name="常规 6 3 4 2 3 4 2 2 2 2" xfId="43118"/>
    <cellStyle name="常规 6 3 4 2 3 4 2 2 3" xfId="43119"/>
    <cellStyle name="常规 6 3 4 2 3 4 2 2 4" xfId="43120"/>
    <cellStyle name="常规 6 3 4 2 3 4 2 3" xfId="43121"/>
    <cellStyle name="常规 6 3 4 2 3 4 2 3 2" xfId="43122"/>
    <cellStyle name="常规 6 3 4 2 3 4 2 4" xfId="43123"/>
    <cellStyle name="常规 6 3 4 2 3 4 2 5" xfId="43124"/>
    <cellStyle name="常规 6 3 4 2 3 4 3" xfId="9243"/>
    <cellStyle name="常规 6 3 4 2 3 4 3 2" xfId="43125"/>
    <cellStyle name="常规 6 3 4 2 3 4 3 2 2" xfId="43126"/>
    <cellStyle name="常规 6 3 4 2 3 4 3 3" xfId="43127"/>
    <cellStyle name="常规 6 3 4 2 3 4 3 4" xfId="43128"/>
    <cellStyle name="常规 6 3 4 2 3 4 4" xfId="43129"/>
    <cellStyle name="常规 6 3 4 2 3 4 4 2" xfId="43130"/>
    <cellStyle name="常规 6 3 4 2 3 4 5" xfId="16831"/>
    <cellStyle name="常规 6 3 4 2 3 4 6" xfId="43131"/>
    <cellStyle name="常规 6 3 4 2 3 5" xfId="43132"/>
    <cellStyle name="常规 6 3 4 2 3 5 2" xfId="43133"/>
    <cellStyle name="常规 6 3 4 2 3 5 2 2" xfId="43134"/>
    <cellStyle name="常规 6 3 4 2 3 5 2 2 2" xfId="43135"/>
    <cellStyle name="常规 6 3 4 2 3 5 2 3" xfId="43136"/>
    <cellStyle name="常规 6 3 4 2 3 5 2 4" xfId="43137"/>
    <cellStyle name="常规 6 3 4 2 3 5 3" xfId="43138"/>
    <cellStyle name="常规 6 3 4 2 3 5 3 2" xfId="43139"/>
    <cellStyle name="常规 6 3 4 2 3 5 4" xfId="43140"/>
    <cellStyle name="常规 6 3 4 2 3 5 5" xfId="43141"/>
    <cellStyle name="常规 6 3 4 2 3 6" xfId="43142"/>
    <cellStyle name="常规 6 3 4 2 3 6 2" xfId="43143"/>
    <cellStyle name="常规 6 3 4 2 3 6 2 2" xfId="43144"/>
    <cellStyle name="常规 6 3 4 2 3 6 3" xfId="43145"/>
    <cellStyle name="常规 6 3 4 2 3 6 4" xfId="43146"/>
    <cellStyle name="常规 6 3 4 2 3 7" xfId="21610"/>
    <cellStyle name="常规 6 3 4 2 3 7 2" xfId="43147"/>
    <cellStyle name="常规 6 3 4 2 3 8" xfId="43148"/>
    <cellStyle name="常规 6 3 4 2 3 9" xfId="43149"/>
    <cellStyle name="常规 6 3 4 2 4" xfId="42540"/>
    <cellStyle name="常规 6 3 4 2 4 2" xfId="43150"/>
    <cellStyle name="常规 6 3 4 2 4 2 2" xfId="9351"/>
    <cellStyle name="常规 6 3 4 2 4 2 2 2" xfId="6462"/>
    <cellStyle name="常规 6 3 4 2 4 2 2 2 2" xfId="43151"/>
    <cellStyle name="常规 6 3 4 2 4 2 2 2 2 2" xfId="43152"/>
    <cellStyle name="常规 6 3 4 2 4 2 2 2 2 2 2" xfId="43153"/>
    <cellStyle name="常规 6 3 4 2 4 2 2 2 2 3" xfId="43154"/>
    <cellStyle name="常规 6 3 4 2 4 2 2 2 2 4" xfId="43155"/>
    <cellStyle name="常规 6 3 4 2 4 2 2 2 3" xfId="43156"/>
    <cellStyle name="常规 6 3 4 2 4 2 2 2 3 2" xfId="43157"/>
    <cellStyle name="常规 6 3 4 2 4 2 2 2 4" xfId="38445"/>
    <cellStyle name="常规 6 3 4 2 4 2 2 2 5" xfId="43158"/>
    <cellStyle name="常规 6 3 4 2 4 2 2 3" xfId="43159"/>
    <cellStyle name="常规 6 3 4 2 4 2 2 3 2" xfId="43160"/>
    <cellStyle name="常规 6 3 4 2 4 2 2 3 2 2" xfId="43161"/>
    <cellStyle name="常规 6 3 4 2 4 2 2 3 3" xfId="43162"/>
    <cellStyle name="常规 6 3 4 2 4 2 2 3 4" xfId="43163"/>
    <cellStyle name="常规 6 3 4 2 4 2 2 4" xfId="43164"/>
    <cellStyle name="常规 6 3 4 2 4 2 2 4 2" xfId="43165"/>
    <cellStyle name="常规 6 3 4 2 4 2 2 5" xfId="43166"/>
    <cellStyle name="常规 6 3 4 2 4 2 2 6" xfId="43167"/>
    <cellStyle name="常规 6 3 4 2 4 2 3" xfId="7405"/>
    <cellStyle name="常规 6 3 4 2 4 2 3 2" xfId="43168"/>
    <cellStyle name="常规 6 3 4 2 4 2 3 2 2" xfId="43169"/>
    <cellStyle name="常规 6 3 4 2 4 2 3 2 2 2" xfId="43170"/>
    <cellStyle name="常规 6 3 4 2 4 2 3 2 3" xfId="43171"/>
    <cellStyle name="常规 6 3 4 2 4 2 3 2 4" xfId="43172"/>
    <cellStyle name="常规 6 3 4 2 4 2 3 3" xfId="43173"/>
    <cellStyle name="常规 6 3 4 2 4 2 3 3 2" xfId="43174"/>
    <cellStyle name="常规 6 3 4 2 4 2 3 4" xfId="43175"/>
    <cellStyle name="常规 6 3 4 2 4 2 3 5" xfId="43176"/>
    <cellStyle name="常规 6 3 4 2 4 2 4" xfId="2691"/>
    <cellStyle name="常规 6 3 4 2 4 2 4 2" xfId="43177"/>
    <cellStyle name="常规 6 3 4 2 4 2 4 2 2" xfId="43178"/>
    <cellStyle name="常规 6 3 4 2 4 2 4 3" xfId="43179"/>
    <cellStyle name="常规 6 3 4 2 4 2 4 4" xfId="43180"/>
    <cellStyle name="常规 6 3 4 2 4 2 5" xfId="43181"/>
    <cellStyle name="常规 6 3 4 2 4 2 5 2" xfId="43182"/>
    <cellStyle name="常规 6 3 4 2 4 2 6" xfId="43183"/>
    <cellStyle name="常规 6 3 4 2 4 2 7" xfId="43184"/>
    <cellStyle name="常规 6 3 4 2 4 3" xfId="43185"/>
    <cellStyle name="常规 6 3 4 2 4 3 2" xfId="9356"/>
    <cellStyle name="常规 6 3 4 2 4 3 2 2" xfId="43186"/>
    <cellStyle name="常规 6 3 4 2 4 3 2 2 2" xfId="2392"/>
    <cellStyle name="常规 6 3 4 2 4 3 2 2 2 2" xfId="43187"/>
    <cellStyle name="常规 6 3 4 2 4 3 2 2 3" xfId="43188"/>
    <cellStyle name="常规 6 3 4 2 4 3 2 2 4" xfId="43189"/>
    <cellStyle name="常规 6 3 4 2 4 3 2 3" xfId="43190"/>
    <cellStyle name="常规 6 3 4 2 4 3 2 3 2" xfId="43191"/>
    <cellStyle name="常规 6 3 4 2 4 3 2 4" xfId="43192"/>
    <cellStyle name="常规 6 3 4 2 4 3 2 5" xfId="43193"/>
    <cellStyle name="常规 6 3 4 2 4 3 3" xfId="7413"/>
    <cellStyle name="常规 6 3 4 2 4 3 3 2" xfId="43194"/>
    <cellStyle name="常规 6 3 4 2 4 3 3 2 2" xfId="43195"/>
    <cellStyle name="常规 6 3 4 2 4 3 3 3" xfId="43196"/>
    <cellStyle name="常规 6 3 4 2 4 3 3 4" xfId="43197"/>
    <cellStyle name="常规 6 3 4 2 4 3 4" xfId="43198"/>
    <cellStyle name="常规 6 3 4 2 4 3 4 2" xfId="43199"/>
    <cellStyle name="常规 6 3 4 2 4 3 5" xfId="43200"/>
    <cellStyle name="常规 6 3 4 2 4 3 6" xfId="43201"/>
    <cellStyle name="常规 6 3 4 2 4 4" xfId="43202"/>
    <cellStyle name="常规 6 3 4 2 4 4 2" xfId="43203"/>
    <cellStyle name="常规 6 3 4 2 4 4 2 2" xfId="43204"/>
    <cellStyle name="常规 6 3 4 2 4 4 2 2 2" xfId="43205"/>
    <cellStyle name="常规 6 3 4 2 4 4 2 3" xfId="43206"/>
    <cellStyle name="常规 6 3 4 2 4 4 2 4" xfId="43207"/>
    <cellStyle name="常规 6 3 4 2 4 4 3" xfId="43208"/>
    <cellStyle name="常规 6 3 4 2 4 4 3 2" xfId="43209"/>
    <cellStyle name="常规 6 3 4 2 4 4 4" xfId="43210"/>
    <cellStyle name="常规 6 3 4 2 4 4 5" xfId="43211"/>
    <cellStyle name="常规 6 3 4 2 4 5" xfId="43212"/>
    <cellStyle name="常规 6 3 4 2 4 5 2" xfId="43213"/>
    <cellStyle name="常规 6 3 4 2 4 5 2 2" xfId="43214"/>
    <cellStyle name="常规 6 3 4 2 4 5 3" xfId="43215"/>
    <cellStyle name="常规 6 3 4 2 4 5 4" xfId="43216"/>
    <cellStyle name="常规 6 3 4 2 4 6" xfId="43217"/>
    <cellStyle name="常规 6 3 4 2 4 6 2" xfId="43218"/>
    <cellStyle name="常规 6 3 4 2 4 7" xfId="43219"/>
    <cellStyle name="常规 6 3 4 2 4 8" xfId="43220"/>
    <cellStyle name="常规 6 3 4 2 5" xfId="43221"/>
    <cellStyle name="常规 6 3 4 2 5 2" xfId="43222"/>
    <cellStyle name="常规 6 3 4 2 5 2 2" xfId="9423"/>
    <cellStyle name="常规 6 3 4 2 5 2 2 2" xfId="43223"/>
    <cellStyle name="常规 6 3 4 2 5 2 2 2 2" xfId="43224"/>
    <cellStyle name="常规 6 3 4 2 5 2 2 2 2 2" xfId="43225"/>
    <cellStyle name="常规 6 3 4 2 5 2 2 2 3" xfId="43226"/>
    <cellStyle name="常规 6 3 4 2 5 2 2 2 4" xfId="43227"/>
    <cellStyle name="常规 6 3 4 2 5 2 2 3" xfId="43228"/>
    <cellStyle name="常规 6 3 4 2 5 2 2 3 2" xfId="43229"/>
    <cellStyle name="常规 6 3 4 2 5 2 2 4" xfId="37441"/>
    <cellStyle name="常规 6 3 4 2 5 2 2 5" xfId="43230"/>
    <cellStyle name="常规 6 3 4 2 5 2 3" xfId="1463"/>
    <cellStyle name="常规 6 3 4 2 5 2 3 2" xfId="43231"/>
    <cellStyle name="常规 6 3 4 2 5 2 3 2 2" xfId="43232"/>
    <cellStyle name="常规 6 3 4 2 5 2 3 3" xfId="43233"/>
    <cellStyle name="常规 6 3 4 2 5 2 3 4" xfId="43234"/>
    <cellStyle name="常规 6 3 4 2 5 2 4" xfId="43235"/>
    <cellStyle name="常规 6 3 4 2 5 2 4 2" xfId="43236"/>
    <cellStyle name="常规 6 3 4 2 5 2 5" xfId="43237"/>
    <cellStyle name="常规 6 3 4 2 5 2 6" xfId="43238"/>
    <cellStyle name="常规 6 3 4 2 5 3" xfId="43239"/>
    <cellStyle name="常规 6 3 4 2 5 3 2" xfId="43240"/>
    <cellStyle name="常规 6 3 4 2 5 3 2 2" xfId="43241"/>
    <cellStyle name="常规 6 3 4 2 5 3 2 2 2" xfId="43242"/>
    <cellStyle name="常规 6 3 4 2 5 3 2 3" xfId="43243"/>
    <cellStyle name="常规 6 3 4 2 5 3 2 4" xfId="43244"/>
    <cellStyle name="常规 6 3 4 2 5 3 3" xfId="43245"/>
    <cellStyle name="常规 6 3 4 2 5 3 3 2" xfId="43246"/>
    <cellStyle name="常规 6 3 4 2 5 3 4" xfId="43247"/>
    <cellStyle name="常规 6 3 4 2 5 3 5" xfId="43248"/>
    <cellStyle name="常规 6 3 4 2 5 4" xfId="43249"/>
    <cellStyle name="常规 6 3 4 2 5 4 2" xfId="43250"/>
    <cellStyle name="常规 6 3 4 2 5 4 2 2" xfId="43251"/>
    <cellStyle name="常规 6 3 4 2 5 4 3" xfId="43252"/>
    <cellStyle name="常规 6 3 4 2 5 4 4" xfId="43253"/>
    <cellStyle name="常规 6 3 4 2 5 5" xfId="43254"/>
    <cellStyle name="常规 6 3 4 2 5 5 2" xfId="43255"/>
    <cellStyle name="常规 6 3 4 2 5 6" xfId="43257"/>
    <cellStyle name="常规 6 3 4 2 5 7" xfId="43259"/>
    <cellStyle name="常规 6 3 4 2 6" xfId="41190"/>
    <cellStyle name="常规 6 3 4 2 6 2" xfId="43260"/>
    <cellStyle name="常规 6 3 4 2 6 2 2" xfId="43261"/>
    <cellStyle name="常规 6 3 4 2 6 2 2 2" xfId="43262"/>
    <cellStyle name="常规 6 3 4 2 6 2 2 2 2" xfId="43263"/>
    <cellStyle name="常规 6 3 4 2 6 2 2 3" xfId="43264"/>
    <cellStyle name="常规 6 3 4 2 6 2 2 4" xfId="43265"/>
    <cellStyle name="常规 6 3 4 2 6 2 3" xfId="43266"/>
    <cellStyle name="常规 6 3 4 2 6 2 3 2" xfId="43267"/>
    <cellStyle name="常规 6 3 4 2 6 2 4" xfId="43268"/>
    <cellStyle name="常规 6 3 4 2 6 2 5" xfId="43269"/>
    <cellStyle name="常规 6 3 4 2 6 3" xfId="43270"/>
    <cellStyle name="常规 6 3 4 2 6 3 2" xfId="43271"/>
    <cellStyle name="常规 6 3 4 2 6 3 2 2" xfId="43272"/>
    <cellStyle name="常规 6 3 4 2 6 3 3" xfId="43273"/>
    <cellStyle name="常规 6 3 4 2 6 3 4" xfId="43274"/>
    <cellStyle name="常规 6 3 4 2 6 4" xfId="43275"/>
    <cellStyle name="常规 6 3 4 2 6 4 2" xfId="43276"/>
    <cellStyle name="常规 6 3 4 2 6 5" xfId="43277"/>
    <cellStyle name="常规 6 3 4 2 6 6" xfId="43279"/>
    <cellStyle name="常规 6 3 4 2 7" xfId="41192"/>
    <cellStyle name="常规 6 3 4 2 7 2" xfId="43280"/>
    <cellStyle name="常规 6 3 4 2 7 2 2" xfId="43281"/>
    <cellStyle name="常规 6 3 4 2 7 2 2 2" xfId="43282"/>
    <cellStyle name="常规 6 3 4 2 7 2 3" xfId="43283"/>
    <cellStyle name="常规 6 3 4 2 7 2 4" xfId="43284"/>
    <cellStyle name="常规 6 3 4 2 7 3" xfId="43285"/>
    <cellStyle name="常规 6 3 4 2 7 3 2" xfId="43286"/>
    <cellStyle name="常规 6 3 4 2 7 4" xfId="43287"/>
    <cellStyle name="常规 6 3 4 2 7 5" xfId="43288"/>
    <cellStyle name="常规 6 3 4 2 8" xfId="43289"/>
    <cellStyle name="常规 6 3 4 2 8 2" xfId="43290"/>
    <cellStyle name="常规 6 3 4 2 8 2 2" xfId="43291"/>
    <cellStyle name="常规 6 3 4 2 8 3" xfId="36098"/>
    <cellStyle name="常规 6 3 4 2 8 4" xfId="36101"/>
    <cellStyle name="常规 6 3 4 2 9" xfId="43292"/>
    <cellStyle name="常规 6 3 4 2 9 2" xfId="43293"/>
    <cellStyle name="常规 6 3 4 3" xfId="42542"/>
    <cellStyle name="常规 6 3 4 3 2" xfId="42544"/>
    <cellStyle name="常规 6 3 4 3 2 2" xfId="43294"/>
    <cellStyle name="常规 6 3 4 3 2 2 2" xfId="43295"/>
    <cellStyle name="常规 6 3 4 3 2 2 2 2" xfId="43296"/>
    <cellStyle name="常规 6 3 4 3 2 2 2 2 2" xfId="37364"/>
    <cellStyle name="常规 6 3 4 3 2 2 2 2 2 2" xfId="43297"/>
    <cellStyle name="常规 6 3 4 3 2 2 2 2 2 2 2" xfId="43298"/>
    <cellStyle name="常规 6 3 4 3 2 2 2 2 2 3" xfId="43299"/>
    <cellStyle name="常规 6 3 4 3 2 2 2 2 2 4" xfId="43300"/>
    <cellStyle name="常规 6 3 4 3 2 2 2 2 3" xfId="37366"/>
    <cellStyle name="常规 6 3 4 3 2 2 2 2 3 2" xfId="43301"/>
    <cellStyle name="常规 6 3 4 3 2 2 2 2 4" xfId="38724"/>
    <cellStyle name="常规 6 3 4 3 2 2 2 2 5" xfId="43302"/>
    <cellStyle name="常规 6 3 4 3 2 2 2 3" xfId="43303"/>
    <cellStyle name="常规 6 3 4 3 2 2 2 3 2" xfId="37377"/>
    <cellStyle name="常规 6 3 4 3 2 2 2 3 2 2" xfId="43304"/>
    <cellStyle name="常规 6 3 4 3 2 2 2 3 3" xfId="43305"/>
    <cellStyle name="常规 6 3 4 3 2 2 2 3 4" xfId="43306"/>
    <cellStyle name="常规 6 3 4 3 2 2 2 4" xfId="43307"/>
    <cellStyle name="常规 6 3 4 3 2 2 2 4 2" xfId="43308"/>
    <cellStyle name="常规 6 3 4 3 2 2 2 5" xfId="43309"/>
    <cellStyle name="常规 6 3 4 3 2 2 2 6" xfId="43310"/>
    <cellStyle name="常规 6 3 4 3 2 2 3" xfId="43311"/>
    <cellStyle name="常规 6 3 4 3 2 2 3 2" xfId="43312"/>
    <cellStyle name="常规 6 3 4 3 2 2 3 2 2" xfId="37401"/>
    <cellStyle name="常规 6 3 4 3 2 2 3 2 2 2" xfId="43313"/>
    <cellStyle name="常规 6 3 4 3 2 2 3 2 3" xfId="35035"/>
    <cellStyle name="常规 6 3 4 3 2 2 3 2 4" xfId="35041"/>
    <cellStyle name="常规 6 3 4 3 2 2 3 3" xfId="43314"/>
    <cellStyle name="常规 6 3 4 3 2 2 3 3 2" xfId="43315"/>
    <cellStyle name="常规 6 3 4 3 2 2 3 4" xfId="43316"/>
    <cellStyle name="常规 6 3 4 3 2 2 3 5" xfId="43317"/>
    <cellStyle name="常规 6 3 4 3 2 2 4" xfId="43318"/>
    <cellStyle name="常规 6 3 4 3 2 2 4 2" xfId="43319"/>
    <cellStyle name="常规 6 3 4 3 2 2 4 2 2" xfId="43320"/>
    <cellStyle name="常规 6 3 4 3 2 2 4 3" xfId="43321"/>
    <cellStyle name="常规 6 3 4 3 2 2 4 4" xfId="43322"/>
    <cellStyle name="常规 6 3 4 3 2 2 5" xfId="43323"/>
    <cellStyle name="常规 6 3 4 3 2 2 5 2" xfId="43324"/>
    <cellStyle name="常规 6 3 4 3 2 2 6" xfId="43325"/>
    <cellStyle name="常规 6 3 4 3 2 2 7" xfId="43326"/>
    <cellStyle name="常规 6 3 4 3 2 3" xfId="43327"/>
    <cellStyle name="常规 6 3 4 3 2 3 2" xfId="43328"/>
    <cellStyle name="常规 6 3 4 3 2 3 2 2" xfId="43329"/>
    <cellStyle name="常规 6 3 4 3 2 3 2 2 2" xfId="321"/>
    <cellStyle name="常规 6 3 4 3 2 3 2 2 2 2" xfId="43330"/>
    <cellStyle name="常规 6 3 4 3 2 3 2 2 3" xfId="43331"/>
    <cellStyle name="常规 6 3 4 3 2 3 2 2 4" xfId="43332"/>
    <cellStyle name="常规 6 3 4 3 2 3 2 3" xfId="43333"/>
    <cellStyle name="常规 6 3 4 3 2 3 2 3 2" xfId="43334"/>
    <cellStyle name="常规 6 3 4 3 2 3 2 4" xfId="43335"/>
    <cellStyle name="常规 6 3 4 3 2 3 2 5" xfId="43336"/>
    <cellStyle name="常规 6 3 4 3 2 3 3" xfId="43337"/>
    <cellStyle name="常规 6 3 4 3 2 3 3 2" xfId="43338"/>
    <cellStyle name="常规 6 3 4 3 2 3 3 2 2" xfId="43339"/>
    <cellStyle name="常规 6 3 4 3 2 3 3 3" xfId="43340"/>
    <cellStyle name="常规 6 3 4 3 2 3 3 4" xfId="43341"/>
    <cellStyle name="常规 6 3 4 3 2 3 4" xfId="43342"/>
    <cellStyle name="常规 6 3 4 3 2 3 4 2" xfId="43343"/>
    <cellStyle name="常规 6 3 4 3 2 3 5" xfId="43344"/>
    <cellStyle name="常规 6 3 4 3 2 3 6" xfId="43345"/>
    <cellStyle name="常规 6 3 4 3 2 4" xfId="43346"/>
    <cellStyle name="常规 6 3 4 3 2 4 2" xfId="43347"/>
    <cellStyle name="常规 6 3 4 3 2 4 2 2" xfId="43348"/>
    <cellStyle name="常规 6 3 4 3 2 4 2 2 2" xfId="43349"/>
    <cellStyle name="常规 6 3 4 3 2 4 2 3" xfId="43350"/>
    <cellStyle name="常规 6 3 4 3 2 4 2 4" xfId="43351"/>
    <cellStyle name="常规 6 3 4 3 2 4 3" xfId="43352"/>
    <cellStyle name="常规 6 3 4 3 2 4 3 2" xfId="14949"/>
    <cellStyle name="常规 6 3 4 3 2 4 4" xfId="43353"/>
    <cellStyle name="常规 6 3 4 3 2 4 5" xfId="43354"/>
    <cellStyle name="常规 6 3 4 3 2 5" xfId="43355"/>
    <cellStyle name="常规 6 3 4 3 2 5 2" xfId="43356"/>
    <cellStyle name="常规 6 3 4 3 2 5 2 2" xfId="43357"/>
    <cellStyle name="常规 6 3 4 3 2 5 3" xfId="43358"/>
    <cellStyle name="常规 6 3 4 3 2 5 4" xfId="43359"/>
    <cellStyle name="常规 6 3 4 3 2 6" xfId="43360"/>
    <cellStyle name="常规 6 3 4 3 2 6 2" xfId="43361"/>
    <cellStyle name="常规 6 3 4 3 2 7" xfId="43362"/>
    <cellStyle name="常规 6 3 4 3 2 8" xfId="43363"/>
    <cellStyle name="常规 6 3 4 3 3" xfId="43364"/>
    <cellStyle name="常规 6 3 4 3 3 2" xfId="43365"/>
    <cellStyle name="常规 6 3 4 3 3 2 2" xfId="9535"/>
    <cellStyle name="常规 6 3 4 3 3 2 2 2" xfId="43366"/>
    <cellStyle name="常规 6 3 4 3 3 2 2 2 2" xfId="43367"/>
    <cellStyle name="常规 6 3 4 3 3 2 2 2 2 2" xfId="43368"/>
    <cellStyle name="常规 6 3 4 3 3 2 2 2 3" xfId="43369"/>
    <cellStyle name="常规 6 3 4 3 3 2 2 2 4" xfId="38872"/>
    <cellStyle name="常规 6 3 4 3 3 2 2 3" xfId="43370"/>
    <cellStyle name="常规 6 3 4 3 3 2 2 3 2" xfId="43371"/>
    <cellStyle name="常规 6 3 4 3 3 2 2 4" xfId="43372"/>
    <cellStyle name="常规 6 3 4 3 3 2 2 5" xfId="43373"/>
    <cellStyle name="常规 6 3 4 3 3 2 3" xfId="9538"/>
    <cellStyle name="常规 6 3 4 3 3 2 3 2" xfId="43374"/>
    <cellStyle name="常规 6 3 4 3 3 2 3 2 2" xfId="43375"/>
    <cellStyle name="常规 6 3 4 3 3 2 3 3" xfId="43376"/>
    <cellStyle name="常规 6 3 4 3 3 2 3 4" xfId="43377"/>
    <cellStyle name="常规 6 3 4 3 3 2 4" xfId="43378"/>
    <cellStyle name="常规 6 3 4 3 3 2 4 2" xfId="43379"/>
    <cellStyle name="常规 6 3 4 3 3 2 5" xfId="18863"/>
    <cellStyle name="常规 6 3 4 3 3 2 6" xfId="43380"/>
    <cellStyle name="常规 6 3 4 3 3 3" xfId="43381"/>
    <cellStyle name="常规 6 3 4 3 3 3 2" xfId="43382"/>
    <cellStyle name="常规 6 3 4 3 3 3 2 2" xfId="43383"/>
    <cellStyle name="常规 6 3 4 3 3 3 2 2 2" xfId="43384"/>
    <cellStyle name="常规 6 3 4 3 3 3 2 3" xfId="43385"/>
    <cellStyle name="常规 6 3 4 3 3 3 2 4" xfId="43386"/>
    <cellStyle name="常规 6 3 4 3 3 3 3" xfId="43387"/>
    <cellStyle name="常规 6 3 4 3 3 3 3 2" xfId="43388"/>
    <cellStyle name="常规 6 3 4 3 3 3 4" xfId="43389"/>
    <cellStyle name="常规 6 3 4 3 3 3 5" xfId="43390"/>
    <cellStyle name="常规 6 3 4 3 3 4" xfId="43391"/>
    <cellStyle name="常规 6 3 4 3 3 4 2" xfId="43392"/>
    <cellStyle name="常规 6 3 4 3 3 4 2 2" xfId="43393"/>
    <cellStyle name="常规 6 3 4 3 3 4 3" xfId="43394"/>
    <cellStyle name="常规 6 3 4 3 3 4 4" xfId="43395"/>
    <cellStyle name="常规 6 3 4 3 3 5" xfId="43396"/>
    <cellStyle name="常规 6 3 4 3 3 5 2" xfId="43397"/>
    <cellStyle name="常规 6 3 4 3 3 6" xfId="43398"/>
    <cellStyle name="常规 6 3 4 3 3 7" xfId="43399"/>
    <cellStyle name="常规 6 3 4 3 4" xfId="43400"/>
    <cellStyle name="常规 6 3 4 3 4 2" xfId="43401"/>
    <cellStyle name="常规 6 3 4 3 4 2 2" xfId="43402"/>
    <cellStyle name="常规 6 3 4 3 4 2 2 2" xfId="43403"/>
    <cellStyle name="常规 6 3 4 3 4 2 2 2 2" xfId="43404"/>
    <cellStyle name="常规 6 3 4 3 4 2 2 3" xfId="43405"/>
    <cellStyle name="常规 6 3 4 3 4 2 2 4" xfId="43406"/>
    <cellStyle name="常规 6 3 4 3 4 2 3" xfId="43407"/>
    <cellStyle name="常规 6 3 4 3 4 2 3 2" xfId="43408"/>
    <cellStyle name="常规 6 3 4 3 4 2 4" xfId="43409"/>
    <cellStyle name="常规 6 3 4 3 4 2 5" xfId="43410"/>
    <cellStyle name="常规 6 3 4 3 4 3" xfId="43411"/>
    <cellStyle name="常规 6 3 4 3 4 3 2" xfId="43412"/>
    <cellStyle name="常规 6 3 4 3 4 3 2 2" xfId="43413"/>
    <cellStyle name="常规 6 3 4 3 4 3 3" xfId="43414"/>
    <cellStyle name="常规 6 3 4 3 4 3 4" xfId="43415"/>
    <cellStyle name="常规 6 3 4 3 4 4" xfId="43416"/>
    <cellStyle name="常规 6 3 4 3 4 4 2" xfId="43417"/>
    <cellStyle name="常规 6 3 4 3 4 5" xfId="43418"/>
    <cellStyle name="常规 6 3 4 3 4 6" xfId="43419"/>
    <cellStyle name="常规 6 3 4 3 5" xfId="43420"/>
    <cellStyle name="常规 6 3 4 3 5 2" xfId="43421"/>
    <cellStyle name="常规 6 3 4 3 5 2 2" xfId="43422"/>
    <cellStyle name="常规 6 3 4 3 5 2 2 2" xfId="43423"/>
    <cellStyle name="常规 6 3 4 3 5 2 3" xfId="43424"/>
    <cellStyle name="常规 6 3 4 3 5 2 4" xfId="43425"/>
    <cellStyle name="常规 6 3 4 3 5 3" xfId="43426"/>
    <cellStyle name="常规 6 3 4 3 5 3 2" xfId="43427"/>
    <cellStyle name="常规 6 3 4 3 5 4" xfId="43428"/>
    <cellStyle name="常规 6 3 4 3 5 5" xfId="43429"/>
    <cellStyle name="常规 6 3 4 3 6" xfId="43430"/>
    <cellStyle name="常规 6 3 4 3 6 2" xfId="43431"/>
    <cellStyle name="常规 6 3 4 3 6 2 2" xfId="43432"/>
    <cellStyle name="常规 6 3 4 3 6 3" xfId="43433"/>
    <cellStyle name="常规 6 3 4 3 6 4" xfId="43434"/>
    <cellStyle name="常规 6 3 4 3 7" xfId="43435"/>
    <cellStyle name="常规 6 3 4 3 7 2" xfId="43436"/>
    <cellStyle name="常规 6 3 4 3 8" xfId="43437"/>
    <cellStyle name="常规 6 3 4 3 9" xfId="43438"/>
    <cellStyle name="常规 6 3 4 4" xfId="42546"/>
    <cellStyle name="常规 6 3 4 4 2" xfId="43439"/>
    <cellStyle name="常规 6 3 4 4 2 2" xfId="43440"/>
    <cellStyle name="常规 6 3 4 4 2 2 2" xfId="43441"/>
    <cellStyle name="常规 6 3 4 4 2 2 2 2" xfId="43442"/>
    <cellStyle name="常规 6 3 4 4 2 2 2 2 2" xfId="43443"/>
    <cellStyle name="常规 6 3 4 4 2 2 2 2 2 2" xfId="43444"/>
    <cellStyle name="常规 6 3 4 4 2 2 2 2 2 2 2" xfId="43445"/>
    <cellStyle name="常规 6 3 4 4 2 2 2 2 2 3" xfId="43446"/>
    <cellStyle name="常规 6 3 4 4 2 2 2 2 2 4" xfId="3362"/>
    <cellStyle name="常规 6 3 4 4 2 2 2 2 3" xfId="43447"/>
    <cellStyle name="常规 6 3 4 4 2 2 2 2 3 2" xfId="43448"/>
    <cellStyle name="常规 6 3 4 4 2 2 2 2 4" xfId="43449"/>
    <cellStyle name="常规 6 3 4 4 2 2 2 2 5" xfId="43450"/>
    <cellStyle name="常规 6 3 4 4 2 2 2 3" xfId="43451"/>
    <cellStyle name="常规 6 3 4 4 2 2 2 3 2" xfId="43452"/>
    <cellStyle name="常规 6 3 4 4 2 2 2 3 2 2" xfId="43453"/>
    <cellStyle name="常规 6 3 4 4 2 2 2 3 3" xfId="43454"/>
    <cellStyle name="常规 6 3 4 4 2 2 2 3 4" xfId="43455"/>
    <cellStyle name="常规 6 3 4 4 2 2 2 4" xfId="43456"/>
    <cellStyle name="常规 6 3 4 4 2 2 2 4 2" xfId="43457"/>
    <cellStyle name="常规 6 3 4 4 2 2 2 5" xfId="43458"/>
    <cellStyle name="常规 6 3 4 4 2 2 2 6" xfId="43459"/>
    <cellStyle name="常规 6 3 4 4 2 2 3" xfId="43461"/>
    <cellStyle name="常规 6 3 4 4 2 2 3 2" xfId="43462"/>
    <cellStyle name="常规 6 3 4 4 2 2 3 2 2" xfId="43463"/>
    <cellStyle name="常规 6 3 4 4 2 2 3 2 2 2" xfId="43464"/>
    <cellStyle name="常规 6 3 4 4 2 2 3 2 3" xfId="35274"/>
    <cellStyle name="常规 6 3 4 4 2 2 3 2 4" xfId="43465"/>
    <cellStyle name="常规 6 3 4 4 2 2 3 3" xfId="43466"/>
    <cellStyle name="常规 6 3 4 4 2 2 3 3 2" xfId="43467"/>
    <cellStyle name="常规 6 3 4 4 2 2 3 4" xfId="43468"/>
    <cellStyle name="常规 6 3 4 4 2 2 3 5" xfId="43469"/>
    <cellStyle name="常规 6 3 4 4 2 2 4" xfId="43470"/>
    <cellStyle name="常规 6 3 4 4 2 2 4 2" xfId="43471"/>
    <cellStyle name="常规 6 3 4 4 2 2 4 2 2" xfId="43472"/>
    <cellStyle name="常规 6 3 4 4 2 2 4 3" xfId="43473"/>
    <cellStyle name="常规 6 3 4 4 2 2 4 4" xfId="43474"/>
    <cellStyle name="常规 6 3 4 4 2 2 5" xfId="43475"/>
    <cellStyle name="常规 6 3 4 4 2 2 5 2" xfId="43476"/>
    <cellStyle name="常规 6 3 4 4 2 2 6" xfId="43477"/>
    <cellStyle name="常规 6 3 4 4 2 2 7" xfId="43478"/>
    <cellStyle name="常规 6 3 4 4 2 3" xfId="43479"/>
    <cellStyle name="常规 6 3 4 4 2 3 2" xfId="43480"/>
    <cellStyle name="常规 6 3 4 4 2 3 2 2" xfId="43481"/>
    <cellStyle name="常规 6 3 4 4 2 3 2 2 2" xfId="7789"/>
    <cellStyle name="常规 6 3 4 4 2 3 2 2 2 2" xfId="43482"/>
    <cellStyle name="常规 6 3 4 4 2 3 2 2 3" xfId="43483"/>
    <cellStyle name="常规 6 3 4 4 2 3 2 2 4" xfId="43484"/>
    <cellStyle name="常规 6 3 4 4 2 3 2 3" xfId="43485"/>
    <cellStyle name="常规 6 3 4 4 2 3 2 3 2" xfId="43486"/>
    <cellStyle name="常规 6 3 4 4 2 3 2 4" xfId="43487"/>
    <cellStyle name="常规 6 3 4 4 2 3 2 5" xfId="43488"/>
    <cellStyle name="常规 6 3 4 4 2 3 3" xfId="18406"/>
    <cellStyle name="常规 6 3 4 4 2 3 3 2" xfId="43489"/>
    <cellStyle name="常规 6 3 4 4 2 3 3 2 2" xfId="43490"/>
    <cellStyle name="常规 6 3 4 4 2 3 3 3" xfId="43491"/>
    <cellStyle name="常规 6 3 4 4 2 3 3 4" xfId="43492"/>
    <cellStyle name="常规 6 3 4 4 2 3 4" xfId="43493"/>
    <cellStyle name="常规 6 3 4 4 2 3 4 2" xfId="43494"/>
    <cellStyle name="常规 6 3 4 4 2 3 5" xfId="43495"/>
    <cellStyle name="常规 6 3 4 4 2 3 6" xfId="43496"/>
    <cellStyle name="常规 6 3 4 4 2 4" xfId="43497"/>
    <cellStyle name="常规 6 3 4 4 2 4 2" xfId="43498"/>
    <cellStyle name="常规 6 3 4 4 2 4 2 2" xfId="43499"/>
    <cellStyle name="常规 6 3 4 4 2 4 2 2 2" xfId="43500"/>
    <cellStyle name="常规 6 3 4 4 2 4 2 3" xfId="43501"/>
    <cellStyle name="常规 6 3 4 4 2 4 2 4" xfId="43502"/>
    <cellStyle name="常规 6 3 4 4 2 4 3" xfId="43503"/>
    <cellStyle name="常规 6 3 4 4 2 4 3 2" xfId="43504"/>
    <cellStyle name="常规 6 3 4 4 2 4 4" xfId="43505"/>
    <cellStyle name="常规 6 3 4 4 2 4 5" xfId="43506"/>
    <cellStyle name="常规 6 3 4 4 2 5" xfId="43507"/>
    <cellStyle name="常规 6 3 4 4 2 5 2" xfId="43508"/>
    <cellStyle name="常规 6 3 4 4 2 5 2 2" xfId="43509"/>
    <cellStyle name="常规 6 3 4 4 2 5 3" xfId="43510"/>
    <cellStyle name="常规 6 3 4 4 2 5 4" xfId="43511"/>
    <cellStyle name="常规 6 3 4 4 2 6" xfId="43512"/>
    <cellStyle name="常规 6 3 4 4 2 6 2" xfId="43513"/>
    <cellStyle name="常规 6 3 4 4 2 7" xfId="43514"/>
    <cellStyle name="常规 6 3 4 4 2 8" xfId="43515"/>
    <cellStyle name="常规 6 3 4 4 3" xfId="43516"/>
    <cellStyle name="常规 6 3 4 4 3 2" xfId="43517"/>
    <cellStyle name="常规 6 3 4 4 3 2 2" xfId="43518"/>
    <cellStyle name="常规 6 3 4 4 3 2 2 2" xfId="43519"/>
    <cellStyle name="常规 6 3 4 4 3 2 2 2 2" xfId="43520"/>
    <cellStyle name="常规 6 3 4 4 3 2 2 2 2 2" xfId="43521"/>
    <cellStyle name="常规 6 3 4 4 3 2 2 2 3" xfId="43522"/>
    <cellStyle name="常规 6 3 4 4 3 2 2 2 4" xfId="43523"/>
    <cellStyle name="常规 6 3 4 4 3 2 2 3" xfId="43524"/>
    <cellStyle name="常规 6 3 4 4 3 2 2 3 2" xfId="43525"/>
    <cellStyle name="常规 6 3 4 4 3 2 2 4" xfId="43526"/>
    <cellStyle name="常规 6 3 4 4 3 2 2 5" xfId="43527"/>
    <cellStyle name="常规 6 3 4 4 3 2 3" xfId="43528"/>
    <cellStyle name="常规 6 3 4 4 3 2 3 2" xfId="43529"/>
    <cellStyle name="常规 6 3 4 4 3 2 3 2 2" xfId="43530"/>
    <cellStyle name="常规 6 3 4 4 3 2 3 3" xfId="43531"/>
    <cellStyle name="常规 6 3 4 4 3 2 3 4" xfId="43532"/>
    <cellStyle name="常规 6 3 4 4 3 2 4" xfId="43533"/>
    <cellStyle name="常规 6 3 4 4 3 2 4 2" xfId="43534"/>
    <cellStyle name="常规 6 3 4 4 3 2 5" xfId="43535"/>
    <cellStyle name="常规 6 3 4 4 3 2 6" xfId="43536"/>
    <cellStyle name="常规 6 3 4 4 3 3" xfId="43537"/>
    <cellStyle name="常规 6 3 4 4 3 3 2" xfId="43538"/>
    <cellStyle name="常规 6 3 4 4 3 3 2 2" xfId="43539"/>
    <cellStyle name="常规 6 3 4 4 3 3 2 2 2" xfId="43540"/>
    <cellStyle name="常规 6 3 4 4 3 3 2 3" xfId="43541"/>
    <cellStyle name="常规 6 3 4 4 3 3 2 4" xfId="19459"/>
    <cellStyle name="常规 6 3 4 4 3 3 3" xfId="43542"/>
    <cellStyle name="常规 6 3 4 4 3 3 3 2" xfId="43543"/>
    <cellStyle name="常规 6 3 4 4 3 3 4" xfId="43544"/>
    <cellStyle name="常规 6 3 4 4 3 3 5" xfId="43545"/>
    <cellStyle name="常规 6 3 4 4 3 4" xfId="43546"/>
    <cellStyle name="常规 6 3 4 4 3 4 2" xfId="43547"/>
    <cellStyle name="常规 6 3 4 4 3 4 2 2" xfId="43548"/>
    <cellStyle name="常规 6 3 4 4 3 4 3" xfId="43549"/>
    <cellStyle name="常规 6 3 4 4 3 4 4" xfId="43550"/>
    <cellStyle name="常规 6 3 4 4 3 5" xfId="43551"/>
    <cellStyle name="常规 6 3 4 4 3 5 2" xfId="43552"/>
    <cellStyle name="常规 6 3 4 4 3 6" xfId="43553"/>
    <cellStyle name="常规 6 3 4 4 3 7" xfId="43554"/>
    <cellStyle name="常规 6 3 4 4 4" xfId="43555"/>
    <cellStyle name="常规 6 3 4 4 4 2" xfId="43557"/>
    <cellStyle name="常规 6 3 4 4 4 2 2" xfId="43559"/>
    <cellStyle name="常规 6 3 4 4 4 2 2 2" xfId="43560"/>
    <cellStyle name="常规 6 3 4 4 4 2 2 2 2" xfId="43561"/>
    <cellStyle name="常规 6 3 4 4 4 2 2 3" xfId="43562"/>
    <cellStyle name="常规 6 3 4 4 4 2 2 4" xfId="43563"/>
    <cellStyle name="常规 6 3 4 4 4 2 3" xfId="43564"/>
    <cellStyle name="常规 6 3 4 4 4 2 3 2" xfId="43565"/>
    <cellStyle name="常规 6 3 4 4 4 2 4" xfId="43566"/>
    <cellStyle name="常规 6 3 4 4 4 2 5" xfId="43567"/>
    <cellStyle name="常规 6 3 4 4 4 3" xfId="43569"/>
    <cellStyle name="常规 6 3 4 4 4 3 2" xfId="43570"/>
    <cellStyle name="常规 6 3 4 4 4 3 2 2" xfId="43571"/>
    <cellStyle name="常规 6 3 4 4 4 3 3" xfId="43572"/>
    <cellStyle name="常规 6 3 4 4 4 3 4" xfId="43573"/>
    <cellStyle name="常规 6 3 4 4 4 4" xfId="43575"/>
    <cellStyle name="常规 6 3 4 4 4 4 2" xfId="43576"/>
    <cellStyle name="常规 6 3 4 4 4 5" xfId="43577"/>
    <cellStyle name="常规 6 3 4 4 4 6" xfId="43578"/>
    <cellStyle name="常规 6 3 4 4 5" xfId="43579"/>
    <cellStyle name="常规 6 3 4 4 5 2" xfId="43581"/>
    <cellStyle name="常规 6 3 4 4 5 2 2" xfId="43582"/>
    <cellStyle name="常规 6 3 4 4 5 2 2 2" xfId="43583"/>
    <cellStyle name="常规 6 3 4 4 5 2 3" xfId="43584"/>
    <cellStyle name="常规 6 3 4 4 5 2 4" xfId="43585"/>
    <cellStyle name="常规 6 3 4 4 5 3" xfId="43587"/>
    <cellStyle name="常规 6 3 4 4 5 3 2" xfId="43588"/>
    <cellStyle name="常规 6 3 4 4 5 4" xfId="43589"/>
    <cellStyle name="常规 6 3 4 4 5 5" xfId="43590"/>
    <cellStyle name="常规 6 3 4 4 6" xfId="43591"/>
    <cellStyle name="常规 6 3 4 4 6 2" xfId="43592"/>
    <cellStyle name="常规 6 3 4 4 6 2 2" xfId="15320"/>
    <cellStyle name="常规 6 3 4 4 6 3" xfId="43593"/>
    <cellStyle name="常规 6 3 4 4 6 4" xfId="43594"/>
    <cellStyle name="常规 6 3 4 4 7" xfId="43595"/>
    <cellStyle name="常规 6 3 4 4 7 2" xfId="43596"/>
    <cellStyle name="常规 6 3 4 4 8" xfId="43597"/>
    <cellStyle name="常规 6 3 4 4 9" xfId="43598"/>
    <cellStyle name="常规 6 3 4 5" xfId="42548"/>
    <cellStyle name="常规 6 3 4 5 2" xfId="43599"/>
    <cellStyle name="常规 6 3 4 5 2 2" xfId="43600"/>
    <cellStyle name="常规 6 3 4 5 2 2 2" xfId="43601"/>
    <cellStyle name="常规 6 3 4 5 2 2 2 2" xfId="43602"/>
    <cellStyle name="常规 6 3 4 5 2 2 2 2 2" xfId="43603"/>
    <cellStyle name="常规 6 3 4 5 2 2 2 2 2 2" xfId="43604"/>
    <cellStyle name="常规 6 3 4 5 2 2 2 2 3" xfId="43605"/>
    <cellStyle name="常规 6 3 4 5 2 2 2 2 4" xfId="43606"/>
    <cellStyle name="常规 6 3 4 5 2 2 2 3" xfId="43607"/>
    <cellStyle name="常规 6 3 4 5 2 2 2 3 2" xfId="43608"/>
    <cellStyle name="常规 6 3 4 5 2 2 2 4" xfId="43609"/>
    <cellStyle name="常规 6 3 4 5 2 2 2 5" xfId="43610"/>
    <cellStyle name="常规 6 3 4 5 2 2 3" xfId="43611"/>
    <cellStyle name="常规 6 3 4 5 2 2 3 2" xfId="43612"/>
    <cellStyle name="常规 6 3 4 5 2 2 3 2 2" xfId="43613"/>
    <cellStyle name="常规 6 3 4 5 2 2 3 3" xfId="43614"/>
    <cellStyle name="常规 6 3 4 5 2 2 3 4" xfId="43615"/>
    <cellStyle name="常规 6 3 4 5 2 2 4" xfId="43616"/>
    <cellStyle name="常规 6 3 4 5 2 2 4 2" xfId="43617"/>
    <cellStyle name="常规 6 3 4 5 2 2 5" xfId="43618"/>
    <cellStyle name="常规 6 3 4 5 2 2 6" xfId="43619"/>
    <cellStyle name="常规 6 3 4 5 2 3" xfId="43620"/>
    <cellStyle name="常规 6 3 4 5 2 3 2" xfId="43621"/>
    <cellStyle name="常规 6 3 4 5 2 3 2 2" xfId="43622"/>
    <cellStyle name="常规 6 3 4 5 2 3 2 2 2" xfId="43623"/>
    <cellStyle name="常规 6 3 4 5 2 3 2 3" xfId="43624"/>
    <cellStyle name="常规 6 3 4 5 2 3 2 4" xfId="43625"/>
    <cellStyle name="常规 6 3 4 5 2 3 3" xfId="43626"/>
    <cellStyle name="常规 6 3 4 5 2 3 3 2" xfId="43627"/>
    <cellStyle name="常规 6 3 4 5 2 3 4" xfId="43628"/>
    <cellStyle name="常规 6 3 4 5 2 3 5" xfId="43629"/>
    <cellStyle name="常规 6 3 4 5 2 4" xfId="43630"/>
    <cellStyle name="常规 6 3 4 5 2 4 2" xfId="43631"/>
    <cellStyle name="常规 6 3 4 5 2 4 2 2" xfId="43632"/>
    <cellStyle name="常规 6 3 4 5 2 4 3" xfId="43633"/>
    <cellStyle name="常规 6 3 4 5 2 4 4" xfId="43634"/>
    <cellStyle name="常规 6 3 4 5 2 5" xfId="43635"/>
    <cellStyle name="常规 6 3 4 5 2 5 2" xfId="43636"/>
    <cellStyle name="常规 6 3 4 5 2 6" xfId="43637"/>
    <cellStyle name="常规 6 3 4 5 2 7" xfId="43638"/>
    <cellStyle name="常规 6 3 4 5 3" xfId="43639"/>
    <cellStyle name="常规 6 3 4 5 3 2" xfId="43640"/>
    <cellStyle name="常规 6 3 4 5 3 2 2" xfId="43641"/>
    <cellStyle name="常规 6 3 4 5 3 2 2 2" xfId="43642"/>
    <cellStyle name="常规 6 3 4 5 3 2 2 2 2" xfId="43643"/>
    <cellStyle name="常规 6 3 4 5 3 2 2 3" xfId="43644"/>
    <cellStyle name="常规 6 3 4 5 3 2 2 4" xfId="43645"/>
    <cellStyle name="常规 6 3 4 5 3 2 3" xfId="43646"/>
    <cellStyle name="常规 6 3 4 5 3 2 3 2" xfId="43647"/>
    <cellStyle name="常规 6 3 4 5 3 2 4" xfId="7882"/>
    <cellStyle name="常规 6 3 4 5 3 2 5" xfId="43648"/>
    <cellStyle name="常规 6 3 4 5 3 3" xfId="43649"/>
    <cellStyle name="常规 6 3 4 5 3 3 2" xfId="43650"/>
    <cellStyle name="常规 6 3 4 5 3 3 2 2" xfId="43651"/>
    <cellStyle name="常规 6 3 4 5 3 3 3" xfId="43652"/>
    <cellStyle name="常规 6 3 4 5 3 3 4" xfId="43653"/>
    <cellStyle name="常规 6 3 4 5 3 4" xfId="43654"/>
    <cellStyle name="常规 6 3 4 5 3 4 2" xfId="43655"/>
    <cellStyle name="常规 6 3 4 5 3 5" xfId="43656"/>
    <cellStyle name="常规 6 3 4 5 3 6" xfId="43657"/>
    <cellStyle name="常规 6 3 4 5 4" xfId="43658"/>
    <cellStyle name="常规 6 3 4 5 4 2" xfId="43660"/>
    <cellStyle name="常规 6 3 4 5 4 2 2" xfId="43661"/>
    <cellStyle name="常规 6 3 4 5 4 2 2 2" xfId="43662"/>
    <cellStyle name="常规 6 3 4 5 4 2 3" xfId="43663"/>
    <cellStyle name="常规 6 3 4 5 4 2 4" xfId="43664"/>
    <cellStyle name="常规 6 3 4 5 4 3" xfId="43666"/>
    <cellStyle name="常规 6 3 4 5 4 3 2" xfId="43667"/>
    <cellStyle name="常规 6 3 4 5 4 4" xfId="43668"/>
    <cellStyle name="常规 6 3 4 5 4 5" xfId="43669"/>
    <cellStyle name="常规 6 3 4 5 5" xfId="9332"/>
    <cellStyle name="常规 6 3 4 5 5 2" xfId="9335"/>
    <cellStyle name="常规 6 3 4 5 5 2 2" xfId="43670"/>
    <cellStyle name="常规 6 3 4 5 5 3" xfId="43671"/>
    <cellStyle name="常规 6 3 4 5 5 4" xfId="43672"/>
    <cellStyle name="常规 6 3 4 5 6" xfId="9340"/>
    <cellStyle name="常规 6 3 4 5 6 2" xfId="43673"/>
    <cellStyle name="常规 6 3 4 5 7" xfId="9344"/>
    <cellStyle name="常规 6 3 4 5 8" xfId="43674"/>
    <cellStyle name="常规 6 3 4 6" xfId="43675"/>
    <cellStyle name="常规 6 3 4 6 2" xfId="43676"/>
    <cellStyle name="常规 6 3 4 6 2 2" xfId="43677"/>
    <cellStyle name="常规 6 3 4 6 2 2 2" xfId="43678"/>
    <cellStyle name="常规 6 3 4 6 2 2 2 2" xfId="43679"/>
    <cellStyle name="常规 6 3 4 6 2 2 2 2 2" xfId="43680"/>
    <cellStyle name="常规 6 3 4 6 2 2 2 3" xfId="43681"/>
    <cellStyle name="常规 6 3 4 6 2 2 2 4" xfId="43682"/>
    <cellStyle name="常规 6 3 4 6 2 2 3" xfId="43683"/>
    <cellStyle name="常规 6 3 4 6 2 2 3 2" xfId="43684"/>
    <cellStyle name="常规 6 3 4 6 2 2 4" xfId="43685"/>
    <cellStyle name="常规 6 3 4 6 2 2 5" xfId="43686"/>
    <cellStyle name="常规 6 3 4 6 2 3" xfId="43687"/>
    <cellStyle name="常规 6 3 4 6 2 3 2" xfId="43688"/>
    <cellStyle name="常规 6 3 4 6 2 3 2 2" xfId="43689"/>
    <cellStyle name="常规 6 3 4 6 2 3 3" xfId="43690"/>
    <cellStyle name="常规 6 3 4 6 2 3 4" xfId="43691"/>
    <cellStyle name="常规 6 3 4 6 2 4" xfId="3122"/>
    <cellStyle name="常规 6 3 4 6 2 4 2" xfId="3129"/>
    <cellStyle name="常规 6 3 4 6 2 5" xfId="3136"/>
    <cellStyle name="常规 6 3 4 6 2 6" xfId="3145"/>
    <cellStyle name="常规 6 3 4 6 3" xfId="43692"/>
    <cellStyle name="常规 6 3 4 6 3 2" xfId="43693"/>
    <cellStyle name="常规 6 3 4 6 3 2 2" xfId="43694"/>
    <cellStyle name="常规 6 3 4 6 3 2 2 2" xfId="43695"/>
    <cellStyle name="常规 6 3 4 6 3 2 3" xfId="43696"/>
    <cellStyle name="常规 6 3 4 6 3 2 4" xfId="43697"/>
    <cellStyle name="常规 6 3 4 6 3 3" xfId="43698"/>
    <cellStyle name="常规 6 3 4 6 3 3 2" xfId="43699"/>
    <cellStyle name="常规 6 3 4 6 3 4" xfId="3168"/>
    <cellStyle name="常规 6 3 4 6 3 5" xfId="43700"/>
    <cellStyle name="常规 6 3 4 6 4" xfId="43701"/>
    <cellStyle name="常规 6 3 4 6 4 2" xfId="43702"/>
    <cellStyle name="常规 6 3 4 6 4 2 2" xfId="43703"/>
    <cellStyle name="常规 6 3 4 6 4 3" xfId="43704"/>
    <cellStyle name="常规 6 3 4 6 4 4" xfId="43705"/>
    <cellStyle name="常规 6 3 4 6 5" xfId="7403"/>
    <cellStyle name="常规 6 3 4 6 5 2" xfId="43706"/>
    <cellStyle name="常规 6 3 4 6 6" xfId="43707"/>
    <cellStyle name="常规 6 3 4 6 7" xfId="3016"/>
    <cellStyle name="常规 6 3 4 7" xfId="43708"/>
    <cellStyle name="常规 6 3 4 7 2" xfId="43709"/>
    <cellStyle name="常规 6 3 4 7 2 2" xfId="43710"/>
    <cellStyle name="常规 6 3 4 7 2 2 2" xfId="43711"/>
    <cellStyle name="常规 6 3 4 7 2 2 2 2" xfId="43712"/>
    <cellStyle name="常规 6 3 4 7 2 2 3" xfId="22539"/>
    <cellStyle name="常规 6 3 4 7 2 2 4" xfId="43713"/>
    <cellStyle name="常规 6 3 4 7 2 3" xfId="43714"/>
    <cellStyle name="常规 6 3 4 7 2 3 2" xfId="43715"/>
    <cellStyle name="常规 6 3 4 7 2 4" xfId="5019"/>
    <cellStyle name="常规 6 3 4 7 2 5" xfId="43716"/>
    <cellStyle name="常规 6 3 4 7 3" xfId="43717"/>
    <cellStyle name="常规 6 3 4 7 3 2" xfId="43718"/>
    <cellStyle name="常规 6 3 4 7 3 2 2" xfId="43719"/>
    <cellStyle name="常规 6 3 4 7 3 3" xfId="43720"/>
    <cellStyle name="常规 6 3 4 7 3 4" xfId="43721"/>
    <cellStyle name="常规 6 3 4 7 4" xfId="43722"/>
    <cellStyle name="常规 6 3 4 7 4 2" xfId="43723"/>
    <cellStyle name="常规 6 3 4 7 5" xfId="43724"/>
    <cellStyle name="常规 6 3 4 7 6" xfId="43725"/>
    <cellStyle name="常规 6 3 4 8" xfId="43726"/>
    <cellStyle name="常规 6 3 4 8 2" xfId="43727"/>
    <cellStyle name="常规 6 3 4 8 2 2" xfId="43728"/>
    <cellStyle name="常规 6 3 4 8 2 2 2" xfId="43729"/>
    <cellStyle name="常规 6 3 4 8 2 3" xfId="43730"/>
    <cellStyle name="常规 6 3 4 8 2 4" xfId="43731"/>
    <cellStyle name="常规 6 3 4 8 3" xfId="43732"/>
    <cellStyle name="常规 6 3 4 8 3 2" xfId="43733"/>
    <cellStyle name="常规 6 3 4 8 4" xfId="43734"/>
    <cellStyle name="常规 6 3 4 8 5" xfId="43735"/>
    <cellStyle name="常规 6 3 4 9" xfId="43736"/>
    <cellStyle name="常规 6 3 4 9 2" xfId="43737"/>
    <cellStyle name="常规 6 3 4 9 2 2" xfId="43738"/>
    <cellStyle name="常规 6 3 4 9 3" xfId="43739"/>
    <cellStyle name="常规 6 3 4 9 4" xfId="43740"/>
    <cellStyle name="常规 6 3 5" xfId="43741"/>
    <cellStyle name="常规 6 3 5 10" xfId="43742"/>
    <cellStyle name="常规 6 3 5 11" xfId="43743"/>
    <cellStyle name="常规 6 3 5 2" xfId="42584"/>
    <cellStyle name="常规 6 3 5 2 2" xfId="42586"/>
    <cellStyle name="常规 6 3 5 2 2 2" xfId="43744"/>
    <cellStyle name="常规 6 3 5 2 2 2 2" xfId="43745"/>
    <cellStyle name="常规 6 3 5 2 2 2 2 2" xfId="43746"/>
    <cellStyle name="常规 6 3 5 2 2 2 2 2 2" xfId="43747"/>
    <cellStyle name="常规 6 3 5 2 2 2 2 2 2 2" xfId="43748"/>
    <cellStyle name="常规 6 3 5 2 2 2 2 2 2 2 2" xfId="43749"/>
    <cellStyle name="常规 6 3 5 2 2 2 2 2 2 3" xfId="43750"/>
    <cellStyle name="常规 6 3 5 2 2 2 2 2 2 4" xfId="43751"/>
    <cellStyle name="常规 6 3 5 2 2 2 2 2 3" xfId="43752"/>
    <cellStyle name="常规 6 3 5 2 2 2 2 2 3 2" xfId="43753"/>
    <cellStyle name="常规 6 3 5 2 2 2 2 2 4" xfId="39575"/>
    <cellStyle name="常规 6 3 5 2 2 2 2 2 5" xfId="43754"/>
    <cellStyle name="常规 6 3 5 2 2 2 2 3" xfId="43755"/>
    <cellStyle name="常规 6 3 5 2 2 2 2 3 2" xfId="43756"/>
    <cellStyle name="常规 6 3 5 2 2 2 2 3 2 2" xfId="43757"/>
    <cellStyle name="常规 6 3 5 2 2 2 2 3 3" xfId="43758"/>
    <cellStyle name="常规 6 3 5 2 2 2 2 3 4" xfId="43759"/>
    <cellStyle name="常规 6 3 5 2 2 2 2 4" xfId="43760"/>
    <cellStyle name="常规 6 3 5 2 2 2 2 4 2" xfId="43761"/>
    <cellStyle name="常规 6 3 5 2 2 2 2 5" xfId="43762"/>
    <cellStyle name="常规 6 3 5 2 2 2 2 6" xfId="43763"/>
    <cellStyle name="常规 6 3 5 2 2 2 3" xfId="43764"/>
    <cellStyle name="常规 6 3 5 2 2 2 3 2" xfId="43765"/>
    <cellStyle name="常规 6 3 5 2 2 2 3 2 2" xfId="43766"/>
    <cellStyle name="常规 6 3 5 2 2 2 3 2 2 2" xfId="43768"/>
    <cellStyle name="常规 6 3 5 2 2 2 3 2 3" xfId="43769"/>
    <cellStyle name="常规 6 3 5 2 2 2 3 2 4" xfId="43770"/>
    <cellStyle name="常规 6 3 5 2 2 2 3 3" xfId="43771"/>
    <cellStyle name="常规 6 3 5 2 2 2 3 3 2" xfId="12494"/>
    <cellStyle name="常规 6 3 5 2 2 2 3 4" xfId="43772"/>
    <cellStyle name="常规 6 3 5 2 2 2 3 5" xfId="43773"/>
    <cellStyle name="常规 6 3 5 2 2 2 4" xfId="43774"/>
    <cellStyle name="常规 6 3 5 2 2 2 4 2" xfId="43775"/>
    <cellStyle name="常规 6 3 5 2 2 2 4 2 2" xfId="43776"/>
    <cellStyle name="常规 6 3 5 2 2 2 4 3" xfId="43777"/>
    <cellStyle name="常规 6 3 5 2 2 2 4 4" xfId="43778"/>
    <cellStyle name="常规 6 3 5 2 2 2 5" xfId="43779"/>
    <cellStyle name="常规 6 3 5 2 2 2 5 2" xfId="43780"/>
    <cellStyle name="常规 6 3 5 2 2 2 6" xfId="43781"/>
    <cellStyle name="常规 6 3 5 2 2 2 7" xfId="43782"/>
    <cellStyle name="常规 6 3 5 2 2 3" xfId="43783"/>
    <cellStyle name="常规 6 3 5 2 2 3 2" xfId="43784"/>
    <cellStyle name="常规 6 3 5 2 2 3 2 2" xfId="43785"/>
    <cellStyle name="常规 6 3 5 2 2 3 2 2 2" xfId="8250"/>
    <cellStyle name="常规 6 3 5 2 2 3 2 2 2 2" xfId="43786"/>
    <cellStyle name="常规 6 3 5 2 2 3 2 2 3" xfId="43787"/>
    <cellStyle name="常规 6 3 5 2 2 3 2 2 4" xfId="43788"/>
    <cellStyle name="常规 6 3 5 2 2 3 2 3" xfId="43789"/>
    <cellStyle name="常规 6 3 5 2 2 3 2 3 2" xfId="43790"/>
    <cellStyle name="常规 6 3 5 2 2 3 2 4" xfId="43791"/>
    <cellStyle name="常规 6 3 5 2 2 3 2 5" xfId="43792"/>
    <cellStyle name="常规 6 3 5 2 2 3 3" xfId="43793"/>
    <cellStyle name="常规 6 3 5 2 2 3 3 2" xfId="43794"/>
    <cellStyle name="常规 6 3 5 2 2 3 3 2 2" xfId="43795"/>
    <cellStyle name="常规 6 3 5 2 2 3 3 3" xfId="43796"/>
    <cellStyle name="常规 6 3 5 2 2 3 3 4" xfId="43797"/>
    <cellStyle name="常规 6 3 5 2 2 3 4" xfId="43798"/>
    <cellStyle name="常规 6 3 5 2 2 3 4 2" xfId="43799"/>
    <cellStyle name="常规 6 3 5 2 2 3 5" xfId="43800"/>
    <cellStyle name="常规 6 3 5 2 2 3 6" xfId="43801"/>
    <cellStyle name="常规 6 3 5 2 2 4" xfId="43802"/>
    <cellStyle name="常规 6 3 5 2 2 4 2" xfId="43803"/>
    <cellStyle name="常规 6 3 5 2 2 4 2 2" xfId="43804"/>
    <cellStyle name="常规 6 3 5 2 2 4 2 2 2" xfId="43805"/>
    <cellStyle name="常规 6 3 5 2 2 4 2 3" xfId="43806"/>
    <cellStyle name="常规 6 3 5 2 2 4 2 4" xfId="43807"/>
    <cellStyle name="常规 6 3 5 2 2 4 3" xfId="43808"/>
    <cellStyle name="常规 6 3 5 2 2 4 3 2" xfId="15380"/>
    <cellStyle name="常规 6 3 5 2 2 4 4" xfId="43809"/>
    <cellStyle name="常规 6 3 5 2 2 4 5" xfId="43810"/>
    <cellStyle name="常规 6 3 5 2 2 5" xfId="43811"/>
    <cellStyle name="常规 6 3 5 2 2 5 2" xfId="43812"/>
    <cellStyle name="常规 6 3 5 2 2 5 2 2" xfId="43813"/>
    <cellStyle name="常规 6 3 5 2 2 5 3" xfId="43814"/>
    <cellStyle name="常规 6 3 5 2 2 5 4" xfId="43815"/>
    <cellStyle name="常规 6 3 5 2 2 6" xfId="43816"/>
    <cellStyle name="常规 6 3 5 2 2 6 2" xfId="43817"/>
    <cellStyle name="常规 6 3 5 2 2 7" xfId="43818"/>
    <cellStyle name="常规 6 3 5 2 2 8" xfId="43819"/>
    <cellStyle name="常规 6 3 5 2 3" xfId="43820"/>
    <cellStyle name="常规 6 3 5 2 3 2" xfId="43821"/>
    <cellStyle name="常规 6 3 5 2 3 2 2" xfId="43822"/>
    <cellStyle name="常规 6 3 5 2 3 2 2 2" xfId="43823"/>
    <cellStyle name="常规 6 3 5 2 3 2 2 2 2" xfId="43824"/>
    <cellStyle name="常规 6 3 5 2 3 2 2 2 2 2" xfId="43825"/>
    <cellStyle name="常规 6 3 5 2 3 2 2 2 3" xfId="43826"/>
    <cellStyle name="常规 6 3 5 2 3 2 2 2 4" xfId="39726"/>
    <cellStyle name="常规 6 3 5 2 3 2 2 3" xfId="43827"/>
    <cellStyle name="常规 6 3 5 2 3 2 2 3 2" xfId="43828"/>
    <cellStyle name="常规 6 3 5 2 3 2 2 4" xfId="43829"/>
    <cellStyle name="常规 6 3 5 2 3 2 2 5" xfId="43830"/>
    <cellStyle name="常规 6 3 5 2 3 2 3" xfId="43831"/>
    <cellStyle name="常规 6 3 5 2 3 2 3 2" xfId="43832"/>
    <cellStyle name="常规 6 3 5 2 3 2 3 2 2" xfId="43833"/>
    <cellStyle name="常规 6 3 5 2 3 2 3 3" xfId="43834"/>
    <cellStyle name="常规 6 3 5 2 3 2 3 4" xfId="43835"/>
    <cellStyle name="常规 6 3 5 2 3 2 4" xfId="43836"/>
    <cellStyle name="常规 6 3 5 2 3 2 4 2" xfId="43837"/>
    <cellStyle name="常规 6 3 5 2 3 2 5" xfId="43838"/>
    <cellStyle name="常规 6 3 5 2 3 2 6" xfId="43839"/>
    <cellStyle name="常规 6 3 5 2 3 3" xfId="43840"/>
    <cellStyle name="常规 6 3 5 2 3 3 2" xfId="43841"/>
    <cellStyle name="常规 6 3 5 2 3 3 2 2" xfId="43842"/>
    <cellStyle name="常规 6 3 5 2 3 3 2 2 2" xfId="43843"/>
    <cellStyle name="常规 6 3 5 2 3 3 2 3" xfId="43844"/>
    <cellStyle name="常规 6 3 5 2 3 3 2 4" xfId="43845"/>
    <cellStyle name="常规 6 3 5 2 3 3 3" xfId="43846"/>
    <cellStyle name="常规 6 3 5 2 3 3 3 2" xfId="43847"/>
    <cellStyle name="常规 6 3 5 2 3 3 4" xfId="43848"/>
    <cellStyle name="常规 6 3 5 2 3 3 5" xfId="43849"/>
    <cellStyle name="常规 6 3 5 2 3 4" xfId="43850"/>
    <cellStyle name="常规 6 3 5 2 3 4 2" xfId="43851"/>
    <cellStyle name="常规 6 3 5 2 3 4 2 2" xfId="43852"/>
    <cellStyle name="常规 6 3 5 2 3 4 3" xfId="43853"/>
    <cellStyle name="常规 6 3 5 2 3 4 4" xfId="43854"/>
    <cellStyle name="常规 6 3 5 2 3 5" xfId="17666"/>
    <cellStyle name="常规 6 3 5 2 3 5 2" xfId="43855"/>
    <cellStyle name="常规 6 3 5 2 3 6" xfId="43856"/>
    <cellStyle name="常规 6 3 5 2 3 7" xfId="43857"/>
    <cellStyle name="常规 6 3 5 2 4" xfId="43858"/>
    <cellStyle name="常规 6 3 5 2 4 2" xfId="43859"/>
    <cellStyle name="常规 6 3 5 2 4 2 2" xfId="43860"/>
    <cellStyle name="常规 6 3 5 2 4 2 2 2" xfId="43861"/>
    <cellStyle name="常规 6 3 5 2 4 2 2 2 2" xfId="43862"/>
    <cellStyle name="常规 6 3 5 2 4 2 2 3" xfId="43863"/>
    <cellStyle name="常规 6 3 5 2 4 2 2 4" xfId="43864"/>
    <cellStyle name="常规 6 3 5 2 4 2 3" xfId="43865"/>
    <cellStyle name="常规 6 3 5 2 4 2 3 2" xfId="43866"/>
    <cellStyle name="常规 6 3 5 2 4 2 4" xfId="43867"/>
    <cellStyle name="常规 6 3 5 2 4 2 5" xfId="4786"/>
    <cellStyle name="常规 6 3 5 2 4 3" xfId="43868"/>
    <cellStyle name="常规 6 3 5 2 4 3 2" xfId="43869"/>
    <cellStyle name="常规 6 3 5 2 4 3 2 2" xfId="43870"/>
    <cellStyle name="常规 6 3 5 2 4 3 3" xfId="43871"/>
    <cellStyle name="常规 6 3 5 2 4 3 4" xfId="43872"/>
    <cellStyle name="常规 6 3 5 2 4 4" xfId="43873"/>
    <cellStyle name="常规 6 3 5 2 4 4 2" xfId="43874"/>
    <cellStyle name="常规 6 3 5 2 4 5" xfId="43875"/>
    <cellStyle name="常规 6 3 5 2 4 6" xfId="43876"/>
    <cellStyle name="常规 6 3 5 2 5" xfId="43877"/>
    <cellStyle name="常规 6 3 5 2 5 2" xfId="43878"/>
    <cellStyle name="常规 6 3 5 2 5 2 2" xfId="43879"/>
    <cellStyle name="常规 6 3 5 2 5 2 2 2" xfId="43880"/>
    <cellStyle name="常规 6 3 5 2 5 2 3" xfId="43881"/>
    <cellStyle name="常规 6 3 5 2 5 2 4" xfId="43882"/>
    <cellStyle name="常规 6 3 5 2 5 3" xfId="43883"/>
    <cellStyle name="常规 6 3 5 2 5 3 2" xfId="43884"/>
    <cellStyle name="常规 6 3 5 2 5 4" xfId="43885"/>
    <cellStyle name="常规 6 3 5 2 5 5" xfId="43886"/>
    <cellStyle name="常规 6 3 5 2 6" xfId="43887"/>
    <cellStyle name="常规 6 3 5 2 6 2" xfId="43888"/>
    <cellStyle name="常规 6 3 5 2 6 2 2" xfId="43889"/>
    <cellStyle name="常规 6 3 5 2 6 3" xfId="43890"/>
    <cellStyle name="常规 6 3 5 2 6 4" xfId="43891"/>
    <cellStyle name="常规 6 3 5 2 7" xfId="43892"/>
    <cellStyle name="常规 6 3 5 2 7 2" xfId="43893"/>
    <cellStyle name="常规 6 3 5 2 8" xfId="43894"/>
    <cellStyle name="常规 6 3 5 2 9" xfId="43895"/>
    <cellStyle name="常规 6 3 5 3" xfId="42588"/>
    <cellStyle name="常规 6 3 5 3 2" xfId="43896"/>
    <cellStyle name="常规 6 3 5 3 2 2" xfId="43897"/>
    <cellStyle name="常规 6 3 5 3 2 2 2" xfId="43898"/>
    <cellStyle name="常规 6 3 5 3 2 2 2 2" xfId="43899"/>
    <cellStyle name="常规 6 3 5 3 2 2 2 2 2" xfId="43900"/>
    <cellStyle name="常规 6 3 5 3 2 2 2 2 2 2" xfId="43901"/>
    <cellStyle name="常规 6 3 5 3 2 2 2 2 2 2 2" xfId="43902"/>
    <cellStyle name="常规 6 3 5 3 2 2 2 2 2 3" xfId="43903"/>
    <cellStyle name="常规 6 3 5 3 2 2 2 2 2 4" xfId="43904"/>
    <cellStyle name="常规 6 3 5 3 2 2 2 2 3" xfId="38626"/>
    <cellStyle name="常规 6 3 5 3 2 2 2 2 3 2" xfId="43905"/>
    <cellStyle name="常规 6 3 5 3 2 2 2 2 4" xfId="43906"/>
    <cellStyle name="常规 6 3 5 3 2 2 2 2 5" xfId="43907"/>
    <cellStyle name="常规 6 3 5 3 2 2 2 3" xfId="43908"/>
    <cellStyle name="常规 6 3 5 3 2 2 2 3 2" xfId="43909"/>
    <cellStyle name="常规 6 3 5 3 2 2 2 3 2 2" xfId="43910"/>
    <cellStyle name="常规 6 3 5 3 2 2 2 3 3" xfId="43911"/>
    <cellStyle name="常规 6 3 5 3 2 2 2 3 4" xfId="43912"/>
    <cellStyle name="常规 6 3 5 3 2 2 2 4" xfId="43913"/>
    <cellStyle name="常规 6 3 5 3 2 2 2 4 2" xfId="43914"/>
    <cellStyle name="常规 6 3 5 3 2 2 2 5" xfId="43915"/>
    <cellStyle name="常规 6 3 5 3 2 2 2 6" xfId="43916"/>
    <cellStyle name="常规 6 3 5 3 2 2 3" xfId="43917"/>
    <cellStyle name="常规 6 3 5 3 2 2 3 2" xfId="43918"/>
    <cellStyle name="常规 6 3 5 3 2 2 3 2 2" xfId="43919"/>
    <cellStyle name="常规 6 3 5 3 2 2 3 2 2 2" xfId="43920"/>
    <cellStyle name="常规 6 3 5 3 2 2 3 2 3" xfId="35694"/>
    <cellStyle name="常规 6 3 5 3 2 2 3 2 4" xfId="43921"/>
    <cellStyle name="常规 6 3 5 3 2 2 3 3" xfId="43922"/>
    <cellStyle name="常规 6 3 5 3 2 2 3 3 2" xfId="43923"/>
    <cellStyle name="常规 6 3 5 3 2 2 3 4" xfId="43924"/>
    <cellStyle name="常规 6 3 5 3 2 2 3 5" xfId="43925"/>
    <cellStyle name="常规 6 3 5 3 2 2 4" xfId="43926"/>
    <cellStyle name="常规 6 3 5 3 2 2 4 2" xfId="43927"/>
    <cellStyle name="常规 6 3 5 3 2 2 4 2 2" xfId="43928"/>
    <cellStyle name="常规 6 3 5 3 2 2 4 3" xfId="43929"/>
    <cellStyle name="常规 6 3 5 3 2 2 4 4" xfId="43930"/>
    <cellStyle name="常规 6 3 5 3 2 2 5" xfId="43931"/>
    <cellStyle name="常规 6 3 5 3 2 2 5 2" xfId="43932"/>
    <cellStyle name="常规 6 3 5 3 2 2 6" xfId="43933"/>
    <cellStyle name="常规 6 3 5 3 2 2 7" xfId="43934"/>
    <cellStyle name="常规 6 3 5 3 2 3" xfId="43935"/>
    <cellStyle name="常规 6 3 5 3 2 3 2" xfId="43936"/>
    <cellStyle name="常规 6 3 5 3 2 3 2 2" xfId="43937"/>
    <cellStyle name="常规 6 3 5 3 2 3 2 2 2" xfId="8474"/>
    <cellStyle name="常规 6 3 5 3 2 3 2 2 2 2" xfId="43938"/>
    <cellStyle name="常规 6 3 5 3 2 3 2 2 3" xfId="43939"/>
    <cellStyle name="常规 6 3 5 3 2 3 2 2 4" xfId="43940"/>
    <cellStyle name="常规 6 3 5 3 2 3 2 3" xfId="43941"/>
    <cellStyle name="常规 6 3 5 3 2 3 2 3 2" xfId="43942"/>
    <cellStyle name="常规 6 3 5 3 2 3 2 4" xfId="43943"/>
    <cellStyle name="常规 6 3 5 3 2 3 2 5" xfId="43944"/>
    <cellStyle name="常规 6 3 5 3 2 3 3" xfId="43945"/>
    <cellStyle name="常规 6 3 5 3 2 3 3 2" xfId="43946"/>
    <cellStyle name="常规 6 3 5 3 2 3 3 2 2" xfId="43947"/>
    <cellStyle name="常规 6 3 5 3 2 3 3 3" xfId="43948"/>
    <cellStyle name="常规 6 3 5 3 2 3 3 4" xfId="43949"/>
    <cellStyle name="常规 6 3 5 3 2 3 4" xfId="43950"/>
    <cellStyle name="常规 6 3 5 3 2 3 4 2" xfId="43951"/>
    <cellStyle name="常规 6 3 5 3 2 3 5" xfId="43952"/>
    <cellStyle name="常规 6 3 5 3 2 3 6" xfId="43953"/>
    <cellStyle name="常规 6 3 5 3 2 4" xfId="43954"/>
    <cellStyle name="常规 6 3 5 3 2 4 2" xfId="43955"/>
    <cellStyle name="常规 6 3 5 3 2 4 2 2" xfId="43956"/>
    <cellStyle name="常规 6 3 5 3 2 4 2 2 2" xfId="43957"/>
    <cellStyle name="常规 6 3 5 3 2 4 2 3" xfId="43958"/>
    <cellStyle name="常规 6 3 5 3 2 4 2 4" xfId="43959"/>
    <cellStyle name="常规 6 3 5 3 2 4 3" xfId="43960"/>
    <cellStyle name="常规 6 3 5 3 2 4 3 2" xfId="43961"/>
    <cellStyle name="常规 6 3 5 3 2 4 4" xfId="43962"/>
    <cellStyle name="常规 6 3 5 3 2 4 5" xfId="43963"/>
    <cellStyle name="常规 6 3 5 3 2 5" xfId="43965"/>
    <cellStyle name="常规 6 3 5 3 2 5 2" xfId="43967"/>
    <cellStyle name="常规 6 3 5 3 2 5 2 2" xfId="34886"/>
    <cellStyle name="常规 6 3 5 3 2 5 3" xfId="43969"/>
    <cellStyle name="常规 6 3 5 3 2 5 4" xfId="43971"/>
    <cellStyle name="常规 6 3 5 3 2 6" xfId="43973"/>
    <cellStyle name="常规 6 3 5 3 2 6 2" xfId="43975"/>
    <cellStyle name="常规 6 3 5 3 2 7" xfId="43977"/>
    <cellStyle name="常规 6 3 5 3 2 8" xfId="43979"/>
    <cellStyle name="常规 6 3 5 3 3" xfId="43980"/>
    <cellStyle name="常规 6 3 5 3 3 2" xfId="43981"/>
    <cellStyle name="常规 6 3 5 3 3 2 2" xfId="43982"/>
    <cellStyle name="常规 6 3 5 3 3 2 2 2" xfId="43983"/>
    <cellStyle name="常规 6 3 5 3 3 2 2 2 2" xfId="43984"/>
    <cellStyle name="常规 6 3 5 3 3 2 2 2 2 2" xfId="43985"/>
    <cellStyle name="常规 6 3 5 3 3 2 2 2 3" xfId="43986"/>
    <cellStyle name="常规 6 3 5 3 3 2 2 2 4" xfId="43987"/>
    <cellStyle name="常规 6 3 5 3 3 2 2 3" xfId="43988"/>
    <cellStyle name="常规 6 3 5 3 3 2 2 3 2" xfId="43989"/>
    <cellStyle name="常规 6 3 5 3 3 2 2 4" xfId="43990"/>
    <cellStyle name="常规 6 3 5 3 3 2 2 5" xfId="43991"/>
    <cellStyle name="常规 6 3 5 3 3 2 3" xfId="43992"/>
    <cellStyle name="常规 6 3 5 3 3 2 3 2" xfId="43993"/>
    <cellStyle name="常规 6 3 5 3 3 2 3 2 2" xfId="43994"/>
    <cellStyle name="常规 6 3 5 3 3 2 3 3" xfId="43995"/>
    <cellStyle name="常规 6 3 5 3 3 2 3 4" xfId="43996"/>
    <cellStyle name="常规 6 3 5 3 3 2 4" xfId="43997"/>
    <cellStyle name="常规 6 3 5 3 3 2 4 2" xfId="43998"/>
    <cellStyle name="常规 6 3 5 3 3 2 5" xfId="43999"/>
    <cellStyle name="常规 6 3 5 3 3 2 6" xfId="44000"/>
    <cellStyle name="常规 6 3 5 3 3 3" xfId="44001"/>
    <cellStyle name="常规 6 3 5 3 3 3 2" xfId="44002"/>
    <cellStyle name="常规 6 3 5 3 3 3 2 2" xfId="44003"/>
    <cellStyle name="常规 6 3 5 3 3 3 2 2 2" xfId="44004"/>
    <cellStyle name="常规 6 3 5 3 3 3 2 3" xfId="44005"/>
    <cellStyle name="常规 6 3 5 3 3 3 2 4" xfId="44006"/>
    <cellStyle name="常规 6 3 5 3 3 3 3" xfId="44007"/>
    <cellStyle name="常规 6 3 5 3 3 3 3 2" xfId="44008"/>
    <cellStyle name="常规 6 3 5 3 3 3 4" xfId="44009"/>
    <cellStyle name="常规 6 3 5 3 3 3 5" xfId="44010"/>
    <cellStyle name="常规 6 3 5 3 3 4" xfId="44011"/>
    <cellStyle name="常规 6 3 5 3 3 4 2" xfId="44012"/>
    <cellStyle name="常规 6 3 5 3 3 4 2 2" xfId="44013"/>
    <cellStyle name="常规 6 3 5 3 3 4 3" xfId="44014"/>
    <cellStyle name="常规 6 3 5 3 3 4 4" xfId="44015"/>
    <cellStyle name="常规 6 3 5 3 3 5" xfId="44017"/>
    <cellStyle name="常规 6 3 5 3 3 5 2" xfId="44019"/>
    <cellStyle name="常规 6 3 5 3 3 6" xfId="44021"/>
    <cellStyle name="常规 6 3 5 3 3 7" xfId="44023"/>
    <cellStyle name="常规 6 3 5 3 4" xfId="44024"/>
    <cellStyle name="常规 6 3 5 3 4 2" xfId="44025"/>
    <cellStyle name="常规 6 3 5 3 4 2 2" xfId="44026"/>
    <cellStyle name="常规 6 3 5 3 4 2 2 2" xfId="44027"/>
    <cellStyle name="常规 6 3 5 3 4 2 2 2 2" xfId="44028"/>
    <cellStyle name="常规 6 3 5 3 4 2 2 3" xfId="44029"/>
    <cellStyle name="常规 6 3 5 3 4 2 2 4" xfId="44030"/>
    <cellStyle name="常规 6 3 5 3 4 2 3" xfId="44031"/>
    <cellStyle name="常规 6 3 5 3 4 2 3 2" xfId="44032"/>
    <cellStyle name="常规 6 3 5 3 4 2 4" xfId="44033"/>
    <cellStyle name="常规 6 3 5 3 4 2 5" xfId="4967"/>
    <cellStyle name="常规 6 3 5 3 4 3" xfId="44034"/>
    <cellStyle name="常规 6 3 5 3 4 3 2" xfId="44035"/>
    <cellStyle name="常规 6 3 5 3 4 3 2 2" xfId="44036"/>
    <cellStyle name="常规 6 3 5 3 4 3 3" xfId="44037"/>
    <cellStyle name="常规 6 3 5 3 4 3 4" xfId="44038"/>
    <cellStyle name="常规 6 3 5 3 4 4" xfId="44039"/>
    <cellStyle name="常规 6 3 5 3 4 4 2" xfId="44040"/>
    <cellStyle name="常规 6 3 5 3 4 5" xfId="44042"/>
    <cellStyle name="常规 6 3 5 3 4 6" xfId="44044"/>
    <cellStyle name="常规 6 3 5 3 5" xfId="44045"/>
    <cellStyle name="常规 6 3 5 3 5 2" xfId="44046"/>
    <cellStyle name="常规 6 3 5 3 5 2 2" xfId="44047"/>
    <cellStyle name="常规 6 3 5 3 5 2 2 2" xfId="44048"/>
    <cellStyle name="常规 6 3 5 3 5 2 3" xfId="44049"/>
    <cellStyle name="常规 6 3 5 3 5 2 4" xfId="44050"/>
    <cellStyle name="常规 6 3 5 3 5 3" xfId="44051"/>
    <cellStyle name="常规 6 3 5 3 5 3 2" xfId="44052"/>
    <cellStyle name="常规 6 3 5 3 5 4" xfId="44053"/>
    <cellStyle name="常规 6 3 5 3 5 5" xfId="44055"/>
    <cellStyle name="常规 6 3 5 3 6" xfId="44056"/>
    <cellStyle name="常规 6 3 5 3 6 2" xfId="44057"/>
    <cellStyle name="常规 6 3 5 3 6 2 2" xfId="44058"/>
    <cellStyle name="常规 6 3 5 3 6 3" xfId="44059"/>
    <cellStyle name="常规 6 3 5 3 6 4" xfId="44060"/>
    <cellStyle name="常规 6 3 5 3 7" xfId="44061"/>
    <cellStyle name="常规 6 3 5 3 7 2" xfId="44062"/>
    <cellStyle name="常规 6 3 5 3 8" xfId="44063"/>
    <cellStyle name="常规 6 3 5 3 9" xfId="44064"/>
    <cellStyle name="常规 6 3 5 4" xfId="42590"/>
    <cellStyle name="常规 6 3 5 4 2" xfId="44065"/>
    <cellStyle name="常规 6 3 5 4 2 2" xfId="44066"/>
    <cellStyle name="常规 6 3 5 4 2 2 2" xfId="44067"/>
    <cellStyle name="常规 6 3 5 4 2 2 2 2" xfId="44068"/>
    <cellStyle name="常规 6 3 5 4 2 2 2 2 2" xfId="44069"/>
    <cellStyle name="常规 6 3 5 4 2 2 2 2 2 2" xfId="44070"/>
    <cellStyle name="常规 6 3 5 4 2 2 2 2 3" xfId="44071"/>
    <cellStyle name="常规 6 3 5 4 2 2 2 2 4" xfId="44072"/>
    <cellStyle name="常规 6 3 5 4 2 2 2 3" xfId="44073"/>
    <cellStyle name="常规 6 3 5 4 2 2 2 3 2" xfId="44074"/>
    <cellStyle name="常规 6 3 5 4 2 2 2 4" xfId="44075"/>
    <cellStyle name="常规 6 3 5 4 2 2 2 5" xfId="44076"/>
    <cellStyle name="常规 6 3 5 4 2 2 3" xfId="44077"/>
    <cellStyle name="常规 6 3 5 4 2 2 3 2" xfId="44078"/>
    <cellStyle name="常规 6 3 5 4 2 2 3 2 2" xfId="44079"/>
    <cellStyle name="常规 6 3 5 4 2 2 3 3" xfId="44080"/>
    <cellStyle name="常规 6 3 5 4 2 2 3 4" xfId="44081"/>
    <cellStyle name="常规 6 3 5 4 2 2 4" xfId="44082"/>
    <cellStyle name="常规 6 3 5 4 2 2 4 2" xfId="44083"/>
    <cellStyle name="常规 6 3 5 4 2 2 5" xfId="44084"/>
    <cellStyle name="常规 6 3 5 4 2 2 6" xfId="44085"/>
    <cellStyle name="常规 6 3 5 4 2 3" xfId="44086"/>
    <cellStyle name="常规 6 3 5 4 2 3 2" xfId="44087"/>
    <cellStyle name="常规 6 3 5 4 2 3 2 2" xfId="44088"/>
    <cellStyle name="常规 6 3 5 4 2 3 2 2 2" xfId="44089"/>
    <cellStyle name="常规 6 3 5 4 2 3 2 3" xfId="44090"/>
    <cellStyle name="常规 6 3 5 4 2 3 2 4" xfId="44091"/>
    <cellStyle name="常规 6 3 5 4 2 3 3" xfId="44092"/>
    <cellStyle name="常规 6 3 5 4 2 3 3 2" xfId="44093"/>
    <cellStyle name="常规 6 3 5 4 2 3 4" xfId="44094"/>
    <cellStyle name="常规 6 3 5 4 2 3 5" xfId="44095"/>
    <cellStyle name="常规 6 3 5 4 2 4" xfId="44096"/>
    <cellStyle name="常规 6 3 5 4 2 4 2" xfId="44097"/>
    <cellStyle name="常规 6 3 5 4 2 4 2 2" xfId="44098"/>
    <cellStyle name="常规 6 3 5 4 2 4 3" xfId="44099"/>
    <cellStyle name="常规 6 3 5 4 2 4 4" xfId="21171"/>
    <cellStyle name="常规 6 3 5 4 2 5" xfId="44101"/>
    <cellStyle name="常规 6 3 5 4 2 5 2" xfId="31419"/>
    <cellStyle name="常规 6 3 5 4 2 6" xfId="44103"/>
    <cellStyle name="常规 6 3 5 4 2 7" xfId="44105"/>
    <cellStyle name="常规 6 3 5 4 3" xfId="44106"/>
    <cellStyle name="常规 6 3 5 4 3 2" xfId="44107"/>
    <cellStyle name="常规 6 3 5 4 3 2 2" xfId="44108"/>
    <cellStyle name="常规 6 3 5 4 3 2 2 2" xfId="44109"/>
    <cellStyle name="常规 6 3 5 4 3 2 2 2 2" xfId="44110"/>
    <cellStyle name="常规 6 3 5 4 3 2 2 3" xfId="44111"/>
    <cellStyle name="常规 6 3 5 4 3 2 2 4" xfId="44112"/>
    <cellStyle name="常规 6 3 5 4 3 2 3" xfId="44113"/>
    <cellStyle name="常规 6 3 5 4 3 2 3 2" xfId="44114"/>
    <cellStyle name="常规 6 3 5 4 3 2 4" xfId="44115"/>
    <cellStyle name="常规 6 3 5 4 3 2 5" xfId="44116"/>
    <cellStyle name="常规 6 3 5 4 3 3" xfId="44117"/>
    <cellStyle name="常规 6 3 5 4 3 3 2" xfId="44118"/>
    <cellStyle name="常规 6 3 5 4 3 3 2 2" xfId="44119"/>
    <cellStyle name="常规 6 3 5 4 3 3 3" xfId="44120"/>
    <cellStyle name="常规 6 3 5 4 3 3 4" xfId="44121"/>
    <cellStyle name="常规 6 3 5 4 3 4" xfId="44122"/>
    <cellStyle name="常规 6 3 5 4 3 4 2" xfId="44123"/>
    <cellStyle name="常规 6 3 5 4 3 5" xfId="44125"/>
    <cellStyle name="常规 6 3 5 4 3 6" xfId="44127"/>
    <cellStyle name="常规 6 3 5 4 4" xfId="44128"/>
    <cellStyle name="常规 6 3 5 4 4 2" xfId="44130"/>
    <cellStyle name="常规 6 3 5 4 4 2 2" xfId="44131"/>
    <cellStyle name="常规 6 3 5 4 4 2 2 2" xfId="44132"/>
    <cellStyle name="常规 6 3 5 4 4 2 3" xfId="44133"/>
    <cellStyle name="常规 6 3 5 4 4 2 4" xfId="44134"/>
    <cellStyle name="常规 6 3 5 4 4 3" xfId="44136"/>
    <cellStyle name="常规 6 3 5 4 4 3 2" xfId="44137"/>
    <cellStyle name="常规 6 3 5 4 4 4" xfId="44138"/>
    <cellStyle name="常规 6 3 5 4 4 5" xfId="44140"/>
    <cellStyle name="常规 6 3 5 4 5" xfId="44141"/>
    <cellStyle name="常规 6 3 5 4 5 2" xfId="44142"/>
    <cellStyle name="常规 6 3 5 4 5 2 2" xfId="44143"/>
    <cellStyle name="常规 6 3 5 4 5 3" xfId="44144"/>
    <cellStyle name="常规 6 3 5 4 5 4" xfId="44145"/>
    <cellStyle name="常规 6 3 5 4 6" xfId="44146"/>
    <cellStyle name="常规 6 3 5 4 6 2" xfId="44147"/>
    <cellStyle name="常规 6 3 5 4 7" xfId="44148"/>
    <cellStyle name="常规 6 3 5 4 8" xfId="44149"/>
    <cellStyle name="常规 6 3 5 5" xfId="44150"/>
    <cellStyle name="常规 6 3 5 5 2" xfId="44151"/>
    <cellStyle name="常规 6 3 5 5 2 2" xfId="44152"/>
    <cellStyle name="常规 6 3 5 5 2 2 2" xfId="44153"/>
    <cellStyle name="常规 6 3 5 5 2 2 2 2" xfId="44154"/>
    <cellStyle name="常规 6 3 5 5 2 2 2 2 2" xfId="44155"/>
    <cellStyle name="常规 6 3 5 5 2 2 2 3" xfId="44156"/>
    <cellStyle name="常规 6 3 5 5 2 2 2 4" xfId="44157"/>
    <cellStyle name="常规 6 3 5 5 2 2 3" xfId="44158"/>
    <cellStyle name="常规 6 3 5 5 2 2 3 2" xfId="44159"/>
    <cellStyle name="常规 6 3 5 5 2 2 4" xfId="44160"/>
    <cellStyle name="常规 6 3 5 5 2 2 5" xfId="44161"/>
    <cellStyle name="常规 6 3 5 5 2 3" xfId="44162"/>
    <cellStyle name="常规 6 3 5 5 2 3 2" xfId="44163"/>
    <cellStyle name="常规 6 3 5 5 2 3 2 2" xfId="44164"/>
    <cellStyle name="常规 6 3 5 5 2 3 3" xfId="44165"/>
    <cellStyle name="常规 6 3 5 5 2 3 4" xfId="44166"/>
    <cellStyle name="常规 6 3 5 5 2 4" xfId="44167"/>
    <cellStyle name="常规 6 3 5 5 2 4 2" xfId="44168"/>
    <cellStyle name="常规 6 3 5 5 2 5" xfId="44170"/>
    <cellStyle name="常规 6 3 5 5 2 6" xfId="44172"/>
    <cellStyle name="常规 6 3 5 5 3" xfId="44173"/>
    <cellStyle name="常规 6 3 5 5 3 2" xfId="44174"/>
    <cellStyle name="常规 6 3 5 5 3 2 2" xfId="44175"/>
    <cellStyle name="常规 6 3 5 5 3 2 2 2" xfId="44176"/>
    <cellStyle name="常规 6 3 5 5 3 2 3" xfId="44177"/>
    <cellStyle name="常规 6 3 5 5 3 2 4" xfId="44178"/>
    <cellStyle name="常规 6 3 5 5 3 3" xfId="44179"/>
    <cellStyle name="常规 6 3 5 5 3 3 2" xfId="44180"/>
    <cellStyle name="常规 6 3 5 5 3 4" xfId="44181"/>
    <cellStyle name="常规 6 3 5 5 3 5" xfId="44183"/>
    <cellStyle name="常规 6 3 5 5 4" xfId="44184"/>
    <cellStyle name="常规 6 3 5 5 4 2" xfId="44185"/>
    <cellStyle name="常规 6 3 5 5 4 2 2" xfId="44186"/>
    <cellStyle name="常规 6 3 5 5 4 3" xfId="44187"/>
    <cellStyle name="常规 6 3 5 5 4 4" xfId="44188"/>
    <cellStyle name="常规 6 3 5 5 5" xfId="9414"/>
    <cellStyle name="常规 6 3 5 5 5 2" xfId="44189"/>
    <cellStyle name="常规 6 3 5 5 6" xfId="44190"/>
    <cellStyle name="常规 6 3 5 5 7" xfId="44191"/>
    <cellStyle name="常规 6 3 5 6" xfId="44193"/>
    <cellStyle name="常规 6 3 5 6 2" xfId="44194"/>
    <cellStyle name="常规 6 3 5 6 2 2" xfId="44195"/>
    <cellStyle name="常规 6 3 5 6 2 2 2" xfId="44196"/>
    <cellStyle name="常规 6 3 5 6 2 2 2 2" xfId="44197"/>
    <cellStyle name="常规 6 3 5 6 2 2 3" xfId="44198"/>
    <cellStyle name="常规 6 3 5 6 2 2 4" xfId="44199"/>
    <cellStyle name="常规 6 3 5 6 2 3" xfId="44200"/>
    <cellStyle name="常规 6 3 5 6 2 3 2" xfId="44201"/>
    <cellStyle name="常规 6 3 5 6 2 4" xfId="5171"/>
    <cellStyle name="常规 6 3 5 6 2 5" xfId="44203"/>
    <cellStyle name="常规 6 3 5 6 3" xfId="44204"/>
    <cellStyle name="常规 6 3 5 6 3 2" xfId="44205"/>
    <cellStyle name="常规 6 3 5 6 3 2 2" xfId="44206"/>
    <cellStyle name="常规 6 3 5 6 3 3" xfId="44207"/>
    <cellStyle name="常规 6 3 5 6 3 4" xfId="44208"/>
    <cellStyle name="常规 6 3 5 6 4" xfId="44209"/>
    <cellStyle name="常规 6 3 5 6 4 2" xfId="44210"/>
    <cellStyle name="常规 6 3 5 6 5" xfId="44211"/>
    <cellStyle name="常规 6 3 5 6 6" xfId="44212"/>
    <cellStyle name="常规 6 3 5 7" xfId="44213"/>
    <cellStyle name="常规 6 3 5 7 2" xfId="44214"/>
    <cellStyle name="常规 6 3 5 7 2 2" xfId="44215"/>
    <cellStyle name="常规 6 3 5 7 2 2 2" xfId="44216"/>
    <cellStyle name="常规 6 3 5 7 2 3" xfId="44217"/>
    <cellStyle name="常规 6 3 5 7 2 4" xfId="44218"/>
    <cellStyle name="常规 6 3 5 7 3" xfId="44219"/>
    <cellStyle name="常规 6 3 5 7 3 2" xfId="44220"/>
    <cellStyle name="常规 6 3 5 7 4" xfId="44221"/>
    <cellStyle name="常规 6 3 5 7 5" xfId="44222"/>
    <cellStyle name="常规 6 3 5 8" xfId="44223"/>
    <cellStyle name="常规 6 3 5 8 2" xfId="44224"/>
    <cellStyle name="常规 6 3 5 8 2 2" xfId="44225"/>
    <cellStyle name="常规 6 3 5 8 3" xfId="44226"/>
    <cellStyle name="常规 6 3 5 8 4" xfId="44227"/>
    <cellStyle name="常规 6 3 5 9" xfId="44228"/>
    <cellStyle name="常规 6 3 5 9 2" xfId="44229"/>
    <cellStyle name="常规 6 3 6" xfId="44230"/>
    <cellStyle name="常规 6 3 6 10" xfId="44231"/>
    <cellStyle name="常规 6 3 6 2" xfId="42611"/>
    <cellStyle name="常规 6 3 6 2 2" xfId="44232"/>
    <cellStyle name="常规 6 3 6 2 2 2" xfId="10445"/>
    <cellStyle name="常规 6 3 6 2 2 2 2" xfId="44233"/>
    <cellStyle name="常规 6 3 6 2 2 2 2 2" xfId="44234"/>
    <cellStyle name="常规 6 3 6 2 2 2 2 2 2" xfId="44235"/>
    <cellStyle name="常规 6 3 6 2 2 2 2 2 2 2" xfId="44236"/>
    <cellStyle name="常规 6 3 6 2 2 2 2 2 2 2 2" xfId="44237"/>
    <cellStyle name="常规 6 3 6 2 2 2 2 2 2 3" xfId="44238"/>
    <cellStyle name="常规 6 3 6 2 2 2 2 2 2 4" xfId="44239"/>
    <cellStyle name="常规 6 3 6 2 2 2 2 2 3" xfId="42047"/>
    <cellStyle name="常规 6 3 6 2 2 2 2 2 3 2" xfId="44240"/>
    <cellStyle name="常规 6 3 6 2 2 2 2 2 4" xfId="44241"/>
    <cellStyle name="常规 6 3 6 2 2 2 2 2 5" xfId="44242"/>
    <cellStyle name="常规 6 3 6 2 2 2 2 3" xfId="44243"/>
    <cellStyle name="常规 6 3 6 2 2 2 2 3 2" xfId="44244"/>
    <cellStyle name="常规 6 3 6 2 2 2 2 3 2 2" xfId="44245"/>
    <cellStyle name="常规 6 3 6 2 2 2 2 3 3" xfId="44246"/>
    <cellStyle name="常规 6 3 6 2 2 2 2 3 4" xfId="44247"/>
    <cellStyle name="常规 6 3 6 2 2 2 2 4" xfId="44248"/>
    <cellStyle name="常规 6 3 6 2 2 2 2 4 2" xfId="44249"/>
    <cellStyle name="常规 6 3 6 2 2 2 2 5" xfId="44250"/>
    <cellStyle name="常规 6 3 6 2 2 2 2 6" xfId="44251"/>
    <cellStyle name="常规 6 3 6 2 2 2 3" xfId="44252"/>
    <cellStyle name="常规 6 3 6 2 2 2 3 2" xfId="44253"/>
    <cellStyle name="常规 6 3 6 2 2 2 3 2 2" xfId="44254"/>
    <cellStyle name="常规 6 3 6 2 2 2 3 2 2 2" xfId="44255"/>
    <cellStyle name="常规 6 3 6 2 2 2 3 2 3" xfId="44256"/>
    <cellStyle name="常规 6 3 6 2 2 2 3 2 4" xfId="44257"/>
    <cellStyle name="常规 6 3 6 2 2 2 3 3" xfId="44258"/>
    <cellStyle name="常规 6 3 6 2 2 2 3 3 2" xfId="44259"/>
    <cellStyle name="常规 6 3 6 2 2 2 3 4" xfId="44260"/>
    <cellStyle name="常规 6 3 6 2 2 2 3 5" xfId="44261"/>
    <cellStyle name="常规 6 3 6 2 2 2 4" xfId="44262"/>
    <cellStyle name="常规 6 3 6 2 2 2 4 2" xfId="44263"/>
    <cellStyle name="常规 6 3 6 2 2 2 4 2 2" xfId="44264"/>
    <cellStyle name="常规 6 3 6 2 2 2 4 3" xfId="44265"/>
    <cellStyle name="常规 6 3 6 2 2 2 4 4" xfId="44266"/>
    <cellStyle name="常规 6 3 6 2 2 2 5" xfId="44267"/>
    <cellStyle name="常规 6 3 6 2 2 2 5 2" xfId="44268"/>
    <cellStyle name="常规 6 3 6 2 2 2 6" xfId="44269"/>
    <cellStyle name="常规 6 3 6 2 2 2 7" xfId="44270"/>
    <cellStyle name="常规 6 3 6 2 2 3" xfId="10448"/>
    <cellStyle name="常规 6 3 6 2 2 3 2" xfId="44271"/>
    <cellStyle name="常规 6 3 6 2 2 3 2 2" xfId="44272"/>
    <cellStyle name="常规 6 3 6 2 2 3 2 2 2" xfId="9004"/>
    <cellStyle name="常规 6 3 6 2 2 3 2 2 2 2" xfId="44273"/>
    <cellStyle name="常规 6 3 6 2 2 3 2 2 3" xfId="44274"/>
    <cellStyle name="常规 6 3 6 2 2 3 2 2 4" xfId="44275"/>
    <cellStyle name="常规 6 3 6 2 2 3 2 3" xfId="44276"/>
    <cellStyle name="常规 6 3 6 2 2 3 2 3 2" xfId="44277"/>
    <cellStyle name="常规 6 3 6 2 2 3 2 4" xfId="44278"/>
    <cellStyle name="常规 6 3 6 2 2 3 2 5" xfId="44279"/>
    <cellStyle name="常规 6 3 6 2 2 3 3" xfId="44280"/>
    <cellStyle name="常规 6 3 6 2 2 3 3 2" xfId="44281"/>
    <cellStyle name="常规 6 3 6 2 2 3 3 2 2" xfId="44282"/>
    <cellStyle name="常规 6 3 6 2 2 3 3 3" xfId="44283"/>
    <cellStyle name="常规 6 3 6 2 2 3 3 4" xfId="44284"/>
    <cellStyle name="常规 6 3 6 2 2 3 4" xfId="44285"/>
    <cellStyle name="常规 6 3 6 2 2 3 4 2" xfId="44286"/>
    <cellStyle name="常规 6 3 6 2 2 3 5" xfId="44287"/>
    <cellStyle name="常规 6 3 6 2 2 3 6" xfId="44288"/>
    <cellStyle name="常规 6 3 6 2 2 4" xfId="44289"/>
    <cellStyle name="常规 6 3 6 2 2 4 2" xfId="44290"/>
    <cellStyle name="常规 6 3 6 2 2 4 2 2" xfId="44291"/>
    <cellStyle name="常规 6 3 6 2 2 4 2 2 2" xfId="44292"/>
    <cellStyle name="常规 6 3 6 2 2 4 2 3" xfId="44293"/>
    <cellStyle name="常规 6 3 6 2 2 4 2 4" xfId="44294"/>
    <cellStyle name="常规 6 3 6 2 2 4 3" xfId="44295"/>
    <cellStyle name="常规 6 3 6 2 2 4 3 2" xfId="44296"/>
    <cellStyle name="常规 6 3 6 2 2 4 4" xfId="44297"/>
    <cellStyle name="常规 6 3 6 2 2 4 5" xfId="44298"/>
    <cellStyle name="常规 6 3 6 2 2 5" xfId="44299"/>
    <cellStyle name="常规 6 3 6 2 2 5 2" xfId="44300"/>
    <cellStyle name="常规 6 3 6 2 2 5 2 2" xfId="44301"/>
    <cellStyle name="常规 6 3 6 2 2 5 3" xfId="44302"/>
    <cellStyle name="常规 6 3 6 2 2 5 4" xfId="44303"/>
    <cellStyle name="常规 6 3 6 2 2 6" xfId="44304"/>
    <cellStyle name="常规 6 3 6 2 2 6 2" xfId="44305"/>
    <cellStyle name="常规 6 3 6 2 2 7" xfId="44306"/>
    <cellStyle name="常规 6 3 6 2 2 8" xfId="44307"/>
    <cellStyle name="常规 6 3 6 2 3" xfId="44308"/>
    <cellStyle name="常规 6 3 6 2 3 2" xfId="44309"/>
    <cellStyle name="常规 6 3 6 2 3 2 2" xfId="44310"/>
    <cellStyle name="常规 6 3 6 2 3 2 2 2" xfId="44311"/>
    <cellStyle name="常规 6 3 6 2 3 2 2 2 2" xfId="44312"/>
    <cellStyle name="常规 6 3 6 2 3 2 2 2 2 2" xfId="44313"/>
    <cellStyle name="常规 6 3 6 2 3 2 2 2 3" xfId="44314"/>
    <cellStyle name="常规 6 3 6 2 3 2 2 2 4" xfId="44315"/>
    <cellStyle name="常规 6 3 6 2 3 2 2 3" xfId="44316"/>
    <cellStyle name="常规 6 3 6 2 3 2 2 3 2" xfId="44317"/>
    <cellStyle name="常规 6 3 6 2 3 2 2 4" xfId="44318"/>
    <cellStyle name="常规 6 3 6 2 3 2 2 5" xfId="44319"/>
    <cellStyle name="常规 6 3 6 2 3 2 3" xfId="44321"/>
    <cellStyle name="常规 6 3 6 2 3 2 3 2" xfId="44323"/>
    <cellStyle name="常规 6 3 6 2 3 2 3 2 2" xfId="44324"/>
    <cellStyle name="常规 6 3 6 2 3 2 3 3" xfId="44325"/>
    <cellStyle name="常规 6 3 6 2 3 2 3 4" xfId="44326"/>
    <cellStyle name="常规 6 3 6 2 3 2 4" xfId="44328"/>
    <cellStyle name="常规 6 3 6 2 3 2 4 2" xfId="44329"/>
    <cellStyle name="常规 6 3 6 2 3 2 5" xfId="44331"/>
    <cellStyle name="常规 6 3 6 2 3 2 6" xfId="44332"/>
    <cellStyle name="常规 6 3 6 2 3 3" xfId="44333"/>
    <cellStyle name="常规 6 3 6 2 3 3 2" xfId="44334"/>
    <cellStyle name="常规 6 3 6 2 3 3 2 2" xfId="44335"/>
    <cellStyle name="常规 6 3 6 2 3 3 2 2 2" xfId="44336"/>
    <cellStyle name="常规 6 3 6 2 3 3 2 3" xfId="44337"/>
    <cellStyle name="常规 6 3 6 2 3 3 2 4" xfId="44338"/>
    <cellStyle name="常规 6 3 6 2 3 3 3" xfId="44340"/>
    <cellStyle name="常规 6 3 6 2 3 3 3 2" xfId="44341"/>
    <cellStyle name="常规 6 3 6 2 3 3 4" xfId="44342"/>
    <cellStyle name="常规 6 3 6 2 3 3 5" xfId="44343"/>
    <cellStyle name="常规 6 3 6 2 3 4" xfId="44344"/>
    <cellStyle name="常规 6 3 6 2 3 4 2" xfId="44345"/>
    <cellStyle name="常规 6 3 6 2 3 4 2 2" xfId="44346"/>
    <cellStyle name="常规 6 3 6 2 3 4 3" xfId="44347"/>
    <cellStyle name="常规 6 3 6 2 3 4 4" xfId="44348"/>
    <cellStyle name="常规 6 3 6 2 3 5" xfId="44349"/>
    <cellStyle name="常规 6 3 6 2 3 5 2" xfId="44350"/>
    <cellStyle name="常规 6 3 6 2 3 6" xfId="44351"/>
    <cellStyle name="常规 6 3 6 2 3 7" xfId="44352"/>
    <cellStyle name="常规 6 3 6 2 4" xfId="44353"/>
    <cellStyle name="常规 6 3 6 2 4 2" xfId="44354"/>
    <cellStyle name="常规 6 3 6 2 4 2 2" xfId="44355"/>
    <cellStyle name="常规 6 3 6 2 4 2 2 2" xfId="8626"/>
    <cellStyle name="常规 6 3 6 2 4 2 2 2 2" xfId="33954"/>
    <cellStyle name="常规 6 3 6 2 4 2 2 3" xfId="28466"/>
    <cellStyle name="常规 6 3 6 2 4 2 2 4" xfId="28492"/>
    <cellStyle name="常规 6 3 6 2 4 2 3" xfId="44357"/>
    <cellStyle name="常规 6 3 6 2 4 2 3 2" xfId="3173"/>
    <cellStyle name="常规 6 3 6 2 4 2 4" xfId="44358"/>
    <cellStyle name="常规 6 3 6 2 4 2 5" xfId="44359"/>
    <cellStyle name="常规 6 3 6 2 4 3" xfId="44360"/>
    <cellStyle name="常规 6 3 6 2 4 3 2" xfId="41633"/>
    <cellStyle name="常规 6 3 6 2 4 3 2 2" xfId="34290"/>
    <cellStyle name="常规 6 3 6 2 4 3 3" xfId="41635"/>
    <cellStyle name="常规 6 3 6 2 4 3 4" xfId="41637"/>
    <cellStyle name="常规 6 3 6 2 4 4" xfId="44361"/>
    <cellStyle name="常规 6 3 6 2 4 4 2" xfId="41643"/>
    <cellStyle name="常规 6 3 6 2 4 5" xfId="44362"/>
    <cellStyle name="常规 6 3 6 2 4 6" xfId="44363"/>
    <cellStyle name="常规 6 3 6 2 5" xfId="44364"/>
    <cellStyle name="常规 6 3 6 2 5 2" xfId="44365"/>
    <cellStyle name="常规 6 3 6 2 5 2 2" xfId="44366"/>
    <cellStyle name="常规 6 3 6 2 5 2 2 2" xfId="44367"/>
    <cellStyle name="常规 6 3 6 2 5 2 3" xfId="44368"/>
    <cellStyle name="常规 6 3 6 2 5 2 4" xfId="44369"/>
    <cellStyle name="常规 6 3 6 2 5 3" xfId="44370"/>
    <cellStyle name="常规 6 3 6 2 5 3 2" xfId="41683"/>
    <cellStyle name="常规 6 3 6 2 5 4" xfId="44371"/>
    <cellStyle name="常规 6 3 6 2 5 5" xfId="44372"/>
    <cellStyle name="常规 6 3 6 2 6" xfId="44373"/>
    <cellStyle name="常规 6 3 6 2 6 2" xfId="44374"/>
    <cellStyle name="常规 6 3 6 2 6 2 2" xfId="44375"/>
    <cellStyle name="常规 6 3 6 2 6 3" xfId="44376"/>
    <cellStyle name="常规 6 3 6 2 6 4" xfId="44377"/>
    <cellStyle name="常规 6 3 6 2 7" xfId="44378"/>
    <cellStyle name="常规 6 3 6 2 7 2" xfId="44379"/>
    <cellStyle name="常规 6 3 6 2 8" xfId="44380"/>
    <cellStyle name="常规 6 3 6 2 9" xfId="44381"/>
    <cellStyle name="常规 6 3 6 3" xfId="42613"/>
    <cellStyle name="常规 6 3 6 3 2" xfId="44382"/>
    <cellStyle name="常规 6 3 6 3 2 2" xfId="44383"/>
    <cellStyle name="常规 6 3 6 3 2 2 2" xfId="44384"/>
    <cellStyle name="常规 6 3 6 3 2 2 2 2" xfId="44385"/>
    <cellStyle name="常规 6 3 6 3 2 2 2 2 2" xfId="44386"/>
    <cellStyle name="常规 6 3 6 3 2 2 2 2 2 2" xfId="44387"/>
    <cellStyle name="常规 6 3 6 3 2 2 2 2 3" xfId="44388"/>
    <cellStyle name="常规 6 3 6 3 2 2 2 2 4" xfId="44389"/>
    <cellStyle name="常规 6 3 6 3 2 2 2 3" xfId="44390"/>
    <cellStyle name="常规 6 3 6 3 2 2 2 3 2" xfId="44391"/>
    <cellStyle name="常规 6 3 6 3 2 2 2 4" xfId="44392"/>
    <cellStyle name="常规 6 3 6 3 2 2 2 5" xfId="44393"/>
    <cellStyle name="常规 6 3 6 3 2 2 3" xfId="44394"/>
    <cellStyle name="常规 6 3 6 3 2 2 3 2" xfId="44395"/>
    <cellStyle name="常规 6 3 6 3 2 2 3 2 2" xfId="44396"/>
    <cellStyle name="常规 6 3 6 3 2 2 3 3" xfId="44397"/>
    <cellStyle name="常规 6 3 6 3 2 2 3 4" xfId="44398"/>
    <cellStyle name="常规 6 3 6 3 2 2 4" xfId="44399"/>
    <cellStyle name="常规 6 3 6 3 2 2 4 2" xfId="44400"/>
    <cellStyle name="常规 6 3 6 3 2 2 5" xfId="44401"/>
    <cellStyle name="常规 6 3 6 3 2 2 6" xfId="44402"/>
    <cellStyle name="常规 6 3 6 3 2 3" xfId="44403"/>
    <cellStyle name="常规 6 3 6 3 2 3 2" xfId="44404"/>
    <cellStyle name="常规 6 3 6 3 2 3 2 2" xfId="44405"/>
    <cellStyle name="常规 6 3 6 3 2 3 2 2 2" xfId="44406"/>
    <cellStyle name="常规 6 3 6 3 2 3 2 3" xfId="44407"/>
    <cellStyle name="常规 6 3 6 3 2 3 2 4" xfId="44408"/>
    <cellStyle name="常规 6 3 6 3 2 3 3" xfId="44409"/>
    <cellStyle name="常规 6 3 6 3 2 3 3 2" xfId="44410"/>
    <cellStyle name="常规 6 3 6 3 2 3 4" xfId="44411"/>
    <cellStyle name="常规 6 3 6 3 2 3 5" xfId="44412"/>
    <cellStyle name="常规 6 3 6 3 2 4" xfId="44413"/>
    <cellStyle name="常规 6 3 6 3 2 4 2" xfId="44414"/>
    <cellStyle name="常规 6 3 6 3 2 4 2 2" xfId="44415"/>
    <cellStyle name="常规 6 3 6 3 2 4 3" xfId="44416"/>
    <cellStyle name="常规 6 3 6 3 2 4 4" xfId="44417"/>
    <cellStyle name="常规 6 3 6 3 2 5" xfId="44418"/>
    <cellStyle name="常规 6 3 6 3 2 5 2" xfId="44419"/>
    <cellStyle name="常规 6 3 6 3 2 6" xfId="44420"/>
    <cellStyle name="常规 6 3 6 3 2 7" xfId="44421"/>
    <cellStyle name="常规 6 3 6 3 3" xfId="44422"/>
    <cellStyle name="常规 6 3 6 3 3 2" xfId="44423"/>
    <cellStyle name="常规 6 3 6 3 3 2 2" xfId="44424"/>
    <cellStyle name="常规 6 3 6 3 3 2 2 2" xfId="44425"/>
    <cellStyle name="常规 6 3 6 3 3 2 2 2 2" xfId="44426"/>
    <cellStyle name="常规 6 3 6 3 3 2 2 3" xfId="44427"/>
    <cellStyle name="常规 6 3 6 3 3 2 2 4" xfId="44428"/>
    <cellStyle name="常规 6 3 6 3 3 2 3" xfId="44429"/>
    <cellStyle name="常规 6 3 6 3 3 2 3 2" xfId="44430"/>
    <cellStyle name="常规 6 3 6 3 3 2 4" xfId="44431"/>
    <cellStyle name="常规 6 3 6 3 3 2 5" xfId="44432"/>
    <cellStyle name="常规 6 3 6 3 3 3" xfId="44433"/>
    <cellStyle name="常规 6 3 6 3 3 3 2" xfId="44434"/>
    <cellStyle name="常规 6 3 6 3 3 3 2 2" xfId="44435"/>
    <cellStyle name="常规 6 3 6 3 3 3 3" xfId="44436"/>
    <cellStyle name="常规 6 3 6 3 3 3 4" xfId="44437"/>
    <cellStyle name="常规 6 3 6 3 3 4" xfId="44438"/>
    <cellStyle name="常规 6 3 6 3 3 4 2" xfId="44439"/>
    <cellStyle name="常规 6 3 6 3 3 5" xfId="44440"/>
    <cellStyle name="常规 6 3 6 3 3 6" xfId="44441"/>
    <cellStyle name="常规 6 3 6 3 4" xfId="44442"/>
    <cellStyle name="常规 6 3 6 3 4 2" xfId="44443"/>
    <cellStyle name="常规 6 3 6 3 4 2 2" xfId="44444"/>
    <cellStyle name="常规 6 3 6 3 4 2 2 2" xfId="44445"/>
    <cellStyle name="常规 6 3 6 3 4 2 3" xfId="44446"/>
    <cellStyle name="常规 6 3 6 3 4 2 4" xfId="44447"/>
    <cellStyle name="常规 6 3 6 3 4 3" xfId="44448"/>
    <cellStyle name="常规 6 3 6 3 4 3 2" xfId="41779"/>
    <cellStyle name="常规 6 3 6 3 4 4" xfId="44449"/>
    <cellStyle name="常规 6 3 6 3 4 5" xfId="44450"/>
    <cellStyle name="常规 6 3 6 3 5" xfId="44451"/>
    <cellStyle name="常规 6 3 6 3 5 2" xfId="44452"/>
    <cellStyle name="常规 6 3 6 3 5 2 2" xfId="44453"/>
    <cellStyle name="常规 6 3 6 3 5 3" xfId="44454"/>
    <cellStyle name="常规 6 3 6 3 5 4" xfId="44455"/>
    <cellStyle name="常规 6 3 6 3 6" xfId="44456"/>
    <cellStyle name="常规 6 3 6 3 6 2" xfId="44457"/>
    <cellStyle name="常规 6 3 6 3 7" xfId="44458"/>
    <cellStyle name="常规 6 3 6 3 8" xfId="44459"/>
    <cellStyle name="常规 6 3 6 4" xfId="44460"/>
    <cellStyle name="常规 6 3 6 4 2" xfId="44461"/>
    <cellStyle name="常规 6 3 6 4 2 2" xfId="44462"/>
    <cellStyle name="常规 6 3 6 4 2 2 2" xfId="3888"/>
    <cellStyle name="常规 6 3 6 4 2 2 2 2" xfId="30890"/>
    <cellStyle name="常规 6 3 6 4 2 2 2 2 2" xfId="44463"/>
    <cellStyle name="常规 6 3 6 4 2 2 2 3" xfId="44464"/>
    <cellStyle name="常规 6 3 6 4 2 2 2 4" xfId="44465"/>
    <cellStyle name="常规 6 3 6 4 2 2 3" xfId="31200"/>
    <cellStyle name="常规 6 3 6 4 2 2 3 2" xfId="44466"/>
    <cellStyle name="常规 6 3 6 4 2 2 4" xfId="27117"/>
    <cellStyle name="常规 6 3 6 4 2 2 5" xfId="44467"/>
    <cellStyle name="常规 6 3 6 4 2 3" xfId="44468"/>
    <cellStyle name="常规 6 3 6 4 2 3 2" xfId="31177"/>
    <cellStyle name="常规 6 3 6 4 2 3 2 2" xfId="44469"/>
    <cellStyle name="常规 6 3 6 4 2 3 3" xfId="31182"/>
    <cellStyle name="常规 6 3 6 4 2 3 4" xfId="44470"/>
    <cellStyle name="常规 6 3 6 4 2 4" xfId="44471"/>
    <cellStyle name="常规 6 3 6 4 2 4 2" xfId="31188"/>
    <cellStyle name="常规 6 3 6 4 2 5" xfId="44472"/>
    <cellStyle name="常规 6 3 6 4 2 6" xfId="44473"/>
    <cellStyle name="常规 6 3 6 4 3" xfId="44474"/>
    <cellStyle name="常规 6 3 6 4 3 2" xfId="44475"/>
    <cellStyle name="常规 6 3 6 4 3 2 2" xfId="44476"/>
    <cellStyle name="常规 6 3 6 4 3 2 2 2" xfId="44477"/>
    <cellStyle name="常规 6 3 6 4 3 2 3" xfId="44478"/>
    <cellStyle name="常规 6 3 6 4 3 2 4" xfId="44479"/>
    <cellStyle name="常规 6 3 6 4 3 3" xfId="44480"/>
    <cellStyle name="常规 6 3 6 4 3 3 2" xfId="44481"/>
    <cellStyle name="常规 6 3 6 4 3 4" xfId="44482"/>
    <cellStyle name="常规 6 3 6 4 3 5" xfId="44483"/>
    <cellStyle name="常规 6 3 6 4 4" xfId="44484"/>
    <cellStyle name="常规 6 3 6 4 4 2" xfId="44485"/>
    <cellStyle name="常规 6 3 6 4 4 2 2" xfId="44486"/>
    <cellStyle name="常规 6 3 6 4 4 3" xfId="44487"/>
    <cellStyle name="常规 6 3 6 4 4 4" xfId="44488"/>
    <cellStyle name="常规 6 3 6 4 5" xfId="44489"/>
    <cellStyle name="常规 6 3 6 4 5 2" xfId="44490"/>
    <cellStyle name="常规 6 3 6 4 6" xfId="44491"/>
    <cellStyle name="常规 6 3 6 4 7" xfId="44492"/>
    <cellStyle name="常规 6 3 6 5" xfId="44493"/>
    <cellStyle name="常规 6 3 6 5 2" xfId="44494"/>
    <cellStyle name="常规 6 3 6 5 2 2" xfId="44495"/>
    <cellStyle name="常规 6 3 6 5 2 2 2" xfId="44496"/>
    <cellStyle name="常规 6 3 6 5 2 2 2 2" xfId="44497"/>
    <cellStyle name="常规 6 3 6 5 2 2 3" xfId="44498"/>
    <cellStyle name="常规 6 3 6 5 2 2 4" xfId="44499"/>
    <cellStyle name="常规 6 3 6 5 2 3" xfId="44500"/>
    <cellStyle name="常规 6 3 6 5 2 3 2" xfId="44501"/>
    <cellStyle name="常规 6 3 6 5 2 4" xfId="44502"/>
    <cellStyle name="常规 6 3 6 5 2 5" xfId="44503"/>
    <cellStyle name="常规 6 3 6 5 3" xfId="44504"/>
    <cellStyle name="常规 6 3 6 5 3 2" xfId="44505"/>
    <cellStyle name="常规 6 3 6 5 3 2 2" xfId="44506"/>
    <cellStyle name="常规 6 3 6 5 3 3" xfId="44507"/>
    <cellStyle name="常规 6 3 6 5 3 4" xfId="44508"/>
    <cellStyle name="常规 6 3 6 5 4" xfId="44509"/>
    <cellStyle name="常规 6 3 6 5 4 2" xfId="44510"/>
    <cellStyle name="常规 6 3 6 5 5" xfId="44511"/>
    <cellStyle name="常规 6 3 6 5 6" xfId="44512"/>
    <cellStyle name="常规 6 3 6 6" xfId="44513"/>
    <cellStyle name="常规 6 3 6 6 2" xfId="44514"/>
    <cellStyle name="常规 6 3 6 6 2 2" xfId="44515"/>
    <cellStyle name="常规 6 3 6 6 2 2 2" xfId="44516"/>
    <cellStyle name="常规 6 3 6 6 2 3" xfId="44517"/>
    <cellStyle name="常规 6 3 6 6 2 4" xfId="44518"/>
    <cellStyle name="常规 6 3 6 6 3" xfId="44519"/>
    <cellStyle name="常规 6 3 6 6 3 2" xfId="44520"/>
    <cellStyle name="常规 6 3 6 6 4" xfId="44521"/>
    <cellStyle name="常规 6 3 6 6 5" xfId="44522"/>
    <cellStyle name="常规 6 3 6 7" xfId="44523"/>
    <cellStyle name="常规 6 3 6 7 2" xfId="44524"/>
    <cellStyle name="常规 6 3 6 7 2 2" xfId="44525"/>
    <cellStyle name="常规 6 3 6 7 3" xfId="44526"/>
    <cellStyle name="常规 6 3 6 7 4" xfId="44527"/>
    <cellStyle name="常规 6 3 6 8" xfId="44528"/>
    <cellStyle name="常规 6 3 6 8 2" xfId="28765"/>
    <cellStyle name="常规 6 3 6 9" xfId="44529"/>
    <cellStyle name="常规 6 3 7" xfId="44530"/>
    <cellStyle name="常规 6 3 7 2" xfId="42623"/>
    <cellStyle name="常规 6 3 7 2 2" xfId="44531"/>
    <cellStyle name="常规 6 3 7 2 2 2" xfId="4629"/>
    <cellStyle name="常规 6 3 7 2 2 2 2" xfId="26075"/>
    <cellStyle name="常规 6 3 7 2 2 2 2 2" xfId="44532"/>
    <cellStyle name="常规 6 3 7 2 2 2 2 2 2" xfId="44533"/>
    <cellStyle name="常规 6 3 7 2 2 2 2 3" xfId="44534"/>
    <cellStyle name="常规 6 3 7 2 2 2 2 4" xfId="44535"/>
    <cellStyle name="常规 6 3 7 2 2 2 3" xfId="44536"/>
    <cellStyle name="常规 6 3 7 2 2 2 3 2" xfId="14992"/>
    <cellStyle name="常规 6 3 7 2 2 2 4" xfId="26083"/>
    <cellStyle name="常规 6 3 7 2 2 2 5" xfId="30109"/>
    <cellStyle name="常规 6 3 7 2 2 3" xfId="17972"/>
    <cellStyle name="常规 6 3 7 2 2 3 2" xfId="44537"/>
    <cellStyle name="常规 6 3 7 2 2 3 2 2" xfId="44538"/>
    <cellStyle name="常规 6 3 7 2 2 3 3" xfId="44539"/>
    <cellStyle name="常规 6 3 7 2 2 3 4" xfId="30115"/>
    <cellStyle name="常规 6 3 7 2 2 4" xfId="17978"/>
    <cellStyle name="常规 6 3 7 2 2 4 2" xfId="44540"/>
    <cellStyle name="常规 6 3 7 2 2 5" xfId="44541"/>
    <cellStyle name="常规 6 3 7 2 2 6" xfId="44542"/>
    <cellStyle name="常规 6 3 7 2 3" xfId="44543"/>
    <cellStyle name="常规 6 3 7 2 3 2" xfId="31887"/>
    <cellStyle name="常规 6 3 7 2 3 2 2" xfId="44544"/>
    <cellStyle name="常规 6 3 7 2 3 2 2 2" xfId="44545"/>
    <cellStyle name="常规 6 3 7 2 3 2 3" xfId="44546"/>
    <cellStyle name="常规 6 3 7 2 3 2 4" xfId="26277"/>
    <cellStyle name="常规 6 3 7 2 3 3" xfId="17984"/>
    <cellStyle name="常规 6 3 7 2 3 3 2" xfId="44547"/>
    <cellStyle name="常规 6 3 7 2 3 4" xfId="44548"/>
    <cellStyle name="常规 6 3 7 2 3 5" xfId="44549"/>
    <cellStyle name="常规 6 3 7 2 4" xfId="44550"/>
    <cellStyle name="常规 6 3 7 2 4 2" xfId="44551"/>
    <cellStyle name="常规 6 3 7 2 4 2 2" xfId="44552"/>
    <cellStyle name="常规 6 3 7 2 4 3" xfId="44553"/>
    <cellStyle name="常规 6 3 7 2 4 4" xfId="44554"/>
    <cellStyle name="常规 6 3 7 2 5" xfId="44555"/>
    <cellStyle name="常规 6 3 7 2 5 2" xfId="44556"/>
    <cellStyle name="常规 6 3 7 2 6" xfId="44557"/>
    <cellStyle name="常规 6 3 7 2 7" xfId="44558"/>
    <cellStyle name="常规 6 3 7 3" xfId="44560"/>
    <cellStyle name="常规 6 3 7 3 2" xfId="44561"/>
    <cellStyle name="常规 6 3 7 3 2 2" xfId="44562"/>
    <cellStyle name="常规 6 3 7 3 2 2 2" xfId="44563"/>
    <cellStyle name="常规 6 3 7 3 2 2 2 2" xfId="44564"/>
    <cellStyle name="常规 6 3 7 3 2 2 3" xfId="44565"/>
    <cellStyle name="常规 6 3 7 3 2 2 4" xfId="27301"/>
    <cellStyle name="常规 6 3 7 3 2 3" xfId="44566"/>
    <cellStyle name="常规 6 3 7 3 2 3 2" xfId="44567"/>
    <cellStyle name="常规 6 3 7 3 2 4" xfId="44568"/>
    <cellStyle name="常规 6 3 7 3 2 5" xfId="44569"/>
    <cellStyle name="常规 6 3 7 3 3" xfId="44570"/>
    <cellStyle name="常规 6 3 7 3 3 2" xfId="44571"/>
    <cellStyle name="常规 6 3 7 3 3 2 2" xfId="44572"/>
    <cellStyle name="常规 6 3 7 3 3 3" xfId="44573"/>
    <cellStyle name="常规 6 3 7 3 3 4" xfId="44574"/>
    <cellStyle name="常规 6 3 7 3 4" xfId="44575"/>
    <cellStyle name="常规 6 3 7 3 4 2" xfId="44576"/>
    <cellStyle name="常规 6 3 7 3 5" xfId="44577"/>
    <cellStyle name="常规 6 3 7 3 6" xfId="44578"/>
    <cellStyle name="常规 6 3 7 4" xfId="44579"/>
    <cellStyle name="常规 6 3 7 4 2" xfId="44580"/>
    <cellStyle name="常规 6 3 7 4 2 2" xfId="44581"/>
    <cellStyle name="常规 6 3 7 4 2 2 2" xfId="20025"/>
    <cellStyle name="常规 6 3 7 4 2 3" xfId="44582"/>
    <cellStyle name="常规 6 3 7 4 2 4" xfId="44583"/>
    <cellStyle name="常规 6 3 7 4 3" xfId="44584"/>
    <cellStyle name="常规 6 3 7 4 3 2" xfId="44585"/>
    <cellStyle name="常规 6 3 7 4 4" xfId="44586"/>
    <cellStyle name="常规 6 3 7 4 5" xfId="44587"/>
    <cellStyle name="常规 6 3 7 5" xfId="44588"/>
    <cellStyle name="常规 6 3 7 5 2" xfId="44589"/>
    <cellStyle name="常规 6 3 7 5 2 2" xfId="44590"/>
    <cellStyle name="常规 6 3 7 5 3" xfId="44591"/>
    <cellStyle name="常规 6 3 7 5 4" xfId="44593"/>
    <cellStyle name="常规 6 3 7 6" xfId="44594"/>
    <cellStyle name="常规 6 3 7 6 2" xfId="44595"/>
    <cellStyle name="常规 6 3 7 7" xfId="44596"/>
    <cellStyle name="常规 6 3 7 8" xfId="44597"/>
    <cellStyle name="常规 6 3 8" xfId="44598"/>
    <cellStyle name="常规 6 3 8 2" xfId="44599"/>
    <cellStyle name="常规 6 3 8 2 2" xfId="44600"/>
    <cellStyle name="常规 6 3 8 2 2 2" xfId="44601"/>
    <cellStyle name="常规 6 3 8 2 2 2 2" xfId="44602"/>
    <cellStyle name="常规 6 3 8 2 2 2 2 2" xfId="44603"/>
    <cellStyle name="常规 6 3 8 2 2 2 3" xfId="44604"/>
    <cellStyle name="常规 6 3 8 2 2 2 4" xfId="30594"/>
    <cellStyle name="常规 6 3 8 2 2 3" xfId="44605"/>
    <cellStyle name="常规 6 3 8 2 2 3 2" xfId="44606"/>
    <cellStyle name="常规 6 3 8 2 2 4" xfId="44607"/>
    <cellStyle name="常规 6 3 8 2 2 5" xfId="44608"/>
    <cellStyle name="常规 6 3 8 2 3" xfId="44609"/>
    <cellStyle name="常规 6 3 8 2 3 2" xfId="44610"/>
    <cellStyle name="常规 6 3 8 2 3 2 2" xfId="44611"/>
    <cellStyle name="常规 6 3 8 2 3 3" xfId="44612"/>
    <cellStyle name="常规 6 3 8 2 3 4" xfId="44613"/>
    <cellStyle name="常规 6 3 8 2 4" xfId="44614"/>
    <cellStyle name="常规 6 3 8 2 4 2" xfId="44615"/>
    <cellStyle name="常规 6 3 8 2 5" xfId="44616"/>
    <cellStyle name="常规 6 3 8 2 6" xfId="44617"/>
    <cellStyle name="常规 6 3 8 3" xfId="44618"/>
    <cellStyle name="常规 6 3 8 3 2" xfId="44619"/>
    <cellStyle name="常规 6 3 8 3 2 2" xfId="44620"/>
    <cellStyle name="常规 6 3 8 3 2 2 2" xfId="44621"/>
    <cellStyle name="常规 6 3 8 3 2 3" xfId="44622"/>
    <cellStyle name="常规 6 3 8 3 2 4" xfId="44623"/>
    <cellStyle name="常规 6 3 8 3 3" xfId="44624"/>
    <cellStyle name="常规 6 3 8 3 3 2" xfId="44625"/>
    <cellStyle name="常规 6 3 8 3 4" xfId="44626"/>
    <cellStyle name="常规 6 3 8 3 5" xfId="44627"/>
    <cellStyle name="常规 6 3 8 4" xfId="44628"/>
    <cellStyle name="常规 6 3 8 4 2" xfId="44629"/>
    <cellStyle name="常规 6 3 8 4 2 2" xfId="44630"/>
    <cellStyle name="常规 6 3 8 4 3" xfId="44631"/>
    <cellStyle name="常规 6 3 8 4 4" xfId="44632"/>
    <cellStyle name="常规 6 3 8 5" xfId="44633"/>
    <cellStyle name="常规 6 3 8 5 2" xfId="44634"/>
    <cellStyle name="常规 6 3 8 6" xfId="44635"/>
    <cellStyle name="常规 6 3 8 7" xfId="44636"/>
    <cellStyle name="常规 6 3 9" xfId="44637"/>
    <cellStyle name="常规 6 3 9 2" xfId="4680"/>
    <cellStyle name="常规 6 3 9 2 2" xfId="13337"/>
    <cellStyle name="常规 6 3 9 2 2 2" xfId="20667"/>
    <cellStyle name="常规 6 3 9 2 2 2 2" xfId="44638"/>
    <cellStyle name="常规 6 3 9 2 2 3" xfId="33286"/>
    <cellStyle name="常规 6 3 9 2 2 4" xfId="44639"/>
    <cellStyle name="常规 6 3 9 2 3" xfId="44640"/>
    <cellStyle name="常规 6 3 9 2 3 2" xfId="44641"/>
    <cellStyle name="常规 6 3 9 2 4" xfId="44642"/>
    <cellStyle name="常规 6 3 9 2 5" xfId="44643"/>
    <cellStyle name="常规 6 3 9 3" xfId="4685"/>
    <cellStyle name="常规 6 3 9 3 2" xfId="44644"/>
    <cellStyle name="常规 6 3 9 3 2 2" xfId="44645"/>
    <cellStyle name="常规 6 3 9 3 3" xfId="44646"/>
    <cellStyle name="常规 6 3 9 3 4" xfId="44647"/>
    <cellStyle name="常规 6 3 9 4" xfId="13340"/>
    <cellStyle name="常规 6 3 9 4 2" xfId="44648"/>
    <cellStyle name="常规 6 3 9 5" xfId="44649"/>
    <cellStyle name="常规 6 3 9 6" xfId="44650"/>
    <cellStyle name="常规 6 3_Sheet2" xfId="44651"/>
    <cellStyle name="常规 6 4" xfId="44652"/>
    <cellStyle name="常规 6 4 2" xfId="44653"/>
    <cellStyle name="常规 6 4_Sheet2" xfId="44654"/>
    <cellStyle name="常规 6 5" xfId="44655"/>
    <cellStyle name="常规 6 6" xfId="44656"/>
    <cellStyle name="常规 6 6 10" xfId="44657"/>
    <cellStyle name="常规 6 6 10 2" xfId="44658"/>
    <cellStyle name="常规 6 6 10 2 2" xfId="44659"/>
    <cellStyle name="常规 6 6 10 3" xfId="21519"/>
    <cellStyle name="常规 6 6 10 4" xfId="44660"/>
    <cellStyle name="常规 6 6 11" xfId="44661"/>
    <cellStyle name="常规 6 6 11 2" xfId="44662"/>
    <cellStyle name="常规 6 6 12" xfId="44663"/>
    <cellStyle name="常规 6 6 13" xfId="44664"/>
    <cellStyle name="常规 6 6 2" xfId="44665"/>
    <cellStyle name="常规 6 6 2 10" xfId="44666"/>
    <cellStyle name="常规 6 6 2 10 2" xfId="44667"/>
    <cellStyle name="常规 6 6 2 11" xfId="44668"/>
    <cellStyle name="常规 6 6 2 12" xfId="44669"/>
    <cellStyle name="常规 6 6 2 2" xfId="44670"/>
    <cellStyle name="常规 6 6 2 2 10" xfId="44671"/>
    <cellStyle name="常规 6 6 2 2 11" xfId="44672"/>
    <cellStyle name="常规 6 6 2 2 2" xfId="44673"/>
    <cellStyle name="常规 6 6 2 2 2 2" xfId="44674"/>
    <cellStyle name="常规 6 6 2 2 2 2 2" xfId="44675"/>
    <cellStyle name="常规 6 6 2 2 2 2 2 2" xfId="33866"/>
    <cellStyle name="常规 6 6 2 2 2 2 2 2 2" xfId="44676"/>
    <cellStyle name="常规 6 6 2 2 2 2 2 2 2 2" xfId="44677"/>
    <cellStyle name="常规 6 6 2 2 2 2 2 2 2 2 2" xfId="36621"/>
    <cellStyle name="常规 6 6 2 2 2 2 2 2 2 2 2 2" xfId="36623"/>
    <cellStyle name="常规 6 6 2 2 2 2 2 2 2 2 3" xfId="36633"/>
    <cellStyle name="常规 6 6 2 2 2 2 2 2 2 2 4" xfId="36637"/>
    <cellStyle name="常规 6 6 2 2 2 2 2 2 2 3" xfId="44678"/>
    <cellStyle name="常规 6 6 2 2 2 2 2 2 2 3 2" xfId="36770"/>
    <cellStyle name="常规 6 6 2 2 2 2 2 2 2 4" xfId="44679"/>
    <cellStyle name="常规 6 6 2 2 2 2 2 2 2 5" xfId="44680"/>
    <cellStyle name="常规 6 6 2 2 2 2 2 2 3" xfId="44681"/>
    <cellStyle name="常规 6 6 2 2 2 2 2 2 3 2" xfId="20952"/>
    <cellStyle name="常规 6 6 2 2 2 2 2 2 3 2 2" xfId="11162"/>
    <cellStyle name="常规 6 6 2 2 2 2 2 2 3 3" xfId="20954"/>
    <cellStyle name="常规 6 6 2 2 2 2 2 2 3 4" xfId="44682"/>
    <cellStyle name="常规 6 6 2 2 2 2 2 2 4" xfId="44683"/>
    <cellStyle name="常规 6 6 2 2 2 2 2 2 4 2" xfId="44684"/>
    <cellStyle name="常规 6 6 2 2 2 2 2 2 5" xfId="44685"/>
    <cellStyle name="常规 6 6 2 2 2 2 2 2 6" xfId="44686"/>
    <cellStyle name="常规 6 6 2 2 2 2 2 3" xfId="33589"/>
    <cellStyle name="常规 6 6 2 2 2 2 2 3 2" xfId="44687"/>
    <cellStyle name="常规 6 6 2 2 2 2 2 3 2 2" xfId="44688"/>
    <cellStyle name="常规 6 6 2 2 2 2 2 3 2 2 2" xfId="37175"/>
    <cellStyle name="常规 6 6 2 2 2 2 2 3 2 3" xfId="44689"/>
    <cellStyle name="常规 6 6 2 2 2 2 2 3 2 4" xfId="44690"/>
    <cellStyle name="常规 6 6 2 2 2 2 2 3 3" xfId="44691"/>
    <cellStyle name="常规 6 6 2 2 2 2 2 3 3 2" xfId="44692"/>
    <cellStyle name="常规 6 6 2 2 2 2 2 3 4" xfId="44693"/>
    <cellStyle name="常规 6 6 2 2 2 2 2 3 5" xfId="44694"/>
    <cellStyle name="常规 6 6 2 2 2 2 2 4" xfId="33596"/>
    <cellStyle name="常规 6 6 2 2 2 2 2 4 2" xfId="44695"/>
    <cellStyle name="常规 6 6 2 2 2 2 2 4 2 2" xfId="44696"/>
    <cellStyle name="常规 6 6 2 2 2 2 2 4 3" xfId="44697"/>
    <cellStyle name="常规 6 6 2 2 2 2 2 4 4" xfId="44698"/>
    <cellStyle name="常规 6 6 2 2 2 2 2 5" xfId="44699"/>
    <cellStyle name="常规 6 6 2 2 2 2 2 5 2" xfId="44700"/>
    <cellStyle name="常规 6 6 2 2 2 2 2 6" xfId="44701"/>
    <cellStyle name="常规 6 6 2 2 2 2 2 7" xfId="27895"/>
    <cellStyle name="常规 6 6 2 2 2 2 3" xfId="44702"/>
    <cellStyle name="常规 6 6 2 2 2 2 3 2" xfId="24153"/>
    <cellStyle name="常规 6 6 2 2 2 2 3 2 2" xfId="44703"/>
    <cellStyle name="常规 6 6 2 2 2 2 3 2 2 2" xfId="44704"/>
    <cellStyle name="常规 6 6 2 2 2 2 3 2 2 2 2" xfId="44705"/>
    <cellStyle name="常规 6 6 2 2 2 2 3 2 2 3" xfId="44706"/>
    <cellStyle name="常规 6 6 2 2 2 2 3 2 2 4" xfId="44707"/>
    <cellStyle name="常规 6 6 2 2 2 2 3 2 3" xfId="44708"/>
    <cellStyle name="常规 6 6 2 2 2 2 3 2 3 2" xfId="44709"/>
    <cellStyle name="常规 6 6 2 2 2 2 3 2 4" xfId="44710"/>
    <cellStyle name="常规 6 6 2 2 2 2 3 2 5" xfId="44711"/>
    <cellStyle name="常规 6 6 2 2 2 2 3 3" xfId="44712"/>
    <cellStyle name="常规 6 6 2 2 2 2 3 3 2" xfId="44713"/>
    <cellStyle name="常规 6 6 2 2 2 2 3 3 2 2" xfId="44714"/>
    <cellStyle name="常规 6 6 2 2 2 2 3 3 3" xfId="44715"/>
    <cellStyle name="常规 6 6 2 2 2 2 3 3 4" xfId="44716"/>
    <cellStyle name="常规 6 6 2 2 2 2 3 4" xfId="44717"/>
    <cellStyle name="常规 6 6 2 2 2 2 3 4 2" xfId="44718"/>
    <cellStyle name="常规 6 6 2 2 2 2 3 5" xfId="44719"/>
    <cellStyle name="常规 6 6 2 2 2 2 3 6" xfId="44720"/>
    <cellStyle name="常规 6 6 2 2 2 2 4" xfId="44721"/>
    <cellStyle name="常规 6 6 2 2 2 2 4 2" xfId="44722"/>
    <cellStyle name="常规 6 6 2 2 2 2 4 2 2" xfId="44723"/>
    <cellStyle name="常规 6 6 2 2 2 2 4 2 2 2" xfId="44724"/>
    <cellStyle name="常规 6 6 2 2 2 2 4 2 3" xfId="18771"/>
    <cellStyle name="常规 6 6 2 2 2 2 4 2 4" xfId="18783"/>
    <cellStyle name="常规 6 6 2 2 2 2 4 3" xfId="44725"/>
    <cellStyle name="常规 6 6 2 2 2 2 4 3 2" xfId="44726"/>
    <cellStyle name="常规 6 6 2 2 2 2 4 4" xfId="44727"/>
    <cellStyle name="常规 6 6 2 2 2 2 4 5" xfId="44728"/>
    <cellStyle name="常规 6 6 2 2 2 2 5" xfId="44729"/>
    <cellStyle name="常规 6 6 2 2 2 2 5 2" xfId="44730"/>
    <cellStyle name="常规 6 6 2 2 2 2 5 2 2" xfId="44731"/>
    <cellStyle name="常规 6 6 2 2 2 2 5 3" xfId="44732"/>
    <cellStyle name="常规 6 6 2 2 2 2 5 4" xfId="36268"/>
    <cellStyle name="常规 6 6 2 2 2 2 6" xfId="44733"/>
    <cellStyle name="常规 6 6 2 2 2 2 6 2" xfId="44734"/>
    <cellStyle name="常规 6 6 2 2 2 2 7" xfId="44735"/>
    <cellStyle name="常规 6 6 2 2 2 2 8" xfId="44736"/>
    <cellStyle name="常规 6 6 2 2 2 3" xfId="44737"/>
    <cellStyle name="常规 6 6 2 2 2 3 2" xfId="44738"/>
    <cellStyle name="常规 6 6 2 2 2 3 2 2" xfId="10183"/>
    <cellStyle name="常规 6 6 2 2 2 3 2 2 2" xfId="44739"/>
    <cellStyle name="常规 6 6 2 2 2 3 2 2 2 2" xfId="44740"/>
    <cellStyle name="常规 6 6 2 2 2 3 2 2 2 2 2" xfId="44741"/>
    <cellStyle name="常规 6 6 2 2 2 3 2 2 2 3" xfId="44742"/>
    <cellStyle name="常规 6 6 2 2 2 3 2 2 2 4" xfId="44743"/>
    <cellStyle name="常规 6 6 2 2 2 3 2 2 3" xfId="44744"/>
    <cellStyle name="常规 6 6 2 2 2 3 2 2 3 2" xfId="44745"/>
    <cellStyle name="常规 6 6 2 2 2 3 2 2 4" xfId="44746"/>
    <cellStyle name="常规 6 6 2 2 2 3 2 2 5" xfId="44747"/>
    <cellStyle name="常规 6 6 2 2 2 3 2 3" xfId="44748"/>
    <cellStyle name="常规 6 6 2 2 2 3 2 3 2" xfId="44749"/>
    <cellStyle name="常规 6 6 2 2 2 3 2 3 2 2" xfId="44750"/>
    <cellStyle name="常规 6 6 2 2 2 3 2 3 3" xfId="44751"/>
    <cellStyle name="常规 6 6 2 2 2 3 2 3 4" xfId="44752"/>
    <cellStyle name="常规 6 6 2 2 2 3 2 4" xfId="44753"/>
    <cellStyle name="常规 6 6 2 2 2 3 2 4 2" xfId="44754"/>
    <cellStyle name="常规 6 6 2 2 2 3 2 5" xfId="44755"/>
    <cellStyle name="常规 6 6 2 2 2 3 2 6" xfId="44756"/>
    <cellStyle name="常规 6 6 2 2 2 3 3" xfId="44757"/>
    <cellStyle name="常规 6 6 2 2 2 3 3 2" xfId="44758"/>
    <cellStyle name="常规 6 6 2 2 2 3 3 2 2" xfId="44759"/>
    <cellStyle name="常规 6 6 2 2 2 3 3 2 2 2" xfId="44760"/>
    <cellStyle name="常规 6 6 2 2 2 3 3 2 3" xfId="44761"/>
    <cellStyle name="常规 6 6 2 2 2 3 3 2 4" xfId="44762"/>
    <cellStyle name="常规 6 6 2 2 2 3 3 3" xfId="44763"/>
    <cellStyle name="常规 6 6 2 2 2 3 3 3 2" xfId="44764"/>
    <cellStyle name="常规 6 6 2 2 2 3 3 4" xfId="44765"/>
    <cellStyle name="常规 6 6 2 2 2 3 3 5" xfId="44766"/>
    <cellStyle name="常规 6 6 2 2 2 3 4" xfId="44767"/>
    <cellStyle name="常规 6 6 2 2 2 3 4 2" xfId="44768"/>
    <cellStyle name="常规 6 6 2 2 2 3 4 2 2" xfId="44770"/>
    <cellStyle name="常规 6 6 2 2 2 3 4 3" xfId="44771"/>
    <cellStyle name="常规 6 6 2 2 2 3 4 4" xfId="44772"/>
    <cellStyle name="常规 6 6 2 2 2 3 5" xfId="44773"/>
    <cellStyle name="常规 6 6 2 2 2 3 5 2" xfId="44774"/>
    <cellStyle name="常规 6 6 2 2 2 3 6" xfId="44775"/>
    <cellStyle name="常规 6 6 2 2 2 3 7" xfId="44776"/>
    <cellStyle name="常规 6 6 2 2 2 4" xfId="44777"/>
    <cellStyle name="常规 6 6 2 2 2 4 2" xfId="44778"/>
    <cellStyle name="常规 6 6 2 2 2 4 2 2" xfId="44779"/>
    <cellStyle name="常规 6 6 2 2 2 4 2 2 2" xfId="44780"/>
    <cellStyle name="常规 6 6 2 2 2 4 2 2 2 2" xfId="44781"/>
    <cellStyle name="常规 6 6 2 2 2 4 2 2 3" xfId="44782"/>
    <cellStyle name="常规 6 6 2 2 2 4 2 2 4" xfId="44783"/>
    <cellStyle name="常规 6 6 2 2 2 4 2 3" xfId="44784"/>
    <cellStyle name="常规 6 6 2 2 2 4 2 3 2" xfId="44785"/>
    <cellStyle name="常规 6 6 2 2 2 4 2 4" xfId="44786"/>
    <cellStyle name="常规 6 6 2 2 2 4 2 5" xfId="44787"/>
    <cellStyle name="常规 6 6 2 2 2 4 3" xfId="44788"/>
    <cellStyle name="常规 6 6 2 2 2 4 3 2" xfId="44789"/>
    <cellStyle name="常规 6 6 2 2 2 4 3 2 2" xfId="44790"/>
    <cellStyle name="常规 6 6 2 2 2 4 3 3" xfId="44791"/>
    <cellStyle name="常规 6 6 2 2 2 4 3 4" xfId="44792"/>
    <cellStyle name="常规 6 6 2 2 2 4 4" xfId="44793"/>
    <cellStyle name="常规 6 6 2 2 2 4 4 2" xfId="44794"/>
    <cellStyle name="常规 6 6 2 2 2 4 5" xfId="44795"/>
    <cellStyle name="常规 6 6 2 2 2 4 6" xfId="44796"/>
    <cellStyle name="常规 6 6 2 2 2 5" xfId="44797"/>
    <cellStyle name="常规 6 6 2 2 2 5 2" xfId="44798"/>
    <cellStyle name="常规 6 6 2 2 2 5 2 2" xfId="44799"/>
    <cellStyle name="常规 6 6 2 2 2 5 2 2 2" xfId="44800"/>
    <cellStyle name="常规 6 6 2 2 2 5 2 3" xfId="44801"/>
    <cellStyle name="常规 6 6 2 2 2 5 2 4" xfId="44802"/>
    <cellStyle name="常规 6 6 2 2 2 5 3" xfId="44803"/>
    <cellStyle name="常规 6 6 2 2 2 5 3 2" xfId="44804"/>
    <cellStyle name="常规 6 6 2 2 2 5 4" xfId="44805"/>
    <cellStyle name="常规 6 6 2 2 2 5 5" xfId="44806"/>
    <cellStyle name="常规 6 6 2 2 2 6" xfId="44807"/>
    <cellStyle name="常规 6 6 2 2 2 6 2" xfId="44808"/>
    <cellStyle name="常规 6 6 2 2 2 6 2 2" xfId="44809"/>
    <cellStyle name="常规 6 6 2 2 2 6 3" xfId="44810"/>
    <cellStyle name="常规 6 6 2 2 2 6 4" xfId="44811"/>
    <cellStyle name="常规 6 6 2 2 2 7" xfId="44812"/>
    <cellStyle name="常规 6 6 2 2 2 7 2" xfId="44813"/>
    <cellStyle name="常规 6 6 2 2 2 8" xfId="44814"/>
    <cellStyle name="常规 6 6 2 2 2 9" xfId="44815"/>
    <cellStyle name="常规 6 6 2 2 3" xfId="44816"/>
    <cellStyle name="常规 6 6 2 2 3 2" xfId="44817"/>
    <cellStyle name="常规 6 6 2 2 3 2 2" xfId="44818"/>
    <cellStyle name="常规 6 6 2 2 3 2 2 2" xfId="27251"/>
    <cellStyle name="常规 6 6 2 2 3 2 2 2 2" xfId="44819"/>
    <cellStyle name="常规 6 6 2 2 3 2 2 2 2 2" xfId="44820"/>
    <cellStyle name="常规 6 6 2 2 3 2 2 2 2 2 2" xfId="44821"/>
    <cellStyle name="常规 6 6 2 2 3 2 2 2 2 2 2 2" xfId="44822"/>
    <cellStyle name="常规 6 6 2 2 3 2 2 2 2 2 3" xfId="44823"/>
    <cellStyle name="常规 6 6 2 2 3 2 2 2 2 2 4" xfId="44824"/>
    <cellStyle name="常规 6 6 2 2 3 2 2 2 2 3" xfId="44825"/>
    <cellStyle name="常规 6 6 2 2 3 2 2 2 2 3 2" xfId="44826"/>
    <cellStyle name="常规 6 6 2 2 3 2 2 2 2 4" xfId="44827"/>
    <cellStyle name="常规 6 6 2 2 3 2 2 2 2 5" xfId="44828"/>
    <cellStyle name="常规 6 6 2 2 3 2 2 2 3" xfId="44829"/>
    <cellStyle name="常规 6 6 2 2 3 2 2 2 3 2" xfId="44830"/>
    <cellStyle name="常规 6 6 2 2 3 2 2 2 3 2 2" xfId="44831"/>
    <cellStyle name="常规 6 6 2 2 3 2 2 2 3 3" xfId="44832"/>
    <cellStyle name="常规 6 6 2 2 3 2 2 2 3 4" xfId="44833"/>
    <cellStyle name="常规 6 6 2 2 3 2 2 2 4" xfId="44834"/>
    <cellStyle name="常规 6 6 2 2 3 2 2 2 4 2" xfId="44835"/>
    <cellStyle name="常规 6 6 2 2 3 2 2 2 5" xfId="44836"/>
    <cellStyle name="常规 6 6 2 2 3 2 2 2 6" xfId="44837"/>
    <cellStyle name="常规 6 6 2 2 3 2 2 3" xfId="27443"/>
    <cellStyle name="常规 6 6 2 2 3 2 2 3 2" xfId="44838"/>
    <cellStyle name="常规 6 6 2 2 3 2 2 3 2 2" xfId="44839"/>
    <cellStyle name="常规 6 6 2 2 3 2 2 3 2 2 2" xfId="44840"/>
    <cellStyle name="常规 6 6 2 2 3 2 2 3 2 3" xfId="44841"/>
    <cellStyle name="常规 6 6 2 2 3 2 2 3 2 4" xfId="44842"/>
    <cellStyle name="常规 6 6 2 2 3 2 2 3 3" xfId="44843"/>
    <cellStyle name="常规 6 6 2 2 3 2 2 3 3 2" xfId="44844"/>
    <cellStyle name="常规 6 6 2 2 3 2 2 3 4" xfId="44845"/>
    <cellStyle name="常规 6 6 2 2 3 2 2 3 5" xfId="44846"/>
    <cellStyle name="常规 6 6 2 2 3 2 2 4" xfId="44847"/>
    <cellStyle name="常规 6 6 2 2 3 2 2 4 2" xfId="44848"/>
    <cellStyle name="常规 6 6 2 2 3 2 2 4 2 2" xfId="44849"/>
    <cellStyle name="常规 6 6 2 2 3 2 2 4 3" xfId="44850"/>
    <cellStyle name="常规 6 6 2 2 3 2 2 4 4" xfId="44851"/>
    <cellStyle name="常规 6 6 2 2 3 2 2 5" xfId="44852"/>
    <cellStyle name="常规 6 6 2 2 3 2 2 5 2" xfId="44853"/>
    <cellStyle name="常规 6 6 2 2 3 2 2 6" xfId="44854"/>
    <cellStyle name="常规 6 6 2 2 3 2 2 7" xfId="44855"/>
    <cellStyle name="常规 6 6 2 2 3 2 3" xfId="44856"/>
    <cellStyle name="常规 6 6 2 2 3 2 3 2" xfId="28463"/>
    <cellStyle name="常规 6 6 2 2 3 2 3 2 2" xfId="44857"/>
    <cellStyle name="常规 6 6 2 2 3 2 3 2 2 2" xfId="44858"/>
    <cellStyle name="常规 6 6 2 2 3 2 3 2 2 2 2" xfId="44859"/>
    <cellStyle name="常规 6 6 2 2 3 2 3 2 2 3" xfId="44860"/>
    <cellStyle name="常规 6 6 2 2 3 2 3 2 2 4" xfId="44861"/>
    <cellStyle name="常规 6 6 2 2 3 2 3 2 3" xfId="44862"/>
    <cellStyle name="常规 6 6 2 2 3 2 3 2 3 2" xfId="44863"/>
    <cellStyle name="常规 6 6 2 2 3 2 3 2 4" xfId="44864"/>
    <cellStyle name="常规 6 6 2 2 3 2 3 2 5" xfId="44865"/>
    <cellStyle name="常规 6 6 2 2 3 2 3 3" xfId="44866"/>
    <cellStyle name="常规 6 6 2 2 3 2 3 3 2" xfId="44867"/>
    <cellStyle name="常规 6 6 2 2 3 2 3 3 2 2" xfId="44868"/>
    <cellStyle name="常规 6 6 2 2 3 2 3 3 3" xfId="44869"/>
    <cellStyle name="常规 6 6 2 2 3 2 3 3 4" xfId="44870"/>
    <cellStyle name="常规 6 6 2 2 3 2 3 4" xfId="44871"/>
    <cellStyle name="常规 6 6 2 2 3 2 3 4 2" xfId="44872"/>
    <cellStyle name="常规 6 6 2 2 3 2 3 5" xfId="44873"/>
    <cellStyle name="常规 6 6 2 2 3 2 3 6" xfId="44874"/>
    <cellStyle name="常规 6 6 2 2 3 2 4" xfId="44875"/>
    <cellStyle name="常规 6 6 2 2 3 2 4 2" xfId="44876"/>
    <cellStyle name="常规 6 6 2 2 3 2 4 2 2" xfId="44877"/>
    <cellStyle name="常规 6 6 2 2 3 2 4 2 2 2" xfId="44878"/>
    <cellStyle name="常规 6 6 2 2 3 2 4 2 3" xfId="18935"/>
    <cellStyle name="常规 6 6 2 2 3 2 4 2 4" xfId="18948"/>
    <cellStyle name="常规 6 6 2 2 3 2 4 3" xfId="44879"/>
    <cellStyle name="常规 6 6 2 2 3 2 4 3 2" xfId="44880"/>
    <cellStyle name="常规 6 6 2 2 3 2 4 4" xfId="44881"/>
    <cellStyle name="常规 6 6 2 2 3 2 4 5" xfId="44882"/>
    <cellStyle name="常规 6 6 2 2 3 2 5" xfId="44883"/>
    <cellStyle name="常规 6 6 2 2 3 2 5 2" xfId="44884"/>
    <cellStyle name="常规 6 6 2 2 3 2 5 2 2" xfId="44885"/>
    <cellStyle name="常规 6 6 2 2 3 2 5 3" xfId="44886"/>
    <cellStyle name="常规 6 6 2 2 3 2 5 4" xfId="44887"/>
    <cellStyle name="常规 6 6 2 2 3 2 6" xfId="44888"/>
    <cellStyle name="常规 6 6 2 2 3 2 6 2" xfId="44889"/>
    <cellStyle name="常规 6 6 2 2 3 2 7" xfId="44890"/>
    <cellStyle name="常规 6 6 2 2 3 2 8" xfId="44891"/>
    <cellStyle name="常规 6 6 2 2 3 3" xfId="44892"/>
    <cellStyle name="常规 6 6 2 2 3 3 2" xfId="44893"/>
    <cellStyle name="常规 6 6 2 2 3 3 2 2" xfId="11442"/>
    <cellStyle name="常规 6 6 2 2 3 3 2 2 2" xfId="44894"/>
    <cellStyle name="常规 6 6 2 2 3 3 2 2 2 2" xfId="44895"/>
    <cellStyle name="常规 6 6 2 2 3 3 2 2 2 2 2" xfId="44896"/>
    <cellStyle name="常规 6 6 2 2 3 3 2 2 2 3" xfId="44897"/>
    <cellStyle name="常规 6 6 2 2 3 3 2 2 2 4" xfId="44898"/>
    <cellStyle name="常规 6 6 2 2 3 3 2 2 3" xfId="44899"/>
    <cellStyle name="常规 6 6 2 2 3 3 2 2 3 2" xfId="44900"/>
    <cellStyle name="常规 6 6 2 2 3 3 2 2 4" xfId="44901"/>
    <cellStyle name="常规 6 6 2 2 3 3 2 2 5" xfId="44902"/>
    <cellStyle name="常规 6 6 2 2 3 3 2 3" xfId="44903"/>
    <cellStyle name="常规 6 6 2 2 3 3 2 3 2" xfId="44904"/>
    <cellStyle name="常规 6 6 2 2 3 3 2 3 2 2" xfId="44905"/>
    <cellStyle name="常规 6 6 2 2 3 3 2 3 3" xfId="44906"/>
    <cellStyle name="常规 6 6 2 2 3 3 2 3 4" xfId="44907"/>
    <cellStyle name="常规 6 6 2 2 3 3 2 4" xfId="44908"/>
    <cellStyle name="常规 6 6 2 2 3 3 2 4 2" xfId="44909"/>
    <cellStyle name="常规 6 6 2 2 3 3 2 5" xfId="44910"/>
    <cellStyle name="常规 6 6 2 2 3 3 2 6" xfId="44911"/>
    <cellStyle name="常规 6 6 2 2 3 3 3" xfId="44912"/>
    <cellStyle name="常规 6 6 2 2 3 3 3 2" xfId="44913"/>
    <cellStyle name="常规 6 6 2 2 3 3 3 2 2" xfId="44914"/>
    <cellStyle name="常规 6 6 2 2 3 3 3 2 2 2" xfId="44915"/>
    <cellStyle name="常规 6 6 2 2 3 3 3 2 3" xfId="44916"/>
    <cellStyle name="常规 6 6 2 2 3 3 3 2 4" xfId="44917"/>
    <cellStyle name="常规 6 6 2 2 3 3 3 3" xfId="44918"/>
    <cellStyle name="常规 6 6 2 2 3 3 3 3 2" xfId="44919"/>
    <cellStyle name="常规 6 6 2 2 3 3 3 4" xfId="44920"/>
    <cellStyle name="常规 6 6 2 2 3 3 3 5" xfId="44921"/>
    <cellStyle name="常规 6 6 2 2 3 3 4" xfId="44922"/>
    <cellStyle name="常规 6 6 2 2 3 3 4 2" xfId="44923"/>
    <cellStyle name="常规 6 6 2 2 3 3 4 2 2" xfId="44925"/>
    <cellStyle name="常规 6 6 2 2 3 3 4 3" xfId="44926"/>
    <cellStyle name="常规 6 6 2 2 3 3 4 4" xfId="44927"/>
    <cellStyle name="常规 6 6 2 2 3 3 5" xfId="44928"/>
    <cellStyle name="常规 6 6 2 2 3 3 5 2" xfId="44929"/>
    <cellStyle name="常规 6 6 2 2 3 3 6" xfId="44930"/>
    <cellStyle name="常规 6 6 2 2 3 3 7" xfId="44931"/>
    <cellStyle name="常规 6 6 2 2 3 4" xfId="44932"/>
    <cellStyle name="常规 6 6 2 2 3 4 2" xfId="44933"/>
    <cellStyle name="常规 6 6 2 2 3 4 2 2" xfId="44934"/>
    <cellStyle name="常规 6 6 2 2 3 4 2 2 2" xfId="14614"/>
    <cellStyle name="常规 6 6 2 2 3 4 2 2 2 2" xfId="44935"/>
    <cellStyle name="常规 6 6 2 2 3 4 2 2 3" xfId="44936"/>
    <cellStyle name="常规 6 6 2 2 3 4 2 2 4" xfId="44937"/>
    <cellStyle name="常规 6 6 2 2 3 4 2 3" xfId="44938"/>
    <cellStyle name="常规 6 6 2 2 3 4 2 3 2" xfId="44939"/>
    <cellStyle name="常规 6 6 2 2 3 4 2 4" xfId="44940"/>
    <cellStyle name="常规 6 6 2 2 3 4 2 5" xfId="44941"/>
    <cellStyle name="常规 6 6 2 2 3 4 3" xfId="44942"/>
    <cellStyle name="常规 6 6 2 2 3 4 3 2" xfId="44943"/>
    <cellStyle name="常规 6 6 2 2 3 4 3 2 2" xfId="44944"/>
    <cellStyle name="常规 6 6 2 2 3 4 3 3" xfId="44945"/>
    <cellStyle name="常规 6 6 2 2 3 4 3 4" xfId="44946"/>
    <cellStyle name="常规 6 6 2 2 3 4 4" xfId="44947"/>
    <cellStyle name="常规 6 6 2 2 3 4 4 2" xfId="44948"/>
    <cellStyle name="常规 6 6 2 2 3 4 5" xfId="44949"/>
    <cellStyle name="常规 6 6 2 2 3 4 6" xfId="44950"/>
    <cellStyle name="常规 6 6 2 2 3 5" xfId="44951"/>
    <cellStyle name="常规 6 6 2 2 3 5 2" xfId="44952"/>
    <cellStyle name="常规 6 6 2 2 3 5 2 2" xfId="44953"/>
    <cellStyle name="常规 6 6 2 2 3 5 2 2 2" xfId="44954"/>
    <cellStyle name="常规 6 6 2 2 3 5 2 3" xfId="44955"/>
    <cellStyle name="常规 6 6 2 2 3 5 2 4" xfId="44956"/>
    <cellStyle name="常规 6 6 2 2 3 5 3" xfId="44957"/>
    <cellStyle name="常规 6 6 2 2 3 5 3 2" xfId="44958"/>
    <cellStyle name="常规 6 6 2 2 3 5 4" xfId="44959"/>
    <cellStyle name="常规 6 6 2 2 3 5 5" xfId="44960"/>
    <cellStyle name="常规 6 6 2 2 3 6" xfId="44961"/>
    <cellStyle name="常规 6 6 2 2 3 6 2" xfId="44962"/>
    <cellStyle name="常规 6 6 2 2 3 6 2 2" xfId="44963"/>
    <cellStyle name="常规 6 6 2 2 3 6 3" xfId="44964"/>
    <cellStyle name="常规 6 6 2 2 3 6 4" xfId="44965"/>
    <cellStyle name="常规 6 6 2 2 3 7" xfId="44966"/>
    <cellStyle name="常规 6 6 2 2 3 7 2" xfId="44967"/>
    <cellStyle name="常规 6 6 2 2 3 8" xfId="44968"/>
    <cellStyle name="常规 6 6 2 2 3 9" xfId="44969"/>
    <cellStyle name="常规 6 6 2 2 4" xfId="44970"/>
    <cellStyle name="常规 6 6 2 2 4 2" xfId="44971"/>
    <cellStyle name="常规 6 6 2 2 4 2 2" xfId="44972"/>
    <cellStyle name="常规 6 6 2 2 4 2 2 2" xfId="33947"/>
    <cellStyle name="常规 6 6 2 2 4 2 2 2 2" xfId="44973"/>
    <cellStyle name="常规 6 6 2 2 4 2 2 2 2 2" xfId="44974"/>
    <cellStyle name="常规 6 6 2 2 4 2 2 2 2 2 2" xfId="44976"/>
    <cellStyle name="常规 6 6 2 2 4 2 2 2 2 3" xfId="44977"/>
    <cellStyle name="常规 6 6 2 2 4 2 2 2 2 4" xfId="44978"/>
    <cellStyle name="常规 6 6 2 2 4 2 2 2 3" xfId="44979"/>
    <cellStyle name="常规 6 6 2 2 4 2 2 2 3 2" xfId="44980"/>
    <cellStyle name="常规 6 6 2 2 4 2 2 2 4" xfId="44981"/>
    <cellStyle name="常规 6 6 2 2 4 2 2 2 5" xfId="44982"/>
    <cellStyle name="常规 6 6 2 2 4 2 2 3" xfId="44983"/>
    <cellStyle name="常规 6 6 2 2 4 2 2 3 2" xfId="4123"/>
    <cellStyle name="常规 6 6 2 2 4 2 2 3 2 2" xfId="44984"/>
    <cellStyle name="常规 6 6 2 2 4 2 2 3 3" xfId="44985"/>
    <cellStyle name="常规 6 6 2 2 4 2 2 3 4" xfId="44986"/>
    <cellStyle name="常规 6 6 2 2 4 2 2 4" xfId="44987"/>
    <cellStyle name="常规 6 6 2 2 4 2 2 4 2" xfId="44988"/>
    <cellStyle name="常规 6 6 2 2 4 2 2 5" xfId="44989"/>
    <cellStyle name="常规 6 6 2 2 4 2 2 6" xfId="44990"/>
    <cellStyle name="常规 6 6 2 2 4 2 3" xfId="44991"/>
    <cellStyle name="常规 6 6 2 2 4 2 3 2" xfId="44992"/>
    <cellStyle name="常规 6 6 2 2 4 2 3 2 2" xfId="39685"/>
    <cellStyle name="常规 6 6 2 2 4 2 3 2 2 2" xfId="44993"/>
    <cellStyle name="常规 6 6 2 2 4 2 3 2 3" xfId="44994"/>
    <cellStyle name="常规 6 6 2 2 4 2 3 2 4" xfId="44995"/>
    <cellStyle name="常规 6 6 2 2 4 2 3 3" xfId="44996"/>
    <cellStyle name="常规 6 6 2 2 4 2 3 3 2" xfId="44997"/>
    <cellStyle name="常规 6 6 2 2 4 2 3 4" xfId="44998"/>
    <cellStyle name="常规 6 6 2 2 4 2 3 5" xfId="44999"/>
    <cellStyle name="常规 6 6 2 2 4 2 4" xfId="45000"/>
    <cellStyle name="常规 6 6 2 2 4 2 4 2" xfId="45001"/>
    <cellStyle name="常规 6 6 2 2 4 2 4 2 2" xfId="45002"/>
    <cellStyle name="常规 6 6 2 2 4 2 4 3" xfId="45003"/>
    <cellStyle name="常规 6 6 2 2 4 2 4 4" xfId="45004"/>
    <cellStyle name="常规 6 6 2 2 4 2 5" xfId="45005"/>
    <cellStyle name="常规 6 6 2 2 4 2 5 2" xfId="45006"/>
    <cellStyle name="常规 6 6 2 2 4 2 6" xfId="45007"/>
    <cellStyle name="常规 6 6 2 2 4 2 7" xfId="45008"/>
    <cellStyle name="常规 6 6 2 2 4 3" xfId="45009"/>
    <cellStyle name="常规 6 6 2 2 4 3 2" xfId="45010"/>
    <cellStyle name="常规 6 6 2 2 4 3 2 2" xfId="45011"/>
    <cellStyle name="常规 6 6 2 2 4 3 2 2 2" xfId="45012"/>
    <cellStyle name="常规 6 6 2 2 4 3 2 2 2 2" xfId="45013"/>
    <cellStyle name="常规 6 6 2 2 4 3 2 2 3" xfId="45014"/>
    <cellStyle name="常规 6 6 2 2 4 3 2 2 4" xfId="45015"/>
    <cellStyle name="常规 6 6 2 2 4 3 2 3" xfId="45016"/>
    <cellStyle name="常规 6 6 2 2 4 3 2 3 2" xfId="45017"/>
    <cellStyle name="常规 6 6 2 2 4 3 2 4" xfId="45018"/>
    <cellStyle name="常规 6 6 2 2 4 3 2 5" xfId="45019"/>
    <cellStyle name="常规 6 6 2 2 4 3 3" xfId="45020"/>
    <cellStyle name="常规 6 6 2 2 4 3 3 2" xfId="45021"/>
    <cellStyle name="常规 6 6 2 2 4 3 3 2 2" xfId="45022"/>
    <cellStyle name="常规 6 6 2 2 4 3 3 3" xfId="45023"/>
    <cellStyle name="常规 6 6 2 2 4 3 3 4" xfId="45024"/>
    <cellStyle name="常规 6 6 2 2 4 3 4" xfId="45025"/>
    <cellStyle name="常规 6 6 2 2 4 3 4 2" xfId="3427"/>
    <cellStyle name="常规 6 6 2 2 4 3 5" xfId="45026"/>
    <cellStyle name="常规 6 6 2 2 4 3 6" xfId="45027"/>
    <cellStyle name="常规 6 6 2 2 4 4" xfId="45028"/>
    <cellStyle name="常规 6 6 2 2 4 4 2" xfId="45029"/>
    <cellStyle name="常规 6 6 2 2 4 4 2 2" xfId="45030"/>
    <cellStyle name="常规 6 6 2 2 4 4 2 2 2" xfId="45031"/>
    <cellStyle name="常规 6 6 2 2 4 4 2 3" xfId="45032"/>
    <cellStyle name="常规 6 6 2 2 4 4 2 4" xfId="45033"/>
    <cellStyle name="常规 6 6 2 2 4 4 3" xfId="45034"/>
    <cellStyle name="常规 6 6 2 2 4 4 3 2" xfId="45035"/>
    <cellStyle name="常规 6 6 2 2 4 4 4" xfId="45036"/>
    <cellStyle name="常规 6 6 2 2 4 4 5" xfId="45037"/>
    <cellStyle name="常规 6 6 2 2 4 5" xfId="45038"/>
    <cellStyle name="常规 6 6 2 2 4 5 2" xfId="45039"/>
    <cellStyle name="常规 6 6 2 2 4 5 2 2" xfId="45040"/>
    <cellStyle name="常规 6 6 2 2 4 5 3" xfId="45041"/>
    <cellStyle name="常规 6 6 2 2 4 5 4" xfId="45042"/>
    <cellStyle name="常规 6 6 2 2 4 6" xfId="45043"/>
    <cellStyle name="常规 6 6 2 2 4 6 2" xfId="45044"/>
    <cellStyle name="常规 6 6 2 2 4 7" xfId="45045"/>
    <cellStyle name="常规 6 6 2 2 4 8" xfId="45046"/>
    <cellStyle name="常规 6 6 2 2 5" xfId="45047"/>
    <cellStyle name="常规 6 6 2 2 5 2" xfId="45048"/>
    <cellStyle name="常规 6 6 2 2 5 2 2" xfId="45049"/>
    <cellStyle name="常规 6 6 2 2 5 2 2 2" xfId="45050"/>
    <cellStyle name="常规 6 6 2 2 5 2 2 2 2" xfId="45051"/>
    <cellStyle name="常规 6 6 2 2 5 2 2 2 2 2" xfId="45052"/>
    <cellStyle name="常规 6 6 2 2 5 2 2 2 3" xfId="45053"/>
    <cellStyle name="常规 6 6 2 2 5 2 2 2 4" xfId="45054"/>
    <cellStyle name="常规 6 6 2 2 5 2 2 3" xfId="45055"/>
    <cellStyle name="常规 6 6 2 2 5 2 2 3 2" xfId="45056"/>
    <cellStyle name="常规 6 6 2 2 5 2 2 4" xfId="45057"/>
    <cellStyle name="常规 6 6 2 2 5 2 2 5" xfId="45058"/>
    <cellStyle name="常规 6 6 2 2 5 2 3" xfId="45059"/>
    <cellStyle name="常规 6 6 2 2 5 2 3 2" xfId="45060"/>
    <cellStyle name="常规 6 6 2 2 5 2 3 2 2" xfId="45061"/>
    <cellStyle name="常规 6 6 2 2 5 2 3 3" xfId="45062"/>
    <cellStyle name="常规 6 6 2 2 5 2 3 4" xfId="45063"/>
    <cellStyle name="常规 6 6 2 2 5 2 4" xfId="45064"/>
    <cellStyle name="常规 6 6 2 2 5 2 4 2" xfId="45065"/>
    <cellStyle name="常规 6 6 2 2 5 2 5" xfId="45066"/>
    <cellStyle name="常规 6 6 2 2 5 2 6" xfId="45067"/>
    <cellStyle name="常规 6 6 2 2 5 3" xfId="45068"/>
    <cellStyle name="常规 6 6 2 2 5 3 2" xfId="45069"/>
    <cellStyle name="常规 6 6 2 2 5 3 2 2" xfId="45070"/>
    <cellStyle name="常规 6 6 2 2 5 3 2 2 2" xfId="45071"/>
    <cellStyle name="常规 6 6 2 2 5 3 2 3" xfId="45072"/>
    <cellStyle name="常规 6 6 2 2 5 3 2 4" xfId="45073"/>
    <cellStyle name="常规 6 6 2 2 5 3 3" xfId="41898"/>
    <cellStyle name="常规 6 6 2 2 5 3 3 2" xfId="41900"/>
    <cellStyle name="常规 6 6 2 2 5 3 4" xfId="41905"/>
    <cellStyle name="常规 6 6 2 2 5 3 5" xfId="41908"/>
    <cellStyle name="常规 6 6 2 2 5 4" xfId="45074"/>
    <cellStyle name="常规 6 6 2 2 5 4 2" xfId="45075"/>
    <cellStyle name="常规 6 6 2 2 5 4 2 2" xfId="45076"/>
    <cellStyle name="常规 6 6 2 2 5 4 3" xfId="41912"/>
    <cellStyle name="常规 6 6 2 2 5 4 4" xfId="41915"/>
    <cellStyle name="常规 6 6 2 2 5 5" xfId="45077"/>
    <cellStyle name="常规 6 6 2 2 5 5 2" xfId="45078"/>
    <cellStyle name="常规 6 6 2 2 5 6" xfId="45079"/>
    <cellStyle name="常规 6 6 2 2 5 7" xfId="45080"/>
    <cellStyle name="常规 6 6 2 2 6" xfId="45081"/>
    <cellStyle name="常规 6 6 2 2 6 2" xfId="45082"/>
    <cellStyle name="常规 6 6 2 2 6 2 2" xfId="45083"/>
    <cellStyle name="常规 6 6 2 2 6 2 2 2" xfId="45084"/>
    <cellStyle name="常规 6 6 2 2 6 2 2 2 2" xfId="45085"/>
    <cellStyle name="常规 6 6 2 2 6 2 2 3" xfId="45086"/>
    <cellStyle name="常规 6 6 2 2 6 2 2 4" xfId="45087"/>
    <cellStyle name="常规 6 6 2 2 6 2 3" xfId="45088"/>
    <cellStyle name="常规 6 6 2 2 6 2 3 2" xfId="45089"/>
    <cellStyle name="常规 6 6 2 2 6 2 4" xfId="45090"/>
    <cellStyle name="常规 6 6 2 2 6 2 5" xfId="45091"/>
    <cellStyle name="常规 6 6 2 2 6 3" xfId="45092"/>
    <cellStyle name="常规 6 6 2 2 6 3 2" xfId="45093"/>
    <cellStyle name="常规 6 6 2 2 6 3 2 2" xfId="45094"/>
    <cellStyle name="常规 6 6 2 2 6 3 3" xfId="41924"/>
    <cellStyle name="常规 6 6 2 2 6 3 4" xfId="41927"/>
    <cellStyle name="常规 6 6 2 2 6 4" xfId="45095"/>
    <cellStyle name="常规 6 6 2 2 6 4 2" xfId="45096"/>
    <cellStyle name="常规 6 6 2 2 6 5" xfId="45097"/>
    <cellStyle name="常规 6 6 2 2 6 6" xfId="45098"/>
    <cellStyle name="常规 6 6 2 2 7" xfId="45099"/>
    <cellStyle name="常规 6 6 2 2 7 2" xfId="45100"/>
    <cellStyle name="常规 6 6 2 2 7 2 2" xfId="45101"/>
    <cellStyle name="常规 6 6 2 2 7 2 2 2" xfId="45102"/>
    <cellStyle name="常规 6 6 2 2 7 2 3" xfId="45103"/>
    <cellStyle name="常规 6 6 2 2 7 2 4" xfId="45104"/>
    <cellStyle name="常规 6 6 2 2 7 3" xfId="45105"/>
    <cellStyle name="常规 6 6 2 2 7 3 2" xfId="45106"/>
    <cellStyle name="常规 6 6 2 2 7 4" xfId="45107"/>
    <cellStyle name="常规 6 6 2 2 7 5" xfId="45108"/>
    <cellStyle name="常规 6 6 2 2 8" xfId="45109"/>
    <cellStyle name="常规 6 6 2 2 8 2" xfId="45110"/>
    <cellStyle name="常规 6 6 2 2 8 2 2" xfId="45111"/>
    <cellStyle name="常规 6 6 2 2 8 3" xfId="45112"/>
    <cellStyle name="常规 6 6 2 2 8 4" xfId="45113"/>
    <cellStyle name="常规 6 6 2 2 9" xfId="45114"/>
    <cellStyle name="常规 6 6 2 2 9 2" xfId="45115"/>
    <cellStyle name="常规 6 6 2 3" xfId="45116"/>
    <cellStyle name="常规 6 6 2 3 2" xfId="45117"/>
    <cellStyle name="常规 6 6 2 3 2 2" xfId="45118"/>
    <cellStyle name="常规 6 6 2 3 2 2 2" xfId="45119"/>
    <cellStyle name="常规 6 6 2 3 2 2 2 2" xfId="34242"/>
    <cellStyle name="常规 6 6 2 3 2 2 2 2 2" xfId="25714"/>
    <cellStyle name="常规 6 6 2 3 2 2 2 2 2 2" xfId="45121"/>
    <cellStyle name="常规 6 6 2 3 2 2 2 2 2 2 2" xfId="14068"/>
    <cellStyle name="常规 6 6 2 3 2 2 2 2 2 3" xfId="45122"/>
    <cellStyle name="常规 6 6 2 3 2 2 2 2 2 4" xfId="45123"/>
    <cellStyle name="常规 6 6 2 3 2 2 2 2 3" xfId="25716"/>
    <cellStyle name="常规 6 6 2 3 2 2 2 2 3 2" xfId="45124"/>
    <cellStyle name="常规 6 6 2 3 2 2 2 2 4" xfId="45125"/>
    <cellStyle name="常规 6 6 2 3 2 2 2 2 5" xfId="45126"/>
    <cellStyle name="常规 6 6 2 3 2 2 2 3" xfId="33616"/>
    <cellStyle name="常规 6 6 2 3 2 2 2 3 2" xfId="30064"/>
    <cellStyle name="常规 6 6 2 3 2 2 2 3 2 2" xfId="45127"/>
    <cellStyle name="常规 6 6 2 3 2 2 2 3 3" xfId="30068"/>
    <cellStyle name="常规 6 6 2 3 2 2 2 3 4" xfId="45128"/>
    <cellStyle name="常规 6 6 2 3 2 2 2 4" xfId="33619"/>
    <cellStyle name="常规 6 6 2 3 2 2 2 4 2" xfId="31947"/>
    <cellStyle name="常规 6 6 2 3 2 2 2 5" xfId="45129"/>
    <cellStyle name="常规 6 6 2 3 2 2 2 6" xfId="45130"/>
    <cellStyle name="常规 6 6 2 3 2 2 3" xfId="45131"/>
    <cellStyle name="常规 6 6 2 3 2 2 3 2" xfId="34247"/>
    <cellStyle name="常规 6 6 2 3 2 2 3 2 2" xfId="45132"/>
    <cellStyle name="常规 6 6 2 3 2 2 3 2 2 2" xfId="45133"/>
    <cellStyle name="常规 6 6 2 3 2 2 3 2 3" xfId="45134"/>
    <cellStyle name="常规 6 6 2 3 2 2 3 2 4" xfId="45135"/>
    <cellStyle name="常规 6 6 2 3 2 2 3 3" xfId="45136"/>
    <cellStyle name="常规 6 6 2 3 2 2 3 3 2" xfId="7211"/>
    <cellStyle name="常规 6 6 2 3 2 2 3 4" xfId="45137"/>
    <cellStyle name="常规 6 6 2 3 2 2 3 5" xfId="45138"/>
    <cellStyle name="常规 6 6 2 3 2 2 4" xfId="45139"/>
    <cellStyle name="常规 6 6 2 3 2 2 4 2" xfId="45140"/>
    <cellStyle name="常规 6 6 2 3 2 2 4 2 2" xfId="45141"/>
    <cellStyle name="常规 6 6 2 3 2 2 4 3" xfId="45142"/>
    <cellStyle name="常规 6 6 2 3 2 2 4 4" xfId="45143"/>
    <cellStyle name="常规 6 6 2 3 2 2 5" xfId="45144"/>
    <cellStyle name="常规 6 6 2 3 2 2 5 2" xfId="45145"/>
    <cellStyle name="常规 6 6 2 3 2 2 6" xfId="45146"/>
    <cellStyle name="常规 6 6 2 3 2 2 7" xfId="45147"/>
    <cellStyle name="常规 6 6 2 3 2 3" xfId="45148"/>
    <cellStyle name="常规 6 6 2 3 2 3 2" xfId="45149"/>
    <cellStyle name="常规 6 6 2 3 2 3 2 2" xfId="13291"/>
    <cellStyle name="常规 6 6 2 3 2 3 2 2 2" xfId="45150"/>
    <cellStyle name="常规 6 6 2 3 2 3 2 2 2 2" xfId="45151"/>
    <cellStyle name="常规 6 6 2 3 2 3 2 2 3" xfId="45152"/>
    <cellStyle name="常规 6 6 2 3 2 3 2 2 4" xfId="45153"/>
    <cellStyle name="常规 6 6 2 3 2 3 2 3" xfId="45154"/>
    <cellStyle name="常规 6 6 2 3 2 3 2 3 2" xfId="31951"/>
    <cellStyle name="常规 6 6 2 3 2 3 2 4" xfId="45156"/>
    <cellStyle name="常规 6 6 2 3 2 3 2 5" xfId="45158"/>
    <cellStyle name="常规 6 6 2 3 2 3 3" xfId="45159"/>
    <cellStyle name="常规 6 6 2 3 2 3 3 2" xfId="45160"/>
    <cellStyle name="常规 6 6 2 3 2 3 3 2 2" xfId="45161"/>
    <cellStyle name="常规 6 6 2 3 2 3 3 3" xfId="45162"/>
    <cellStyle name="常规 6 6 2 3 2 3 3 4" xfId="45163"/>
    <cellStyle name="常规 6 6 2 3 2 3 4" xfId="45164"/>
    <cellStyle name="常规 6 6 2 3 2 3 4 2" xfId="45165"/>
    <cellStyle name="常规 6 6 2 3 2 3 5" xfId="45166"/>
    <cellStyle name="常规 6 6 2 3 2 3 6" xfId="45167"/>
    <cellStyle name="常规 6 6 2 3 2 4" xfId="45168"/>
    <cellStyle name="常规 6 6 2 3 2 4 2" xfId="45169"/>
    <cellStyle name="常规 6 6 2 3 2 4 2 2" xfId="45170"/>
    <cellStyle name="常规 6 6 2 3 2 4 2 2 2" xfId="45171"/>
    <cellStyle name="常规 6 6 2 3 2 4 2 3" xfId="45172"/>
    <cellStyle name="常规 6 6 2 3 2 4 2 4" xfId="45173"/>
    <cellStyle name="常规 6 6 2 3 2 4 3" xfId="45174"/>
    <cellStyle name="常规 6 6 2 3 2 4 3 2" xfId="45175"/>
    <cellStyle name="常规 6 6 2 3 2 4 4" xfId="45176"/>
    <cellStyle name="常规 6 6 2 3 2 4 5" xfId="45177"/>
    <cellStyle name="常规 6 6 2 3 2 5" xfId="45178"/>
    <cellStyle name="常规 6 6 2 3 2 5 2" xfId="45179"/>
    <cellStyle name="常规 6 6 2 3 2 5 2 2" xfId="2157"/>
    <cellStyle name="常规 6 6 2 3 2 5 3" xfId="45180"/>
    <cellStyle name="常规 6 6 2 3 2 5 4" xfId="45181"/>
    <cellStyle name="常规 6 6 2 3 2 6" xfId="45182"/>
    <cellStyle name="常规 6 6 2 3 2 6 2" xfId="45183"/>
    <cellStyle name="常规 6 6 2 3 2 7" xfId="45184"/>
    <cellStyle name="常规 6 6 2 3 2 8" xfId="45185"/>
    <cellStyle name="常规 6 6 2 3 3" xfId="45186"/>
    <cellStyle name="常规 6 6 2 3 3 2" xfId="45187"/>
    <cellStyle name="常规 6 6 2 3 3 2 2" xfId="45188"/>
    <cellStyle name="常规 6 6 2 3 3 2 2 2" xfId="34267"/>
    <cellStyle name="常规 6 6 2 3 3 2 2 2 2" xfId="45189"/>
    <cellStyle name="常规 6 6 2 3 3 2 2 2 2 2" xfId="45191"/>
    <cellStyle name="常规 6 6 2 3 3 2 2 2 3" xfId="45192"/>
    <cellStyle name="常规 6 6 2 3 3 2 2 2 4" xfId="45193"/>
    <cellStyle name="常规 6 6 2 3 3 2 2 3" xfId="45194"/>
    <cellStyle name="常规 6 6 2 3 3 2 2 3 2" xfId="32008"/>
    <cellStyle name="常规 6 6 2 3 3 2 2 4" xfId="45195"/>
    <cellStyle name="常规 6 6 2 3 3 2 2 5" xfId="45196"/>
    <cellStyle name="常规 6 6 2 3 3 2 3" xfId="45197"/>
    <cellStyle name="常规 6 6 2 3 3 2 3 2" xfId="45198"/>
    <cellStyle name="常规 6 6 2 3 3 2 3 2 2" xfId="45199"/>
    <cellStyle name="常规 6 6 2 3 3 2 3 3" xfId="45200"/>
    <cellStyle name="常规 6 6 2 3 3 2 3 4" xfId="45201"/>
    <cellStyle name="常规 6 6 2 3 3 2 4" xfId="45202"/>
    <cellStyle name="常规 6 6 2 3 3 2 4 2" xfId="45203"/>
    <cellStyle name="常规 6 6 2 3 3 2 5" xfId="45204"/>
    <cellStyle name="常规 6 6 2 3 3 2 6" xfId="45205"/>
    <cellStyle name="常规 6 6 2 3 3 3" xfId="45206"/>
    <cellStyle name="常规 6 6 2 3 3 3 2" xfId="45207"/>
    <cellStyle name="常规 6 6 2 3 3 3 2 2" xfId="45208"/>
    <cellStyle name="常规 6 6 2 3 3 3 2 2 2" xfId="33318"/>
    <cellStyle name="常规 6 6 2 3 3 3 2 3" xfId="45209"/>
    <cellStyle name="常规 6 6 2 3 3 3 2 4" xfId="45210"/>
    <cellStyle name="常规 6 6 2 3 3 3 3" xfId="45211"/>
    <cellStyle name="常规 6 6 2 3 3 3 3 2" xfId="45212"/>
    <cellStyle name="常规 6 6 2 3 3 3 4" xfId="45213"/>
    <cellStyle name="常规 6 6 2 3 3 3 5" xfId="45214"/>
    <cellStyle name="常规 6 6 2 3 3 4" xfId="45215"/>
    <cellStyle name="常规 6 6 2 3 3 4 2" xfId="45216"/>
    <cellStyle name="常规 6 6 2 3 3 4 2 2" xfId="45217"/>
    <cellStyle name="常规 6 6 2 3 3 4 3" xfId="45218"/>
    <cellStyle name="常规 6 6 2 3 3 4 4" xfId="45219"/>
    <cellStyle name="常规 6 6 2 3 3 5" xfId="45220"/>
    <cellStyle name="常规 6 6 2 3 3 5 2" xfId="45221"/>
    <cellStyle name="常规 6 6 2 3 3 6" xfId="45222"/>
    <cellStyle name="常规 6 6 2 3 3 7" xfId="45223"/>
    <cellStyle name="常规 6 6 2 3 4" xfId="45224"/>
    <cellStyle name="常规 6 6 2 3 4 2" xfId="45225"/>
    <cellStyle name="常规 6 6 2 3 4 2 2" xfId="45226"/>
    <cellStyle name="常规 6 6 2 3 4 2 2 2" xfId="45227"/>
    <cellStyle name="常规 6 6 2 3 4 2 2 2 2" xfId="45228"/>
    <cellStyle name="常规 6 6 2 3 4 2 2 3" xfId="45229"/>
    <cellStyle name="常规 6 6 2 3 4 2 2 4" xfId="45230"/>
    <cellStyle name="常规 6 6 2 3 4 2 3" xfId="45231"/>
    <cellStyle name="常规 6 6 2 3 4 2 3 2" xfId="45232"/>
    <cellStyle name="常规 6 6 2 3 4 2 4" xfId="45233"/>
    <cellStyle name="常规 6 6 2 3 4 2 5" xfId="45234"/>
    <cellStyle name="常规 6 6 2 3 4 3" xfId="45235"/>
    <cellStyle name="常规 6 6 2 3 4 3 2" xfId="5868"/>
    <cellStyle name="常规 6 6 2 3 4 3 2 2" xfId="2524"/>
    <cellStyle name="常规 6 6 2 3 4 3 3" xfId="5872"/>
    <cellStyle name="常规 6 6 2 3 4 3 4" xfId="5555"/>
    <cellStyle name="常规 6 6 2 3 4 4" xfId="45236"/>
    <cellStyle name="常规 6 6 2 3 4 4 2" xfId="5880"/>
    <cellStyle name="常规 6 6 2 3 4 5" xfId="45237"/>
    <cellStyle name="常规 6 6 2 3 4 6" xfId="45238"/>
    <cellStyle name="常规 6 6 2 3 5" xfId="45239"/>
    <cellStyle name="常规 6 6 2 3 5 2" xfId="45240"/>
    <cellStyle name="常规 6 6 2 3 5 2 2" xfId="45241"/>
    <cellStyle name="常规 6 6 2 3 5 2 2 2" xfId="45242"/>
    <cellStyle name="常规 6 6 2 3 5 2 3" xfId="45243"/>
    <cellStyle name="常规 6 6 2 3 5 2 4" xfId="45244"/>
    <cellStyle name="常规 6 6 2 3 5 3" xfId="45245"/>
    <cellStyle name="常规 6 6 2 3 5 3 2" xfId="3390"/>
    <cellStyle name="常规 6 6 2 3 5 4" xfId="45246"/>
    <cellStyle name="常规 6 6 2 3 5 5" xfId="45247"/>
    <cellStyle name="常规 6 6 2 3 6" xfId="45248"/>
    <cellStyle name="常规 6 6 2 3 6 2" xfId="45249"/>
    <cellStyle name="常规 6 6 2 3 6 2 2" xfId="45250"/>
    <cellStyle name="常规 6 6 2 3 6 3" xfId="45251"/>
    <cellStyle name="常规 6 6 2 3 6 4" xfId="45252"/>
    <cellStyle name="常规 6 6 2 3 7" xfId="45253"/>
    <cellStyle name="常规 6 6 2 3 7 2" xfId="45254"/>
    <cellStyle name="常规 6 6 2 3 8" xfId="45255"/>
    <cellStyle name="常规 6 6 2 3 9" xfId="45256"/>
    <cellStyle name="常规 6 6 2 4" xfId="45257"/>
    <cellStyle name="常规 6 6 2 4 2" xfId="45258"/>
    <cellStyle name="常规 6 6 2 4 2 2" xfId="45259"/>
    <cellStyle name="常规 6 6 2 4 2 2 2" xfId="45260"/>
    <cellStyle name="常规 6 6 2 4 2 2 2 2" xfId="34486"/>
    <cellStyle name="常规 6 6 2 4 2 2 2 2 2" xfId="45261"/>
    <cellStyle name="常规 6 6 2 4 2 2 2 2 2 2" xfId="45263"/>
    <cellStyle name="常规 6 6 2 4 2 2 2 2 2 2 2" xfId="45264"/>
    <cellStyle name="常规 6 6 2 4 2 2 2 2 2 3" xfId="23110"/>
    <cellStyle name="常规 6 6 2 4 2 2 2 2 2 4" xfId="23113"/>
    <cellStyle name="常规 6 6 2 4 2 2 2 2 3" xfId="45265"/>
    <cellStyle name="常规 6 6 2 4 2 2 2 2 3 2" xfId="45266"/>
    <cellStyle name="常规 6 6 2 4 2 2 2 2 4" xfId="45267"/>
    <cellStyle name="常规 6 6 2 4 2 2 2 2 5" xfId="45268"/>
    <cellStyle name="常规 6 6 2 4 2 2 2 3" xfId="45269"/>
    <cellStyle name="常规 6 6 2 4 2 2 2 3 2" xfId="32161"/>
    <cellStyle name="常规 6 6 2 4 2 2 2 3 2 2" xfId="45270"/>
    <cellStyle name="常规 6 6 2 4 2 2 2 3 3" xfId="45271"/>
    <cellStyle name="常规 6 6 2 4 2 2 2 3 4" xfId="45272"/>
    <cellStyle name="常规 6 6 2 4 2 2 2 4" xfId="45273"/>
    <cellStyle name="常规 6 6 2 4 2 2 2 4 2" xfId="45274"/>
    <cellStyle name="常规 6 6 2 4 2 2 2 5" xfId="45275"/>
    <cellStyle name="常规 6 6 2 4 2 2 2 6" xfId="45276"/>
    <cellStyle name="常规 6 6 2 4 2 2 3" xfId="45277"/>
    <cellStyle name="常规 6 6 2 4 2 2 3 2" xfId="45278"/>
    <cellStyle name="常规 6 6 2 4 2 2 3 2 2" xfId="45279"/>
    <cellStyle name="常规 6 6 2 4 2 2 3 2 2 2" xfId="45280"/>
    <cellStyle name="常规 6 6 2 4 2 2 3 2 3" xfId="45281"/>
    <cellStyle name="常规 6 6 2 4 2 2 3 2 4" xfId="45282"/>
    <cellStyle name="常规 6 6 2 4 2 2 3 3" xfId="45283"/>
    <cellStyle name="常规 6 6 2 4 2 2 3 3 2" xfId="45284"/>
    <cellStyle name="常规 6 6 2 4 2 2 3 4" xfId="45285"/>
    <cellStyle name="常规 6 6 2 4 2 2 3 5" xfId="45286"/>
    <cellStyle name="常规 6 6 2 4 2 2 4" xfId="45287"/>
    <cellStyle name="常规 6 6 2 4 2 2 4 2" xfId="45288"/>
    <cellStyle name="常规 6 6 2 4 2 2 4 2 2" xfId="45289"/>
    <cellStyle name="常规 6 6 2 4 2 2 4 3" xfId="45290"/>
    <cellStyle name="常规 6 6 2 4 2 2 4 4" xfId="45291"/>
    <cellStyle name="常规 6 6 2 4 2 2 5" xfId="45292"/>
    <cellStyle name="常规 6 6 2 4 2 2 5 2" xfId="45293"/>
    <cellStyle name="常规 6 6 2 4 2 2 6" xfId="45294"/>
    <cellStyle name="常规 6 6 2 4 2 2 7" xfId="45295"/>
    <cellStyle name="常规 6 6 2 4 2 3" xfId="45296"/>
    <cellStyle name="常规 6 6 2 4 2 3 2" xfId="45297"/>
    <cellStyle name="常规 6 6 2 4 2 3 2 2" xfId="45298"/>
    <cellStyle name="常规 6 6 2 4 2 3 2 2 2" xfId="45299"/>
    <cellStyle name="常规 6 6 2 4 2 3 2 2 2 2" xfId="45300"/>
    <cellStyle name="常规 6 6 2 4 2 3 2 2 3" xfId="45301"/>
    <cellStyle name="常规 6 6 2 4 2 3 2 2 4" xfId="45302"/>
    <cellStyle name="常规 6 6 2 4 2 3 2 3" xfId="45303"/>
    <cellStyle name="常规 6 6 2 4 2 3 2 3 2" xfId="45304"/>
    <cellStyle name="常规 6 6 2 4 2 3 2 4" xfId="45305"/>
    <cellStyle name="常规 6 6 2 4 2 3 2 5" xfId="45306"/>
    <cellStyle name="常规 6 6 2 4 2 3 3" xfId="45307"/>
    <cellStyle name="常规 6 6 2 4 2 3 3 2" xfId="45308"/>
    <cellStyle name="常规 6 6 2 4 2 3 3 2 2" xfId="45309"/>
    <cellStyle name="常规 6 6 2 4 2 3 3 3" xfId="45310"/>
    <cellStyle name="常规 6 6 2 4 2 3 3 4" xfId="45311"/>
    <cellStyle name="常规 6 6 2 4 2 3 4" xfId="45312"/>
    <cellStyle name="常规 6 6 2 4 2 3 4 2" xfId="29077"/>
    <cellStyle name="常规 6 6 2 4 2 3 5" xfId="45313"/>
    <cellStyle name="常规 6 6 2 4 2 3 6" xfId="45314"/>
    <cellStyle name="常规 6 6 2 4 2 4" xfId="45315"/>
    <cellStyle name="常规 6 6 2 4 2 4 2" xfId="45316"/>
    <cellStyle name="常规 6 6 2 4 2 4 2 2" xfId="45317"/>
    <cellStyle name="常规 6 6 2 4 2 4 2 2 2" xfId="45318"/>
    <cellStyle name="常规 6 6 2 4 2 4 2 3" xfId="45319"/>
    <cellStyle name="常规 6 6 2 4 2 4 2 4" xfId="45320"/>
    <cellStyle name="常规 6 6 2 4 2 4 3" xfId="45321"/>
    <cellStyle name="常规 6 6 2 4 2 4 3 2" xfId="45322"/>
    <cellStyle name="常规 6 6 2 4 2 4 4" xfId="45323"/>
    <cellStyle name="常规 6 6 2 4 2 4 5" xfId="45324"/>
    <cellStyle name="常规 6 6 2 4 2 5" xfId="45326"/>
    <cellStyle name="常规 6 6 2 4 2 5 2" xfId="45328"/>
    <cellStyle name="常规 6 6 2 4 2 5 2 2" xfId="45330"/>
    <cellStyle name="常规 6 6 2 4 2 5 3" xfId="45332"/>
    <cellStyle name="常规 6 6 2 4 2 5 4" xfId="45334"/>
    <cellStyle name="常规 6 6 2 4 2 6" xfId="45336"/>
    <cellStyle name="常规 6 6 2 4 2 6 2" xfId="45338"/>
    <cellStyle name="常规 6 6 2 4 2 7" xfId="45340"/>
    <cellStyle name="常规 6 6 2 4 2 8" xfId="45342"/>
    <cellStyle name="常规 6 6 2 4 3" xfId="45343"/>
    <cellStyle name="常规 6 6 2 4 3 2" xfId="45344"/>
    <cellStyle name="常规 6 6 2 4 3 2 2" xfId="45345"/>
    <cellStyle name="常规 6 6 2 4 3 2 2 2" xfId="45346"/>
    <cellStyle name="常规 6 6 2 4 3 2 2 2 2" xfId="45347"/>
    <cellStyle name="常规 6 6 2 4 3 2 2 2 2 2" xfId="45348"/>
    <cellStyle name="常规 6 6 2 4 3 2 2 2 3" xfId="45349"/>
    <cellStyle name="常规 6 6 2 4 3 2 2 2 4" xfId="45350"/>
    <cellStyle name="常规 6 6 2 4 3 2 2 3" xfId="45351"/>
    <cellStyle name="常规 6 6 2 4 3 2 2 3 2" xfId="45352"/>
    <cellStyle name="常规 6 6 2 4 3 2 2 4" xfId="45353"/>
    <cellStyle name="常规 6 6 2 4 3 2 2 5" xfId="45354"/>
    <cellStyle name="常规 6 6 2 4 3 2 3" xfId="45355"/>
    <cellStyle name="常规 6 6 2 4 3 2 3 2" xfId="45356"/>
    <cellStyle name="常规 6 6 2 4 3 2 3 2 2" xfId="45357"/>
    <cellStyle name="常规 6 6 2 4 3 2 3 3" xfId="45358"/>
    <cellStyle name="常规 6 6 2 4 3 2 3 4" xfId="45359"/>
    <cellStyle name="常规 6 6 2 4 3 2 4" xfId="45360"/>
    <cellStyle name="常规 6 6 2 4 3 2 4 2" xfId="45361"/>
    <cellStyle name="常规 6 6 2 4 3 2 5" xfId="45362"/>
    <cellStyle name="常规 6 6 2 4 3 2 6" xfId="45363"/>
    <cellStyle name="常规 6 6 2 4 3 3" xfId="45364"/>
    <cellStyle name="常规 6 6 2 4 3 3 2" xfId="45365"/>
    <cellStyle name="常规 6 6 2 4 3 3 2 2" xfId="45366"/>
    <cellStyle name="常规 6 6 2 4 3 3 2 2 2" xfId="33398"/>
    <cellStyle name="常规 6 6 2 4 3 3 2 3" xfId="45367"/>
    <cellStyle name="常规 6 6 2 4 3 3 2 4" xfId="45368"/>
    <cellStyle name="常规 6 6 2 4 3 3 3" xfId="45369"/>
    <cellStyle name="常规 6 6 2 4 3 3 3 2" xfId="45370"/>
    <cellStyle name="常规 6 6 2 4 3 3 4" xfId="45371"/>
    <cellStyle name="常规 6 6 2 4 3 3 5" xfId="45372"/>
    <cellStyle name="常规 6 6 2 4 3 4" xfId="45373"/>
    <cellStyle name="常规 6 6 2 4 3 4 2" xfId="45374"/>
    <cellStyle name="常规 6 6 2 4 3 4 2 2" xfId="45375"/>
    <cellStyle name="常规 6 6 2 4 3 4 3" xfId="45376"/>
    <cellStyle name="常规 6 6 2 4 3 4 4" xfId="45377"/>
    <cellStyle name="常规 6 6 2 4 3 5" xfId="45379"/>
    <cellStyle name="常规 6 6 2 4 3 5 2" xfId="45381"/>
    <cellStyle name="常规 6 6 2 4 3 6" xfId="45383"/>
    <cellStyle name="常规 6 6 2 4 3 7" xfId="45385"/>
    <cellStyle name="常规 6 6 2 4 4" xfId="45386"/>
    <cellStyle name="常规 6 6 2 4 4 2" xfId="45387"/>
    <cellStyle name="常规 6 6 2 4 4 2 2" xfId="45388"/>
    <cellStyle name="常规 6 6 2 4 4 2 2 2" xfId="45389"/>
    <cellStyle name="常规 6 6 2 4 4 2 2 2 2" xfId="45390"/>
    <cellStyle name="常规 6 6 2 4 4 2 2 3" xfId="45391"/>
    <cellStyle name="常规 6 6 2 4 4 2 2 4" xfId="45392"/>
    <cellStyle name="常规 6 6 2 4 4 2 3" xfId="45393"/>
    <cellStyle name="常规 6 6 2 4 4 2 3 2" xfId="45394"/>
    <cellStyle name="常规 6 6 2 4 4 2 4" xfId="45395"/>
    <cellStyle name="常规 6 6 2 4 4 2 5" xfId="45396"/>
    <cellStyle name="常规 6 6 2 4 4 3" xfId="45397"/>
    <cellStyle name="常规 6 6 2 4 4 3 2" xfId="5265"/>
    <cellStyle name="常规 6 6 2 4 4 3 2 2" xfId="45398"/>
    <cellStyle name="常规 6 6 2 4 4 3 3" xfId="3573"/>
    <cellStyle name="常规 6 6 2 4 4 3 4" xfId="45399"/>
    <cellStyle name="常规 6 6 2 4 4 4" xfId="45400"/>
    <cellStyle name="常规 6 6 2 4 4 4 2" xfId="45401"/>
    <cellStyle name="常规 6 6 2 4 4 5" xfId="45403"/>
    <cellStyle name="常规 6 6 2 4 4 6" xfId="45404"/>
    <cellStyle name="常规 6 6 2 4 5" xfId="45405"/>
    <cellStyle name="常规 6 6 2 4 5 2" xfId="45406"/>
    <cellStyle name="常规 6 6 2 4 5 2 2" xfId="45407"/>
    <cellStyle name="常规 6 6 2 4 5 2 2 2" xfId="45408"/>
    <cellStyle name="常规 6 6 2 4 5 2 3" xfId="45409"/>
    <cellStyle name="常规 6 6 2 4 5 2 4" xfId="45410"/>
    <cellStyle name="常规 6 6 2 4 5 3" xfId="45411"/>
    <cellStyle name="常规 6 6 2 4 5 3 2" xfId="45412"/>
    <cellStyle name="常规 6 6 2 4 5 4" xfId="45413"/>
    <cellStyle name="常规 6 6 2 4 5 5" xfId="45414"/>
    <cellStyle name="常规 6 6 2 4 6" xfId="45415"/>
    <cellStyle name="常规 6 6 2 4 6 2" xfId="45416"/>
    <cellStyle name="常规 6 6 2 4 6 2 2" xfId="45417"/>
    <cellStyle name="常规 6 6 2 4 6 3" xfId="45418"/>
    <cellStyle name="常规 6 6 2 4 6 4" xfId="45419"/>
    <cellStyle name="常规 6 6 2 4 7" xfId="45420"/>
    <cellStyle name="常规 6 6 2 4 7 2" xfId="45421"/>
    <cellStyle name="常规 6 6 2 4 8" xfId="45422"/>
    <cellStyle name="常规 6 6 2 4 9" xfId="45423"/>
    <cellStyle name="常规 6 6 2 5" xfId="45424"/>
    <cellStyle name="常规 6 6 2 5 2" xfId="45425"/>
    <cellStyle name="常规 6 6 2 5 2 2" xfId="45426"/>
    <cellStyle name="常规 6 6 2 5 2 2 2" xfId="45427"/>
    <cellStyle name="常规 6 6 2 5 2 2 2 2" xfId="45428"/>
    <cellStyle name="常规 6 6 2 5 2 2 2 2 2" xfId="45429"/>
    <cellStyle name="常规 6 6 2 5 2 2 2 2 2 2" xfId="45430"/>
    <cellStyle name="常规 6 6 2 5 2 2 2 2 3" xfId="45431"/>
    <cellStyle name="常规 6 6 2 5 2 2 2 2 4" xfId="45432"/>
    <cellStyle name="常规 6 6 2 5 2 2 2 3" xfId="45433"/>
    <cellStyle name="常规 6 6 2 5 2 2 2 3 2" xfId="32247"/>
    <cellStyle name="常规 6 6 2 5 2 2 2 4" xfId="45434"/>
    <cellStyle name="常规 6 6 2 5 2 2 2 5" xfId="45435"/>
    <cellStyle name="常规 6 6 2 5 2 2 3" xfId="45436"/>
    <cellStyle name="常规 6 6 2 5 2 2 3 2" xfId="45437"/>
    <cellStyle name="常规 6 6 2 5 2 2 3 2 2" xfId="45438"/>
    <cellStyle name="常规 6 6 2 5 2 2 3 3" xfId="45439"/>
    <cellStyle name="常规 6 6 2 5 2 2 3 4" xfId="45440"/>
    <cellStyle name="常规 6 6 2 5 2 2 4" xfId="45441"/>
    <cellStyle name="常规 6 6 2 5 2 2 4 2" xfId="45442"/>
    <cellStyle name="常规 6 6 2 5 2 2 5" xfId="45443"/>
    <cellStyle name="常规 6 6 2 5 2 2 6" xfId="45444"/>
    <cellStyle name="常规 6 6 2 5 2 3" xfId="45445"/>
    <cellStyle name="常规 6 6 2 5 2 3 2" xfId="45446"/>
    <cellStyle name="常规 6 6 2 5 2 3 2 2" xfId="45447"/>
    <cellStyle name="常规 6 6 2 5 2 3 2 2 2" xfId="45448"/>
    <cellStyle name="常规 6 6 2 5 2 3 2 3" xfId="45449"/>
    <cellStyle name="常规 6 6 2 5 2 3 2 4" xfId="45450"/>
    <cellStyle name="常规 6 6 2 5 2 3 3" xfId="45451"/>
    <cellStyle name="常规 6 6 2 5 2 3 3 2" xfId="45452"/>
    <cellStyle name="常规 6 6 2 5 2 3 4" xfId="45453"/>
    <cellStyle name="常规 6 6 2 5 2 3 5" xfId="45454"/>
    <cellStyle name="常规 6 6 2 5 2 4" xfId="45455"/>
    <cellStyle name="常规 6 6 2 5 2 4 2" xfId="45456"/>
    <cellStyle name="常规 6 6 2 5 2 4 2 2" xfId="23944"/>
    <cellStyle name="常规 6 6 2 5 2 4 3" xfId="45457"/>
    <cellStyle name="常规 6 6 2 5 2 4 4" xfId="45458"/>
    <cellStyle name="常规 6 6 2 5 2 5" xfId="45460"/>
    <cellStyle name="常规 6 6 2 5 2 5 2" xfId="45462"/>
    <cellStyle name="常规 6 6 2 5 2 6" xfId="45464"/>
    <cellStyle name="常规 6 6 2 5 2 7" xfId="45466"/>
    <cellStyle name="常规 6 6 2 5 3" xfId="45467"/>
    <cellStyle name="常规 6 6 2 5 3 2" xfId="45468"/>
    <cellStyle name="常规 6 6 2 5 3 2 2" xfId="45469"/>
    <cellStyle name="常规 6 6 2 5 3 2 2 2" xfId="45470"/>
    <cellStyle name="常规 6 6 2 5 3 2 2 2 2" xfId="22981"/>
    <cellStyle name="常规 6 6 2 5 3 2 2 3" xfId="45471"/>
    <cellStyle name="常规 6 6 2 5 3 2 2 4" xfId="45472"/>
    <cellStyle name="常规 6 6 2 5 3 2 3" xfId="45473"/>
    <cellStyle name="常规 6 6 2 5 3 2 3 2" xfId="45474"/>
    <cellStyle name="常规 6 6 2 5 3 2 4" xfId="45475"/>
    <cellStyle name="常规 6 6 2 5 3 2 5" xfId="45476"/>
    <cellStyle name="常规 6 6 2 5 3 3" xfId="45477"/>
    <cellStyle name="常规 6 6 2 5 3 3 2" xfId="45478"/>
    <cellStyle name="常规 6 6 2 5 3 3 2 2" xfId="27264"/>
    <cellStyle name="常规 6 6 2 5 3 3 3" xfId="45479"/>
    <cellStyle name="常规 6 6 2 5 3 3 4" xfId="45480"/>
    <cellStyle name="常规 6 6 2 5 3 4" xfId="45481"/>
    <cellStyle name="常规 6 6 2 5 3 4 2" xfId="45482"/>
    <cellStyle name="常规 6 6 2 5 3 5" xfId="45484"/>
    <cellStyle name="常规 6 6 2 5 3 6" xfId="45485"/>
    <cellStyle name="常规 6 6 2 5 4" xfId="45486"/>
    <cellStyle name="常规 6 6 2 5 4 2" xfId="45487"/>
    <cellStyle name="常规 6 6 2 5 4 2 2" xfId="45488"/>
    <cellStyle name="常规 6 6 2 5 4 2 2 2" xfId="45489"/>
    <cellStyle name="常规 6 6 2 5 4 2 3" xfId="45490"/>
    <cellStyle name="常规 6 6 2 5 4 2 4" xfId="45491"/>
    <cellStyle name="常规 6 6 2 5 4 3" xfId="45492"/>
    <cellStyle name="常规 6 6 2 5 4 3 2" xfId="45493"/>
    <cellStyle name="常规 6 6 2 5 4 4" xfId="45494"/>
    <cellStyle name="常规 6 6 2 5 4 5" xfId="45495"/>
    <cellStyle name="常规 6 6 2 5 5" xfId="45496"/>
    <cellStyle name="常规 6 6 2 5 5 2" xfId="45497"/>
    <cellStyle name="常规 6 6 2 5 5 2 2" xfId="45498"/>
    <cellStyle name="常规 6 6 2 5 5 3" xfId="45499"/>
    <cellStyle name="常规 6 6 2 5 5 4" xfId="45500"/>
    <cellStyle name="常规 6 6 2 5 6" xfId="45501"/>
    <cellStyle name="常规 6 6 2 5 6 2" xfId="45502"/>
    <cellStyle name="常规 6 6 2 5 7" xfId="45503"/>
    <cellStyle name="常规 6 6 2 5 8" xfId="45504"/>
    <cellStyle name="常规 6 6 2 6" xfId="45505"/>
    <cellStyle name="常规 6 6 2 6 2" xfId="45506"/>
    <cellStyle name="常规 6 6 2 6 2 2" xfId="45507"/>
    <cellStyle name="常规 6 6 2 6 2 2 2" xfId="45508"/>
    <cellStyle name="常规 6 6 2 6 2 2 2 2" xfId="45509"/>
    <cellStyle name="常规 6 6 2 6 2 2 2 2 2" xfId="45510"/>
    <cellStyle name="常规 6 6 2 6 2 2 2 3" xfId="45511"/>
    <cellStyle name="常规 6 6 2 6 2 2 2 4" xfId="45512"/>
    <cellStyle name="常规 6 6 2 6 2 2 3" xfId="45513"/>
    <cellStyle name="常规 6 6 2 6 2 2 3 2" xfId="9874"/>
    <cellStyle name="常规 6 6 2 6 2 2 4" xfId="45514"/>
    <cellStyle name="常规 6 6 2 6 2 2 5" xfId="45515"/>
    <cellStyle name="常规 6 6 2 6 2 3" xfId="45516"/>
    <cellStyle name="常规 6 6 2 6 2 3 2" xfId="45517"/>
    <cellStyle name="常规 6 6 2 6 2 3 2 2" xfId="45518"/>
    <cellStyle name="常规 6 6 2 6 2 3 3" xfId="45519"/>
    <cellStyle name="常规 6 6 2 6 2 3 4" xfId="45520"/>
    <cellStyle name="常规 6 6 2 6 2 4" xfId="45521"/>
    <cellStyle name="常规 6 6 2 6 2 4 2" xfId="45522"/>
    <cellStyle name="常规 6 6 2 6 2 5" xfId="45524"/>
    <cellStyle name="常规 6 6 2 6 2 6" xfId="45525"/>
    <cellStyle name="常规 6 6 2 6 3" xfId="45526"/>
    <cellStyle name="常规 6 6 2 6 3 2" xfId="45527"/>
    <cellStyle name="常规 6 6 2 6 3 2 2" xfId="45528"/>
    <cellStyle name="常规 6 6 2 6 3 2 2 2" xfId="45529"/>
    <cellStyle name="常规 6 6 2 6 3 2 3" xfId="45530"/>
    <cellStyle name="常规 6 6 2 6 3 2 4" xfId="45531"/>
    <cellStyle name="常规 6 6 2 6 3 3" xfId="45532"/>
    <cellStyle name="常规 6 6 2 6 3 3 2" xfId="45533"/>
    <cellStyle name="常规 6 6 2 6 3 4" xfId="45534"/>
    <cellStyle name="常规 6 6 2 6 3 5" xfId="45535"/>
    <cellStyle name="常规 6 6 2 6 4" xfId="45536"/>
    <cellStyle name="常规 6 6 2 6 4 2" xfId="45537"/>
    <cellStyle name="常规 6 6 2 6 4 2 2" xfId="45538"/>
    <cellStyle name="常规 6 6 2 6 4 3" xfId="45539"/>
    <cellStyle name="常规 6 6 2 6 4 4" xfId="45540"/>
    <cellStyle name="常规 6 6 2 6 5" xfId="45541"/>
    <cellStyle name="常规 6 6 2 6 5 2" xfId="45542"/>
    <cellStyle name="常规 6 6 2 6 6" xfId="45543"/>
    <cellStyle name="常规 6 6 2 6 7" xfId="45544"/>
    <cellStyle name="常规 6 6 2 7" xfId="45545"/>
    <cellStyle name="常规 6 6 2 7 2" xfId="45546"/>
    <cellStyle name="常规 6 6 2 7 2 2" xfId="45547"/>
    <cellStyle name="常规 6 6 2 7 2 2 2" xfId="45548"/>
    <cellStyle name="常规 6 6 2 7 2 2 2 2" xfId="45549"/>
    <cellStyle name="常规 6 6 2 7 2 2 3" xfId="45550"/>
    <cellStyle name="常规 6 6 2 7 2 2 4" xfId="45551"/>
    <cellStyle name="常规 6 6 2 7 2 3" xfId="45552"/>
    <cellStyle name="常规 6 6 2 7 2 3 2" xfId="45553"/>
    <cellStyle name="常规 6 6 2 7 2 4" xfId="45554"/>
    <cellStyle name="常规 6 6 2 7 2 5" xfId="45555"/>
    <cellStyle name="常规 6 6 2 7 3" xfId="45556"/>
    <cellStyle name="常规 6 6 2 7 3 2" xfId="45557"/>
    <cellStyle name="常规 6 6 2 7 3 2 2" xfId="45558"/>
    <cellStyle name="常规 6 6 2 7 3 3" xfId="45559"/>
    <cellStyle name="常规 6 6 2 7 3 4" xfId="45560"/>
    <cellStyle name="常规 6 6 2 7 4" xfId="2837"/>
    <cellStyle name="常规 6 6 2 7 4 2" xfId="45561"/>
    <cellStyle name="常规 6 6 2 7 5" xfId="2839"/>
    <cellStyle name="常规 6 6 2 7 6" xfId="45562"/>
    <cellStyle name="常规 6 6 2 8" xfId="45563"/>
    <cellStyle name="常规 6 6 2 8 2" xfId="45564"/>
    <cellStyle name="常规 6 6 2 8 2 2" xfId="45565"/>
    <cellStyle name="常规 6 6 2 8 2 2 2" xfId="45566"/>
    <cellStyle name="常规 6 6 2 8 2 3" xfId="45567"/>
    <cellStyle name="常规 6 6 2 8 2 4" xfId="45568"/>
    <cellStyle name="常规 6 6 2 8 3" xfId="45569"/>
    <cellStyle name="常规 6 6 2 8 3 2" xfId="45570"/>
    <cellStyle name="常规 6 6 2 8 4" xfId="2851"/>
    <cellStyle name="常规 6 6 2 8 5" xfId="45571"/>
    <cellStyle name="常规 6 6 2 9" xfId="45572"/>
    <cellStyle name="常规 6 6 2 9 2" xfId="45573"/>
    <cellStyle name="常规 6 6 2 9 2 2" xfId="33059"/>
    <cellStyle name="常规 6 6 2 9 3" xfId="45574"/>
    <cellStyle name="常规 6 6 2 9 4" xfId="45575"/>
    <cellStyle name="常规 6 6 3" xfId="45576"/>
    <cellStyle name="常规 6 6 3 10" xfId="45577"/>
    <cellStyle name="常规 6 6 3 11" xfId="45578"/>
    <cellStyle name="常规 6 6 3 2" xfId="1530"/>
    <cellStyle name="常规 6 6 3 2 2" xfId="4288"/>
    <cellStyle name="常规 6 6 3 2 2 2" xfId="45579"/>
    <cellStyle name="常规 6 6 3 2 2 2 2" xfId="45580"/>
    <cellStyle name="常规 6 6 3 2 2 2 2 2" xfId="45581"/>
    <cellStyle name="常规 6 6 3 2 2 2 2 2 2" xfId="45582"/>
    <cellStyle name="常规 6 6 3 2 2 2 2 2 2 2" xfId="45583"/>
    <cellStyle name="常规 6 6 3 2 2 2 2 2 2 2 2" xfId="45584"/>
    <cellStyle name="常规 6 6 3 2 2 2 2 2 2 3" xfId="45585"/>
    <cellStyle name="常规 6 6 3 2 2 2 2 2 2 4" xfId="45586"/>
    <cellStyle name="常规 6 6 3 2 2 2 2 2 3" xfId="45587"/>
    <cellStyle name="常规 6 6 3 2 2 2 2 2 3 2" xfId="45588"/>
    <cellStyle name="常规 6 6 3 2 2 2 2 2 4" xfId="45589"/>
    <cellStyle name="常规 6 6 3 2 2 2 2 2 5" xfId="45590"/>
    <cellStyle name="常规 6 6 3 2 2 2 2 3" xfId="45591"/>
    <cellStyle name="常规 6 6 3 2 2 2 2 3 2" xfId="45592"/>
    <cellStyle name="常规 6 6 3 2 2 2 2 3 2 2" xfId="10126"/>
    <cellStyle name="常规 6 6 3 2 2 2 2 3 3" xfId="45593"/>
    <cellStyle name="常规 6 6 3 2 2 2 2 3 4" xfId="45594"/>
    <cellStyle name="常规 6 6 3 2 2 2 2 4" xfId="45595"/>
    <cellStyle name="常规 6 6 3 2 2 2 2 4 2" xfId="27622"/>
    <cellStyle name="常规 6 6 3 2 2 2 2 5" xfId="45596"/>
    <cellStyle name="常规 6 6 3 2 2 2 2 6" xfId="45597"/>
    <cellStyle name="常规 6 6 3 2 2 2 3" xfId="45598"/>
    <cellStyle name="常规 6 6 3 2 2 2 3 2" xfId="45599"/>
    <cellStyle name="常规 6 6 3 2 2 2 3 2 2" xfId="45600"/>
    <cellStyle name="常规 6 6 3 2 2 2 3 2 2 2" xfId="45601"/>
    <cellStyle name="常规 6 6 3 2 2 2 3 2 3" xfId="45602"/>
    <cellStyle name="常规 6 6 3 2 2 2 3 2 4" xfId="45603"/>
    <cellStyle name="常规 6 6 3 2 2 2 3 3" xfId="45604"/>
    <cellStyle name="常规 6 6 3 2 2 2 3 3 2" xfId="45605"/>
    <cellStyle name="常规 6 6 3 2 2 2 3 4" xfId="45606"/>
    <cellStyle name="常规 6 6 3 2 2 2 3 5" xfId="45607"/>
    <cellStyle name="常规 6 6 3 2 2 2 4" xfId="45608"/>
    <cellStyle name="常规 6 6 3 2 2 2 4 2" xfId="45609"/>
    <cellStyle name="常规 6 6 3 2 2 2 4 2 2" xfId="45610"/>
    <cellStyle name="常规 6 6 3 2 2 2 4 3" xfId="45611"/>
    <cellStyle name="常规 6 6 3 2 2 2 4 4" xfId="45612"/>
    <cellStyle name="常规 6 6 3 2 2 2 5" xfId="45613"/>
    <cellStyle name="常规 6 6 3 2 2 2 5 2" xfId="45614"/>
    <cellStyle name="常规 6 6 3 2 2 2 6" xfId="45615"/>
    <cellStyle name="常规 6 6 3 2 2 2 7" xfId="45616"/>
    <cellStyle name="常规 6 6 3 2 2 3" xfId="45617"/>
    <cellStyle name="常规 6 6 3 2 2 3 2" xfId="45618"/>
    <cellStyle name="常规 6 6 3 2 2 3 2 2" xfId="45619"/>
    <cellStyle name="常规 6 6 3 2 2 3 2 2 2" xfId="45620"/>
    <cellStyle name="常规 6 6 3 2 2 3 2 2 2 2" xfId="45621"/>
    <cellStyle name="常规 6 6 3 2 2 3 2 2 3" xfId="45622"/>
    <cellStyle name="常规 6 6 3 2 2 3 2 2 4" xfId="45623"/>
    <cellStyle name="常规 6 6 3 2 2 3 2 3" xfId="45624"/>
    <cellStyle name="常规 6 6 3 2 2 3 2 3 2" xfId="45625"/>
    <cellStyle name="常规 6 6 3 2 2 3 2 4" xfId="45626"/>
    <cellStyle name="常规 6 6 3 2 2 3 2 5" xfId="45627"/>
    <cellStyle name="常规 6 6 3 2 2 3 3" xfId="45628"/>
    <cellStyle name="常规 6 6 3 2 2 3 3 2" xfId="45629"/>
    <cellStyle name="常规 6 6 3 2 2 3 3 2 2" xfId="45630"/>
    <cellStyle name="常规 6 6 3 2 2 3 3 3" xfId="45631"/>
    <cellStyle name="常规 6 6 3 2 2 3 3 4" xfId="45632"/>
    <cellStyle name="常规 6 6 3 2 2 3 4" xfId="45633"/>
    <cellStyle name="常规 6 6 3 2 2 3 4 2" xfId="45634"/>
    <cellStyle name="常规 6 6 3 2 2 3 5" xfId="45635"/>
    <cellStyle name="常规 6 6 3 2 2 3 6" xfId="45636"/>
    <cellStyle name="常规 6 6 3 2 2 4" xfId="45637"/>
    <cellStyle name="常规 6 6 3 2 2 4 2" xfId="45325"/>
    <cellStyle name="常规 6 6 3 2 2 4 2 2" xfId="45327"/>
    <cellStyle name="常规 6 6 3 2 2 4 2 2 2" xfId="45329"/>
    <cellStyle name="常规 6 6 3 2 2 4 2 3" xfId="45331"/>
    <cellStyle name="常规 6 6 3 2 2 4 2 4" xfId="45333"/>
    <cellStyle name="常规 6 6 3 2 2 4 3" xfId="45335"/>
    <cellStyle name="常规 6 6 3 2 2 4 3 2" xfId="45337"/>
    <cellStyle name="常规 6 6 3 2 2 4 4" xfId="45339"/>
    <cellStyle name="常规 6 6 3 2 2 4 5" xfId="45341"/>
    <cellStyle name="常规 6 6 3 2 2 5" xfId="45638"/>
    <cellStyle name="常规 6 6 3 2 2 5 2" xfId="45378"/>
    <cellStyle name="常规 6 6 3 2 2 5 2 2" xfId="45380"/>
    <cellStyle name="常规 6 6 3 2 2 5 3" xfId="45382"/>
    <cellStyle name="常规 6 6 3 2 2 5 4" xfId="45384"/>
    <cellStyle name="常规 6 6 3 2 2 6" xfId="45639"/>
    <cellStyle name="常规 6 6 3 2 2 6 2" xfId="45402"/>
    <cellStyle name="常规 6 6 3 2 2 7" xfId="45640"/>
    <cellStyle name="常规 6 6 3 2 2 8" xfId="45641"/>
    <cellStyle name="常规 6 6 3 2 3" xfId="23527"/>
    <cellStyle name="常规 6 6 3 2 3 2" xfId="23529"/>
    <cellStyle name="常规 6 6 3 2 3 2 2" xfId="45642"/>
    <cellStyle name="常规 6 6 3 2 3 2 2 2" xfId="45643"/>
    <cellStyle name="常规 6 6 3 2 3 2 2 2 2" xfId="45644"/>
    <cellStyle name="常规 6 6 3 2 3 2 2 2 2 2" xfId="45645"/>
    <cellStyle name="常规 6 6 3 2 3 2 2 2 3" xfId="45646"/>
    <cellStyle name="常规 6 6 3 2 3 2 2 2 4" xfId="45647"/>
    <cellStyle name="常规 6 6 3 2 3 2 2 3" xfId="45648"/>
    <cellStyle name="常规 6 6 3 2 3 2 2 3 2" xfId="45649"/>
    <cellStyle name="常规 6 6 3 2 3 2 2 4" xfId="45650"/>
    <cellStyle name="常规 6 6 3 2 3 2 2 5" xfId="45651"/>
    <cellStyle name="常规 6 6 3 2 3 2 3" xfId="45652"/>
    <cellStyle name="常规 6 6 3 2 3 2 3 2" xfId="45653"/>
    <cellStyle name="常规 6 6 3 2 3 2 3 2 2" xfId="45654"/>
    <cellStyle name="常规 6 6 3 2 3 2 3 3" xfId="45655"/>
    <cellStyle name="常规 6 6 3 2 3 2 3 4" xfId="45656"/>
    <cellStyle name="常规 6 6 3 2 3 2 4" xfId="45657"/>
    <cellStyle name="常规 6 6 3 2 3 2 4 2" xfId="45658"/>
    <cellStyle name="常规 6 6 3 2 3 2 5" xfId="45659"/>
    <cellStyle name="常规 6 6 3 2 3 2 6" xfId="45660"/>
    <cellStyle name="常规 6 6 3 2 3 3" xfId="45661"/>
    <cellStyle name="常规 6 6 3 2 3 3 2" xfId="45662"/>
    <cellStyle name="常规 6 6 3 2 3 3 2 2" xfId="45663"/>
    <cellStyle name="常规 6 6 3 2 3 3 2 2 2" xfId="45664"/>
    <cellStyle name="常规 6 6 3 2 3 3 2 3" xfId="45665"/>
    <cellStyle name="常规 6 6 3 2 3 3 2 4" xfId="45666"/>
    <cellStyle name="常规 6 6 3 2 3 3 3" xfId="45667"/>
    <cellStyle name="常规 6 6 3 2 3 3 3 2" xfId="45668"/>
    <cellStyle name="常规 6 6 3 2 3 3 4" xfId="45669"/>
    <cellStyle name="常规 6 6 3 2 3 3 5" xfId="45670"/>
    <cellStyle name="常规 6 6 3 2 3 4" xfId="45671"/>
    <cellStyle name="常规 6 6 3 2 3 4 2" xfId="45459"/>
    <cellStyle name="常规 6 6 3 2 3 4 2 2" xfId="45461"/>
    <cellStyle name="常规 6 6 3 2 3 4 3" xfId="45463"/>
    <cellStyle name="常规 6 6 3 2 3 4 4" xfId="45465"/>
    <cellStyle name="常规 6 6 3 2 3 5" xfId="45672"/>
    <cellStyle name="常规 6 6 3 2 3 5 2" xfId="45483"/>
    <cellStyle name="常规 6 6 3 2 3 6" xfId="45673"/>
    <cellStyle name="常规 6 6 3 2 3 7" xfId="45674"/>
    <cellStyle name="常规 6 6 3 2 4" xfId="23531"/>
    <cellStyle name="常规 6 6 3 2 4 2" xfId="45675"/>
    <cellStyle name="常规 6 6 3 2 4 2 2" xfId="45676"/>
    <cellStyle name="常规 6 6 3 2 4 2 2 2" xfId="45677"/>
    <cellStyle name="常规 6 6 3 2 4 2 2 2 2" xfId="45678"/>
    <cellStyle name="常规 6 6 3 2 4 2 2 3" xfId="45679"/>
    <cellStyle name="常规 6 6 3 2 4 2 2 4" xfId="45680"/>
    <cellStyle name="常规 6 6 3 2 4 2 3" xfId="45681"/>
    <cellStyle name="常规 6 6 3 2 4 2 3 2" xfId="45682"/>
    <cellStyle name="常规 6 6 3 2 4 2 4" xfId="45683"/>
    <cellStyle name="常规 6 6 3 2 4 2 5" xfId="45684"/>
    <cellStyle name="常规 6 6 3 2 4 3" xfId="45685"/>
    <cellStyle name="常规 6 6 3 2 4 3 2" xfId="45686"/>
    <cellStyle name="常规 6 6 3 2 4 3 2 2" xfId="45687"/>
    <cellStyle name="常规 6 6 3 2 4 3 3" xfId="45688"/>
    <cellStyle name="常规 6 6 3 2 4 3 4" xfId="45689"/>
    <cellStyle name="常规 6 6 3 2 4 4" xfId="45690"/>
    <cellStyle name="常规 6 6 3 2 4 4 2" xfId="45523"/>
    <cellStyle name="常规 6 6 3 2 4 5" xfId="45691"/>
    <cellStyle name="常规 6 6 3 2 4 6" xfId="45692"/>
    <cellStyle name="常规 6 6 3 2 5" xfId="23535"/>
    <cellStyle name="常规 6 6 3 2 5 2" xfId="45693"/>
    <cellStyle name="常规 6 6 3 2 5 2 2" xfId="45694"/>
    <cellStyle name="常规 6 6 3 2 5 2 2 2" xfId="45695"/>
    <cellStyle name="常规 6 6 3 2 5 2 3" xfId="45696"/>
    <cellStyle name="常规 6 6 3 2 5 2 4" xfId="45697"/>
    <cellStyle name="常规 6 6 3 2 5 3" xfId="45698"/>
    <cellStyle name="常规 6 6 3 2 5 3 2" xfId="45699"/>
    <cellStyle name="常规 6 6 3 2 5 4" xfId="45700"/>
    <cellStyle name="常规 6 6 3 2 5 5" xfId="45701"/>
    <cellStyle name="常规 6 6 3 2 6" xfId="45702"/>
    <cellStyle name="常规 6 6 3 2 6 2" xfId="45703"/>
    <cellStyle name="常规 6 6 3 2 6 2 2" xfId="45704"/>
    <cellStyle name="常规 6 6 3 2 6 3" xfId="45705"/>
    <cellStyle name="常规 6 6 3 2 6 4" xfId="45706"/>
    <cellStyle name="常规 6 6 3 2 7" xfId="45707"/>
    <cellStyle name="常规 6 6 3 2 7 2" xfId="25139"/>
    <cellStyle name="常规 6 6 3 2 8" xfId="45708"/>
    <cellStyle name="常规 6 6 3 2 9" xfId="45709"/>
    <cellStyle name="常规 6 6 3 3" xfId="5348"/>
    <cellStyle name="常规 6 6 3 3 2" xfId="41661"/>
    <cellStyle name="常规 6 6 3 3 2 2" xfId="41663"/>
    <cellStyle name="常规 6 6 3 3 2 2 2" xfId="45710"/>
    <cellStyle name="常规 6 6 3 3 2 2 2 2" xfId="45712"/>
    <cellStyle name="常规 6 6 3 3 2 2 2 2 2" xfId="45714"/>
    <cellStyle name="常规 6 6 3 3 2 2 2 2 2 2" xfId="45715"/>
    <cellStyle name="常规 6 6 3 3 2 2 2 2 2 2 2" xfId="45716"/>
    <cellStyle name="常规 6 6 3 3 2 2 2 2 2 3" xfId="45717"/>
    <cellStyle name="常规 6 6 3 3 2 2 2 2 2 4" xfId="45718"/>
    <cellStyle name="常规 6 6 3 3 2 2 2 2 3" xfId="45719"/>
    <cellStyle name="常规 6 6 3 3 2 2 2 2 3 2" xfId="45720"/>
    <cellStyle name="常规 6 6 3 3 2 2 2 2 4" xfId="29416"/>
    <cellStyle name="常规 6 6 3 3 2 2 2 2 5" xfId="29421"/>
    <cellStyle name="常规 6 6 3 3 2 2 2 3" xfId="45722"/>
    <cellStyle name="常规 6 6 3 3 2 2 2 3 2" xfId="27732"/>
    <cellStyle name="常规 6 6 3 3 2 2 2 3 2 2" xfId="45723"/>
    <cellStyle name="常规 6 6 3 3 2 2 2 3 3" xfId="45724"/>
    <cellStyle name="常规 6 6 3 3 2 2 2 3 4" xfId="34072"/>
    <cellStyle name="常规 6 6 3 3 2 2 2 4" xfId="45725"/>
    <cellStyle name="常规 6 6 3 3 2 2 2 4 2" xfId="45726"/>
    <cellStyle name="常规 6 6 3 3 2 2 2 5" xfId="45727"/>
    <cellStyle name="常规 6 6 3 3 2 2 2 6" xfId="45728"/>
    <cellStyle name="常规 6 6 3 3 2 2 3" xfId="45729"/>
    <cellStyle name="常规 6 6 3 3 2 2 3 2" xfId="45731"/>
    <cellStyle name="常规 6 6 3 3 2 2 3 2 2" xfId="45732"/>
    <cellStyle name="常规 6 6 3 3 2 2 3 2 2 2" xfId="45733"/>
    <cellStyle name="常规 6 6 3 3 2 2 3 2 3" xfId="45734"/>
    <cellStyle name="常规 6 6 3 3 2 2 3 2 4" xfId="45735"/>
    <cellStyle name="常规 6 6 3 3 2 2 3 3" xfId="45736"/>
    <cellStyle name="常规 6 6 3 3 2 2 3 3 2" xfId="45737"/>
    <cellStyle name="常规 6 6 3 3 2 2 3 4" xfId="45738"/>
    <cellStyle name="常规 6 6 3 3 2 2 3 5" xfId="45739"/>
    <cellStyle name="常规 6 6 3 3 2 2 4" xfId="45740"/>
    <cellStyle name="常规 6 6 3 3 2 2 4 2" xfId="45741"/>
    <cellStyle name="常规 6 6 3 3 2 2 4 2 2" xfId="45742"/>
    <cellStyle name="常规 6 6 3 3 2 2 4 3" xfId="45743"/>
    <cellStyle name="常规 6 6 3 3 2 2 4 4" xfId="45744"/>
    <cellStyle name="常规 6 6 3 3 2 2 5" xfId="45745"/>
    <cellStyle name="常规 6 6 3 3 2 2 5 2" xfId="45746"/>
    <cellStyle name="常规 6 6 3 3 2 2 6" xfId="45747"/>
    <cellStyle name="常规 6 6 3 3 2 2 7" xfId="45748"/>
    <cellStyle name="常规 6 6 3 3 2 3" xfId="45749"/>
    <cellStyle name="常规 6 6 3 3 2 3 2" xfId="45750"/>
    <cellStyle name="常规 6 6 3 3 2 3 2 2" xfId="45752"/>
    <cellStyle name="常规 6 6 3 3 2 3 2 2 2" xfId="45753"/>
    <cellStyle name="常规 6 6 3 3 2 3 2 2 2 2" xfId="45754"/>
    <cellStyle name="常规 6 6 3 3 2 3 2 2 3" xfId="45755"/>
    <cellStyle name="常规 6 6 3 3 2 3 2 2 4" xfId="45756"/>
    <cellStyle name="常规 6 6 3 3 2 3 2 3" xfId="45757"/>
    <cellStyle name="常规 6 6 3 3 2 3 2 3 2" xfId="45758"/>
    <cellStyle name="常规 6 6 3 3 2 3 2 4" xfId="45759"/>
    <cellStyle name="常规 6 6 3 3 2 3 2 5" xfId="45760"/>
    <cellStyle name="常规 6 6 3 3 2 3 3" xfId="45761"/>
    <cellStyle name="常规 6 6 3 3 2 3 3 2" xfId="45762"/>
    <cellStyle name="常规 6 6 3 3 2 3 3 2 2" xfId="45763"/>
    <cellStyle name="常规 6 6 3 3 2 3 3 3" xfId="45764"/>
    <cellStyle name="常规 6 6 3 3 2 3 3 4" xfId="45765"/>
    <cellStyle name="常规 6 6 3 3 2 3 4" xfId="45766"/>
    <cellStyle name="常规 6 6 3 3 2 3 4 2" xfId="45767"/>
    <cellStyle name="常规 6 6 3 3 2 3 5" xfId="45768"/>
    <cellStyle name="常规 6 6 3 3 2 3 6" xfId="45769"/>
    <cellStyle name="常规 6 6 3 3 2 4" xfId="45770"/>
    <cellStyle name="常规 6 6 3 3 2 4 2" xfId="45772"/>
    <cellStyle name="常规 6 6 3 3 2 4 2 2" xfId="45774"/>
    <cellStyle name="常规 6 6 3 3 2 4 2 2 2" xfId="45775"/>
    <cellStyle name="常规 6 6 3 3 2 4 2 3" xfId="45776"/>
    <cellStyle name="常规 6 6 3 3 2 4 2 4" xfId="45777"/>
    <cellStyle name="常规 6 6 3 3 2 4 3" xfId="45779"/>
    <cellStyle name="常规 6 6 3 3 2 4 3 2" xfId="45780"/>
    <cellStyle name="常规 6 6 3 3 2 4 4" xfId="45782"/>
    <cellStyle name="常规 6 6 3 3 2 4 5" xfId="45783"/>
    <cellStyle name="常规 6 6 3 3 2 5" xfId="45784"/>
    <cellStyle name="常规 6 6 3 3 2 5 2" xfId="45786"/>
    <cellStyle name="常规 6 6 3 3 2 5 2 2" xfId="45787"/>
    <cellStyle name="常规 6 6 3 3 2 5 3" xfId="45789"/>
    <cellStyle name="常规 6 6 3 3 2 5 4" xfId="45790"/>
    <cellStyle name="常规 6 6 3 3 2 6" xfId="45791"/>
    <cellStyle name="常规 6 6 3 3 2 6 2" xfId="45793"/>
    <cellStyle name="常规 6 6 3 3 2 7" xfId="45794"/>
    <cellStyle name="常规 6 6 3 3 2 8" xfId="45795"/>
    <cellStyle name="常规 6 6 3 3 3" xfId="23538"/>
    <cellStyle name="常规 6 6 3 3 3 2" xfId="45796"/>
    <cellStyle name="常规 6 6 3 3 3 2 2" xfId="45797"/>
    <cellStyle name="常规 6 6 3 3 3 2 2 2" xfId="45799"/>
    <cellStyle name="常规 6 6 3 3 3 2 2 2 2" xfId="45800"/>
    <cellStyle name="常规 6 6 3 3 3 2 2 2 2 2" xfId="45801"/>
    <cellStyle name="常规 6 6 3 3 3 2 2 2 3" xfId="45802"/>
    <cellStyle name="常规 6 6 3 3 3 2 2 2 4" xfId="45803"/>
    <cellStyle name="常规 6 6 3 3 3 2 2 3" xfId="45805"/>
    <cellStyle name="常规 6 6 3 3 3 2 2 3 2" xfId="45806"/>
    <cellStyle name="常规 6 6 3 3 3 2 2 4" xfId="45807"/>
    <cellStyle name="常规 6 6 3 3 3 2 2 5" xfId="45808"/>
    <cellStyle name="常规 6 6 3 3 3 2 3" xfId="45809"/>
    <cellStyle name="常规 6 6 3 3 3 2 3 2" xfId="45811"/>
    <cellStyle name="常规 6 6 3 3 3 2 3 2 2" xfId="45812"/>
    <cellStyle name="常规 6 6 3 3 3 2 3 3" xfId="45813"/>
    <cellStyle name="常规 6 6 3 3 3 2 3 4" xfId="45814"/>
    <cellStyle name="常规 6 6 3 3 3 2 4" xfId="45815"/>
    <cellStyle name="常规 6 6 3 3 3 2 4 2" xfId="45816"/>
    <cellStyle name="常规 6 6 3 3 3 2 5" xfId="45817"/>
    <cellStyle name="常规 6 6 3 3 3 2 6" xfId="45818"/>
    <cellStyle name="常规 6 6 3 3 3 3" xfId="45819"/>
    <cellStyle name="常规 6 6 3 3 3 3 2" xfId="45820"/>
    <cellStyle name="常规 6 6 3 3 3 3 2 2" xfId="45822"/>
    <cellStyle name="常规 6 6 3 3 3 3 2 2 2" xfId="45823"/>
    <cellStyle name="常规 6 6 3 3 3 3 2 3" xfId="45824"/>
    <cellStyle name="常规 6 6 3 3 3 3 2 4" xfId="45825"/>
    <cellStyle name="常规 6 6 3 3 3 3 3" xfId="45826"/>
    <cellStyle name="常规 6 6 3 3 3 3 3 2" xfId="45827"/>
    <cellStyle name="常规 6 6 3 3 3 3 4" xfId="45828"/>
    <cellStyle name="常规 6 6 3 3 3 3 5" xfId="45829"/>
    <cellStyle name="常规 6 6 3 3 3 4" xfId="45830"/>
    <cellStyle name="常规 6 6 3 3 3 4 2" xfId="45832"/>
    <cellStyle name="常规 6 6 3 3 3 4 2 2" xfId="45833"/>
    <cellStyle name="常规 6 6 3 3 3 4 3" xfId="45835"/>
    <cellStyle name="常规 6 6 3 3 3 4 4" xfId="45836"/>
    <cellStyle name="常规 6 6 3 3 3 5" xfId="45837"/>
    <cellStyle name="常规 6 6 3 3 3 5 2" xfId="45839"/>
    <cellStyle name="常规 6 6 3 3 3 6" xfId="45840"/>
    <cellStyle name="常规 6 6 3 3 3 7" xfId="45841"/>
    <cellStyle name="常规 6 6 3 3 4" xfId="41665"/>
    <cellStyle name="常规 6 6 3 3 4 2" xfId="45842"/>
    <cellStyle name="常规 6 6 3 3 4 2 2" xfId="45843"/>
    <cellStyle name="常规 6 6 3 3 4 2 2 2" xfId="45845"/>
    <cellStyle name="常规 6 6 3 3 4 2 2 2 2" xfId="45846"/>
    <cellStyle name="常规 6 6 3 3 4 2 2 3" xfId="45847"/>
    <cellStyle name="常规 6 6 3 3 4 2 2 4" xfId="45848"/>
    <cellStyle name="常规 6 6 3 3 4 2 3" xfId="45849"/>
    <cellStyle name="常规 6 6 3 3 4 2 3 2" xfId="45850"/>
    <cellStyle name="常规 6 6 3 3 4 2 4" xfId="45851"/>
    <cellStyle name="常规 6 6 3 3 4 2 5" xfId="45852"/>
    <cellStyle name="常规 6 6 3 3 4 3" xfId="45853"/>
    <cellStyle name="常规 6 6 3 3 4 3 2" xfId="5079"/>
    <cellStyle name="常规 6 6 3 3 4 3 2 2" xfId="45854"/>
    <cellStyle name="常规 6 6 3 3 4 3 3" xfId="5989"/>
    <cellStyle name="常规 6 6 3 3 4 3 4" xfId="45855"/>
    <cellStyle name="常规 6 6 3 3 4 4" xfId="45856"/>
    <cellStyle name="常规 6 6 3 3 4 4 2" xfId="45858"/>
    <cellStyle name="常规 6 6 3 3 4 5" xfId="45859"/>
    <cellStyle name="常规 6 6 3 3 4 6" xfId="45860"/>
    <cellStyle name="常规 6 6 3 3 5" xfId="45861"/>
    <cellStyle name="常规 6 6 3 3 5 2" xfId="45862"/>
    <cellStyle name="常规 6 6 3 3 5 2 2" xfId="45863"/>
    <cellStyle name="常规 6 6 3 3 5 2 2 2" xfId="45864"/>
    <cellStyle name="常规 6 6 3 3 5 2 3" xfId="45865"/>
    <cellStyle name="常规 6 6 3 3 5 2 4" xfId="45866"/>
    <cellStyle name="常规 6 6 3 3 5 3" xfId="45867"/>
    <cellStyle name="常规 6 6 3 3 5 3 2" xfId="45868"/>
    <cellStyle name="常规 6 6 3 3 5 4" xfId="45869"/>
    <cellStyle name="常规 6 6 3 3 5 5" xfId="45870"/>
    <cellStyle name="常规 6 6 3 3 6" xfId="45871"/>
    <cellStyle name="常规 6 6 3 3 6 2" xfId="45872"/>
    <cellStyle name="常规 6 6 3 3 6 2 2" xfId="45873"/>
    <cellStyle name="常规 6 6 3 3 6 3" xfId="45874"/>
    <cellStyle name="常规 6 6 3 3 6 4" xfId="45875"/>
    <cellStyle name="常规 6 6 3 3 7" xfId="45876"/>
    <cellStyle name="常规 6 6 3 3 7 2" xfId="25221"/>
    <cellStyle name="常规 6 6 3 3 8" xfId="45877"/>
    <cellStyle name="常规 6 6 3 3 9" xfId="45878"/>
    <cellStyle name="常规 6 6 3 4" xfId="5352"/>
    <cellStyle name="常规 6 6 3 4 2" xfId="41667"/>
    <cellStyle name="常规 6 6 3 4 2 2" xfId="45879"/>
    <cellStyle name="常规 6 6 3 4 2 2 2" xfId="45880"/>
    <cellStyle name="常规 6 6 3 4 2 2 2 2" xfId="45882"/>
    <cellStyle name="常规 6 6 3 4 2 2 2 2 2" xfId="45883"/>
    <cellStyle name="常规 6 6 3 4 2 2 2 2 2 2" xfId="45884"/>
    <cellStyle name="常规 6 6 3 4 2 2 2 2 3" xfId="45885"/>
    <cellStyle name="常规 6 6 3 4 2 2 2 2 4" xfId="45886"/>
    <cellStyle name="常规 6 6 3 4 2 2 2 3" xfId="45888"/>
    <cellStyle name="常规 6 6 3 4 2 2 2 3 2" xfId="32512"/>
    <cellStyle name="常规 6 6 3 4 2 2 2 4" xfId="45889"/>
    <cellStyle name="常规 6 6 3 4 2 2 2 5" xfId="45890"/>
    <cellStyle name="常规 6 6 3 4 2 2 3" xfId="45891"/>
    <cellStyle name="常规 6 6 3 4 2 2 3 2" xfId="45893"/>
    <cellStyle name="常规 6 6 3 4 2 2 3 2 2" xfId="45894"/>
    <cellStyle name="常规 6 6 3 4 2 2 3 3" xfId="45895"/>
    <cellStyle name="常规 6 6 3 4 2 2 3 4" xfId="45896"/>
    <cellStyle name="常规 6 6 3 4 2 2 4" xfId="45897"/>
    <cellStyle name="常规 6 6 3 4 2 2 4 2" xfId="45898"/>
    <cellStyle name="常规 6 6 3 4 2 2 5" xfId="45899"/>
    <cellStyle name="常规 6 6 3 4 2 2 6" xfId="45900"/>
    <cellStyle name="常规 6 6 3 4 2 3" xfId="45901"/>
    <cellStyle name="常规 6 6 3 4 2 3 2" xfId="45902"/>
    <cellStyle name="常规 6 6 3 4 2 3 2 2" xfId="45904"/>
    <cellStyle name="常规 6 6 3 4 2 3 2 2 2" xfId="45905"/>
    <cellStyle name="常规 6 6 3 4 2 3 2 3" xfId="45906"/>
    <cellStyle name="常规 6 6 3 4 2 3 2 4" xfId="45907"/>
    <cellStyle name="常规 6 6 3 4 2 3 3" xfId="45908"/>
    <cellStyle name="常规 6 6 3 4 2 3 3 2" xfId="45909"/>
    <cellStyle name="常规 6 6 3 4 2 3 4" xfId="45910"/>
    <cellStyle name="常规 6 6 3 4 2 3 5" xfId="45911"/>
    <cellStyle name="常规 6 6 3 4 2 4" xfId="45912"/>
    <cellStyle name="常规 6 6 3 4 2 4 2" xfId="45914"/>
    <cellStyle name="常规 6 6 3 4 2 4 2 2" xfId="45915"/>
    <cellStyle name="常规 6 6 3 4 2 4 3" xfId="45916"/>
    <cellStyle name="常规 6 6 3 4 2 4 4" xfId="45917"/>
    <cellStyle name="常规 6 6 3 4 2 5" xfId="45771"/>
    <cellStyle name="常规 6 6 3 4 2 5 2" xfId="45773"/>
    <cellStyle name="常规 6 6 3 4 2 6" xfId="45778"/>
    <cellStyle name="常规 6 6 3 4 2 7" xfId="45781"/>
    <cellStyle name="常规 6 6 3 4 3" xfId="45918"/>
    <cellStyle name="常规 6 6 3 4 3 2" xfId="45919"/>
    <cellStyle name="常规 6 6 3 4 3 2 2" xfId="45920"/>
    <cellStyle name="常规 6 6 3 4 3 2 2 2" xfId="45922"/>
    <cellStyle name="常规 6 6 3 4 3 2 2 2 2" xfId="45923"/>
    <cellStyle name="常规 6 6 3 4 3 2 2 3" xfId="45924"/>
    <cellStyle name="常规 6 6 3 4 3 2 2 4" xfId="45925"/>
    <cellStyle name="常规 6 6 3 4 3 2 3" xfId="45926"/>
    <cellStyle name="常规 6 6 3 4 3 2 3 2" xfId="45927"/>
    <cellStyle name="常规 6 6 3 4 3 2 4" xfId="45928"/>
    <cellStyle name="常规 6 6 3 4 3 2 5" xfId="45929"/>
    <cellStyle name="常规 6 6 3 4 3 3" xfId="45930"/>
    <cellStyle name="常规 6 6 3 4 3 3 2" xfId="45931"/>
    <cellStyle name="常规 6 6 3 4 3 3 2 2" xfId="45932"/>
    <cellStyle name="常规 6 6 3 4 3 3 3" xfId="45933"/>
    <cellStyle name="常规 6 6 3 4 3 3 4" xfId="45934"/>
    <cellStyle name="常规 6 6 3 4 3 4" xfId="45935"/>
    <cellStyle name="常规 6 6 3 4 3 4 2" xfId="45936"/>
    <cellStyle name="常规 6 6 3 4 3 5" xfId="45785"/>
    <cellStyle name="常规 6 6 3 4 3 6" xfId="45788"/>
    <cellStyle name="常规 6 6 3 4 4" xfId="45937"/>
    <cellStyle name="常规 6 6 3 4 4 2" xfId="45938"/>
    <cellStyle name="常规 6 6 3 4 4 2 2" xfId="9729"/>
    <cellStyle name="常规 6 6 3 4 4 2 2 2" xfId="9734"/>
    <cellStyle name="常规 6 6 3 4 4 2 3" xfId="9857"/>
    <cellStyle name="常规 6 6 3 4 4 2 4" xfId="9904"/>
    <cellStyle name="常规 6 6 3 4 4 3" xfId="45939"/>
    <cellStyle name="常规 6 6 3 4 4 3 2" xfId="9966"/>
    <cellStyle name="常规 6 6 3 4 4 4" xfId="45940"/>
    <cellStyle name="常规 6 6 3 4 4 5" xfId="45792"/>
    <cellStyle name="常规 6 6 3 4 5" xfId="45941"/>
    <cellStyle name="常规 6 6 3 4 5 2" xfId="45942"/>
    <cellStyle name="常规 6 6 3 4 5 2 2" xfId="10434"/>
    <cellStyle name="常规 6 6 3 4 5 3" xfId="45943"/>
    <cellStyle name="常规 6 6 3 4 5 4" xfId="45944"/>
    <cellStyle name="常规 6 6 3 4 6" xfId="45945"/>
    <cellStyle name="常规 6 6 3 4 6 2" xfId="45946"/>
    <cellStyle name="常规 6 6 3 4 7" xfId="45947"/>
    <cellStyle name="常规 6 6 3 4 8" xfId="45948"/>
    <cellStyle name="常规 6 6 3 5" xfId="41669"/>
    <cellStyle name="常规 6 6 3 5 2" xfId="45949"/>
    <cellStyle name="常规 6 6 3 5 2 2" xfId="45950"/>
    <cellStyle name="常规 6 6 3 5 2 2 2" xfId="45951"/>
    <cellStyle name="常规 6 6 3 5 2 2 2 2" xfId="45953"/>
    <cellStyle name="常规 6 6 3 5 2 2 2 2 2" xfId="45954"/>
    <cellStyle name="常规 6 6 3 5 2 2 2 3" xfId="45955"/>
    <cellStyle name="常规 6 6 3 5 2 2 2 4" xfId="45956"/>
    <cellStyle name="常规 6 6 3 5 2 2 3" xfId="45957"/>
    <cellStyle name="常规 6 6 3 5 2 2 3 2" xfId="45958"/>
    <cellStyle name="常规 6 6 3 5 2 2 4" xfId="45959"/>
    <cellStyle name="常规 6 6 3 5 2 2 5" xfId="45960"/>
    <cellStyle name="常规 6 6 3 5 2 3" xfId="45961"/>
    <cellStyle name="常规 6 6 3 5 2 3 2" xfId="45962"/>
    <cellStyle name="常规 6 6 3 5 2 3 2 2" xfId="45963"/>
    <cellStyle name="常规 6 6 3 5 2 3 3" xfId="45964"/>
    <cellStyle name="常规 6 6 3 5 2 3 4" xfId="45965"/>
    <cellStyle name="常规 6 6 3 5 2 4" xfId="45966"/>
    <cellStyle name="常规 6 6 3 5 2 4 2" xfId="45968"/>
    <cellStyle name="常规 6 6 3 5 2 5" xfId="45831"/>
    <cellStyle name="常规 6 6 3 5 2 6" xfId="45834"/>
    <cellStyle name="常规 6 6 3 5 3" xfId="45969"/>
    <cellStyle name="常规 6 6 3 5 3 2" xfId="45970"/>
    <cellStyle name="常规 6 6 3 5 3 2 2" xfId="45971"/>
    <cellStyle name="常规 6 6 3 5 3 2 2 2" xfId="45972"/>
    <cellStyle name="常规 6 6 3 5 3 2 3" xfId="45973"/>
    <cellStyle name="常规 6 6 3 5 3 2 4" xfId="45974"/>
    <cellStyle name="常规 6 6 3 5 3 3" xfId="45975"/>
    <cellStyle name="常规 6 6 3 5 3 3 2" xfId="45976"/>
    <cellStyle name="常规 6 6 3 5 3 4" xfId="45977"/>
    <cellStyle name="常规 6 6 3 5 3 5" xfId="45838"/>
    <cellStyle name="常规 6 6 3 5 4" xfId="45978"/>
    <cellStyle name="常规 6 6 3 5 4 2" xfId="45979"/>
    <cellStyle name="常规 6 6 3 5 4 2 2" xfId="11364"/>
    <cellStyle name="常规 6 6 3 5 4 3" xfId="45980"/>
    <cellStyle name="常规 6 6 3 5 4 4" xfId="45981"/>
    <cellStyle name="常规 6 6 3 5 5" xfId="45982"/>
    <cellStyle name="常规 6 6 3 5 5 2" xfId="45983"/>
    <cellStyle name="常规 6 6 3 5 6" xfId="45984"/>
    <cellStyle name="常规 6 6 3 5 7" xfId="45985"/>
    <cellStyle name="常规 6 6 3 6" xfId="41671"/>
    <cellStyle name="常规 6 6 3 6 2" xfId="45986"/>
    <cellStyle name="常规 6 6 3 6 2 2" xfId="45987"/>
    <cellStyle name="常规 6 6 3 6 2 2 2" xfId="45988"/>
    <cellStyle name="常规 6 6 3 6 2 2 2 2" xfId="45989"/>
    <cellStyle name="常规 6 6 3 6 2 2 3" xfId="45990"/>
    <cellStyle name="常规 6 6 3 6 2 2 4" xfId="45991"/>
    <cellStyle name="常规 6 6 3 6 2 3" xfId="45992"/>
    <cellStyle name="常规 6 6 3 6 2 3 2" xfId="45993"/>
    <cellStyle name="常规 6 6 3 6 2 4" xfId="1309"/>
    <cellStyle name="常规 6 6 3 6 2 5" xfId="45857"/>
    <cellStyle name="常规 6 6 3 6 3" xfId="45994"/>
    <cellStyle name="常规 6 6 3 6 3 2" xfId="45995"/>
    <cellStyle name="常规 6 6 3 6 3 2 2" xfId="45996"/>
    <cellStyle name="常规 6 6 3 6 3 3" xfId="45997"/>
    <cellStyle name="常规 6 6 3 6 3 4" xfId="45998"/>
    <cellStyle name="常规 6 6 3 6 4" xfId="45999"/>
    <cellStyle name="常规 6 6 3 6 4 2" xfId="46000"/>
    <cellStyle name="常规 6 6 3 6 5" xfId="46001"/>
    <cellStyle name="常规 6 6 3 6 6" xfId="46002"/>
    <cellStyle name="常规 6 6 3 7" xfId="46003"/>
    <cellStyle name="常规 6 6 3 7 2" xfId="46004"/>
    <cellStyle name="常规 6 6 3 7 2 2" xfId="46005"/>
    <cellStyle name="常规 6 6 3 7 2 2 2" xfId="46006"/>
    <cellStyle name="常规 6 6 3 7 2 3" xfId="46007"/>
    <cellStyle name="常规 6 6 3 7 2 4" xfId="46008"/>
    <cellStyle name="常规 6 6 3 7 3" xfId="46009"/>
    <cellStyle name="常规 6 6 3 7 3 2" xfId="46010"/>
    <cellStyle name="常规 6 6 3 7 4" xfId="2882"/>
    <cellStyle name="常规 6 6 3 7 5" xfId="2885"/>
    <cellStyle name="常规 6 6 3 8" xfId="46011"/>
    <cellStyle name="常规 6 6 3 8 2" xfId="46012"/>
    <cellStyle name="常规 6 6 3 8 2 2" xfId="46013"/>
    <cellStyle name="常规 6 6 3 8 3" xfId="46014"/>
    <cellStyle name="常规 6 6 3 8 4" xfId="2896"/>
    <cellStyle name="常规 6 6 3 9" xfId="46015"/>
    <cellStyle name="常规 6 6 3 9 2" xfId="46016"/>
    <cellStyle name="常规 6 6 4" xfId="46017"/>
    <cellStyle name="常规 6 6 4 2" xfId="3087"/>
    <cellStyle name="常规 6 6 4 2 2" xfId="46018"/>
    <cellStyle name="常规 6 6 4 2 2 2" xfId="46019"/>
    <cellStyle name="常规 6 6 4 2 2 2 2" xfId="46020"/>
    <cellStyle name="常规 6 6 4 2 2 2 2 2" xfId="46021"/>
    <cellStyle name="常规 6 6 4 2 2 2 2 2 2" xfId="11638"/>
    <cellStyle name="常规 6 6 4 2 2 2 2 2 2 2" xfId="11640"/>
    <cellStyle name="常规 6 6 4 2 2 2 2 2 3" xfId="11752"/>
    <cellStyle name="常规 6 6 4 2 2 2 2 2 4" xfId="11781"/>
    <cellStyle name="常规 6 6 4 2 2 2 2 3" xfId="46022"/>
    <cellStyle name="常规 6 6 4 2 2 2 2 3 2" xfId="11892"/>
    <cellStyle name="常规 6 6 4 2 2 2 2 4" xfId="25703"/>
    <cellStyle name="常规 6 6 4 2 2 2 2 5" xfId="46023"/>
    <cellStyle name="常规 6 6 4 2 2 2 3" xfId="46024"/>
    <cellStyle name="常规 6 6 4 2 2 2 3 2" xfId="46025"/>
    <cellStyle name="常规 6 6 4 2 2 2 3 2 2" xfId="12358"/>
    <cellStyle name="常规 6 6 4 2 2 2 3 3" xfId="46026"/>
    <cellStyle name="常规 6 6 4 2 2 2 3 4" xfId="46027"/>
    <cellStyle name="常规 6 6 4 2 2 2 4" xfId="46028"/>
    <cellStyle name="常规 6 6 4 2 2 2 4 2" xfId="46029"/>
    <cellStyle name="常规 6 6 4 2 2 2 5" xfId="46030"/>
    <cellStyle name="常规 6 6 4 2 2 2 6" xfId="46031"/>
    <cellStyle name="常规 6 6 4 2 2 3" xfId="46032"/>
    <cellStyle name="常规 6 6 4 2 2 3 2" xfId="46033"/>
    <cellStyle name="常规 6 6 4 2 2 3 2 2" xfId="46034"/>
    <cellStyle name="常规 6 6 4 2 2 3 2 2 2" xfId="13951"/>
    <cellStyle name="常规 6 6 4 2 2 3 2 3" xfId="46035"/>
    <cellStyle name="常规 6 6 4 2 2 3 2 4" xfId="45120"/>
    <cellStyle name="常规 6 6 4 2 2 3 3" xfId="46036"/>
    <cellStyle name="常规 6 6 4 2 2 3 3 2" xfId="46037"/>
    <cellStyle name="常规 6 6 4 2 2 3 4" xfId="46038"/>
    <cellStyle name="常规 6 6 4 2 2 3 5" xfId="46039"/>
    <cellStyle name="常规 6 6 4 2 2 4" xfId="46040"/>
    <cellStyle name="常规 6 6 4 2 2 4 2" xfId="46042"/>
    <cellStyle name="常规 6 6 4 2 2 4 2 2" xfId="46044"/>
    <cellStyle name="常规 6 6 4 2 2 4 3" xfId="46046"/>
    <cellStyle name="常规 6 6 4 2 2 4 4" xfId="46048"/>
    <cellStyle name="常规 6 6 4 2 2 5" xfId="46049"/>
    <cellStyle name="常规 6 6 4 2 2 5 2" xfId="46051"/>
    <cellStyle name="常规 6 6 4 2 2 6" xfId="46052"/>
    <cellStyle name="常规 6 6 4 2 2 7" xfId="46053"/>
    <cellStyle name="常规 6 6 4 2 3" xfId="23713"/>
    <cellStyle name="常规 6 6 4 2 3 2" xfId="23715"/>
    <cellStyle name="常规 6 6 4 2 3 2 2" xfId="46054"/>
    <cellStyle name="常规 6 6 4 2 3 2 2 2" xfId="46055"/>
    <cellStyle name="常规 6 6 4 2 3 2 2 2 2" xfId="46056"/>
    <cellStyle name="常规 6 6 4 2 3 2 2 3" xfId="46057"/>
    <cellStyle name="常规 6 6 4 2 3 2 2 4" xfId="46058"/>
    <cellStyle name="常规 6 6 4 2 3 2 3" xfId="46059"/>
    <cellStyle name="常规 6 6 4 2 3 2 3 2" xfId="46060"/>
    <cellStyle name="常规 6 6 4 2 3 2 4" xfId="46061"/>
    <cellStyle name="常规 6 6 4 2 3 2 5" xfId="46062"/>
    <cellStyle name="常规 6 6 4 2 3 3" xfId="46063"/>
    <cellStyle name="常规 6 6 4 2 3 3 2" xfId="46064"/>
    <cellStyle name="常规 6 6 4 2 3 3 2 2" xfId="46065"/>
    <cellStyle name="常规 6 6 4 2 3 3 3" xfId="46066"/>
    <cellStyle name="常规 6 6 4 2 3 3 4" xfId="46067"/>
    <cellStyle name="常规 6 6 4 2 3 4" xfId="46068"/>
    <cellStyle name="常规 6 6 4 2 3 4 2" xfId="46070"/>
    <cellStyle name="常规 6 6 4 2 3 5" xfId="45711"/>
    <cellStyle name="常规 6 6 4 2 3 6" xfId="45721"/>
    <cellStyle name="常规 6 6 4 2 4" xfId="23717"/>
    <cellStyle name="常规 6 6 4 2 4 2" xfId="46071"/>
    <cellStyle name="常规 6 6 4 2 4 2 2" xfId="46072"/>
    <cellStyle name="常规 6 6 4 2 4 2 2 2" xfId="46073"/>
    <cellStyle name="常规 6 6 4 2 4 2 3" xfId="46074"/>
    <cellStyle name="常规 6 6 4 2 4 2 4" xfId="46075"/>
    <cellStyle name="常规 6 6 4 2 4 3" xfId="46076"/>
    <cellStyle name="常规 6 6 4 2 4 3 2" xfId="46077"/>
    <cellStyle name="常规 6 6 4 2 4 4" xfId="46078"/>
    <cellStyle name="常规 6 6 4 2 4 5" xfId="45730"/>
    <cellStyle name="常规 6 6 4 2 5" xfId="23719"/>
    <cellStyle name="常规 6 6 4 2 5 2" xfId="46079"/>
    <cellStyle name="常规 6 6 4 2 5 2 2" xfId="46080"/>
    <cellStyle name="常规 6 6 4 2 5 3" xfId="46081"/>
    <cellStyle name="常规 6 6 4 2 5 4" xfId="46082"/>
    <cellStyle name="常规 6 6 4 2 6" xfId="46083"/>
    <cellStyle name="常规 6 6 4 2 6 2" xfId="46084"/>
    <cellStyle name="常规 6 6 4 2 7" xfId="46085"/>
    <cellStyle name="常规 6 6 4 2 8" xfId="46086"/>
    <cellStyle name="常规 6 6 4 3" xfId="5362"/>
    <cellStyle name="常规 6 6 4 3 2" xfId="41674"/>
    <cellStyle name="常规 6 6 4 3 2 2" xfId="46087"/>
    <cellStyle name="常规 6 6 4 3 2 2 2" xfId="46088"/>
    <cellStyle name="常规 6 6 4 3 2 2 2 2" xfId="46089"/>
    <cellStyle name="常规 6 6 4 3 2 2 2 2 2" xfId="46090"/>
    <cellStyle name="常规 6 6 4 3 2 2 2 3" xfId="46091"/>
    <cellStyle name="常规 6 6 4 3 2 2 2 4" xfId="46092"/>
    <cellStyle name="常规 6 6 4 3 2 2 3" xfId="46093"/>
    <cellStyle name="常规 6 6 4 3 2 2 3 2" xfId="46094"/>
    <cellStyle name="常规 6 6 4 3 2 2 4" xfId="46095"/>
    <cellStyle name="常规 6 6 4 3 2 2 5" xfId="46096"/>
    <cellStyle name="常规 6 6 4 3 2 3" xfId="46097"/>
    <cellStyle name="常规 6 6 4 3 2 3 2" xfId="46098"/>
    <cellStyle name="常规 6 6 4 3 2 3 2 2" xfId="46099"/>
    <cellStyle name="常规 6 6 4 3 2 3 3" xfId="46100"/>
    <cellStyle name="常规 6 6 4 3 2 3 4" xfId="46101"/>
    <cellStyle name="常规 6 6 4 3 2 4" xfId="46102"/>
    <cellStyle name="常规 6 6 4 3 2 4 2" xfId="46104"/>
    <cellStyle name="常规 6 6 4 3 2 5" xfId="46105"/>
    <cellStyle name="常规 6 6 4 3 2 6" xfId="46106"/>
    <cellStyle name="常规 6 6 4 3 3" xfId="23725"/>
    <cellStyle name="常规 6 6 4 3 3 2" xfId="46107"/>
    <cellStyle name="常规 6 6 4 3 3 2 2" xfId="46108"/>
    <cellStyle name="常规 6 6 4 3 3 2 2 2" xfId="46109"/>
    <cellStyle name="常规 6 6 4 3 3 2 3" xfId="46110"/>
    <cellStyle name="常规 6 6 4 3 3 2 4" xfId="46111"/>
    <cellStyle name="常规 6 6 4 3 3 3" xfId="46112"/>
    <cellStyle name="常规 6 6 4 3 3 3 2" xfId="46113"/>
    <cellStyle name="常规 6 6 4 3 3 4" xfId="46114"/>
    <cellStyle name="常规 6 6 4 3 3 5" xfId="45751"/>
    <cellStyle name="常规 6 6 4 3 4" xfId="46115"/>
    <cellStyle name="常规 6 6 4 3 4 2" xfId="46116"/>
    <cellStyle name="常规 6 6 4 3 4 2 2" xfId="46117"/>
    <cellStyle name="常规 6 6 4 3 4 3" xfId="46118"/>
    <cellStyle name="常规 6 6 4 3 4 4" xfId="46119"/>
    <cellStyle name="常规 6 6 4 3 5" xfId="46120"/>
    <cellStyle name="常规 6 6 4 3 5 2" xfId="46121"/>
    <cellStyle name="常规 6 6 4 3 6" xfId="46122"/>
    <cellStyle name="常规 6 6 4 3 7" xfId="46123"/>
    <cellStyle name="常规 6 6 4 4" xfId="41676"/>
    <cellStyle name="常规 6 6 4 4 2" xfId="46124"/>
    <cellStyle name="常规 6 6 4 4 2 2" xfId="46125"/>
    <cellStyle name="常规 6 6 4 4 2 2 2" xfId="46126"/>
    <cellStyle name="常规 6 6 4 4 2 2 2 2" xfId="46127"/>
    <cellStyle name="常规 6 6 4 4 2 2 3" xfId="46128"/>
    <cellStyle name="常规 6 6 4 4 2 2 4" xfId="46129"/>
    <cellStyle name="常规 6 6 4 4 2 3" xfId="46130"/>
    <cellStyle name="常规 6 6 4 4 2 3 2" xfId="46131"/>
    <cellStyle name="常规 6 6 4 4 2 4" xfId="46132"/>
    <cellStyle name="常规 6 6 4 4 2 5" xfId="45913"/>
    <cellStyle name="常规 6 6 4 4 3" xfId="46133"/>
    <cellStyle name="常规 6 6 4 4 3 2" xfId="46134"/>
    <cellStyle name="常规 6 6 4 4 3 2 2" xfId="46135"/>
    <cellStyle name="常规 6 6 4 4 3 3" xfId="46136"/>
    <cellStyle name="常规 6 6 4 4 3 4" xfId="46137"/>
    <cellStyle name="常规 6 6 4 4 4" xfId="46138"/>
    <cellStyle name="常规 6 6 4 4 4 2" xfId="46139"/>
    <cellStyle name="常规 6 6 4 4 5" xfId="46140"/>
    <cellStyle name="常规 6 6 4 4 6" xfId="46141"/>
    <cellStyle name="常规 6 6 4 5" xfId="41678"/>
    <cellStyle name="常规 6 6 4 5 2" xfId="46142"/>
    <cellStyle name="常规 6 6 4 5 2 2" xfId="5464"/>
    <cellStyle name="常规 6 6 4 5 2 2 2" xfId="46143"/>
    <cellStyle name="常规 6 6 4 5 2 3" xfId="15974"/>
    <cellStyle name="常规 6 6 4 5 2 4" xfId="46144"/>
    <cellStyle name="常规 6 6 4 5 3" xfId="46145"/>
    <cellStyle name="常规 6 6 4 5 3 2" xfId="15996"/>
    <cellStyle name="常规 6 6 4 5 4" xfId="46146"/>
    <cellStyle name="常规 6 6 4 5 5" xfId="46147"/>
    <cellStyle name="常规 6 6 4 6" xfId="46148"/>
    <cellStyle name="常规 6 6 4 6 2" xfId="46149"/>
    <cellStyle name="常规 6 6 4 6 2 2" xfId="3116"/>
    <cellStyle name="常规 6 6 4 6 3" xfId="46150"/>
    <cellStyle name="常规 6 6 4 6 4" xfId="46151"/>
    <cellStyle name="常规 6 6 4 7" xfId="46152"/>
    <cellStyle name="常规 6 6 4 7 2" xfId="46153"/>
    <cellStyle name="常规 6 6 4 8" xfId="46154"/>
    <cellStyle name="常规 6 6 4 9" xfId="46155"/>
    <cellStyle name="常规 6 6 5" xfId="46156"/>
    <cellStyle name="常规 6 6 5 2" xfId="42849"/>
    <cellStyle name="常规 6 6 5 2 2" xfId="7490"/>
    <cellStyle name="常规 6 6 5 2 2 2" xfId="46157"/>
    <cellStyle name="常规 6 6 5 2 2 2 2" xfId="46158"/>
    <cellStyle name="常规 6 6 5 2 2 2 2 2" xfId="46159"/>
    <cellStyle name="常规 6 6 5 2 2 2 2 2 2" xfId="46160"/>
    <cellStyle name="常规 6 6 5 2 2 2 2 2 2 2" xfId="46161"/>
    <cellStyle name="常规 6 6 5 2 2 2 2 2 3" xfId="46162"/>
    <cellStyle name="常规 6 6 5 2 2 2 2 2 4" xfId="46163"/>
    <cellStyle name="常规 6 6 5 2 2 2 2 3" xfId="46164"/>
    <cellStyle name="常规 6 6 5 2 2 2 2 3 2" xfId="46165"/>
    <cellStyle name="常规 6 6 5 2 2 2 2 4" xfId="46166"/>
    <cellStyle name="常规 6 6 5 2 2 2 2 5" xfId="46167"/>
    <cellStyle name="常规 6 6 5 2 2 2 3" xfId="46168"/>
    <cellStyle name="常规 6 6 5 2 2 2 3 2" xfId="46169"/>
    <cellStyle name="常规 6 6 5 2 2 2 3 2 2" xfId="46170"/>
    <cellStyle name="常规 6 6 5 2 2 2 3 3" xfId="46171"/>
    <cellStyle name="常规 6 6 5 2 2 2 3 4" xfId="46172"/>
    <cellStyle name="常规 6 6 5 2 2 2 4" xfId="46173"/>
    <cellStyle name="常规 6 6 5 2 2 2 4 2" xfId="46174"/>
    <cellStyle name="常规 6 6 5 2 2 2 5" xfId="46175"/>
    <cellStyle name="常规 6 6 5 2 2 2 6" xfId="46176"/>
    <cellStyle name="常规 6 6 5 2 2 3" xfId="46177"/>
    <cellStyle name="常规 6 6 5 2 2 3 2" xfId="46178"/>
    <cellStyle name="常规 6 6 5 2 2 3 2 2" xfId="46179"/>
    <cellStyle name="常规 6 6 5 2 2 3 2 2 2" xfId="46180"/>
    <cellStyle name="常规 6 6 5 2 2 3 2 3" xfId="46181"/>
    <cellStyle name="常规 6 6 5 2 2 3 2 4" xfId="45190"/>
    <cellStyle name="常规 6 6 5 2 2 3 3" xfId="46182"/>
    <cellStyle name="常规 6 6 5 2 2 3 3 2" xfId="46183"/>
    <cellStyle name="常规 6 6 5 2 2 3 4" xfId="46184"/>
    <cellStyle name="常规 6 6 5 2 2 3 5" xfId="46185"/>
    <cellStyle name="常规 6 6 5 2 2 4" xfId="46186"/>
    <cellStyle name="常规 6 6 5 2 2 4 2" xfId="46188"/>
    <cellStyle name="常规 6 6 5 2 2 4 2 2" xfId="46189"/>
    <cellStyle name="常规 6 6 5 2 2 4 3" xfId="46190"/>
    <cellStyle name="常规 6 6 5 2 2 4 4" xfId="46191"/>
    <cellStyle name="常规 6 6 5 2 2 5" xfId="46192"/>
    <cellStyle name="常规 6 6 5 2 2 5 2" xfId="46193"/>
    <cellStyle name="常规 6 6 5 2 2 6" xfId="46194"/>
    <cellStyle name="常规 6 6 5 2 2 7" xfId="46195"/>
    <cellStyle name="常规 6 6 5 2 3" xfId="23767"/>
    <cellStyle name="常规 6 6 5 2 3 2" xfId="46196"/>
    <cellStyle name="常规 6 6 5 2 3 2 2" xfId="46197"/>
    <cellStyle name="常规 6 6 5 2 3 2 2 2" xfId="46198"/>
    <cellStyle name="常规 6 6 5 2 3 2 2 2 2" xfId="46199"/>
    <cellStyle name="常规 6 6 5 2 3 2 2 3" xfId="46200"/>
    <cellStyle name="常规 6 6 5 2 3 2 2 4" xfId="46201"/>
    <cellStyle name="常规 6 6 5 2 3 2 3" xfId="46202"/>
    <cellStyle name="常规 6 6 5 2 3 2 3 2" xfId="46203"/>
    <cellStyle name="常规 6 6 5 2 3 2 4" xfId="46204"/>
    <cellStyle name="常规 6 6 5 2 3 2 5" xfId="43767"/>
    <cellStyle name="常规 6 6 5 2 3 3" xfId="46205"/>
    <cellStyle name="常规 6 6 5 2 3 3 2" xfId="46206"/>
    <cellStyle name="常规 6 6 5 2 3 3 2 2" xfId="46207"/>
    <cellStyle name="常规 6 6 5 2 3 3 3" xfId="46208"/>
    <cellStyle name="常规 6 6 5 2 3 3 4" xfId="46209"/>
    <cellStyle name="常规 6 6 5 2 3 4" xfId="46210"/>
    <cellStyle name="常规 6 6 5 2 3 4 2" xfId="46211"/>
    <cellStyle name="常规 6 6 5 2 3 5" xfId="45798"/>
    <cellStyle name="常规 6 6 5 2 3 6" xfId="45804"/>
    <cellStyle name="常规 6 6 5 2 4" xfId="46212"/>
    <cellStyle name="常规 6 6 5 2 4 2" xfId="46213"/>
    <cellStyle name="常规 6 6 5 2 4 2 2" xfId="46214"/>
    <cellStyle name="常规 6 6 5 2 4 2 2 2" xfId="37800"/>
    <cellStyle name="常规 6 6 5 2 4 2 3" xfId="46215"/>
    <cellStyle name="常规 6 6 5 2 4 2 4" xfId="46216"/>
    <cellStyle name="常规 6 6 5 2 4 3" xfId="46217"/>
    <cellStyle name="常规 6 6 5 2 4 3 2" xfId="46218"/>
    <cellStyle name="常规 6 6 5 2 4 4" xfId="46219"/>
    <cellStyle name="常规 6 6 5 2 4 5" xfId="45810"/>
    <cellStyle name="常规 6 6 5 2 5" xfId="46220"/>
    <cellStyle name="常规 6 6 5 2 5 2" xfId="46221"/>
    <cellStyle name="常规 6 6 5 2 5 2 2" xfId="46222"/>
    <cellStyle name="常规 6 6 5 2 5 3" xfId="46223"/>
    <cellStyle name="常规 6 6 5 2 5 4" xfId="46224"/>
    <cellStyle name="常规 6 6 5 2 6" xfId="46225"/>
    <cellStyle name="常规 6 6 5 2 6 2" xfId="46226"/>
    <cellStyle name="常规 6 6 5 2 7" xfId="46227"/>
    <cellStyle name="常规 6 6 5 2 8" xfId="46228"/>
    <cellStyle name="常规 6 6 5 3" xfId="41681"/>
    <cellStyle name="常规 6 6 5 3 2" xfId="46229"/>
    <cellStyle name="常规 6 6 5 3 2 2" xfId="46230"/>
    <cellStyle name="常规 6 6 5 3 2 2 2" xfId="37343"/>
    <cellStyle name="常规 6 6 5 3 2 2 2 2" xfId="46231"/>
    <cellStyle name="常规 6 6 5 3 2 2 2 2 2" xfId="46232"/>
    <cellStyle name="常规 6 6 5 3 2 2 2 3" xfId="46233"/>
    <cellStyle name="常规 6 6 5 3 2 2 2 4" xfId="46234"/>
    <cellStyle name="常规 6 6 5 3 2 2 3" xfId="46235"/>
    <cellStyle name="常规 6 6 5 3 2 2 3 2" xfId="46236"/>
    <cellStyle name="常规 6 6 5 3 2 2 4" xfId="46237"/>
    <cellStyle name="常规 6 6 5 3 2 2 5" xfId="46238"/>
    <cellStyle name="常规 6 6 5 3 2 3" xfId="46239"/>
    <cellStyle name="常规 6 6 5 3 2 3 2" xfId="46240"/>
    <cellStyle name="常规 6 6 5 3 2 3 2 2" xfId="46241"/>
    <cellStyle name="常规 6 6 5 3 2 3 3" xfId="46242"/>
    <cellStyle name="常规 6 6 5 3 2 3 4" xfId="46243"/>
    <cellStyle name="常规 6 6 5 3 2 4" xfId="46244"/>
    <cellStyle name="常规 6 6 5 3 2 4 2" xfId="46246"/>
    <cellStyle name="常规 6 6 5 3 2 5" xfId="46247"/>
    <cellStyle name="常规 6 6 5 3 2 6" xfId="46248"/>
    <cellStyle name="常规 6 6 5 3 3" xfId="46249"/>
    <cellStyle name="常规 6 6 5 3 3 2" xfId="46250"/>
    <cellStyle name="常规 6 6 5 3 3 2 2" xfId="46251"/>
    <cellStyle name="常规 6 6 5 3 3 2 2 2" xfId="46252"/>
    <cellStyle name="常规 6 6 5 3 3 2 3" xfId="46253"/>
    <cellStyle name="常规 6 6 5 3 3 2 4" xfId="46254"/>
    <cellStyle name="常规 6 6 5 3 3 3" xfId="46255"/>
    <cellStyle name="常规 6 6 5 3 3 3 2" xfId="46256"/>
    <cellStyle name="常规 6 6 5 3 3 4" xfId="46257"/>
    <cellStyle name="常规 6 6 5 3 3 5" xfId="45821"/>
    <cellStyle name="常规 6 6 5 3 4" xfId="46258"/>
    <cellStyle name="常规 6 6 5 3 4 2" xfId="46259"/>
    <cellStyle name="常规 6 6 5 3 4 2 2" xfId="46260"/>
    <cellStyle name="常规 6 6 5 3 4 3" xfId="46261"/>
    <cellStyle name="常规 6 6 5 3 4 4" xfId="46262"/>
    <cellStyle name="常规 6 6 5 3 5" xfId="46263"/>
    <cellStyle name="常规 6 6 5 3 5 2" xfId="46264"/>
    <cellStyle name="常规 6 6 5 3 6" xfId="46265"/>
    <cellStyle name="常规 6 6 5 3 7" xfId="46266"/>
    <cellStyle name="常规 6 6 5 4" xfId="46267"/>
    <cellStyle name="常规 6 6 5 4 2" xfId="46268"/>
    <cellStyle name="常规 6 6 5 4 2 2" xfId="46269"/>
    <cellStyle name="常规 6 6 5 4 2 2 2" xfId="46270"/>
    <cellStyle name="常规 6 6 5 4 2 2 2 2" xfId="46271"/>
    <cellStyle name="常规 6 6 5 4 2 2 3" xfId="46272"/>
    <cellStyle name="常规 6 6 5 4 2 2 4" xfId="46273"/>
    <cellStyle name="常规 6 6 5 4 2 3" xfId="46274"/>
    <cellStyle name="常规 6 6 5 4 2 3 2" xfId="46275"/>
    <cellStyle name="常规 6 6 5 4 2 4" xfId="46276"/>
    <cellStyle name="常规 6 6 5 4 2 5" xfId="45967"/>
    <cellStyle name="常规 6 6 5 4 3" xfId="46277"/>
    <cellStyle name="常规 6 6 5 4 3 2" xfId="46278"/>
    <cellStyle name="常规 6 6 5 4 3 2 2" xfId="46279"/>
    <cellStyle name="常规 6 6 5 4 3 3" xfId="46280"/>
    <cellStyle name="常规 6 6 5 4 3 4" xfId="46281"/>
    <cellStyle name="常规 6 6 5 4 4" xfId="46282"/>
    <cellStyle name="常规 6 6 5 4 4 2" xfId="46283"/>
    <cellStyle name="常规 6 6 5 4 5" xfId="46284"/>
    <cellStyle name="常规 6 6 5 4 6" xfId="46285"/>
    <cellStyle name="常规 6 6 5 5" xfId="46286"/>
    <cellStyle name="常规 6 6 5 5 2" xfId="46287"/>
    <cellStyle name="常规 6 6 5 5 2 2" xfId="3527"/>
    <cellStyle name="常规 6 6 5 5 2 2 2" xfId="46288"/>
    <cellStyle name="常规 6 6 5 5 2 3" xfId="16047"/>
    <cellStyle name="常规 6 6 5 5 2 4" xfId="46289"/>
    <cellStyle name="常规 6 6 5 5 3" xfId="46290"/>
    <cellStyle name="常规 6 6 5 5 3 2" xfId="16060"/>
    <cellStyle name="常规 6 6 5 5 4" xfId="46291"/>
    <cellStyle name="常规 6 6 5 5 5" xfId="46292"/>
    <cellStyle name="常规 6 6 5 6" xfId="46293"/>
    <cellStyle name="常规 6 6 5 6 2" xfId="46294"/>
    <cellStyle name="常规 6 6 5 6 2 2" xfId="8275"/>
    <cellStyle name="常规 6 6 5 6 3" xfId="46295"/>
    <cellStyle name="常规 6 6 5 6 4" xfId="46296"/>
    <cellStyle name="常规 6 6 5 7" xfId="46297"/>
    <cellStyle name="常规 6 6 5 7 2" xfId="46298"/>
    <cellStyle name="常规 6 6 5 8" xfId="46299"/>
    <cellStyle name="常规 6 6 5 9" xfId="46300"/>
    <cellStyle name="常规 6 6 6" xfId="46301"/>
    <cellStyle name="常规 6 6 6 2" xfId="46302"/>
    <cellStyle name="常规 6 6 6 2 2" xfId="46303"/>
    <cellStyle name="常规 6 6 6 2 2 2" xfId="46304"/>
    <cellStyle name="常规 6 6 6 2 2 2 2" xfId="46305"/>
    <cellStyle name="常规 6 6 6 2 2 2 2 2" xfId="46306"/>
    <cellStyle name="常规 6 6 6 2 2 2 2 2 2" xfId="46307"/>
    <cellStyle name="常规 6 6 6 2 2 2 2 3" xfId="46308"/>
    <cellStyle name="常规 6 6 6 2 2 2 2 4" xfId="46309"/>
    <cellStyle name="常规 6 6 6 2 2 2 3" xfId="46310"/>
    <cellStyle name="常规 6 6 6 2 2 2 3 2" xfId="46311"/>
    <cellStyle name="常规 6 6 6 2 2 2 4" xfId="46312"/>
    <cellStyle name="常规 6 6 6 2 2 2 5" xfId="46313"/>
    <cellStyle name="常规 6 6 6 2 2 3" xfId="46314"/>
    <cellStyle name="常规 6 6 6 2 2 3 2" xfId="46315"/>
    <cellStyle name="常规 6 6 6 2 2 3 2 2" xfId="46316"/>
    <cellStyle name="常规 6 6 6 2 2 3 3" xfId="46317"/>
    <cellStyle name="常规 6 6 6 2 2 3 4" xfId="46318"/>
    <cellStyle name="常规 6 6 6 2 2 4" xfId="46319"/>
    <cellStyle name="常规 6 6 6 2 2 4 2" xfId="46321"/>
    <cellStyle name="常规 6 6 6 2 2 5" xfId="46322"/>
    <cellStyle name="常规 6 6 6 2 2 6" xfId="46323"/>
    <cellStyle name="常规 6 6 6 2 3" xfId="46324"/>
    <cellStyle name="常规 6 6 6 2 3 2" xfId="46325"/>
    <cellStyle name="常规 6 6 6 2 3 2 2" xfId="46326"/>
    <cellStyle name="常规 6 6 6 2 3 2 2 2" xfId="46327"/>
    <cellStyle name="常规 6 6 6 2 3 2 3" xfId="46328"/>
    <cellStyle name="常规 6 6 6 2 3 2 4" xfId="46329"/>
    <cellStyle name="常规 6 6 6 2 3 3" xfId="46330"/>
    <cellStyle name="常规 6 6 6 2 3 3 2" xfId="46331"/>
    <cellStyle name="常规 6 6 6 2 3 4" xfId="46332"/>
    <cellStyle name="常规 6 6 6 2 3 5" xfId="45844"/>
    <cellStyle name="常规 6 6 6 2 4" xfId="46333"/>
    <cellStyle name="常规 6 6 6 2 4 2" xfId="46334"/>
    <cellStyle name="常规 6 6 6 2 4 2 2" xfId="46335"/>
    <cellStyle name="常规 6 6 6 2 4 3" xfId="46336"/>
    <cellStyle name="常规 6 6 6 2 4 4" xfId="46337"/>
    <cellStyle name="常规 6 6 6 2 5" xfId="46338"/>
    <cellStyle name="常规 6 6 6 2 5 2" xfId="46339"/>
    <cellStyle name="常规 6 6 6 2 6" xfId="46340"/>
    <cellStyle name="常规 6 6 6 2 7" xfId="46341"/>
    <cellStyle name="常规 6 6 6 3" xfId="46342"/>
    <cellStyle name="常规 6 6 6 3 2" xfId="46343"/>
    <cellStyle name="常规 6 6 6 3 2 2" xfId="46344"/>
    <cellStyle name="常规 6 6 6 3 2 2 2" xfId="46345"/>
    <cellStyle name="常规 6 6 6 3 2 2 2 2" xfId="46346"/>
    <cellStyle name="常规 6 6 6 3 2 2 3" xfId="46347"/>
    <cellStyle name="常规 6 6 6 3 2 2 4" xfId="46348"/>
    <cellStyle name="常规 6 6 6 3 2 3" xfId="46349"/>
    <cellStyle name="常规 6 6 6 3 2 3 2" xfId="1780"/>
    <cellStyle name="常规 6 6 6 3 2 4" xfId="46350"/>
    <cellStyle name="常规 6 6 6 3 2 5" xfId="5986"/>
    <cellStyle name="常规 6 6 6 3 3" xfId="46351"/>
    <cellStyle name="常规 6 6 6 3 3 2" xfId="46352"/>
    <cellStyle name="常规 6 6 6 3 3 2 2" xfId="27158"/>
    <cellStyle name="常规 6 6 6 3 3 3" xfId="46353"/>
    <cellStyle name="常规 6 6 6 3 3 4" xfId="46354"/>
    <cellStyle name="常规 6 6 6 3 4" xfId="46355"/>
    <cellStyle name="常规 6 6 6 3 4 2" xfId="46356"/>
    <cellStyle name="常规 6 6 6 3 5" xfId="46357"/>
    <cellStyle name="常规 6 6 6 3 6" xfId="46358"/>
    <cellStyle name="常规 6 6 6 4" xfId="46359"/>
    <cellStyle name="常规 6 6 6 4 2" xfId="46360"/>
    <cellStyle name="常规 6 6 6 4 2 2" xfId="46361"/>
    <cellStyle name="常规 6 6 6 4 2 2 2" xfId="44192"/>
    <cellStyle name="常规 6 6 6 4 2 3" xfId="46362"/>
    <cellStyle name="常规 6 6 6 4 2 4" xfId="46363"/>
    <cellStyle name="常规 6 6 6 4 3" xfId="46364"/>
    <cellStyle name="常规 6 6 6 4 3 2" xfId="46365"/>
    <cellStyle name="常规 6 6 6 4 4" xfId="46366"/>
    <cellStyle name="常规 6 6 6 4 5" xfId="46367"/>
    <cellStyle name="常规 6 6 6 5" xfId="46368"/>
    <cellStyle name="常规 6 6 6 5 2" xfId="46369"/>
    <cellStyle name="常规 6 6 6 5 2 2" xfId="16089"/>
    <cellStyle name="常规 6 6 6 5 3" xfId="46370"/>
    <cellStyle name="常规 6 6 6 5 4" xfId="46371"/>
    <cellStyle name="常规 6 6 6 6" xfId="46372"/>
    <cellStyle name="常规 6 6 6 6 2" xfId="46373"/>
    <cellStyle name="常规 6 6 6 7" xfId="46374"/>
    <cellStyle name="常规 6 6 6 8" xfId="46375"/>
    <cellStyle name="常规 6 6 7" xfId="33765"/>
    <cellStyle name="常规 6 6 7 2" xfId="33767"/>
    <cellStyle name="常规 6 6 7 2 2" xfId="46376"/>
    <cellStyle name="常规 6 6 7 2 2 2" xfId="46377"/>
    <cellStyle name="常规 6 6 7 2 2 2 2" xfId="46378"/>
    <cellStyle name="常规 6 6 7 2 2 2 2 2" xfId="46379"/>
    <cellStyle name="常规 6 6 7 2 2 2 3" xfId="46380"/>
    <cellStyle name="常规 6 6 7 2 2 2 4" xfId="46381"/>
    <cellStyle name="常规 6 6 7 2 2 3" xfId="46382"/>
    <cellStyle name="常规 6 6 7 2 2 3 2" xfId="46383"/>
    <cellStyle name="常规 6 6 7 2 2 4" xfId="46384"/>
    <cellStyle name="常规 6 6 7 2 2 5" xfId="46385"/>
    <cellStyle name="常规 6 6 7 2 3" xfId="46386"/>
    <cellStyle name="常规 6 6 7 2 3 2" xfId="46387"/>
    <cellStyle name="常规 6 6 7 2 3 2 2" xfId="46388"/>
    <cellStyle name="常规 6 6 7 2 3 3" xfId="46389"/>
    <cellStyle name="常规 6 6 7 2 3 4" xfId="46390"/>
    <cellStyle name="常规 6 6 7 2 4" xfId="46391"/>
    <cellStyle name="常规 6 6 7 2 4 2" xfId="46392"/>
    <cellStyle name="常规 6 6 7 2 5" xfId="46393"/>
    <cellStyle name="常规 6 6 7 2 6" xfId="46394"/>
    <cellStyle name="常规 6 6 7 3" xfId="46395"/>
    <cellStyle name="常规 6 6 7 3 2" xfId="46396"/>
    <cellStyle name="常规 6 6 7 3 2 2" xfId="46397"/>
    <cellStyle name="常规 6 6 7 3 2 2 2" xfId="46398"/>
    <cellStyle name="常规 6 6 7 3 2 3" xfId="46399"/>
    <cellStyle name="常规 6 6 7 3 2 4" xfId="46400"/>
    <cellStyle name="常规 6 6 7 3 3" xfId="46401"/>
    <cellStyle name="常规 6 6 7 3 3 2" xfId="46402"/>
    <cellStyle name="常规 6 6 7 3 4" xfId="46403"/>
    <cellStyle name="常规 6 6 7 3 5" xfId="46404"/>
    <cellStyle name="常规 6 6 7 4" xfId="46405"/>
    <cellStyle name="常规 6 6 7 4 2" xfId="46406"/>
    <cellStyle name="常规 6 6 7 4 2 2" xfId="46407"/>
    <cellStyle name="常规 6 6 7 4 3" xfId="46408"/>
    <cellStyle name="常规 6 6 7 4 4" xfId="46409"/>
    <cellStyle name="常规 6 6 7 5" xfId="46410"/>
    <cellStyle name="常规 6 6 7 5 2" xfId="46411"/>
    <cellStyle name="常规 6 6 7 6" xfId="46412"/>
    <cellStyle name="常规 6 6 7 7" xfId="46413"/>
    <cellStyle name="常规 6 6 8" xfId="20708"/>
    <cellStyle name="常规 6 6 8 2" xfId="46414"/>
    <cellStyle name="常规 6 6 8 2 2" xfId="46415"/>
    <cellStyle name="常规 6 6 8 2 2 2" xfId="46416"/>
    <cellStyle name="常规 6 6 8 2 2 2 2" xfId="46417"/>
    <cellStyle name="常规 6 6 8 2 2 3" xfId="46418"/>
    <cellStyle name="常规 6 6 8 2 2 4" xfId="46419"/>
    <cellStyle name="常规 6 6 8 2 3" xfId="46420"/>
    <cellStyle name="常规 6 6 8 2 3 2" xfId="46421"/>
    <cellStyle name="常规 6 6 8 2 4" xfId="46422"/>
    <cellStyle name="常规 6 6 8 2 5" xfId="46423"/>
    <cellStyle name="常规 6 6 8 3" xfId="46424"/>
    <cellStyle name="常规 6 6 8 3 2" xfId="46425"/>
    <cellStyle name="常规 6 6 8 3 2 2" xfId="46426"/>
    <cellStyle name="常规 6 6 8 3 3" xfId="46427"/>
    <cellStyle name="常规 6 6 8 3 4" xfId="46428"/>
    <cellStyle name="常规 6 6 8 4" xfId="46429"/>
    <cellStyle name="常规 6 6 8 4 2" xfId="46430"/>
    <cellStyle name="常规 6 6 8 5" xfId="46431"/>
    <cellStyle name="常规 6 6 8 6" xfId="46432"/>
    <cellStyle name="常规 6 6 9" xfId="20712"/>
    <cellStyle name="常规 6 6 9 2" xfId="46433"/>
    <cellStyle name="常规 6 6 9 2 2" xfId="46434"/>
    <cellStyle name="常规 6 6 9 2 2 2" xfId="46435"/>
    <cellStyle name="常规 6 6 9 2 3" xfId="46436"/>
    <cellStyle name="常规 6 6 9 2 4" xfId="46437"/>
    <cellStyle name="常规 6 6 9 3" xfId="46438"/>
    <cellStyle name="常规 6 6 9 3 2" xfId="46439"/>
    <cellStyle name="常规 6 6 9 4" xfId="46440"/>
    <cellStyle name="常规 6 6 9 5" xfId="46441"/>
    <cellStyle name="常规 6 7" xfId="46442"/>
    <cellStyle name="常规 6 7 10" xfId="46443"/>
    <cellStyle name="常规 6 7 10 2" xfId="46444"/>
    <cellStyle name="常规 6 7 11" xfId="46445"/>
    <cellStyle name="常规 6 7 12" xfId="46446"/>
    <cellStyle name="常规 6 7 2" xfId="46447"/>
    <cellStyle name="常规 6 7 2 10" xfId="46448"/>
    <cellStyle name="常规 6 7 2 11" xfId="46449"/>
    <cellStyle name="常规 6 7 2 2" xfId="46450"/>
    <cellStyle name="常规 6 7 2 2 2" xfId="46451"/>
    <cellStyle name="常规 6 7 2 2 2 2" xfId="46452"/>
    <cellStyle name="常规 6 7 2 2 2 2 2" xfId="46453"/>
    <cellStyle name="常规 6 7 2 2 2 2 2 2" xfId="46454"/>
    <cellStyle name="常规 6 7 2 2 2 2 2 2 2" xfId="1244"/>
    <cellStyle name="常规 6 7 2 2 2 2 2 2 2 2" xfId="46455"/>
    <cellStyle name="常规 6 7 2 2 2 2 2 2 2 2 2" xfId="46456"/>
    <cellStyle name="常规 6 7 2 2 2 2 2 2 2 3" xfId="46457"/>
    <cellStyle name="常规 6 7 2 2 2 2 2 2 2 4" xfId="46458"/>
    <cellStyle name="常规 6 7 2 2 2 2 2 2 3" xfId="46459"/>
    <cellStyle name="常规 6 7 2 2 2 2 2 2 3 2" xfId="46460"/>
    <cellStyle name="常规 6 7 2 2 2 2 2 2 4" xfId="44769"/>
    <cellStyle name="常规 6 7 2 2 2 2 2 2 5" xfId="18857"/>
    <cellStyle name="常规 6 7 2 2 2 2 2 3" xfId="46461"/>
    <cellStyle name="常规 6 7 2 2 2 2 2 3 2" xfId="46462"/>
    <cellStyle name="常规 6 7 2 2 2 2 2 3 2 2" xfId="46463"/>
    <cellStyle name="常规 6 7 2 2 2 2 2 3 3" xfId="46464"/>
    <cellStyle name="常规 6 7 2 2 2 2 2 3 4" xfId="46465"/>
    <cellStyle name="常规 6 7 2 2 2 2 2 4" xfId="46466"/>
    <cellStyle name="常规 6 7 2 2 2 2 2 4 2" xfId="46467"/>
    <cellStyle name="常规 6 7 2 2 2 2 2 5" xfId="22371"/>
    <cellStyle name="常规 6 7 2 2 2 2 2 6" xfId="22381"/>
    <cellStyle name="常规 6 7 2 2 2 2 3" xfId="46468"/>
    <cellStyle name="常规 6 7 2 2 2 2 3 2" xfId="46469"/>
    <cellStyle name="常规 6 7 2 2 2 2 3 2 2" xfId="46470"/>
    <cellStyle name="常规 6 7 2 2 2 2 3 2 2 2" xfId="46471"/>
    <cellStyle name="常规 6 7 2 2 2 2 3 2 3" xfId="46472"/>
    <cellStyle name="常规 6 7 2 2 2 2 3 2 4" xfId="46473"/>
    <cellStyle name="常规 6 7 2 2 2 2 3 3" xfId="46474"/>
    <cellStyle name="常规 6 7 2 2 2 2 3 3 2" xfId="46475"/>
    <cellStyle name="常规 6 7 2 2 2 2 3 4" xfId="46476"/>
    <cellStyle name="常规 6 7 2 2 2 2 3 5" xfId="2704"/>
    <cellStyle name="常规 6 7 2 2 2 2 4" xfId="46477"/>
    <cellStyle name="常规 6 7 2 2 2 2 4 2" xfId="46478"/>
    <cellStyle name="常规 6 7 2 2 2 2 4 2 2" xfId="46479"/>
    <cellStyle name="常规 6 7 2 2 2 2 4 3" xfId="46480"/>
    <cellStyle name="常规 6 7 2 2 2 2 4 4" xfId="46481"/>
    <cellStyle name="常规 6 7 2 2 2 2 5" xfId="46482"/>
    <cellStyle name="常规 6 7 2 2 2 2 5 2" xfId="46483"/>
    <cellStyle name="常规 6 7 2 2 2 2 6" xfId="46484"/>
    <cellStyle name="常规 6 7 2 2 2 2 7" xfId="46485"/>
    <cellStyle name="常规 6 7 2 2 2 3" xfId="46486"/>
    <cellStyle name="常规 6 7 2 2 2 3 2" xfId="46487"/>
    <cellStyle name="常规 6 7 2 2 2 3 2 2" xfId="46488"/>
    <cellStyle name="常规 6 7 2 2 2 3 2 2 2" xfId="46489"/>
    <cellStyle name="常规 6 7 2 2 2 3 2 2 2 2" xfId="46490"/>
    <cellStyle name="常规 6 7 2 2 2 3 2 2 3" xfId="46491"/>
    <cellStyle name="常规 6 7 2 2 2 3 2 2 4" xfId="46492"/>
    <cellStyle name="常规 6 7 2 2 2 3 2 3" xfId="46493"/>
    <cellStyle name="常规 6 7 2 2 2 3 2 3 2" xfId="46494"/>
    <cellStyle name="常规 6 7 2 2 2 3 2 4" xfId="46495"/>
    <cellStyle name="常规 6 7 2 2 2 3 2 5" xfId="22409"/>
    <cellStyle name="常规 6 7 2 2 2 3 3" xfId="46496"/>
    <cellStyle name="常规 6 7 2 2 2 3 3 2" xfId="46497"/>
    <cellStyle name="常规 6 7 2 2 2 3 3 2 2" xfId="46498"/>
    <cellStyle name="常规 6 7 2 2 2 3 3 3" xfId="46499"/>
    <cellStyle name="常规 6 7 2 2 2 3 3 4" xfId="46500"/>
    <cellStyle name="常规 6 7 2 2 2 3 4" xfId="46501"/>
    <cellStyle name="常规 6 7 2 2 2 3 4 2" xfId="46502"/>
    <cellStyle name="常规 6 7 2 2 2 3 5" xfId="46503"/>
    <cellStyle name="常规 6 7 2 2 2 3 6" xfId="46504"/>
    <cellStyle name="常规 6 7 2 2 2 4" xfId="46505"/>
    <cellStyle name="常规 6 7 2 2 2 4 2" xfId="46506"/>
    <cellStyle name="常规 6 7 2 2 2 4 2 2" xfId="46507"/>
    <cellStyle name="常规 6 7 2 2 2 4 2 2 2" xfId="46508"/>
    <cellStyle name="常规 6 7 2 2 2 4 2 3" xfId="46509"/>
    <cellStyle name="常规 6 7 2 2 2 4 2 4" xfId="46510"/>
    <cellStyle name="常规 6 7 2 2 2 4 3" xfId="46511"/>
    <cellStyle name="常规 6 7 2 2 2 4 3 2" xfId="46512"/>
    <cellStyle name="常规 6 7 2 2 2 4 4" xfId="46513"/>
    <cellStyle name="常规 6 7 2 2 2 4 5" xfId="46514"/>
    <cellStyle name="常规 6 7 2 2 2 5" xfId="46515"/>
    <cellStyle name="常规 6 7 2 2 2 5 2" xfId="46516"/>
    <cellStyle name="常规 6 7 2 2 2 5 2 2" xfId="46517"/>
    <cellStyle name="常规 6 7 2 2 2 5 3" xfId="46518"/>
    <cellStyle name="常规 6 7 2 2 2 5 4" xfId="46519"/>
    <cellStyle name="常规 6 7 2 2 2 6" xfId="46520"/>
    <cellStyle name="常规 6 7 2 2 2 6 2" xfId="46521"/>
    <cellStyle name="常规 6 7 2 2 2 7" xfId="46522"/>
    <cellStyle name="常规 6 7 2 2 2 8" xfId="46523"/>
    <cellStyle name="常规 6 7 2 2 3" xfId="46524"/>
    <cellStyle name="常规 6 7 2 2 3 2" xfId="46525"/>
    <cellStyle name="常规 6 7 2 2 3 2 2" xfId="46526"/>
    <cellStyle name="常规 6 7 2 2 3 2 2 2" xfId="46527"/>
    <cellStyle name="常规 6 7 2 2 3 2 2 2 2" xfId="46528"/>
    <cellStyle name="常规 6 7 2 2 3 2 2 2 2 2" xfId="46529"/>
    <cellStyle name="常规 6 7 2 2 3 2 2 2 3" xfId="46530"/>
    <cellStyle name="常规 6 7 2 2 3 2 2 2 4" xfId="44924"/>
    <cellStyle name="常规 6 7 2 2 3 2 2 3" xfId="46531"/>
    <cellStyle name="常规 6 7 2 2 3 2 2 3 2" xfId="46532"/>
    <cellStyle name="常规 6 7 2 2 3 2 2 4" xfId="46533"/>
    <cellStyle name="常规 6 7 2 2 3 2 2 5" xfId="20714"/>
    <cellStyle name="常规 6 7 2 2 3 2 3" xfId="46534"/>
    <cellStyle name="常规 6 7 2 2 3 2 3 2" xfId="46535"/>
    <cellStyle name="常规 6 7 2 2 3 2 3 2 2" xfId="46536"/>
    <cellStyle name="常规 6 7 2 2 3 2 3 3" xfId="46537"/>
    <cellStyle name="常规 6 7 2 2 3 2 3 4" xfId="46538"/>
    <cellStyle name="常规 6 7 2 2 3 2 4" xfId="46539"/>
    <cellStyle name="常规 6 7 2 2 3 2 4 2" xfId="46540"/>
    <cellStyle name="常规 6 7 2 2 3 2 5" xfId="46541"/>
    <cellStyle name="常规 6 7 2 2 3 2 6" xfId="46542"/>
    <cellStyle name="常规 6 7 2 2 3 3" xfId="46543"/>
    <cellStyle name="常规 6 7 2 2 3 3 2" xfId="31272"/>
    <cellStyle name="常规 6 7 2 2 3 3 2 2" xfId="31274"/>
    <cellStyle name="常规 6 7 2 2 3 3 2 2 2" xfId="46544"/>
    <cellStyle name="常规 6 7 2 2 3 3 2 3" xfId="46545"/>
    <cellStyle name="常规 6 7 2 2 3 3 2 4" xfId="46546"/>
    <cellStyle name="常规 6 7 2 2 3 3 3" xfId="1377"/>
    <cellStyle name="常规 6 7 2 2 3 3 3 2" xfId="46547"/>
    <cellStyle name="常规 6 7 2 2 3 3 4" xfId="1386"/>
    <cellStyle name="常规 6 7 2 2 3 3 5" xfId="46548"/>
    <cellStyle name="常规 6 7 2 2 3 4" xfId="46549"/>
    <cellStyle name="常规 6 7 2 2 3 4 2" xfId="30321"/>
    <cellStyle name="常规 6 7 2 2 3 4 2 2" xfId="46550"/>
    <cellStyle name="常规 6 7 2 2 3 4 3" xfId="27176"/>
    <cellStyle name="常规 6 7 2 2 3 4 4" xfId="46551"/>
    <cellStyle name="常规 6 7 2 2 3 5" xfId="46552"/>
    <cellStyle name="常规 6 7 2 2 3 5 2" xfId="30330"/>
    <cellStyle name="常规 6 7 2 2 3 6" xfId="46553"/>
    <cellStyle name="常规 6 7 2 2 3 7" xfId="46554"/>
    <cellStyle name="常规 6 7 2 2 4" xfId="46555"/>
    <cellStyle name="常规 6 7 2 2 4 2" xfId="46556"/>
    <cellStyle name="常规 6 7 2 2 4 2 2" xfId="46557"/>
    <cellStyle name="常规 6 7 2 2 4 2 2 2" xfId="46558"/>
    <cellStyle name="常规 6 7 2 2 4 2 2 2 2" xfId="46559"/>
    <cellStyle name="常规 6 7 2 2 4 2 2 3" xfId="46560"/>
    <cellStyle name="常规 6 7 2 2 4 2 2 4" xfId="46561"/>
    <cellStyle name="常规 6 7 2 2 4 2 3" xfId="46562"/>
    <cellStyle name="常规 6 7 2 2 4 2 3 2" xfId="46563"/>
    <cellStyle name="常规 6 7 2 2 4 2 4" xfId="46564"/>
    <cellStyle name="常规 6 7 2 2 4 2 5" xfId="46565"/>
    <cellStyle name="常规 6 7 2 2 4 3" xfId="46566"/>
    <cellStyle name="常规 6 7 2 2 4 3 2" xfId="31289"/>
    <cellStyle name="常规 6 7 2 2 4 3 2 2" xfId="46567"/>
    <cellStyle name="常规 6 7 2 2 4 3 3" xfId="27193"/>
    <cellStyle name="常规 6 7 2 2 4 3 4" xfId="46568"/>
    <cellStyle name="常规 6 7 2 2 4 4" xfId="46569"/>
    <cellStyle name="常规 6 7 2 2 4 4 2" xfId="30360"/>
    <cellStyle name="常规 6 7 2 2 4 5" xfId="46570"/>
    <cellStyle name="常规 6 7 2 2 4 6" xfId="46571"/>
    <cellStyle name="常规 6 7 2 2 5" xfId="46572"/>
    <cellStyle name="常规 6 7 2 2 5 2" xfId="46573"/>
    <cellStyle name="常规 6 7 2 2 5 2 2" xfId="46574"/>
    <cellStyle name="常规 6 7 2 2 5 2 2 2" xfId="46575"/>
    <cellStyle name="常规 6 7 2 2 5 2 3" xfId="46576"/>
    <cellStyle name="常规 6 7 2 2 5 2 4" xfId="46577"/>
    <cellStyle name="常规 6 7 2 2 5 3" xfId="46578"/>
    <cellStyle name="常规 6 7 2 2 5 3 2" xfId="31297"/>
    <cellStyle name="常规 6 7 2 2 5 4" xfId="46579"/>
    <cellStyle name="常规 6 7 2 2 5 5" xfId="46580"/>
    <cellStyle name="常规 6 7 2 2 6" xfId="46581"/>
    <cellStyle name="常规 6 7 2 2 6 2" xfId="46582"/>
    <cellStyle name="常规 6 7 2 2 6 2 2" xfId="46583"/>
    <cellStyle name="常规 6 7 2 2 6 3" xfId="46584"/>
    <cellStyle name="常规 6 7 2 2 6 4" xfId="46585"/>
    <cellStyle name="常规 6 7 2 2 7" xfId="46586"/>
    <cellStyle name="常规 6 7 2 2 7 2" xfId="46587"/>
    <cellStyle name="常规 6 7 2 2 8" xfId="46588"/>
    <cellStyle name="常规 6 7 2 2 9" xfId="38182"/>
    <cellStyle name="常规 6 7 2 3" xfId="46589"/>
    <cellStyle name="常规 6 7 2 3 2" xfId="46590"/>
    <cellStyle name="常规 6 7 2 3 2 2" xfId="46591"/>
    <cellStyle name="常规 6 7 2 3 2 2 2" xfId="46592"/>
    <cellStyle name="常规 6 7 2 3 2 2 2 2" xfId="46593"/>
    <cellStyle name="常规 6 7 2 3 2 2 2 2 2" xfId="46594"/>
    <cellStyle name="常规 6 7 2 3 2 2 2 2 2 2" xfId="46595"/>
    <cellStyle name="常规 6 7 2 3 2 2 2 2 2 2 2" xfId="43460"/>
    <cellStyle name="常规 6 7 2 3 2 2 2 2 2 3" xfId="18404"/>
    <cellStyle name="常规 6 7 2 3 2 2 2 2 2 4" xfId="18411"/>
    <cellStyle name="常规 6 7 2 3 2 2 2 2 3" xfId="46596"/>
    <cellStyle name="常规 6 7 2 3 2 2 2 2 3 2" xfId="46597"/>
    <cellStyle name="常规 6 7 2 3 2 2 2 2 4" xfId="46598"/>
    <cellStyle name="常规 6 7 2 3 2 2 2 2 5" xfId="7461"/>
    <cellStyle name="常规 6 7 2 3 2 2 2 3" xfId="31958"/>
    <cellStyle name="常规 6 7 2 3 2 2 2 3 2" xfId="32714"/>
    <cellStyle name="常规 6 7 2 3 2 2 2 3 2 2" xfId="46599"/>
    <cellStyle name="常规 6 7 2 3 2 2 2 3 3" xfId="46600"/>
    <cellStyle name="常规 6 7 2 3 2 2 2 3 4" xfId="46601"/>
    <cellStyle name="常规 6 7 2 3 2 2 2 4" xfId="46602"/>
    <cellStyle name="常规 6 7 2 3 2 2 2 4 2" xfId="46603"/>
    <cellStyle name="常规 6 7 2 3 2 2 2 5" xfId="22532"/>
    <cellStyle name="常规 6 7 2 3 2 2 2 6" xfId="9650"/>
    <cellStyle name="常规 6 7 2 3 2 2 3" xfId="46604"/>
    <cellStyle name="常规 6 7 2 3 2 2 3 2" xfId="46605"/>
    <cellStyle name="常规 6 7 2 3 2 2 3 2 2" xfId="46606"/>
    <cellStyle name="常规 6 7 2 3 2 2 3 2 2 2" xfId="46607"/>
    <cellStyle name="常规 6 7 2 3 2 2 3 2 3" xfId="46608"/>
    <cellStyle name="常规 6 7 2 3 2 2 3 2 4" xfId="46609"/>
    <cellStyle name="常规 6 7 2 3 2 2 3 3" xfId="46610"/>
    <cellStyle name="常规 6 7 2 3 2 2 3 3 2" xfId="46611"/>
    <cellStyle name="常规 6 7 2 3 2 2 3 4" xfId="46612"/>
    <cellStyle name="常规 6 7 2 3 2 2 3 5" xfId="22584"/>
    <cellStyle name="常规 6 7 2 3 2 2 4" xfId="46613"/>
    <cellStyle name="常规 6 7 2 3 2 2 4 2" xfId="46614"/>
    <cellStyle name="常规 6 7 2 3 2 2 4 2 2" xfId="46615"/>
    <cellStyle name="常规 6 7 2 3 2 2 4 3" xfId="46616"/>
    <cellStyle name="常规 6 7 2 3 2 2 4 4" xfId="46617"/>
    <cellStyle name="常规 6 7 2 3 2 2 5" xfId="46618"/>
    <cellStyle name="常规 6 7 2 3 2 2 5 2" xfId="1696"/>
    <cellStyle name="常规 6 7 2 3 2 2 6" xfId="46619"/>
    <cellStyle name="常规 6 7 2 3 2 2 7" xfId="46620"/>
    <cellStyle name="常规 6 7 2 3 2 3" xfId="46621"/>
    <cellStyle name="常规 6 7 2 3 2 3 2" xfId="46622"/>
    <cellStyle name="常规 6 7 2 3 2 3 2 2" xfId="46623"/>
    <cellStyle name="常规 6 7 2 3 2 3 2 2 2" xfId="46624"/>
    <cellStyle name="常规 6 7 2 3 2 3 2 2 2 2" xfId="46625"/>
    <cellStyle name="常规 6 7 2 3 2 3 2 2 3" xfId="46626"/>
    <cellStyle name="常规 6 7 2 3 2 3 2 2 4" xfId="46627"/>
    <cellStyle name="常规 6 7 2 3 2 3 2 3" xfId="46628"/>
    <cellStyle name="常规 6 7 2 3 2 3 2 3 2" xfId="46629"/>
    <cellStyle name="常规 6 7 2 3 2 3 2 4" xfId="46630"/>
    <cellStyle name="常规 6 7 2 3 2 3 2 5" xfId="22611"/>
    <cellStyle name="常规 6 7 2 3 2 3 3" xfId="46631"/>
    <cellStyle name="常规 6 7 2 3 2 3 3 2" xfId="46632"/>
    <cellStyle name="常规 6 7 2 3 2 3 3 2 2" xfId="46633"/>
    <cellStyle name="常规 6 7 2 3 2 3 3 3" xfId="46634"/>
    <cellStyle name="常规 6 7 2 3 2 3 3 4" xfId="46635"/>
    <cellStyle name="常规 6 7 2 3 2 3 4" xfId="46636"/>
    <cellStyle name="常规 6 7 2 3 2 3 4 2" xfId="46637"/>
    <cellStyle name="常规 6 7 2 3 2 3 5" xfId="46638"/>
    <cellStyle name="常规 6 7 2 3 2 3 6" xfId="46639"/>
    <cellStyle name="常规 6 7 2 3 2 4" xfId="46640"/>
    <cellStyle name="常规 6 7 2 3 2 4 2" xfId="46641"/>
    <cellStyle name="常规 6 7 2 3 2 4 2 2" xfId="46642"/>
    <cellStyle name="常规 6 7 2 3 2 4 2 2 2" xfId="46643"/>
    <cellStyle name="常规 6 7 2 3 2 4 2 3" xfId="46644"/>
    <cellStyle name="常规 6 7 2 3 2 4 2 4" xfId="46645"/>
    <cellStyle name="常规 6 7 2 3 2 4 3" xfId="46646"/>
    <cellStyle name="常规 6 7 2 3 2 4 3 2" xfId="46647"/>
    <cellStyle name="常规 6 7 2 3 2 4 4" xfId="46648"/>
    <cellStyle name="常规 6 7 2 3 2 4 5" xfId="25923"/>
    <cellStyle name="常规 6 7 2 3 2 5" xfId="46649"/>
    <cellStyle name="常规 6 7 2 3 2 5 2" xfId="46650"/>
    <cellStyle name="常规 6 7 2 3 2 5 2 2" xfId="46651"/>
    <cellStyle name="常规 6 7 2 3 2 5 3" xfId="46652"/>
    <cellStyle name="常规 6 7 2 3 2 5 4" xfId="46653"/>
    <cellStyle name="常规 6 7 2 3 2 6" xfId="46654"/>
    <cellStyle name="常规 6 7 2 3 2 6 2" xfId="46655"/>
    <cellStyle name="常规 6 7 2 3 2 7" xfId="46656"/>
    <cellStyle name="常规 6 7 2 3 2 8" xfId="46657"/>
    <cellStyle name="常规 6 7 2 3 3" xfId="46658"/>
    <cellStyle name="常规 6 7 2 3 3 2" xfId="24519"/>
    <cellStyle name="常规 6 7 2 3 3 2 2" xfId="46659"/>
    <cellStyle name="常规 6 7 2 3 3 2 2 2" xfId="33325"/>
    <cellStyle name="常规 6 7 2 3 3 2 2 2 2" xfId="46660"/>
    <cellStyle name="常规 6 7 2 3 3 2 2 2 2 2" xfId="46661"/>
    <cellStyle name="常规 6 7 2 3 3 2 2 2 3" xfId="46662"/>
    <cellStyle name="常规 6 7 2 3 3 2 2 2 4" xfId="46663"/>
    <cellStyle name="常规 6 7 2 3 3 2 2 3" xfId="32043"/>
    <cellStyle name="常规 6 7 2 3 3 2 2 3 2" xfId="46664"/>
    <cellStyle name="常规 6 7 2 3 3 2 2 4" xfId="46665"/>
    <cellStyle name="常规 6 7 2 3 3 2 2 5" xfId="22659"/>
    <cellStyle name="常规 6 7 2 3 3 2 3" xfId="46666"/>
    <cellStyle name="常规 6 7 2 3 3 2 3 2" xfId="46667"/>
    <cellStyle name="常规 6 7 2 3 3 2 3 2 2" xfId="46668"/>
    <cellStyle name="常规 6 7 2 3 3 2 3 3" xfId="46669"/>
    <cellStyle name="常规 6 7 2 3 3 2 3 4" xfId="46670"/>
    <cellStyle name="常规 6 7 2 3 3 2 4" xfId="14372"/>
    <cellStyle name="常规 6 7 2 3 3 2 4 2" xfId="46671"/>
    <cellStyle name="常规 6 7 2 3 3 2 5" xfId="46672"/>
    <cellStyle name="常规 6 7 2 3 3 2 6" xfId="46673"/>
    <cellStyle name="常规 6 7 2 3 3 3" xfId="46674"/>
    <cellStyle name="常规 6 7 2 3 3 3 2" xfId="31332"/>
    <cellStyle name="常规 6 7 2 3 3 3 2 2" xfId="46675"/>
    <cellStyle name="常规 6 7 2 3 3 3 2 2 2" xfId="46676"/>
    <cellStyle name="常规 6 7 2 3 3 3 2 3" xfId="46677"/>
    <cellStyle name="常规 6 7 2 3 3 3 2 4" xfId="46678"/>
    <cellStyle name="常规 6 7 2 3 3 3 3" xfId="27214"/>
    <cellStyle name="常规 6 7 2 3 3 3 3 2" xfId="46679"/>
    <cellStyle name="常规 6 7 2 3 3 3 4" xfId="46680"/>
    <cellStyle name="常规 6 7 2 3 3 3 5" xfId="46681"/>
    <cellStyle name="常规 6 7 2 3 3 4" xfId="46682"/>
    <cellStyle name="常规 6 7 2 3 3 4 2" xfId="30444"/>
    <cellStyle name="常规 6 7 2 3 3 4 2 2" xfId="46683"/>
    <cellStyle name="常规 6 7 2 3 3 4 3" xfId="46684"/>
    <cellStyle name="常规 6 7 2 3 3 4 4" xfId="46685"/>
    <cellStyle name="常规 6 7 2 3 3 5" xfId="46686"/>
    <cellStyle name="常规 6 7 2 3 3 5 2" xfId="46687"/>
    <cellStyle name="常规 6 7 2 3 3 6" xfId="46688"/>
    <cellStyle name="常规 6 7 2 3 3 7" xfId="46689"/>
    <cellStyle name="常规 6 7 2 3 4" xfId="46690"/>
    <cellStyle name="常规 6 7 2 3 4 2" xfId="46691"/>
    <cellStyle name="常规 6 7 2 3 4 2 2" xfId="46692"/>
    <cellStyle name="常规 6 7 2 3 4 2 2 2" xfId="46693"/>
    <cellStyle name="常规 6 7 2 3 4 2 2 2 2" xfId="46694"/>
    <cellStyle name="常规 6 7 2 3 4 2 2 3" xfId="46695"/>
    <cellStyle name="常规 6 7 2 3 4 2 2 4" xfId="27601"/>
    <cellStyle name="常规 6 7 2 3 4 2 3" xfId="46696"/>
    <cellStyle name="常规 6 7 2 3 4 2 3 2" xfId="46697"/>
    <cellStyle name="常规 6 7 2 3 4 2 4" xfId="46698"/>
    <cellStyle name="常规 6 7 2 3 4 2 5" xfId="46699"/>
    <cellStyle name="常规 6 7 2 3 4 3" xfId="46700"/>
    <cellStyle name="常规 6 7 2 3 4 3 2" xfId="6669"/>
    <cellStyle name="常规 6 7 2 3 4 3 2 2" xfId="46701"/>
    <cellStyle name="常规 6 7 2 3 4 3 3" xfId="6672"/>
    <cellStyle name="常规 6 7 2 3 4 3 4" xfId="46702"/>
    <cellStyle name="常规 6 7 2 3 4 4" xfId="46703"/>
    <cellStyle name="常规 6 7 2 3 4 4 2" xfId="46704"/>
    <cellStyle name="常规 6 7 2 3 4 5" xfId="46705"/>
    <cellStyle name="常规 6 7 2 3 4 6" xfId="46706"/>
    <cellStyle name="常规 6 7 2 3 5" xfId="46707"/>
    <cellStyle name="常规 6 7 2 3 5 2" xfId="46708"/>
    <cellStyle name="常规 6 7 2 3 5 2 2" xfId="46709"/>
    <cellStyle name="常规 6 7 2 3 5 2 2 2" xfId="46710"/>
    <cellStyle name="常规 6 7 2 3 5 2 3" xfId="46712"/>
    <cellStyle name="常规 6 7 2 3 5 2 4" xfId="46714"/>
    <cellStyle name="常规 6 7 2 3 5 3" xfId="46715"/>
    <cellStyle name="常规 6 7 2 3 5 3 2" xfId="46716"/>
    <cellStyle name="常规 6 7 2 3 5 4" xfId="46717"/>
    <cellStyle name="常规 6 7 2 3 5 5" xfId="46718"/>
    <cellStyle name="常规 6 7 2 3 6" xfId="46719"/>
    <cellStyle name="常规 6 7 2 3 6 2" xfId="46720"/>
    <cellStyle name="常规 6 7 2 3 6 2 2" xfId="46721"/>
    <cellStyle name="常规 6 7 2 3 6 3" xfId="46722"/>
    <cellStyle name="常规 6 7 2 3 6 4" xfId="46723"/>
    <cellStyle name="常规 6 7 2 3 7" xfId="46724"/>
    <cellStyle name="常规 6 7 2 3 7 2" xfId="46725"/>
    <cellStyle name="常规 6 7 2 3 8" xfId="46726"/>
    <cellStyle name="常规 6 7 2 3 9" xfId="38193"/>
    <cellStyle name="常规 6 7 2 4" xfId="46727"/>
    <cellStyle name="常规 6 7 2 4 2" xfId="46728"/>
    <cellStyle name="常规 6 7 2 4 2 2" xfId="46729"/>
    <cellStyle name="常规 6 7 2 4 2 2 2" xfId="46730"/>
    <cellStyle name="常规 6 7 2 4 2 2 2 2" xfId="46731"/>
    <cellStyle name="常规 6 7 2 4 2 2 2 2 2" xfId="46732"/>
    <cellStyle name="常规 6 7 2 4 2 2 2 2 2 2" xfId="9673"/>
    <cellStyle name="常规 6 7 2 4 2 2 2 2 3" xfId="46733"/>
    <cellStyle name="常规 6 7 2 4 2 2 2 2 4" xfId="29080"/>
    <cellStyle name="常规 6 7 2 4 2 2 2 3" xfId="46734"/>
    <cellStyle name="常规 6 7 2 4 2 2 2 3 2" xfId="32784"/>
    <cellStyle name="常规 6 7 2 4 2 2 2 4" xfId="46735"/>
    <cellStyle name="常规 6 7 2 4 2 2 2 5" xfId="15841"/>
    <cellStyle name="常规 6 7 2 4 2 2 3" xfId="46736"/>
    <cellStyle name="常规 6 7 2 4 2 2 3 2" xfId="46737"/>
    <cellStyle name="常规 6 7 2 4 2 2 3 2 2" xfId="46738"/>
    <cellStyle name="常规 6 7 2 4 2 2 3 3" xfId="46739"/>
    <cellStyle name="常规 6 7 2 4 2 2 3 4" xfId="3985"/>
    <cellStyle name="常规 6 7 2 4 2 2 4" xfId="46740"/>
    <cellStyle name="常规 6 7 2 4 2 2 4 2" xfId="46741"/>
    <cellStyle name="常规 6 7 2 4 2 2 5" xfId="46742"/>
    <cellStyle name="常规 6 7 2 4 2 2 6" xfId="46743"/>
    <cellStyle name="常规 6 7 2 4 2 3" xfId="46744"/>
    <cellStyle name="常规 6 7 2 4 2 3 2" xfId="46745"/>
    <cellStyle name="常规 6 7 2 4 2 3 2 2" xfId="46746"/>
    <cellStyle name="常规 6 7 2 4 2 3 2 2 2" xfId="46747"/>
    <cellStyle name="常规 6 7 2 4 2 3 2 3" xfId="46748"/>
    <cellStyle name="常规 6 7 2 4 2 3 2 4" xfId="46749"/>
    <cellStyle name="常规 6 7 2 4 2 3 3" xfId="46750"/>
    <cellStyle name="常规 6 7 2 4 2 3 3 2" xfId="46751"/>
    <cellStyle name="常规 6 7 2 4 2 3 4" xfId="31940"/>
    <cellStyle name="常规 6 7 2 4 2 3 5" xfId="31942"/>
    <cellStyle name="常规 6 7 2 4 2 4" xfId="46752"/>
    <cellStyle name="常规 6 7 2 4 2 4 2" xfId="46753"/>
    <cellStyle name="常规 6 7 2 4 2 4 2 2" xfId="14765"/>
    <cellStyle name="常规 6 7 2 4 2 4 3" xfId="46754"/>
    <cellStyle name="常规 6 7 2 4 2 4 4" xfId="30059"/>
    <cellStyle name="常规 6 7 2 4 2 5" xfId="46041"/>
    <cellStyle name="常规 6 7 2 4 2 5 2" xfId="46043"/>
    <cellStyle name="常规 6 7 2 4 2 6" xfId="46045"/>
    <cellStyle name="常规 6 7 2 4 2 7" xfId="46047"/>
    <cellStyle name="常规 6 7 2 4 3" xfId="46755"/>
    <cellStyle name="常规 6 7 2 4 3 2" xfId="46756"/>
    <cellStyle name="常规 6 7 2 4 3 2 2" xfId="46757"/>
    <cellStyle name="常规 6 7 2 4 3 2 2 2" xfId="12247"/>
    <cellStyle name="常规 6 7 2 4 3 2 2 2 2" xfId="46758"/>
    <cellStyle name="常规 6 7 2 4 3 2 2 3" xfId="33413"/>
    <cellStyle name="常规 6 7 2 4 3 2 2 4" xfId="46759"/>
    <cellStyle name="常规 6 7 2 4 3 2 3" xfId="46760"/>
    <cellStyle name="常规 6 7 2 4 3 2 3 2" xfId="46761"/>
    <cellStyle name="常规 6 7 2 4 3 2 4" xfId="46762"/>
    <cellStyle name="常规 6 7 2 4 3 2 5" xfId="46763"/>
    <cellStyle name="常规 6 7 2 4 3 3" xfId="46764"/>
    <cellStyle name="常规 6 7 2 4 3 3 2" xfId="31361"/>
    <cellStyle name="常规 6 7 2 4 3 3 2 2" xfId="46765"/>
    <cellStyle name="常规 6 7 2 4 3 3 3" xfId="46766"/>
    <cellStyle name="常规 6 7 2 4 3 3 4" xfId="31945"/>
    <cellStyle name="常规 6 7 2 4 3 4" xfId="46767"/>
    <cellStyle name="常规 6 7 2 4 3 4 2" xfId="46768"/>
    <cellStyle name="常规 6 7 2 4 3 5" xfId="46050"/>
    <cellStyle name="常规 6 7 2 4 3 6" xfId="46769"/>
    <cellStyle name="常规 6 7 2 4 4" xfId="46770"/>
    <cellStyle name="常规 6 7 2 4 4 2" xfId="46771"/>
    <cellStyle name="常规 6 7 2 4 4 2 2" xfId="46772"/>
    <cellStyle name="常规 6 7 2 4 4 2 2 2" xfId="46773"/>
    <cellStyle name="常规 6 7 2 4 4 2 3" xfId="46774"/>
    <cellStyle name="常规 6 7 2 4 4 2 4" xfId="46775"/>
    <cellStyle name="常规 6 7 2 4 4 3" xfId="46776"/>
    <cellStyle name="常规 6 7 2 4 4 3 2" xfId="46777"/>
    <cellStyle name="常规 6 7 2 4 4 4" xfId="46778"/>
    <cellStyle name="常规 6 7 2 4 4 5" xfId="46779"/>
    <cellStyle name="常规 6 7 2 4 5" xfId="46780"/>
    <cellStyle name="常规 6 7 2 4 5 2" xfId="33829"/>
    <cellStyle name="常规 6 7 2 4 5 2 2" xfId="46781"/>
    <cellStyle name="常规 6 7 2 4 5 3" xfId="33831"/>
    <cellStyle name="常规 6 7 2 4 5 4" xfId="46782"/>
    <cellStyle name="常规 6 7 2 4 6" xfId="46783"/>
    <cellStyle name="常规 6 7 2 4 6 2" xfId="26440"/>
    <cellStyle name="常规 6 7 2 4 7" xfId="46784"/>
    <cellStyle name="常规 6 7 2 4 8" xfId="46785"/>
    <cellStyle name="常规 6 7 2 5" xfId="46786"/>
    <cellStyle name="常规 6 7 2 5 2" xfId="46787"/>
    <cellStyle name="常规 6 7 2 5 2 2" xfId="46788"/>
    <cellStyle name="常规 6 7 2 5 2 2 2" xfId="46789"/>
    <cellStyle name="常规 6 7 2 5 2 2 2 2" xfId="46790"/>
    <cellStyle name="常规 6 7 2 5 2 2 2 2 2" xfId="46791"/>
    <cellStyle name="常规 6 7 2 5 2 2 2 3" xfId="46792"/>
    <cellStyle name="常规 6 7 2 5 2 2 2 4" xfId="46793"/>
    <cellStyle name="常规 6 7 2 5 2 2 3" xfId="46794"/>
    <cellStyle name="常规 6 7 2 5 2 2 3 2" xfId="46795"/>
    <cellStyle name="常规 6 7 2 5 2 2 4" xfId="46796"/>
    <cellStyle name="常规 6 7 2 5 2 2 5" xfId="18143"/>
    <cellStyle name="常规 6 7 2 5 2 3" xfId="46797"/>
    <cellStyle name="常规 6 7 2 5 2 3 2" xfId="46798"/>
    <cellStyle name="常规 6 7 2 5 2 3 2 2" xfId="46799"/>
    <cellStyle name="常规 6 7 2 5 2 3 3" xfId="46800"/>
    <cellStyle name="常规 6 7 2 5 2 3 4" xfId="7184"/>
    <cellStyle name="常规 6 7 2 5 2 4" xfId="46801"/>
    <cellStyle name="常规 6 7 2 5 2 4 2" xfId="46802"/>
    <cellStyle name="常规 6 7 2 5 2 5" xfId="46069"/>
    <cellStyle name="常规 6 7 2 5 2 6" xfId="46803"/>
    <cellStyle name="常规 6 7 2 5 3" xfId="46804"/>
    <cellStyle name="常规 6 7 2 5 3 2" xfId="46805"/>
    <cellStyle name="常规 6 7 2 5 3 2 2" xfId="46806"/>
    <cellStyle name="常规 6 7 2 5 3 2 2 2" xfId="46807"/>
    <cellStyle name="常规 6 7 2 5 3 2 3" xfId="46808"/>
    <cellStyle name="常规 6 7 2 5 3 2 4" xfId="46809"/>
    <cellStyle name="常规 6 7 2 5 3 3" xfId="46810"/>
    <cellStyle name="常规 6 7 2 5 3 3 2" xfId="1873"/>
    <cellStyle name="常规 6 7 2 5 3 4" xfId="46811"/>
    <cellStyle name="常规 6 7 2 5 3 5" xfId="45713"/>
    <cellStyle name="常规 6 7 2 5 4" xfId="46812"/>
    <cellStyle name="常规 6 7 2 5 4 2" xfId="46813"/>
    <cellStyle name="常规 6 7 2 5 4 2 2" xfId="46814"/>
    <cellStyle name="常规 6 7 2 5 4 3" xfId="32421"/>
    <cellStyle name="常规 6 7 2 5 4 4" xfId="31090"/>
    <cellStyle name="常规 6 7 2 5 5" xfId="46815"/>
    <cellStyle name="常规 6 7 2 5 5 2" xfId="33839"/>
    <cellStyle name="常规 6 7 2 5 6" xfId="46816"/>
    <cellStyle name="常规 6 7 2 5 7" xfId="46817"/>
    <cellStyle name="常规 6 7 2 6" xfId="46818"/>
    <cellStyle name="常规 6 7 2 6 2" xfId="46819"/>
    <cellStyle name="常规 6 7 2 6 2 2" xfId="46820"/>
    <cellStyle name="常规 6 7 2 6 2 2 2" xfId="46821"/>
    <cellStyle name="常规 6 7 2 6 2 2 2 2" xfId="46822"/>
    <cellStyle name="常规 6 7 2 6 2 2 3" xfId="46823"/>
    <cellStyle name="常规 6 7 2 6 2 2 4" xfId="32688"/>
    <cellStyle name="常规 6 7 2 6 2 3" xfId="46824"/>
    <cellStyle name="常规 6 7 2 6 2 3 2" xfId="46825"/>
    <cellStyle name="常规 6 7 2 6 2 4" xfId="46826"/>
    <cellStyle name="常规 6 7 2 6 2 5" xfId="46827"/>
    <cellStyle name="常规 6 7 2 6 3" xfId="46828"/>
    <cellStyle name="常规 6 7 2 6 3 2" xfId="46829"/>
    <cellStyle name="常规 6 7 2 6 3 2 2" xfId="46830"/>
    <cellStyle name="常规 6 7 2 6 3 3" xfId="46831"/>
    <cellStyle name="常规 6 7 2 6 3 4" xfId="46832"/>
    <cellStyle name="常规 6 7 2 6 4" xfId="46833"/>
    <cellStyle name="常规 6 7 2 6 4 2" xfId="46834"/>
    <cellStyle name="常规 6 7 2 6 5" xfId="46835"/>
    <cellStyle name="常规 6 7 2 6 6" xfId="46836"/>
    <cellStyle name="常规 6 7 2 7" xfId="46837"/>
    <cellStyle name="常规 6 7 2 7 2" xfId="46838"/>
    <cellStyle name="常规 6 7 2 7 2 2" xfId="46839"/>
    <cellStyle name="常规 6 7 2 7 2 2 2" xfId="46840"/>
    <cellStyle name="常规 6 7 2 7 2 3" xfId="46841"/>
    <cellStyle name="常规 6 7 2 7 2 4" xfId="46842"/>
    <cellStyle name="常规 6 7 2 7 3" xfId="46843"/>
    <cellStyle name="常规 6 7 2 7 3 2" xfId="46844"/>
    <cellStyle name="常规 6 7 2 7 4" xfId="3114"/>
    <cellStyle name="常规 6 7 2 7 5" xfId="88"/>
    <cellStyle name="常规 6 7 2 8" xfId="46845"/>
    <cellStyle name="常规 6 7 2 8 2" xfId="46846"/>
    <cellStyle name="常规 6 7 2 8 2 2" xfId="46847"/>
    <cellStyle name="常规 6 7 2 8 3" xfId="46848"/>
    <cellStyle name="常规 6 7 2 8 4" xfId="3127"/>
    <cellStyle name="常规 6 7 2 9" xfId="46849"/>
    <cellStyle name="常规 6 7 2 9 2" xfId="46850"/>
    <cellStyle name="常规 6 7 3" xfId="46851"/>
    <cellStyle name="常规 6 7 3 2" xfId="5387"/>
    <cellStyle name="常规 6 7 3 2 2" xfId="46852"/>
    <cellStyle name="常规 6 7 3 2 2 2" xfId="46853"/>
    <cellStyle name="常规 6 7 3 2 2 2 2" xfId="46854"/>
    <cellStyle name="常规 6 7 3 2 2 2 2 2" xfId="46855"/>
    <cellStyle name="常规 6 7 3 2 2 2 2 2 2" xfId="46856"/>
    <cellStyle name="常规 6 7 3 2 2 2 2 2 2 2" xfId="46857"/>
    <cellStyle name="常规 6 7 3 2 2 2 2 2 3" xfId="46858"/>
    <cellStyle name="常规 6 7 3 2 2 2 2 2 4" xfId="46859"/>
    <cellStyle name="常规 6 7 3 2 2 2 2 3" xfId="46860"/>
    <cellStyle name="常规 6 7 3 2 2 2 2 3 2" xfId="46861"/>
    <cellStyle name="常规 6 7 3 2 2 2 2 4" xfId="46862"/>
    <cellStyle name="常规 6 7 3 2 2 2 2 5" xfId="18302"/>
    <cellStyle name="常规 6 7 3 2 2 2 3" xfId="46863"/>
    <cellStyle name="常规 6 7 3 2 2 2 3 2" xfId="46864"/>
    <cellStyle name="常规 6 7 3 2 2 2 3 2 2" xfId="46865"/>
    <cellStyle name="常规 6 7 3 2 2 2 3 3" xfId="46866"/>
    <cellStyle name="常规 6 7 3 2 2 2 3 4" xfId="46867"/>
    <cellStyle name="常规 6 7 3 2 2 2 4" xfId="46868"/>
    <cellStyle name="常规 6 7 3 2 2 2 4 2" xfId="46869"/>
    <cellStyle name="常规 6 7 3 2 2 2 5" xfId="46870"/>
    <cellStyle name="常规 6 7 3 2 2 2 6" xfId="46871"/>
    <cellStyle name="常规 6 7 3 2 2 3" xfId="46872"/>
    <cellStyle name="常规 6 7 3 2 2 3 2" xfId="46873"/>
    <cellStyle name="常规 6 7 3 2 2 3 2 2" xfId="46874"/>
    <cellStyle name="常规 6 7 3 2 2 3 2 2 2" xfId="46875"/>
    <cellStyle name="常规 6 7 3 2 2 3 2 3" xfId="46876"/>
    <cellStyle name="常规 6 7 3 2 2 3 2 4" xfId="46877"/>
    <cellStyle name="常规 6 7 3 2 2 3 3" xfId="46878"/>
    <cellStyle name="常规 6 7 3 2 2 3 3 2" xfId="46879"/>
    <cellStyle name="常规 6 7 3 2 2 3 4" xfId="46880"/>
    <cellStyle name="常规 6 7 3 2 2 3 5" xfId="46881"/>
    <cellStyle name="常规 6 7 3 2 2 4" xfId="46882"/>
    <cellStyle name="常规 6 7 3 2 2 4 2" xfId="46883"/>
    <cellStyle name="常规 6 7 3 2 2 4 2 2" xfId="46884"/>
    <cellStyle name="常规 6 7 3 2 2 4 3" xfId="46885"/>
    <cellStyle name="常规 6 7 3 2 2 4 4" xfId="46886"/>
    <cellStyle name="常规 6 7 3 2 2 5" xfId="46887"/>
    <cellStyle name="常规 6 7 3 2 2 5 2" xfId="46888"/>
    <cellStyle name="常规 6 7 3 2 2 6" xfId="46889"/>
    <cellStyle name="常规 6 7 3 2 2 7" xfId="46890"/>
    <cellStyle name="常规 6 7 3 2 3" xfId="23946"/>
    <cellStyle name="常规 6 7 3 2 3 2" xfId="46891"/>
    <cellStyle name="常规 6 7 3 2 3 2 2" xfId="46892"/>
    <cellStyle name="常规 6 7 3 2 3 2 2 2" xfId="46893"/>
    <cellStyle name="常规 6 7 3 2 3 2 2 2 2" xfId="46894"/>
    <cellStyle name="常规 6 7 3 2 3 2 2 3" xfId="46895"/>
    <cellStyle name="常规 6 7 3 2 3 2 2 4" xfId="46896"/>
    <cellStyle name="常规 6 7 3 2 3 2 3" xfId="46897"/>
    <cellStyle name="常规 6 7 3 2 3 2 3 2" xfId="46898"/>
    <cellStyle name="常规 6 7 3 2 3 2 4" xfId="46899"/>
    <cellStyle name="常规 6 7 3 2 3 2 5" xfId="46900"/>
    <cellStyle name="常规 6 7 3 2 3 3" xfId="46901"/>
    <cellStyle name="常规 6 7 3 2 3 3 2" xfId="31556"/>
    <cellStyle name="常规 6 7 3 2 3 3 2 2" xfId="46902"/>
    <cellStyle name="常规 6 7 3 2 3 3 3" xfId="27407"/>
    <cellStyle name="常规 6 7 3 2 3 3 4" xfId="46903"/>
    <cellStyle name="常规 6 7 3 2 3 4" xfId="46904"/>
    <cellStyle name="常规 6 7 3 2 3 4 2" xfId="27310"/>
    <cellStyle name="常规 6 7 3 2 3 5" xfId="46905"/>
    <cellStyle name="常规 6 7 3 2 3 6" xfId="46906"/>
    <cellStyle name="常规 6 7 3 2 4" xfId="46907"/>
    <cellStyle name="常规 6 7 3 2 4 2" xfId="46908"/>
    <cellStyle name="常规 6 7 3 2 4 2 2" xfId="46909"/>
    <cellStyle name="常规 6 7 3 2 4 2 2 2" xfId="46910"/>
    <cellStyle name="常规 6 7 3 2 4 2 3" xfId="46911"/>
    <cellStyle name="常规 6 7 3 2 4 2 4" xfId="46912"/>
    <cellStyle name="常规 6 7 3 2 4 3" xfId="46913"/>
    <cellStyle name="常规 6 7 3 2 4 3 2" xfId="31566"/>
    <cellStyle name="常规 6 7 3 2 4 4" xfId="46914"/>
    <cellStyle name="常规 6 7 3 2 4 5" xfId="46915"/>
    <cellStyle name="常规 6 7 3 2 5" xfId="46916"/>
    <cellStyle name="常规 6 7 3 2 5 2" xfId="46917"/>
    <cellStyle name="常规 6 7 3 2 5 2 2" xfId="46918"/>
    <cellStyle name="常规 6 7 3 2 5 3" xfId="46919"/>
    <cellStyle name="常规 6 7 3 2 5 4" xfId="46920"/>
    <cellStyle name="常规 6 7 3 2 6" xfId="46921"/>
    <cellStyle name="常规 6 7 3 2 6 2" xfId="46922"/>
    <cellStyle name="常规 6 7 3 2 7" xfId="46923"/>
    <cellStyle name="常规 6 7 3 2 8" xfId="46924"/>
    <cellStyle name="常规 6 7 3 3" xfId="5390"/>
    <cellStyle name="常规 6 7 3 3 2" xfId="41688"/>
    <cellStyle name="常规 6 7 3 3 2 2" xfId="46925"/>
    <cellStyle name="常规 6 7 3 3 2 2 2" xfId="46926"/>
    <cellStyle name="常规 6 7 3 3 2 2 2 2" xfId="46927"/>
    <cellStyle name="常规 6 7 3 3 2 2 2 2 2" xfId="46928"/>
    <cellStyle name="常规 6 7 3 3 2 2 2 3" xfId="46929"/>
    <cellStyle name="常规 6 7 3 3 2 2 2 4" xfId="46930"/>
    <cellStyle name="常规 6 7 3 3 2 2 3" xfId="46931"/>
    <cellStyle name="常规 6 7 3 3 2 2 3 2" xfId="46932"/>
    <cellStyle name="常规 6 7 3 3 2 2 4" xfId="46933"/>
    <cellStyle name="常规 6 7 3 3 2 2 5" xfId="46934"/>
    <cellStyle name="常规 6 7 3 3 2 3" xfId="46935"/>
    <cellStyle name="常规 6 7 3 3 2 3 2" xfId="46936"/>
    <cellStyle name="常规 6 7 3 3 2 3 2 2" xfId="46937"/>
    <cellStyle name="常规 6 7 3 3 2 3 3" xfId="46938"/>
    <cellStyle name="常规 6 7 3 3 2 3 4" xfId="46939"/>
    <cellStyle name="常规 6 7 3 3 2 4" xfId="46940"/>
    <cellStyle name="常规 6 7 3 3 2 4 2" xfId="46941"/>
    <cellStyle name="常规 6 7 3 3 2 5" xfId="46942"/>
    <cellStyle name="常规 6 7 3 3 2 6" xfId="46943"/>
    <cellStyle name="常规 6 7 3 3 3" xfId="46944"/>
    <cellStyle name="常规 6 7 3 3 3 2" xfId="46945"/>
    <cellStyle name="常规 6 7 3 3 3 2 2" xfId="46946"/>
    <cellStyle name="常规 6 7 3 3 3 2 2 2" xfId="46947"/>
    <cellStyle name="常规 6 7 3 3 3 2 3" xfId="46948"/>
    <cellStyle name="常规 6 7 3 3 3 2 4" xfId="46949"/>
    <cellStyle name="常规 6 7 3 3 3 3" xfId="46950"/>
    <cellStyle name="常规 6 7 3 3 3 3 2" xfId="31589"/>
    <cellStyle name="常规 6 7 3 3 3 4" xfId="46951"/>
    <cellStyle name="常规 6 7 3 3 3 5" xfId="46952"/>
    <cellStyle name="常规 6 7 3 3 4" xfId="46953"/>
    <cellStyle name="常规 6 7 3 3 4 2" xfId="46954"/>
    <cellStyle name="常规 6 7 3 3 4 2 2" xfId="46955"/>
    <cellStyle name="常规 6 7 3 3 4 3" xfId="46956"/>
    <cellStyle name="常规 6 7 3 3 4 4" xfId="46957"/>
    <cellStyle name="常规 6 7 3 3 5" xfId="46958"/>
    <cellStyle name="常规 6 7 3 3 5 2" xfId="46959"/>
    <cellStyle name="常规 6 7 3 3 6" xfId="46960"/>
    <cellStyle name="常规 6 7 3 3 7" xfId="46961"/>
    <cellStyle name="常规 6 7 3 4" xfId="41690"/>
    <cellStyle name="常规 6 7 3 4 2" xfId="46962"/>
    <cellStyle name="常规 6 7 3 4 2 2" xfId="46963"/>
    <cellStyle name="常规 6 7 3 4 2 2 2" xfId="46964"/>
    <cellStyle name="常规 6 7 3 4 2 2 2 2" xfId="46965"/>
    <cellStyle name="常规 6 7 3 4 2 2 3" xfId="46966"/>
    <cellStyle name="常规 6 7 3 4 2 2 4" xfId="46967"/>
    <cellStyle name="常规 6 7 3 4 2 3" xfId="46968"/>
    <cellStyle name="常规 6 7 3 4 2 3 2" xfId="46969"/>
    <cellStyle name="常规 6 7 3 4 2 4" xfId="46970"/>
    <cellStyle name="常规 6 7 3 4 2 5" xfId="46103"/>
    <cellStyle name="常规 6 7 3 4 3" xfId="46971"/>
    <cellStyle name="常规 6 7 3 4 3 2" xfId="46972"/>
    <cellStyle name="常规 6 7 3 4 3 2 2" xfId="46973"/>
    <cellStyle name="常规 6 7 3 4 3 3" xfId="46974"/>
    <cellStyle name="常规 6 7 3 4 3 4" xfId="46975"/>
    <cellStyle name="常规 6 7 3 4 4" xfId="46976"/>
    <cellStyle name="常规 6 7 3 4 4 2" xfId="46977"/>
    <cellStyle name="常规 6 7 3 4 5" xfId="46978"/>
    <cellStyle name="常规 6 7 3 4 6" xfId="46979"/>
    <cellStyle name="常规 6 7 3 5" xfId="41692"/>
    <cellStyle name="常规 6 7 3 5 2" xfId="46980"/>
    <cellStyle name="常规 6 7 3 5 2 2" xfId="46981"/>
    <cellStyle name="常规 6 7 3 5 2 2 2" xfId="46982"/>
    <cellStyle name="常规 6 7 3 5 2 3" xfId="46983"/>
    <cellStyle name="常规 6 7 3 5 2 4" xfId="46984"/>
    <cellStyle name="常规 6 7 3 5 3" xfId="46985"/>
    <cellStyle name="常规 6 7 3 5 3 2" xfId="46986"/>
    <cellStyle name="常规 6 7 3 5 4" xfId="46987"/>
    <cellStyle name="常规 6 7 3 5 5" xfId="46988"/>
    <cellStyle name="常规 6 7 3 6" xfId="46989"/>
    <cellStyle name="常规 6 7 3 6 2" xfId="46990"/>
    <cellStyle name="常规 6 7 3 6 2 2" xfId="46991"/>
    <cellStyle name="常规 6 7 3 6 3" xfId="46992"/>
    <cellStyle name="常规 6 7 3 6 4" xfId="46993"/>
    <cellStyle name="常规 6 7 3 7" xfId="46994"/>
    <cellStyle name="常规 6 7 3 7 2" xfId="46995"/>
    <cellStyle name="常规 6 7 3 8" xfId="46996"/>
    <cellStyle name="常规 6 7 3 9" xfId="46997"/>
    <cellStyle name="常规 6 7 4" xfId="46998"/>
    <cellStyle name="常规 6 7 4 2" xfId="42866"/>
    <cellStyle name="常规 6 7 4 2 2" xfId="46999"/>
    <cellStyle name="常规 6 7 4 2 2 2" xfId="47000"/>
    <cellStyle name="常规 6 7 4 2 2 2 2" xfId="47001"/>
    <cellStyle name="常规 6 7 4 2 2 2 2 2" xfId="47002"/>
    <cellStyle name="常规 6 7 4 2 2 2 2 2 2" xfId="47003"/>
    <cellStyle name="常规 6 7 4 2 2 2 2 2 2 2" xfId="28849"/>
    <cellStyle name="常规 6 7 4 2 2 2 2 2 3" xfId="14395"/>
    <cellStyle name="常规 6 7 4 2 2 2 2 2 4" xfId="14419"/>
    <cellStyle name="常规 6 7 4 2 2 2 2 3" xfId="47004"/>
    <cellStyle name="常规 6 7 4 2 2 2 2 3 2" xfId="47005"/>
    <cellStyle name="常规 6 7 4 2 2 2 2 4" xfId="47006"/>
    <cellStyle name="常规 6 7 4 2 2 2 2 5" xfId="23082"/>
    <cellStyle name="常规 6 7 4 2 2 2 3" xfId="47007"/>
    <cellStyle name="常规 6 7 4 2 2 2 3 2" xfId="47008"/>
    <cellStyle name="常规 6 7 4 2 2 2 3 2 2" xfId="47009"/>
    <cellStyle name="常规 6 7 4 2 2 2 3 3" xfId="47010"/>
    <cellStyle name="常规 6 7 4 2 2 2 3 4" xfId="47011"/>
    <cellStyle name="常规 6 7 4 2 2 2 4" xfId="47012"/>
    <cellStyle name="常规 6 7 4 2 2 2 4 2" xfId="47013"/>
    <cellStyle name="常规 6 7 4 2 2 2 5" xfId="47014"/>
    <cellStyle name="常规 6 7 4 2 2 2 6" xfId="47015"/>
    <cellStyle name="常规 6 7 4 2 2 3" xfId="47016"/>
    <cellStyle name="常规 6 7 4 2 2 3 2" xfId="47017"/>
    <cellStyle name="常规 6 7 4 2 2 3 2 2" xfId="47018"/>
    <cellStyle name="常规 6 7 4 2 2 3 2 2 2" xfId="47019"/>
    <cellStyle name="常规 6 7 4 2 2 3 2 3" xfId="47020"/>
    <cellStyle name="常规 6 7 4 2 2 3 2 4" xfId="45262"/>
    <cellStyle name="常规 6 7 4 2 2 3 3" xfId="47021"/>
    <cellStyle name="常规 6 7 4 2 2 3 3 2" xfId="47022"/>
    <cellStyle name="常规 6 7 4 2 2 3 4" xfId="47023"/>
    <cellStyle name="常规 6 7 4 2 2 3 5" xfId="47024"/>
    <cellStyle name="常规 6 7 4 2 2 4" xfId="47025"/>
    <cellStyle name="常规 6 7 4 2 2 4 2" xfId="47026"/>
    <cellStyle name="常规 6 7 4 2 2 4 2 2" xfId="4923"/>
    <cellStyle name="常规 6 7 4 2 2 4 3" xfId="47027"/>
    <cellStyle name="常规 6 7 4 2 2 4 4" xfId="47028"/>
    <cellStyle name="常规 6 7 4 2 2 5" xfId="47029"/>
    <cellStyle name="常规 6 7 4 2 2 5 2" xfId="47030"/>
    <cellStyle name="常规 6 7 4 2 2 6" xfId="47031"/>
    <cellStyle name="常规 6 7 4 2 2 7" xfId="47032"/>
    <cellStyle name="常规 6 7 4 2 3" xfId="47033"/>
    <cellStyle name="常规 6 7 4 2 3 2" xfId="47034"/>
    <cellStyle name="常规 6 7 4 2 3 2 2" xfId="47035"/>
    <cellStyle name="常规 6 7 4 2 3 2 2 2" xfId="47036"/>
    <cellStyle name="常规 6 7 4 2 3 2 2 2 2" xfId="47037"/>
    <cellStyle name="常规 6 7 4 2 3 2 2 3" xfId="47038"/>
    <cellStyle name="常规 6 7 4 2 3 2 2 4" xfId="47039"/>
    <cellStyle name="常规 6 7 4 2 3 2 3" xfId="47040"/>
    <cellStyle name="常规 6 7 4 2 3 2 3 2" xfId="47041"/>
    <cellStyle name="常规 6 7 4 2 3 2 4" xfId="47042"/>
    <cellStyle name="常规 6 7 4 2 3 2 5" xfId="47043"/>
    <cellStyle name="常规 6 7 4 2 3 3" xfId="47044"/>
    <cellStyle name="常规 6 7 4 2 3 3 2" xfId="31765"/>
    <cellStyle name="常规 6 7 4 2 3 3 2 2" xfId="47045"/>
    <cellStyle name="常规 6 7 4 2 3 3 3" xfId="47046"/>
    <cellStyle name="常规 6 7 4 2 3 3 4" xfId="47047"/>
    <cellStyle name="常规 6 7 4 2 3 4" xfId="47048"/>
    <cellStyle name="常规 6 7 4 2 3 4 2" xfId="47049"/>
    <cellStyle name="常规 6 7 4 2 3 5" xfId="45881"/>
    <cellStyle name="常规 6 7 4 2 3 6" xfId="45887"/>
    <cellStyle name="常规 6 7 4 2 4" xfId="47050"/>
    <cellStyle name="常规 6 7 4 2 4 2" xfId="47051"/>
    <cellStyle name="常规 6 7 4 2 4 2 2" xfId="47052"/>
    <cellStyle name="常规 6 7 4 2 4 2 2 2" xfId="47053"/>
    <cellStyle name="常规 6 7 4 2 4 2 3" xfId="47054"/>
    <cellStyle name="常规 6 7 4 2 4 2 4" xfId="47055"/>
    <cellStyle name="常规 6 7 4 2 4 3" xfId="47056"/>
    <cellStyle name="常规 6 7 4 2 4 3 2" xfId="47057"/>
    <cellStyle name="常规 6 7 4 2 4 4" xfId="47058"/>
    <cellStyle name="常规 6 7 4 2 4 5" xfId="45892"/>
    <cellStyle name="常规 6 7 4 2 5" xfId="47059"/>
    <cellStyle name="常规 6 7 4 2 5 2" xfId="47060"/>
    <cellStyle name="常规 6 7 4 2 5 2 2" xfId="47061"/>
    <cellStyle name="常规 6 7 4 2 5 3" xfId="47062"/>
    <cellStyle name="常规 6 7 4 2 5 4" xfId="47063"/>
    <cellStyle name="常规 6 7 4 2 6" xfId="47064"/>
    <cellStyle name="常规 6 7 4 2 6 2" xfId="47065"/>
    <cellStyle name="常规 6 7 4 2 7" xfId="47066"/>
    <cellStyle name="常规 6 7 4 2 8" xfId="47067"/>
    <cellStyle name="常规 6 7 4 3" xfId="41695"/>
    <cellStyle name="常规 6 7 4 3 2" xfId="47068"/>
    <cellStyle name="常规 6 7 4 3 2 2" xfId="47069"/>
    <cellStyle name="常规 6 7 4 3 2 2 2" xfId="47070"/>
    <cellStyle name="常规 6 7 4 3 2 2 2 2" xfId="47071"/>
    <cellStyle name="常规 6 7 4 3 2 2 2 2 2" xfId="47072"/>
    <cellStyle name="常规 6 7 4 3 2 2 2 3" xfId="47073"/>
    <cellStyle name="常规 6 7 4 3 2 2 2 4" xfId="47074"/>
    <cellStyle name="常规 6 7 4 3 2 2 3" xfId="47075"/>
    <cellStyle name="常规 6 7 4 3 2 2 3 2" xfId="47076"/>
    <cellStyle name="常规 6 7 4 3 2 2 4" xfId="47077"/>
    <cellStyle name="常规 6 7 4 3 2 2 5" xfId="47078"/>
    <cellStyle name="常规 6 7 4 3 2 3" xfId="47079"/>
    <cellStyle name="常规 6 7 4 3 2 3 2" xfId="47080"/>
    <cellStyle name="常规 6 7 4 3 2 3 2 2" xfId="47081"/>
    <cellStyle name="常规 6 7 4 3 2 3 3" xfId="47082"/>
    <cellStyle name="常规 6 7 4 3 2 3 4" xfId="47083"/>
    <cellStyle name="常规 6 7 4 3 2 4" xfId="47084"/>
    <cellStyle name="常规 6 7 4 3 2 4 2" xfId="47085"/>
    <cellStyle name="常规 6 7 4 3 2 5" xfId="47086"/>
    <cellStyle name="常规 6 7 4 3 2 6" xfId="47087"/>
    <cellStyle name="常规 6 7 4 3 3" xfId="47088"/>
    <cellStyle name="常规 6 7 4 3 3 2" xfId="47089"/>
    <cellStyle name="常规 6 7 4 3 3 2 2" xfId="47090"/>
    <cellStyle name="常规 6 7 4 3 3 2 2 2" xfId="47091"/>
    <cellStyle name="常规 6 7 4 3 3 2 3" xfId="47092"/>
    <cellStyle name="常规 6 7 4 3 3 2 4" xfId="47093"/>
    <cellStyle name="常规 6 7 4 3 3 3" xfId="47094"/>
    <cellStyle name="常规 6 7 4 3 3 3 2" xfId="47095"/>
    <cellStyle name="常规 6 7 4 3 3 4" xfId="47096"/>
    <cellStyle name="常规 6 7 4 3 3 5" xfId="45903"/>
    <cellStyle name="常规 6 7 4 3 4" xfId="47097"/>
    <cellStyle name="常规 6 7 4 3 4 2" xfId="47098"/>
    <cellStyle name="常规 6 7 4 3 4 2 2" xfId="7756"/>
    <cellStyle name="常规 6 7 4 3 4 3" xfId="47099"/>
    <cellStyle name="常规 6 7 4 3 4 4" xfId="47100"/>
    <cellStyle name="常规 6 7 4 3 5" xfId="47101"/>
    <cellStyle name="常规 6 7 4 3 5 2" xfId="47102"/>
    <cellStyle name="常规 6 7 4 3 6" xfId="47103"/>
    <cellStyle name="常规 6 7 4 3 7" xfId="47104"/>
    <cellStyle name="常规 6 7 4 4" xfId="47105"/>
    <cellStyle name="常规 6 7 4 4 2" xfId="47106"/>
    <cellStyle name="常规 6 7 4 4 2 2" xfId="47107"/>
    <cellStyle name="常规 6 7 4 4 2 2 2" xfId="47108"/>
    <cellStyle name="常规 6 7 4 4 2 2 2 2" xfId="47109"/>
    <cellStyle name="常规 6 7 4 4 2 2 3" xfId="47110"/>
    <cellStyle name="常规 6 7 4 4 2 2 4" xfId="47111"/>
    <cellStyle name="常规 6 7 4 4 2 3" xfId="47112"/>
    <cellStyle name="常规 6 7 4 4 2 3 2" xfId="47113"/>
    <cellStyle name="常规 6 7 4 4 2 4" xfId="47114"/>
    <cellStyle name="常规 6 7 4 4 2 5" xfId="47115"/>
    <cellStyle name="常规 6 7 4 4 3" xfId="47116"/>
    <cellStyle name="常规 6 7 4 4 3 2" xfId="47117"/>
    <cellStyle name="常规 6 7 4 4 3 2 2" xfId="47118"/>
    <cellStyle name="常规 6 7 4 4 3 3" xfId="47119"/>
    <cellStyle name="常规 6 7 4 4 3 4" xfId="47120"/>
    <cellStyle name="常规 6 7 4 4 4" xfId="47121"/>
    <cellStyle name="常规 6 7 4 4 4 2" xfId="47122"/>
    <cellStyle name="常规 6 7 4 4 5" xfId="47123"/>
    <cellStyle name="常规 6 7 4 4 6" xfId="47124"/>
    <cellStyle name="常规 6 7 4 5" xfId="47125"/>
    <cellStyle name="常规 6 7 4 5 2" xfId="47126"/>
    <cellStyle name="常规 6 7 4 5 2 2" xfId="3502"/>
    <cellStyle name="常规 6 7 4 5 2 2 2" xfId="47127"/>
    <cellStyle name="常规 6 7 4 5 2 3" xfId="16222"/>
    <cellStyle name="常规 6 7 4 5 2 4" xfId="47128"/>
    <cellStyle name="常规 6 7 4 5 3" xfId="47129"/>
    <cellStyle name="常规 6 7 4 5 3 2" xfId="16234"/>
    <cellStyle name="常规 6 7 4 5 4" xfId="47130"/>
    <cellStyle name="常规 6 7 4 5 5" xfId="2869"/>
    <cellStyle name="常规 6 7 4 6" xfId="47131"/>
    <cellStyle name="常规 6 7 4 6 2" xfId="47132"/>
    <cellStyle name="常规 6 7 4 6 2 2" xfId="8346"/>
    <cellStyle name="常规 6 7 4 6 3" xfId="47133"/>
    <cellStyle name="常规 6 7 4 6 4" xfId="47134"/>
    <cellStyle name="常规 6 7 4 7" xfId="47135"/>
    <cellStyle name="常规 6 7 4 7 2" xfId="47136"/>
    <cellStyle name="常规 6 7 4 8" xfId="47137"/>
    <cellStyle name="常规 6 7 4 9" xfId="47138"/>
    <cellStyle name="常规 6 7 5" xfId="47139"/>
    <cellStyle name="常规 6 7 5 2" xfId="47140"/>
    <cellStyle name="常规 6 7 5 2 2" xfId="47141"/>
    <cellStyle name="常规 6 7 5 2 2 2" xfId="47142"/>
    <cellStyle name="常规 6 7 5 2 2 2 2" xfId="47143"/>
    <cellStyle name="常规 6 7 5 2 2 2 2 2" xfId="47144"/>
    <cellStyle name="常规 6 7 5 2 2 2 2 2 2" xfId="47145"/>
    <cellStyle name="常规 6 7 5 2 2 2 2 3" xfId="47146"/>
    <cellStyle name="常规 6 7 5 2 2 2 2 4" xfId="47147"/>
    <cellStyle name="常规 6 7 5 2 2 2 3" xfId="47148"/>
    <cellStyle name="常规 6 7 5 2 2 2 3 2" xfId="47149"/>
    <cellStyle name="常规 6 7 5 2 2 2 4" xfId="47150"/>
    <cellStyle name="常规 6 7 5 2 2 2 5" xfId="47151"/>
    <cellStyle name="常规 6 7 5 2 2 3" xfId="47152"/>
    <cellStyle name="常规 6 7 5 2 2 3 2" xfId="47153"/>
    <cellStyle name="常规 6 7 5 2 2 3 2 2" xfId="47154"/>
    <cellStyle name="常规 6 7 5 2 2 3 3" xfId="47155"/>
    <cellStyle name="常规 6 7 5 2 2 3 4" xfId="47156"/>
    <cellStyle name="常规 6 7 5 2 2 4" xfId="47157"/>
    <cellStyle name="常规 6 7 5 2 2 4 2" xfId="47158"/>
    <cellStyle name="常规 6 7 5 2 2 5" xfId="47159"/>
    <cellStyle name="常规 6 7 5 2 2 6" xfId="47160"/>
    <cellStyle name="常规 6 7 5 2 3" xfId="47161"/>
    <cellStyle name="常规 6 7 5 2 3 2" xfId="47162"/>
    <cellStyle name="常规 6 7 5 2 3 2 2" xfId="47163"/>
    <cellStyle name="常规 6 7 5 2 3 2 2 2" xfId="47164"/>
    <cellStyle name="常规 6 7 5 2 3 2 3" xfId="47165"/>
    <cellStyle name="常规 6 7 5 2 3 2 4" xfId="47166"/>
    <cellStyle name="常规 6 7 5 2 3 3" xfId="47167"/>
    <cellStyle name="常规 6 7 5 2 3 3 2" xfId="47168"/>
    <cellStyle name="常规 6 7 5 2 3 4" xfId="47169"/>
    <cellStyle name="常规 6 7 5 2 3 5" xfId="45921"/>
    <cellStyle name="常规 6 7 5 2 4" xfId="47170"/>
    <cellStyle name="常规 6 7 5 2 4 2" xfId="47171"/>
    <cellStyle name="常规 6 7 5 2 4 2 2" xfId="47172"/>
    <cellStyle name="常规 6 7 5 2 4 3" xfId="47173"/>
    <cellStyle name="常规 6 7 5 2 4 4" xfId="47174"/>
    <cellStyle name="常规 6 7 5 2 5" xfId="47175"/>
    <cellStyle name="常规 6 7 5 2 5 2" xfId="35070"/>
    <cellStyle name="常规 6 7 5 2 6" xfId="47176"/>
    <cellStyle name="常规 6 7 5 2 7" xfId="47177"/>
    <cellStyle name="常规 6 7 5 3" xfId="47178"/>
    <cellStyle name="常规 6 7 5 3 2" xfId="43087"/>
    <cellStyle name="常规 6 7 5 3 2 2" xfId="47179"/>
    <cellStyle name="常规 6 7 5 3 2 2 2" xfId="47180"/>
    <cellStyle name="常规 6 7 5 3 2 2 2 2" xfId="47181"/>
    <cellStyle name="常规 6 7 5 3 2 2 3" xfId="47182"/>
    <cellStyle name="常规 6 7 5 3 2 2 4" xfId="47183"/>
    <cellStyle name="常规 6 7 5 3 2 3" xfId="47184"/>
    <cellStyle name="常规 6 7 5 3 2 3 2" xfId="47185"/>
    <cellStyle name="常规 6 7 5 3 2 4" xfId="47186"/>
    <cellStyle name="常规 6 7 5 3 2 5" xfId="47187"/>
    <cellStyle name="常规 6 7 5 3 3" xfId="47188"/>
    <cellStyle name="常规 6 7 5 3 3 2" xfId="47189"/>
    <cellStyle name="常规 6 7 5 3 3 2 2" xfId="47190"/>
    <cellStyle name="常规 6 7 5 3 3 3" xfId="47191"/>
    <cellStyle name="常规 6 7 5 3 3 4" xfId="47192"/>
    <cellStyle name="常规 6 7 5 3 4" xfId="47193"/>
    <cellStyle name="常规 6 7 5 3 4 2" xfId="47194"/>
    <cellStyle name="常规 6 7 5 3 5" xfId="47195"/>
    <cellStyle name="常规 6 7 5 3 6" xfId="47196"/>
    <cellStyle name="常规 6 7 5 4" xfId="47197"/>
    <cellStyle name="常规 6 7 5 4 2" xfId="47198"/>
    <cellStyle name="常规 6 7 5 4 2 2" xfId="47199"/>
    <cellStyle name="常规 6 7 5 4 2 2 2" xfId="47200"/>
    <cellStyle name="常规 6 7 5 4 2 3" xfId="47201"/>
    <cellStyle name="常规 6 7 5 4 2 4" xfId="47202"/>
    <cellStyle name="常规 6 7 5 4 3" xfId="47203"/>
    <cellStyle name="常规 6 7 5 4 3 2" xfId="47204"/>
    <cellStyle name="常规 6 7 5 4 4" xfId="47205"/>
    <cellStyle name="常规 6 7 5 4 5" xfId="47206"/>
    <cellStyle name="常规 6 7 5 5" xfId="47207"/>
    <cellStyle name="常规 6 7 5 5 2" xfId="47208"/>
    <cellStyle name="常规 6 7 5 5 2 2" xfId="16319"/>
    <cellStyle name="常规 6 7 5 5 3" xfId="47209"/>
    <cellStyle name="常规 6 7 5 5 4" xfId="47210"/>
    <cellStyle name="常规 6 7 5 6" xfId="47211"/>
    <cellStyle name="常规 6 7 5 6 2" xfId="47212"/>
    <cellStyle name="常规 6 7 5 7" xfId="47213"/>
    <cellStyle name="常规 6 7 5 8" xfId="47214"/>
    <cellStyle name="常规 6 7 6" xfId="47215"/>
    <cellStyle name="常规 6 7 6 2" xfId="47216"/>
    <cellStyle name="常规 6 7 6 2 2" xfId="47217"/>
    <cellStyle name="常规 6 7 6 2 2 2" xfId="47218"/>
    <cellStyle name="常规 6 7 6 2 2 2 2" xfId="47219"/>
    <cellStyle name="常规 6 7 6 2 2 2 2 2" xfId="47220"/>
    <cellStyle name="常规 6 7 6 2 2 2 3" xfId="47221"/>
    <cellStyle name="常规 6 7 6 2 2 2 4" xfId="47222"/>
    <cellStyle name="常规 6 7 6 2 2 3" xfId="47223"/>
    <cellStyle name="常规 6 7 6 2 2 3 2" xfId="47224"/>
    <cellStyle name="常规 6 7 6 2 2 4" xfId="47225"/>
    <cellStyle name="常规 6 7 6 2 2 5" xfId="14828"/>
    <cellStyle name="常规 6 7 6 2 3" xfId="47226"/>
    <cellStyle name="常规 6 7 6 2 3 2" xfId="47227"/>
    <cellStyle name="常规 6 7 6 2 3 2 2" xfId="47228"/>
    <cellStyle name="常规 6 7 6 2 3 3" xfId="47229"/>
    <cellStyle name="常规 6 7 6 2 3 4" xfId="47230"/>
    <cellStyle name="常规 6 7 6 2 4" xfId="47231"/>
    <cellStyle name="常规 6 7 6 2 4 2" xfId="47232"/>
    <cellStyle name="常规 6 7 6 2 5" xfId="47233"/>
    <cellStyle name="常规 6 7 6 2 6" xfId="47234"/>
    <cellStyle name="常规 6 7 6 3" xfId="47235"/>
    <cellStyle name="常规 6 7 6 3 2" xfId="47236"/>
    <cellStyle name="常规 6 7 6 3 2 2" xfId="47237"/>
    <cellStyle name="常规 6 7 6 3 2 2 2" xfId="47238"/>
    <cellStyle name="常规 6 7 6 3 2 3" xfId="47239"/>
    <cellStyle name="常规 6 7 6 3 2 4" xfId="47240"/>
    <cellStyle name="常规 6 7 6 3 3" xfId="47241"/>
    <cellStyle name="常规 6 7 6 3 3 2" xfId="47242"/>
    <cellStyle name="常规 6 7 6 3 4" xfId="47243"/>
    <cellStyle name="常规 6 7 6 3 5" xfId="47244"/>
    <cellStyle name="常规 6 7 6 4" xfId="47245"/>
    <cellStyle name="常规 6 7 6 4 2" xfId="47246"/>
    <cellStyle name="常规 6 7 6 4 2 2" xfId="47247"/>
    <cellStyle name="常规 6 7 6 4 3" xfId="47248"/>
    <cellStyle name="常规 6 7 6 4 4" xfId="47249"/>
    <cellStyle name="常规 6 7 6 5" xfId="47250"/>
    <cellStyle name="常规 6 7 6 5 2" xfId="47251"/>
    <cellStyle name="常规 6 7 6 6" xfId="47252"/>
    <cellStyle name="常规 6 7 6 7" xfId="47253"/>
    <cellStyle name="常规 6 7 7" xfId="33769"/>
    <cellStyle name="常规 6 7 7 2" xfId="47254"/>
    <cellStyle name="常规 6 7 7 2 2" xfId="47255"/>
    <cellStyle name="常规 6 7 7 2 2 2" xfId="47256"/>
    <cellStyle name="常规 6 7 7 2 2 2 2" xfId="47257"/>
    <cellStyle name="常规 6 7 7 2 2 3" xfId="47258"/>
    <cellStyle name="常规 6 7 7 2 2 4" xfId="47259"/>
    <cellStyle name="常规 6 7 7 2 3" xfId="47260"/>
    <cellStyle name="常规 6 7 7 2 3 2" xfId="47261"/>
    <cellStyle name="常规 6 7 7 2 4" xfId="47262"/>
    <cellStyle name="常规 6 7 7 2 5" xfId="47263"/>
    <cellStyle name="常规 6 7 7 3" xfId="47264"/>
    <cellStyle name="常规 6 7 7 3 2" xfId="47265"/>
    <cellStyle name="常规 6 7 7 3 2 2" xfId="47266"/>
    <cellStyle name="常规 6 7 7 3 3" xfId="47267"/>
    <cellStyle name="常规 6 7 7 3 4" xfId="47268"/>
    <cellStyle name="常规 6 7 7 4" xfId="47269"/>
    <cellStyle name="常规 6 7 7 4 2" xfId="47270"/>
    <cellStyle name="常规 6 7 7 5" xfId="47271"/>
    <cellStyle name="常规 6 7 7 6" xfId="47272"/>
    <cellStyle name="常规 6 7 8" xfId="47273"/>
    <cellStyle name="常规 6 7 8 2" xfId="47274"/>
    <cellStyle name="常规 6 7 8 2 2" xfId="47275"/>
    <cellStyle name="常规 6 7 8 2 2 2" xfId="47276"/>
    <cellStyle name="常规 6 7 8 2 3" xfId="47277"/>
    <cellStyle name="常规 6 7 8 2 4" xfId="47278"/>
    <cellStyle name="常规 6 7 8 3" xfId="1552"/>
    <cellStyle name="常规 6 7 8 3 2" xfId="21280"/>
    <cellStyle name="常规 6 7 8 4" xfId="21283"/>
    <cellStyle name="常规 6 7 8 5" xfId="21286"/>
    <cellStyle name="常规 6 7 9" xfId="47279"/>
    <cellStyle name="常规 6 7 9 2" xfId="47280"/>
    <cellStyle name="常规 6 7 9 2 2" xfId="18513"/>
    <cellStyle name="常规 6 7 9 3" xfId="21289"/>
    <cellStyle name="常规 6 7 9 4" xfId="47281"/>
    <cellStyle name="常规 6 8" xfId="47282"/>
    <cellStyle name="常规 6 8 10" xfId="47283"/>
    <cellStyle name="常规 6 8 11" xfId="47284"/>
    <cellStyle name="常规 6 8 2" xfId="47285"/>
    <cellStyle name="常规 6 8 2 2" xfId="47286"/>
    <cellStyle name="常规 6 8 2 2 2" xfId="47287"/>
    <cellStyle name="常规 6 8 2 2 2 2" xfId="47288"/>
    <cellStyle name="常规 6 8 2 2 2 2 2" xfId="47289"/>
    <cellStyle name="常规 6 8 2 2 2 2 2 2" xfId="47290"/>
    <cellStyle name="常规 6 8 2 2 2 2 2 2 2" xfId="47291"/>
    <cellStyle name="常规 6 8 2 2 2 2 2 2 2 2" xfId="47292"/>
    <cellStyle name="常规 6 8 2 2 2 2 2 2 3" xfId="47293"/>
    <cellStyle name="常规 6 8 2 2 2 2 2 2 4" xfId="47294"/>
    <cellStyle name="常规 6 8 2 2 2 2 2 3" xfId="47295"/>
    <cellStyle name="常规 6 8 2 2 2 2 2 3 2" xfId="47296"/>
    <cellStyle name="常规 6 8 2 2 2 2 2 4" xfId="47297"/>
    <cellStyle name="常规 6 8 2 2 2 2 2 5" xfId="9914"/>
    <cellStyle name="常规 6 8 2 2 2 2 3" xfId="47298"/>
    <cellStyle name="常规 6 8 2 2 2 2 3 2" xfId="47299"/>
    <cellStyle name="常规 6 8 2 2 2 2 3 2 2" xfId="47300"/>
    <cellStyle name="常规 6 8 2 2 2 2 3 3" xfId="47301"/>
    <cellStyle name="常规 6 8 2 2 2 2 3 4" xfId="47302"/>
    <cellStyle name="常规 6 8 2 2 2 2 4" xfId="47303"/>
    <cellStyle name="常规 6 8 2 2 2 2 4 2" xfId="24740"/>
    <cellStyle name="常规 6 8 2 2 2 2 5" xfId="47304"/>
    <cellStyle name="常规 6 8 2 2 2 2 6" xfId="20551"/>
    <cellStyle name="常规 6 8 2 2 2 3" xfId="47305"/>
    <cellStyle name="常规 6 8 2 2 2 3 2" xfId="47306"/>
    <cellStyle name="常规 6 8 2 2 2 3 2 2" xfId="47307"/>
    <cellStyle name="常规 6 8 2 2 2 3 2 2 2" xfId="47308"/>
    <cellStyle name="常规 6 8 2 2 2 3 2 3" xfId="47309"/>
    <cellStyle name="常规 6 8 2 2 2 3 2 4" xfId="47310"/>
    <cellStyle name="常规 6 8 2 2 2 3 3" xfId="47311"/>
    <cellStyle name="常规 6 8 2 2 2 3 3 2" xfId="47312"/>
    <cellStyle name="常规 6 8 2 2 2 3 4" xfId="47313"/>
    <cellStyle name="常规 6 8 2 2 2 3 5" xfId="47314"/>
    <cellStyle name="常规 6 8 2 2 2 4" xfId="47315"/>
    <cellStyle name="常规 6 8 2 2 2 4 2" xfId="47316"/>
    <cellStyle name="常规 6 8 2 2 2 4 2 2" xfId="47317"/>
    <cellStyle name="常规 6 8 2 2 2 4 3" xfId="47318"/>
    <cellStyle name="常规 6 8 2 2 2 4 4" xfId="47319"/>
    <cellStyle name="常规 6 8 2 2 2 5" xfId="47320"/>
    <cellStyle name="常规 6 8 2 2 2 5 2" xfId="47321"/>
    <cellStyle name="常规 6 8 2 2 2 6" xfId="47322"/>
    <cellStyle name="常规 6 8 2 2 2 7" xfId="47323"/>
    <cellStyle name="常规 6 8 2 2 3" xfId="47324"/>
    <cellStyle name="常规 6 8 2 2 3 2" xfId="47325"/>
    <cellStyle name="常规 6 8 2 2 3 2 2" xfId="47326"/>
    <cellStyle name="常规 6 8 2 2 3 2 2 2" xfId="47327"/>
    <cellStyle name="常规 6 8 2 2 3 2 2 2 2" xfId="47328"/>
    <cellStyle name="常规 6 8 2 2 3 2 2 3" xfId="47329"/>
    <cellStyle name="常规 6 8 2 2 3 2 2 4" xfId="47330"/>
    <cellStyle name="常规 6 8 2 2 3 2 3" xfId="47331"/>
    <cellStyle name="常规 6 8 2 2 3 2 3 2" xfId="47332"/>
    <cellStyle name="常规 6 8 2 2 3 2 4" xfId="47333"/>
    <cellStyle name="常规 6 8 2 2 3 2 5" xfId="47334"/>
    <cellStyle name="常规 6 8 2 2 3 3" xfId="47335"/>
    <cellStyle name="常规 6 8 2 2 3 3 2" xfId="47336"/>
    <cellStyle name="常规 6 8 2 2 3 3 2 2" xfId="47337"/>
    <cellStyle name="常规 6 8 2 2 3 3 3" xfId="47338"/>
    <cellStyle name="常规 6 8 2 2 3 3 4" xfId="47339"/>
    <cellStyle name="常规 6 8 2 2 3 4" xfId="47340"/>
    <cellStyle name="常规 6 8 2 2 3 4 2" xfId="47341"/>
    <cellStyle name="常规 6 8 2 2 3 5" xfId="47342"/>
    <cellStyle name="常规 6 8 2 2 3 6" xfId="47343"/>
    <cellStyle name="常规 6 8 2 2 4" xfId="47344"/>
    <cellStyle name="常规 6 8 2 2 4 2" xfId="47345"/>
    <cellStyle name="常规 6 8 2 2 4 2 2" xfId="47346"/>
    <cellStyle name="常规 6 8 2 2 4 2 2 2" xfId="47347"/>
    <cellStyle name="常规 6 8 2 2 4 2 3" xfId="12060"/>
    <cellStyle name="常规 6 8 2 2 4 2 4" xfId="19172"/>
    <cellStyle name="常规 6 8 2 2 4 3" xfId="47348"/>
    <cellStyle name="常规 6 8 2 2 4 3 2" xfId="47349"/>
    <cellStyle name="常规 6 8 2 2 4 4" xfId="47350"/>
    <cellStyle name="常规 6 8 2 2 4 5" xfId="47351"/>
    <cellStyle name="常规 6 8 2 2 5" xfId="47352"/>
    <cellStyle name="常规 6 8 2 2 5 2" xfId="47353"/>
    <cellStyle name="常规 6 8 2 2 5 2 2" xfId="47354"/>
    <cellStyle name="常规 6 8 2 2 5 3" xfId="47355"/>
    <cellStyle name="常规 6 8 2 2 5 4" xfId="47356"/>
    <cellStyle name="常规 6 8 2 2 6" xfId="47357"/>
    <cellStyle name="常规 6 8 2 2 6 2" xfId="47358"/>
    <cellStyle name="常规 6 8 2 2 7" xfId="47359"/>
    <cellStyle name="常规 6 8 2 2 8" xfId="47360"/>
    <cellStyle name="常规 6 8 2 3" xfId="47361"/>
    <cellStyle name="常规 6 8 2 3 2" xfId="47362"/>
    <cellStyle name="常规 6 8 2 3 2 2" xfId="47363"/>
    <cellStyle name="常规 6 8 2 3 2 2 2" xfId="47364"/>
    <cellStyle name="常规 6 8 2 3 2 2 2 2" xfId="47365"/>
    <cellStyle name="常规 6 8 2 3 2 2 2 2 2" xfId="47366"/>
    <cellStyle name="常规 6 8 2 3 2 2 2 3" xfId="47367"/>
    <cellStyle name="常规 6 8 2 3 2 2 2 4" xfId="47368"/>
    <cellStyle name="常规 6 8 2 3 2 2 3" xfId="47369"/>
    <cellStyle name="常规 6 8 2 3 2 2 3 2" xfId="47370"/>
    <cellStyle name="常规 6 8 2 3 2 2 4" xfId="47371"/>
    <cellStyle name="常规 6 8 2 3 2 2 5" xfId="47372"/>
    <cellStyle name="常规 6 8 2 3 2 3" xfId="47373"/>
    <cellStyle name="常规 6 8 2 3 2 3 2" xfId="47374"/>
    <cellStyle name="常规 6 8 2 3 2 3 2 2" xfId="47375"/>
    <cellStyle name="常规 6 8 2 3 2 3 3" xfId="47376"/>
    <cellStyle name="常规 6 8 2 3 2 3 4" xfId="47377"/>
    <cellStyle name="常规 6 8 2 3 2 4" xfId="47378"/>
    <cellStyle name="常规 6 8 2 3 2 4 2" xfId="47379"/>
    <cellStyle name="常规 6 8 2 3 2 5" xfId="47380"/>
    <cellStyle name="常规 6 8 2 3 2 6" xfId="47381"/>
    <cellStyle name="常规 6 8 2 3 3" xfId="47382"/>
    <cellStyle name="常规 6 8 2 3 3 2" xfId="47383"/>
    <cellStyle name="常规 6 8 2 3 3 2 2" xfId="47384"/>
    <cellStyle name="常规 6 8 2 3 3 2 2 2" xfId="47385"/>
    <cellStyle name="常规 6 8 2 3 3 2 3" xfId="47386"/>
    <cellStyle name="常规 6 8 2 3 3 2 4" xfId="33043"/>
    <cellStyle name="常规 6 8 2 3 3 3" xfId="47387"/>
    <cellStyle name="常规 6 8 2 3 3 3 2" xfId="47388"/>
    <cellStyle name="常规 6 8 2 3 3 4" xfId="47389"/>
    <cellStyle name="常规 6 8 2 3 3 5" xfId="47390"/>
    <cellStyle name="常规 6 8 2 3 4" xfId="47391"/>
    <cellStyle name="常规 6 8 2 3 4 2" xfId="47392"/>
    <cellStyle name="常规 6 8 2 3 4 2 2" xfId="47393"/>
    <cellStyle name="常规 6 8 2 3 4 3" xfId="47394"/>
    <cellStyle name="常规 6 8 2 3 4 4" xfId="47395"/>
    <cellStyle name="常规 6 8 2 3 5" xfId="47396"/>
    <cellStyle name="常规 6 8 2 3 5 2" xfId="47397"/>
    <cellStyle name="常规 6 8 2 3 6" xfId="47398"/>
    <cellStyle name="常规 6 8 2 3 7" xfId="47399"/>
    <cellStyle name="常规 6 8 2 4" xfId="47400"/>
    <cellStyle name="常规 6 8 2 4 2" xfId="47401"/>
    <cellStyle name="常规 6 8 2 4 2 2" xfId="47402"/>
    <cellStyle name="常规 6 8 2 4 2 2 2" xfId="47403"/>
    <cellStyle name="常规 6 8 2 4 2 2 2 2" xfId="47404"/>
    <cellStyle name="常规 6 8 2 4 2 2 3" xfId="47405"/>
    <cellStyle name="常规 6 8 2 4 2 2 4" xfId="47406"/>
    <cellStyle name="常规 6 8 2 4 2 3" xfId="47407"/>
    <cellStyle name="常规 6 8 2 4 2 3 2" xfId="47408"/>
    <cellStyle name="常规 6 8 2 4 2 4" xfId="47409"/>
    <cellStyle name="常规 6 8 2 4 2 5" xfId="46187"/>
    <cellStyle name="常规 6 8 2 4 3" xfId="47410"/>
    <cellStyle name="常规 6 8 2 4 3 2" xfId="47411"/>
    <cellStyle name="常规 6 8 2 4 3 2 2" xfId="47412"/>
    <cellStyle name="常规 6 8 2 4 3 3" xfId="47413"/>
    <cellStyle name="常规 6 8 2 4 3 4" xfId="47414"/>
    <cellStyle name="常规 6 8 2 4 4" xfId="47415"/>
    <cellStyle name="常规 6 8 2 4 4 2" xfId="47416"/>
    <cellStyle name="常规 6 8 2 4 5" xfId="47417"/>
    <cellStyle name="常规 6 8 2 4 6" xfId="47418"/>
    <cellStyle name="常规 6 8 2 5" xfId="47419"/>
    <cellStyle name="常规 6 8 2 5 2" xfId="47420"/>
    <cellStyle name="常规 6 8 2 5 2 2" xfId="47421"/>
    <cellStyle name="常规 6 8 2 5 2 2 2" xfId="47422"/>
    <cellStyle name="常规 6 8 2 5 2 3" xfId="47423"/>
    <cellStyle name="常规 6 8 2 5 2 4" xfId="47424"/>
    <cellStyle name="常规 6 8 2 5 3" xfId="47425"/>
    <cellStyle name="常规 6 8 2 5 3 2" xfId="47426"/>
    <cellStyle name="常规 6 8 2 5 4" xfId="47427"/>
    <cellStyle name="常规 6 8 2 5 5" xfId="47428"/>
    <cellStyle name="常规 6 8 2 6" xfId="47429"/>
    <cellStyle name="常规 6 8 2 6 2" xfId="47430"/>
    <cellStyle name="常规 6 8 2 6 2 2" xfId="47431"/>
    <cellStyle name="常规 6 8 2 6 3" xfId="47432"/>
    <cellStyle name="常规 6 8 2 6 4" xfId="47433"/>
    <cellStyle name="常规 6 8 2 7" xfId="47434"/>
    <cellStyle name="常规 6 8 2 7 2" xfId="47435"/>
    <cellStyle name="常规 6 8 2 8" xfId="47436"/>
    <cellStyle name="常规 6 8 2 9" xfId="47437"/>
    <cellStyle name="常规 6 8 3" xfId="47438"/>
    <cellStyle name="常规 6 8 3 2" xfId="47439"/>
    <cellStyle name="常规 6 8 3 2 2" xfId="47440"/>
    <cellStyle name="常规 6 8 3 2 2 2" xfId="36323"/>
    <cellStyle name="常规 6 8 3 2 2 2 2" xfId="36325"/>
    <cellStyle name="常规 6 8 3 2 2 2 2 2" xfId="36327"/>
    <cellStyle name="常规 6 8 3 2 2 2 2 2 2" xfId="47441"/>
    <cellStyle name="常规 6 8 3 2 2 2 2 2 2 2" xfId="47442"/>
    <cellStyle name="常规 6 8 3 2 2 2 2 2 3" xfId="47443"/>
    <cellStyle name="常规 6 8 3 2 2 2 2 2 4" xfId="47444"/>
    <cellStyle name="常规 6 8 3 2 2 2 2 3" xfId="47445"/>
    <cellStyle name="常规 6 8 3 2 2 2 2 3 2" xfId="47446"/>
    <cellStyle name="常规 6 8 3 2 2 2 2 4" xfId="47447"/>
    <cellStyle name="常规 6 8 3 2 2 2 2 5" xfId="16536"/>
    <cellStyle name="常规 6 8 3 2 2 2 3" xfId="36329"/>
    <cellStyle name="常规 6 8 3 2 2 2 3 2" xfId="47448"/>
    <cellStyle name="常规 6 8 3 2 2 2 3 2 2" xfId="47449"/>
    <cellStyle name="常规 6 8 3 2 2 2 3 3" xfId="47450"/>
    <cellStyle name="常规 6 8 3 2 2 2 3 4" xfId="47451"/>
    <cellStyle name="常规 6 8 3 2 2 2 4" xfId="36331"/>
    <cellStyle name="常规 6 8 3 2 2 2 4 2" xfId="47452"/>
    <cellStyle name="常规 6 8 3 2 2 2 5" xfId="47453"/>
    <cellStyle name="常规 6 8 3 2 2 2 6" xfId="47454"/>
    <cellStyle name="常规 6 8 3 2 2 3" xfId="36333"/>
    <cellStyle name="常规 6 8 3 2 2 3 2" xfId="36335"/>
    <cellStyle name="常规 6 8 3 2 2 3 2 2" xfId="47455"/>
    <cellStyle name="常规 6 8 3 2 2 3 2 2 2" xfId="47456"/>
    <cellStyle name="常规 6 8 3 2 2 3 2 3" xfId="47457"/>
    <cellStyle name="常规 6 8 3 2 2 3 2 4" xfId="47458"/>
    <cellStyle name="常规 6 8 3 2 2 3 3" xfId="47459"/>
    <cellStyle name="常规 6 8 3 2 2 3 3 2" xfId="47460"/>
    <cellStyle name="常规 6 8 3 2 2 3 4" xfId="47461"/>
    <cellStyle name="常规 6 8 3 2 2 3 5" xfId="47462"/>
    <cellStyle name="常规 6 8 3 2 2 4" xfId="36337"/>
    <cellStyle name="常规 6 8 3 2 2 4 2" xfId="47463"/>
    <cellStyle name="常规 6 8 3 2 2 4 2 2" xfId="47464"/>
    <cellStyle name="常规 6 8 3 2 2 4 3" xfId="47465"/>
    <cellStyle name="常规 6 8 3 2 2 4 4" xfId="47466"/>
    <cellStyle name="常规 6 8 3 2 2 5" xfId="36339"/>
    <cellStyle name="常规 6 8 3 2 2 5 2" xfId="47467"/>
    <cellStyle name="常规 6 8 3 2 2 6" xfId="47468"/>
    <cellStyle name="常规 6 8 3 2 2 7" xfId="47469"/>
    <cellStyle name="常规 6 8 3 2 3" xfId="24140"/>
    <cellStyle name="常规 6 8 3 2 3 2" xfId="36415"/>
    <cellStyle name="常规 6 8 3 2 3 2 2" xfId="36417"/>
    <cellStyle name="常规 6 8 3 2 3 2 2 2" xfId="47470"/>
    <cellStyle name="常规 6 8 3 2 3 2 2 2 2" xfId="47471"/>
    <cellStyle name="常规 6 8 3 2 3 2 2 3" xfId="47472"/>
    <cellStyle name="常规 6 8 3 2 3 2 2 4" xfId="47473"/>
    <cellStyle name="常规 6 8 3 2 3 2 3" xfId="47474"/>
    <cellStyle name="常规 6 8 3 2 3 2 3 2" xfId="47475"/>
    <cellStyle name="常规 6 8 3 2 3 2 4" xfId="47476"/>
    <cellStyle name="常规 6 8 3 2 3 2 5" xfId="47477"/>
    <cellStyle name="常规 6 8 3 2 3 3" xfId="36419"/>
    <cellStyle name="常规 6 8 3 2 3 3 2" xfId="47478"/>
    <cellStyle name="常规 6 8 3 2 3 3 2 2" xfId="47479"/>
    <cellStyle name="常规 6 8 3 2 3 3 3" xfId="47480"/>
    <cellStyle name="常规 6 8 3 2 3 3 4" xfId="47481"/>
    <cellStyle name="常规 6 8 3 2 3 4" xfId="36421"/>
    <cellStyle name="常规 6 8 3 2 3 4 2" xfId="47482"/>
    <cellStyle name="常规 6 8 3 2 3 5" xfId="47483"/>
    <cellStyle name="常规 6 8 3 2 3 6" xfId="47484"/>
    <cellStyle name="常规 6 8 3 2 4" xfId="47485"/>
    <cellStyle name="常规 6 8 3 2 4 2" xfId="36459"/>
    <cellStyle name="常规 6 8 3 2 4 2 2" xfId="47486"/>
    <cellStyle name="常规 6 8 3 2 4 2 2 2" xfId="47487"/>
    <cellStyle name="常规 6 8 3 2 4 2 3" xfId="47488"/>
    <cellStyle name="常规 6 8 3 2 4 2 4" xfId="47489"/>
    <cellStyle name="常规 6 8 3 2 4 3" xfId="36461"/>
    <cellStyle name="常规 6 8 3 2 4 3 2" xfId="47490"/>
    <cellStyle name="常规 6 8 3 2 4 4" xfId="47491"/>
    <cellStyle name="常规 6 8 3 2 4 5" xfId="47492"/>
    <cellStyle name="常规 6 8 3 2 5" xfId="47493"/>
    <cellStyle name="常规 6 8 3 2 5 2" xfId="36481"/>
    <cellStyle name="常规 6 8 3 2 5 2 2" xfId="47494"/>
    <cellStyle name="常规 6 8 3 2 5 3" xfId="47495"/>
    <cellStyle name="常规 6 8 3 2 5 4" xfId="47496"/>
    <cellStyle name="常规 6 8 3 2 6" xfId="47497"/>
    <cellStyle name="常规 6 8 3 2 6 2" xfId="47498"/>
    <cellStyle name="常规 6 8 3 2 7" xfId="47499"/>
    <cellStyle name="常规 6 8 3 2 8" xfId="47500"/>
    <cellStyle name="常规 6 8 3 3" xfId="41701"/>
    <cellStyle name="常规 6 8 3 3 2" xfId="47501"/>
    <cellStyle name="常规 6 8 3 3 2 2" xfId="12463"/>
    <cellStyle name="常规 6 8 3 3 2 2 2" xfId="37068"/>
    <cellStyle name="常规 6 8 3 3 2 2 2 2" xfId="47502"/>
    <cellStyle name="常规 6 8 3 3 2 2 2 2 2" xfId="47503"/>
    <cellStyle name="常规 6 8 3 3 2 2 2 3" xfId="47504"/>
    <cellStyle name="常规 6 8 3 3 2 2 2 4" xfId="47505"/>
    <cellStyle name="常规 6 8 3 3 2 2 3" xfId="47506"/>
    <cellStyle name="常规 6 8 3 3 2 2 3 2" xfId="47507"/>
    <cellStyle name="常规 6 8 3 3 2 2 4" xfId="47508"/>
    <cellStyle name="常规 6 8 3 3 2 2 5" xfId="47509"/>
    <cellStyle name="常规 6 8 3 3 2 3" xfId="37070"/>
    <cellStyle name="常规 6 8 3 3 2 3 2" xfId="47510"/>
    <cellStyle name="常规 6 8 3 3 2 3 2 2" xfId="47511"/>
    <cellStyle name="常规 6 8 3 3 2 3 3" xfId="47512"/>
    <cellStyle name="常规 6 8 3 3 2 3 4" xfId="47513"/>
    <cellStyle name="常规 6 8 3 3 2 4" xfId="37072"/>
    <cellStyle name="常规 6 8 3 3 2 4 2" xfId="47514"/>
    <cellStyle name="常规 6 8 3 3 2 5" xfId="47515"/>
    <cellStyle name="常规 6 8 3 3 2 6" xfId="47516"/>
    <cellStyle name="常规 6 8 3 3 3" xfId="47517"/>
    <cellStyle name="常规 6 8 3 3 3 2" xfId="12740"/>
    <cellStyle name="常规 6 8 3 3 3 2 2" xfId="2712"/>
    <cellStyle name="常规 6 8 3 3 3 2 2 2" xfId="2714"/>
    <cellStyle name="常规 6 8 3 3 3 2 3" xfId="2736"/>
    <cellStyle name="常规 6 8 3 3 3 2 4" xfId="2748"/>
    <cellStyle name="常规 6 8 3 3 3 3" xfId="37092"/>
    <cellStyle name="常规 6 8 3 3 3 3 2" xfId="47518"/>
    <cellStyle name="常规 6 8 3 3 3 4" xfId="47519"/>
    <cellStyle name="常规 6 8 3 3 3 5" xfId="47520"/>
    <cellStyle name="常规 6 8 3 3 4" xfId="47521"/>
    <cellStyle name="常规 6 8 3 3 4 2" xfId="37103"/>
    <cellStyle name="常规 6 8 3 3 4 2 2" xfId="47522"/>
    <cellStyle name="常规 6 8 3 3 4 3" xfId="47523"/>
    <cellStyle name="常规 6 8 3 3 4 4" xfId="47524"/>
    <cellStyle name="常规 6 8 3 3 5" xfId="47525"/>
    <cellStyle name="常规 6 8 3 3 5 2" xfId="47526"/>
    <cellStyle name="常规 6 8 3 3 6" xfId="47527"/>
    <cellStyle name="常规 6 8 3 3 7" xfId="47528"/>
    <cellStyle name="常规 6 8 3 4" xfId="47529"/>
    <cellStyle name="常规 6 8 3 4 2" xfId="47530"/>
    <cellStyle name="常规 6 8 3 4 2 2" xfId="14333"/>
    <cellStyle name="常规 6 8 3 4 2 2 2" xfId="11357"/>
    <cellStyle name="常规 6 8 3 4 2 2 2 2" xfId="47531"/>
    <cellStyle name="常规 6 8 3 4 2 2 3" xfId="11360"/>
    <cellStyle name="常规 6 8 3 4 2 2 4" xfId="47532"/>
    <cellStyle name="常规 6 8 3 4 2 3" xfId="37410"/>
    <cellStyle name="常规 6 8 3 4 2 3 2" xfId="47533"/>
    <cellStyle name="常规 6 8 3 4 2 4" xfId="47534"/>
    <cellStyle name="常规 6 8 3 4 2 5" xfId="46245"/>
    <cellStyle name="常规 6 8 3 4 3" xfId="47535"/>
    <cellStyle name="常规 6 8 3 4 3 2" xfId="37420"/>
    <cellStyle name="常规 6 8 3 4 3 2 2" xfId="47536"/>
    <cellStyle name="常规 6 8 3 4 3 3" xfId="47537"/>
    <cellStyle name="常规 6 8 3 4 3 4" xfId="47538"/>
    <cellStyle name="常规 6 8 3 4 4" xfId="47539"/>
    <cellStyle name="常规 6 8 3 4 4 2" xfId="47540"/>
    <cellStyle name="常规 6 8 3 4 5" xfId="47541"/>
    <cellStyle name="常规 6 8 3 4 6" xfId="47542"/>
    <cellStyle name="常规 6 8 3 5" xfId="47543"/>
    <cellStyle name="常规 6 8 3 5 2" xfId="47544"/>
    <cellStyle name="常规 6 8 3 5 2 2" xfId="47545"/>
    <cellStyle name="常规 6 8 3 5 2 2 2" xfId="47546"/>
    <cellStyle name="常规 6 8 3 5 2 3" xfId="33592"/>
    <cellStyle name="常规 6 8 3 5 2 4" xfId="567"/>
    <cellStyle name="常规 6 8 3 5 3" xfId="47547"/>
    <cellStyle name="常规 6 8 3 5 3 2" xfId="47548"/>
    <cellStyle name="常规 6 8 3 5 4" xfId="47549"/>
    <cellStyle name="常规 6 8 3 5 5" xfId="47550"/>
    <cellStyle name="常规 6 8 3 6" xfId="47551"/>
    <cellStyle name="常规 6 8 3 6 2" xfId="47552"/>
    <cellStyle name="常规 6 8 3 6 2 2" xfId="47553"/>
    <cellStyle name="常规 6 8 3 6 3" xfId="47554"/>
    <cellStyle name="常规 6 8 3 6 4" xfId="47555"/>
    <cellStyle name="常规 6 8 3 7" xfId="47556"/>
    <cellStyle name="常规 6 8 3 7 2" xfId="41267"/>
    <cellStyle name="常规 6 8 3 8" xfId="47557"/>
    <cellStyle name="常规 6 8 3 9" xfId="47558"/>
    <cellStyle name="常规 6 8 4" xfId="47559"/>
    <cellStyle name="常规 6 8 4 2" xfId="47560"/>
    <cellStyle name="常规 6 8 4 2 2" xfId="47561"/>
    <cellStyle name="常规 6 8 4 2 2 2" xfId="47562"/>
    <cellStyle name="常规 6 8 4 2 2 2 2" xfId="47563"/>
    <cellStyle name="常规 6 8 4 2 2 2 2 2" xfId="47564"/>
    <cellStyle name="常规 6 8 4 2 2 2 2 2 2" xfId="47565"/>
    <cellStyle name="常规 6 8 4 2 2 2 2 3" xfId="47566"/>
    <cellStyle name="常规 6 8 4 2 2 2 2 4" xfId="47567"/>
    <cellStyle name="常规 6 8 4 2 2 2 3" xfId="47568"/>
    <cellStyle name="常规 6 8 4 2 2 2 3 2" xfId="47569"/>
    <cellStyle name="常规 6 8 4 2 2 2 4" xfId="47570"/>
    <cellStyle name="常规 6 8 4 2 2 2 5" xfId="47571"/>
    <cellStyle name="常规 6 8 4 2 2 3" xfId="47572"/>
    <cellStyle name="常规 6 8 4 2 2 3 2" xfId="47573"/>
    <cellStyle name="常规 6 8 4 2 2 3 2 2" xfId="47574"/>
    <cellStyle name="常规 6 8 4 2 2 3 3" xfId="47575"/>
    <cellStyle name="常规 6 8 4 2 2 3 4" xfId="47576"/>
    <cellStyle name="常规 6 8 4 2 2 4" xfId="47577"/>
    <cellStyle name="常规 6 8 4 2 2 4 2" xfId="47578"/>
    <cellStyle name="常规 6 8 4 2 2 5" xfId="47579"/>
    <cellStyle name="常规 6 8 4 2 2 6" xfId="47580"/>
    <cellStyle name="常规 6 8 4 2 3" xfId="47581"/>
    <cellStyle name="常规 6 8 4 2 3 2" xfId="47582"/>
    <cellStyle name="常规 6 8 4 2 3 2 2" xfId="47583"/>
    <cellStyle name="常规 6 8 4 2 3 2 2 2" xfId="47584"/>
    <cellStyle name="常规 6 8 4 2 3 2 3" xfId="47585"/>
    <cellStyle name="常规 6 8 4 2 3 2 4" xfId="47586"/>
    <cellStyle name="常规 6 8 4 2 3 3" xfId="47587"/>
    <cellStyle name="常规 6 8 4 2 3 3 2" xfId="47588"/>
    <cellStyle name="常规 6 8 4 2 3 4" xfId="47589"/>
    <cellStyle name="常规 6 8 4 2 3 5" xfId="45952"/>
    <cellStyle name="常规 6 8 4 2 4" xfId="47590"/>
    <cellStyle name="常规 6 8 4 2 4 2" xfId="47591"/>
    <cellStyle name="常规 6 8 4 2 4 2 2" xfId="47592"/>
    <cellStyle name="常规 6 8 4 2 4 3" xfId="47593"/>
    <cellStyle name="常规 6 8 4 2 4 4" xfId="47594"/>
    <cellStyle name="常规 6 8 4 2 5" xfId="47595"/>
    <cellStyle name="常规 6 8 4 2 5 2" xfId="47596"/>
    <cellStyle name="常规 6 8 4 2 6" xfId="47597"/>
    <cellStyle name="常规 6 8 4 2 7" xfId="47598"/>
    <cellStyle name="常规 6 8 4 3" xfId="47599"/>
    <cellStyle name="常规 6 8 4 3 2" xfId="47600"/>
    <cellStyle name="常规 6 8 4 3 2 2" xfId="47601"/>
    <cellStyle name="常规 6 8 4 3 2 2 2" xfId="47602"/>
    <cellStyle name="常规 6 8 4 3 2 2 2 2" xfId="9989"/>
    <cellStyle name="常规 6 8 4 3 2 2 3" xfId="47603"/>
    <cellStyle name="常规 6 8 4 3 2 2 4" xfId="47604"/>
    <cellStyle name="常规 6 8 4 3 2 3" xfId="47605"/>
    <cellStyle name="常规 6 8 4 3 2 3 2" xfId="47606"/>
    <cellStyle name="常规 6 8 4 3 2 4" xfId="47607"/>
    <cellStyle name="常规 6 8 4 3 2 5" xfId="47608"/>
    <cellStyle name="常规 6 8 4 3 3" xfId="47609"/>
    <cellStyle name="常规 6 8 4 3 3 2" xfId="47610"/>
    <cellStyle name="常规 6 8 4 3 3 2 2" xfId="47611"/>
    <cellStyle name="常规 6 8 4 3 3 3" xfId="47612"/>
    <cellStyle name="常规 6 8 4 3 3 4" xfId="47613"/>
    <cellStyle name="常规 6 8 4 3 4" xfId="47614"/>
    <cellStyle name="常规 6 8 4 3 4 2" xfId="47615"/>
    <cellStyle name="常规 6 8 4 3 5" xfId="47616"/>
    <cellStyle name="常规 6 8 4 3 6" xfId="47617"/>
    <cellStyle name="常规 6 8 4 4" xfId="47618"/>
    <cellStyle name="常规 6 8 4 4 2" xfId="47619"/>
    <cellStyle name="常规 6 8 4 4 2 2" xfId="47620"/>
    <cellStyle name="常规 6 8 4 4 2 2 2" xfId="47621"/>
    <cellStyle name="常规 6 8 4 4 2 3" xfId="47622"/>
    <cellStyle name="常规 6 8 4 4 2 4" xfId="47623"/>
    <cellStyle name="常规 6 8 4 4 3" xfId="47624"/>
    <cellStyle name="常规 6 8 4 4 3 2" xfId="47625"/>
    <cellStyle name="常规 6 8 4 4 4" xfId="47626"/>
    <cellStyle name="常规 6 8 4 4 5" xfId="47627"/>
    <cellStyle name="常规 6 8 4 5" xfId="47628"/>
    <cellStyle name="常规 6 8 4 5 2" xfId="47629"/>
    <cellStyle name="常规 6 8 4 5 2 2" xfId="47630"/>
    <cellStyle name="常规 6 8 4 5 3" xfId="47631"/>
    <cellStyle name="常规 6 8 4 5 4" xfId="47632"/>
    <cellStyle name="常规 6 8 4 6" xfId="47633"/>
    <cellStyle name="常规 6 8 4 6 2" xfId="47634"/>
    <cellStyle name="常规 6 8 4 7" xfId="47635"/>
    <cellStyle name="常规 6 8 4 8" xfId="47636"/>
    <cellStyle name="常规 6 8 5" xfId="47637"/>
    <cellStyle name="常规 6 8 5 2" xfId="47638"/>
    <cellStyle name="常规 6 8 5 2 2" xfId="47639"/>
    <cellStyle name="常规 6 8 5 2 2 2" xfId="38554"/>
    <cellStyle name="常规 6 8 5 2 2 2 2" xfId="38556"/>
    <cellStyle name="常规 6 8 5 2 2 2 2 2" xfId="47640"/>
    <cellStyle name="常规 6 8 5 2 2 2 3" xfId="47641"/>
    <cellStyle name="常规 6 8 5 2 2 2 4" xfId="47642"/>
    <cellStyle name="常规 6 8 5 2 2 3" xfId="38558"/>
    <cellStyle name="常规 6 8 5 2 2 3 2" xfId="47643"/>
    <cellStyle name="常规 6 8 5 2 2 4" xfId="38560"/>
    <cellStyle name="常规 6 8 5 2 2 5" xfId="47644"/>
    <cellStyle name="常规 6 8 5 2 3" xfId="47645"/>
    <cellStyle name="常规 6 8 5 2 3 2" xfId="38599"/>
    <cellStyle name="常规 6 8 5 2 3 2 2" xfId="47646"/>
    <cellStyle name="常规 6 8 5 2 3 3" xfId="38601"/>
    <cellStyle name="常规 6 8 5 2 3 4" xfId="47647"/>
    <cellStyle name="常规 6 8 5 2 4" xfId="47648"/>
    <cellStyle name="常规 6 8 5 2 4 2" xfId="38621"/>
    <cellStyle name="常规 6 8 5 2 5" xfId="47649"/>
    <cellStyle name="常规 6 8 5 2 6" xfId="47650"/>
    <cellStyle name="常规 6 8 5 3" xfId="47651"/>
    <cellStyle name="常规 6 8 5 3 2" xfId="47652"/>
    <cellStyle name="常规 6 8 5 3 2 2" xfId="39029"/>
    <cellStyle name="常规 6 8 5 3 2 2 2" xfId="47654"/>
    <cellStyle name="常规 6 8 5 3 2 3" xfId="39031"/>
    <cellStyle name="常规 6 8 5 3 2 4" xfId="47655"/>
    <cellStyle name="常规 6 8 5 3 3" xfId="47656"/>
    <cellStyle name="常规 6 8 5 3 3 2" xfId="39051"/>
    <cellStyle name="常规 6 8 5 3 4" xfId="47657"/>
    <cellStyle name="常规 6 8 5 3 5" xfId="47658"/>
    <cellStyle name="常规 6 8 5 4" xfId="47659"/>
    <cellStyle name="常规 6 8 5 4 2" xfId="47660"/>
    <cellStyle name="常规 6 8 5 4 2 2" xfId="47661"/>
    <cellStyle name="常规 6 8 5 4 3" xfId="47662"/>
    <cellStyle name="常规 6 8 5 4 4" xfId="47663"/>
    <cellStyle name="常规 6 8 5 5" xfId="47664"/>
    <cellStyle name="常规 6 8 5 5 2" xfId="47665"/>
    <cellStyle name="常规 6 8 5 6" xfId="47666"/>
    <cellStyle name="常规 6 8 5 7" xfId="47667"/>
    <cellStyle name="常规 6 8 6" xfId="47668"/>
    <cellStyle name="常规 6 8 6 2" xfId="47669"/>
    <cellStyle name="常规 6 8 6 2 2" xfId="47670"/>
    <cellStyle name="常规 6 8 6 2 2 2" xfId="39879"/>
    <cellStyle name="常规 6 8 6 2 2 2 2" xfId="47671"/>
    <cellStyle name="常规 6 8 6 2 2 3" xfId="39881"/>
    <cellStyle name="常规 6 8 6 2 2 4" xfId="47672"/>
    <cellStyle name="常规 6 8 6 2 3" xfId="47673"/>
    <cellStyle name="常规 6 8 6 2 3 2" xfId="39901"/>
    <cellStyle name="常规 6 8 6 2 4" xfId="31638"/>
    <cellStyle name="常规 6 8 6 2 5" xfId="31646"/>
    <cellStyle name="常规 6 8 6 3" xfId="47674"/>
    <cellStyle name="常规 6 8 6 3 2" xfId="47675"/>
    <cellStyle name="常规 6 8 6 3 2 2" xfId="47676"/>
    <cellStyle name="常规 6 8 6 3 3" xfId="47677"/>
    <cellStyle name="常规 6 8 6 3 4" xfId="31653"/>
    <cellStyle name="常规 6 8 6 4" xfId="47678"/>
    <cellStyle name="常规 6 8 6 4 2" xfId="47679"/>
    <cellStyle name="常规 6 8 6 5" xfId="47680"/>
    <cellStyle name="常规 6 8 6 6" xfId="47681"/>
    <cellStyle name="常规 6 8 7" xfId="47682"/>
    <cellStyle name="常规 6 8 7 2" xfId="47683"/>
    <cellStyle name="常规 6 8 7 2 2" xfId="47684"/>
    <cellStyle name="常规 6 8 7 2 2 2" xfId="47685"/>
    <cellStyle name="常规 6 8 7 2 3" xfId="47686"/>
    <cellStyle name="常规 6 8 7 2 4" xfId="23556"/>
    <cellStyle name="常规 6 8 7 3" xfId="47687"/>
    <cellStyle name="常规 6 8 7 3 2" xfId="47688"/>
    <cellStyle name="常规 6 8 7 4" xfId="47689"/>
    <cellStyle name="常规 6 8 7 5" xfId="47690"/>
    <cellStyle name="常规 6 8 8" xfId="47691"/>
    <cellStyle name="常规 6 8 8 2" xfId="47692"/>
    <cellStyle name="常规 6 8 8 2 2" xfId="47693"/>
    <cellStyle name="常规 6 8 8 3" xfId="21295"/>
    <cellStyle name="常规 6 8 8 4" xfId="47694"/>
    <cellStyle name="常规 6 8 9" xfId="47695"/>
    <cellStyle name="常规 6 8 9 2" xfId="47696"/>
    <cellStyle name="常规 6 9" xfId="47697"/>
    <cellStyle name="常规 6 9 10" xfId="47698"/>
    <cellStyle name="常规 6 9 2" xfId="47699"/>
    <cellStyle name="常规 6 9 2 2" xfId="47700"/>
    <cellStyle name="常规 6 9 2 2 2" xfId="47701"/>
    <cellStyle name="常规 6 9 2 2 2 2" xfId="47702"/>
    <cellStyle name="常规 6 9 2 2 2 2 2" xfId="47703"/>
    <cellStyle name="常规 6 9 2 2 2 2 2 2" xfId="47704"/>
    <cellStyle name="常规 6 9 2 2 2 2 2 2 2" xfId="47705"/>
    <cellStyle name="常规 6 9 2 2 2 2 2 2 2 2" xfId="47706"/>
    <cellStyle name="常规 6 9 2 2 2 2 2 2 3" xfId="47707"/>
    <cellStyle name="常规 6 9 2 2 2 2 2 2 4" xfId="290"/>
    <cellStyle name="常规 6 9 2 2 2 2 2 3" xfId="47708"/>
    <cellStyle name="常规 6 9 2 2 2 2 2 3 2" xfId="47709"/>
    <cellStyle name="常规 6 9 2 2 2 2 2 4" xfId="47710"/>
    <cellStyle name="常规 6 9 2 2 2 2 2 5" xfId="47711"/>
    <cellStyle name="常规 6 9 2 2 2 2 3" xfId="42355"/>
    <cellStyle name="常规 6 9 2 2 2 2 3 2" xfId="1289"/>
    <cellStyle name="常规 6 9 2 2 2 2 3 2 2" xfId="42357"/>
    <cellStyle name="常规 6 9 2 2 2 2 3 3" xfId="42359"/>
    <cellStyle name="常规 6 9 2 2 2 2 3 4" xfId="42361"/>
    <cellStyle name="常规 6 9 2 2 2 2 4" xfId="42363"/>
    <cellStyle name="常规 6 9 2 2 2 2 4 2" xfId="42365"/>
    <cellStyle name="常规 6 9 2 2 2 2 5" xfId="42367"/>
    <cellStyle name="常规 6 9 2 2 2 2 6" xfId="42369"/>
    <cellStyle name="常规 6 9 2 2 2 3" xfId="47712"/>
    <cellStyle name="常规 6 9 2 2 2 3 2" xfId="47713"/>
    <cellStyle name="常规 6 9 2 2 2 3 2 2" xfId="47714"/>
    <cellStyle name="常规 6 9 2 2 2 3 2 2 2" xfId="47715"/>
    <cellStyle name="常规 6 9 2 2 2 3 2 3" xfId="47716"/>
    <cellStyle name="常规 6 9 2 2 2 3 2 4" xfId="47717"/>
    <cellStyle name="常规 6 9 2 2 2 3 3" xfId="42372"/>
    <cellStyle name="常规 6 9 2 2 2 3 3 2" xfId="42374"/>
    <cellStyle name="常规 6 9 2 2 2 3 4" xfId="42376"/>
    <cellStyle name="常规 6 9 2 2 2 3 5" xfId="42378"/>
    <cellStyle name="常规 6 9 2 2 2 4" xfId="47718"/>
    <cellStyle name="常规 6 9 2 2 2 4 2" xfId="47719"/>
    <cellStyle name="常规 6 9 2 2 2 4 2 2" xfId="47720"/>
    <cellStyle name="常规 6 9 2 2 2 4 3" xfId="42381"/>
    <cellStyle name="常规 6 9 2 2 2 4 4" xfId="47721"/>
    <cellStyle name="常规 6 9 2 2 2 5" xfId="47722"/>
    <cellStyle name="常规 6 9 2 2 2 5 2" xfId="47723"/>
    <cellStyle name="常规 6 9 2 2 2 6" xfId="47724"/>
    <cellStyle name="常规 6 9 2 2 2 7" xfId="47725"/>
    <cellStyle name="常规 6 9 2 2 3" xfId="47726"/>
    <cellStyle name="常规 6 9 2 2 3 2" xfId="47727"/>
    <cellStyle name="常规 6 9 2 2 3 2 2" xfId="47728"/>
    <cellStyle name="常规 6 9 2 2 3 2 2 2" xfId="47729"/>
    <cellStyle name="常规 6 9 2 2 3 2 2 2 2" xfId="47730"/>
    <cellStyle name="常规 6 9 2 2 3 2 2 3" xfId="47731"/>
    <cellStyle name="常规 6 9 2 2 3 2 2 4" xfId="47732"/>
    <cellStyle name="常规 6 9 2 2 3 2 3" xfId="42387"/>
    <cellStyle name="常规 6 9 2 2 3 2 3 2" xfId="42389"/>
    <cellStyle name="常规 6 9 2 2 3 2 4" xfId="42391"/>
    <cellStyle name="常规 6 9 2 2 3 2 5" xfId="42393"/>
    <cellStyle name="常规 6 9 2 2 3 3" xfId="47733"/>
    <cellStyle name="常规 6 9 2 2 3 3 2" xfId="47734"/>
    <cellStyle name="常规 6 9 2 2 3 3 2 2" xfId="47735"/>
    <cellStyle name="常规 6 9 2 2 3 3 3" xfId="42396"/>
    <cellStyle name="常规 6 9 2 2 3 3 4" xfId="47736"/>
    <cellStyle name="常规 6 9 2 2 3 4" xfId="47737"/>
    <cellStyle name="常规 6 9 2 2 3 4 2" xfId="47738"/>
    <cellStyle name="常规 6 9 2 2 3 5" xfId="47739"/>
    <cellStyle name="常规 6 9 2 2 3 6" xfId="47740"/>
    <cellStyle name="常规 6 9 2 2 4" xfId="47741"/>
    <cellStyle name="常规 6 9 2 2 4 2" xfId="47742"/>
    <cellStyle name="常规 6 9 2 2 4 2 2" xfId="47743"/>
    <cellStyle name="常规 6 9 2 2 4 2 2 2" xfId="47744"/>
    <cellStyle name="常规 6 9 2 2 4 2 3" xfId="40381"/>
    <cellStyle name="常规 6 9 2 2 4 2 4" xfId="40422"/>
    <cellStyle name="常规 6 9 2 2 4 3" xfId="47745"/>
    <cellStyle name="常规 6 9 2 2 4 3 2" xfId="47746"/>
    <cellStyle name="常规 6 9 2 2 4 4" xfId="47747"/>
    <cellStyle name="常规 6 9 2 2 4 5" xfId="47748"/>
    <cellStyle name="常规 6 9 2 2 5" xfId="47749"/>
    <cellStyle name="常规 6 9 2 2 5 2" xfId="47750"/>
    <cellStyle name="常规 6 9 2 2 5 2 2" xfId="47751"/>
    <cellStyle name="常规 6 9 2 2 5 3" xfId="47752"/>
    <cellStyle name="常规 6 9 2 2 5 4" xfId="47753"/>
    <cellStyle name="常规 6 9 2 2 6" xfId="47754"/>
    <cellStyle name="常规 6 9 2 2 6 2" xfId="47755"/>
    <cellStyle name="常规 6 9 2 2 7" xfId="47756"/>
    <cellStyle name="常规 6 9 2 2 8" xfId="47757"/>
    <cellStyle name="常规 6 9 2 3" xfId="47758"/>
    <cellStyle name="常规 6 9 2 3 2" xfId="47759"/>
    <cellStyle name="常规 6 9 2 3 2 2" xfId="20069"/>
    <cellStyle name="常规 6 9 2 3 2 2 2" xfId="47760"/>
    <cellStyle name="常规 6 9 2 3 2 2 2 2" xfId="46711"/>
    <cellStyle name="常规 6 9 2 3 2 2 2 2 2" xfId="47761"/>
    <cellStyle name="常规 6 9 2 3 2 2 2 3" xfId="46713"/>
    <cellStyle name="常规 6 9 2 3 2 2 2 4" xfId="47762"/>
    <cellStyle name="常规 6 9 2 3 2 2 3" xfId="42423"/>
    <cellStyle name="常规 6 9 2 3 2 2 3 2" xfId="42425"/>
    <cellStyle name="常规 6 9 2 3 2 2 4" xfId="42427"/>
    <cellStyle name="常规 6 9 2 3 2 2 5" xfId="42429"/>
    <cellStyle name="常规 6 9 2 3 2 3" xfId="47763"/>
    <cellStyle name="常规 6 9 2 3 2 3 2" xfId="47764"/>
    <cellStyle name="常规 6 9 2 3 2 3 2 2" xfId="47765"/>
    <cellStyle name="常规 6 9 2 3 2 3 3" xfId="42432"/>
    <cellStyle name="常规 6 9 2 3 2 3 4" xfId="47766"/>
    <cellStyle name="常规 6 9 2 3 2 4" xfId="47767"/>
    <cellStyle name="常规 6 9 2 3 2 4 2" xfId="47768"/>
    <cellStyle name="常规 6 9 2 3 2 5" xfId="47769"/>
    <cellStyle name="常规 6 9 2 3 2 6" xfId="47770"/>
    <cellStyle name="常规 6 9 2 3 3" xfId="47771"/>
    <cellStyle name="常规 6 9 2 3 3 2" xfId="19942"/>
    <cellStyle name="常规 6 9 2 3 3 2 2" xfId="47772"/>
    <cellStyle name="常规 6 9 2 3 3 2 2 2" xfId="47773"/>
    <cellStyle name="常规 6 9 2 3 3 2 3" xfId="42438"/>
    <cellStyle name="常规 6 9 2 3 3 2 4" xfId="47774"/>
    <cellStyle name="常规 6 9 2 3 3 3" xfId="47775"/>
    <cellStyle name="常规 6 9 2 3 3 3 2" xfId="47776"/>
    <cellStyle name="常规 6 9 2 3 3 4" xfId="47777"/>
    <cellStyle name="常规 6 9 2 3 3 5" xfId="47778"/>
    <cellStyle name="常规 6 9 2 3 4" xfId="47779"/>
    <cellStyle name="常规 6 9 2 3 4 2" xfId="47780"/>
    <cellStyle name="常规 6 9 2 3 4 2 2" xfId="47781"/>
    <cellStyle name="常规 6 9 2 3 4 3" xfId="47782"/>
    <cellStyle name="常规 6 9 2 3 4 4" xfId="47783"/>
    <cellStyle name="常规 6 9 2 3 5" xfId="47784"/>
    <cellStyle name="常规 6 9 2 3 5 2" xfId="47785"/>
    <cellStyle name="常规 6 9 2 3 6" xfId="47786"/>
    <cellStyle name="常规 6 9 2 3 7" xfId="47787"/>
    <cellStyle name="常规 6 9 2 4" xfId="47788"/>
    <cellStyle name="常规 6 9 2 4 2" xfId="47789"/>
    <cellStyle name="常规 6 9 2 4 2 2" xfId="47790"/>
    <cellStyle name="常规 6 9 2 4 2 2 2" xfId="47792"/>
    <cellStyle name="常规 6 9 2 4 2 2 2 2" xfId="47793"/>
    <cellStyle name="常规 6 9 2 4 2 2 3" xfId="42455"/>
    <cellStyle name="常规 6 9 2 4 2 2 4" xfId="47794"/>
    <cellStyle name="常规 6 9 2 4 2 3" xfId="47795"/>
    <cellStyle name="常规 6 9 2 4 2 3 2" xfId="47796"/>
    <cellStyle name="常规 6 9 2 4 2 4" xfId="47797"/>
    <cellStyle name="常规 6 9 2 4 2 5" xfId="46320"/>
    <cellStyle name="常规 6 9 2 4 3" xfId="47798"/>
    <cellStyle name="常规 6 9 2 4 3 2" xfId="22361"/>
    <cellStyle name="常规 6 9 2 4 3 2 2" xfId="22365"/>
    <cellStyle name="常规 6 9 2 4 3 3" xfId="22915"/>
    <cellStyle name="常规 6 9 2 4 3 4" xfId="5715"/>
    <cellStyle name="常规 6 9 2 4 4" xfId="47799"/>
    <cellStyle name="常规 6 9 2 4 4 2" xfId="23830"/>
    <cellStyle name="常规 6 9 2 4 5" xfId="47800"/>
    <cellStyle name="常规 6 9 2 4 6" xfId="47801"/>
    <cellStyle name="常规 6 9 2 5" xfId="47802"/>
    <cellStyle name="常规 6 9 2 5 2" xfId="47803"/>
    <cellStyle name="常规 6 9 2 5 2 2" xfId="47804"/>
    <cellStyle name="常规 6 9 2 5 2 2 2" xfId="47805"/>
    <cellStyle name="常规 6 9 2 5 2 3" xfId="47806"/>
    <cellStyle name="常规 6 9 2 5 2 4" xfId="47807"/>
    <cellStyle name="常规 6 9 2 5 3" xfId="47808"/>
    <cellStyle name="常规 6 9 2 5 3 2" xfId="47809"/>
    <cellStyle name="常规 6 9 2 5 4" xfId="47810"/>
    <cellStyle name="常规 6 9 2 5 5" xfId="47811"/>
    <cellStyle name="常规 6 9 2 6" xfId="47812"/>
    <cellStyle name="常规 6 9 2 6 2" xfId="44320"/>
    <cellStyle name="常规 6 9 2 6 2 2" xfId="44322"/>
    <cellStyle name="常规 6 9 2 6 3" xfId="44327"/>
    <cellStyle name="常规 6 9 2 6 4" xfId="44330"/>
    <cellStyle name="常规 6 9 2 7" xfId="47813"/>
    <cellStyle name="常规 6 9 2 7 2" xfId="44339"/>
    <cellStyle name="常规 6 9 2 8" xfId="47814"/>
    <cellStyle name="常规 6 9 2 9" xfId="47815"/>
    <cellStyle name="常规 6 9 3" xfId="47816"/>
    <cellStyle name="常规 6 9 3 2" xfId="47817"/>
    <cellStyle name="常规 6 9 3 2 2" xfId="47818"/>
    <cellStyle name="常规 6 9 3 2 2 2" xfId="47819"/>
    <cellStyle name="常规 6 9 3 2 2 2 2" xfId="47820"/>
    <cellStyle name="常规 6 9 3 2 2 2 2 2" xfId="47821"/>
    <cellStyle name="常规 6 9 3 2 2 2 2 2 2" xfId="47822"/>
    <cellStyle name="常规 6 9 3 2 2 2 2 3" xfId="47823"/>
    <cellStyle name="常规 6 9 3 2 2 2 2 4" xfId="47824"/>
    <cellStyle name="常规 6 9 3 2 2 2 3" xfId="42605"/>
    <cellStyle name="常规 6 9 3 2 2 2 3 2" xfId="47825"/>
    <cellStyle name="常规 6 9 3 2 2 2 4" xfId="47826"/>
    <cellStyle name="常规 6 9 3 2 2 2 5" xfId="47827"/>
    <cellStyle name="常规 6 9 3 2 2 3" xfId="47828"/>
    <cellStyle name="常规 6 9 3 2 2 3 2" xfId="47829"/>
    <cellStyle name="常规 6 9 3 2 2 3 2 2" xfId="47830"/>
    <cellStyle name="常规 6 9 3 2 2 3 3" xfId="47831"/>
    <cellStyle name="常规 6 9 3 2 2 3 4" xfId="47832"/>
    <cellStyle name="常规 6 9 3 2 2 4" xfId="47833"/>
    <cellStyle name="常规 6 9 3 2 2 4 2" xfId="47834"/>
    <cellStyle name="常规 6 9 3 2 2 5" xfId="47835"/>
    <cellStyle name="常规 6 9 3 2 2 6" xfId="47836"/>
    <cellStyle name="常规 6 9 3 2 3" xfId="47837"/>
    <cellStyle name="常规 6 9 3 2 3 2" xfId="47838"/>
    <cellStyle name="常规 6 9 3 2 3 2 2" xfId="47839"/>
    <cellStyle name="常规 6 9 3 2 3 2 2 2" xfId="47840"/>
    <cellStyle name="常规 6 9 3 2 3 2 3" xfId="47841"/>
    <cellStyle name="常规 6 9 3 2 3 2 4" xfId="47842"/>
    <cellStyle name="常规 6 9 3 2 3 3" xfId="47843"/>
    <cellStyle name="常规 6 9 3 2 3 3 2" xfId="47844"/>
    <cellStyle name="常规 6 9 3 2 3 4" xfId="47845"/>
    <cellStyle name="常规 6 9 3 2 3 5" xfId="47846"/>
    <cellStyle name="常规 6 9 3 2 4" xfId="10438"/>
    <cellStyle name="常规 6 9 3 2 4 2" xfId="10440"/>
    <cellStyle name="常规 6 9 3 2 4 2 2" xfId="10442"/>
    <cellStyle name="常规 6 9 3 2 4 3" xfId="10450"/>
    <cellStyle name="常规 6 9 3 2 4 4" xfId="10453"/>
    <cellStyle name="常规 6 9 3 2 5" xfId="10456"/>
    <cellStyle name="常规 6 9 3 2 5 2" xfId="10459"/>
    <cellStyle name="常规 6 9 3 2 6" xfId="1232"/>
    <cellStyle name="常规 6 9 3 2 7" xfId="10468"/>
    <cellStyle name="常规 6 9 3 3" xfId="47847"/>
    <cellStyle name="常规 6 9 3 3 2" xfId="47848"/>
    <cellStyle name="常规 6 9 3 3 2 2" xfId="31721"/>
    <cellStyle name="常规 6 9 3 3 2 2 2" xfId="17694"/>
    <cellStyle name="常规 6 9 3 3 2 2 2 2" xfId="31723"/>
    <cellStyle name="常规 6 9 3 3 2 2 3" xfId="17697"/>
    <cellStyle name="常规 6 9 3 3 2 2 4" xfId="15937"/>
    <cellStyle name="常规 6 9 3 3 2 3" xfId="31751"/>
    <cellStyle name="常规 6 9 3 3 2 3 2" xfId="31753"/>
    <cellStyle name="常规 6 9 3 3 2 4" xfId="31773"/>
    <cellStyle name="常规 6 9 3 3 2 5" xfId="31780"/>
    <cellStyle name="常规 6 9 3 3 3" xfId="47849"/>
    <cellStyle name="常规 6 9 3 3 3 2" xfId="31854"/>
    <cellStyle name="常规 6 9 3 3 3 2 2" xfId="31856"/>
    <cellStyle name="常规 6 9 3 3 3 3" xfId="31858"/>
    <cellStyle name="常规 6 9 3 3 3 4" xfId="31861"/>
    <cellStyle name="常规 6 9 3 3 4" xfId="10473"/>
    <cellStyle name="常规 6 9 3 3 4 2" xfId="10475"/>
    <cellStyle name="常规 6 9 3 3 5" xfId="10484"/>
    <cellStyle name="常规 6 9 3 3 6" xfId="10488"/>
    <cellStyle name="常规 6 9 3 4" xfId="47850"/>
    <cellStyle name="常规 6 9 3 4 2" xfId="47851"/>
    <cellStyle name="常规 6 9 3 4 2 2" xfId="47852"/>
    <cellStyle name="常规 6 9 3 4 2 2 2" xfId="47853"/>
    <cellStyle name="常规 6 9 3 4 2 3" xfId="47854"/>
    <cellStyle name="常规 6 9 3 4 2 4" xfId="47855"/>
    <cellStyle name="常规 6 9 3 4 3" xfId="47856"/>
    <cellStyle name="常规 6 9 3 4 3 2" xfId="47857"/>
    <cellStyle name="常规 6 9 3 4 4" xfId="3097"/>
    <cellStyle name="常规 6 9 3 4 5" xfId="3459"/>
    <cellStyle name="常规 6 9 3 5" xfId="47858"/>
    <cellStyle name="常规 6 9 3 5 2" xfId="47859"/>
    <cellStyle name="常规 6 9 3 5 2 2" xfId="33235"/>
    <cellStyle name="常规 6 9 3 5 3" xfId="47860"/>
    <cellStyle name="常规 6 9 3 5 4" xfId="3140"/>
    <cellStyle name="常规 6 9 3 6" xfId="47861"/>
    <cellStyle name="常规 6 9 3 6 2" xfId="44356"/>
    <cellStyle name="常规 6 9 3 7" xfId="47862"/>
    <cellStyle name="常规 6 9 3 8" xfId="47863"/>
    <cellStyle name="常规 6 9 4" xfId="47864"/>
    <cellStyle name="常规 6 9 4 2" xfId="47865"/>
    <cellStyle name="常规 6 9 4 2 2" xfId="47866"/>
    <cellStyle name="常规 6 9 4 2 2 2" xfId="41976"/>
    <cellStyle name="常规 6 9 4 2 2 2 2" xfId="41978"/>
    <cellStyle name="常规 6 9 4 2 2 2 2 2" xfId="47867"/>
    <cellStyle name="常规 6 9 4 2 2 2 3" xfId="42755"/>
    <cellStyle name="常规 6 9 4 2 2 2 4" xfId="47868"/>
    <cellStyle name="常规 6 9 4 2 2 3" xfId="41980"/>
    <cellStyle name="常规 6 9 4 2 2 3 2" xfId="47869"/>
    <cellStyle name="常规 6 9 4 2 2 4" xfId="41982"/>
    <cellStyle name="常规 6 9 4 2 2 5" xfId="47870"/>
    <cellStyle name="常规 6 9 4 2 3" xfId="47871"/>
    <cellStyle name="常规 6 9 4 2 3 2" xfId="42022"/>
    <cellStyle name="常规 6 9 4 2 3 2 2" xfId="47872"/>
    <cellStyle name="常规 6 9 4 2 3 3" xfId="42024"/>
    <cellStyle name="常规 6 9 4 2 3 4" xfId="47873"/>
    <cellStyle name="常规 6 9 4 2 4" xfId="1125"/>
    <cellStyle name="常规 6 9 4 2 4 2" xfId="10493"/>
    <cellStyle name="常规 6 9 4 2 5" xfId="10499"/>
    <cellStyle name="常规 6 9 4 2 6" xfId="10503"/>
    <cellStyle name="常规 6 9 4 3" xfId="47874"/>
    <cellStyle name="常规 6 9 4 3 2" xfId="47875"/>
    <cellStyle name="常规 6 9 4 3 2 2" xfId="40982"/>
    <cellStyle name="常规 6 9 4 3 2 2 2" xfId="40985"/>
    <cellStyle name="常规 6 9 4 3 2 3" xfId="41023"/>
    <cellStyle name="常规 6 9 4 3 2 4" xfId="41050"/>
    <cellStyle name="常规 6 9 4 3 3" xfId="47876"/>
    <cellStyle name="常规 6 9 4 3 3 2" xfId="41090"/>
    <cellStyle name="常规 6 9 4 3 4" xfId="1867"/>
    <cellStyle name="常规 6 9 4 3 5" xfId="1878"/>
    <cellStyle name="常规 6 9 4 4" xfId="47877"/>
    <cellStyle name="常规 6 9 4 4 2" xfId="47878"/>
    <cellStyle name="常规 6 9 4 4 2 2" xfId="44559"/>
    <cellStyle name="常规 6 9 4 4 3" xfId="47879"/>
    <cellStyle name="常规 6 9 4 4 4" xfId="5004"/>
    <cellStyle name="常规 6 9 4 5" xfId="47880"/>
    <cellStyle name="常规 6 9 4 5 2" xfId="47881"/>
    <cellStyle name="常规 6 9 4 6" xfId="47882"/>
    <cellStyle name="常规 6 9 4 7" xfId="47883"/>
    <cellStyle name="常规 6 9 5" xfId="47884"/>
    <cellStyle name="常规 6 9 5 2" xfId="47885"/>
    <cellStyle name="常规 6 9 5 2 2" xfId="47886"/>
    <cellStyle name="常规 6 9 5 2 2 2" xfId="43256"/>
    <cellStyle name="常规 6 9 5 2 2 2 2" xfId="47887"/>
    <cellStyle name="常规 6 9 5 2 2 3" xfId="43258"/>
    <cellStyle name="常规 6 9 5 2 2 4" xfId="47888"/>
    <cellStyle name="常规 6 9 5 2 3" xfId="47889"/>
    <cellStyle name="常规 6 9 5 2 3 2" xfId="43278"/>
    <cellStyle name="常规 6 9 5 2 4" xfId="10514"/>
    <cellStyle name="常规 6 9 5 2 5" xfId="10517"/>
    <cellStyle name="常规 6 9 5 3" xfId="47890"/>
    <cellStyle name="常规 6 9 5 3 2" xfId="47891"/>
    <cellStyle name="常规 6 9 5 3 2 2" xfId="47892"/>
    <cellStyle name="常规 6 9 5 3 3" xfId="47893"/>
    <cellStyle name="常规 6 9 5 3 4" xfId="10525"/>
    <cellStyle name="常规 6 9 5 4" xfId="47894"/>
    <cellStyle name="常规 6 9 5 4 2" xfId="47895"/>
    <cellStyle name="常规 6 9 5 5" xfId="47896"/>
    <cellStyle name="常规 6 9 5 6" xfId="47897"/>
    <cellStyle name="常规 6 9 6" xfId="47898"/>
    <cellStyle name="常规 6 9 6 2" xfId="47899"/>
    <cellStyle name="常规 6 9 6 2 2" xfId="47900"/>
    <cellStyle name="常规 6 9 6 2 2 2" xfId="47901"/>
    <cellStyle name="常规 6 9 6 2 3" xfId="47902"/>
    <cellStyle name="常规 6 9 6 2 4" xfId="10541"/>
    <cellStyle name="常规 6 9 6 3" xfId="47903"/>
    <cellStyle name="常规 6 9 6 3 2" xfId="47904"/>
    <cellStyle name="常规 6 9 6 4" xfId="47905"/>
    <cellStyle name="常规 6 9 6 5" xfId="47906"/>
    <cellStyle name="常规 6 9 7" xfId="47907"/>
    <cellStyle name="常规 6 9 7 2" xfId="47908"/>
    <cellStyle name="常规 6 9 7 2 2" xfId="47909"/>
    <cellStyle name="常规 6 9 7 3" xfId="47910"/>
    <cellStyle name="常规 6 9 7 4" xfId="47911"/>
    <cellStyle name="常规 6 9 8" xfId="47912"/>
    <cellStyle name="常规 6 9 8 2" xfId="47913"/>
    <cellStyle name="常规 6 9 9" xfId="47914"/>
    <cellStyle name="常规 60" xfId="34711"/>
    <cellStyle name="常规 61" xfId="23814"/>
    <cellStyle name="常规 62" xfId="34713"/>
    <cellStyle name="常规 63" xfId="34715"/>
    <cellStyle name="常规 64" xfId="34717"/>
    <cellStyle name="常规 65" xfId="47916"/>
    <cellStyle name="常规 66" xfId="47918"/>
    <cellStyle name="常规 67" xfId="47920"/>
    <cellStyle name="常规 68" xfId="40149"/>
    <cellStyle name="常规 69" xfId="40171"/>
    <cellStyle name="常规 7" xfId="47921"/>
    <cellStyle name="常规 7 10" xfId="47922"/>
    <cellStyle name="常规 7 2" xfId="47923"/>
    <cellStyle name="常规 7 2 2" xfId="47924"/>
    <cellStyle name="常规 7 2 2 2" xfId="47925"/>
    <cellStyle name="常规 7 2 2 3" xfId="47926"/>
    <cellStyle name="常规 7 2 2 4" xfId="47927"/>
    <cellStyle name="常规 7 2 2 5" xfId="47928"/>
    <cellStyle name="常规 7 2 3" xfId="47929"/>
    <cellStyle name="常规 7 2 4" xfId="47930"/>
    <cellStyle name="常规 7 2 5" xfId="47931"/>
    <cellStyle name="常规 7 2 6" xfId="47932"/>
    <cellStyle name="常规 7 2 7" xfId="47933"/>
    <cellStyle name="常规 7 2_Sheet2" xfId="47934"/>
    <cellStyle name="常规 7 3" xfId="47935"/>
    <cellStyle name="常规 7 3 2" xfId="47936"/>
    <cellStyle name="常规 7 3 3" xfId="47937"/>
    <cellStyle name="常规 7 3 4" xfId="47938"/>
    <cellStyle name="常规 7 3_Sheet2" xfId="47939"/>
    <cellStyle name="常规 7 4" xfId="47940"/>
    <cellStyle name="常规 7 4 2" xfId="47941"/>
    <cellStyle name="常规 7 4 3" xfId="47942"/>
    <cellStyle name="常规 7 4_Sheet2" xfId="47943"/>
    <cellStyle name="常规 7 5" xfId="47944"/>
    <cellStyle name="常规 7 6" xfId="47945"/>
    <cellStyle name="常规 7 7" xfId="47946"/>
    <cellStyle name="常规 7 8" xfId="47947"/>
    <cellStyle name="常规 7 9" xfId="47948"/>
    <cellStyle name="常规 7_Sheet2" xfId="47949"/>
    <cellStyle name="常规 70" xfId="47915"/>
    <cellStyle name="常规 71" xfId="47917"/>
    <cellStyle name="常规 72" xfId="47919"/>
    <cellStyle name="常规 73" xfId="40148"/>
    <cellStyle name="常规 74" xfId="40170"/>
    <cellStyle name="常规 75" xfId="40183"/>
    <cellStyle name="常规 76" xfId="40190"/>
    <cellStyle name="常规 77" xfId="40194"/>
    <cellStyle name="常规 78" xfId="40197"/>
    <cellStyle name="常规 79" xfId="47951"/>
    <cellStyle name="常规 8" xfId="47952"/>
    <cellStyle name="常规 8 10" xfId="47953"/>
    <cellStyle name="常规 8 10 2" xfId="47954"/>
    <cellStyle name="常规 8 11" xfId="47955"/>
    <cellStyle name="常规 8 12" xfId="47956"/>
    <cellStyle name="常规 8 13" xfId="47957"/>
    <cellStyle name="常规 8 14" xfId="47958"/>
    <cellStyle name="常规 8 15" xfId="47959"/>
    <cellStyle name="常规 8 16" xfId="47960"/>
    <cellStyle name="常规 8 17" xfId="47961"/>
    <cellStyle name="常规 8 2" xfId="47962"/>
    <cellStyle name="常规 8 2 10" xfId="47963"/>
    <cellStyle name="常规 8 2 11" xfId="47964"/>
    <cellStyle name="常规 8 2 12" xfId="47965"/>
    <cellStyle name="常规 8 2 2" xfId="47966"/>
    <cellStyle name="常规 8 2 2 2" xfId="47967"/>
    <cellStyle name="常规 8 2 2 2 2" xfId="47968"/>
    <cellStyle name="常规 8 2 2 2 2 2" xfId="47969"/>
    <cellStyle name="常规 8 2 2 2 2 2 2" xfId="35809"/>
    <cellStyle name="常规 8 2 2 2 2 2 2 2" xfId="47970"/>
    <cellStyle name="常规 8 2 2 2 2 2 2 2 2" xfId="47971"/>
    <cellStyle name="常规 8 2 2 2 2 2 2 2 2 2" xfId="47972"/>
    <cellStyle name="常规 8 2 2 2 2 2 2 2 3" xfId="47973"/>
    <cellStyle name="常规 8 2 2 2 2 2 2 2 4" xfId="47974"/>
    <cellStyle name="常规 8 2 2 2 2 2 2 3" xfId="47975"/>
    <cellStyle name="常规 8 2 2 2 2 2 2 3 2" xfId="47976"/>
    <cellStyle name="常规 8 2 2 2 2 2 2 4" xfId="47977"/>
    <cellStyle name="常规 8 2 2 2 2 2 2 5" xfId="47978"/>
    <cellStyle name="常规 8 2 2 2 2 2 3" xfId="47979"/>
    <cellStyle name="常规 8 2 2 2 2 2 3 2" xfId="47980"/>
    <cellStyle name="常规 8 2 2 2 2 2 3 2 2" xfId="47981"/>
    <cellStyle name="常规 8 2 2 2 2 2 3 3" xfId="47982"/>
    <cellStyle name="常规 8 2 2 2 2 2 3 4" xfId="47983"/>
    <cellStyle name="常规 8 2 2 2 2 2 4" xfId="47984"/>
    <cellStyle name="常规 8 2 2 2 2 2 4 2" xfId="47985"/>
    <cellStyle name="常规 8 2 2 2 2 2 5" xfId="47986"/>
    <cellStyle name="常规 8 2 2 2 2 2 6" xfId="47987"/>
    <cellStyle name="常规 8 2 2 2 2 3" xfId="47988"/>
    <cellStyle name="常规 8 2 2 2 2 3 2" xfId="47989"/>
    <cellStyle name="常规 8 2 2 2 2 3 2 2" xfId="47990"/>
    <cellStyle name="常规 8 2 2 2 2 3 2 2 2" xfId="27513"/>
    <cellStyle name="常规 8 2 2 2 2 3 2 3" xfId="47991"/>
    <cellStyle name="常规 8 2 2 2 2 3 2 4" xfId="47992"/>
    <cellStyle name="常规 8 2 2 2 2 3 3" xfId="47993"/>
    <cellStyle name="常规 8 2 2 2 2 3 3 2" xfId="47994"/>
    <cellStyle name="常规 8 2 2 2 2 3 4" xfId="47995"/>
    <cellStyle name="常规 8 2 2 2 2 3 5" xfId="47996"/>
    <cellStyle name="常规 8 2 2 2 2 4" xfId="47997"/>
    <cellStyle name="常规 8 2 2 2 2 4 2" xfId="47998"/>
    <cellStyle name="常规 8 2 2 2 2 4 2 2" xfId="47999"/>
    <cellStyle name="常规 8 2 2 2 2 4 3" xfId="48000"/>
    <cellStyle name="常规 8 2 2 2 2 4 4" xfId="48001"/>
    <cellStyle name="常规 8 2 2 2 2 5" xfId="48002"/>
    <cellStyle name="常规 8 2 2 2 2 5 2" xfId="48003"/>
    <cellStyle name="常规 8 2 2 2 2 6" xfId="48004"/>
    <cellStyle name="常规 8 2 2 2 2 7" xfId="48005"/>
    <cellStyle name="常规 8 2 2 2 3" xfId="48006"/>
    <cellStyle name="常规 8 2 2 2 3 2" xfId="25971"/>
    <cellStyle name="常规 8 2 2 2 3 2 2" xfId="48007"/>
    <cellStyle name="常规 8 2 2 2 3 2 2 2" xfId="48008"/>
    <cellStyle name="常规 8 2 2 2 3 2 2 2 2" xfId="44592"/>
    <cellStyle name="常规 8 2 2 2 3 2 2 3" xfId="48009"/>
    <cellStyle name="常规 8 2 2 2 3 2 2 4" xfId="48010"/>
    <cellStyle name="常规 8 2 2 2 3 2 3" xfId="48011"/>
    <cellStyle name="常规 8 2 2 2 3 2 3 2" xfId="48012"/>
    <cellStyle name="常规 8 2 2 2 3 2 4" xfId="48013"/>
    <cellStyle name="常规 8 2 2 2 3 2 5" xfId="48014"/>
    <cellStyle name="常规 8 2 2 2 3 3" xfId="48015"/>
    <cellStyle name="常规 8 2 2 2 3 3 2" xfId="48016"/>
    <cellStyle name="常规 8 2 2 2 3 3 2 2" xfId="48017"/>
    <cellStyle name="常规 8 2 2 2 3 3 3" xfId="48018"/>
    <cellStyle name="常规 8 2 2 2 3 3 4" xfId="48019"/>
    <cellStyle name="常规 8 2 2 2 3 4" xfId="48020"/>
    <cellStyle name="常规 8 2 2 2 3 4 2" xfId="48021"/>
    <cellStyle name="常规 8 2 2 2 3 5" xfId="48022"/>
    <cellStyle name="常规 8 2 2 2 3 6" xfId="48023"/>
    <cellStyle name="常规 8 2 2 2 4" xfId="48024"/>
    <cellStyle name="常规 8 2 2 2 4 2" xfId="48025"/>
    <cellStyle name="常规 8 2 2 2 4 2 2" xfId="48026"/>
    <cellStyle name="常规 8 2 2 2 4 2 2 2" xfId="48027"/>
    <cellStyle name="常规 8 2 2 2 4 2 3" xfId="48028"/>
    <cellStyle name="常规 8 2 2 2 4 2 4" xfId="48029"/>
    <cellStyle name="常规 8 2 2 2 4 3" xfId="48030"/>
    <cellStyle name="常规 8 2 2 2 4 3 2" xfId="48031"/>
    <cellStyle name="常规 8 2 2 2 4 4" xfId="48032"/>
    <cellStyle name="常规 8 2 2 2 4 5" xfId="48033"/>
    <cellStyle name="常规 8 2 2 2 5" xfId="48034"/>
    <cellStyle name="常规 8 2 2 2 5 2" xfId="48035"/>
    <cellStyle name="常规 8 2 2 2 5 2 2" xfId="48036"/>
    <cellStyle name="常规 8 2 2 2 5 3" xfId="48037"/>
    <cellStyle name="常规 8 2 2 2 5 4" xfId="48038"/>
    <cellStyle name="常规 8 2 2 2 6" xfId="48039"/>
    <cellStyle name="常规 8 2 2 2 6 2" xfId="48040"/>
    <cellStyle name="常规 8 2 2 2 7" xfId="48041"/>
    <cellStyle name="常规 8 2 2 2 8" xfId="48042"/>
    <cellStyle name="常规 8 2 2 3" xfId="48043"/>
    <cellStyle name="常规 8 2 2 3 2" xfId="48044"/>
    <cellStyle name="常规 8 2 2 3 2 2" xfId="48045"/>
    <cellStyle name="常规 8 2 2 3 2 2 2" xfId="48046"/>
    <cellStyle name="常规 8 2 2 3 2 2 2 2" xfId="48047"/>
    <cellStyle name="常规 8 2 2 3 2 2 2 2 2" xfId="48048"/>
    <cellStyle name="常规 8 2 2 3 2 2 2 3" xfId="48049"/>
    <cellStyle name="常规 8 2 2 3 2 2 2 4" xfId="48050"/>
    <cellStyle name="常规 8 2 2 3 2 2 3" xfId="48051"/>
    <cellStyle name="常规 8 2 2 3 2 2 3 2" xfId="48052"/>
    <cellStyle name="常规 8 2 2 3 2 2 4" xfId="48053"/>
    <cellStyle name="常规 8 2 2 3 2 2 5" xfId="44975"/>
    <cellStyle name="常规 8 2 2 3 2 3" xfId="48054"/>
    <cellStyle name="常规 8 2 2 3 2 3 2" xfId="48055"/>
    <cellStyle name="常规 8 2 2 3 2 3 2 2" xfId="48056"/>
    <cellStyle name="常规 8 2 2 3 2 3 3" xfId="48057"/>
    <cellStyle name="常规 8 2 2 3 2 3 4" xfId="48058"/>
    <cellStyle name="常规 8 2 2 3 2 4" xfId="48059"/>
    <cellStyle name="常规 8 2 2 3 2 4 2" xfId="48060"/>
    <cellStyle name="常规 8 2 2 3 2 5" xfId="48061"/>
    <cellStyle name="常规 8 2 2 3 2 6" xfId="48062"/>
    <cellStyle name="常规 8 2 2 3 3" xfId="48063"/>
    <cellStyle name="常规 8 2 2 3 3 2" xfId="48064"/>
    <cellStyle name="常规 8 2 2 3 3 2 2" xfId="48065"/>
    <cellStyle name="常规 8 2 2 3 3 2 2 2" xfId="48066"/>
    <cellStyle name="常规 8 2 2 3 3 2 3" xfId="48067"/>
    <cellStyle name="常规 8 2 2 3 3 2 4" xfId="48068"/>
    <cellStyle name="常规 8 2 2 3 3 3" xfId="48069"/>
    <cellStyle name="常规 8 2 2 3 3 3 2" xfId="48070"/>
    <cellStyle name="常规 8 2 2 3 3 4" xfId="48071"/>
    <cellStyle name="常规 8 2 2 3 3 5" xfId="48072"/>
    <cellStyle name="常规 8 2 2 3 4" xfId="48073"/>
    <cellStyle name="常规 8 2 2 3 4 2" xfId="48074"/>
    <cellStyle name="常规 8 2 2 3 4 2 2" xfId="48075"/>
    <cellStyle name="常规 8 2 2 3 4 3" xfId="48076"/>
    <cellStyle name="常规 8 2 2 3 4 4" xfId="48077"/>
    <cellStyle name="常规 8 2 2 3 5" xfId="48078"/>
    <cellStyle name="常规 8 2 2 3 5 2" xfId="38209"/>
    <cellStyle name="常规 8 2 2 3 6" xfId="48079"/>
    <cellStyle name="常规 8 2 2 3 7" xfId="48080"/>
    <cellStyle name="常规 8 2 2 4" xfId="48081"/>
    <cellStyle name="常规 8 2 2 4 2" xfId="48082"/>
    <cellStyle name="常规 8 2 2 4 2 2" xfId="48083"/>
    <cellStyle name="常规 8 2 2 4 2 2 2" xfId="48084"/>
    <cellStyle name="常规 8 2 2 4 2 2 2 2" xfId="48085"/>
    <cellStyle name="常规 8 2 2 4 2 2 3" xfId="48086"/>
    <cellStyle name="常规 8 2 2 4 2 2 4" xfId="48087"/>
    <cellStyle name="常规 8 2 2 4 2 3" xfId="48088"/>
    <cellStyle name="常规 8 2 2 4 2 3 2" xfId="48089"/>
    <cellStyle name="常规 8 2 2 4 2 4" xfId="48090"/>
    <cellStyle name="常规 8 2 2 4 2 5" xfId="48091"/>
    <cellStyle name="常规 8 2 2 4 3" xfId="48092"/>
    <cellStyle name="常规 8 2 2 4 3 2" xfId="48093"/>
    <cellStyle name="常规 8 2 2 4 3 2 2" xfId="48094"/>
    <cellStyle name="常规 8 2 2 4 3 3" xfId="48095"/>
    <cellStyle name="常规 8 2 2 4 3 4" xfId="48096"/>
    <cellStyle name="常规 8 2 2 4 4" xfId="48097"/>
    <cellStyle name="常规 8 2 2 4 4 2" xfId="48098"/>
    <cellStyle name="常规 8 2 2 4 5" xfId="48099"/>
    <cellStyle name="常规 8 2 2 4 6" xfId="39251"/>
    <cellStyle name="常规 8 2 2 5" xfId="48100"/>
    <cellStyle name="常规 8 2 2 5 2" xfId="48101"/>
    <cellStyle name="常规 8 2 2 5 2 2" xfId="48102"/>
    <cellStyle name="常规 8 2 2 5 2 2 2" xfId="48103"/>
    <cellStyle name="常规 8 2 2 5 2 3" xfId="48104"/>
    <cellStyle name="常规 8 2 2 5 2 4" xfId="48105"/>
    <cellStyle name="常规 8 2 2 5 3" xfId="48106"/>
    <cellStyle name="常规 8 2 2 5 3 2" xfId="48107"/>
    <cellStyle name="常规 8 2 2 5 4" xfId="48108"/>
    <cellStyle name="常规 8 2 2 5 5" xfId="48109"/>
    <cellStyle name="常规 8 2 2 6" xfId="48110"/>
    <cellStyle name="常规 8 2 2 6 2" xfId="48111"/>
    <cellStyle name="常规 8 2 2 6 2 2" xfId="48112"/>
    <cellStyle name="常规 8 2 2 6 3" xfId="48113"/>
    <cellStyle name="常规 8 2 2 6 4" xfId="48114"/>
    <cellStyle name="常规 8 2 2 7" xfId="48115"/>
    <cellStyle name="常规 8 2 2 7 2" xfId="48116"/>
    <cellStyle name="常规 8 2 2 8" xfId="48117"/>
    <cellStyle name="常规 8 2 2 9" xfId="48118"/>
    <cellStyle name="常规 8 2 3" xfId="48119"/>
    <cellStyle name="常规 8 2 3 2" xfId="48120"/>
    <cellStyle name="常规 8 2 3 2 2" xfId="48121"/>
    <cellStyle name="常规 8 2 3 2 2 2" xfId="48122"/>
    <cellStyle name="常规 8 2 3 2 2 2 2" xfId="48123"/>
    <cellStyle name="常规 8 2 3 2 2 2 2 2" xfId="48124"/>
    <cellStyle name="常规 8 2 3 2 2 2 2 2 2" xfId="48125"/>
    <cellStyle name="常规 8 2 3 2 2 2 2 3" xfId="48126"/>
    <cellStyle name="常规 8 2 3 2 2 2 2 4" xfId="48127"/>
    <cellStyle name="常规 8 2 3 2 2 2 3" xfId="48128"/>
    <cellStyle name="常规 8 2 3 2 2 2 3 2" xfId="48129"/>
    <cellStyle name="常规 8 2 3 2 2 2 4" xfId="48130"/>
    <cellStyle name="常规 8 2 3 2 2 2 5" xfId="48131"/>
    <cellStyle name="常规 8 2 3 2 2 3" xfId="48132"/>
    <cellStyle name="常规 8 2 3 2 2 3 2" xfId="48133"/>
    <cellStyle name="常规 8 2 3 2 2 3 2 2" xfId="48134"/>
    <cellStyle name="常规 8 2 3 2 2 3 3" xfId="48135"/>
    <cellStyle name="常规 8 2 3 2 2 3 4" xfId="48136"/>
    <cellStyle name="常规 8 2 3 2 2 4" xfId="48137"/>
    <cellStyle name="常规 8 2 3 2 2 4 2" xfId="48138"/>
    <cellStyle name="常规 8 2 3 2 2 5" xfId="48139"/>
    <cellStyle name="常规 8 2 3 2 2 6" xfId="48140"/>
    <cellStyle name="常规 8 2 3 2 3" xfId="48141"/>
    <cellStyle name="常规 8 2 3 2 3 2" xfId="26188"/>
    <cellStyle name="常规 8 2 3 2 3 2 2" xfId="48142"/>
    <cellStyle name="常规 8 2 3 2 3 2 2 2" xfId="48143"/>
    <cellStyle name="常规 8 2 3 2 3 2 3" xfId="48144"/>
    <cellStyle name="常规 8 2 3 2 3 2 4" xfId="48145"/>
    <cellStyle name="常规 8 2 3 2 3 3" xfId="48146"/>
    <cellStyle name="常规 8 2 3 2 3 3 2" xfId="48147"/>
    <cellStyle name="常规 8 2 3 2 3 4" xfId="48148"/>
    <cellStyle name="常规 8 2 3 2 3 5" xfId="48149"/>
    <cellStyle name="常规 8 2 3 2 4" xfId="48150"/>
    <cellStyle name="常规 8 2 3 2 4 2" xfId="48151"/>
    <cellStyle name="常规 8 2 3 2 4 2 2" xfId="48152"/>
    <cellStyle name="常规 8 2 3 2 4 3" xfId="48153"/>
    <cellStyle name="常规 8 2 3 2 4 4" xfId="40083"/>
    <cellStyle name="常规 8 2 3 2 5" xfId="48154"/>
    <cellStyle name="常规 8 2 3 2 5 2" xfId="48155"/>
    <cellStyle name="常规 8 2 3 2 6" xfId="48156"/>
    <cellStyle name="常规 8 2 3 2 7" xfId="48157"/>
    <cellStyle name="常规 8 2 3 3" xfId="48158"/>
    <cellStyle name="常规 8 2 3 3 2" xfId="48159"/>
    <cellStyle name="常规 8 2 3 3 2 2" xfId="48160"/>
    <cellStyle name="常规 8 2 3 3 2 2 2" xfId="48161"/>
    <cellStyle name="常规 8 2 3 3 2 2 2 2" xfId="48162"/>
    <cellStyle name="常规 8 2 3 3 2 2 3" xfId="48163"/>
    <cellStyle name="常规 8 2 3 3 2 2 4" xfId="185"/>
    <cellStyle name="常规 8 2 3 3 2 3" xfId="48164"/>
    <cellStyle name="常规 8 2 3 3 2 3 2" xfId="48165"/>
    <cellStyle name="常规 8 2 3 3 2 4" xfId="48166"/>
    <cellStyle name="常规 8 2 3 3 2 5" xfId="48167"/>
    <cellStyle name="常规 8 2 3 3 3" xfId="48168"/>
    <cellStyle name="常规 8 2 3 3 3 2" xfId="48169"/>
    <cellStyle name="常规 8 2 3 3 3 2 2" xfId="48170"/>
    <cellStyle name="常规 8 2 3 3 3 3" xfId="48171"/>
    <cellStyle name="常规 8 2 3 3 3 4" xfId="48172"/>
    <cellStyle name="常规 8 2 3 3 4" xfId="48173"/>
    <cellStyle name="常规 8 2 3 3 4 2" xfId="48174"/>
    <cellStyle name="常规 8 2 3 3 5" xfId="48175"/>
    <cellStyle name="常规 8 2 3 3 6" xfId="48176"/>
    <cellStyle name="常规 8 2 3 4" xfId="48177"/>
    <cellStyle name="常规 8 2 3 4 2" xfId="48178"/>
    <cellStyle name="常规 8 2 3 4 2 2" xfId="48179"/>
    <cellStyle name="常规 8 2 3 4 2 2 2" xfId="48180"/>
    <cellStyle name="常规 8 2 3 4 2 3" xfId="48181"/>
    <cellStyle name="常规 8 2 3 4 2 4" xfId="48182"/>
    <cellStyle name="常规 8 2 3 4 3" xfId="48183"/>
    <cellStyle name="常规 8 2 3 4 3 2" xfId="48184"/>
    <cellStyle name="常规 8 2 3 4 4" xfId="48185"/>
    <cellStyle name="常规 8 2 3 4 5" xfId="48186"/>
    <cellStyle name="常规 8 2 3 5" xfId="48187"/>
    <cellStyle name="常规 8 2 3 5 2" xfId="48188"/>
    <cellStyle name="常规 8 2 3 5 2 2" xfId="48189"/>
    <cellStyle name="常规 8 2 3 5 3" xfId="48190"/>
    <cellStyle name="常规 8 2 3 5 4" xfId="48191"/>
    <cellStyle name="常规 8 2 3 6" xfId="48192"/>
    <cellStyle name="常规 8 2 3 6 2" xfId="48193"/>
    <cellStyle name="常规 8 2 3 7" xfId="48194"/>
    <cellStyle name="常规 8 2 3 8" xfId="48195"/>
    <cellStyle name="常规 8 2 4" xfId="48196"/>
    <cellStyle name="常规 8 2 4 2" xfId="43964"/>
    <cellStyle name="常规 8 2 4 2 2" xfId="43966"/>
    <cellStyle name="常规 8 2 4 2 2 2" xfId="34885"/>
    <cellStyle name="常规 8 2 4 2 2 2 2" xfId="48197"/>
    <cellStyle name="常规 8 2 4 2 2 2 2 2" xfId="48198"/>
    <cellStyle name="常规 8 2 4 2 2 2 3" xfId="48199"/>
    <cellStyle name="常规 8 2 4 2 2 2 4" xfId="48200"/>
    <cellStyle name="常规 8 2 4 2 2 3" xfId="48201"/>
    <cellStyle name="常规 8 2 4 2 2 3 2" xfId="48202"/>
    <cellStyle name="常规 8 2 4 2 2 4" xfId="48203"/>
    <cellStyle name="常规 8 2 4 2 2 5" xfId="48204"/>
    <cellStyle name="常规 8 2 4 2 3" xfId="43968"/>
    <cellStyle name="常规 8 2 4 2 3 2" xfId="48205"/>
    <cellStyle name="常规 8 2 4 2 3 2 2" xfId="48206"/>
    <cellStyle name="常规 8 2 4 2 3 3" xfId="48207"/>
    <cellStyle name="常规 8 2 4 2 3 4" xfId="48208"/>
    <cellStyle name="常规 8 2 4 2 4" xfId="43970"/>
    <cellStyle name="常规 8 2 4 2 4 2" xfId="48209"/>
    <cellStyle name="常规 8 2 4 2 5" xfId="48210"/>
    <cellStyle name="常规 8 2 4 2 6" xfId="48211"/>
    <cellStyle name="常规 8 2 4 3" xfId="43972"/>
    <cellStyle name="常规 8 2 4 3 2" xfId="43974"/>
    <cellStyle name="常规 8 2 4 3 2 2" xfId="35007"/>
    <cellStyle name="常规 8 2 4 3 2 2 2" xfId="48212"/>
    <cellStyle name="常规 8 2 4 3 2 3" xfId="48213"/>
    <cellStyle name="常规 8 2 4 3 2 4" xfId="48214"/>
    <cellStyle name="常规 8 2 4 3 3" xfId="48215"/>
    <cellStyle name="常规 8 2 4 3 3 2" xfId="48216"/>
    <cellStyle name="常规 8 2 4 3 4" xfId="48217"/>
    <cellStyle name="常规 8 2 4 3 5" xfId="48218"/>
    <cellStyle name="常规 8 2 4 4" xfId="43976"/>
    <cellStyle name="常规 8 2 4 4 2" xfId="48219"/>
    <cellStyle name="常规 8 2 4 4 2 2" xfId="48220"/>
    <cellStyle name="常规 8 2 4 4 3" xfId="48221"/>
    <cellStyle name="常规 8 2 4 4 4" xfId="40245"/>
    <cellStyle name="常规 8 2 4 5" xfId="43978"/>
    <cellStyle name="常规 8 2 4 5 2" xfId="48222"/>
    <cellStyle name="常规 8 2 4 6" xfId="48223"/>
    <cellStyle name="常规 8 2 4 7" xfId="48224"/>
    <cellStyle name="常规 8 2 5" xfId="23507"/>
    <cellStyle name="常规 8 2 5 2" xfId="44016"/>
    <cellStyle name="常规 8 2 5 2 2" xfId="44018"/>
    <cellStyle name="常规 8 2 5 2 2 2" xfId="48225"/>
    <cellStyle name="常规 8 2 5 2 2 2 2" xfId="48226"/>
    <cellStyle name="常规 8 2 5 2 2 3" xfId="48227"/>
    <cellStyle name="常规 8 2 5 2 2 4" xfId="48228"/>
    <cellStyle name="常规 8 2 5 2 3" xfId="48229"/>
    <cellStyle name="常规 8 2 5 2 3 2" xfId="48230"/>
    <cellStyle name="常规 8 2 5 2 4" xfId="48231"/>
    <cellStyle name="常规 8 2 5 2 5" xfId="48232"/>
    <cellStyle name="常规 8 2 5 3" xfId="44020"/>
    <cellStyle name="常规 8 2 5 3 2" xfId="48233"/>
    <cellStyle name="常规 8 2 5 3 2 2" xfId="48234"/>
    <cellStyle name="常规 8 2 5 3 3" xfId="48235"/>
    <cellStyle name="常规 8 2 5 3 4" xfId="48236"/>
    <cellStyle name="常规 8 2 5 4" xfId="44022"/>
    <cellStyle name="常规 8 2 5 4 2" xfId="48237"/>
    <cellStyle name="常规 8 2 5 5" xfId="48238"/>
    <cellStyle name="常规 8 2 5 6" xfId="48239"/>
    <cellStyle name="常规 8 2 6" xfId="48240"/>
    <cellStyle name="常规 8 2 6 2" xfId="44041"/>
    <cellStyle name="常规 8 2 6 2 2" xfId="48241"/>
    <cellStyle name="常规 8 2 6 2 2 2" xfId="48242"/>
    <cellStyle name="常规 8 2 6 2 3" xfId="48243"/>
    <cellStyle name="常规 8 2 6 2 4" xfId="48244"/>
    <cellStyle name="常规 8 2 6 3" xfId="44043"/>
    <cellStyle name="常规 8 2 6 3 2" xfId="48245"/>
    <cellStyle name="常规 8 2 6 4" xfId="48246"/>
    <cellStyle name="常规 8 2 6 5" xfId="48247"/>
    <cellStyle name="常规 8 2 7" xfId="48248"/>
    <cellStyle name="常规 8 2 7 2" xfId="44054"/>
    <cellStyle name="常规 8 2 7 2 2" xfId="48249"/>
    <cellStyle name="常规 8 2 7 3" xfId="48250"/>
    <cellStyle name="常规 8 2 7 4" xfId="48251"/>
    <cellStyle name="常规 8 2 8" xfId="48252"/>
    <cellStyle name="常规 8 2 8 2" xfId="48253"/>
    <cellStyle name="常规 8 2 9" xfId="48254"/>
    <cellStyle name="常规 8 2_Sheet2" xfId="48255"/>
    <cellStyle name="常规 8 3" xfId="48256"/>
    <cellStyle name="常规 8 3 10" xfId="48257"/>
    <cellStyle name="常规 8 3 2" xfId="48258"/>
    <cellStyle name="常规 8 3 2 2" xfId="48259"/>
    <cellStyle name="常规 8 3 2 2 2" xfId="48260"/>
    <cellStyle name="常规 8 3 2 2 2 2" xfId="48261"/>
    <cellStyle name="常规 8 3 2 2 2 2 2" xfId="48262"/>
    <cellStyle name="常规 8 3 2 2 2 2 2 2" xfId="27581"/>
    <cellStyle name="常规 8 3 2 2 2 2 2 2 2" xfId="48263"/>
    <cellStyle name="常规 8 3 2 2 2 2 2 3" xfId="27585"/>
    <cellStyle name="常规 8 3 2 2 2 2 2 4" xfId="48264"/>
    <cellStyle name="常规 8 3 2 2 2 2 3" xfId="48265"/>
    <cellStyle name="常规 8 3 2 2 2 2 3 2" xfId="48266"/>
    <cellStyle name="常规 8 3 2 2 2 2 4" xfId="48267"/>
    <cellStyle name="常规 8 3 2 2 2 2 5" xfId="48268"/>
    <cellStyle name="常规 8 3 2 2 2 3" xfId="48269"/>
    <cellStyle name="常规 8 3 2 2 2 3 2" xfId="48270"/>
    <cellStyle name="常规 8 3 2 2 2 3 2 2" xfId="28557"/>
    <cellStyle name="常规 8 3 2 2 2 3 3" xfId="48271"/>
    <cellStyle name="常规 8 3 2 2 2 3 4" xfId="48272"/>
    <cellStyle name="常规 8 3 2 2 2 4" xfId="48273"/>
    <cellStyle name="常规 8 3 2 2 2 4 2" xfId="48274"/>
    <cellStyle name="常规 8 3 2 2 2 5" xfId="48275"/>
    <cellStyle name="常规 8 3 2 2 2 6" xfId="48276"/>
    <cellStyle name="常规 8 3 2 2 3" xfId="48277"/>
    <cellStyle name="常规 8 3 2 2 3 2" xfId="48278"/>
    <cellStyle name="常规 8 3 2 2 3 2 2" xfId="48279"/>
    <cellStyle name="常规 8 3 2 2 3 2 2 2" xfId="48280"/>
    <cellStyle name="常规 8 3 2 2 3 2 3" xfId="48281"/>
    <cellStyle name="常规 8 3 2 2 3 2 4" xfId="48282"/>
    <cellStyle name="常规 8 3 2 2 3 3" xfId="48283"/>
    <cellStyle name="常规 8 3 2 2 3 3 2" xfId="48284"/>
    <cellStyle name="常规 8 3 2 2 3 4" xfId="48285"/>
    <cellStyle name="常规 8 3 2 2 3 5" xfId="48286"/>
    <cellStyle name="常规 8 3 2 2 4" xfId="48287"/>
    <cellStyle name="常规 8 3 2 2 4 2" xfId="48288"/>
    <cellStyle name="常规 8 3 2 2 4 2 2" xfId="48289"/>
    <cellStyle name="常规 8 3 2 2 4 3" xfId="48290"/>
    <cellStyle name="常规 8 3 2 2 4 4" xfId="48291"/>
    <cellStyle name="常规 8 3 2 2 5" xfId="48292"/>
    <cellStyle name="常规 8 3 2 2 5 2" xfId="48293"/>
    <cellStyle name="常规 8 3 2 2 6" xfId="48294"/>
    <cellStyle name="常规 8 3 2 2 7" xfId="48295"/>
    <cellStyle name="常规 8 3 2 3" xfId="48296"/>
    <cellStyle name="常规 8 3 2 3 2" xfId="48297"/>
    <cellStyle name="常规 8 3 2 3 2 2" xfId="48298"/>
    <cellStyle name="常规 8 3 2 3 2 2 2" xfId="48299"/>
    <cellStyle name="常规 8 3 2 3 2 2 2 2" xfId="48300"/>
    <cellStyle name="常规 8 3 2 3 2 2 3" xfId="48301"/>
    <cellStyle name="常规 8 3 2 3 2 2 4" xfId="48302"/>
    <cellStyle name="常规 8 3 2 3 2 3" xfId="48303"/>
    <cellStyle name="常规 8 3 2 3 2 3 2" xfId="48304"/>
    <cellStyle name="常规 8 3 2 3 2 4" xfId="48305"/>
    <cellStyle name="常规 8 3 2 3 2 5" xfId="48306"/>
    <cellStyle name="常规 8 3 2 3 3" xfId="48307"/>
    <cellStyle name="常规 8 3 2 3 3 2" xfId="48308"/>
    <cellStyle name="常规 8 3 2 3 3 2 2" xfId="48309"/>
    <cellStyle name="常规 8 3 2 3 3 3" xfId="48310"/>
    <cellStyle name="常规 8 3 2 3 3 4" xfId="48311"/>
    <cellStyle name="常规 8 3 2 3 4" xfId="48312"/>
    <cellStyle name="常规 8 3 2 3 4 2" xfId="48313"/>
    <cellStyle name="常规 8 3 2 3 5" xfId="48314"/>
    <cellStyle name="常规 8 3 2 3 6" xfId="48315"/>
    <cellStyle name="常规 8 3 2 4" xfId="48316"/>
    <cellStyle name="常规 8 3 2 4 2" xfId="48317"/>
    <cellStyle name="常规 8 3 2 4 2 2" xfId="48318"/>
    <cellStyle name="常规 8 3 2 4 2 2 2" xfId="48319"/>
    <cellStyle name="常规 8 3 2 4 2 3" xfId="48320"/>
    <cellStyle name="常规 8 3 2 4 2 4" xfId="48321"/>
    <cellStyle name="常规 8 3 2 4 3" xfId="48322"/>
    <cellStyle name="常规 8 3 2 4 3 2" xfId="48323"/>
    <cellStyle name="常规 8 3 2 4 4" xfId="48324"/>
    <cellStyle name="常规 8 3 2 4 5" xfId="48325"/>
    <cellStyle name="常规 8 3 2 5" xfId="48326"/>
    <cellStyle name="常规 8 3 2 5 2" xfId="48327"/>
    <cellStyle name="常规 8 3 2 5 2 2" xfId="48328"/>
    <cellStyle name="常规 8 3 2 5 3" xfId="48329"/>
    <cellStyle name="常规 8 3 2 5 4" xfId="48330"/>
    <cellStyle name="常规 8 3 2 6" xfId="2778"/>
    <cellStyle name="常规 8 3 2 6 2" xfId="48331"/>
    <cellStyle name="常规 8 3 2 7" xfId="48332"/>
    <cellStyle name="常规 8 3 2 8" xfId="48333"/>
    <cellStyle name="常规 8 3 3" xfId="48334"/>
    <cellStyle name="常规 8 3 3 2" xfId="48335"/>
    <cellStyle name="常规 8 3 3 2 2" xfId="48336"/>
    <cellStyle name="常规 8 3 3 2 2 2" xfId="48337"/>
    <cellStyle name="常规 8 3 3 2 2 2 2" xfId="48338"/>
    <cellStyle name="常规 8 3 3 2 2 2 2 2" xfId="48339"/>
    <cellStyle name="常规 8 3 3 2 2 2 3" xfId="26702"/>
    <cellStyle name="常规 8 3 3 2 2 2 4" xfId="26709"/>
    <cellStyle name="常规 8 3 3 2 2 3" xfId="48340"/>
    <cellStyle name="常规 8 3 3 2 2 3 2" xfId="48341"/>
    <cellStyle name="常规 8 3 3 2 2 4" xfId="48342"/>
    <cellStyle name="常规 8 3 3 2 2 5" xfId="48343"/>
    <cellStyle name="常规 8 3 3 2 3" xfId="48344"/>
    <cellStyle name="常规 8 3 3 2 3 2" xfId="48345"/>
    <cellStyle name="常规 8 3 3 2 3 2 2" xfId="48346"/>
    <cellStyle name="常规 8 3 3 2 3 3" xfId="48347"/>
    <cellStyle name="常规 8 3 3 2 3 4" xfId="48348"/>
    <cellStyle name="常规 8 3 3 2 4" xfId="48349"/>
    <cellStyle name="常规 8 3 3 2 4 2" xfId="48350"/>
    <cellStyle name="常规 8 3 3 2 5" xfId="48351"/>
    <cellStyle name="常规 8 3 3 2 6" xfId="48352"/>
    <cellStyle name="常规 8 3 3 3" xfId="48353"/>
    <cellStyle name="常规 8 3 3 3 2" xfId="48354"/>
    <cellStyle name="常规 8 3 3 3 2 2" xfId="20027"/>
    <cellStyle name="常规 8 3 3 3 2 2 2" xfId="48355"/>
    <cellStyle name="常规 8 3 3 3 2 3" xfId="20034"/>
    <cellStyle name="常规 8 3 3 3 2 4" xfId="48356"/>
    <cellStyle name="常规 8 3 3 3 3" xfId="48357"/>
    <cellStyle name="常规 8 3 3 3 3 2" xfId="20049"/>
    <cellStyle name="常规 8 3 3 3 4" xfId="48358"/>
    <cellStyle name="常规 8 3 3 3 5" xfId="48359"/>
    <cellStyle name="常规 8 3 3 4" xfId="48360"/>
    <cellStyle name="常规 8 3 3 4 2" xfId="48361"/>
    <cellStyle name="常规 8 3 3 4 2 2" xfId="21153"/>
    <cellStyle name="常规 8 3 3 4 3" xfId="48362"/>
    <cellStyle name="常规 8 3 3 4 4" xfId="48363"/>
    <cellStyle name="常规 8 3 3 5" xfId="48364"/>
    <cellStyle name="常规 8 3 3 5 2" xfId="48365"/>
    <cellStyle name="常规 8 3 3 6" xfId="48366"/>
    <cellStyle name="常规 8 3 3 7" xfId="48367"/>
    <cellStyle name="常规 8 3 4" xfId="48368"/>
    <cellStyle name="常规 8 3 4 2" xfId="44100"/>
    <cellStyle name="常规 8 3 4 2 2" xfId="31418"/>
    <cellStyle name="常规 8 3 4 2 2 2" xfId="48369"/>
    <cellStyle name="常规 8 3 4 2 2 2 2" xfId="48370"/>
    <cellStyle name="常规 8 3 4 2 2 3" xfId="48371"/>
    <cellStyle name="常规 8 3 4 2 2 4" xfId="48372"/>
    <cellStyle name="常规 8 3 4 2 3" xfId="31423"/>
    <cellStyle name="常规 8 3 4 2 3 2" xfId="48373"/>
    <cellStyle name="常规 8 3 4 2 4" xfId="48374"/>
    <cellStyle name="常规 8 3 4 2 5" xfId="48375"/>
    <cellStyle name="常规 8 3 4 3" xfId="44102"/>
    <cellStyle name="常规 8 3 4 3 2" xfId="31430"/>
    <cellStyle name="常规 8 3 4 3 2 2" xfId="48376"/>
    <cellStyle name="常规 8 3 4 3 3" xfId="48377"/>
    <cellStyle name="常规 8 3 4 3 4" xfId="48378"/>
    <cellStyle name="常规 8 3 4 4" xfId="44104"/>
    <cellStyle name="常规 8 3 4 4 2" xfId="48379"/>
    <cellStyle name="常规 8 3 4 5" xfId="48380"/>
    <cellStyle name="常规 8 3 4 6" xfId="48381"/>
    <cellStyle name="常规 8 3 5" xfId="48382"/>
    <cellStyle name="常规 8 3 5 2" xfId="44124"/>
    <cellStyle name="常规 8 3 5 2 2" xfId="31442"/>
    <cellStyle name="常规 8 3 5 2 2 2" xfId="48383"/>
    <cellStyle name="常规 8 3 5 2 3" xfId="48384"/>
    <cellStyle name="常规 8 3 5 2 4" xfId="48385"/>
    <cellStyle name="常规 8 3 5 3" xfId="44126"/>
    <cellStyle name="常规 8 3 5 3 2" xfId="48386"/>
    <cellStyle name="常规 8 3 5 4" xfId="48387"/>
    <cellStyle name="常规 8 3 5 5" xfId="48388"/>
    <cellStyle name="常规 8 3 6" xfId="48389"/>
    <cellStyle name="常规 8 3 6 2" xfId="44139"/>
    <cellStyle name="常规 8 3 6 2 2" xfId="48390"/>
    <cellStyle name="常规 8 3 6 3" xfId="48391"/>
    <cellStyle name="常规 8 3 6 4" xfId="40781"/>
    <cellStyle name="常规 8 3 7" xfId="48392"/>
    <cellStyle name="常规 8 3 7 2" xfId="48393"/>
    <cellStyle name="常规 8 3 8" xfId="48394"/>
    <cellStyle name="常规 8 3 9" xfId="48395"/>
    <cellStyle name="常规 8 3_Sheet2" xfId="5213"/>
    <cellStyle name="常规 8 4" xfId="48396"/>
    <cellStyle name="常规 8 4 10" xfId="48397"/>
    <cellStyle name="常规 8 4 2" xfId="48398"/>
    <cellStyle name="常规 8 4 2 2" xfId="48399"/>
    <cellStyle name="常规 8 4 2 2 2" xfId="48400"/>
    <cellStyle name="常规 8 4 2 2 2 2" xfId="48401"/>
    <cellStyle name="常规 8 4 2 2 2 2 2" xfId="48402"/>
    <cellStyle name="常规 8 4 2 2 2 2 2 2" xfId="48403"/>
    <cellStyle name="常规 8 4 2 2 2 2 2 2 2" xfId="48404"/>
    <cellStyle name="常规 8 4 2 2 2 2 2 3" xfId="48405"/>
    <cellStyle name="常规 8 4 2 2 2 2 2 4" xfId="48406"/>
    <cellStyle name="常规 8 4 2 2 2 2 3" xfId="43556"/>
    <cellStyle name="常规 8 4 2 2 2 2 3 2" xfId="43558"/>
    <cellStyle name="常规 8 4 2 2 2 2 4" xfId="43568"/>
    <cellStyle name="常规 8 4 2 2 2 2 5" xfId="43574"/>
    <cellStyle name="常规 8 4 2 2 2 3" xfId="48407"/>
    <cellStyle name="常规 8 4 2 2 2 3 2" xfId="48408"/>
    <cellStyle name="常规 8 4 2 2 2 3 2 2" xfId="48409"/>
    <cellStyle name="常规 8 4 2 2 2 3 3" xfId="43580"/>
    <cellStyle name="常规 8 4 2 2 2 3 4" xfId="43586"/>
    <cellStyle name="常规 8 4 2 2 2 4" xfId="48410"/>
    <cellStyle name="常规 8 4 2 2 2 4 2" xfId="48411"/>
    <cellStyle name="常规 8 4 2 2 2 5" xfId="48412"/>
    <cellStyle name="常规 8 4 2 2 2 6" xfId="48413"/>
    <cellStyle name="常规 8 4 2 2 3" xfId="48414"/>
    <cellStyle name="常规 8 4 2 2 3 2" xfId="48415"/>
    <cellStyle name="常规 8 4 2 2 3 2 2" xfId="48416"/>
    <cellStyle name="常规 8 4 2 2 3 2 2 2" xfId="48417"/>
    <cellStyle name="常规 8 4 2 2 3 2 3" xfId="43659"/>
    <cellStyle name="常规 8 4 2 2 3 2 4" xfId="43665"/>
    <cellStyle name="常规 8 4 2 2 3 3" xfId="48418"/>
    <cellStyle name="常规 8 4 2 2 3 3 2" xfId="48419"/>
    <cellStyle name="常规 8 4 2 2 3 4" xfId="48420"/>
    <cellStyle name="常规 8 4 2 2 3 5" xfId="48421"/>
    <cellStyle name="常规 8 4 2 2 4" xfId="48422"/>
    <cellStyle name="常规 8 4 2 2 4 2" xfId="48423"/>
    <cellStyle name="常规 8 4 2 2 4 2 2" xfId="48424"/>
    <cellStyle name="常规 8 4 2 2 4 3" xfId="48425"/>
    <cellStyle name="常规 8 4 2 2 4 4" xfId="48426"/>
    <cellStyle name="常规 8 4 2 2 5" xfId="48427"/>
    <cellStyle name="常规 8 4 2 2 5 2" xfId="48428"/>
    <cellStyle name="常规 8 4 2 2 6" xfId="48429"/>
    <cellStyle name="常规 8 4 2 2 7" xfId="48430"/>
    <cellStyle name="常规 8 4 2 3" xfId="48431"/>
    <cellStyle name="常规 8 4 2 3 2" xfId="48432"/>
    <cellStyle name="常规 8 4 2 3 2 2" xfId="48433"/>
    <cellStyle name="常规 8 4 2 3 2 2 2" xfId="48434"/>
    <cellStyle name="常规 8 4 2 3 2 2 2 2" xfId="48435"/>
    <cellStyle name="常规 8 4 2 3 2 2 3" xfId="44129"/>
    <cellStyle name="常规 8 4 2 3 2 2 4" xfId="44135"/>
    <cellStyle name="常规 8 4 2 3 2 3" xfId="48436"/>
    <cellStyle name="常规 8 4 2 3 2 3 2" xfId="48437"/>
    <cellStyle name="常规 8 4 2 3 2 4" xfId="48438"/>
    <cellStyle name="常规 8 4 2 3 2 5" xfId="48439"/>
    <cellStyle name="常规 8 4 2 3 3" xfId="48440"/>
    <cellStyle name="常规 8 4 2 3 3 2" xfId="48441"/>
    <cellStyle name="常规 8 4 2 3 3 2 2" xfId="48442"/>
    <cellStyle name="常规 8 4 2 3 3 3" xfId="48443"/>
    <cellStyle name="常规 8 4 2 3 3 4" xfId="48444"/>
    <cellStyle name="常规 8 4 2 3 4" xfId="48445"/>
    <cellStyle name="常规 8 4 2 3 4 2" xfId="48446"/>
    <cellStyle name="常规 8 4 2 3 5" xfId="48447"/>
    <cellStyle name="常规 8 4 2 3 6" xfId="48448"/>
    <cellStyle name="常规 8 4 2 4" xfId="48449"/>
    <cellStyle name="常规 8 4 2 4 2" xfId="48450"/>
    <cellStyle name="常规 8 4 2 4 2 2" xfId="48451"/>
    <cellStyle name="常规 8 4 2 4 2 2 2" xfId="48452"/>
    <cellStyle name="常规 8 4 2 4 2 3" xfId="48453"/>
    <cellStyle name="常规 8 4 2 4 2 4" xfId="48454"/>
    <cellStyle name="常规 8 4 2 4 3" xfId="48455"/>
    <cellStyle name="常规 8 4 2 4 3 2" xfId="48456"/>
    <cellStyle name="常规 8 4 2 4 4" xfId="48457"/>
    <cellStyle name="常规 8 4 2 4 5" xfId="48458"/>
    <cellStyle name="常规 8 4 2 5" xfId="48459"/>
    <cellStyle name="常规 8 4 2 5 2" xfId="48460"/>
    <cellStyle name="常规 8 4 2 5 2 2" xfId="48461"/>
    <cellStyle name="常规 8 4 2 5 3" xfId="48462"/>
    <cellStyle name="常规 8 4 2 5 4" xfId="48463"/>
    <cellStyle name="常规 8 4 2 6" xfId="48464"/>
    <cellStyle name="常规 8 4 2 6 2" xfId="48465"/>
    <cellStyle name="常规 8 4 2 7" xfId="48466"/>
    <cellStyle name="常规 8 4 2 8" xfId="48467"/>
    <cellStyle name="常规 8 4 3" xfId="48468"/>
    <cellStyle name="常规 8 4 3 2" xfId="48469"/>
    <cellStyle name="常规 8 4 3 2 2" xfId="17249"/>
    <cellStyle name="常规 8 4 3 2 2 2" xfId="48470"/>
    <cellStyle name="常规 8 4 3 2 2 2 2" xfId="48471"/>
    <cellStyle name="常规 8 4 3 2 2 2 2 2" xfId="48472"/>
    <cellStyle name="常规 8 4 3 2 2 2 3" xfId="48473"/>
    <cellStyle name="常规 8 4 3 2 2 2 4" xfId="48474"/>
    <cellStyle name="常规 8 4 3 2 2 3" xfId="48475"/>
    <cellStyle name="常规 8 4 3 2 2 3 2" xfId="48476"/>
    <cellStyle name="常规 8 4 3 2 2 4" xfId="48477"/>
    <cellStyle name="常规 8 4 3 2 2 5" xfId="48478"/>
    <cellStyle name="常规 8 4 3 2 3" xfId="17271"/>
    <cellStyle name="常规 8 4 3 2 3 2" xfId="48479"/>
    <cellStyle name="常规 8 4 3 2 3 2 2" xfId="48480"/>
    <cellStyle name="常规 8 4 3 2 3 3" xfId="48481"/>
    <cellStyle name="常规 8 4 3 2 3 4" xfId="48482"/>
    <cellStyle name="常规 8 4 3 2 4" xfId="48483"/>
    <cellStyle name="常规 8 4 3 2 4 2" xfId="48484"/>
    <cellStyle name="常规 8 4 3 2 5" xfId="48485"/>
    <cellStyle name="常规 8 4 3 2 6" xfId="48486"/>
    <cellStyle name="常规 8 4 3 3" xfId="48487"/>
    <cellStyle name="常规 8 4 3 3 2" xfId="17292"/>
    <cellStyle name="常规 8 4 3 3 2 2" xfId="48488"/>
    <cellStyle name="常规 8 4 3 3 2 2 2" xfId="48489"/>
    <cellStyle name="常规 8 4 3 3 2 3" xfId="48490"/>
    <cellStyle name="常规 8 4 3 3 2 4" xfId="48491"/>
    <cellStyle name="常规 8 4 3 3 3" xfId="48492"/>
    <cellStyle name="常规 8 4 3 3 3 2" xfId="48493"/>
    <cellStyle name="常规 8 4 3 3 4" xfId="48494"/>
    <cellStyle name="常规 8 4 3 3 5" xfId="48495"/>
    <cellStyle name="常规 8 4 3 4" xfId="48496"/>
    <cellStyle name="常规 8 4 3 4 2" xfId="48497"/>
    <cellStyle name="常规 8 4 3 4 2 2" xfId="48498"/>
    <cellStyle name="常规 8 4 3 4 3" xfId="48499"/>
    <cellStyle name="常规 8 4 3 4 4" xfId="48500"/>
    <cellStyle name="常规 8 4 3 5" xfId="48501"/>
    <cellStyle name="常规 8 4 3 5 2" xfId="48502"/>
    <cellStyle name="常规 8 4 3 6" xfId="48503"/>
    <cellStyle name="常规 8 4 3 7" xfId="48504"/>
    <cellStyle name="常规 8 4 4" xfId="48505"/>
    <cellStyle name="常规 8 4 4 2" xfId="44169"/>
    <cellStyle name="常规 8 4 4 2 2" xfId="17403"/>
    <cellStyle name="常规 8 4 4 2 2 2" xfId="48506"/>
    <cellStyle name="常规 8 4 4 2 2 2 2" xfId="48507"/>
    <cellStyle name="常规 8 4 4 2 2 3" xfId="48508"/>
    <cellStyle name="常规 8 4 4 2 2 4" xfId="48509"/>
    <cellStyle name="常规 8 4 4 2 3" xfId="48510"/>
    <cellStyle name="常规 8 4 4 2 3 2" xfId="48511"/>
    <cellStyle name="常规 8 4 4 2 4" xfId="48512"/>
    <cellStyle name="常规 8 4 4 2 5" xfId="48513"/>
    <cellStyle name="常规 8 4 4 3" xfId="44171"/>
    <cellStyle name="常规 8 4 4 3 2" xfId="48514"/>
    <cellStyle name="常规 8 4 4 3 2 2" xfId="48515"/>
    <cellStyle name="常规 8 4 4 3 3" xfId="48516"/>
    <cellStyle name="常规 8 4 4 3 4" xfId="48517"/>
    <cellStyle name="常规 8 4 4 4" xfId="48518"/>
    <cellStyle name="常规 8 4 4 4 2" xfId="48519"/>
    <cellStyle name="常规 8 4 4 5" xfId="48520"/>
    <cellStyle name="常规 8 4 4 6" xfId="48521"/>
    <cellStyle name="常规 8 4 5" xfId="48522"/>
    <cellStyle name="常规 8 4 5 2" xfId="44182"/>
    <cellStyle name="常规 8 4 5 2 2" xfId="48523"/>
    <cellStyle name="常规 8 4 5 2 2 2" xfId="48524"/>
    <cellStyle name="常规 8 4 5 2 3" xfId="48525"/>
    <cellStyle name="常规 8 4 5 2 4" xfId="48526"/>
    <cellStyle name="常规 8 4 5 3" xfId="48527"/>
    <cellStyle name="常规 8 4 5 3 2" xfId="48528"/>
    <cellStyle name="常规 8 4 5 4" xfId="17502"/>
    <cellStyle name="常规 8 4 5 5" xfId="48529"/>
    <cellStyle name="常规 8 4 6" xfId="48530"/>
    <cellStyle name="常规 8 4 6 2" xfId="48531"/>
    <cellStyle name="常规 8 4 6 2 2" xfId="48532"/>
    <cellStyle name="常规 8 4 6 3" xfId="48533"/>
    <cellStyle name="常规 8 4 6 4" xfId="48534"/>
    <cellStyle name="常规 8 4 7" xfId="48535"/>
    <cellStyle name="常规 8 4 7 2" xfId="48536"/>
    <cellStyle name="常规 8 4 8" xfId="48537"/>
    <cellStyle name="常规 8 4 9" xfId="48538"/>
    <cellStyle name="常规 8 4_Sheet2" xfId="17393"/>
    <cellStyle name="常规 8 5" xfId="48539"/>
    <cellStyle name="常规 8 5 2" xfId="48540"/>
    <cellStyle name="常规 8 5 2 2" xfId="48541"/>
    <cellStyle name="常规 8 5 2 2 2" xfId="48542"/>
    <cellStyle name="常规 8 5 2 2 2 2" xfId="48543"/>
    <cellStyle name="常规 8 5 2 2 2 2 2" xfId="48544"/>
    <cellStyle name="常规 8 5 2 2 2 2 2 2" xfId="48545"/>
    <cellStyle name="常规 8 5 2 2 2 2 3" xfId="48546"/>
    <cellStyle name="常规 8 5 2 2 2 2 4" xfId="48547"/>
    <cellStyle name="常规 8 5 2 2 2 3" xfId="48548"/>
    <cellStyle name="常规 8 5 2 2 2 3 2" xfId="48549"/>
    <cellStyle name="常规 8 5 2 2 2 4" xfId="48550"/>
    <cellStyle name="常规 8 5 2 2 2 5" xfId="48551"/>
    <cellStyle name="常规 8 5 2 2 3" xfId="48552"/>
    <cellStyle name="常规 8 5 2 2 3 2" xfId="48553"/>
    <cellStyle name="常规 8 5 2 2 3 2 2" xfId="48554"/>
    <cellStyle name="常规 8 5 2 2 3 3" xfId="48555"/>
    <cellStyle name="常规 8 5 2 2 3 4" xfId="48556"/>
    <cellStyle name="常规 8 5 2 2 4" xfId="48557"/>
    <cellStyle name="常规 8 5 2 2 4 2" xfId="48558"/>
    <cellStyle name="常规 8 5 2 2 5" xfId="48559"/>
    <cellStyle name="常规 8 5 2 2 6" xfId="48560"/>
    <cellStyle name="常规 8 5 2 3" xfId="48561"/>
    <cellStyle name="常规 8 5 2 3 2" xfId="48562"/>
    <cellStyle name="常规 8 5 2 3 2 2" xfId="48563"/>
    <cellStyle name="常规 8 5 2 3 2 2 2" xfId="48564"/>
    <cellStyle name="常规 8 5 2 3 2 3" xfId="48565"/>
    <cellStyle name="常规 8 5 2 3 2 4" xfId="48566"/>
    <cellStyle name="常规 8 5 2 3 3" xfId="48567"/>
    <cellStyle name="常规 8 5 2 3 3 2" xfId="48568"/>
    <cellStyle name="常规 8 5 2 3 4" xfId="48569"/>
    <cellStyle name="常规 8 5 2 3 5" xfId="48570"/>
    <cellStyle name="常规 8 5 2 4" xfId="48571"/>
    <cellStyle name="常规 8 5 2 4 2" xfId="48572"/>
    <cellStyle name="常规 8 5 2 4 2 2" xfId="48573"/>
    <cellStyle name="常规 8 5 2 4 3" xfId="48574"/>
    <cellStyle name="常规 8 5 2 4 4" xfId="48575"/>
    <cellStyle name="常规 8 5 2 5" xfId="48576"/>
    <cellStyle name="常规 8 5 2 5 2" xfId="48577"/>
    <cellStyle name="常规 8 5 2 6" xfId="48578"/>
    <cellStyle name="常规 8 5 2 7" xfId="48579"/>
    <cellStyle name="常规 8 5 3" xfId="48580"/>
    <cellStyle name="常规 8 5 3 2" xfId="5149"/>
    <cellStyle name="常规 8 5 3 2 2" xfId="15946"/>
    <cellStyle name="常规 8 5 3 2 2 2" xfId="48581"/>
    <cellStyle name="常规 8 5 3 2 2 2 2" xfId="48582"/>
    <cellStyle name="常规 8 5 3 2 2 3" xfId="48583"/>
    <cellStyle name="常规 8 5 3 2 2 4" xfId="48584"/>
    <cellStyle name="常规 8 5 3 2 3" xfId="48585"/>
    <cellStyle name="常规 8 5 3 2 3 2" xfId="48586"/>
    <cellStyle name="常规 8 5 3 2 4" xfId="48587"/>
    <cellStyle name="常规 8 5 3 2 5" xfId="48588"/>
    <cellStyle name="常规 8 5 3 3" xfId="2079"/>
    <cellStyle name="常规 8 5 3 3 2" xfId="48589"/>
    <cellStyle name="常规 8 5 3 3 2 2" xfId="48590"/>
    <cellStyle name="常规 8 5 3 3 3" xfId="48591"/>
    <cellStyle name="常规 8 5 3 3 4" xfId="48592"/>
    <cellStyle name="常规 8 5 3 4" xfId="48593"/>
    <cellStyle name="常规 8 5 3 4 2" xfId="48594"/>
    <cellStyle name="常规 8 5 3 5" xfId="48595"/>
    <cellStyle name="常规 8 5 3 6" xfId="48596"/>
    <cellStyle name="常规 8 5 4" xfId="48597"/>
    <cellStyle name="常规 8 5 4 2" xfId="44202"/>
    <cellStyle name="常规 8 5 4 2 2" xfId="48598"/>
    <cellStyle name="常规 8 5 4 2 2 2" xfId="48599"/>
    <cellStyle name="常规 8 5 4 2 3" xfId="48600"/>
    <cellStyle name="常规 8 5 4 2 4" xfId="48601"/>
    <cellStyle name="常规 8 5 4 3" xfId="48602"/>
    <cellStyle name="常规 8 5 4 3 2" xfId="48603"/>
    <cellStyle name="常规 8 5 4 4" xfId="48604"/>
    <cellStyle name="常规 8 5 4 5" xfId="48605"/>
    <cellStyle name="常规 8 5 5" xfId="48606"/>
    <cellStyle name="常规 8 5 5 2" xfId="48607"/>
    <cellStyle name="常规 8 5 5 2 2" xfId="48608"/>
    <cellStyle name="常规 8 5 5 3" xfId="48609"/>
    <cellStyle name="常规 8 5 5 4" xfId="48610"/>
    <cellStyle name="常规 8 5 6" xfId="48611"/>
    <cellStyle name="常规 8 5 6 2" xfId="48612"/>
    <cellStyle name="常规 8 5 7" xfId="48613"/>
    <cellStyle name="常规 8 5 8" xfId="48614"/>
    <cellStyle name="常规 8 6" xfId="48615"/>
    <cellStyle name="常规 8 6 2" xfId="48616"/>
    <cellStyle name="常规 8 6 2 2" xfId="48617"/>
    <cellStyle name="常规 8 6 2 2 2" xfId="48618"/>
    <cellStyle name="常规 8 6 2 2 2 2" xfId="48619"/>
    <cellStyle name="常规 8 6 2 2 2 2 2" xfId="48620"/>
    <cellStyle name="常规 8 6 2 2 2 3" xfId="48621"/>
    <cellStyle name="常规 8 6 2 2 2 4" xfId="48622"/>
    <cellStyle name="常规 8 6 2 2 3" xfId="48623"/>
    <cellStyle name="常规 8 6 2 2 3 2" xfId="48624"/>
    <cellStyle name="常规 8 6 2 2 4" xfId="48625"/>
    <cellStyle name="常规 8 6 2 2 5" xfId="48626"/>
    <cellStyle name="常规 8 6 2 3" xfId="48627"/>
    <cellStyle name="常规 8 6 2 3 2" xfId="48628"/>
    <cellStyle name="常规 8 6 2 3 2 2" xfId="48629"/>
    <cellStyle name="常规 8 6 2 3 3" xfId="48630"/>
    <cellStyle name="常规 8 6 2 3 4" xfId="48631"/>
    <cellStyle name="常规 8 6 2 4" xfId="48632"/>
    <cellStyle name="常规 8 6 2 4 2" xfId="48633"/>
    <cellStyle name="常规 8 6 2 5" xfId="48634"/>
    <cellStyle name="常规 8 6 2 6" xfId="48635"/>
    <cellStyle name="常规 8 6 3" xfId="48636"/>
    <cellStyle name="常规 8 6 3 2" xfId="48637"/>
    <cellStyle name="常规 8 6 3 2 2" xfId="48638"/>
    <cellStyle name="常规 8 6 3 2 2 2" xfId="48639"/>
    <cellStyle name="常规 8 6 3 2 3" xfId="48640"/>
    <cellStyle name="常规 8 6 3 2 4" xfId="48641"/>
    <cellStyle name="常规 8 6 3 3" xfId="41726"/>
    <cellStyle name="常规 8 6 3 3 2" xfId="48642"/>
    <cellStyle name="常规 8 6 3 4" xfId="48643"/>
    <cellStyle name="常规 8 6 3 5" xfId="48644"/>
    <cellStyle name="常规 8 6 4" xfId="48645"/>
    <cellStyle name="常规 8 6 4 2" xfId="48646"/>
    <cellStyle name="常规 8 6 4 2 2" xfId="48647"/>
    <cellStyle name="常规 8 6 4 3" xfId="48648"/>
    <cellStyle name="常规 8 6 4 4" xfId="48649"/>
    <cellStyle name="常规 8 6 5" xfId="30959"/>
    <cellStyle name="常规 8 6 5 2" xfId="48650"/>
    <cellStyle name="常规 8 6 6" xfId="48651"/>
    <cellStyle name="常规 8 6 7" xfId="48652"/>
    <cellStyle name="常规 8 7" xfId="48653"/>
    <cellStyle name="常规 8 7 2" xfId="48654"/>
    <cellStyle name="常规 8 7 2 2" xfId="48655"/>
    <cellStyle name="常规 8 7 2 2 2" xfId="706"/>
    <cellStyle name="常规 8 7 2 2 2 2" xfId="48656"/>
    <cellStyle name="常规 8 7 2 2 3" xfId="711"/>
    <cellStyle name="常规 8 7 2 2 4" xfId="48657"/>
    <cellStyle name="常规 8 7 2 3" xfId="48658"/>
    <cellStyle name="常规 8 7 2 3 2" xfId="769"/>
    <cellStyle name="常规 8 7 2 4" xfId="48659"/>
    <cellStyle name="常规 8 7 2 5" xfId="48660"/>
    <cellStyle name="常规 8 7 3" xfId="48661"/>
    <cellStyle name="常规 8 7 3 2" xfId="48662"/>
    <cellStyle name="常规 8 7 3 2 2" xfId="48663"/>
    <cellStyle name="常规 8 7 3 3" xfId="48664"/>
    <cellStyle name="常规 8 7 3 4" xfId="48665"/>
    <cellStyle name="常规 8 7 4" xfId="48666"/>
    <cellStyle name="常规 8 7 4 2" xfId="48667"/>
    <cellStyle name="常规 8 7 5" xfId="48668"/>
    <cellStyle name="常规 8 7 6" xfId="48669"/>
    <cellStyle name="常规 8 8" xfId="48670"/>
    <cellStyle name="常规 8 8 2" xfId="48671"/>
    <cellStyle name="常规 8 8 2 2" xfId="48672"/>
    <cellStyle name="常规 8 8 2 2 2" xfId="48673"/>
    <cellStyle name="常规 8 8 2 3" xfId="48674"/>
    <cellStyle name="常规 8 8 2 4" xfId="48675"/>
    <cellStyle name="常规 8 8 3" xfId="48676"/>
    <cellStyle name="常规 8 8 3 2" xfId="48677"/>
    <cellStyle name="常规 8 8 4" xfId="48678"/>
    <cellStyle name="常规 8 8 5" xfId="48679"/>
    <cellStyle name="常规 8 9" xfId="48680"/>
    <cellStyle name="常规 8 9 2" xfId="48681"/>
    <cellStyle name="常规 8 9 2 2" xfId="48682"/>
    <cellStyle name="常规 8 9 3" xfId="28006"/>
    <cellStyle name="常规 8 9 4" xfId="48683"/>
    <cellStyle name="常规 8_Sheet2" xfId="13064"/>
    <cellStyle name="常规 80" xfId="40182"/>
    <cellStyle name="常规 81" xfId="40189"/>
    <cellStyle name="常规 82" xfId="40193"/>
    <cellStyle name="常规 83" xfId="40196"/>
    <cellStyle name="常规 84" xfId="47950"/>
    <cellStyle name="常规 85" xfId="48685"/>
    <cellStyle name="常规 86" xfId="48687"/>
    <cellStyle name="常规 87" xfId="48689"/>
    <cellStyle name="常规 88" xfId="48691"/>
    <cellStyle name="常规 89" xfId="48693"/>
    <cellStyle name="常规 9" xfId="48694"/>
    <cellStyle name="常规 9 2" xfId="48695"/>
    <cellStyle name="常规 9 2 2" xfId="48696"/>
    <cellStyle name="常规 9 2 3" xfId="48697"/>
    <cellStyle name="常规 9 2_Sheet2" xfId="48698"/>
    <cellStyle name="常规 9 3" xfId="48699"/>
    <cellStyle name="常规 9 3 2" xfId="48700"/>
    <cellStyle name="常规 9 3_Sheet2" xfId="48701"/>
    <cellStyle name="常规 9 4" xfId="48702"/>
    <cellStyle name="常规 9 4 2" xfId="48703"/>
    <cellStyle name="常规 9 4_Sheet2" xfId="48704"/>
    <cellStyle name="常规 9 5" xfId="48705"/>
    <cellStyle name="常规 9 6" xfId="48706"/>
    <cellStyle name="常规 9 7" xfId="48707"/>
    <cellStyle name="常规 9 8" xfId="48708"/>
    <cellStyle name="常规 9 9" xfId="48709"/>
    <cellStyle name="常规 9_Sheet2" xfId="48710"/>
    <cellStyle name="常规 90" xfId="48684"/>
    <cellStyle name="常规 91" xfId="48686"/>
    <cellStyle name="常规 92" xfId="48688"/>
    <cellStyle name="常规 93" xfId="48690"/>
    <cellStyle name="常规 94" xfId="48692"/>
    <cellStyle name="常规 95" xfId="48711"/>
    <cellStyle name="常规 96" xfId="48712"/>
    <cellStyle name="常规 97" xfId="48713"/>
    <cellStyle name="常规 98" xfId="48714"/>
    <cellStyle name="常规 99" xfId="48715"/>
    <cellStyle name="常规_sstDB" xfId="48716"/>
    <cellStyle name="常规_Title" xfId="48717"/>
    <cellStyle name="常规_项目维护日志模板" xfId="15636"/>
    <cellStyle name="超链接" xfId="70" builtinId="8"/>
    <cellStyle name="超链接 2" xfId="48718"/>
    <cellStyle name="超链接 2 2" xfId="48719"/>
    <cellStyle name="超链接 2 3" xfId="48720"/>
    <cellStyle name="超链接 2 4" xfId="48721"/>
    <cellStyle name="超链接 2 5" xfId="48722"/>
    <cellStyle name="超链接 2 6" xfId="48723"/>
    <cellStyle name="超链接 2 7" xfId="48724"/>
    <cellStyle name="超链接 2 8" xfId="48725"/>
    <cellStyle name="超链接 2 9" xfId="48726"/>
    <cellStyle name="超链接 3" xfId="48727"/>
    <cellStyle name="超链接 3 2" xfId="48728"/>
    <cellStyle name="超链接 3 3" xfId="48729"/>
    <cellStyle name="超链接 3 4" xfId="48730"/>
    <cellStyle name="超链接 4" xfId="48731"/>
    <cellStyle name="超链接 5" xfId="48732"/>
    <cellStyle name="超链接 6" xfId="48733"/>
    <cellStyle name="超链接 7" xfId="48734"/>
    <cellStyle name="好 2" xfId="48735"/>
    <cellStyle name="好 2 2" xfId="48736"/>
    <cellStyle name="好 2 2 2" xfId="48737"/>
    <cellStyle name="好 2 2 3" xfId="48738"/>
    <cellStyle name="好 2 2 4" xfId="48739"/>
    <cellStyle name="好 2 2_副本EBMP-信息科技部应用开发项目程序投产需求清单-20130425-01" xfId="48740"/>
    <cellStyle name="好 2 3" xfId="48741"/>
    <cellStyle name="好 2 4" xfId="48742"/>
    <cellStyle name="好 2 5" xfId="48743"/>
    <cellStyle name="好 3" xfId="48744"/>
    <cellStyle name="好 4" xfId="48745"/>
    <cellStyle name="好_Sheet2" xfId="48746"/>
    <cellStyle name="好_过程问题再现统计表" xfId="29700"/>
    <cellStyle name="汇总 2" xfId="48747"/>
    <cellStyle name="汇总 2 2" xfId="48748"/>
    <cellStyle name="汇总 2 2 2" xfId="48749"/>
    <cellStyle name="汇总 2 2 3" xfId="48750"/>
    <cellStyle name="汇总 2 2 4" xfId="48751"/>
    <cellStyle name="汇总 2 2_副本EBMP-信息科技部应用开发项目程序投产需求清单-20130425-01" xfId="48752"/>
    <cellStyle name="汇总 2 3" xfId="48753"/>
    <cellStyle name="汇总 2 4" xfId="48754"/>
    <cellStyle name="汇总 2 5" xfId="48755"/>
    <cellStyle name="汇总 2 6" xfId="48756"/>
    <cellStyle name="汇总 2 7" xfId="48757"/>
    <cellStyle name="汇总 2 8" xfId="48758"/>
    <cellStyle name="汇总 2 9" xfId="48759"/>
    <cellStyle name="汇总 3" xfId="48760"/>
    <cellStyle name="汇总 4" xfId="48761"/>
    <cellStyle name="计算 2" xfId="48762"/>
    <cellStyle name="计算 2 2" xfId="48763"/>
    <cellStyle name="计算 2 2 2" xfId="48764"/>
    <cellStyle name="计算 2 2 3" xfId="48765"/>
    <cellStyle name="计算 2 2 4" xfId="48766"/>
    <cellStyle name="计算 2 2_副本EBMP-信息科技部应用开发项目程序投产需求清单-20130425-01" xfId="48767"/>
    <cellStyle name="计算 2 3" xfId="48768"/>
    <cellStyle name="计算 2 4" xfId="48769"/>
    <cellStyle name="计算 2 5" xfId="48770"/>
    <cellStyle name="计算 2 6" xfId="48771"/>
    <cellStyle name="计算 2 7" xfId="48772"/>
    <cellStyle name="计算 3" xfId="48773"/>
    <cellStyle name="计算 4" xfId="48774"/>
    <cellStyle name="检查单元格 2" xfId="48775"/>
    <cellStyle name="检查单元格 2 2" xfId="48776"/>
    <cellStyle name="检查单元格 2 2 2" xfId="48777"/>
    <cellStyle name="检查单元格 2 2 3" xfId="48778"/>
    <cellStyle name="检查单元格 2 2 4" xfId="23137"/>
    <cellStyle name="检查单元格 2 2_副本EBMP-信息科技部应用开发项目程序投产需求清单-20130425-01" xfId="48779"/>
    <cellStyle name="检查单元格 2 3" xfId="48780"/>
    <cellStyle name="检查单元格 2 4" xfId="48781"/>
    <cellStyle name="检查单元格 2 5" xfId="47653"/>
    <cellStyle name="检查单元格 3" xfId="48782"/>
    <cellStyle name="检查单元格 4" xfId="48783"/>
    <cellStyle name="解释性文本 2" xfId="48784"/>
    <cellStyle name="解释性文本 2 2" xfId="48785"/>
    <cellStyle name="解释性文本 2 2 2" xfId="48786"/>
    <cellStyle name="解释性文本 2 2 3" xfId="48787"/>
    <cellStyle name="解释性文本 2 2 4" xfId="48788"/>
    <cellStyle name="解释性文本 2 2_副本EBMP-信息科技部应用开发项目程序投产需求清单-20130425-01" xfId="48789"/>
    <cellStyle name="解释性文本 2 3" xfId="48790"/>
    <cellStyle name="解释性文本 2 4" xfId="48791"/>
    <cellStyle name="解释性文本 2 5" xfId="48792"/>
    <cellStyle name="解释性文本 2 6" xfId="48793"/>
    <cellStyle name="解释性文本 2 7" xfId="48794"/>
    <cellStyle name="解释性文本 2 8" xfId="48795"/>
    <cellStyle name="解释性文本 2 9" xfId="48796"/>
    <cellStyle name="解释性文本 3" xfId="48797"/>
    <cellStyle name="解释性文本 4" xfId="47791"/>
    <cellStyle name="警告文本 2" xfId="48798"/>
    <cellStyle name="警告文本 2 2" xfId="48799"/>
    <cellStyle name="警告文本 2 2 2" xfId="48800"/>
    <cellStyle name="警告文本 2 2 3" xfId="48801"/>
    <cellStyle name="警告文本 2 2 4" xfId="12643"/>
    <cellStyle name="警告文本 2 2_副本EBMP-信息科技部应用开发项目程序投产需求清单-20130425-01" xfId="48802"/>
    <cellStyle name="警告文本 2 3" xfId="48803"/>
    <cellStyle name="警告文本 2 4" xfId="48804"/>
    <cellStyle name="警告文本 2 5" xfId="48805"/>
    <cellStyle name="警告文本 2 6" xfId="48806"/>
    <cellStyle name="警告文本 2 7" xfId="48807"/>
    <cellStyle name="警告文本 2 8" xfId="48808"/>
    <cellStyle name="警告文本 2 9" xfId="48809"/>
    <cellStyle name="警告文本 3" xfId="48810"/>
    <cellStyle name="警告文本 4" xfId="48811"/>
    <cellStyle name="链接单元格 2" xfId="48812"/>
    <cellStyle name="链接单元格 2 2" xfId="48813"/>
    <cellStyle name="链接单元格 2 2 2" xfId="48814"/>
    <cellStyle name="链接单元格 2 2 3" xfId="48815"/>
    <cellStyle name="链接单元格 2 2 4" xfId="48816"/>
    <cellStyle name="链接单元格 2 2_副本EBMP-信息科技部应用开发项目程序投产需求清单-20130425-01" xfId="48817"/>
    <cellStyle name="链接单元格 2 3" xfId="48818"/>
    <cellStyle name="链接单元格 2 4" xfId="48819"/>
    <cellStyle name="链接单元格 2 5" xfId="48820"/>
    <cellStyle name="链接单元格 2 6" xfId="48821"/>
    <cellStyle name="链接单元格 2 7" xfId="48822"/>
    <cellStyle name="链接单元格 2 8" xfId="48823"/>
    <cellStyle name="链接单元格 2 9" xfId="48824"/>
    <cellStyle name="链接单元格 3" xfId="10123"/>
    <cellStyle name="链接单元格 4" xfId="48825"/>
    <cellStyle name="千位分隔 2" xfId="48826"/>
    <cellStyle name="强调文字颜色 1 2" xfId="48827"/>
    <cellStyle name="强调文字颜色 1 2 2" xfId="48828"/>
    <cellStyle name="强调文字颜色 1 2 2 2" xfId="48829"/>
    <cellStyle name="强调文字颜色 1 2 2 3" xfId="48830"/>
    <cellStyle name="强调文字颜色 1 2 2 4" xfId="48831"/>
    <cellStyle name="强调文字颜色 1 2 2_副本EBMP-信息科技部应用开发项目程序投产需求清单-20130425-01" xfId="48832"/>
    <cellStyle name="强调文字颜色 1 2 3" xfId="48833"/>
    <cellStyle name="强调文字颜色 1 2 4" xfId="48834"/>
    <cellStyle name="强调文字颜色 1 2 5" xfId="48835"/>
    <cellStyle name="强调文字颜色 1 3" xfId="48836"/>
    <cellStyle name="强调文字颜色 1 4" xfId="48837"/>
    <cellStyle name="强调文字颜色 2 2" xfId="34729"/>
    <cellStyle name="强调文字颜色 2 2 2" xfId="48838"/>
    <cellStyle name="强调文字颜色 2 2 2 2" xfId="48839"/>
    <cellStyle name="强调文字颜色 2 2 2 3" xfId="48840"/>
    <cellStyle name="强调文字颜色 2 2 2 4" xfId="48841"/>
    <cellStyle name="强调文字颜色 2 2 2_副本EBMP-信息科技部应用开发项目程序投产需求清单-20130425-01" xfId="22919"/>
    <cellStyle name="强调文字颜色 2 2 3" xfId="48842"/>
    <cellStyle name="强调文字颜色 2 2 4" xfId="48843"/>
    <cellStyle name="强调文字颜色 2 2 5" xfId="48844"/>
    <cellStyle name="强调文字颜色 2 3" xfId="48845"/>
    <cellStyle name="强调文字颜色 2 4" xfId="48846"/>
    <cellStyle name="强调文字颜色 3 2" xfId="48847"/>
    <cellStyle name="强调文字颜色 3 2 2" xfId="48848"/>
    <cellStyle name="强调文字颜色 3 2 2 2" xfId="48849"/>
    <cellStyle name="强调文字颜色 3 2 2 3" xfId="48850"/>
    <cellStyle name="强调文字颜色 3 2 2 4" xfId="48851"/>
    <cellStyle name="强调文字颜色 3 2 2_副本EBMP-信息科技部应用开发项目程序投产需求清单-20130425-01" xfId="37982"/>
    <cellStyle name="强调文字颜色 3 2 3" xfId="48852"/>
    <cellStyle name="强调文字颜色 3 2 4" xfId="48853"/>
    <cellStyle name="强调文字颜色 3 2 5" xfId="48854"/>
    <cellStyle name="强调文字颜色 3 3" xfId="48855"/>
    <cellStyle name="强调文字颜色 3 4" xfId="48856"/>
    <cellStyle name="强调文字颜色 4 2" xfId="48857"/>
    <cellStyle name="强调文字颜色 4 2 2" xfId="48858"/>
    <cellStyle name="强调文字颜色 4 2 2 2" xfId="48859"/>
    <cellStyle name="强调文字颜色 4 2 2 3" xfId="48860"/>
    <cellStyle name="强调文字颜色 4 2 2 4" xfId="48861"/>
    <cellStyle name="强调文字颜色 4 2 2_副本EBMP-信息科技部应用开发项目程序投产需求清单-20130425-01" xfId="48862"/>
    <cellStyle name="强调文字颜色 4 2 3" xfId="48863"/>
    <cellStyle name="强调文字颜色 4 2 4" xfId="48864"/>
    <cellStyle name="强调文字颜色 4 2 5" xfId="48865"/>
    <cellStyle name="强调文字颜色 4 3" xfId="48866"/>
    <cellStyle name="强调文字颜色 4 4" xfId="48867"/>
    <cellStyle name="强调文字颜色 5 2" xfId="48868"/>
    <cellStyle name="强调文字颜色 5 2 2" xfId="48869"/>
    <cellStyle name="强调文字颜色 5 2 2 2" xfId="48870"/>
    <cellStyle name="强调文字颜色 5 2 2 3" xfId="48871"/>
    <cellStyle name="强调文字颜色 5 2 2 4" xfId="48872"/>
    <cellStyle name="强调文字颜色 5 2 2_副本EBMP-信息科技部应用开发项目程序投产需求清单-20130425-01" xfId="48873"/>
    <cellStyle name="强调文字颜色 5 2 3" xfId="48874"/>
    <cellStyle name="强调文字颜色 5 2 4" xfId="48875"/>
    <cellStyle name="强调文字颜色 5 2 5" xfId="48876"/>
    <cellStyle name="强调文字颜色 5 3" xfId="48877"/>
    <cellStyle name="强调文字颜色 5 4" xfId="48878"/>
    <cellStyle name="强调文字颜色 6 2" xfId="30774"/>
    <cellStyle name="强调文字颜色 6 2 2" xfId="5238"/>
    <cellStyle name="强调文字颜色 6 2 2 2" xfId="48879"/>
    <cellStyle name="强调文字颜色 6 2 2 3" xfId="48880"/>
    <cellStyle name="强调文字颜色 6 2 2 4" xfId="48881"/>
    <cellStyle name="强调文字颜色 6 2 2_副本EBMP-信息科技部应用开发项目程序投产需求清单-20130425-01" xfId="48882"/>
    <cellStyle name="强调文字颜色 6 2 3" xfId="48883"/>
    <cellStyle name="强调文字颜色 6 2 4" xfId="48884"/>
    <cellStyle name="强调文字颜色 6 2 5" xfId="48885"/>
    <cellStyle name="强调文字颜色 6 3" xfId="30777"/>
    <cellStyle name="强调文字颜色 6 4" xfId="5618"/>
    <cellStyle name="适中 2" xfId="48886"/>
    <cellStyle name="适中 2 2" xfId="48887"/>
    <cellStyle name="适中 2 2 2" xfId="48888"/>
    <cellStyle name="适中 2 2 3" xfId="48889"/>
    <cellStyle name="适中 2 2 4" xfId="48890"/>
    <cellStyle name="适中 2 2_副本EBMP-信息科技部应用开发项目程序投产需求清单-20130425-01" xfId="48891"/>
    <cellStyle name="适中 2 3" xfId="48892"/>
    <cellStyle name="适中 2 4" xfId="48893"/>
    <cellStyle name="适中 2 5" xfId="48894"/>
    <cellStyle name="适中 3" xfId="48895"/>
    <cellStyle name="适中 4" xfId="48896"/>
    <cellStyle name="输出 2" xfId="48897"/>
    <cellStyle name="输出 2 2" xfId="48898"/>
    <cellStyle name="输出 2 2 2" xfId="48899"/>
    <cellStyle name="输出 2 2 3" xfId="48900"/>
    <cellStyle name="输出 2 2 4" xfId="48901"/>
    <cellStyle name="输出 2 2_副本EBMP-信息科技部应用开发项目程序投产需求清单-20130425-01" xfId="12106"/>
    <cellStyle name="输出 2 3" xfId="48902"/>
    <cellStyle name="输出 2 4" xfId="48903"/>
    <cellStyle name="输出 2 5" xfId="48904"/>
    <cellStyle name="输出 2 6" xfId="48905"/>
    <cellStyle name="输出 2 7" xfId="48906"/>
    <cellStyle name="输出 3" xfId="48907"/>
    <cellStyle name="输出 4" xfId="48908"/>
    <cellStyle name="输入 2" xfId="48909"/>
    <cellStyle name="输入 2 2" xfId="48910"/>
    <cellStyle name="输入 2 2 2" xfId="48911"/>
    <cellStyle name="输入 2 2 3" xfId="48912"/>
    <cellStyle name="输入 2 2 4" xfId="15844"/>
    <cellStyle name="输入 2 2_副本EBMP-信息科技部应用开发项目程序投产需求清单-20130425-01" xfId="48913"/>
    <cellStyle name="输入 2 3" xfId="48914"/>
    <cellStyle name="输入 2 4" xfId="48915"/>
    <cellStyle name="输入 2 5" xfId="48916"/>
    <cellStyle name="输入 2 6" xfId="48917"/>
    <cellStyle name="输入 2 7" xfId="4044"/>
    <cellStyle name="输入 3" xfId="48918"/>
    <cellStyle name="输入 4" xfId="48919"/>
    <cellStyle name="样式 1" xfId="48920"/>
    <cellStyle name="样式 1 2" xfId="48921"/>
    <cellStyle name="样式 1 3" xfId="11454"/>
    <cellStyle name="样式 1 4" xfId="11457"/>
    <cellStyle name="注释 2" xfId="24426"/>
    <cellStyle name="注释 2 2" xfId="31608"/>
    <cellStyle name="注释 2 2 2" xfId="45155"/>
    <cellStyle name="注释 2 2 2 2" xfId="48922"/>
    <cellStyle name="注释 2 2 2 3" xfId="48923"/>
    <cellStyle name="注释 2 2 3" xfId="45157"/>
    <cellStyle name="注释 2 2 4" xfId="48924"/>
    <cellStyle name="注释 2 3" xfId="48925"/>
    <cellStyle name="注释 2 4" xfId="48926"/>
    <cellStyle name="注释 2 5" xfId="48927"/>
    <cellStyle name="注释 2 6" xfId="48928"/>
    <cellStyle name="注释 3" xfId="33260"/>
    <cellStyle name="注释 4" xfId="33263"/>
  </cellStyles>
  <dxfs count="0"/>
  <tableStyles count="0" defaultTableStyle="TableStyleMedium2"/>
  <colors>
    <mruColors>
      <color rgb="FFFFFF99"/>
      <color rgb="FFFF99CC"/>
      <color rgb="FFFF00FF"/>
      <color rgb="FFDCE6F1"/>
      <color rgb="FFD4FB9F"/>
      <color rgb="FFFF66CC"/>
      <color rgb="FFFF6699"/>
      <color rgb="FFEFFEDA"/>
      <color rgb="FFE8FDCB"/>
      <color rgb="FFE1FC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barChart>
        <c:barDir val="col"/>
        <c:grouping val="clustered"/>
        <c:varyColors val="0"/>
        <c:ser>
          <c:idx val="0"/>
          <c:order val="0"/>
          <c:tx>
            <c:strRef>
              <c:f>度量指标!$AB$4</c:f>
              <c:strCache>
                <c:ptCount val="1"/>
                <c:pt idx="0">
                  <c:v>过程符合度</c:v>
                </c:pt>
              </c:strCache>
            </c:strRef>
          </c:tx>
          <c:invertIfNegative val="0"/>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度量指标!$AB$5:$AB$13</c:f>
              <c:numCache>
                <c:formatCode>0.00%</c:formatCode>
                <c:ptCount val="9"/>
                <c:pt idx="0">
                  <c:v>0.76923076923076916</c:v>
                </c:pt>
                <c:pt idx="1">
                  <c:v>1</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F4F0-4378-B000-156C196CBC3B}"/>
            </c:ext>
          </c:extLst>
        </c:ser>
        <c:dLbls>
          <c:showLegendKey val="0"/>
          <c:showVal val="0"/>
          <c:showCatName val="0"/>
          <c:showSerName val="0"/>
          <c:showPercent val="0"/>
          <c:showBubbleSize val="0"/>
        </c:dLbls>
        <c:gapWidth val="150"/>
        <c:axId val="214762240"/>
        <c:axId val="214763776"/>
      </c:barChart>
      <c:catAx>
        <c:axId val="214762240"/>
        <c:scaling>
          <c:orientation val="minMax"/>
        </c:scaling>
        <c:delete val="0"/>
        <c:axPos val="b"/>
        <c:numFmt formatCode="General" sourceLinked="0"/>
        <c:majorTickMark val="out"/>
        <c:minorTickMark val="none"/>
        <c:tickLblPos val="nextTo"/>
        <c:crossAx val="214763776"/>
        <c:crosses val="autoZero"/>
        <c:auto val="1"/>
        <c:lblAlgn val="ctr"/>
        <c:lblOffset val="100"/>
        <c:noMultiLvlLbl val="0"/>
      </c:catAx>
      <c:valAx>
        <c:axId val="214763776"/>
        <c:scaling>
          <c:orientation val="minMax"/>
        </c:scaling>
        <c:delete val="0"/>
        <c:axPos val="l"/>
        <c:majorGridlines/>
        <c:numFmt formatCode="0.00%" sourceLinked="1"/>
        <c:majorTickMark val="out"/>
        <c:minorTickMark val="none"/>
        <c:tickLblPos val="nextTo"/>
        <c:crossAx val="214762240"/>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度量指标!$Y$4</c:f>
              <c:strCache>
                <c:ptCount val="1"/>
                <c:pt idx="0">
                  <c:v>交付前检出缺陷占比</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度量指标!$Y$5:$Y$13</c:f>
              <c:numCache>
                <c:formatCode>0.00%</c:formatCode>
                <c:ptCount val="9"/>
                <c:pt idx="0">
                  <c:v>0</c:v>
                </c:pt>
                <c:pt idx="1">
                  <c:v>1</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2DFB-472F-9475-F85B96969D84}"/>
            </c:ext>
          </c:extLst>
        </c:ser>
        <c:dLbls>
          <c:showLegendKey val="0"/>
          <c:showVal val="0"/>
          <c:showCatName val="0"/>
          <c:showSerName val="0"/>
          <c:showPercent val="0"/>
          <c:showBubbleSize val="0"/>
        </c:dLbls>
        <c:smooth val="0"/>
        <c:axId val="214788352"/>
        <c:axId val="214790144"/>
      </c:lineChart>
      <c:catAx>
        <c:axId val="214788352"/>
        <c:scaling>
          <c:orientation val="minMax"/>
        </c:scaling>
        <c:delete val="0"/>
        <c:axPos val="b"/>
        <c:numFmt formatCode="General" sourceLinked="0"/>
        <c:majorTickMark val="out"/>
        <c:minorTickMark val="none"/>
        <c:tickLblPos val="nextTo"/>
        <c:crossAx val="214790144"/>
        <c:crosses val="autoZero"/>
        <c:auto val="1"/>
        <c:lblAlgn val="ctr"/>
        <c:lblOffset val="100"/>
        <c:noMultiLvlLbl val="0"/>
      </c:catAx>
      <c:valAx>
        <c:axId val="214790144"/>
        <c:scaling>
          <c:orientation val="minMax"/>
        </c:scaling>
        <c:delete val="0"/>
        <c:axPos val="l"/>
        <c:majorGridlines/>
        <c:numFmt formatCode="0.00%" sourceLinked="1"/>
        <c:majorTickMark val="out"/>
        <c:minorTickMark val="none"/>
        <c:tickLblPos val="nextTo"/>
        <c:crossAx val="214788352"/>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度量指标!$Z$4</c:f>
              <c:strCache>
                <c:ptCount val="1"/>
                <c:pt idx="0">
                  <c:v>交付后检出缺陷占比</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度量指标!$Z$5:$Z$13</c:f>
              <c:numCache>
                <c:formatCode>0.00%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71F6-4EC4-970C-11D324FF1141}"/>
            </c:ext>
          </c:extLst>
        </c:ser>
        <c:dLbls>
          <c:showLegendKey val="0"/>
          <c:showVal val="0"/>
          <c:showCatName val="0"/>
          <c:showSerName val="0"/>
          <c:showPercent val="0"/>
          <c:showBubbleSize val="0"/>
        </c:dLbls>
        <c:smooth val="0"/>
        <c:axId val="214797696"/>
        <c:axId val="214918272"/>
      </c:lineChart>
      <c:catAx>
        <c:axId val="214797696"/>
        <c:scaling>
          <c:orientation val="minMax"/>
        </c:scaling>
        <c:delete val="0"/>
        <c:axPos val="b"/>
        <c:numFmt formatCode="General" sourceLinked="0"/>
        <c:majorTickMark val="out"/>
        <c:minorTickMark val="none"/>
        <c:tickLblPos val="nextTo"/>
        <c:crossAx val="214918272"/>
        <c:crosses val="autoZero"/>
        <c:auto val="1"/>
        <c:lblAlgn val="ctr"/>
        <c:lblOffset val="100"/>
        <c:noMultiLvlLbl val="0"/>
      </c:catAx>
      <c:valAx>
        <c:axId val="214918272"/>
        <c:scaling>
          <c:orientation val="minMax"/>
        </c:scaling>
        <c:delete val="0"/>
        <c:axPos val="l"/>
        <c:majorGridlines/>
        <c:numFmt formatCode="0.00%" sourceLinked="1"/>
        <c:majorTickMark val="out"/>
        <c:minorTickMark val="none"/>
        <c:tickLblPos val="nextTo"/>
        <c:crossAx val="214797696"/>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1923725247391769"/>
          <c:y val="2.4545663631637234E-2"/>
        </c:manualLayout>
      </c:layout>
      <c:overlay val="0"/>
      <c:txPr>
        <a:bodyPr/>
        <a:lstStyle/>
        <a:p>
          <a:pPr>
            <a:defRPr sz="1200"/>
          </a:pPr>
          <a:endParaRPr lang="zh-CN"/>
        </a:p>
      </c:txPr>
    </c:title>
    <c:autoTitleDeleted val="0"/>
    <c:plotArea>
      <c:layout/>
      <c:lineChart>
        <c:grouping val="standard"/>
        <c:varyColors val="0"/>
        <c:ser>
          <c:idx val="0"/>
          <c:order val="0"/>
          <c:tx>
            <c:strRef>
              <c:f>度量指标!$B$4</c:f>
              <c:strCache>
                <c:ptCount val="1"/>
                <c:pt idx="0">
                  <c:v>迭代交付率
</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度量指标!$B$5:$B$13</c:f>
              <c:numCache>
                <c:formatCode>0.00%</c:formatCode>
                <c:ptCount val="9"/>
                <c:pt idx="0">
                  <c:v>0</c:v>
                </c:pt>
                <c:pt idx="1">
                  <c:v>0.94017094017094016</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17DE-4AF5-ABCC-320C690F5890}"/>
            </c:ext>
          </c:extLst>
        </c:ser>
        <c:dLbls>
          <c:showLegendKey val="0"/>
          <c:showVal val="0"/>
          <c:showCatName val="0"/>
          <c:showSerName val="0"/>
          <c:showPercent val="0"/>
          <c:showBubbleSize val="0"/>
        </c:dLbls>
        <c:smooth val="0"/>
        <c:axId val="214958848"/>
        <c:axId val="214960384"/>
      </c:lineChart>
      <c:catAx>
        <c:axId val="214958848"/>
        <c:scaling>
          <c:orientation val="minMax"/>
        </c:scaling>
        <c:delete val="0"/>
        <c:axPos val="b"/>
        <c:numFmt formatCode="General" sourceLinked="0"/>
        <c:majorTickMark val="out"/>
        <c:minorTickMark val="none"/>
        <c:tickLblPos val="nextTo"/>
        <c:crossAx val="214960384"/>
        <c:crosses val="autoZero"/>
        <c:auto val="1"/>
        <c:lblAlgn val="ctr"/>
        <c:lblOffset val="100"/>
        <c:noMultiLvlLbl val="0"/>
      </c:catAx>
      <c:valAx>
        <c:axId val="214960384"/>
        <c:scaling>
          <c:orientation val="minMax"/>
        </c:scaling>
        <c:delete val="0"/>
        <c:axPos val="l"/>
        <c:majorGridlines/>
        <c:numFmt formatCode="0.00%" sourceLinked="1"/>
        <c:majorTickMark val="out"/>
        <c:minorTickMark val="none"/>
        <c:tickLblPos val="nextTo"/>
        <c:crossAx val="214958848"/>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度量指标!$E$4</c:f>
              <c:strCache>
                <c:ptCount val="1"/>
                <c:pt idx="0">
                  <c:v>有效实际投入工作量
</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度量指标!$E$5:$E$13</c:f>
              <c:numCache>
                <c:formatCode>0.00%</c:formatCode>
                <c:ptCount val="9"/>
                <c:pt idx="0">
                  <c:v>0</c:v>
                </c:pt>
                <c:pt idx="1">
                  <c:v>0.77815515245079125</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B790-48C2-9C6B-741D76832475}"/>
            </c:ext>
          </c:extLst>
        </c:ser>
        <c:dLbls>
          <c:showLegendKey val="0"/>
          <c:showVal val="0"/>
          <c:showCatName val="0"/>
          <c:showSerName val="0"/>
          <c:showPercent val="0"/>
          <c:showBubbleSize val="0"/>
        </c:dLbls>
        <c:smooth val="0"/>
        <c:axId val="214976384"/>
        <c:axId val="214977920"/>
      </c:lineChart>
      <c:catAx>
        <c:axId val="214976384"/>
        <c:scaling>
          <c:orientation val="minMax"/>
        </c:scaling>
        <c:delete val="0"/>
        <c:axPos val="b"/>
        <c:numFmt formatCode="General" sourceLinked="0"/>
        <c:majorTickMark val="out"/>
        <c:minorTickMark val="none"/>
        <c:tickLblPos val="nextTo"/>
        <c:crossAx val="214977920"/>
        <c:crosses val="autoZero"/>
        <c:auto val="1"/>
        <c:lblAlgn val="ctr"/>
        <c:lblOffset val="100"/>
        <c:noMultiLvlLbl val="0"/>
      </c:catAx>
      <c:valAx>
        <c:axId val="214977920"/>
        <c:scaling>
          <c:orientation val="minMax"/>
        </c:scaling>
        <c:delete val="0"/>
        <c:axPos val="l"/>
        <c:majorGridlines/>
        <c:numFmt formatCode="0.00%" sourceLinked="1"/>
        <c:majorTickMark val="out"/>
        <c:minorTickMark val="none"/>
        <c:tickLblPos val="nextTo"/>
        <c:crossAx val="214976384"/>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度量指标!$F$4</c:f>
              <c:strCache>
                <c:ptCount val="1"/>
                <c:pt idx="0">
                  <c:v>评审检出缺陷密度</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度量指标!$F$5:$F$13</c:f>
              <c:numCache>
                <c:formatCode>0.00_);[Red]\(0.00\)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DE80-4FCB-8D12-C578DF85EEA0}"/>
            </c:ext>
          </c:extLst>
        </c:ser>
        <c:dLbls>
          <c:showLegendKey val="0"/>
          <c:showVal val="0"/>
          <c:showCatName val="0"/>
          <c:showSerName val="0"/>
          <c:showPercent val="0"/>
          <c:showBubbleSize val="0"/>
        </c:dLbls>
        <c:smooth val="0"/>
        <c:axId val="214993920"/>
        <c:axId val="214999808"/>
      </c:lineChart>
      <c:catAx>
        <c:axId val="214993920"/>
        <c:scaling>
          <c:orientation val="minMax"/>
        </c:scaling>
        <c:delete val="0"/>
        <c:axPos val="b"/>
        <c:numFmt formatCode="General" sourceLinked="0"/>
        <c:majorTickMark val="out"/>
        <c:minorTickMark val="none"/>
        <c:tickLblPos val="nextTo"/>
        <c:crossAx val="214999808"/>
        <c:crosses val="autoZero"/>
        <c:auto val="1"/>
        <c:lblAlgn val="ctr"/>
        <c:lblOffset val="100"/>
        <c:noMultiLvlLbl val="0"/>
      </c:catAx>
      <c:valAx>
        <c:axId val="214999808"/>
        <c:scaling>
          <c:orientation val="minMax"/>
        </c:scaling>
        <c:delete val="0"/>
        <c:axPos val="l"/>
        <c:majorGridlines/>
        <c:numFmt formatCode="0.00_);[Red]\(0.00\)" sourceLinked="1"/>
        <c:majorTickMark val="out"/>
        <c:minorTickMark val="none"/>
        <c:tickLblPos val="nextTo"/>
        <c:crossAx val="214993920"/>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度量指标!$H$4</c:f>
              <c:strCache>
                <c:ptCount val="1"/>
                <c:pt idx="0">
                  <c:v>单元测试检出缺陷数密度</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度量指标!$H$5:$H$13</c:f>
              <c:numCache>
                <c:formatCode>0.00_);[Red]\(0.00\)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351D-4CD3-A725-91A44D4F55F7}"/>
            </c:ext>
          </c:extLst>
        </c:ser>
        <c:dLbls>
          <c:showLegendKey val="0"/>
          <c:showVal val="0"/>
          <c:showCatName val="0"/>
          <c:showSerName val="0"/>
          <c:showPercent val="0"/>
          <c:showBubbleSize val="0"/>
        </c:dLbls>
        <c:smooth val="0"/>
        <c:axId val="219292032"/>
        <c:axId val="219293568"/>
      </c:lineChart>
      <c:catAx>
        <c:axId val="219292032"/>
        <c:scaling>
          <c:orientation val="minMax"/>
        </c:scaling>
        <c:delete val="0"/>
        <c:axPos val="b"/>
        <c:numFmt formatCode="General" sourceLinked="0"/>
        <c:majorTickMark val="out"/>
        <c:minorTickMark val="none"/>
        <c:tickLblPos val="nextTo"/>
        <c:crossAx val="219293568"/>
        <c:crosses val="autoZero"/>
        <c:auto val="1"/>
        <c:lblAlgn val="ctr"/>
        <c:lblOffset val="100"/>
        <c:noMultiLvlLbl val="0"/>
      </c:catAx>
      <c:valAx>
        <c:axId val="219293568"/>
        <c:scaling>
          <c:orientation val="minMax"/>
        </c:scaling>
        <c:delete val="0"/>
        <c:axPos val="l"/>
        <c:majorGridlines/>
        <c:numFmt formatCode="0.00_);[Red]\(0.00\)" sourceLinked="1"/>
        <c:majorTickMark val="out"/>
        <c:minorTickMark val="none"/>
        <c:tickLblPos val="nextTo"/>
        <c:crossAx val="219292032"/>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度量指标!$K$4</c:f>
              <c:strCache>
                <c:ptCount val="1"/>
                <c:pt idx="0">
                  <c:v>系统测试检出缺陷密度</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度量指标!$K$5:$K$13</c:f>
              <c:numCache>
                <c:formatCode>0.00_);[Red]\(0.00\)</c:formatCode>
                <c:ptCount val="9"/>
                <c:pt idx="0">
                  <c:v>0</c:v>
                </c:pt>
                <c:pt idx="1">
                  <c:v>0.32734847733359784</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2112-4305-A2ED-640A43704D28}"/>
            </c:ext>
          </c:extLst>
        </c:ser>
        <c:dLbls>
          <c:showLegendKey val="0"/>
          <c:showVal val="0"/>
          <c:showCatName val="0"/>
          <c:showSerName val="0"/>
          <c:showPercent val="0"/>
          <c:showBubbleSize val="0"/>
        </c:dLbls>
        <c:smooth val="0"/>
        <c:axId val="219309568"/>
        <c:axId val="219311104"/>
      </c:lineChart>
      <c:catAx>
        <c:axId val="219309568"/>
        <c:scaling>
          <c:orientation val="minMax"/>
        </c:scaling>
        <c:delete val="0"/>
        <c:axPos val="b"/>
        <c:numFmt formatCode="General" sourceLinked="0"/>
        <c:majorTickMark val="out"/>
        <c:minorTickMark val="none"/>
        <c:tickLblPos val="nextTo"/>
        <c:crossAx val="219311104"/>
        <c:crosses val="autoZero"/>
        <c:auto val="1"/>
        <c:lblAlgn val="ctr"/>
        <c:lblOffset val="100"/>
        <c:noMultiLvlLbl val="0"/>
      </c:catAx>
      <c:valAx>
        <c:axId val="219311104"/>
        <c:scaling>
          <c:orientation val="minMax"/>
        </c:scaling>
        <c:delete val="0"/>
        <c:axPos val="l"/>
        <c:majorGridlines/>
        <c:numFmt formatCode="0.00_);[Red]\(0.00\)" sourceLinked="1"/>
        <c:majorTickMark val="out"/>
        <c:minorTickMark val="none"/>
        <c:tickLblPos val="nextTo"/>
        <c:crossAx val="219309568"/>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度量指标!$L$4</c:f>
              <c:strCache>
                <c:ptCount val="1"/>
                <c:pt idx="0">
                  <c:v>系统测试检出严重及致命缺陷占比</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度量指标!$L$5:$L$13</c:f>
              <c:numCache>
                <c:formatCode>0.00%</c:formatCode>
                <c:ptCount val="9"/>
                <c:pt idx="0">
                  <c:v>0</c:v>
                </c:pt>
                <c:pt idx="1">
                  <c:v>0.32727272727272727</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1612-482B-83A8-DC6AA5F1A7FE}"/>
            </c:ext>
          </c:extLst>
        </c:ser>
        <c:dLbls>
          <c:showLegendKey val="0"/>
          <c:showVal val="0"/>
          <c:showCatName val="0"/>
          <c:showSerName val="0"/>
          <c:showPercent val="0"/>
          <c:showBubbleSize val="0"/>
        </c:dLbls>
        <c:smooth val="0"/>
        <c:axId val="219335296"/>
        <c:axId val="219341184"/>
      </c:lineChart>
      <c:catAx>
        <c:axId val="219335296"/>
        <c:scaling>
          <c:orientation val="minMax"/>
        </c:scaling>
        <c:delete val="0"/>
        <c:axPos val="b"/>
        <c:numFmt formatCode="General" sourceLinked="0"/>
        <c:majorTickMark val="out"/>
        <c:minorTickMark val="none"/>
        <c:tickLblPos val="nextTo"/>
        <c:crossAx val="219341184"/>
        <c:crosses val="autoZero"/>
        <c:auto val="1"/>
        <c:lblAlgn val="ctr"/>
        <c:lblOffset val="100"/>
        <c:noMultiLvlLbl val="0"/>
      </c:catAx>
      <c:valAx>
        <c:axId val="219341184"/>
        <c:scaling>
          <c:orientation val="minMax"/>
        </c:scaling>
        <c:delete val="0"/>
        <c:axPos val="l"/>
        <c:majorGridlines/>
        <c:numFmt formatCode="0.00%" sourceLinked="1"/>
        <c:majorTickMark val="out"/>
        <c:minorTickMark val="none"/>
        <c:tickLblPos val="nextTo"/>
        <c:crossAx val="219335296"/>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度量指标!$M$4</c:f>
              <c:strCache>
                <c:ptCount val="1"/>
                <c:pt idx="0">
                  <c:v>系统测试缺陷关闭率</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度量指标!$M$5:$M$13</c:f>
              <c:numCache>
                <c:formatCode>0.00%</c:formatCode>
                <c:ptCount val="9"/>
                <c:pt idx="0">
                  <c:v>0</c:v>
                </c:pt>
                <c:pt idx="1">
                  <c:v>0.31515151515151513</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BCD3-4730-9B8E-19F2369865E4}"/>
            </c:ext>
          </c:extLst>
        </c:ser>
        <c:dLbls>
          <c:showLegendKey val="0"/>
          <c:showVal val="0"/>
          <c:showCatName val="0"/>
          <c:showSerName val="0"/>
          <c:showPercent val="0"/>
          <c:showBubbleSize val="0"/>
        </c:dLbls>
        <c:smooth val="0"/>
        <c:axId val="220614656"/>
        <c:axId val="220616192"/>
      </c:lineChart>
      <c:catAx>
        <c:axId val="220614656"/>
        <c:scaling>
          <c:orientation val="minMax"/>
        </c:scaling>
        <c:delete val="0"/>
        <c:axPos val="b"/>
        <c:numFmt formatCode="General" sourceLinked="0"/>
        <c:majorTickMark val="out"/>
        <c:minorTickMark val="none"/>
        <c:tickLblPos val="nextTo"/>
        <c:crossAx val="220616192"/>
        <c:crosses val="autoZero"/>
        <c:auto val="1"/>
        <c:lblAlgn val="ctr"/>
        <c:lblOffset val="100"/>
        <c:noMultiLvlLbl val="0"/>
      </c:catAx>
      <c:valAx>
        <c:axId val="220616192"/>
        <c:scaling>
          <c:orientation val="minMax"/>
        </c:scaling>
        <c:delete val="0"/>
        <c:axPos val="l"/>
        <c:majorGridlines/>
        <c:numFmt formatCode="0.00%" sourceLinked="1"/>
        <c:majorTickMark val="out"/>
        <c:minorTickMark val="none"/>
        <c:tickLblPos val="nextTo"/>
        <c:crossAx val="220614656"/>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度量指标!$N$4</c:f>
              <c:strCache>
                <c:ptCount val="1"/>
                <c:pt idx="0">
                  <c:v>系统测试有效率</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度量指标!$N$5:$N$13</c:f>
              <c:numCache>
                <c:formatCode>0.00%</c:formatCode>
                <c:ptCount val="9"/>
                <c:pt idx="0">
                  <c:v>0</c:v>
                </c:pt>
                <c:pt idx="1">
                  <c:v>0.89673913043478259</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2792-481A-8F3F-917672695397}"/>
            </c:ext>
          </c:extLst>
        </c:ser>
        <c:dLbls>
          <c:showLegendKey val="0"/>
          <c:showVal val="0"/>
          <c:showCatName val="0"/>
          <c:showSerName val="0"/>
          <c:showPercent val="0"/>
          <c:showBubbleSize val="0"/>
        </c:dLbls>
        <c:smooth val="0"/>
        <c:axId val="220632192"/>
        <c:axId val="220633728"/>
      </c:lineChart>
      <c:catAx>
        <c:axId val="220632192"/>
        <c:scaling>
          <c:orientation val="minMax"/>
        </c:scaling>
        <c:delete val="0"/>
        <c:axPos val="b"/>
        <c:numFmt formatCode="General" sourceLinked="0"/>
        <c:majorTickMark val="out"/>
        <c:minorTickMark val="none"/>
        <c:tickLblPos val="nextTo"/>
        <c:crossAx val="220633728"/>
        <c:crosses val="autoZero"/>
        <c:auto val="1"/>
        <c:lblAlgn val="ctr"/>
        <c:lblOffset val="100"/>
        <c:noMultiLvlLbl val="0"/>
      </c:catAx>
      <c:valAx>
        <c:axId val="220633728"/>
        <c:scaling>
          <c:orientation val="minMax"/>
        </c:scaling>
        <c:delete val="0"/>
        <c:axPos val="l"/>
        <c:majorGridlines/>
        <c:numFmt formatCode="0.00%" sourceLinked="1"/>
        <c:majorTickMark val="out"/>
        <c:minorTickMark val="none"/>
        <c:tickLblPos val="nextTo"/>
        <c:crossAx val="220632192"/>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200"/>
          </a:pPr>
          <a:endParaRPr lang="zh-CN"/>
        </a:p>
      </c:txPr>
    </c:title>
    <c:autoTitleDeleted val="0"/>
    <c:plotArea>
      <c:layout/>
      <c:lineChart>
        <c:grouping val="standard"/>
        <c:varyColors val="0"/>
        <c:ser>
          <c:idx val="0"/>
          <c:order val="0"/>
          <c:tx>
            <c:strRef>
              <c:f>度量指标!$AA$4</c:f>
              <c:strCache>
                <c:ptCount val="1"/>
                <c:pt idx="0">
                  <c:v>进度偏差率</c:v>
                </c:pt>
              </c:strCache>
            </c:strRef>
          </c:tx>
          <c:marker>
            <c:symbol val="none"/>
          </c:marker>
          <c:cat>
            <c:strRef>
              <c:f>度量指标!$A$5:$A$13</c:f>
              <c:strCache>
                <c:ptCount val="9"/>
                <c:pt idx="0">
                  <c:v>迭代1</c:v>
                </c:pt>
                <c:pt idx="1">
                  <c:v>迭代2</c:v>
                </c:pt>
                <c:pt idx="2">
                  <c:v>迭代3</c:v>
                </c:pt>
                <c:pt idx="3">
                  <c:v>迭代4</c:v>
                </c:pt>
                <c:pt idx="4">
                  <c:v>迭代5</c:v>
                </c:pt>
                <c:pt idx="5">
                  <c:v>迭代6</c:v>
                </c:pt>
                <c:pt idx="6">
                  <c:v>迭代7</c:v>
                </c:pt>
                <c:pt idx="7">
                  <c:v>迭代8</c:v>
                </c:pt>
                <c:pt idx="8">
                  <c:v>迭代9</c:v>
                </c:pt>
              </c:strCache>
            </c:strRef>
          </c:cat>
          <c:val>
            <c:numRef>
              <c:f>度量指标!$AA$5:$AA$13</c:f>
              <c:numCache>
                <c:formatCode>0.00%</c:formatCode>
                <c:ptCount val="9"/>
                <c:pt idx="0">
                  <c:v>0</c:v>
                </c:pt>
                <c:pt idx="1">
                  <c:v>-0.22184484754920877</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AE2E-4CF5-A4BF-2250BA839DF0}"/>
            </c:ext>
          </c:extLst>
        </c:ser>
        <c:dLbls>
          <c:showLegendKey val="0"/>
          <c:showVal val="0"/>
          <c:showCatName val="0"/>
          <c:showSerName val="0"/>
          <c:showPercent val="0"/>
          <c:showBubbleSize val="0"/>
        </c:dLbls>
        <c:smooth val="0"/>
        <c:axId val="220641536"/>
        <c:axId val="220655616"/>
      </c:lineChart>
      <c:catAx>
        <c:axId val="220641536"/>
        <c:scaling>
          <c:orientation val="minMax"/>
        </c:scaling>
        <c:delete val="0"/>
        <c:axPos val="b"/>
        <c:numFmt formatCode="General" sourceLinked="0"/>
        <c:majorTickMark val="out"/>
        <c:minorTickMark val="none"/>
        <c:tickLblPos val="nextTo"/>
        <c:crossAx val="220655616"/>
        <c:crosses val="autoZero"/>
        <c:auto val="1"/>
        <c:lblAlgn val="ctr"/>
        <c:lblOffset val="100"/>
        <c:noMultiLvlLbl val="0"/>
      </c:catAx>
      <c:valAx>
        <c:axId val="220655616"/>
        <c:scaling>
          <c:orientation val="minMax"/>
        </c:scaling>
        <c:delete val="0"/>
        <c:axPos val="l"/>
        <c:majorGridlines/>
        <c:numFmt formatCode="0.00%" sourceLinked="1"/>
        <c:majorTickMark val="out"/>
        <c:minorTickMark val="none"/>
        <c:tickLblPos val="nextTo"/>
        <c:crossAx val="220641536"/>
        <c:crosses val="autoZero"/>
        <c:crossBetween val="between"/>
      </c:valAx>
    </c:plotArea>
    <c:plotVisOnly val="1"/>
    <c:dispBlanksAs val="gap"/>
    <c:showDLblsOverMax val="0"/>
  </c:chart>
  <c:txPr>
    <a:bodyPr/>
    <a:lstStyle/>
    <a:p>
      <a:pPr>
        <a:defRPr>
          <a:latin typeface="微软雅黑" panose="020B0503020204020204" pitchFamily="34" charset="-122"/>
          <a:ea typeface="微软雅黑" panose="020B0503020204020204" pitchFamily="34" charset="-122"/>
        </a:defRPr>
      </a:pPr>
      <a:endParaRPr lang="zh-CN"/>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214312</xdr:colOff>
      <xdr:row>0</xdr:row>
      <xdr:rowOff>152400</xdr:rowOff>
    </xdr:from>
    <xdr:to>
      <xdr:col>7</xdr:col>
      <xdr:colOff>519112</xdr:colOff>
      <xdr:row>15</xdr:row>
      <xdr:rowOff>142875</xdr:rowOff>
    </xdr:to>
    <xdr:graphicFrame macro="">
      <xdr:nvGraphicFramePr>
        <xdr:cNvPr id="2" name="图表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335573</xdr:colOff>
      <xdr:row>0</xdr:row>
      <xdr:rowOff>163390</xdr:rowOff>
    </xdr:from>
    <xdr:to>
      <xdr:col>23</xdr:col>
      <xdr:colOff>30773</xdr:colOff>
      <xdr:row>15</xdr:row>
      <xdr:rowOff>153865</xdr:rowOff>
    </xdr:to>
    <xdr:graphicFrame macro="">
      <xdr:nvGraphicFramePr>
        <xdr:cNvPr id="5" name="图表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208085</xdr:colOff>
      <xdr:row>16</xdr:row>
      <xdr:rowOff>13921</xdr:rowOff>
    </xdr:from>
    <xdr:to>
      <xdr:col>7</xdr:col>
      <xdr:colOff>512885</xdr:colOff>
      <xdr:row>31</xdr:row>
      <xdr:rowOff>74002</xdr:rowOff>
    </xdr:to>
    <xdr:graphicFrame macro="">
      <xdr:nvGraphicFramePr>
        <xdr:cNvPr id="6" name="图表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577362</xdr:colOff>
      <xdr:row>16</xdr:row>
      <xdr:rowOff>16119</xdr:rowOff>
    </xdr:from>
    <xdr:to>
      <xdr:col>15</xdr:col>
      <xdr:colOff>272562</xdr:colOff>
      <xdr:row>31</xdr:row>
      <xdr:rowOff>76200</xdr:rowOff>
    </xdr:to>
    <xdr:graphicFrame macro="">
      <xdr:nvGraphicFramePr>
        <xdr:cNvPr id="7" name="图表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337039</xdr:colOff>
      <xdr:row>16</xdr:row>
      <xdr:rowOff>3663</xdr:rowOff>
    </xdr:from>
    <xdr:to>
      <xdr:col>23</xdr:col>
      <xdr:colOff>33705</xdr:colOff>
      <xdr:row>31</xdr:row>
      <xdr:rowOff>65732</xdr:rowOff>
    </xdr:to>
    <xdr:graphicFrame macro="">
      <xdr:nvGraphicFramePr>
        <xdr:cNvPr id="8" name="图表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205887</xdr:colOff>
      <xdr:row>31</xdr:row>
      <xdr:rowOff>148004</xdr:rowOff>
    </xdr:from>
    <xdr:to>
      <xdr:col>7</xdr:col>
      <xdr:colOff>510687</xdr:colOff>
      <xdr:row>47</xdr:row>
      <xdr:rowOff>126022</xdr:rowOff>
    </xdr:to>
    <xdr:graphicFrame macro="">
      <xdr:nvGraphicFramePr>
        <xdr:cNvPr id="9" name="图表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581757</xdr:colOff>
      <xdr:row>31</xdr:row>
      <xdr:rowOff>155332</xdr:rowOff>
    </xdr:from>
    <xdr:to>
      <xdr:col>15</xdr:col>
      <xdr:colOff>276957</xdr:colOff>
      <xdr:row>47</xdr:row>
      <xdr:rowOff>133350</xdr:rowOff>
    </xdr:to>
    <xdr:graphicFrame macro="">
      <xdr:nvGraphicFramePr>
        <xdr:cNvPr id="10" name="图表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351692</xdr:colOff>
      <xdr:row>31</xdr:row>
      <xdr:rowOff>161926</xdr:rowOff>
    </xdr:from>
    <xdr:to>
      <xdr:col>23</xdr:col>
      <xdr:colOff>48358</xdr:colOff>
      <xdr:row>47</xdr:row>
      <xdr:rowOff>139944</xdr:rowOff>
    </xdr:to>
    <xdr:graphicFrame macro="">
      <xdr:nvGraphicFramePr>
        <xdr:cNvPr id="11" name="图表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194164</xdr:colOff>
      <xdr:row>48</xdr:row>
      <xdr:rowOff>13189</xdr:rowOff>
    </xdr:from>
    <xdr:to>
      <xdr:col>7</xdr:col>
      <xdr:colOff>498964</xdr:colOff>
      <xdr:row>63</xdr:row>
      <xdr:rowOff>123825</xdr:rowOff>
    </xdr:to>
    <xdr:graphicFrame macro="">
      <xdr:nvGraphicFramePr>
        <xdr:cNvPr id="12" name="图表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570767</xdr:colOff>
      <xdr:row>48</xdr:row>
      <xdr:rowOff>13189</xdr:rowOff>
    </xdr:from>
    <xdr:to>
      <xdr:col>15</xdr:col>
      <xdr:colOff>265967</xdr:colOff>
      <xdr:row>63</xdr:row>
      <xdr:rowOff>123825</xdr:rowOff>
    </xdr:to>
    <xdr:graphicFrame macro="">
      <xdr:nvGraphicFramePr>
        <xdr:cNvPr id="13" name="图表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329712</xdr:colOff>
      <xdr:row>48</xdr:row>
      <xdr:rowOff>8060</xdr:rowOff>
    </xdr:from>
    <xdr:to>
      <xdr:col>23</xdr:col>
      <xdr:colOff>24912</xdr:colOff>
      <xdr:row>63</xdr:row>
      <xdr:rowOff>118696</xdr:rowOff>
    </xdr:to>
    <xdr:graphicFrame macro="">
      <xdr:nvGraphicFramePr>
        <xdr:cNvPr id="14" name="图表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571500</xdr:colOff>
      <xdr:row>0</xdr:row>
      <xdr:rowOff>152400</xdr:rowOff>
    </xdr:from>
    <xdr:to>
      <xdr:col>15</xdr:col>
      <xdr:colOff>266700</xdr:colOff>
      <xdr:row>15</xdr:row>
      <xdr:rowOff>142875</xdr:rowOff>
    </xdr:to>
    <xdr:graphicFrame macro="">
      <xdr:nvGraphicFramePr>
        <xdr:cNvPr id="15" name="图表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31649;&#29702;&#20307;&#31995;/4.&#24230;&#37327;/&#32769;&#20135;&#21697;&#21151;&#33021;&#21319;&#32423;&#20248;&#21270;_&#32570;&#38519;&#21015;&#349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g"/>
      <sheetName val="系统数据"/>
    </sheetNames>
    <sheetDataSet>
      <sheetData sheetId="0"/>
      <sheetData sheetId="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zoomScaleNormal="100" workbookViewId="0">
      <selection activeCell="Z20" sqref="Z20"/>
    </sheetView>
  </sheetViews>
  <sheetFormatPr defaultColWidth="9.109375" defaultRowHeight="13.2"/>
  <cols>
    <col min="1" max="16384" width="9.109375" style="283"/>
  </cols>
  <sheetData/>
  <phoneticPr fontId="13"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L13"/>
  <sheetViews>
    <sheetView workbookViewId="0">
      <selection activeCell="I18" sqref="I18"/>
    </sheetView>
  </sheetViews>
  <sheetFormatPr defaultColWidth="9" defaultRowHeight="13.2"/>
  <cols>
    <col min="1" max="1" width="9.5546875" style="87" customWidth="1"/>
    <col min="2" max="5" width="10.88671875" style="87" customWidth="1"/>
    <col min="6" max="6" width="9.33203125" style="87" customWidth="1"/>
    <col min="7" max="11" width="10.88671875" style="87" customWidth="1"/>
    <col min="12" max="16384" width="9" style="87"/>
  </cols>
  <sheetData>
    <row r="1" spans="1:12" ht="13.8" thickBot="1"/>
    <row r="2" spans="1:12" ht="14.25" customHeight="1">
      <c r="A2" s="361" t="s">
        <v>175</v>
      </c>
      <c r="B2" s="368" t="s">
        <v>272</v>
      </c>
      <c r="C2" s="369"/>
      <c r="D2" s="369"/>
      <c r="E2" s="369"/>
      <c r="F2" s="370"/>
      <c r="G2" s="364" t="s">
        <v>1</v>
      </c>
      <c r="H2" s="365"/>
      <c r="I2" s="365"/>
      <c r="J2" s="365"/>
      <c r="K2" s="366"/>
      <c r="L2" s="367"/>
    </row>
    <row r="3" spans="1:12" ht="15" customHeight="1">
      <c r="A3" s="362"/>
      <c r="B3" s="92" t="s">
        <v>255</v>
      </c>
      <c r="C3" s="93" t="s">
        <v>256</v>
      </c>
      <c r="D3" s="93" t="s">
        <v>257</v>
      </c>
      <c r="E3" s="284" t="s">
        <v>258</v>
      </c>
      <c r="F3" s="371" t="s">
        <v>279</v>
      </c>
      <c r="G3" s="100" t="s">
        <v>151</v>
      </c>
      <c r="H3" s="99" t="s">
        <v>152</v>
      </c>
      <c r="I3" s="99" t="s">
        <v>153</v>
      </c>
      <c r="J3" s="99" t="s">
        <v>154</v>
      </c>
      <c r="K3" s="288" t="s">
        <v>280</v>
      </c>
      <c r="L3" s="101" t="s">
        <v>281</v>
      </c>
    </row>
    <row r="4" spans="1:12" ht="24.6" thickBot="1">
      <c r="A4" s="363"/>
      <c r="B4" s="285" t="s">
        <v>146</v>
      </c>
      <c r="C4" s="286" t="s">
        <v>223</v>
      </c>
      <c r="D4" s="286" t="s">
        <v>147</v>
      </c>
      <c r="E4" s="286" t="s">
        <v>145</v>
      </c>
      <c r="F4" s="372"/>
      <c r="G4" s="92" t="s">
        <v>141</v>
      </c>
      <c r="H4" s="93" t="s">
        <v>142</v>
      </c>
      <c r="I4" s="93" t="s">
        <v>143</v>
      </c>
      <c r="J4" s="93" t="s">
        <v>144</v>
      </c>
      <c r="K4" s="359" t="s">
        <v>282</v>
      </c>
      <c r="L4" s="345" t="s">
        <v>155</v>
      </c>
    </row>
    <row r="5" spans="1:12" ht="20.100000000000001" customHeight="1">
      <c r="A5" s="218" t="s">
        <v>166</v>
      </c>
      <c r="B5" s="221">
        <f>VLOOKUP($A5,度量指标!$A$2:$AB$13,28,FALSE)</f>
        <v>0.76923076923076916</v>
      </c>
      <c r="C5" s="104" t="str">
        <f ca="1">VLOOKUP($A5,度量指标!$A$2:$AB$13,27,FALSE)</f>
        <v>NA</v>
      </c>
      <c r="D5" s="104" t="str">
        <f ca="1">VLOOKUP($A5,度量指标!$A$2:$AB$13,25,FALSE)</f>
        <v>NA</v>
      </c>
      <c r="E5" s="104" t="str">
        <f ca="1">VLOOKUP($A5,度量指标!$A$2:$AB$13,26,FALSE)</f>
        <v>NA</v>
      </c>
      <c r="F5" s="289"/>
      <c r="G5" s="340">
        <f>IF(B5="NA","NA",B5*100)</f>
        <v>76.92307692307692</v>
      </c>
      <c r="H5" s="341" t="str">
        <f ca="1">IF(C5&gt;0,IF(C5="NA","NA",IF((100-C5*100)&lt;0,0,100-C5*100)),100)</f>
        <v>NA</v>
      </c>
      <c r="I5" s="341" t="str">
        <f ca="1">IF(D5="NA","NA",D5*100)</f>
        <v>NA</v>
      </c>
      <c r="J5" s="341" t="str">
        <f ca="1">IF(E5="NA","NA",100-E5*100)</f>
        <v>NA</v>
      </c>
      <c r="K5" s="341" t="str">
        <f>IF(F5="NA","NA",IF(F5="","NA",IF(F5&gt;=3,0,IF(F5=2,60,100))))</f>
        <v>NA</v>
      </c>
      <c r="L5" s="342">
        <f ca="1">IF($G5="NA",0,$G5*0.1)+IF(H5="NA",0,$H5*0.2)+IF($I5="NA",0,$I5*0.4)+IF($J5="NA",0,$J5*0.2)+IF($K5="NA",0,$K5*0.1)</f>
        <v>7.6923076923076925</v>
      </c>
    </row>
    <row r="6" spans="1:12" ht="20.100000000000001" customHeight="1">
      <c r="A6" s="219" t="s">
        <v>167</v>
      </c>
      <c r="B6" s="222">
        <f>VLOOKUP($A6,度量指标!$A$2:$AB$13,28,FALSE)</f>
        <v>1</v>
      </c>
      <c r="C6" s="94">
        <f ca="1">VLOOKUP($A6,度量指标!$A$2:$AB$13,27,FALSE)</f>
        <v>-0.22184484754920877</v>
      </c>
      <c r="D6" s="94">
        <f ca="1">VLOOKUP($A6,度量指标!$A$2:$AB$13,25,FALSE)</f>
        <v>1</v>
      </c>
      <c r="E6" s="94">
        <f ca="1">VLOOKUP($A6,度量指标!$A$2:$AB$13,26,FALSE)</f>
        <v>0</v>
      </c>
      <c r="F6" s="290">
        <v>2</v>
      </c>
      <c r="G6" s="95">
        <f t="shared" ref="G6:G13" si="0">IF(B6="NA","NA",B6*100)</f>
        <v>100</v>
      </c>
      <c r="H6" s="292">
        <f t="shared" ref="H6:H13" ca="1" si="1">IF(C6&gt;0,IF(C6="NA","NA",IF((100-C6*100)&lt;0,0,100-C6*100)),100)</f>
        <v>100</v>
      </c>
      <c r="I6" s="96">
        <f t="shared" ref="I6:I12" ca="1" si="2">IF(D6="NA","NA",D6*100)</f>
        <v>100</v>
      </c>
      <c r="J6" s="96">
        <f t="shared" ref="J6:J13" ca="1" si="3">IF(E6="NA","NA",100-E6*100)</f>
        <v>100</v>
      </c>
      <c r="K6" s="96">
        <f t="shared" ref="K6:K13" si="4">IF(F6="NA","NA",IF(F6="","NA",IF(F6&gt;=3,0,IF(F6=2,60,100))))</f>
        <v>60</v>
      </c>
      <c r="L6" s="105">
        <f t="shared" ref="L6:L13" ca="1" si="5">IF($G6="NA",0,$G6*0.1)+IF(H6="NA",0,$H6*0.2)+IF($I6="NA",0,$I6*0.4)+IF($J6="NA",0,$J6*0.2)+IF($K6="NA",0,$K6*0.1)</f>
        <v>96</v>
      </c>
    </row>
    <row r="7" spans="1:12" ht="20.100000000000001" customHeight="1">
      <c r="A7" s="219" t="s">
        <v>168</v>
      </c>
      <c r="B7" s="222" t="str">
        <f>VLOOKUP($A7,度量指标!$A$2:$AB$13,28,FALSE)</f>
        <v>NA</v>
      </c>
      <c r="C7" s="94" t="str">
        <f ca="1">VLOOKUP($A7,度量指标!$A$2:$AB$13,27,FALSE)</f>
        <v>NA</v>
      </c>
      <c r="D7" s="94" t="str">
        <f ca="1">VLOOKUP($A7,度量指标!$A$2:$AB$13,25,FALSE)</f>
        <v>NA</v>
      </c>
      <c r="E7" s="94" t="str">
        <f ca="1">VLOOKUP($A7,度量指标!$A$2:$AB$13,26,FALSE)</f>
        <v>NA</v>
      </c>
      <c r="F7" s="290"/>
      <c r="G7" s="95" t="str">
        <f t="shared" si="0"/>
        <v>NA</v>
      </c>
      <c r="H7" s="292" t="str">
        <f t="shared" ca="1" si="1"/>
        <v>NA</v>
      </c>
      <c r="I7" s="96" t="str">
        <f t="shared" ca="1" si="2"/>
        <v>NA</v>
      </c>
      <c r="J7" s="96" t="str">
        <f t="shared" ca="1" si="3"/>
        <v>NA</v>
      </c>
      <c r="K7" s="96" t="str">
        <f t="shared" si="4"/>
        <v>NA</v>
      </c>
      <c r="L7" s="105">
        <f t="shared" ca="1" si="5"/>
        <v>0</v>
      </c>
    </row>
    <row r="8" spans="1:12" ht="20.100000000000001" customHeight="1">
      <c r="A8" s="219" t="s">
        <v>169</v>
      </c>
      <c r="B8" s="222" t="str">
        <f>VLOOKUP($A8,度量指标!$A$2:$AB$13,28,FALSE)</f>
        <v>NA</v>
      </c>
      <c r="C8" s="94" t="str">
        <f ca="1">VLOOKUP($A8,度量指标!$A$2:$AB$13,27,FALSE)</f>
        <v>NA</v>
      </c>
      <c r="D8" s="94" t="str">
        <f ca="1">VLOOKUP($A8,度量指标!$A$2:$AB$13,25,FALSE)</f>
        <v>NA</v>
      </c>
      <c r="E8" s="94" t="str">
        <f ca="1">VLOOKUP($A8,度量指标!$A$2:$AB$13,26,FALSE)</f>
        <v>NA</v>
      </c>
      <c r="F8" s="290"/>
      <c r="G8" s="95" t="str">
        <f t="shared" si="0"/>
        <v>NA</v>
      </c>
      <c r="H8" s="292" t="str">
        <f t="shared" ca="1" si="1"/>
        <v>NA</v>
      </c>
      <c r="I8" s="96" t="str">
        <f t="shared" ca="1" si="2"/>
        <v>NA</v>
      </c>
      <c r="J8" s="96" t="str">
        <f t="shared" ca="1" si="3"/>
        <v>NA</v>
      </c>
      <c r="K8" s="96" t="str">
        <f t="shared" si="4"/>
        <v>NA</v>
      </c>
      <c r="L8" s="105">
        <f t="shared" ca="1" si="5"/>
        <v>0</v>
      </c>
    </row>
    <row r="9" spans="1:12" ht="20.100000000000001" customHeight="1">
      <c r="A9" s="219" t="s">
        <v>170</v>
      </c>
      <c r="B9" s="222" t="str">
        <f>VLOOKUP($A9,度量指标!$A$2:$AB$13,28,FALSE)</f>
        <v>NA</v>
      </c>
      <c r="C9" s="94" t="str">
        <f ca="1">VLOOKUP($A9,度量指标!$A$2:$AB$13,27,FALSE)</f>
        <v>NA</v>
      </c>
      <c r="D9" s="94" t="str">
        <f ca="1">VLOOKUP($A9,度量指标!$A$2:$AB$13,25,FALSE)</f>
        <v>NA</v>
      </c>
      <c r="E9" s="94" t="str">
        <f ca="1">VLOOKUP($A9,度量指标!$A$2:$AB$13,26,FALSE)</f>
        <v>NA</v>
      </c>
      <c r="F9" s="290"/>
      <c r="G9" s="95" t="str">
        <f t="shared" si="0"/>
        <v>NA</v>
      </c>
      <c r="H9" s="292" t="str">
        <f t="shared" ca="1" si="1"/>
        <v>NA</v>
      </c>
      <c r="I9" s="96" t="str">
        <f t="shared" ca="1" si="2"/>
        <v>NA</v>
      </c>
      <c r="J9" s="96" t="str">
        <f t="shared" ca="1" si="3"/>
        <v>NA</v>
      </c>
      <c r="K9" s="96" t="str">
        <f t="shared" si="4"/>
        <v>NA</v>
      </c>
      <c r="L9" s="105">
        <f t="shared" ca="1" si="5"/>
        <v>0</v>
      </c>
    </row>
    <row r="10" spans="1:12" ht="20.100000000000001" customHeight="1">
      <c r="A10" s="219" t="s">
        <v>171</v>
      </c>
      <c r="B10" s="222" t="str">
        <f>VLOOKUP($A10,度量指标!$A$2:$AB$13,28,FALSE)</f>
        <v>NA</v>
      </c>
      <c r="C10" s="94" t="str">
        <f ca="1">VLOOKUP($A10,度量指标!$A$2:$AB$13,27,FALSE)</f>
        <v>NA</v>
      </c>
      <c r="D10" s="94" t="str">
        <f ca="1">VLOOKUP($A10,度量指标!$A$2:$AB$13,25,FALSE)</f>
        <v>NA</v>
      </c>
      <c r="E10" s="94" t="str">
        <f ca="1">VLOOKUP($A10,度量指标!$A$2:$AB$13,26,FALSE)</f>
        <v>NA</v>
      </c>
      <c r="F10" s="290"/>
      <c r="G10" s="95" t="str">
        <f t="shared" si="0"/>
        <v>NA</v>
      </c>
      <c r="H10" s="292" t="str">
        <f t="shared" ca="1" si="1"/>
        <v>NA</v>
      </c>
      <c r="I10" s="96" t="str">
        <f t="shared" ca="1" si="2"/>
        <v>NA</v>
      </c>
      <c r="J10" s="96" t="str">
        <f t="shared" ca="1" si="3"/>
        <v>NA</v>
      </c>
      <c r="K10" s="96" t="str">
        <f t="shared" si="4"/>
        <v>NA</v>
      </c>
      <c r="L10" s="105">
        <f t="shared" ca="1" si="5"/>
        <v>0</v>
      </c>
    </row>
    <row r="11" spans="1:12" ht="20.100000000000001" customHeight="1">
      <c r="A11" s="219" t="s">
        <v>172</v>
      </c>
      <c r="B11" s="222" t="str">
        <f>VLOOKUP($A11,度量指标!$A$2:$AB$13,28,FALSE)</f>
        <v>NA</v>
      </c>
      <c r="C11" s="94" t="str">
        <f ca="1">VLOOKUP($A11,度量指标!$A$2:$AB$13,27,FALSE)</f>
        <v>NA</v>
      </c>
      <c r="D11" s="94" t="str">
        <f ca="1">VLOOKUP($A11,度量指标!$A$2:$AB$13,25,FALSE)</f>
        <v>NA</v>
      </c>
      <c r="E11" s="94" t="str">
        <f ca="1">VLOOKUP($A11,度量指标!$A$2:$AB$13,26,FALSE)</f>
        <v>NA</v>
      </c>
      <c r="F11" s="290"/>
      <c r="G11" s="95" t="str">
        <f t="shared" si="0"/>
        <v>NA</v>
      </c>
      <c r="H11" s="292" t="str">
        <f t="shared" ca="1" si="1"/>
        <v>NA</v>
      </c>
      <c r="I11" s="96" t="str">
        <f t="shared" ca="1" si="2"/>
        <v>NA</v>
      </c>
      <c r="J11" s="96" t="str">
        <f t="shared" ca="1" si="3"/>
        <v>NA</v>
      </c>
      <c r="K11" s="96" t="str">
        <f t="shared" si="4"/>
        <v>NA</v>
      </c>
      <c r="L11" s="105">
        <f t="shared" ca="1" si="5"/>
        <v>0</v>
      </c>
    </row>
    <row r="12" spans="1:12" ht="20.100000000000001" customHeight="1">
      <c r="A12" s="219" t="s">
        <v>173</v>
      </c>
      <c r="B12" s="222" t="str">
        <f>VLOOKUP($A12,度量指标!$A$2:$AB$13,28,FALSE)</f>
        <v>NA</v>
      </c>
      <c r="C12" s="94" t="str">
        <f ca="1">VLOOKUP($A12,度量指标!$A$2:$AB$13,27,FALSE)</f>
        <v>NA</v>
      </c>
      <c r="D12" s="94" t="str">
        <f ca="1">VLOOKUP($A12,度量指标!$A$2:$AB$13,25,FALSE)</f>
        <v>NA</v>
      </c>
      <c r="E12" s="94" t="str">
        <f ca="1">VLOOKUP($A12,度量指标!$A$2:$AB$13,26,FALSE)</f>
        <v>NA</v>
      </c>
      <c r="F12" s="290"/>
      <c r="G12" s="95" t="str">
        <f t="shared" si="0"/>
        <v>NA</v>
      </c>
      <c r="H12" s="292" t="str">
        <f t="shared" ca="1" si="1"/>
        <v>NA</v>
      </c>
      <c r="I12" s="96" t="str">
        <f t="shared" ca="1" si="2"/>
        <v>NA</v>
      </c>
      <c r="J12" s="96" t="str">
        <f t="shared" ca="1" si="3"/>
        <v>NA</v>
      </c>
      <c r="K12" s="96" t="str">
        <f t="shared" si="4"/>
        <v>NA</v>
      </c>
      <c r="L12" s="105">
        <f t="shared" ca="1" si="5"/>
        <v>0</v>
      </c>
    </row>
    <row r="13" spans="1:12" ht="20.100000000000001" customHeight="1" thickBot="1">
      <c r="A13" s="220" t="s">
        <v>174</v>
      </c>
      <c r="B13" s="287" t="str">
        <f>VLOOKUP($A13,度量指标!$A$2:$AB$13,28,FALSE)</f>
        <v>NA</v>
      </c>
      <c r="C13" s="223" t="str">
        <f ca="1">VLOOKUP($A13,度量指标!$A$2:$AB$13,27,FALSE)</f>
        <v>NA</v>
      </c>
      <c r="D13" s="223" t="str">
        <f ca="1">VLOOKUP($A13,度量指标!$A$2:$AB$13,25,FALSE)</f>
        <v>NA</v>
      </c>
      <c r="E13" s="223" t="str">
        <f ca="1">VLOOKUP($A13,度量指标!$A$2:$AB$13,26,FALSE)</f>
        <v>NA</v>
      </c>
      <c r="F13" s="291"/>
      <c r="G13" s="360" t="str">
        <f t="shared" si="0"/>
        <v>NA</v>
      </c>
      <c r="H13" s="343" t="str">
        <f t="shared" ca="1" si="1"/>
        <v>NA</v>
      </c>
      <c r="I13" s="224" t="str">
        <f ca="1">IF(D13="NA","NA",D13*100)</f>
        <v>NA</v>
      </c>
      <c r="J13" s="224" t="str">
        <f t="shared" ca="1" si="3"/>
        <v>NA</v>
      </c>
      <c r="K13" s="224" t="str">
        <f t="shared" si="4"/>
        <v>NA</v>
      </c>
      <c r="L13" s="344">
        <f t="shared" ca="1" si="5"/>
        <v>0</v>
      </c>
    </row>
  </sheetData>
  <mergeCells count="4">
    <mergeCell ref="A2:A4"/>
    <mergeCell ref="G2:L2"/>
    <mergeCell ref="B2:F2"/>
    <mergeCell ref="F3:F4"/>
  </mergeCells>
  <phoneticPr fontId="13" type="noConversion"/>
  <pageMargins left="0.69930555555555596" right="0.69930555555555596" top="0.75" bottom="0.75" header="0.3" footer="0.3"/>
  <pageSetup paperSize="9" orientation="portrait"/>
  <ignoredErrors>
    <ignoredError sqref="I5 I6:I13 H5:H13" formula="1"/>
  </ignoredErrors>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C14"/>
  <sheetViews>
    <sheetView workbookViewId="0">
      <selection activeCell="L30" sqref="L30"/>
    </sheetView>
  </sheetViews>
  <sheetFormatPr defaultColWidth="6.6640625" defaultRowHeight="13.2"/>
  <cols>
    <col min="1" max="1" width="9.6640625" customWidth="1"/>
    <col min="2" max="28" width="8.6640625" customWidth="1"/>
    <col min="29" max="29" width="12.5546875" customWidth="1"/>
  </cols>
  <sheetData>
    <row r="1" spans="1:29" ht="13.8" thickBot="1"/>
    <row r="2" spans="1:29" s="66" customFormat="1" ht="39" customHeight="1">
      <c r="A2" s="278"/>
      <c r="B2" s="373" t="s">
        <v>193</v>
      </c>
      <c r="C2" s="374"/>
      <c r="D2" s="374"/>
      <c r="E2" s="375"/>
      <c r="F2" s="373" t="s">
        <v>211</v>
      </c>
      <c r="G2" s="383"/>
      <c r="H2" s="376" t="s">
        <v>109</v>
      </c>
      <c r="I2" s="378"/>
      <c r="J2" s="382" t="s">
        <v>0</v>
      </c>
      <c r="K2" s="382"/>
      <c r="L2" s="382"/>
      <c r="M2" s="382"/>
      <c r="N2" s="382"/>
      <c r="O2" s="382"/>
      <c r="P2" s="382"/>
      <c r="Q2" s="376" t="s">
        <v>120</v>
      </c>
      <c r="R2" s="374"/>
      <c r="S2" s="375"/>
      <c r="T2" s="373" t="s">
        <v>64</v>
      </c>
      <c r="U2" s="374"/>
      <c r="V2" s="384"/>
      <c r="W2" s="376" t="s">
        <v>2</v>
      </c>
      <c r="X2" s="377"/>
      <c r="Y2" s="377"/>
      <c r="Z2" s="378"/>
      <c r="AA2" s="211" t="s">
        <v>150</v>
      </c>
      <c r="AB2" s="214" t="s">
        <v>3</v>
      </c>
      <c r="AC2" s="379" t="s">
        <v>4</v>
      </c>
    </row>
    <row r="3" spans="1:29" ht="12.75" customHeight="1">
      <c r="A3" s="279" t="s">
        <v>277</v>
      </c>
      <c r="B3" s="48" t="s">
        <v>140</v>
      </c>
      <c r="C3" s="48" t="s">
        <v>224</v>
      </c>
      <c r="D3" s="48" t="s">
        <v>225</v>
      </c>
      <c r="E3" s="209" t="s">
        <v>226</v>
      </c>
      <c r="F3" s="48" t="s">
        <v>227</v>
      </c>
      <c r="G3" s="210" t="s">
        <v>228</v>
      </c>
      <c r="H3" s="46" t="s">
        <v>229</v>
      </c>
      <c r="I3" s="209" t="s">
        <v>230</v>
      </c>
      <c r="J3" s="48" t="s">
        <v>231</v>
      </c>
      <c r="K3" s="48" t="s">
        <v>232</v>
      </c>
      <c r="L3" s="48" t="s">
        <v>233</v>
      </c>
      <c r="M3" s="48" t="s">
        <v>234</v>
      </c>
      <c r="N3" s="48" t="s">
        <v>235</v>
      </c>
      <c r="O3" s="48" t="s">
        <v>236</v>
      </c>
      <c r="P3" s="210" t="s">
        <v>237</v>
      </c>
      <c r="Q3" s="46" t="s">
        <v>238</v>
      </c>
      <c r="R3" s="48" t="s">
        <v>239</v>
      </c>
      <c r="S3" s="209" t="s">
        <v>240</v>
      </c>
      <c r="T3" s="48" t="s">
        <v>241</v>
      </c>
      <c r="U3" s="48" t="s">
        <v>242</v>
      </c>
      <c r="V3" s="210" t="s">
        <v>243</v>
      </c>
      <c r="W3" s="46" t="s">
        <v>244</v>
      </c>
      <c r="X3" s="48" t="s">
        <v>245</v>
      </c>
      <c r="Y3" s="48" t="s">
        <v>246</v>
      </c>
      <c r="Z3" s="209" t="s">
        <v>247</v>
      </c>
      <c r="AA3" s="212" t="s">
        <v>248</v>
      </c>
      <c r="AB3" s="212" t="s">
        <v>249</v>
      </c>
      <c r="AC3" s="380"/>
    </row>
    <row r="4" spans="1:29" ht="53.25" customHeight="1" thickBot="1">
      <c r="A4" s="280"/>
      <c r="B4" s="281" t="s">
        <v>260</v>
      </c>
      <c r="C4" s="207" t="s">
        <v>195</v>
      </c>
      <c r="D4" s="207" t="s">
        <v>276</v>
      </c>
      <c r="E4" s="208" t="s">
        <v>261</v>
      </c>
      <c r="F4" s="195" t="s">
        <v>121</v>
      </c>
      <c r="G4" s="196" t="s">
        <v>124</v>
      </c>
      <c r="H4" s="193" t="s">
        <v>122</v>
      </c>
      <c r="I4" s="194" t="s">
        <v>125</v>
      </c>
      <c r="J4" s="195" t="s">
        <v>126</v>
      </c>
      <c r="K4" s="197" t="s">
        <v>123</v>
      </c>
      <c r="L4" s="197" t="s">
        <v>127</v>
      </c>
      <c r="M4" s="197" t="s">
        <v>128</v>
      </c>
      <c r="N4" s="198" t="s">
        <v>221</v>
      </c>
      <c r="O4" s="198" t="s">
        <v>222</v>
      </c>
      <c r="P4" s="216" t="s">
        <v>139</v>
      </c>
      <c r="Q4" s="193" t="s">
        <v>129</v>
      </c>
      <c r="R4" s="199" t="s">
        <v>130</v>
      </c>
      <c r="S4" s="194" t="s">
        <v>131</v>
      </c>
      <c r="T4" s="195" t="s">
        <v>132</v>
      </c>
      <c r="U4" s="199" t="s">
        <v>133</v>
      </c>
      <c r="V4" s="196" t="s">
        <v>134</v>
      </c>
      <c r="W4" s="193" t="s">
        <v>135</v>
      </c>
      <c r="X4" s="199" t="s">
        <v>136</v>
      </c>
      <c r="Y4" s="200" t="s">
        <v>137</v>
      </c>
      <c r="Z4" s="217" t="s">
        <v>138</v>
      </c>
      <c r="AA4" s="213" t="s">
        <v>223</v>
      </c>
      <c r="AB4" s="215" t="s">
        <v>146</v>
      </c>
      <c r="AC4" s="381"/>
    </row>
    <row r="5" spans="1:29">
      <c r="A5" s="282" t="s">
        <v>166</v>
      </c>
      <c r="B5" s="228">
        <f ca="1">IFERROR(基础度量项!F5/基础度量项!E5,"NA")</f>
        <v>0</v>
      </c>
      <c r="C5" s="225" t="str">
        <f ca="1">IF(B5&gt;=80%,"是","否")</f>
        <v>否</v>
      </c>
      <c r="D5" s="231" t="str">
        <f ca="1">IFERROR(基础度量项!F5/基础度量项!H5,"NA")</f>
        <v>NA</v>
      </c>
      <c r="E5" s="232" t="str">
        <f ca="1">IFERROR(基础度量项!H5/基础度量项!G5,"NA")</f>
        <v>NA</v>
      </c>
      <c r="F5" s="89" t="str">
        <f ca="1">IFERROR(基础度量项!J5/基础度量项!H5,"NA")</f>
        <v>NA</v>
      </c>
      <c r="G5" s="237" t="str">
        <f ca="1">IFERROR(基础度量项!K5/基础度量项!J5,"NA")</f>
        <v>NA</v>
      </c>
      <c r="H5" s="89" t="str">
        <f ca="1">IFERROR(基础度量项!L5/基础度量项!H5,"NA")</f>
        <v>NA</v>
      </c>
      <c r="I5" s="240" t="str">
        <f ca="1">IFERROR(基础度量项!M5/基础度量项!L5,"NA")</f>
        <v>NA</v>
      </c>
      <c r="J5" s="241" t="str">
        <f ca="1">IFERROR(基础度量项!Q5/基础度量项!P5,"NA")</f>
        <v>NA</v>
      </c>
      <c r="K5" s="90" t="str">
        <f ca="1">IFERROR(基础度量项!R5/基础度量项!H5,"NA")</f>
        <v>NA</v>
      </c>
      <c r="L5" s="246" t="str">
        <f ca="1">IFERROR(基础度量项!U5/基础度量项!R5,"NA")</f>
        <v>NA</v>
      </c>
      <c r="M5" s="246" t="str">
        <f ca="1">IFERROR(基础度量项!S5/基础度量项!R5,"NA")</f>
        <v>NA</v>
      </c>
      <c r="N5" s="246" t="str">
        <f ca="1">IFERROR(基础度量项!R5/(基础度量项!R5+基础度量项!T5),"NA")</f>
        <v>NA</v>
      </c>
      <c r="O5" s="246" t="str">
        <f ca="1">IFERROR(基础度量项!R5/基础度量项!O5,"NA")</f>
        <v>NA</v>
      </c>
      <c r="P5" s="237" t="str">
        <f ca="1">IFERROR(基础度量项!R5/基础度量项!AM5,"NA")</f>
        <v>NA</v>
      </c>
      <c r="Q5" s="89" t="str">
        <f ca="1">IFERROR(基础度量项!W5/基础度量项!H5,"NA")</f>
        <v>NA</v>
      </c>
      <c r="R5" s="246" t="str">
        <f ca="1">IFERROR(基础度量项!Y5/基础度量项!W5,"NA")</f>
        <v>NA</v>
      </c>
      <c r="S5" s="240" t="str">
        <f ca="1">IFERROR(基础度量项!X5/基础度量项!W5,"NA")</f>
        <v>NA</v>
      </c>
      <c r="T5" s="103" t="str">
        <f ca="1">IFERROR(基础度量项!AA5/基础度量项!H5,"NA")</f>
        <v>NA</v>
      </c>
      <c r="U5" s="246" t="str">
        <f ca="1">IFERROR(基础度量项!AC5/基础度量项!AA5,"NA")</f>
        <v>NA</v>
      </c>
      <c r="V5" s="237" t="str">
        <f ca="1">IFERROR(基础度量项!AB5/基础度量项!AA5,"NA")</f>
        <v>NA</v>
      </c>
      <c r="W5" s="249" t="str">
        <f ca="1">IFERROR(基础度量项!AE5/基础度量项!AM5,"NA")</f>
        <v>NA</v>
      </c>
      <c r="X5" s="250" t="str">
        <f ca="1">IFERROR(基础度量项!AG5/基础度量项!AM5,"NA")</f>
        <v>NA</v>
      </c>
      <c r="Y5" s="250" t="str">
        <f ca="1">IFERROR(基础度量项!AI5/基础度量项!AM5,"NA")</f>
        <v>NA</v>
      </c>
      <c r="Z5" s="251" t="str">
        <f ca="1">IFERROR(基础度量项!AK5/基础度量项!AM5,"NA")</f>
        <v>NA</v>
      </c>
      <c r="AA5" s="252" t="str">
        <f ca="1">IFERROR(基础度量项!I5/基础度量项!G5,"NA")</f>
        <v>NA</v>
      </c>
      <c r="AB5" s="253">
        <f>IFERROR(1-基础度量项!AO5/基础度量项!AN5,"NA")</f>
        <v>0.76923076923076916</v>
      </c>
      <c r="AC5" s="276"/>
    </row>
    <row r="6" spans="1:29" ht="14.4">
      <c r="A6" s="111" t="s">
        <v>167</v>
      </c>
      <c r="B6" s="229">
        <f ca="1">IFERROR(基础度量项!F6/基础度量项!E6,"NA")</f>
        <v>0.94017094017094016</v>
      </c>
      <c r="C6" s="358" t="s">
        <v>1336</v>
      </c>
      <c r="D6" s="233">
        <f ca="1">IFERROR(基础度量项!F6/基础度量项!H6,"NA")</f>
        <v>0.21823231822239858</v>
      </c>
      <c r="E6" s="234">
        <f ca="1">IFERROR(基础度量项!H6/基础度量项!G6,"NA")</f>
        <v>0.77815515245079125</v>
      </c>
      <c r="F6" s="201">
        <f ca="1">IFERROR(基础度量项!J6/基础度量项!H6,"NA")</f>
        <v>0</v>
      </c>
      <c r="G6" s="238" t="str">
        <f ca="1">IFERROR(基础度量项!K6/基础度量项!J6,"NA")</f>
        <v>NA</v>
      </c>
      <c r="H6" s="201">
        <f ca="1">IFERROR(基础度量项!L6/基础度量项!H6,"NA")</f>
        <v>0</v>
      </c>
      <c r="I6" s="242" t="str">
        <f ca="1">IFERROR(基础度量项!M6/基础度量项!L6,"NA")</f>
        <v>NA</v>
      </c>
      <c r="J6" s="243" t="str">
        <f ca="1">IFERROR(基础度量项!Q6/基础度量项!P6,"NA")</f>
        <v>NA</v>
      </c>
      <c r="K6" s="203">
        <f ca="1">IFERROR(基础度量项!R6/基础度量项!H6,"NA")</f>
        <v>0.32734847733359784</v>
      </c>
      <c r="L6" s="247">
        <f ca="1">IFERROR(基础度量项!U6/基础度量项!R6,"NA")</f>
        <v>0.32727272727272727</v>
      </c>
      <c r="M6" s="247">
        <f ca="1">IFERROR(基础度量项!S6/基础度量项!R6,"NA")</f>
        <v>0.31515151515151513</v>
      </c>
      <c r="N6" s="247">
        <f ca="1">IFERROR(基础度量项!R6/(基础度量项!R6+基础度量项!T6),"NA")</f>
        <v>0.89673913043478259</v>
      </c>
      <c r="O6" s="247" t="str">
        <f ca="1">IFERROR(基础度量项!R6/基础度量项!O6,"NA")</f>
        <v>NA</v>
      </c>
      <c r="P6" s="238">
        <f ca="1">IFERROR(基础度量项!R6/基础度量项!AM6,"NA")</f>
        <v>1</v>
      </c>
      <c r="Q6" s="201">
        <f ca="1">IFERROR(基础度量项!W6/基础度量项!H6,"NA")</f>
        <v>0</v>
      </c>
      <c r="R6" s="247" t="str">
        <f ca="1">IFERROR(基础度量项!Y6/基础度量项!W6,"NA")</f>
        <v>NA</v>
      </c>
      <c r="S6" s="242" t="str">
        <f ca="1">IFERROR(基础度量项!X6/基础度量项!W6,"NA")</f>
        <v>NA</v>
      </c>
      <c r="T6" s="202">
        <f ca="1">IFERROR(基础度量项!AA6/基础度量项!H6,"NA")</f>
        <v>0</v>
      </c>
      <c r="U6" s="247" t="str">
        <f ca="1">IFERROR(基础度量项!AC6/基础度量项!AA6,"NA")</f>
        <v>NA</v>
      </c>
      <c r="V6" s="238" t="str">
        <f ca="1">IFERROR(基础度量项!AB6/基础度量项!AA6,"NA")</f>
        <v>NA</v>
      </c>
      <c r="W6" s="254">
        <f ca="1">IFERROR(基础度量项!AE6/基础度量项!AM6,"NA")</f>
        <v>0</v>
      </c>
      <c r="X6" s="255">
        <f ca="1">IFERROR(基础度量项!AG6/基础度量项!AM6,"NA")</f>
        <v>0</v>
      </c>
      <c r="Y6" s="255">
        <f ca="1">IFERROR(基础度量项!AI6/基础度量项!AM6,"NA")</f>
        <v>1</v>
      </c>
      <c r="Z6" s="256">
        <f ca="1">IFERROR(基础度量项!AK6/基础度量项!AM6,"NA")</f>
        <v>0</v>
      </c>
      <c r="AA6" s="257">
        <f ca="1">IFERROR(基础度量项!I6/基础度量项!G6,"NA")</f>
        <v>-0.22184484754920877</v>
      </c>
      <c r="AB6" s="258">
        <f>IFERROR(1-基础度量项!AO6/基础度量项!AN6,"NA")</f>
        <v>1</v>
      </c>
      <c r="AC6" s="51"/>
    </row>
    <row r="7" spans="1:29" ht="14.4">
      <c r="A7" s="111" t="s">
        <v>168</v>
      </c>
      <c r="B7" s="229" t="str">
        <f ca="1">IFERROR(基础度量项!F7/基础度量项!E7,"NA")</f>
        <v>NA</v>
      </c>
      <c r="C7" s="226" t="str">
        <f t="shared" ref="C7:C13" ca="1" si="0">IF(B7&gt;=80%,"是","否")</f>
        <v>是</v>
      </c>
      <c r="D7" s="233" t="str">
        <f ca="1">IFERROR(基础度量项!F7/基础度量项!H7,"NA")</f>
        <v>NA</v>
      </c>
      <c r="E7" s="234" t="str">
        <f ca="1">IFERROR(基础度量项!H7/基础度量项!G7,"NA")</f>
        <v>NA</v>
      </c>
      <c r="F7" s="201" t="str">
        <f ca="1">IFERROR(基础度量项!J7/基础度量项!H7,"NA")</f>
        <v>NA</v>
      </c>
      <c r="G7" s="238" t="str">
        <f ca="1">IFERROR(基础度量项!K7/基础度量项!J7,"NA")</f>
        <v>NA</v>
      </c>
      <c r="H7" s="201" t="str">
        <f ca="1">IFERROR(基础度量项!L7/基础度量项!H7,"NA")</f>
        <v>NA</v>
      </c>
      <c r="I7" s="242" t="str">
        <f ca="1">IFERROR(基础度量项!M7/基础度量项!L7,"NA")</f>
        <v>NA</v>
      </c>
      <c r="J7" s="243" t="str">
        <f ca="1">IFERROR(基础度量项!Q7/基础度量项!P7,"NA")</f>
        <v>NA</v>
      </c>
      <c r="K7" s="203" t="str">
        <f ca="1">IFERROR(基础度量项!R7/基础度量项!H7,"NA")</f>
        <v>NA</v>
      </c>
      <c r="L7" s="247" t="str">
        <f ca="1">IFERROR(基础度量项!U7/基础度量项!R7,"NA")</f>
        <v>NA</v>
      </c>
      <c r="M7" s="247" t="str">
        <f ca="1">IFERROR(基础度量项!S7/基础度量项!R7,"NA")</f>
        <v>NA</v>
      </c>
      <c r="N7" s="247" t="str">
        <f ca="1">IFERROR(基础度量项!R7/(基础度量项!R7+基础度量项!T7),"NA")</f>
        <v>NA</v>
      </c>
      <c r="O7" s="247" t="str">
        <f ca="1">IFERROR(基础度量项!R7/基础度量项!O7,"NA")</f>
        <v>NA</v>
      </c>
      <c r="P7" s="238" t="str">
        <f ca="1">IFERROR(基础度量项!R7/基础度量项!AM7,"NA")</f>
        <v>NA</v>
      </c>
      <c r="Q7" s="201" t="str">
        <f ca="1">IFERROR(基础度量项!W7/基础度量项!H7,"NA")</f>
        <v>NA</v>
      </c>
      <c r="R7" s="247" t="str">
        <f ca="1">IFERROR(基础度量项!Y7/基础度量项!W7,"NA")</f>
        <v>NA</v>
      </c>
      <c r="S7" s="242" t="str">
        <f ca="1">IFERROR(基础度量项!X7/基础度量项!W7,"NA")</f>
        <v>NA</v>
      </c>
      <c r="T7" s="202" t="str">
        <f ca="1">IFERROR(基础度量项!AA7/基础度量项!H7,"NA")</f>
        <v>NA</v>
      </c>
      <c r="U7" s="247" t="str">
        <f ca="1">IFERROR(基础度量项!AC7/基础度量项!AA7,"NA")</f>
        <v>NA</v>
      </c>
      <c r="V7" s="238" t="str">
        <f ca="1">IFERROR(基础度量项!AB7/基础度量项!AA7,"NA")</f>
        <v>NA</v>
      </c>
      <c r="W7" s="254" t="str">
        <f ca="1">IFERROR(基础度量项!AE7/基础度量项!AM7,"NA")</f>
        <v>NA</v>
      </c>
      <c r="X7" s="255" t="str">
        <f ca="1">IFERROR(基础度量项!AG7/基础度量项!AM7,"NA")</f>
        <v>NA</v>
      </c>
      <c r="Y7" s="255" t="str">
        <f ca="1">IFERROR(基础度量项!AI7/基础度量项!AM7,"NA")</f>
        <v>NA</v>
      </c>
      <c r="Z7" s="256" t="str">
        <f ca="1">IFERROR(基础度量项!AK7/基础度量项!AM7,"NA")</f>
        <v>NA</v>
      </c>
      <c r="AA7" s="257" t="str">
        <f ca="1">IFERROR(基础度量项!I7/基础度量项!G7,"NA")</f>
        <v>NA</v>
      </c>
      <c r="AB7" s="258" t="str">
        <f>IFERROR(1-基础度量项!AO7/基础度量项!AN7,"NA")</f>
        <v>NA</v>
      </c>
      <c r="AC7" s="51"/>
    </row>
    <row r="8" spans="1:29" ht="14.4">
      <c r="A8" s="111" t="s">
        <v>169</v>
      </c>
      <c r="B8" s="229" t="str">
        <f ca="1">IFERROR(基础度量项!F8/基础度量项!E8,"NA")</f>
        <v>NA</v>
      </c>
      <c r="C8" s="226" t="str">
        <f t="shared" ca="1" si="0"/>
        <v>是</v>
      </c>
      <c r="D8" s="233" t="str">
        <f ca="1">IFERROR(基础度量项!F8/基础度量项!H8,"NA")</f>
        <v>NA</v>
      </c>
      <c r="E8" s="234" t="str">
        <f ca="1">IFERROR(基础度量项!H8/基础度量项!G8,"NA")</f>
        <v>NA</v>
      </c>
      <c r="F8" s="201" t="str">
        <f ca="1">IFERROR(基础度量项!J8/基础度量项!H8,"NA")</f>
        <v>NA</v>
      </c>
      <c r="G8" s="238" t="str">
        <f ca="1">IFERROR(基础度量项!K8/基础度量项!J8,"NA")</f>
        <v>NA</v>
      </c>
      <c r="H8" s="201" t="str">
        <f ca="1">IFERROR(基础度量项!L8/基础度量项!H8,"NA")</f>
        <v>NA</v>
      </c>
      <c r="I8" s="242" t="str">
        <f ca="1">IFERROR(基础度量项!M8/基础度量项!L8,"NA")</f>
        <v>NA</v>
      </c>
      <c r="J8" s="243" t="str">
        <f ca="1">IFERROR(基础度量项!Q8/基础度量项!P8,"NA")</f>
        <v>NA</v>
      </c>
      <c r="K8" s="203" t="str">
        <f ca="1">IFERROR(基础度量项!R8/基础度量项!H8,"NA")</f>
        <v>NA</v>
      </c>
      <c r="L8" s="247" t="str">
        <f ca="1">IFERROR(基础度量项!U8/基础度量项!R8,"NA")</f>
        <v>NA</v>
      </c>
      <c r="M8" s="247" t="str">
        <f ca="1">IFERROR(基础度量项!S8/基础度量项!R8,"NA")</f>
        <v>NA</v>
      </c>
      <c r="N8" s="247" t="str">
        <f ca="1">IFERROR(基础度量项!R8/(基础度量项!R8+基础度量项!T8),"NA")</f>
        <v>NA</v>
      </c>
      <c r="O8" s="247" t="str">
        <f ca="1">IFERROR(基础度量项!R8/基础度量项!O8,"NA")</f>
        <v>NA</v>
      </c>
      <c r="P8" s="238" t="str">
        <f ca="1">IFERROR(基础度量项!R8/基础度量项!AM8,"NA")</f>
        <v>NA</v>
      </c>
      <c r="Q8" s="201" t="str">
        <f ca="1">IFERROR(基础度量项!W8/基础度量项!H8,"NA")</f>
        <v>NA</v>
      </c>
      <c r="R8" s="247" t="str">
        <f ca="1">IFERROR(基础度量项!Y8/基础度量项!W8,"NA")</f>
        <v>NA</v>
      </c>
      <c r="S8" s="242" t="str">
        <f ca="1">IFERROR(基础度量项!X8/基础度量项!W8,"NA")</f>
        <v>NA</v>
      </c>
      <c r="T8" s="202" t="str">
        <f ca="1">IFERROR(基础度量项!AA8/基础度量项!H8,"NA")</f>
        <v>NA</v>
      </c>
      <c r="U8" s="247" t="str">
        <f ca="1">IFERROR(基础度量项!AC8/基础度量项!AA8,"NA")</f>
        <v>NA</v>
      </c>
      <c r="V8" s="238" t="str">
        <f ca="1">IFERROR(基础度量项!AB8/基础度量项!AA8,"NA")</f>
        <v>NA</v>
      </c>
      <c r="W8" s="254" t="str">
        <f ca="1">IFERROR(基础度量项!AE8/基础度量项!AM8,"NA")</f>
        <v>NA</v>
      </c>
      <c r="X8" s="255" t="str">
        <f ca="1">IFERROR(基础度量项!AG8/基础度量项!AM8,"NA")</f>
        <v>NA</v>
      </c>
      <c r="Y8" s="255" t="str">
        <f ca="1">IFERROR(基础度量项!AI8/基础度量项!AM8,"NA")</f>
        <v>NA</v>
      </c>
      <c r="Z8" s="256" t="str">
        <f ca="1">IFERROR(基础度量项!AK8/基础度量项!AM8,"NA")</f>
        <v>NA</v>
      </c>
      <c r="AA8" s="257" t="str">
        <f ca="1">IFERROR(基础度量项!I8/基础度量项!G8,"NA")</f>
        <v>NA</v>
      </c>
      <c r="AB8" s="258" t="str">
        <f>IFERROR(1-基础度量项!AO8/基础度量项!AN8,"NA")</f>
        <v>NA</v>
      </c>
      <c r="AC8" s="51"/>
    </row>
    <row r="9" spans="1:29" ht="14.4">
      <c r="A9" s="111" t="s">
        <v>170</v>
      </c>
      <c r="B9" s="229" t="str">
        <f ca="1">IFERROR(基础度量项!F9/基础度量项!E9,"NA")</f>
        <v>NA</v>
      </c>
      <c r="C9" s="226" t="str">
        <f t="shared" ca="1" si="0"/>
        <v>是</v>
      </c>
      <c r="D9" s="233" t="str">
        <f ca="1">IFERROR(基础度量项!F9/基础度量项!H9,"NA")</f>
        <v>NA</v>
      </c>
      <c r="E9" s="234" t="str">
        <f ca="1">IFERROR(基础度量项!H9/基础度量项!G9,"NA")</f>
        <v>NA</v>
      </c>
      <c r="F9" s="201" t="str">
        <f ca="1">IFERROR(基础度量项!J9/基础度量项!H9,"NA")</f>
        <v>NA</v>
      </c>
      <c r="G9" s="238" t="str">
        <f ca="1">IFERROR(基础度量项!K9/基础度量项!J9,"NA")</f>
        <v>NA</v>
      </c>
      <c r="H9" s="201" t="str">
        <f ca="1">IFERROR(基础度量项!L9/基础度量项!H9,"NA")</f>
        <v>NA</v>
      </c>
      <c r="I9" s="242" t="str">
        <f ca="1">IFERROR(基础度量项!M9/基础度量项!L9,"NA")</f>
        <v>NA</v>
      </c>
      <c r="J9" s="243" t="str">
        <f ca="1">IFERROR(基础度量项!Q9/基础度量项!P9,"NA")</f>
        <v>NA</v>
      </c>
      <c r="K9" s="203" t="str">
        <f ca="1">IFERROR(基础度量项!R9/基础度量项!H9,"NA")</f>
        <v>NA</v>
      </c>
      <c r="L9" s="247" t="str">
        <f ca="1">IFERROR(基础度量项!U9/基础度量项!R9,"NA")</f>
        <v>NA</v>
      </c>
      <c r="M9" s="247" t="str">
        <f ca="1">IFERROR(基础度量项!S9/基础度量项!R9,"NA")</f>
        <v>NA</v>
      </c>
      <c r="N9" s="247" t="str">
        <f ca="1">IFERROR(基础度量项!R9/(基础度量项!R9+基础度量项!T9),"NA")</f>
        <v>NA</v>
      </c>
      <c r="O9" s="247" t="str">
        <f ca="1">IFERROR(基础度量项!R9/基础度量项!O9,"NA")</f>
        <v>NA</v>
      </c>
      <c r="P9" s="238" t="str">
        <f ca="1">IFERROR(基础度量项!R9/基础度量项!AM9,"NA")</f>
        <v>NA</v>
      </c>
      <c r="Q9" s="201" t="str">
        <f ca="1">IFERROR(基础度量项!W9/基础度量项!H9,"NA")</f>
        <v>NA</v>
      </c>
      <c r="R9" s="247" t="str">
        <f ca="1">IFERROR(基础度量项!Y9/基础度量项!W9,"NA")</f>
        <v>NA</v>
      </c>
      <c r="S9" s="242" t="str">
        <f ca="1">IFERROR(基础度量项!X9/基础度量项!W9,"NA")</f>
        <v>NA</v>
      </c>
      <c r="T9" s="202" t="str">
        <f ca="1">IFERROR(基础度量项!AA9/基础度量项!H9,"NA")</f>
        <v>NA</v>
      </c>
      <c r="U9" s="247" t="str">
        <f ca="1">IFERROR(基础度量项!AC9/基础度量项!AA9,"NA")</f>
        <v>NA</v>
      </c>
      <c r="V9" s="238" t="str">
        <f ca="1">IFERROR(基础度量项!AB9/基础度量项!AA9,"NA")</f>
        <v>NA</v>
      </c>
      <c r="W9" s="254" t="str">
        <f ca="1">IFERROR(基础度量项!AE9/基础度量项!AM9,"NA")</f>
        <v>NA</v>
      </c>
      <c r="X9" s="255" t="str">
        <f ca="1">IFERROR(基础度量项!AG9/基础度量项!AM9,"NA")</f>
        <v>NA</v>
      </c>
      <c r="Y9" s="255" t="str">
        <f ca="1">IFERROR(基础度量项!AI9/基础度量项!AM9,"NA")</f>
        <v>NA</v>
      </c>
      <c r="Z9" s="256" t="str">
        <f ca="1">IFERROR(基础度量项!AK9/基础度量项!AM9,"NA")</f>
        <v>NA</v>
      </c>
      <c r="AA9" s="257" t="str">
        <f ca="1">IFERROR(基础度量项!I9/基础度量项!G9,"NA")</f>
        <v>NA</v>
      </c>
      <c r="AB9" s="258" t="str">
        <f>IFERROR(1-基础度量项!AO9/基础度量项!AN9,"NA")</f>
        <v>NA</v>
      </c>
      <c r="AC9" s="51"/>
    </row>
    <row r="10" spans="1:29" ht="14.4">
      <c r="A10" s="111" t="s">
        <v>171</v>
      </c>
      <c r="B10" s="229" t="str">
        <f ca="1">IFERROR(基础度量项!F10/基础度量项!E10,"NA")</f>
        <v>NA</v>
      </c>
      <c r="C10" s="226" t="str">
        <f t="shared" ca="1" si="0"/>
        <v>是</v>
      </c>
      <c r="D10" s="233" t="str">
        <f ca="1">IFERROR(基础度量项!F10/基础度量项!H10,"NA")</f>
        <v>NA</v>
      </c>
      <c r="E10" s="234" t="str">
        <f ca="1">IFERROR(基础度量项!H10/基础度量项!G10,"NA")</f>
        <v>NA</v>
      </c>
      <c r="F10" s="201" t="str">
        <f ca="1">IFERROR(基础度量项!J10/基础度量项!H10,"NA")</f>
        <v>NA</v>
      </c>
      <c r="G10" s="238" t="str">
        <f ca="1">IFERROR(基础度量项!K10/基础度量项!J10,"NA")</f>
        <v>NA</v>
      </c>
      <c r="H10" s="201" t="str">
        <f ca="1">IFERROR(基础度量项!L10/基础度量项!H10,"NA")</f>
        <v>NA</v>
      </c>
      <c r="I10" s="242" t="str">
        <f ca="1">IFERROR(基础度量项!M10/基础度量项!L10,"NA")</f>
        <v>NA</v>
      </c>
      <c r="J10" s="243" t="str">
        <f ca="1">IFERROR(基础度量项!Q10/基础度量项!P10,"NA")</f>
        <v>NA</v>
      </c>
      <c r="K10" s="203" t="str">
        <f ca="1">IFERROR(基础度量项!R10/基础度量项!H10,"NA")</f>
        <v>NA</v>
      </c>
      <c r="L10" s="247" t="str">
        <f ca="1">IFERROR(基础度量项!U10/基础度量项!R10,"NA")</f>
        <v>NA</v>
      </c>
      <c r="M10" s="247" t="str">
        <f ca="1">IFERROR(基础度量项!S10/基础度量项!R10,"NA")</f>
        <v>NA</v>
      </c>
      <c r="N10" s="247" t="str">
        <f ca="1">IFERROR(基础度量项!R10/(基础度量项!R10+基础度量项!T10),"NA")</f>
        <v>NA</v>
      </c>
      <c r="O10" s="247" t="str">
        <f ca="1">IFERROR(基础度量项!R10/基础度量项!O10,"NA")</f>
        <v>NA</v>
      </c>
      <c r="P10" s="238" t="str">
        <f ca="1">IFERROR(基础度量项!R10/基础度量项!AM10,"NA")</f>
        <v>NA</v>
      </c>
      <c r="Q10" s="201" t="str">
        <f ca="1">IFERROR(基础度量项!W10/基础度量项!H10,"NA")</f>
        <v>NA</v>
      </c>
      <c r="R10" s="247" t="str">
        <f ca="1">IFERROR(基础度量项!Y10/基础度量项!W10,"NA")</f>
        <v>NA</v>
      </c>
      <c r="S10" s="242" t="str">
        <f ca="1">IFERROR(基础度量项!X10/基础度量项!W10,"NA")</f>
        <v>NA</v>
      </c>
      <c r="T10" s="202" t="str">
        <f ca="1">IFERROR(基础度量项!AA10/基础度量项!H10,"NA")</f>
        <v>NA</v>
      </c>
      <c r="U10" s="247" t="str">
        <f ca="1">IFERROR(基础度量项!AC10/基础度量项!AA10,"NA")</f>
        <v>NA</v>
      </c>
      <c r="V10" s="238" t="str">
        <f ca="1">IFERROR(基础度量项!AB10/基础度量项!AA10,"NA")</f>
        <v>NA</v>
      </c>
      <c r="W10" s="254" t="str">
        <f ca="1">IFERROR(基础度量项!AE10/基础度量项!AM10,"NA")</f>
        <v>NA</v>
      </c>
      <c r="X10" s="255" t="str">
        <f ca="1">IFERROR(基础度量项!AG10/基础度量项!AM10,"NA")</f>
        <v>NA</v>
      </c>
      <c r="Y10" s="255" t="str">
        <f ca="1">IFERROR(基础度量项!AI10/基础度量项!AM10,"NA")</f>
        <v>NA</v>
      </c>
      <c r="Z10" s="256" t="str">
        <f ca="1">IFERROR(基础度量项!AK10/基础度量项!AM10,"NA")</f>
        <v>NA</v>
      </c>
      <c r="AA10" s="257" t="str">
        <f ca="1">IFERROR(基础度量项!I10/基础度量项!G10,"NA")</f>
        <v>NA</v>
      </c>
      <c r="AB10" s="258" t="str">
        <f>IFERROR(1-基础度量项!AO10/基础度量项!AN10,"NA")</f>
        <v>NA</v>
      </c>
      <c r="AC10" s="51"/>
    </row>
    <row r="11" spans="1:29" ht="14.4">
      <c r="A11" s="111" t="s">
        <v>172</v>
      </c>
      <c r="B11" s="229" t="str">
        <f ca="1">IFERROR(基础度量项!F11/基础度量项!E11,"NA")</f>
        <v>NA</v>
      </c>
      <c r="C11" s="226" t="str">
        <f t="shared" ca="1" si="0"/>
        <v>是</v>
      </c>
      <c r="D11" s="233" t="str">
        <f ca="1">IFERROR(基础度量项!F11/基础度量项!H11,"NA")</f>
        <v>NA</v>
      </c>
      <c r="E11" s="234" t="str">
        <f ca="1">IFERROR(基础度量项!H11/基础度量项!G11,"NA")</f>
        <v>NA</v>
      </c>
      <c r="F11" s="201" t="str">
        <f ca="1">IFERROR(基础度量项!J11/基础度量项!H11,"NA")</f>
        <v>NA</v>
      </c>
      <c r="G11" s="238" t="str">
        <f ca="1">IFERROR(基础度量项!K11/基础度量项!J11,"NA")</f>
        <v>NA</v>
      </c>
      <c r="H11" s="201" t="str">
        <f ca="1">IFERROR(基础度量项!L11/基础度量项!H11,"NA")</f>
        <v>NA</v>
      </c>
      <c r="I11" s="242" t="str">
        <f ca="1">IFERROR(基础度量项!M11/基础度量项!L11,"NA")</f>
        <v>NA</v>
      </c>
      <c r="J11" s="243" t="str">
        <f ca="1">IFERROR(基础度量项!Q11/基础度量项!P11,"NA")</f>
        <v>NA</v>
      </c>
      <c r="K11" s="203" t="str">
        <f ca="1">IFERROR(基础度量项!R11/基础度量项!H11,"NA")</f>
        <v>NA</v>
      </c>
      <c r="L11" s="247" t="str">
        <f ca="1">IFERROR(基础度量项!U11/基础度量项!R11,"NA")</f>
        <v>NA</v>
      </c>
      <c r="M11" s="247" t="str">
        <f ca="1">IFERROR(基础度量项!S11/基础度量项!R11,"NA")</f>
        <v>NA</v>
      </c>
      <c r="N11" s="247" t="str">
        <f ca="1">IFERROR(基础度量项!R11/(基础度量项!R11+基础度量项!T11),"NA")</f>
        <v>NA</v>
      </c>
      <c r="O11" s="247" t="str">
        <f ca="1">IFERROR(基础度量项!R11/基础度量项!O11,"NA")</f>
        <v>NA</v>
      </c>
      <c r="P11" s="238" t="str">
        <f ca="1">IFERROR(基础度量项!R11/基础度量项!AM11,"NA")</f>
        <v>NA</v>
      </c>
      <c r="Q11" s="201" t="str">
        <f ca="1">IFERROR(基础度量项!W11/基础度量项!H11,"NA")</f>
        <v>NA</v>
      </c>
      <c r="R11" s="247" t="str">
        <f ca="1">IFERROR(基础度量项!Y11/基础度量项!W11,"NA")</f>
        <v>NA</v>
      </c>
      <c r="S11" s="242" t="str">
        <f ca="1">IFERROR(基础度量项!X11/基础度量项!W11,"NA")</f>
        <v>NA</v>
      </c>
      <c r="T11" s="202" t="str">
        <f ca="1">IFERROR(基础度量项!AA11/基础度量项!H11,"NA")</f>
        <v>NA</v>
      </c>
      <c r="U11" s="247" t="str">
        <f ca="1">IFERROR(基础度量项!AC11/基础度量项!AA11,"NA")</f>
        <v>NA</v>
      </c>
      <c r="V11" s="238" t="str">
        <f ca="1">IFERROR(基础度量项!AB11/基础度量项!AA11,"NA")</f>
        <v>NA</v>
      </c>
      <c r="W11" s="254" t="str">
        <f ca="1">IFERROR(基础度量项!AE11/基础度量项!AM11,"NA")</f>
        <v>NA</v>
      </c>
      <c r="X11" s="255" t="str">
        <f ca="1">IFERROR(基础度量项!AG11/基础度量项!AM11,"NA")</f>
        <v>NA</v>
      </c>
      <c r="Y11" s="255" t="str">
        <f ca="1">IFERROR(基础度量项!AI11/基础度量项!AM11,"NA")</f>
        <v>NA</v>
      </c>
      <c r="Z11" s="256" t="str">
        <f ca="1">IFERROR(基础度量项!AK11/基础度量项!AM11,"NA")</f>
        <v>NA</v>
      </c>
      <c r="AA11" s="257" t="str">
        <f ca="1">IFERROR(基础度量项!I11/基础度量项!G11,"NA")</f>
        <v>NA</v>
      </c>
      <c r="AB11" s="258" t="str">
        <f>IFERROR(1-基础度量项!AO11/基础度量项!AN11,"NA")</f>
        <v>NA</v>
      </c>
      <c r="AC11" s="51"/>
    </row>
    <row r="12" spans="1:29" ht="14.4">
      <c r="A12" s="111" t="s">
        <v>173</v>
      </c>
      <c r="B12" s="229" t="str">
        <f ca="1">IFERROR(基础度量项!F12/基础度量项!E12,"NA")</f>
        <v>NA</v>
      </c>
      <c r="C12" s="226" t="str">
        <f t="shared" ca="1" si="0"/>
        <v>是</v>
      </c>
      <c r="D12" s="233" t="str">
        <f ca="1">IFERROR(基础度量项!F12/基础度量项!H12,"NA")</f>
        <v>NA</v>
      </c>
      <c r="E12" s="234" t="str">
        <f ca="1">IFERROR(基础度量项!H12/基础度量项!G12,"NA")</f>
        <v>NA</v>
      </c>
      <c r="F12" s="201" t="str">
        <f ca="1">IFERROR(基础度量项!J12/基础度量项!H12,"NA")</f>
        <v>NA</v>
      </c>
      <c r="G12" s="238" t="str">
        <f ca="1">IFERROR(基础度量项!K12/基础度量项!J12,"NA")</f>
        <v>NA</v>
      </c>
      <c r="H12" s="201" t="str">
        <f ca="1">IFERROR(基础度量项!L12/基础度量项!H12,"NA")</f>
        <v>NA</v>
      </c>
      <c r="I12" s="242" t="str">
        <f ca="1">IFERROR(基础度量项!M12/基础度量项!L12,"NA")</f>
        <v>NA</v>
      </c>
      <c r="J12" s="243" t="str">
        <f ca="1">IFERROR(基础度量项!Q12/基础度量项!P12,"NA")</f>
        <v>NA</v>
      </c>
      <c r="K12" s="203" t="str">
        <f ca="1">IFERROR(基础度量项!R12/基础度量项!H12,"NA")</f>
        <v>NA</v>
      </c>
      <c r="L12" s="247" t="str">
        <f ca="1">IFERROR(基础度量项!U12/基础度量项!R12,"NA")</f>
        <v>NA</v>
      </c>
      <c r="M12" s="247" t="str">
        <f ca="1">IFERROR(基础度量项!S12/基础度量项!R12,"NA")</f>
        <v>NA</v>
      </c>
      <c r="N12" s="247" t="str">
        <f ca="1">IFERROR(基础度量项!R12/(基础度量项!R12+基础度量项!T12),"NA")</f>
        <v>NA</v>
      </c>
      <c r="O12" s="247" t="str">
        <f ca="1">IFERROR(基础度量项!R12/基础度量项!O12,"NA")</f>
        <v>NA</v>
      </c>
      <c r="P12" s="238" t="str">
        <f ca="1">IFERROR(基础度量项!R12/基础度量项!AM12,"NA")</f>
        <v>NA</v>
      </c>
      <c r="Q12" s="201" t="str">
        <f ca="1">IFERROR(基础度量项!W12/基础度量项!H12,"NA")</f>
        <v>NA</v>
      </c>
      <c r="R12" s="247" t="str">
        <f ca="1">IFERROR(基础度量项!Y12/基础度量项!W12,"NA")</f>
        <v>NA</v>
      </c>
      <c r="S12" s="242" t="str">
        <f ca="1">IFERROR(基础度量项!X12/基础度量项!W12,"NA")</f>
        <v>NA</v>
      </c>
      <c r="T12" s="202" t="str">
        <f ca="1">IFERROR(基础度量项!AA12/基础度量项!H12,"NA")</f>
        <v>NA</v>
      </c>
      <c r="U12" s="247" t="str">
        <f ca="1">IFERROR(基础度量项!AC12/基础度量项!AA12,"NA")</f>
        <v>NA</v>
      </c>
      <c r="V12" s="238" t="str">
        <f ca="1">IFERROR(基础度量项!AB12/基础度量项!AA12,"NA")</f>
        <v>NA</v>
      </c>
      <c r="W12" s="254" t="str">
        <f ca="1">IFERROR(基础度量项!AE12/基础度量项!AM12,"NA")</f>
        <v>NA</v>
      </c>
      <c r="X12" s="255" t="str">
        <f ca="1">IFERROR(基础度量项!AG12/基础度量项!AM12,"NA")</f>
        <v>NA</v>
      </c>
      <c r="Y12" s="255" t="str">
        <f ca="1">IFERROR(基础度量项!AI12/基础度量项!AM12,"NA")</f>
        <v>NA</v>
      </c>
      <c r="Z12" s="256" t="str">
        <f ca="1">IFERROR(基础度量项!AK12/基础度量项!AM12,"NA")</f>
        <v>NA</v>
      </c>
      <c r="AA12" s="257" t="str">
        <f ca="1">IFERROR(基础度量项!I12/基础度量项!G12,"NA")</f>
        <v>NA</v>
      </c>
      <c r="AB12" s="258" t="str">
        <f>IFERROR(1-基础度量项!AO12/基础度量项!AN12,"NA")</f>
        <v>NA</v>
      </c>
      <c r="AC12" s="51"/>
    </row>
    <row r="13" spans="1:29" ht="15" thickBot="1">
      <c r="A13" s="112" t="s">
        <v>174</v>
      </c>
      <c r="B13" s="230" t="str">
        <f ca="1">IFERROR(基础度量项!F13/基础度量项!E13,"NA")</f>
        <v>NA</v>
      </c>
      <c r="C13" s="227" t="str">
        <f t="shared" ca="1" si="0"/>
        <v>是</v>
      </c>
      <c r="D13" s="235" t="str">
        <f ca="1">IFERROR(基础度量项!F13/基础度量项!H13,"NA")</f>
        <v>NA</v>
      </c>
      <c r="E13" s="236" t="str">
        <f ca="1">IFERROR(基础度量项!H13/基础度量项!G13,"NA")</f>
        <v>NA</v>
      </c>
      <c r="F13" s="204" t="str">
        <f ca="1">IFERROR(基础度量项!J13/基础度量项!H13,"NA")</f>
        <v>NA</v>
      </c>
      <c r="G13" s="239" t="str">
        <f ca="1">IFERROR(基础度量项!K13/基础度量项!J13,"NA")</f>
        <v>NA</v>
      </c>
      <c r="H13" s="204" t="str">
        <f ca="1">IFERROR(基础度量项!L13/基础度量项!H13,"NA")</f>
        <v>NA</v>
      </c>
      <c r="I13" s="244" t="str">
        <f ca="1">IFERROR(基础度量项!M13/基础度量项!L13,"NA")</f>
        <v>NA</v>
      </c>
      <c r="J13" s="245" t="str">
        <f ca="1">IFERROR(基础度量项!Q13/基础度量项!P13,"NA")</f>
        <v>NA</v>
      </c>
      <c r="K13" s="206" t="str">
        <f ca="1">IFERROR(基础度量项!R13/基础度量项!H13,"NA")</f>
        <v>NA</v>
      </c>
      <c r="L13" s="248" t="str">
        <f ca="1">IFERROR(基础度量项!U13/基础度量项!R13,"NA")</f>
        <v>NA</v>
      </c>
      <c r="M13" s="248" t="str">
        <f ca="1">IFERROR(基础度量项!S13/基础度量项!R13,"NA")</f>
        <v>NA</v>
      </c>
      <c r="N13" s="248" t="str">
        <f ca="1">IFERROR(基础度量项!R13/(基础度量项!R13+基础度量项!T13),"NA")</f>
        <v>NA</v>
      </c>
      <c r="O13" s="248" t="str">
        <f ca="1">IFERROR(基础度量项!R13/基础度量项!O13,"NA")</f>
        <v>NA</v>
      </c>
      <c r="P13" s="239" t="str">
        <f ca="1">IFERROR(基础度量项!R13/基础度量项!AM13,"NA")</f>
        <v>NA</v>
      </c>
      <c r="Q13" s="204" t="str">
        <f ca="1">IFERROR(基础度量项!W13/基础度量项!H13,"NA")</f>
        <v>NA</v>
      </c>
      <c r="R13" s="248" t="str">
        <f ca="1">IFERROR(基础度量项!Y13/基础度量项!W13,"NA")</f>
        <v>NA</v>
      </c>
      <c r="S13" s="244" t="str">
        <f ca="1">IFERROR(基础度量项!X13/基础度量项!W13,"NA")</f>
        <v>NA</v>
      </c>
      <c r="T13" s="205" t="str">
        <f ca="1">IFERROR(基础度量项!AA13/基础度量项!H13,"NA")</f>
        <v>NA</v>
      </c>
      <c r="U13" s="248" t="str">
        <f ca="1">IFERROR(基础度量项!AC13/基础度量项!AA13,"NA")</f>
        <v>NA</v>
      </c>
      <c r="V13" s="239" t="str">
        <f ca="1">IFERROR(基础度量项!AB13/基础度量项!AA13,"NA")</f>
        <v>NA</v>
      </c>
      <c r="W13" s="259" t="str">
        <f ca="1">IFERROR(基础度量项!AE13/基础度量项!AM13,"NA")</f>
        <v>NA</v>
      </c>
      <c r="X13" s="260" t="str">
        <f ca="1">IFERROR(基础度量项!AG13/基础度量项!AM13,"NA")</f>
        <v>NA</v>
      </c>
      <c r="Y13" s="260" t="str">
        <f ca="1">IFERROR(基础度量项!AI13/基础度量项!AM13,"NA")</f>
        <v>NA</v>
      </c>
      <c r="Z13" s="261" t="str">
        <f ca="1">IFERROR(基础度量项!AK13/基础度量项!AM13,"NA")</f>
        <v>NA</v>
      </c>
      <c r="AA13" s="262" t="str">
        <f ca="1">IFERROR(基础度量项!I13/基础度量项!G13,"NA")</f>
        <v>NA</v>
      </c>
      <c r="AB13" s="263" t="str">
        <f>IFERROR(1-基础度量项!AO13/基础度量项!AN13,"NA")</f>
        <v>NA</v>
      </c>
      <c r="AC13" s="277"/>
    </row>
    <row r="14" spans="1:29">
      <c r="A14" s="41"/>
      <c r="B14" s="41"/>
      <c r="C14" s="41"/>
      <c r="D14" s="41"/>
      <c r="E14" s="41"/>
      <c r="F14" s="91"/>
      <c r="G14" s="54"/>
      <c r="H14" s="91"/>
      <c r="I14" s="54"/>
      <c r="J14" s="54"/>
      <c r="K14" s="91"/>
      <c r="L14" s="54"/>
      <c r="M14" s="88"/>
      <c r="N14" s="88"/>
      <c r="O14" s="88"/>
      <c r="P14" s="54"/>
      <c r="Q14" s="91"/>
      <c r="R14" s="54"/>
      <c r="S14" s="54"/>
      <c r="T14" s="91"/>
      <c r="U14" s="54"/>
      <c r="V14" s="54"/>
      <c r="W14" s="42"/>
      <c r="X14" s="42"/>
      <c r="Y14" s="42"/>
      <c r="Z14" s="42"/>
      <c r="AA14" s="42"/>
      <c r="AB14" s="97"/>
      <c r="AC14" s="52"/>
    </row>
  </sheetData>
  <mergeCells count="8">
    <mergeCell ref="B2:E2"/>
    <mergeCell ref="W2:Z2"/>
    <mergeCell ref="AC2:AC4"/>
    <mergeCell ref="J2:P2"/>
    <mergeCell ref="F2:G2"/>
    <mergeCell ref="H2:I2"/>
    <mergeCell ref="Q2:S2"/>
    <mergeCell ref="T2:V2"/>
  </mergeCells>
  <phoneticPr fontId="13"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P34"/>
  <sheetViews>
    <sheetView tabSelected="1" zoomScale="90" zoomScaleNormal="90" workbookViewId="0">
      <pane ySplit="4" topLeftCell="A5" activePane="bottomLeft" state="frozen"/>
      <selection pane="bottomLeft" activeCell="U6" sqref="U6"/>
    </sheetView>
  </sheetViews>
  <sheetFormatPr defaultColWidth="9.109375" defaultRowHeight="13.2"/>
  <cols>
    <col min="1" max="1" width="10.88671875" customWidth="1"/>
    <col min="2" max="3" width="6.6640625" customWidth="1"/>
    <col min="4" max="4" width="10.6640625" customWidth="1"/>
    <col min="5" max="39" width="6.6640625" customWidth="1"/>
    <col min="40" max="41" width="6.88671875" customWidth="1"/>
    <col min="42" max="42" width="36.88671875" customWidth="1"/>
  </cols>
  <sheetData>
    <row r="1" spans="1:42" ht="13.8" thickBot="1"/>
    <row r="2" spans="1:42" s="66" customFormat="1" ht="39" customHeight="1">
      <c r="A2" s="385" t="s">
        <v>165</v>
      </c>
      <c r="B2" s="376" t="s">
        <v>193</v>
      </c>
      <c r="C2" s="374"/>
      <c r="D2" s="384"/>
      <c r="E2" s="376" t="s">
        <v>117</v>
      </c>
      <c r="F2" s="375"/>
      <c r="G2" s="373" t="s">
        <v>62</v>
      </c>
      <c r="H2" s="374"/>
      <c r="I2" s="384"/>
      <c r="J2" s="376" t="s">
        <v>211</v>
      </c>
      <c r="K2" s="378"/>
      <c r="L2" s="373" t="s">
        <v>109</v>
      </c>
      <c r="M2" s="383"/>
      <c r="N2" s="376" t="s">
        <v>0</v>
      </c>
      <c r="O2" s="374"/>
      <c r="P2" s="374"/>
      <c r="Q2" s="374"/>
      <c r="R2" s="374"/>
      <c r="S2" s="374"/>
      <c r="T2" s="374"/>
      <c r="U2" s="374"/>
      <c r="V2" s="375"/>
      <c r="W2" s="373" t="s">
        <v>120</v>
      </c>
      <c r="X2" s="374"/>
      <c r="Y2" s="374"/>
      <c r="Z2" s="384"/>
      <c r="AA2" s="376" t="s">
        <v>64</v>
      </c>
      <c r="AB2" s="374"/>
      <c r="AC2" s="374"/>
      <c r="AD2" s="375"/>
      <c r="AE2" s="373" t="s">
        <v>2</v>
      </c>
      <c r="AF2" s="377"/>
      <c r="AG2" s="377"/>
      <c r="AH2" s="377"/>
      <c r="AI2" s="377"/>
      <c r="AJ2" s="377"/>
      <c r="AK2" s="377"/>
      <c r="AL2" s="377"/>
      <c r="AM2" s="383"/>
      <c r="AN2" s="387" t="s">
        <v>3</v>
      </c>
      <c r="AO2" s="378"/>
      <c r="AP2" s="379" t="s">
        <v>4</v>
      </c>
    </row>
    <row r="3" spans="1:42" s="98" customFormat="1" ht="12.75" customHeight="1">
      <c r="A3" s="386"/>
      <c r="B3" s="126" t="s">
        <v>198</v>
      </c>
      <c r="C3" s="127" t="s">
        <v>5</v>
      </c>
      <c r="D3" s="128" t="s">
        <v>6</v>
      </c>
      <c r="E3" s="126" t="s">
        <v>7</v>
      </c>
      <c r="F3" s="129" t="s">
        <v>8</v>
      </c>
      <c r="G3" s="130" t="s">
        <v>9</v>
      </c>
      <c r="H3" s="127" t="s">
        <v>10</v>
      </c>
      <c r="I3" s="128" t="s">
        <v>11</v>
      </c>
      <c r="J3" s="126" t="s">
        <v>12</v>
      </c>
      <c r="K3" s="129" t="s">
        <v>13</v>
      </c>
      <c r="L3" s="130" t="s">
        <v>14</v>
      </c>
      <c r="M3" s="128" t="s">
        <v>15</v>
      </c>
      <c r="N3" s="126" t="s">
        <v>16</v>
      </c>
      <c r="O3" s="127" t="s">
        <v>17</v>
      </c>
      <c r="P3" s="127" t="s">
        <v>18</v>
      </c>
      <c r="Q3" s="127" t="s">
        <v>19</v>
      </c>
      <c r="R3" s="127" t="s">
        <v>20</v>
      </c>
      <c r="S3" s="127" t="s">
        <v>21</v>
      </c>
      <c r="T3" s="127" t="s">
        <v>22</v>
      </c>
      <c r="U3" s="127" t="s">
        <v>23</v>
      </c>
      <c r="V3" s="129" t="s">
        <v>24</v>
      </c>
      <c r="W3" s="130" t="s">
        <v>25</v>
      </c>
      <c r="X3" s="127" t="s">
        <v>28</v>
      </c>
      <c r="Y3" s="127" t="s">
        <v>26</v>
      </c>
      <c r="Z3" s="128" t="s">
        <v>27</v>
      </c>
      <c r="AA3" s="126" t="s">
        <v>29</v>
      </c>
      <c r="AB3" s="127" t="s">
        <v>30</v>
      </c>
      <c r="AC3" s="127" t="s">
        <v>31</v>
      </c>
      <c r="AD3" s="129" t="s">
        <v>32</v>
      </c>
      <c r="AE3" s="130" t="s">
        <v>33</v>
      </c>
      <c r="AF3" s="127" t="s">
        <v>199</v>
      </c>
      <c r="AG3" s="127" t="s">
        <v>200</v>
      </c>
      <c r="AH3" s="127" t="s">
        <v>201</v>
      </c>
      <c r="AI3" s="127" t="s">
        <v>202</v>
      </c>
      <c r="AJ3" s="127" t="s">
        <v>203</v>
      </c>
      <c r="AK3" s="127" t="s">
        <v>204</v>
      </c>
      <c r="AL3" s="127" t="s">
        <v>205</v>
      </c>
      <c r="AM3" s="128" t="s">
        <v>206</v>
      </c>
      <c r="AN3" s="126" t="s">
        <v>219</v>
      </c>
      <c r="AO3" s="129" t="s">
        <v>220</v>
      </c>
      <c r="AP3" s="380"/>
    </row>
    <row r="4" spans="1:42" ht="65.25" customHeight="1" thickBot="1">
      <c r="A4" s="386"/>
      <c r="B4" s="113" t="s">
        <v>259</v>
      </c>
      <c r="C4" s="47" t="s">
        <v>194</v>
      </c>
      <c r="D4" s="114" t="s">
        <v>208</v>
      </c>
      <c r="E4" s="113" t="s">
        <v>196</v>
      </c>
      <c r="F4" s="40" t="s">
        <v>197</v>
      </c>
      <c r="G4" s="175" t="s">
        <v>273</v>
      </c>
      <c r="H4" s="124" t="s">
        <v>274</v>
      </c>
      <c r="I4" s="125" t="s">
        <v>275</v>
      </c>
      <c r="J4" s="113" t="s">
        <v>105</v>
      </c>
      <c r="K4" s="40" t="s">
        <v>106</v>
      </c>
      <c r="L4" s="49" t="s">
        <v>107</v>
      </c>
      <c r="M4" s="114" t="s">
        <v>108</v>
      </c>
      <c r="N4" s="113" t="s">
        <v>212</v>
      </c>
      <c r="O4" s="47" t="s">
        <v>213</v>
      </c>
      <c r="P4" s="47" t="s">
        <v>118</v>
      </c>
      <c r="Q4" s="47" t="s">
        <v>119</v>
      </c>
      <c r="R4" s="67" t="s">
        <v>34</v>
      </c>
      <c r="S4" s="86" t="s">
        <v>214</v>
      </c>
      <c r="T4" s="86" t="s">
        <v>216</v>
      </c>
      <c r="U4" s="86" t="s">
        <v>215</v>
      </c>
      <c r="V4" s="185" t="s">
        <v>37</v>
      </c>
      <c r="W4" s="49" t="s">
        <v>110</v>
      </c>
      <c r="X4" s="47" t="s">
        <v>111</v>
      </c>
      <c r="Y4" s="47" t="s">
        <v>217</v>
      </c>
      <c r="Z4" s="114" t="s">
        <v>112</v>
      </c>
      <c r="AA4" s="113" t="s">
        <v>65</v>
      </c>
      <c r="AB4" s="47" t="s">
        <v>66</v>
      </c>
      <c r="AC4" s="47" t="s">
        <v>218</v>
      </c>
      <c r="AD4" s="40" t="s">
        <v>68</v>
      </c>
      <c r="AE4" s="186" t="s">
        <v>38</v>
      </c>
      <c r="AF4" s="39" t="s">
        <v>39</v>
      </c>
      <c r="AG4" s="39" t="s">
        <v>40</v>
      </c>
      <c r="AH4" s="39" t="s">
        <v>41</v>
      </c>
      <c r="AI4" s="53" t="s">
        <v>113</v>
      </c>
      <c r="AJ4" s="53" t="s">
        <v>115</v>
      </c>
      <c r="AK4" s="53" t="s">
        <v>116</v>
      </c>
      <c r="AL4" s="53" t="s">
        <v>114</v>
      </c>
      <c r="AM4" s="114" t="s">
        <v>263</v>
      </c>
      <c r="AN4" s="113" t="s">
        <v>148</v>
      </c>
      <c r="AO4" s="40" t="s">
        <v>149</v>
      </c>
      <c r="AP4" s="381"/>
    </row>
    <row r="5" spans="1:42">
      <c r="A5" s="110" t="s">
        <v>166</v>
      </c>
      <c r="B5" s="131">
        <v>10</v>
      </c>
      <c r="C5" s="132">
        <v>6</v>
      </c>
      <c r="D5" s="138"/>
      <c r="E5" s="121">
        <f ca="1">VLOOKUP("合计",INDIRECT("需求明细_"&amp;RIGHT($A5,3)&amp;"!$B$5:$AG$500"),3,FALSE)</f>
        <v>13</v>
      </c>
      <c r="F5" s="179">
        <f ca="1">VLOOKUP("合计",INDIRECT("需求明细_"&amp;RIGHT($A5,3)&amp;"!$B$5:$AG$500"),4,FALSE)</f>
        <v>0</v>
      </c>
      <c r="G5" s="176">
        <f ca="1">VLOOKUP("合计",INDIRECT("需求明细_"&amp;RIGHT($A5,3)&amp;"!$B$5:$AG$500"),5,FALSE)</f>
        <v>0</v>
      </c>
      <c r="H5" s="123">
        <f ca="1">VLOOKUP("合计",INDIRECT("需求明细_"&amp;RIGHT($A5,3)&amp;"!$B$5:$AG$500"),6,FALSE)</f>
        <v>0</v>
      </c>
      <c r="I5" s="182">
        <f ca="1">H5-G5</f>
        <v>0</v>
      </c>
      <c r="J5" s="121">
        <f ca="1">VLOOKUP("合计",INDIRECT("需求明细_"&amp;RIGHT($A5,3)&amp;"!$B$5:$AG$500"),7,FALSE)</f>
        <v>0</v>
      </c>
      <c r="K5" s="179">
        <f ca="1">VLOOKUP("合计",INDIRECT("需求明细_"&amp;RIGHT($A5,3)&amp;"!$B$5:$AG$500"),8,FALSE)</f>
        <v>0</v>
      </c>
      <c r="L5" s="176">
        <f ca="1">VLOOKUP("合计",INDIRECT("需求明细_"&amp;RIGHT($A5,3)&amp;"!$B$5:$AG$500"),9,FALSE)</f>
        <v>0</v>
      </c>
      <c r="M5" s="122">
        <f ca="1">VLOOKUP("合计",INDIRECT("需求明细_"&amp;RIGHT($A5,3)&amp;"!$B$5:$AG$500"),10,FALSE)</f>
        <v>0</v>
      </c>
      <c r="N5" s="121">
        <f ca="1">VLOOKUP("合计",INDIRECT("需求明细_"&amp;RIGHT($A5,3)&amp;"!$B$5:$AG$500"),11,FALSE)</f>
        <v>0</v>
      </c>
      <c r="O5" s="123">
        <f ca="1">VLOOKUP("合计",INDIRECT("需求明细_"&amp;RIGHT($A5,3)&amp;"!$B$5:$AG$500"),12,FALSE)</f>
        <v>0</v>
      </c>
      <c r="P5" s="123">
        <f ca="1">VLOOKUP("合计",INDIRECT("需求明细_"&amp;RIGHT($A5,3)&amp;"!$B$5:$AG$500"),13,FALSE)</f>
        <v>0</v>
      </c>
      <c r="Q5" s="123">
        <f ca="1">VLOOKUP("合计",INDIRECT("需求明细_"&amp;RIGHT($A5,3)&amp;"!$B$5:$AG$500"),14,FALSE)</f>
        <v>0</v>
      </c>
      <c r="R5" s="123">
        <f ca="1">VLOOKUP("合计",INDIRECT("需求明细_"&amp;RIGHT($A5,3)&amp;"!$B$5:$AG$500"),15,FALSE)</f>
        <v>0</v>
      </c>
      <c r="S5" s="123">
        <f ca="1">VLOOKUP("合计",INDIRECT("需求明细_"&amp;RIGHT($A5,3)&amp;"!$B$5:$AG$500"),16,FALSE)</f>
        <v>0</v>
      </c>
      <c r="T5" s="123">
        <f ca="1">VLOOKUP("合计",INDIRECT("需求明细_"&amp;RIGHT($A5,3)&amp;"!$B$5:$AG$500"),17,FALSE)</f>
        <v>0</v>
      </c>
      <c r="U5" s="123">
        <f ca="1">VLOOKUP("合计",INDIRECT("需求明细_"&amp;RIGHT($A5,3)&amp;"!$B$5:$AG$500"),18,FALSE)</f>
        <v>0</v>
      </c>
      <c r="V5" s="179">
        <f ca="1">VLOOKUP("合计",INDIRECT("需求明细_"&amp;RIGHT($A5,3)&amp;"!$B$5:$AG$500"),19,FALSE)</f>
        <v>0</v>
      </c>
      <c r="W5" s="176">
        <f ca="1">VLOOKUP("合计",INDIRECT("需求明细_"&amp;RIGHT($A5,3)&amp;"!$B$5:$AG$500"),20,FALSE)</f>
        <v>0</v>
      </c>
      <c r="X5" s="123">
        <f ca="1">VLOOKUP("合计",INDIRECT("需求明细_"&amp;RIGHT($A5,3)&amp;"!$B$5:$AG$500"),21,FALSE)</f>
        <v>0</v>
      </c>
      <c r="Y5" s="123">
        <f ca="1">VLOOKUP("合计",INDIRECT("需求明细_"&amp;RIGHT($A5,3)&amp;"!$B$5:$AG$500"),22,FALSE)</f>
        <v>0</v>
      </c>
      <c r="Z5" s="122">
        <f ca="1">VLOOKUP("合计",INDIRECT("需求明细_"&amp;RIGHT($A5,3)&amp;"!$B$5:$AG$500"),23,FALSE)</f>
        <v>0</v>
      </c>
      <c r="AA5" s="121">
        <f ca="1">VLOOKUP("合计",INDIRECT("需求明细_"&amp;RIGHT($A5,3)&amp;"!$B$5:$AG$500"),24,FALSE)</f>
        <v>0</v>
      </c>
      <c r="AB5" s="123">
        <f ca="1">VLOOKUP("合计",INDIRECT("需求明细_"&amp;RIGHT($A5,3)&amp;"!$B$5:$AG$500"),25,FALSE)</f>
        <v>0</v>
      </c>
      <c r="AC5" s="123">
        <f ca="1">VLOOKUP("合计",INDIRECT("需求明细_"&amp;RIGHT($A5,3)&amp;"!$B$5:$AG$500"),26,FALSE)</f>
        <v>0</v>
      </c>
      <c r="AD5" s="179">
        <f ca="1">VLOOKUP("合计",INDIRECT("需求明细_"&amp;RIGHT($A5,3)&amp;"!$B$5:$AG$500"),27,FALSE)</f>
        <v>0</v>
      </c>
      <c r="AE5" s="187">
        <f ca="1">J5</f>
        <v>0</v>
      </c>
      <c r="AF5" s="50">
        <f ca="1">K5</f>
        <v>0</v>
      </c>
      <c r="AG5" s="50">
        <f ca="1">J5+L5</f>
        <v>0</v>
      </c>
      <c r="AH5" s="50">
        <f ca="1">K5+M5</f>
        <v>0</v>
      </c>
      <c r="AI5" s="50">
        <f ca="1">J5+L5+R5</f>
        <v>0</v>
      </c>
      <c r="AJ5" s="50">
        <f ca="1">K5+M5+S5</f>
        <v>0</v>
      </c>
      <c r="AK5" s="50">
        <f ca="1">AA5</f>
        <v>0</v>
      </c>
      <c r="AL5" s="50">
        <f ca="1">AB5</f>
        <v>0</v>
      </c>
      <c r="AM5" s="182">
        <f ca="1">AI5+AK5</f>
        <v>0</v>
      </c>
      <c r="AN5" s="268">
        <f>COUNTIFS(检查单明细!$A$3:$A$49980,A5,检查单明细!$E$3:$E$49980,"Y")+COUNTIFS(检查单明细!$A$3:$A$49980,A5,检查单明细!$E$3:$E$49980,"N")</f>
        <v>26</v>
      </c>
      <c r="AO5" s="269">
        <f>COUNTIFS(检查单明细!$A$3:$A$49980,A5,检查单明细!$E$3:$E$49980,"N")</f>
        <v>6</v>
      </c>
      <c r="AP5" s="171"/>
    </row>
    <row r="6" spans="1:42" ht="14.4">
      <c r="A6" s="111" t="s">
        <v>167</v>
      </c>
      <c r="B6" s="133">
        <v>15</v>
      </c>
      <c r="C6" s="134">
        <v>8</v>
      </c>
      <c r="D6" s="139"/>
      <c r="E6" s="116">
        <f t="shared" ref="E6:E13" ca="1" si="0">VLOOKUP("合计",INDIRECT("需求明细_"&amp;RIGHT($A6,3)&amp;"!$B$5:$AG$500"),3,FALSE)</f>
        <v>117</v>
      </c>
      <c r="F6" s="180">
        <f t="shared" ref="F6:F13" ca="1" si="1">VLOOKUP("合计",INDIRECT("需求明细_"&amp;RIGHT($A6,3)&amp;"!$B$5:$AG$500"),4,FALSE)</f>
        <v>110</v>
      </c>
      <c r="G6" s="177">
        <f t="shared" ref="G6:G13" ca="1" si="2">VLOOKUP("合计",INDIRECT("需求明细_"&amp;RIGHT($A6,3)&amp;"!$B$5:$AG$500"),5,FALSE)</f>
        <v>647.75</v>
      </c>
      <c r="H6" s="115">
        <f t="shared" ref="H6:H13" ca="1" si="3">VLOOKUP("合计",INDIRECT("需求明细_"&amp;RIGHT($A6,3)&amp;"!$B$5:$AG$500"),6,FALSE)</f>
        <v>504.05</v>
      </c>
      <c r="I6" s="183">
        <f t="shared" ref="I6:I13" ca="1" si="4">H6-G6</f>
        <v>-143.69999999999999</v>
      </c>
      <c r="J6" s="116">
        <f t="shared" ref="J6:J13" ca="1" si="5">VLOOKUP("合计",INDIRECT("需求明细_"&amp;RIGHT($A6,3)&amp;"!$B$5:$AG$500"),7,FALSE)</f>
        <v>0</v>
      </c>
      <c r="K6" s="180">
        <f t="shared" ref="K6:K13" ca="1" si="6">VLOOKUP("合计",INDIRECT("需求明细_"&amp;RIGHT($A6,3)&amp;"!$B$5:$AG$500"),8,FALSE)</f>
        <v>0</v>
      </c>
      <c r="L6" s="177">
        <f t="shared" ref="L6:L13" ca="1" si="7">VLOOKUP("合计",INDIRECT("需求明细_"&amp;RIGHT($A6,3)&amp;"!$B$5:$AG$500"),9,FALSE)</f>
        <v>0</v>
      </c>
      <c r="M6" s="118">
        <f t="shared" ref="M6:M13" ca="1" si="8">VLOOKUP("合计",INDIRECT("需求明细_"&amp;RIGHT($A6,3)&amp;"!$B$5:$AG$500"),10,FALSE)</f>
        <v>0</v>
      </c>
      <c r="N6" s="116">
        <f t="shared" ref="N6:N13" ca="1" si="9">VLOOKUP("合计",INDIRECT("需求明细_"&amp;RIGHT($A6,3)&amp;"!$B$5:$AG$500"),11,FALSE)</f>
        <v>0</v>
      </c>
      <c r="O6" s="115">
        <f t="shared" ref="O6:O13" ca="1" si="10">VLOOKUP("合计",INDIRECT("需求明细_"&amp;RIGHT($A6,3)&amp;"!$B$5:$AG$500"),12,FALSE)</f>
        <v>0</v>
      </c>
      <c r="P6" s="115">
        <f t="shared" ref="P6:P13" ca="1" si="11">VLOOKUP("合计",INDIRECT("需求明细_"&amp;RIGHT($A6,3)&amp;"!$B$5:$AG$500"),13,FALSE)</f>
        <v>0</v>
      </c>
      <c r="Q6" s="115">
        <f t="shared" ref="Q6:Q13" ca="1" si="12">VLOOKUP("合计",INDIRECT("需求明细_"&amp;RIGHT($A6,3)&amp;"!$B$5:$AG$500"),14,FALSE)</f>
        <v>0</v>
      </c>
      <c r="R6" s="115">
        <f t="shared" ref="R6:R13" ca="1" si="13">VLOOKUP("合计",INDIRECT("需求明细_"&amp;RIGHT($A6,3)&amp;"!$B$5:$AG$500"),15,FALSE)</f>
        <v>165</v>
      </c>
      <c r="S6" s="115">
        <f t="shared" ref="S6:S13" ca="1" si="14">VLOOKUP("合计",INDIRECT("需求明细_"&amp;RIGHT($A6,3)&amp;"!$B$5:$AG$500"),16,FALSE)</f>
        <v>52</v>
      </c>
      <c r="T6" s="115">
        <f t="shared" ref="T6:T13" ca="1" si="15">VLOOKUP("合计",INDIRECT("需求明细_"&amp;RIGHT($A6,3)&amp;"!$B$5:$AG$500"),17,FALSE)</f>
        <v>19</v>
      </c>
      <c r="U6" s="115">
        <f t="shared" ref="U6:U13" ca="1" si="16">VLOOKUP("合计",INDIRECT("需求明细_"&amp;RIGHT($A6,3)&amp;"!$B$5:$AG$500"),18,FALSE)</f>
        <v>54</v>
      </c>
      <c r="V6" s="180">
        <f t="shared" ref="V6:V13" ca="1" si="17">VLOOKUP("合计",INDIRECT("需求明细_"&amp;RIGHT($A6,3)&amp;"!$B$5:$AG$500"),19,FALSE)</f>
        <v>22</v>
      </c>
      <c r="W6" s="177">
        <f t="shared" ref="W6:W13" ca="1" si="18">VLOOKUP("合计",INDIRECT("需求明细_"&amp;RIGHT($A6,3)&amp;"!$B$5:$AG$500"),20,FALSE)</f>
        <v>0</v>
      </c>
      <c r="X6" s="115">
        <f t="shared" ref="X6:X13" ca="1" si="19">VLOOKUP("合计",INDIRECT("需求明细_"&amp;RIGHT($A6,3)&amp;"!$B$5:$AG$500"),21,FALSE)</f>
        <v>0</v>
      </c>
      <c r="Y6" s="115">
        <f t="shared" ref="Y6:Y13" ca="1" si="20">VLOOKUP("合计",INDIRECT("需求明细_"&amp;RIGHT($A6,3)&amp;"!$B$5:$AG$500"),22,FALSE)</f>
        <v>0</v>
      </c>
      <c r="Z6" s="118">
        <f t="shared" ref="Z6:Z13" ca="1" si="21">VLOOKUP("合计",INDIRECT("需求明细_"&amp;RIGHT($A6,3)&amp;"!$B$5:$AG$500"),23,FALSE)</f>
        <v>0</v>
      </c>
      <c r="AA6" s="116">
        <f t="shared" ref="AA6:AA13" ca="1" si="22">VLOOKUP("合计",INDIRECT("需求明细_"&amp;RIGHT($A6,3)&amp;"!$B$5:$AG$500"),24,FALSE)</f>
        <v>0</v>
      </c>
      <c r="AB6" s="115">
        <f t="shared" ref="AB6:AB13" ca="1" si="23">VLOOKUP("合计",INDIRECT("需求明细_"&amp;RIGHT($A6,3)&amp;"!$B$5:$AG$500"),25,FALSE)</f>
        <v>0</v>
      </c>
      <c r="AC6" s="115">
        <f t="shared" ref="AC6:AC13" ca="1" si="24">VLOOKUP("合计",INDIRECT("需求明细_"&amp;RIGHT($A6,3)&amp;"!$B$5:$AG$500"),26,FALSE)</f>
        <v>0</v>
      </c>
      <c r="AD6" s="180">
        <f t="shared" ref="AD6:AD13" ca="1" si="25">VLOOKUP("合计",INDIRECT("需求明细_"&amp;RIGHT($A6,3)&amp;"!$B$5:$AG$500"),27,FALSE)</f>
        <v>0</v>
      </c>
      <c r="AE6" s="188">
        <f t="shared" ref="AE6:AE13" ca="1" si="26">J6</f>
        <v>0</v>
      </c>
      <c r="AF6" s="65">
        <f t="shared" ref="AF6:AF13" ca="1" si="27">K6</f>
        <v>0</v>
      </c>
      <c r="AG6" s="65">
        <f t="shared" ref="AG6:AG13" ca="1" si="28">J6+L6</f>
        <v>0</v>
      </c>
      <c r="AH6" s="65">
        <f t="shared" ref="AH6:AH13" ca="1" si="29">K6+M6</f>
        <v>0</v>
      </c>
      <c r="AI6" s="65">
        <f t="shared" ref="AI6:AI13" ca="1" si="30">J6+L6+R6</f>
        <v>165</v>
      </c>
      <c r="AJ6" s="65">
        <f t="shared" ref="AJ6:AJ13" ca="1" si="31">K6+M6+S6</f>
        <v>52</v>
      </c>
      <c r="AK6" s="65">
        <f t="shared" ref="AK6:AK13" ca="1" si="32">AA6</f>
        <v>0</v>
      </c>
      <c r="AL6" s="65">
        <f t="shared" ref="AL6:AL13" ca="1" si="33">AB6</f>
        <v>0</v>
      </c>
      <c r="AM6" s="183">
        <f t="shared" ref="AM6:AM13" ca="1" si="34">AI6+AK6</f>
        <v>165</v>
      </c>
      <c r="AN6" s="190">
        <f>COUNTIFS(检查单明细!$A$3:$A$49980,A6,检查单明细!$E$3:$E$49980,"Y")+COUNTIFS(检查单明细!$A$3:$A$49980,A6,检查单明细!$E$3:$E$49980,"N")</f>
        <v>12</v>
      </c>
      <c r="AO6" s="174">
        <f>COUNTIFS(检查单明细!$A$3:$A$49980,A6,检查单明细!$E$3:$E$49980,"N")</f>
        <v>0</v>
      </c>
      <c r="AP6" s="172"/>
    </row>
    <row r="7" spans="1:42" ht="14.4">
      <c r="A7" s="111" t="s">
        <v>168</v>
      </c>
      <c r="B7" s="133"/>
      <c r="C7" s="134"/>
      <c r="D7" s="139"/>
      <c r="E7" s="116">
        <f t="shared" ca="1" si="0"/>
        <v>0</v>
      </c>
      <c r="F7" s="180">
        <f t="shared" ca="1" si="1"/>
        <v>0</v>
      </c>
      <c r="G7" s="177">
        <f t="shared" ca="1" si="2"/>
        <v>0</v>
      </c>
      <c r="H7" s="115">
        <f t="shared" ca="1" si="3"/>
        <v>0</v>
      </c>
      <c r="I7" s="183">
        <f t="shared" ca="1" si="4"/>
        <v>0</v>
      </c>
      <c r="J7" s="116">
        <f t="shared" ca="1" si="5"/>
        <v>0</v>
      </c>
      <c r="K7" s="180">
        <f t="shared" ca="1" si="6"/>
        <v>0</v>
      </c>
      <c r="L7" s="177">
        <f t="shared" ca="1" si="7"/>
        <v>0</v>
      </c>
      <c r="M7" s="118">
        <f t="shared" ca="1" si="8"/>
        <v>0</v>
      </c>
      <c r="N7" s="116">
        <f t="shared" ca="1" si="9"/>
        <v>0</v>
      </c>
      <c r="O7" s="115">
        <f t="shared" ca="1" si="10"/>
        <v>0</v>
      </c>
      <c r="P7" s="115">
        <f t="shared" ca="1" si="11"/>
        <v>0</v>
      </c>
      <c r="Q7" s="115">
        <f t="shared" ca="1" si="12"/>
        <v>0</v>
      </c>
      <c r="R7" s="115">
        <f t="shared" ca="1" si="13"/>
        <v>0</v>
      </c>
      <c r="S7" s="115">
        <f t="shared" ca="1" si="14"/>
        <v>0</v>
      </c>
      <c r="T7" s="115">
        <f t="shared" ca="1" si="15"/>
        <v>0</v>
      </c>
      <c r="U7" s="115">
        <f t="shared" ca="1" si="16"/>
        <v>0</v>
      </c>
      <c r="V7" s="180">
        <f t="shared" ca="1" si="17"/>
        <v>0</v>
      </c>
      <c r="W7" s="177">
        <f t="shared" ca="1" si="18"/>
        <v>0</v>
      </c>
      <c r="X7" s="115">
        <f t="shared" ca="1" si="19"/>
        <v>0</v>
      </c>
      <c r="Y7" s="115">
        <f t="shared" ca="1" si="20"/>
        <v>0</v>
      </c>
      <c r="Z7" s="118">
        <f t="shared" ca="1" si="21"/>
        <v>0</v>
      </c>
      <c r="AA7" s="116">
        <f t="shared" ca="1" si="22"/>
        <v>0</v>
      </c>
      <c r="AB7" s="115">
        <f t="shared" ca="1" si="23"/>
        <v>0</v>
      </c>
      <c r="AC7" s="115">
        <f t="shared" ca="1" si="24"/>
        <v>0</v>
      </c>
      <c r="AD7" s="180">
        <f t="shared" ca="1" si="25"/>
        <v>0</v>
      </c>
      <c r="AE7" s="188">
        <f t="shared" ca="1" si="26"/>
        <v>0</v>
      </c>
      <c r="AF7" s="65">
        <f t="shared" ca="1" si="27"/>
        <v>0</v>
      </c>
      <c r="AG7" s="65">
        <f t="shared" ca="1" si="28"/>
        <v>0</v>
      </c>
      <c r="AH7" s="65">
        <f t="shared" ca="1" si="29"/>
        <v>0</v>
      </c>
      <c r="AI7" s="65">
        <f t="shared" ca="1" si="30"/>
        <v>0</v>
      </c>
      <c r="AJ7" s="65">
        <f t="shared" ca="1" si="31"/>
        <v>0</v>
      </c>
      <c r="AK7" s="65">
        <f t="shared" ca="1" si="32"/>
        <v>0</v>
      </c>
      <c r="AL7" s="65">
        <f t="shared" ca="1" si="33"/>
        <v>0</v>
      </c>
      <c r="AM7" s="183">
        <f t="shared" ca="1" si="34"/>
        <v>0</v>
      </c>
      <c r="AN7" s="190">
        <f>COUNTIFS(检查单明细!$A$3:$A$49980,A7,检查单明细!$E$3:$E$49980,"Y")+COUNTIFS(检查单明细!$A$3:$A$49980,A7,检查单明细!$E$3:$E$49980,"N")</f>
        <v>0</v>
      </c>
      <c r="AO7" s="174">
        <f>COUNTIFS(检查单明细!$A$3:$A$49980,A7,检查单明细!$E$3:$E$49980,"N")</f>
        <v>0</v>
      </c>
      <c r="AP7" s="172"/>
    </row>
    <row r="8" spans="1:42" ht="14.4">
      <c r="A8" s="111" t="s">
        <v>169</v>
      </c>
      <c r="B8" s="133"/>
      <c r="C8" s="134"/>
      <c r="D8" s="139"/>
      <c r="E8" s="116">
        <f t="shared" ca="1" si="0"/>
        <v>0</v>
      </c>
      <c r="F8" s="180">
        <f t="shared" ca="1" si="1"/>
        <v>0</v>
      </c>
      <c r="G8" s="177">
        <f t="shared" ca="1" si="2"/>
        <v>0</v>
      </c>
      <c r="H8" s="115">
        <f t="shared" ca="1" si="3"/>
        <v>0</v>
      </c>
      <c r="I8" s="183">
        <f t="shared" ca="1" si="4"/>
        <v>0</v>
      </c>
      <c r="J8" s="116">
        <f t="shared" ca="1" si="5"/>
        <v>0</v>
      </c>
      <c r="K8" s="180">
        <f t="shared" ca="1" si="6"/>
        <v>0</v>
      </c>
      <c r="L8" s="177">
        <f t="shared" ca="1" si="7"/>
        <v>0</v>
      </c>
      <c r="M8" s="118">
        <f t="shared" ca="1" si="8"/>
        <v>0</v>
      </c>
      <c r="N8" s="116">
        <f t="shared" ca="1" si="9"/>
        <v>0</v>
      </c>
      <c r="O8" s="115">
        <f t="shared" ca="1" si="10"/>
        <v>0</v>
      </c>
      <c r="P8" s="115">
        <f t="shared" ca="1" si="11"/>
        <v>0</v>
      </c>
      <c r="Q8" s="115">
        <f t="shared" ca="1" si="12"/>
        <v>0</v>
      </c>
      <c r="R8" s="115">
        <f t="shared" ca="1" si="13"/>
        <v>0</v>
      </c>
      <c r="S8" s="115">
        <f t="shared" ca="1" si="14"/>
        <v>0</v>
      </c>
      <c r="T8" s="115">
        <f t="shared" ca="1" si="15"/>
        <v>0</v>
      </c>
      <c r="U8" s="115">
        <f t="shared" ca="1" si="16"/>
        <v>0</v>
      </c>
      <c r="V8" s="180">
        <f t="shared" ca="1" si="17"/>
        <v>0</v>
      </c>
      <c r="W8" s="177">
        <f t="shared" ca="1" si="18"/>
        <v>0</v>
      </c>
      <c r="X8" s="115">
        <f t="shared" ca="1" si="19"/>
        <v>0</v>
      </c>
      <c r="Y8" s="115">
        <f t="shared" ca="1" si="20"/>
        <v>0</v>
      </c>
      <c r="Z8" s="118">
        <f t="shared" ca="1" si="21"/>
        <v>0</v>
      </c>
      <c r="AA8" s="116">
        <f t="shared" ca="1" si="22"/>
        <v>0</v>
      </c>
      <c r="AB8" s="115">
        <f t="shared" ca="1" si="23"/>
        <v>0</v>
      </c>
      <c r="AC8" s="115">
        <f t="shared" ca="1" si="24"/>
        <v>0</v>
      </c>
      <c r="AD8" s="180">
        <f t="shared" ca="1" si="25"/>
        <v>0</v>
      </c>
      <c r="AE8" s="188">
        <f t="shared" ca="1" si="26"/>
        <v>0</v>
      </c>
      <c r="AF8" s="65">
        <f t="shared" ca="1" si="27"/>
        <v>0</v>
      </c>
      <c r="AG8" s="65">
        <f t="shared" ca="1" si="28"/>
        <v>0</v>
      </c>
      <c r="AH8" s="65">
        <f t="shared" ca="1" si="29"/>
        <v>0</v>
      </c>
      <c r="AI8" s="65">
        <f t="shared" ca="1" si="30"/>
        <v>0</v>
      </c>
      <c r="AJ8" s="65">
        <f t="shared" ca="1" si="31"/>
        <v>0</v>
      </c>
      <c r="AK8" s="65">
        <f t="shared" ca="1" si="32"/>
        <v>0</v>
      </c>
      <c r="AL8" s="65">
        <f t="shared" ca="1" si="33"/>
        <v>0</v>
      </c>
      <c r="AM8" s="183">
        <f t="shared" ca="1" si="34"/>
        <v>0</v>
      </c>
      <c r="AN8" s="190">
        <f>COUNTIFS(检查单明细!$A$3:$A$49980,A8,检查单明细!$E$3:$E$49980,"Y")+COUNTIFS(检查单明细!$A$3:$A$49980,A8,检查单明细!$E$3:$E$49980,"N")</f>
        <v>0</v>
      </c>
      <c r="AO8" s="174">
        <f>COUNTIFS(检查单明细!$A$3:$A$49980,A8,检查单明细!$E$3:$E$49980,"N")</f>
        <v>0</v>
      </c>
      <c r="AP8" s="172"/>
    </row>
    <row r="9" spans="1:42" ht="14.4">
      <c r="A9" s="111" t="s">
        <v>170</v>
      </c>
      <c r="B9" s="133"/>
      <c r="C9" s="134"/>
      <c r="D9" s="139"/>
      <c r="E9" s="116">
        <f t="shared" ca="1" si="0"/>
        <v>0</v>
      </c>
      <c r="F9" s="180">
        <f t="shared" ca="1" si="1"/>
        <v>0</v>
      </c>
      <c r="G9" s="177">
        <f t="shared" ca="1" si="2"/>
        <v>0</v>
      </c>
      <c r="H9" s="115">
        <f t="shared" ca="1" si="3"/>
        <v>0</v>
      </c>
      <c r="I9" s="183">
        <f t="shared" ca="1" si="4"/>
        <v>0</v>
      </c>
      <c r="J9" s="116">
        <f t="shared" ca="1" si="5"/>
        <v>0</v>
      </c>
      <c r="K9" s="180">
        <f t="shared" ca="1" si="6"/>
        <v>0</v>
      </c>
      <c r="L9" s="177">
        <f t="shared" ca="1" si="7"/>
        <v>0</v>
      </c>
      <c r="M9" s="118">
        <f t="shared" ca="1" si="8"/>
        <v>0</v>
      </c>
      <c r="N9" s="116">
        <f t="shared" ca="1" si="9"/>
        <v>0</v>
      </c>
      <c r="O9" s="115">
        <f t="shared" ca="1" si="10"/>
        <v>0</v>
      </c>
      <c r="P9" s="115">
        <f t="shared" ca="1" si="11"/>
        <v>0</v>
      </c>
      <c r="Q9" s="115">
        <f t="shared" ca="1" si="12"/>
        <v>0</v>
      </c>
      <c r="R9" s="115">
        <f t="shared" ca="1" si="13"/>
        <v>0</v>
      </c>
      <c r="S9" s="115">
        <f t="shared" ca="1" si="14"/>
        <v>0</v>
      </c>
      <c r="T9" s="115">
        <f t="shared" ca="1" si="15"/>
        <v>0</v>
      </c>
      <c r="U9" s="115">
        <f t="shared" ca="1" si="16"/>
        <v>0</v>
      </c>
      <c r="V9" s="180">
        <f t="shared" ca="1" si="17"/>
        <v>0</v>
      </c>
      <c r="W9" s="177">
        <f t="shared" ca="1" si="18"/>
        <v>0</v>
      </c>
      <c r="X9" s="115">
        <f t="shared" ca="1" si="19"/>
        <v>0</v>
      </c>
      <c r="Y9" s="115">
        <f t="shared" ca="1" si="20"/>
        <v>0</v>
      </c>
      <c r="Z9" s="118">
        <f t="shared" ca="1" si="21"/>
        <v>0</v>
      </c>
      <c r="AA9" s="116">
        <f t="shared" ca="1" si="22"/>
        <v>0</v>
      </c>
      <c r="AB9" s="115">
        <f t="shared" ca="1" si="23"/>
        <v>0</v>
      </c>
      <c r="AC9" s="115">
        <f t="shared" ca="1" si="24"/>
        <v>0</v>
      </c>
      <c r="AD9" s="180">
        <f t="shared" ca="1" si="25"/>
        <v>0</v>
      </c>
      <c r="AE9" s="188">
        <f t="shared" ca="1" si="26"/>
        <v>0</v>
      </c>
      <c r="AF9" s="65">
        <f t="shared" ca="1" si="27"/>
        <v>0</v>
      </c>
      <c r="AG9" s="65">
        <f t="shared" ca="1" si="28"/>
        <v>0</v>
      </c>
      <c r="AH9" s="65">
        <f t="shared" ca="1" si="29"/>
        <v>0</v>
      </c>
      <c r="AI9" s="65">
        <f t="shared" ca="1" si="30"/>
        <v>0</v>
      </c>
      <c r="AJ9" s="65">
        <f t="shared" ca="1" si="31"/>
        <v>0</v>
      </c>
      <c r="AK9" s="65">
        <f t="shared" ca="1" si="32"/>
        <v>0</v>
      </c>
      <c r="AL9" s="65">
        <f t="shared" ca="1" si="33"/>
        <v>0</v>
      </c>
      <c r="AM9" s="183">
        <f t="shared" ca="1" si="34"/>
        <v>0</v>
      </c>
      <c r="AN9" s="190">
        <f>COUNTIFS(检查单明细!$A$3:$A$49980,A9,检查单明细!$E$3:$E$49980,"Y")+COUNTIFS(检查单明细!$A$3:$A$49980,A9,检查单明细!$E$3:$E$49980,"N")</f>
        <v>0</v>
      </c>
      <c r="AO9" s="174">
        <f>COUNTIFS(检查单明细!$A$3:$A$49980,A9,检查单明细!$E$3:$E$49980,"N")</f>
        <v>0</v>
      </c>
      <c r="AP9" s="172"/>
    </row>
    <row r="10" spans="1:42" ht="14.4">
      <c r="A10" s="111" t="s">
        <v>171</v>
      </c>
      <c r="B10" s="133"/>
      <c r="C10" s="134"/>
      <c r="D10" s="139"/>
      <c r="E10" s="116">
        <f t="shared" ca="1" si="0"/>
        <v>0</v>
      </c>
      <c r="F10" s="180">
        <f t="shared" ca="1" si="1"/>
        <v>0</v>
      </c>
      <c r="G10" s="177">
        <f t="shared" ca="1" si="2"/>
        <v>0</v>
      </c>
      <c r="H10" s="115">
        <f t="shared" ca="1" si="3"/>
        <v>0</v>
      </c>
      <c r="I10" s="183">
        <f t="shared" ca="1" si="4"/>
        <v>0</v>
      </c>
      <c r="J10" s="116">
        <f t="shared" ca="1" si="5"/>
        <v>0</v>
      </c>
      <c r="K10" s="180">
        <f t="shared" ca="1" si="6"/>
        <v>0</v>
      </c>
      <c r="L10" s="177">
        <f t="shared" ca="1" si="7"/>
        <v>0</v>
      </c>
      <c r="M10" s="118">
        <f t="shared" ca="1" si="8"/>
        <v>0</v>
      </c>
      <c r="N10" s="116">
        <f t="shared" ca="1" si="9"/>
        <v>0</v>
      </c>
      <c r="O10" s="115">
        <f t="shared" ca="1" si="10"/>
        <v>0</v>
      </c>
      <c r="P10" s="115">
        <f t="shared" ca="1" si="11"/>
        <v>0</v>
      </c>
      <c r="Q10" s="115">
        <f t="shared" ca="1" si="12"/>
        <v>0</v>
      </c>
      <c r="R10" s="115">
        <f t="shared" ca="1" si="13"/>
        <v>0</v>
      </c>
      <c r="S10" s="115">
        <f t="shared" ca="1" si="14"/>
        <v>0</v>
      </c>
      <c r="T10" s="115">
        <f t="shared" ca="1" si="15"/>
        <v>0</v>
      </c>
      <c r="U10" s="115">
        <f t="shared" ca="1" si="16"/>
        <v>0</v>
      </c>
      <c r="V10" s="180">
        <f t="shared" ca="1" si="17"/>
        <v>0</v>
      </c>
      <c r="W10" s="177">
        <f t="shared" ca="1" si="18"/>
        <v>0</v>
      </c>
      <c r="X10" s="115">
        <f t="shared" ca="1" si="19"/>
        <v>0</v>
      </c>
      <c r="Y10" s="115">
        <f t="shared" ca="1" si="20"/>
        <v>0</v>
      </c>
      <c r="Z10" s="118">
        <f t="shared" ca="1" si="21"/>
        <v>0</v>
      </c>
      <c r="AA10" s="116">
        <f t="shared" ca="1" si="22"/>
        <v>0</v>
      </c>
      <c r="AB10" s="115">
        <f t="shared" ca="1" si="23"/>
        <v>0</v>
      </c>
      <c r="AC10" s="115">
        <f t="shared" ca="1" si="24"/>
        <v>0</v>
      </c>
      <c r="AD10" s="180">
        <f t="shared" ca="1" si="25"/>
        <v>0</v>
      </c>
      <c r="AE10" s="188">
        <f t="shared" ca="1" si="26"/>
        <v>0</v>
      </c>
      <c r="AF10" s="65">
        <f t="shared" ca="1" si="27"/>
        <v>0</v>
      </c>
      <c r="AG10" s="65">
        <f t="shared" ca="1" si="28"/>
        <v>0</v>
      </c>
      <c r="AH10" s="65">
        <f t="shared" ca="1" si="29"/>
        <v>0</v>
      </c>
      <c r="AI10" s="65">
        <f t="shared" ca="1" si="30"/>
        <v>0</v>
      </c>
      <c r="AJ10" s="65">
        <f t="shared" ca="1" si="31"/>
        <v>0</v>
      </c>
      <c r="AK10" s="65">
        <f t="shared" ca="1" si="32"/>
        <v>0</v>
      </c>
      <c r="AL10" s="65">
        <f t="shared" ca="1" si="33"/>
        <v>0</v>
      </c>
      <c r="AM10" s="183">
        <f t="shared" ca="1" si="34"/>
        <v>0</v>
      </c>
      <c r="AN10" s="190">
        <f>COUNTIFS(检查单明细!$A$3:$A$49980,A10,检查单明细!$E$3:$E$49980,"Y")+COUNTIFS(检查单明细!$A$3:$A$49980,A10,检查单明细!$E$3:$E$49980,"N")</f>
        <v>0</v>
      </c>
      <c r="AO10" s="174">
        <f>COUNTIFS(检查单明细!$A$3:$A$49980,A10,检查单明细!$E$3:$E$49980,"N")</f>
        <v>0</v>
      </c>
      <c r="AP10" s="172"/>
    </row>
    <row r="11" spans="1:42" ht="14.4">
      <c r="A11" s="111" t="s">
        <v>172</v>
      </c>
      <c r="B11" s="133"/>
      <c r="C11" s="134"/>
      <c r="D11" s="139"/>
      <c r="E11" s="116">
        <f t="shared" ca="1" si="0"/>
        <v>0</v>
      </c>
      <c r="F11" s="180">
        <f t="shared" ca="1" si="1"/>
        <v>0</v>
      </c>
      <c r="G11" s="177">
        <f t="shared" ca="1" si="2"/>
        <v>0</v>
      </c>
      <c r="H11" s="115">
        <f t="shared" ca="1" si="3"/>
        <v>0</v>
      </c>
      <c r="I11" s="183">
        <f t="shared" ca="1" si="4"/>
        <v>0</v>
      </c>
      <c r="J11" s="116">
        <f t="shared" ca="1" si="5"/>
        <v>0</v>
      </c>
      <c r="K11" s="180">
        <f t="shared" ca="1" si="6"/>
        <v>0</v>
      </c>
      <c r="L11" s="177">
        <f t="shared" ca="1" si="7"/>
        <v>0</v>
      </c>
      <c r="M11" s="118">
        <f t="shared" ca="1" si="8"/>
        <v>0</v>
      </c>
      <c r="N11" s="116">
        <f t="shared" ca="1" si="9"/>
        <v>0</v>
      </c>
      <c r="O11" s="115">
        <f t="shared" ca="1" si="10"/>
        <v>0</v>
      </c>
      <c r="P11" s="115">
        <f t="shared" ca="1" si="11"/>
        <v>0</v>
      </c>
      <c r="Q11" s="115">
        <f t="shared" ca="1" si="12"/>
        <v>0</v>
      </c>
      <c r="R11" s="115">
        <f t="shared" ca="1" si="13"/>
        <v>0</v>
      </c>
      <c r="S11" s="115">
        <f t="shared" ca="1" si="14"/>
        <v>0</v>
      </c>
      <c r="T11" s="115">
        <f t="shared" ca="1" si="15"/>
        <v>0</v>
      </c>
      <c r="U11" s="115">
        <f t="shared" ca="1" si="16"/>
        <v>0</v>
      </c>
      <c r="V11" s="180">
        <f t="shared" ca="1" si="17"/>
        <v>0</v>
      </c>
      <c r="W11" s="177">
        <f t="shared" ca="1" si="18"/>
        <v>0</v>
      </c>
      <c r="X11" s="115">
        <f t="shared" ca="1" si="19"/>
        <v>0</v>
      </c>
      <c r="Y11" s="115">
        <f t="shared" ca="1" si="20"/>
        <v>0</v>
      </c>
      <c r="Z11" s="118">
        <f t="shared" ca="1" si="21"/>
        <v>0</v>
      </c>
      <c r="AA11" s="116">
        <f t="shared" ca="1" si="22"/>
        <v>0</v>
      </c>
      <c r="AB11" s="115">
        <f t="shared" ca="1" si="23"/>
        <v>0</v>
      </c>
      <c r="AC11" s="115">
        <f t="shared" ca="1" si="24"/>
        <v>0</v>
      </c>
      <c r="AD11" s="180">
        <f t="shared" ca="1" si="25"/>
        <v>0</v>
      </c>
      <c r="AE11" s="188">
        <f t="shared" ca="1" si="26"/>
        <v>0</v>
      </c>
      <c r="AF11" s="65">
        <f t="shared" ca="1" si="27"/>
        <v>0</v>
      </c>
      <c r="AG11" s="65">
        <f t="shared" ca="1" si="28"/>
        <v>0</v>
      </c>
      <c r="AH11" s="65">
        <f t="shared" ca="1" si="29"/>
        <v>0</v>
      </c>
      <c r="AI11" s="65">
        <f t="shared" ca="1" si="30"/>
        <v>0</v>
      </c>
      <c r="AJ11" s="65">
        <f t="shared" ca="1" si="31"/>
        <v>0</v>
      </c>
      <c r="AK11" s="65">
        <f t="shared" ca="1" si="32"/>
        <v>0</v>
      </c>
      <c r="AL11" s="65">
        <f t="shared" ca="1" si="33"/>
        <v>0</v>
      </c>
      <c r="AM11" s="183">
        <f t="shared" ca="1" si="34"/>
        <v>0</v>
      </c>
      <c r="AN11" s="190">
        <f>COUNTIFS(检查单明细!$A$3:$A$49980,A11,检查单明细!$E$3:$E$49980,"Y")+COUNTIFS(检查单明细!$A$3:$A$49980,A11,检查单明细!$E$3:$E$49980,"N")</f>
        <v>0</v>
      </c>
      <c r="AO11" s="174">
        <f>COUNTIFS(检查单明细!$A$3:$A$49980,A11,检查单明细!$E$3:$E$49980,"N")</f>
        <v>0</v>
      </c>
      <c r="AP11" s="172"/>
    </row>
    <row r="12" spans="1:42" ht="14.4">
      <c r="A12" s="111" t="s">
        <v>173</v>
      </c>
      <c r="B12" s="133"/>
      <c r="C12" s="134"/>
      <c r="D12" s="139"/>
      <c r="E12" s="116">
        <f t="shared" ca="1" si="0"/>
        <v>0</v>
      </c>
      <c r="F12" s="180">
        <f t="shared" ca="1" si="1"/>
        <v>0</v>
      </c>
      <c r="G12" s="177">
        <f t="shared" ca="1" si="2"/>
        <v>0</v>
      </c>
      <c r="H12" s="115">
        <f t="shared" ca="1" si="3"/>
        <v>0</v>
      </c>
      <c r="I12" s="183">
        <f t="shared" ca="1" si="4"/>
        <v>0</v>
      </c>
      <c r="J12" s="116">
        <f t="shared" ca="1" si="5"/>
        <v>0</v>
      </c>
      <c r="K12" s="180">
        <f t="shared" ca="1" si="6"/>
        <v>0</v>
      </c>
      <c r="L12" s="177">
        <f t="shared" ca="1" si="7"/>
        <v>0</v>
      </c>
      <c r="M12" s="118">
        <f t="shared" ca="1" si="8"/>
        <v>0</v>
      </c>
      <c r="N12" s="116">
        <f t="shared" ca="1" si="9"/>
        <v>0</v>
      </c>
      <c r="O12" s="115">
        <f t="shared" ca="1" si="10"/>
        <v>0</v>
      </c>
      <c r="P12" s="115">
        <f t="shared" ca="1" si="11"/>
        <v>0</v>
      </c>
      <c r="Q12" s="115">
        <f t="shared" ca="1" si="12"/>
        <v>0</v>
      </c>
      <c r="R12" s="115">
        <f t="shared" ca="1" si="13"/>
        <v>0</v>
      </c>
      <c r="S12" s="115">
        <f t="shared" ca="1" si="14"/>
        <v>0</v>
      </c>
      <c r="T12" s="115">
        <f t="shared" ca="1" si="15"/>
        <v>0</v>
      </c>
      <c r="U12" s="115">
        <f t="shared" ca="1" si="16"/>
        <v>0</v>
      </c>
      <c r="V12" s="180">
        <f t="shared" ca="1" si="17"/>
        <v>0</v>
      </c>
      <c r="W12" s="177">
        <f t="shared" ca="1" si="18"/>
        <v>0</v>
      </c>
      <c r="X12" s="115">
        <f t="shared" ca="1" si="19"/>
        <v>0</v>
      </c>
      <c r="Y12" s="115">
        <f t="shared" ca="1" si="20"/>
        <v>0</v>
      </c>
      <c r="Z12" s="118">
        <f t="shared" ca="1" si="21"/>
        <v>0</v>
      </c>
      <c r="AA12" s="116">
        <f t="shared" ca="1" si="22"/>
        <v>0</v>
      </c>
      <c r="AB12" s="115">
        <f t="shared" ca="1" si="23"/>
        <v>0</v>
      </c>
      <c r="AC12" s="115">
        <f t="shared" ca="1" si="24"/>
        <v>0</v>
      </c>
      <c r="AD12" s="180">
        <f t="shared" ca="1" si="25"/>
        <v>0</v>
      </c>
      <c r="AE12" s="188">
        <f t="shared" ca="1" si="26"/>
        <v>0</v>
      </c>
      <c r="AF12" s="65">
        <f t="shared" ca="1" si="27"/>
        <v>0</v>
      </c>
      <c r="AG12" s="65">
        <f t="shared" ca="1" si="28"/>
        <v>0</v>
      </c>
      <c r="AH12" s="65">
        <f t="shared" ca="1" si="29"/>
        <v>0</v>
      </c>
      <c r="AI12" s="65">
        <f t="shared" ca="1" si="30"/>
        <v>0</v>
      </c>
      <c r="AJ12" s="65">
        <f t="shared" ca="1" si="31"/>
        <v>0</v>
      </c>
      <c r="AK12" s="65">
        <f t="shared" ca="1" si="32"/>
        <v>0</v>
      </c>
      <c r="AL12" s="65">
        <f t="shared" ca="1" si="33"/>
        <v>0</v>
      </c>
      <c r="AM12" s="183">
        <f t="shared" ca="1" si="34"/>
        <v>0</v>
      </c>
      <c r="AN12" s="190">
        <f>COUNTIFS(检查单明细!$A$3:$A$49980,A12,检查单明细!$E$3:$E$49980,"Y")+COUNTIFS(检查单明细!$A$3:$A$49980,A12,检查单明细!$E$3:$E$49980,"N")</f>
        <v>0</v>
      </c>
      <c r="AO12" s="174">
        <f>COUNTIFS(检查单明细!$A$3:$A$49980,A12,检查单明细!$E$3:$E$49980,"N")</f>
        <v>0</v>
      </c>
      <c r="AP12" s="172"/>
    </row>
    <row r="13" spans="1:42" ht="15" thickBot="1">
      <c r="A13" s="112" t="s">
        <v>174</v>
      </c>
      <c r="B13" s="135"/>
      <c r="C13" s="136"/>
      <c r="D13" s="140"/>
      <c r="E13" s="117">
        <f t="shared" ca="1" si="0"/>
        <v>0</v>
      </c>
      <c r="F13" s="181">
        <f t="shared" ca="1" si="1"/>
        <v>0</v>
      </c>
      <c r="G13" s="178">
        <f t="shared" ca="1" si="2"/>
        <v>0</v>
      </c>
      <c r="H13" s="120">
        <f t="shared" ca="1" si="3"/>
        <v>0</v>
      </c>
      <c r="I13" s="184">
        <f t="shared" ca="1" si="4"/>
        <v>0</v>
      </c>
      <c r="J13" s="117">
        <f t="shared" ca="1" si="5"/>
        <v>0</v>
      </c>
      <c r="K13" s="181">
        <f t="shared" ca="1" si="6"/>
        <v>0</v>
      </c>
      <c r="L13" s="178">
        <f t="shared" ca="1" si="7"/>
        <v>0</v>
      </c>
      <c r="M13" s="119">
        <f t="shared" ca="1" si="8"/>
        <v>0</v>
      </c>
      <c r="N13" s="117">
        <f t="shared" ca="1" si="9"/>
        <v>0</v>
      </c>
      <c r="O13" s="120">
        <f t="shared" ca="1" si="10"/>
        <v>0</v>
      </c>
      <c r="P13" s="120">
        <f t="shared" ca="1" si="11"/>
        <v>0</v>
      </c>
      <c r="Q13" s="120">
        <f t="shared" ca="1" si="12"/>
        <v>0</v>
      </c>
      <c r="R13" s="120">
        <f t="shared" ca="1" si="13"/>
        <v>0</v>
      </c>
      <c r="S13" s="120">
        <f t="shared" ca="1" si="14"/>
        <v>0</v>
      </c>
      <c r="T13" s="120">
        <f t="shared" ca="1" si="15"/>
        <v>0</v>
      </c>
      <c r="U13" s="120">
        <f t="shared" ca="1" si="16"/>
        <v>0</v>
      </c>
      <c r="V13" s="181">
        <f t="shared" ca="1" si="17"/>
        <v>0</v>
      </c>
      <c r="W13" s="178">
        <f t="shared" ca="1" si="18"/>
        <v>0</v>
      </c>
      <c r="X13" s="120">
        <f t="shared" ca="1" si="19"/>
        <v>0</v>
      </c>
      <c r="Y13" s="120">
        <f t="shared" ca="1" si="20"/>
        <v>0</v>
      </c>
      <c r="Z13" s="119">
        <f t="shared" ca="1" si="21"/>
        <v>0</v>
      </c>
      <c r="AA13" s="117">
        <f t="shared" ca="1" si="22"/>
        <v>0</v>
      </c>
      <c r="AB13" s="120">
        <f t="shared" ca="1" si="23"/>
        <v>0</v>
      </c>
      <c r="AC13" s="120">
        <f t="shared" ca="1" si="24"/>
        <v>0</v>
      </c>
      <c r="AD13" s="181">
        <f t="shared" ca="1" si="25"/>
        <v>0</v>
      </c>
      <c r="AE13" s="189">
        <f t="shared" ca="1" si="26"/>
        <v>0</v>
      </c>
      <c r="AF13" s="173">
        <f t="shared" ca="1" si="27"/>
        <v>0</v>
      </c>
      <c r="AG13" s="173">
        <f t="shared" ca="1" si="28"/>
        <v>0</v>
      </c>
      <c r="AH13" s="173">
        <f t="shared" ca="1" si="29"/>
        <v>0</v>
      </c>
      <c r="AI13" s="173">
        <f t="shared" ca="1" si="30"/>
        <v>0</v>
      </c>
      <c r="AJ13" s="173">
        <f t="shared" ca="1" si="31"/>
        <v>0</v>
      </c>
      <c r="AK13" s="173">
        <f t="shared" ca="1" si="32"/>
        <v>0</v>
      </c>
      <c r="AL13" s="173">
        <f t="shared" ca="1" si="33"/>
        <v>0</v>
      </c>
      <c r="AM13" s="184">
        <f t="shared" ca="1" si="34"/>
        <v>0</v>
      </c>
      <c r="AN13" s="270">
        <f>COUNTIFS(检查单明细!$A$3:$A$49980,A13,检查单明细!$E$3:$E$49980,"Y")+COUNTIFS(检查单明细!$A$3:$A$49980,A13,检查单明细!$E$3:$E$49980,"N")</f>
        <v>0</v>
      </c>
      <c r="AO13" s="271">
        <f>COUNTIFS(检查单明细!$A$3:$A$49980,A13,检查单明细!$E$3:$E$49980,"N")</f>
        <v>0</v>
      </c>
      <c r="AP13" s="172"/>
    </row>
    <row r="14" spans="1:42">
      <c r="A14" s="191"/>
      <c r="B14" s="41"/>
      <c r="C14" s="41"/>
      <c r="D14" s="41"/>
      <c r="E14" s="192"/>
      <c r="F14" s="192"/>
      <c r="G14" s="192"/>
      <c r="H14" s="192"/>
      <c r="I14" s="192"/>
      <c r="J14" s="54"/>
      <c r="K14" s="54"/>
      <c r="L14" s="54"/>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2"/>
    </row>
    <row r="16" spans="1:42">
      <c r="E16" s="44"/>
      <c r="F16" s="44"/>
      <c r="G16" s="44"/>
      <c r="H16" s="44"/>
      <c r="I16" s="44"/>
      <c r="J16" s="44"/>
      <c r="M16" s="44"/>
      <c r="N16" s="44"/>
      <c r="O16" s="44"/>
      <c r="P16" s="44"/>
      <c r="R16" s="44"/>
      <c r="S16" s="44"/>
      <c r="U16" s="44"/>
      <c r="X16" s="44"/>
      <c r="Z16" s="44"/>
      <c r="AA16" s="44"/>
      <c r="AC16" s="44"/>
      <c r="AF16" s="44"/>
      <c r="AH16" s="44"/>
      <c r="AI16" s="44"/>
      <c r="AJ16" s="44"/>
      <c r="AK16" s="44"/>
      <c r="AL16" s="44"/>
      <c r="AN16" s="44"/>
      <c r="AP16" s="43"/>
    </row>
    <row r="17" spans="18:42">
      <c r="R17" s="45"/>
      <c r="S17" s="45"/>
      <c r="AP17" s="43"/>
    </row>
    <row r="34" spans="27:27">
      <c r="AA34" s="87"/>
    </row>
  </sheetData>
  <mergeCells count="12">
    <mergeCell ref="A2:A4"/>
    <mergeCell ref="AP2:AP4"/>
    <mergeCell ref="AA2:AD2"/>
    <mergeCell ref="AE2:AM2"/>
    <mergeCell ref="AN2:AO2"/>
    <mergeCell ref="W2:Z2"/>
    <mergeCell ref="L2:M2"/>
    <mergeCell ref="J2:K2"/>
    <mergeCell ref="G2:I2"/>
    <mergeCell ref="E2:F2"/>
    <mergeCell ref="B2:D2"/>
    <mergeCell ref="N2:V2"/>
  </mergeCells>
  <phoneticPr fontId="13"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FF"/>
  </sheetPr>
  <dimension ref="A2:E83"/>
  <sheetViews>
    <sheetView zoomScale="90" zoomScaleNormal="90" workbookViewId="0">
      <selection activeCell="G79" sqref="G79"/>
    </sheetView>
  </sheetViews>
  <sheetFormatPr defaultRowHeight="20.100000000000001" customHeight="1"/>
  <cols>
    <col min="1" max="1" width="9.109375" style="37"/>
    <col min="2" max="2" width="9.6640625" customWidth="1"/>
    <col min="3" max="3" width="5.6640625" customWidth="1"/>
    <col min="4" max="4" width="82.6640625" customWidth="1"/>
    <col min="5" max="5" width="31.44140625" customWidth="1"/>
  </cols>
  <sheetData>
    <row r="2" spans="1:5" s="37" customFormat="1" ht="20.100000000000001" customHeight="1">
      <c r="A2" s="264" t="s">
        <v>264</v>
      </c>
      <c r="B2" s="265" t="s">
        <v>42</v>
      </c>
      <c r="C2" s="266" t="s">
        <v>266</v>
      </c>
      <c r="D2" s="267" t="s">
        <v>267</v>
      </c>
      <c r="E2" s="267" t="s">
        <v>268</v>
      </c>
    </row>
    <row r="3" spans="1:5" ht="20.100000000000001" customHeight="1">
      <c r="A3" s="356" t="s">
        <v>1334</v>
      </c>
      <c r="B3" s="389" t="s">
        <v>1304</v>
      </c>
      <c r="C3">
        <v>1</v>
      </c>
      <c r="D3" t="s">
        <v>1305</v>
      </c>
      <c r="E3" t="s">
        <v>1278</v>
      </c>
    </row>
    <row r="4" spans="1:5" ht="20.100000000000001" customHeight="1">
      <c r="A4" s="356" t="s">
        <v>1334</v>
      </c>
      <c r="B4" s="388"/>
      <c r="C4">
        <v>2</v>
      </c>
      <c r="D4" t="s">
        <v>1306</v>
      </c>
      <c r="E4" t="s">
        <v>1278</v>
      </c>
    </row>
    <row r="5" spans="1:5" ht="20.100000000000001" customHeight="1">
      <c r="A5" s="356" t="s">
        <v>1334</v>
      </c>
      <c r="B5" s="388"/>
      <c r="C5">
        <v>3</v>
      </c>
      <c r="D5" t="s">
        <v>1307</v>
      </c>
      <c r="E5" t="s">
        <v>1278</v>
      </c>
    </row>
    <row r="6" spans="1:5" ht="20.100000000000001" customHeight="1">
      <c r="A6" s="356" t="s">
        <v>1334</v>
      </c>
      <c r="B6" s="388"/>
      <c r="C6">
        <v>4</v>
      </c>
      <c r="D6" t="s">
        <v>1308</v>
      </c>
      <c r="E6" t="s">
        <v>1278</v>
      </c>
    </row>
    <row r="7" spans="1:5" ht="20.100000000000001" customHeight="1">
      <c r="A7" s="356" t="s">
        <v>1334</v>
      </c>
      <c r="B7" s="388" t="s">
        <v>1309</v>
      </c>
      <c r="C7">
        <v>1</v>
      </c>
      <c r="D7" t="s">
        <v>1310</v>
      </c>
      <c r="E7" t="s">
        <v>1278</v>
      </c>
    </row>
    <row r="8" spans="1:5" ht="20.100000000000001" customHeight="1">
      <c r="A8" s="356" t="s">
        <v>1334</v>
      </c>
      <c r="B8" s="388"/>
      <c r="C8">
        <v>2</v>
      </c>
      <c r="D8" t="s">
        <v>1311</v>
      </c>
      <c r="E8" t="s">
        <v>1278</v>
      </c>
    </row>
    <row r="9" spans="1:5" ht="20.100000000000001" customHeight="1">
      <c r="A9" s="356" t="s">
        <v>1334</v>
      </c>
      <c r="B9" s="388"/>
      <c r="C9">
        <v>3</v>
      </c>
      <c r="D9" t="s">
        <v>1312</v>
      </c>
      <c r="E9" t="s">
        <v>1278</v>
      </c>
    </row>
    <row r="10" spans="1:5" ht="20.100000000000001" customHeight="1">
      <c r="A10" s="356" t="s">
        <v>1334</v>
      </c>
      <c r="B10" s="388"/>
      <c r="C10">
        <v>4</v>
      </c>
      <c r="D10" t="s">
        <v>1313</v>
      </c>
      <c r="E10" t="s">
        <v>1278</v>
      </c>
    </row>
    <row r="11" spans="1:5" ht="20.100000000000001" customHeight="1">
      <c r="A11" s="356" t="s">
        <v>1334</v>
      </c>
      <c r="B11" s="388"/>
      <c r="C11">
        <v>5</v>
      </c>
      <c r="D11" t="s">
        <v>1314</v>
      </c>
      <c r="E11" t="s">
        <v>1278</v>
      </c>
    </row>
    <row r="12" spans="1:5" ht="20.100000000000001" customHeight="1">
      <c r="A12" s="356" t="s">
        <v>1334</v>
      </c>
      <c r="B12" s="388"/>
      <c r="C12">
        <v>6</v>
      </c>
      <c r="D12" t="s">
        <v>1315</v>
      </c>
      <c r="E12" t="s">
        <v>1278</v>
      </c>
    </row>
    <row r="13" spans="1:5" ht="20.100000000000001" customHeight="1">
      <c r="A13" s="356" t="s">
        <v>1334</v>
      </c>
      <c r="B13" s="388"/>
      <c r="C13">
        <v>7</v>
      </c>
      <c r="D13" t="s">
        <v>1316</v>
      </c>
      <c r="E13" t="s">
        <v>1278</v>
      </c>
    </row>
    <row r="14" spans="1:5" ht="20.100000000000001" customHeight="1">
      <c r="A14" s="356" t="s">
        <v>1334</v>
      </c>
      <c r="B14" s="388"/>
      <c r="C14">
        <v>8</v>
      </c>
      <c r="D14" t="s">
        <v>1317</v>
      </c>
      <c r="E14" t="s">
        <v>1275</v>
      </c>
    </row>
    <row r="15" spans="1:5" ht="20.100000000000001" customHeight="1">
      <c r="A15" s="356" t="s">
        <v>1334</v>
      </c>
      <c r="B15" s="388"/>
      <c r="C15">
        <v>9</v>
      </c>
      <c r="D15" t="s">
        <v>1318</v>
      </c>
      <c r="E15" t="s">
        <v>1275</v>
      </c>
    </row>
    <row r="16" spans="1:5" ht="20.100000000000001" customHeight="1">
      <c r="A16" s="356" t="s">
        <v>1334</v>
      </c>
      <c r="B16" s="388" t="s">
        <v>1319</v>
      </c>
      <c r="C16">
        <v>1</v>
      </c>
      <c r="D16" t="s">
        <v>1320</v>
      </c>
    </row>
    <row r="17" spans="1:5" ht="20.100000000000001" customHeight="1">
      <c r="A17" s="356" t="s">
        <v>1334</v>
      </c>
      <c r="B17" s="388"/>
      <c r="C17">
        <v>2</v>
      </c>
      <c r="D17" t="s">
        <v>1321</v>
      </c>
    </row>
    <row r="18" spans="1:5" ht="20.100000000000001" customHeight="1">
      <c r="A18" s="356" t="s">
        <v>1334</v>
      </c>
      <c r="B18" s="388"/>
      <c r="C18">
        <v>3</v>
      </c>
      <c r="D18" t="s">
        <v>1322</v>
      </c>
    </row>
    <row r="19" spans="1:5" ht="20.100000000000001" customHeight="1">
      <c r="A19" s="356" t="s">
        <v>1334</v>
      </c>
      <c r="B19" s="388" t="s">
        <v>1323</v>
      </c>
      <c r="C19">
        <v>1</v>
      </c>
      <c r="D19" t="s">
        <v>1324</v>
      </c>
      <c r="E19" t="s">
        <v>1278</v>
      </c>
    </row>
    <row r="20" spans="1:5" ht="20.100000000000001" customHeight="1">
      <c r="A20" s="356" t="s">
        <v>1334</v>
      </c>
      <c r="B20" s="388"/>
      <c r="C20">
        <v>2</v>
      </c>
      <c r="D20" t="s">
        <v>1325</v>
      </c>
      <c r="E20" t="s">
        <v>1275</v>
      </c>
    </row>
    <row r="21" spans="1:5" ht="20.100000000000001" customHeight="1">
      <c r="A21" s="356" t="s">
        <v>1334</v>
      </c>
      <c r="B21" s="388"/>
      <c r="C21">
        <v>3</v>
      </c>
      <c r="D21" t="s">
        <v>1326</v>
      </c>
      <c r="E21" t="s">
        <v>1281</v>
      </c>
    </row>
    <row r="22" spans="1:5" ht="20.100000000000001" customHeight="1">
      <c r="A22" s="356" t="s">
        <v>1334</v>
      </c>
      <c r="B22" s="388"/>
      <c r="C22">
        <v>4</v>
      </c>
      <c r="D22" t="s">
        <v>1327</v>
      </c>
      <c r="E22" t="s">
        <v>1281</v>
      </c>
    </row>
    <row r="23" spans="1:5" ht="20.100000000000001" customHeight="1">
      <c r="A23" s="356" t="s">
        <v>1334</v>
      </c>
      <c r="B23" s="388"/>
      <c r="C23">
        <v>5</v>
      </c>
      <c r="D23" t="s">
        <v>1328</v>
      </c>
      <c r="E23" t="s">
        <v>1275</v>
      </c>
    </row>
    <row r="24" spans="1:5" ht="20.100000000000001" customHeight="1">
      <c r="A24" s="356" t="s">
        <v>1334</v>
      </c>
      <c r="B24" s="388"/>
      <c r="C24">
        <v>6</v>
      </c>
      <c r="D24" t="s">
        <v>1329</v>
      </c>
      <c r="E24" t="s">
        <v>1275</v>
      </c>
    </row>
    <row r="25" spans="1:5" ht="20.100000000000001" customHeight="1">
      <c r="A25" s="356" t="s">
        <v>1334</v>
      </c>
      <c r="B25" s="388"/>
      <c r="C25">
        <v>7</v>
      </c>
      <c r="D25" t="s">
        <v>1330</v>
      </c>
      <c r="E25" t="s">
        <v>1281</v>
      </c>
    </row>
    <row r="26" spans="1:5" ht="20.100000000000001" customHeight="1">
      <c r="A26" s="356" t="s">
        <v>1334</v>
      </c>
      <c r="B26" s="388"/>
      <c r="C26">
        <v>8</v>
      </c>
      <c r="D26" t="s">
        <v>1300</v>
      </c>
      <c r="E26" t="s">
        <v>1278</v>
      </c>
    </row>
    <row r="27" spans="1:5" ht="20.100000000000001" customHeight="1">
      <c r="A27" s="356" t="s">
        <v>1334</v>
      </c>
      <c r="B27" s="388"/>
      <c r="C27">
        <v>9</v>
      </c>
      <c r="D27" t="s">
        <v>1331</v>
      </c>
      <c r="E27" t="s">
        <v>1278</v>
      </c>
    </row>
    <row r="28" spans="1:5" ht="20.100000000000001" customHeight="1">
      <c r="A28" s="356" t="s">
        <v>1334</v>
      </c>
      <c r="B28" s="388"/>
      <c r="C28">
        <v>10</v>
      </c>
      <c r="D28" t="s">
        <v>1332</v>
      </c>
      <c r="E28" t="s">
        <v>1278</v>
      </c>
    </row>
    <row r="29" spans="1:5" ht="20.100000000000001" customHeight="1">
      <c r="A29" s="356" t="s">
        <v>1334</v>
      </c>
      <c r="B29" s="388"/>
      <c r="C29">
        <v>11</v>
      </c>
      <c r="D29" t="s">
        <v>1333</v>
      </c>
      <c r="E29" t="s">
        <v>1278</v>
      </c>
    </row>
    <row r="30" spans="1:5" ht="20.100000000000001" customHeight="1">
      <c r="A30" s="356" t="s">
        <v>1334</v>
      </c>
      <c r="B30" s="388" t="s">
        <v>1273</v>
      </c>
      <c r="C30">
        <v>1</v>
      </c>
      <c r="D30" t="s">
        <v>1274</v>
      </c>
      <c r="E30" t="s">
        <v>1275</v>
      </c>
    </row>
    <row r="31" spans="1:5" ht="20.100000000000001" customHeight="1">
      <c r="A31" s="356" t="s">
        <v>1334</v>
      </c>
      <c r="B31" s="388"/>
      <c r="C31">
        <v>2</v>
      </c>
      <c r="D31" t="s">
        <v>1276</v>
      </c>
      <c r="E31" t="s">
        <v>1275</v>
      </c>
    </row>
    <row r="32" spans="1:5" ht="20.100000000000001" customHeight="1">
      <c r="A32" s="356" t="s">
        <v>1334</v>
      </c>
      <c r="B32" s="388"/>
      <c r="C32">
        <v>3</v>
      </c>
      <c r="D32" t="s">
        <v>1277</v>
      </c>
      <c r="E32" t="s">
        <v>1278</v>
      </c>
    </row>
    <row r="33" spans="1:5" ht="20.100000000000001" customHeight="1">
      <c r="A33" s="356" t="s">
        <v>1334</v>
      </c>
      <c r="B33" s="388"/>
      <c r="C33">
        <v>4</v>
      </c>
      <c r="D33" t="s">
        <v>1279</v>
      </c>
      <c r="E33" t="s">
        <v>1275</v>
      </c>
    </row>
    <row r="34" spans="1:5" ht="20.100000000000001" customHeight="1">
      <c r="A34" s="356" t="s">
        <v>1334</v>
      </c>
      <c r="B34" s="388"/>
      <c r="C34">
        <v>5</v>
      </c>
      <c r="D34" t="s">
        <v>1280</v>
      </c>
      <c r="E34" t="s">
        <v>1281</v>
      </c>
    </row>
    <row r="35" spans="1:5" ht="20.100000000000001" customHeight="1">
      <c r="A35" s="356" t="s">
        <v>1334</v>
      </c>
      <c r="B35" s="388"/>
      <c r="C35">
        <v>6</v>
      </c>
      <c r="D35" t="s">
        <v>1282</v>
      </c>
      <c r="E35" t="s">
        <v>1281</v>
      </c>
    </row>
    <row r="36" spans="1:5" ht="20.100000000000001" customHeight="1">
      <c r="A36" s="356" t="s">
        <v>1334</v>
      </c>
      <c r="B36" s="388"/>
      <c r="C36">
        <v>7</v>
      </c>
      <c r="D36" t="s">
        <v>1283</v>
      </c>
      <c r="E36" t="s">
        <v>1281</v>
      </c>
    </row>
    <row r="37" spans="1:5" ht="20.100000000000001" customHeight="1">
      <c r="A37" s="356" t="s">
        <v>1334</v>
      </c>
      <c r="B37" s="388"/>
      <c r="C37">
        <v>8</v>
      </c>
      <c r="D37" t="s">
        <v>1284</v>
      </c>
      <c r="E37" t="s">
        <v>1278</v>
      </c>
    </row>
    <row r="38" spans="1:5" ht="20.100000000000001" customHeight="1">
      <c r="A38" s="356" t="s">
        <v>1334</v>
      </c>
      <c r="B38" s="388"/>
      <c r="C38">
        <v>9</v>
      </c>
      <c r="D38" t="s">
        <v>1285</v>
      </c>
      <c r="E38" t="s">
        <v>1278</v>
      </c>
    </row>
    <row r="39" spans="1:5" ht="20.100000000000001" customHeight="1">
      <c r="A39" s="356" t="s">
        <v>1334</v>
      </c>
      <c r="B39" s="388"/>
      <c r="C39">
        <v>10</v>
      </c>
      <c r="D39" t="s">
        <v>1286</v>
      </c>
      <c r="E39" t="s">
        <v>1275</v>
      </c>
    </row>
    <row r="40" spans="1:5" ht="20.100000000000001" customHeight="1">
      <c r="A40" s="356" t="s">
        <v>1334</v>
      </c>
      <c r="B40" s="388"/>
      <c r="C40">
        <v>11</v>
      </c>
      <c r="D40" t="s">
        <v>1287</v>
      </c>
      <c r="E40" t="s">
        <v>1278</v>
      </c>
    </row>
    <row r="41" spans="1:5" ht="20.100000000000001" customHeight="1">
      <c r="A41" s="356" t="s">
        <v>1334</v>
      </c>
      <c r="B41" s="388"/>
      <c r="C41">
        <v>12</v>
      </c>
      <c r="D41" t="s">
        <v>1288</v>
      </c>
      <c r="E41" t="s">
        <v>1275</v>
      </c>
    </row>
    <row r="42" spans="1:5" ht="20.100000000000001" customHeight="1">
      <c r="A42" s="356" t="s">
        <v>1334</v>
      </c>
      <c r="B42" s="388"/>
      <c r="C42">
        <v>13</v>
      </c>
      <c r="D42" t="s">
        <v>1289</v>
      </c>
      <c r="E42" t="s">
        <v>1275</v>
      </c>
    </row>
    <row r="43" spans="1:5" ht="20.100000000000001" customHeight="1">
      <c r="A43" s="356" t="s">
        <v>1334</v>
      </c>
      <c r="B43" s="388"/>
      <c r="C43">
        <v>14</v>
      </c>
      <c r="D43" t="s">
        <v>1290</v>
      </c>
      <c r="E43" t="s">
        <v>1278</v>
      </c>
    </row>
    <row r="44" spans="1:5" ht="20.100000000000001" customHeight="1">
      <c r="A44" s="356" t="s">
        <v>1334</v>
      </c>
      <c r="B44" s="388"/>
      <c r="C44">
        <v>15</v>
      </c>
      <c r="D44" t="s">
        <v>1291</v>
      </c>
      <c r="E44" t="s">
        <v>1275</v>
      </c>
    </row>
    <row r="45" spans="1:5" ht="20.100000000000001" customHeight="1">
      <c r="A45" s="356" t="s">
        <v>1334</v>
      </c>
      <c r="B45" s="388"/>
      <c r="C45">
        <v>16</v>
      </c>
      <c r="D45" t="s">
        <v>1292</v>
      </c>
      <c r="E45" t="s">
        <v>1278</v>
      </c>
    </row>
    <row r="46" spans="1:5" ht="20.100000000000001" customHeight="1">
      <c r="A46" s="356" t="s">
        <v>1334</v>
      </c>
      <c r="B46" s="388"/>
      <c r="C46">
        <v>17</v>
      </c>
      <c r="D46" t="s">
        <v>1293</v>
      </c>
      <c r="E46" t="s">
        <v>1278</v>
      </c>
    </row>
    <row r="47" spans="1:5" ht="20.100000000000001" customHeight="1">
      <c r="A47" s="356" t="s">
        <v>1334</v>
      </c>
      <c r="B47" s="388"/>
      <c r="C47">
        <v>18</v>
      </c>
      <c r="D47" t="s">
        <v>1294</v>
      </c>
      <c r="E47" t="s">
        <v>1275</v>
      </c>
    </row>
    <row r="48" spans="1:5" ht="20.100000000000001" customHeight="1">
      <c r="A48" s="356" t="s">
        <v>1334</v>
      </c>
      <c r="B48" s="388"/>
      <c r="C48">
        <v>19</v>
      </c>
      <c r="D48" t="s">
        <v>265</v>
      </c>
      <c r="E48" t="s">
        <v>1275</v>
      </c>
    </row>
    <row r="49" spans="1:5" ht="20.100000000000001" customHeight="1">
      <c r="A49" s="356" t="s">
        <v>1334</v>
      </c>
      <c r="B49" s="388"/>
      <c r="C49">
        <v>20</v>
      </c>
      <c r="D49" t="s">
        <v>1295</v>
      </c>
      <c r="E49" t="s">
        <v>1275</v>
      </c>
    </row>
    <row r="50" spans="1:5" ht="20.100000000000001" customHeight="1">
      <c r="A50" s="356" t="s">
        <v>1334</v>
      </c>
      <c r="B50" s="388"/>
      <c r="C50">
        <v>21</v>
      </c>
      <c r="D50" t="s">
        <v>1296</v>
      </c>
      <c r="E50" t="s">
        <v>1275</v>
      </c>
    </row>
    <row r="51" spans="1:5" ht="20.100000000000001" customHeight="1">
      <c r="A51" s="356" t="s">
        <v>1334</v>
      </c>
      <c r="B51" s="388"/>
      <c r="C51">
        <v>22</v>
      </c>
      <c r="D51" t="s">
        <v>1297</v>
      </c>
      <c r="E51" t="s">
        <v>1275</v>
      </c>
    </row>
    <row r="52" spans="1:5" ht="20.100000000000001" customHeight="1">
      <c r="A52" s="356" t="s">
        <v>1334</v>
      </c>
      <c r="B52" s="388"/>
      <c r="C52">
        <v>23</v>
      </c>
      <c r="D52" t="s">
        <v>1298</v>
      </c>
      <c r="E52" t="s">
        <v>1275</v>
      </c>
    </row>
    <row r="53" spans="1:5" ht="20.100000000000001" customHeight="1">
      <c r="A53" s="356" t="s">
        <v>1334</v>
      </c>
      <c r="B53" s="388"/>
      <c r="C53">
        <v>24</v>
      </c>
      <c r="D53" t="s">
        <v>1299</v>
      </c>
      <c r="E53" t="s">
        <v>1275</v>
      </c>
    </row>
    <row r="54" spans="1:5" ht="20.100000000000001" customHeight="1">
      <c r="A54" s="356" t="s">
        <v>1334</v>
      </c>
      <c r="B54" s="388"/>
      <c r="C54">
        <v>25</v>
      </c>
      <c r="D54" t="s">
        <v>1300</v>
      </c>
      <c r="E54" t="s">
        <v>1275</v>
      </c>
    </row>
    <row r="55" spans="1:5" ht="20.100000000000001" customHeight="1">
      <c r="A55" s="356" t="s">
        <v>1334</v>
      </c>
      <c r="B55" s="388" t="s">
        <v>1301</v>
      </c>
      <c r="C55">
        <v>1</v>
      </c>
      <c r="D55" t="s">
        <v>1302</v>
      </c>
      <c r="E55" t="s">
        <v>1278</v>
      </c>
    </row>
    <row r="56" spans="1:5" ht="20.100000000000001" customHeight="1">
      <c r="A56" s="356" t="s">
        <v>1334</v>
      </c>
      <c r="B56" s="388"/>
      <c r="C56">
        <v>2</v>
      </c>
      <c r="D56" t="s">
        <v>1303</v>
      </c>
      <c r="E56" t="s">
        <v>1278</v>
      </c>
    </row>
    <row r="57" spans="1:5" ht="20.100000000000001" customHeight="1">
      <c r="A57" s="357" t="s">
        <v>1335</v>
      </c>
      <c r="B57" s="388" t="s">
        <v>1273</v>
      </c>
      <c r="C57">
        <v>1</v>
      </c>
      <c r="D57" t="s">
        <v>1274</v>
      </c>
      <c r="E57" t="s">
        <v>1275</v>
      </c>
    </row>
    <row r="58" spans="1:5" ht="20.100000000000001" customHeight="1">
      <c r="A58" s="357" t="s">
        <v>1335</v>
      </c>
      <c r="B58" s="388"/>
      <c r="C58">
        <v>2</v>
      </c>
      <c r="D58" t="s">
        <v>1276</v>
      </c>
      <c r="E58" t="s">
        <v>1275</v>
      </c>
    </row>
    <row r="59" spans="1:5" ht="20.100000000000001" customHeight="1">
      <c r="A59" s="357" t="s">
        <v>1335</v>
      </c>
      <c r="B59" s="388"/>
      <c r="C59">
        <v>3</v>
      </c>
      <c r="D59" t="s">
        <v>1277</v>
      </c>
      <c r="E59" t="s">
        <v>1278</v>
      </c>
    </row>
    <row r="60" spans="1:5" ht="20.100000000000001" customHeight="1">
      <c r="A60" s="357" t="s">
        <v>1335</v>
      </c>
      <c r="B60" s="388"/>
      <c r="C60">
        <v>4</v>
      </c>
      <c r="D60" t="s">
        <v>1279</v>
      </c>
      <c r="E60" t="s">
        <v>1278</v>
      </c>
    </row>
    <row r="61" spans="1:5" ht="20.100000000000001" customHeight="1">
      <c r="A61" s="357" t="s">
        <v>1335</v>
      </c>
      <c r="B61" s="388"/>
      <c r="C61">
        <v>5</v>
      </c>
      <c r="D61" t="s">
        <v>1280</v>
      </c>
      <c r="E61" t="s">
        <v>1278</v>
      </c>
    </row>
    <row r="62" spans="1:5" ht="20.100000000000001" customHeight="1">
      <c r="A62" s="357" t="s">
        <v>1335</v>
      </c>
      <c r="B62" s="388"/>
      <c r="C62">
        <v>6</v>
      </c>
      <c r="D62" t="s">
        <v>1282</v>
      </c>
      <c r="E62" t="s">
        <v>1278</v>
      </c>
    </row>
    <row r="63" spans="1:5" ht="20.100000000000001" customHeight="1">
      <c r="A63" s="357" t="s">
        <v>1335</v>
      </c>
      <c r="B63" s="388"/>
      <c r="C63">
        <v>7</v>
      </c>
      <c r="D63" t="s">
        <v>1283</v>
      </c>
      <c r="E63" t="s">
        <v>1275</v>
      </c>
    </row>
    <row r="64" spans="1:5" ht="20.100000000000001" customHeight="1">
      <c r="A64" s="357" t="s">
        <v>1335</v>
      </c>
      <c r="B64" s="388"/>
      <c r="C64">
        <v>8</v>
      </c>
      <c r="D64" t="s">
        <v>1284</v>
      </c>
      <c r="E64" t="s">
        <v>1275</v>
      </c>
    </row>
    <row r="65" spans="1:5" ht="20.100000000000001" customHeight="1">
      <c r="A65" s="357" t="s">
        <v>1335</v>
      </c>
      <c r="B65" s="388"/>
      <c r="C65">
        <v>9</v>
      </c>
      <c r="D65" t="s">
        <v>1285</v>
      </c>
      <c r="E65" t="s">
        <v>1278</v>
      </c>
    </row>
    <row r="66" spans="1:5" ht="20.100000000000001" customHeight="1">
      <c r="A66" s="357" t="s">
        <v>1335</v>
      </c>
      <c r="B66" s="388"/>
      <c r="C66">
        <v>10</v>
      </c>
      <c r="D66" t="s">
        <v>1286</v>
      </c>
      <c r="E66" t="s">
        <v>1275</v>
      </c>
    </row>
    <row r="67" spans="1:5" ht="20.100000000000001" customHeight="1">
      <c r="A67" s="357" t="s">
        <v>1335</v>
      </c>
      <c r="B67" s="388"/>
      <c r="C67">
        <v>11</v>
      </c>
      <c r="D67" t="s">
        <v>1287</v>
      </c>
      <c r="E67" t="s">
        <v>1278</v>
      </c>
    </row>
    <row r="68" spans="1:5" ht="20.100000000000001" customHeight="1">
      <c r="A68" s="357" t="s">
        <v>1335</v>
      </c>
      <c r="B68" s="388"/>
      <c r="C68">
        <v>12</v>
      </c>
      <c r="D68" t="s">
        <v>1288</v>
      </c>
      <c r="E68" t="s">
        <v>1275</v>
      </c>
    </row>
    <row r="69" spans="1:5" ht="20.100000000000001" customHeight="1">
      <c r="A69" s="357" t="s">
        <v>1335</v>
      </c>
      <c r="B69" s="388"/>
      <c r="C69">
        <v>13</v>
      </c>
      <c r="D69" t="s">
        <v>1289</v>
      </c>
      <c r="E69" t="s">
        <v>1275</v>
      </c>
    </row>
    <row r="70" spans="1:5" ht="20.100000000000001" customHeight="1">
      <c r="A70" s="357" t="s">
        <v>1335</v>
      </c>
      <c r="B70" s="388"/>
      <c r="C70">
        <v>14</v>
      </c>
      <c r="D70" t="s">
        <v>1290</v>
      </c>
      <c r="E70" t="s">
        <v>1278</v>
      </c>
    </row>
    <row r="71" spans="1:5" ht="20.100000000000001" customHeight="1">
      <c r="A71" s="357" t="s">
        <v>1335</v>
      </c>
      <c r="B71" s="388"/>
      <c r="C71">
        <v>15</v>
      </c>
      <c r="D71" t="s">
        <v>1291</v>
      </c>
      <c r="E71" t="s">
        <v>1275</v>
      </c>
    </row>
    <row r="72" spans="1:5" ht="20.100000000000001" customHeight="1">
      <c r="A72" s="357" t="s">
        <v>1335</v>
      </c>
      <c r="B72" s="388"/>
      <c r="C72">
        <v>16</v>
      </c>
      <c r="D72" t="s">
        <v>1292</v>
      </c>
    </row>
    <row r="73" spans="1:5" ht="20.100000000000001" customHeight="1">
      <c r="A73" s="357" t="s">
        <v>1335</v>
      </c>
      <c r="B73" s="388"/>
      <c r="C73">
        <v>17</v>
      </c>
      <c r="D73" t="s">
        <v>1293</v>
      </c>
    </row>
    <row r="74" spans="1:5" ht="20.100000000000001" customHeight="1">
      <c r="A74" s="357" t="s">
        <v>1335</v>
      </c>
      <c r="B74" s="388"/>
      <c r="C74">
        <v>18</v>
      </c>
      <c r="D74" t="s">
        <v>1294</v>
      </c>
      <c r="E74" t="s">
        <v>1275</v>
      </c>
    </row>
    <row r="75" spans="1:5" ht="20.100000000000001" customHeight="1">
      <c r="A75" s="357" t="s">
        <v>1335</v>
      </c>
      <c r="B75" s="388"/>
      <c r="C75">
        <v>19</v>
      </c>
      <c r="D75" t="s">
        <v>265</v>
      </c>
      <c r="E75" t="s">
        <v>1275</v>
      </c>
    </row>
    <row r="76" spans="1:5" ht="20.100000000000001" customHeight="1">
      <c r="A76" s="357" t="s">
        <v>1335</v>
      </c>
      <c r="B76" s="388"/>
      <c r="C76">
        <v>20</v>
      </c>
      <c r="D76" t="s">
        <v>1295</v>
      </c>
      <c r="E76" t="s">
        <v>1275</v>
      </c>
    </row>
    <row r="77" spans="1:5" ht="20.100000000000001" customHeight="1">
      <c r="A77" s="357" t="s">
        <v>1335</v>
      </c>
      <c r="B77" s="388"/>
      <c r="C77">
        <v>21</v>
      </c>
      <c r="D77" t="s">
        <v>1296</v>
      </c>
      <c r="E77" t="s">
        <v>1275</v>
      </c>
    </row>
    <row r="78" spans="1:5" ht="20.100000000000001" customHeight="1">
      <c r="A78" s="357" t="s">
        <v>1335</v>
      </c>
      <c r="B78" s="388"/>
      <c r="C78">
        <v>22</v>
      </c>
      <c r="D78" t="s">
        <v>1297</v>
      </c>
    </row>
    <row r="79" spans="1:5" ht="20.100000000000001" customHeight="1">
      <c r="A79" s="357" t="s">
        <v>1335</v>
      </c>
      <c r="B79" s="388"/>
      <c r="C79">
        <v>23</v>
      </c>
      <c r="D79" t="s">
        <v>1298</v>
      </c>
    </row>
    <row r="80" spans="1:5" ht="20.100000000000001" customHeight="1">
      <c r="A80" s="357" t="s">
        <v>1335</v>
      </c>
      <c r="B80" s="388"/>
      <c r="C80">
        <v>24</v>
      </c>
      <c r="D80" t="s">
        <v>1299</v>
      </c>
    </row>
    <row r="81" spans="1:4" ht="20.100000000000001" customHeight="1">
      <c r="A81" s="357" t="s">
        <v>1335</v>
      </c>
      <c r="B81" s="388"/>
      <c r="C81">
        <v>25</v>
      </c>
      <c r="D81" t="s">
        <v>1300</v>
      </c>
    </row>
    <row r="82" spans="1:4" ht="20.100000000000001" customHeight="1">
      <c r="A82" s="357" t="s">
        <v>1335</v>
      </c>
      <c r="B82" s="388" t="s">
        <v>1301</v>
      </c>
      <c r="C82">
        <v>1</v>
      </c>
      <c r="D82" t="s">
        <v>1302</v>
      </c>
    </row>
    <row r="83" spans="1:4" ht="20.100000000000001" customHeight="1">
      <c r="A83" s="357" t="s">
        <v>1335</v>
      </c>
      <c r="B83" s="388"/>
      <c r="C83">
        <v>2</v>
      </c>
      <c r="D83" t="s">
        <v>1303</v>
      </c>
    </row>
  </sheetData>
  <mergeCells count="8">
    <mergeCell ref="B55:B56"/>
    <mergeCell ref="B57:B81"/>
    <mergeCell ref="B82:B83"/>
    <mergeCell ref="B3:B6"/>
    <mergeCell ref="B7:B15"/>
    <mergeCell ref="B16:B18"/>
    <mergeCell ref="B19:B29"/>
    <mergeCell ref="B30:B54"/>
  </mergeCells>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FF00FF"/>
  </sheetPr>
  <dimension ref="A1:AK185"/>
  <sheetViews>
    <sheetView workbookViewId="0">
      <pane xSplit="1" ySplit="1" topLeftCell="E2" activePane="bottomRight" state="frozen"/>
      <selection pane="topRight"/>
      <selection pane="bottomLeft"/>
      <selection pane="bottomRight" activeCell="K7" sqref="K7"/>
    </sheetView>
  </sheetViews>
  <sheetFormatPr defaultColWidth="10.6640625" defaultRowHeight="16.5" customHeight="1"/>
  <cols>
    <col min="1" max="1" width="9.6640625" style="38" customWidth="1"/>
  </cols>
  <sheetData>
    <row r="1" spans="1:37" s="56" customFormat="1" ht="22.5" customHeight="1">
      <c r="A1" s="326" t="s">
        <v>165</v>
      </c>
      <c r="B1" s="327" t="s">
        <v>69</v>
      </c>
      <c r="C1" s="328" t="s">
        <v>70</v>
      </c>
      <c r="D1" s="327" t="s">
        <v>71</v>
      </c>
      <c r="E1" s="327" t="s">
        <v>72</v>
      </c>
      <c r="F1" s="329" t="s">
        <v>73</v>
      </c>
      <c r="G1" s="327" t="s">
        <v>74</v>
      </c>
      <c r="H1" s="328" t="s">
        <v>75</v>
      </c>
      <c r="I1" s="327" t="s">
        <v>76</v>
      </c>
      <c r="J1" s="330" t="s">
        <v>77</v>
      </c>
      <c r="K1" s="327" t="s">
        <v>78</v>
      </c>
      <c r="L1" s="327" t="s">
        <v>79</v>
      </c>
      <c r="M1" s="327" t="s">
        <v>80</v>
      </c>
      <c r="N1" s="327" t="s">
        <v>81</v>
      </c>
      <c r="O1" s="329" t="s">
        <v>82</v>
      </c>
      <c r="P1" s="327" t="s">
        <v>83</v>
      </c>
      <c r="Q1" s="328" t="s">
        <v>84</v>
      </c>
      <c r="R1" s="327" t="s">
        <v>85</v>
      </c>
      <c r="S1" s="327" t="s">
        <v>86</v>
      </c>
      <c r="T1" s="327" t="s">
        <v>87</v>
      </c>
      <c r="U1" s="327" t="s">
        <v>88</v>
      </c>
      <c r="V1" s="328" t="s">
        <v>89</v>
      </c>
      <c r="W1" s="327" t="s">
        <v>90</v>
      </c>
      <c r="X1" s="329" t="s">
        <v>91</v>
      </c>
      <c r="Y1" s="327" t="s">
        <v>92</v>
      </c>
      <c r="Z1" s="327" t="s">
        <v>93</v>
      </c>
      <c r="AA1" s="328" t="s">
        <v>94</v>
      </c>
      <c r="AB1" s="329" t="s">
        <v>95</v>
      </c>
      <c r="AC1" s="327" t="s">
        <v>96</v>
      </c>
      <c r="AD1" s="327" t="s">
        <v>97</v>
      </c>
      <c r="AE1" s="327" t="s">
        <v>98</v>
      </c>
      <c r="AF1" s="327" t="s">
        <v>99</v>
      </c>
      <c r="AG1" s="327" t="s">
        <v>100</v>
      </c>
      <c r="AH1" s="329" t="s">
        <v>101</v>
      </c>
      <c r="AI1" s="331" t="s">
        <v>102</v>
      </c>
      <c r="AJ1" s="332" t="s">
        <v>103</v>
      </c>
      <c r="AK1" s="333" t="s">
        <v>43</v>
      </c>
    </row>
    <row r="2" spans="1:37" s="339" customFormat="1" ht="16.5" customHeight="1">
      <c r="A2" s="348" t="s">
        <v>1271</v>
      </c>
      <c r="B2" s="334" t="s">
        <v>473</v>
      </c>
      <c r="C2" s="334" t="s">
        <v>474</v>
      </c>
      <c r="D2" s="334" t="s">
        <v>475</v>
      </c>
      <c r="E2" s="334" t="s">
        <v>476</v>
      </c>
      <c r="F2" s="334" t="s">
        <v>477</v>
      </c>
      <c r="G2" s="334" t="s">
        <v>469</v>
      </c>
      <c r="H2" s="334" t="s">
        <v>469</v>
      </c>
      <c r="I2" s="334" t="s">
        <v>478</v>
      </c>
      <c r="J2" s="349" t="s">
        <v>1272</v>
      </c>
      <c r="K2" s="336" t="s">
        <v>1338</v>
      </c>
      <c r="L2" s="337"/>
      <c r="M2" s="337" t="s">
        <v>479</v>
      </c>
      <c r="N2" s="337"/>
      <c r="O2" s="337"/>
      <c r="P2" s="334" t="s">
        <v>480</v>
      </c>
      <c r="Q2" s="335" t="s">
        <v>481</v>
      </c>
      <c r="R2" s="334" t="s">
        <v>469</v>
      </c>
      <c r="S2" s="334" t="s">
        <v>482</v>
      </c>
      <c r="T2" s="334" t="s">
        <v>483</v>
      </c>
      <c r="U2" s="334" t="s">
        <v>484</v>
      </c>
      <c r="V2" s="338" t="s">
        <v>485</v>
      </c>
      <c r="W2" s="334" t="s">
        <v>486</v>
      </c>
      <c r="X2" s="334" t="s">
        <v>487</v>
      </c>
      <c r="Y2" s="338" t="s">
        <v>488</v>
      </c>
      <c r="Z2" s="334" t="s">
        <v>489</v>
      </c>
      <c r="AA2" s="334" t="s">
        <v>490</v>
      </c>
      <c r="AB2" s="334" t="s">
        <v>486</v>
      </c>
      <c r="AC2" s="338" t="s">
        <v>491</v>
      </c>
      <c r="AD2" s="334" t="s">
        <v>484</v>
      </c>
      <c r="AE2" s="338" t="s">
        <v>488</v>
      </c>
      <c r="AF2" s="334" t="s">
        <v>469</v>
      </c>
      <c r="AG2" s="334"/>
      <c r="AH2" s="334" t="s">
        <v>469</v>
      </c>
      <c r="AI2" s="334" t="s">
        <v>484</v>
      </c>
      <c r="AJ2" s="338" t="s">
        <v>488</v>
      </c>
      <c r="AK2" s="334" t="s">
        <v>492</v>
      </c>
    </row>
    <row r="3" spans="1:37" s="339" customFormat="1" ht="16.5" customHeight="1">
      <c r="A3" s="348" t="s">
        <v>1271</v>
      </c>
      <c r="B3" s="334" t="s">
        <v>493</v>
      </c>
      <c r="C3" s="334" t="s">
        <v>474</v>
      </c>
      <c r="D3" s="334" t="s">
        <v>475</v>
      </c>
      <c r="E3" s="334" t="s">
        <v>469</v>
      </c>
      <c r="F3" s="334" t="s">
        <v>477</v>
      </c>
      <c r="G3" s="334" t="s">
        <v>469</v>
      </c>
      <c r="H3" s="334" t="s">
        <v>469</v>
      </c>
      <c r="I3" s="334" t="s">
        <v>494</v>
      </c>
      <c r="J3" s="349" t="s">
        <v>1272</v>
      </c>
      <c r="K3" s="421" t="s">
        <v>1339</v>
      </c>
      <c r="L3" s="337"/>
      <c r="M3" s="337" t="s">
        <v>479</v>
      </c>
      <c r="N3" s="337"/>
      <c r="O3" s="337"/>
      <c r="P3" s="334" t="s">
        <v>495</v>
      </c>
      <c r="Q3" s="334" t="s">
        <v>481</v>
      </c>
      <c r="R3" s="334" t="s">
        <v>469</v>
      </c>
      <c r="S3" s="334" t="s">
        <v>482</v>
      </c>
      <c r="T3" s="334" t="s">
        <v>483</v>
      </c>
      <c r="U3" s="334" t="s">
        <v>496</v>
      </c>
      <c r="V3" s="338" t="s">
        <v>485</v>
      </c>
      <c r="W3" s="334" t="s">
        <v>486</v>
      </c>
      <c r="X3" s="334" t="s">
        <v>487</v>
      </c>
      <c r="Y3" s="338" t="s">
        <v>497</v>
      </c>
      <c r="Z3" s="334" t="s">
        <v>489</v>
      </c>
      <c r="AA3" s="334" t="s">
        <v>498</v>
      </c>
      <c r="AB3" s="334" t="s">
        <v>486</v>
      </c>
      <c r="AC3" s="338" t="s">
        <v>491</v>
      </c>
      <c r="AD3" s="334" t="s">
        <v>499</v>
      </c>
      <c r="AE3" s="338" t="s">
        <v>497</v>
      </c>
      <c r="AF3" s="334" t="s">
        <v>469</v>
      </c>
      <c r="AG3" s="334"/>
      <c r="AH3" s="334" t="s">
        <v>469</v>
      </c>
      <c r="AI3" s="334" t="s">
        <v>499</v>
      </c>
      <c r="AJ3" s="338" t="s">
        <v>497</v>
      </c>
      <c r="AK3" s="334" t="s">
        <v>500</v>
      </c>
    </row>
    <row r="4" spans="1:37" s="339" customFormat="1" ht="16.5" customHeight="1">
      <c r="A4" s="348" t="s">
        <v>1271</v>
      </c>
      <c r="B4" s="334" t="s">
        <v>501</v>
      </c>
      <c r="C4" s="334" t="s">
        <v>474</v>
      </c>
      <c r="D4" s="334" t="s">
        <v>475</v>
      </c>
      <c r="E4" s="334" t="s">
        <v>476</v>
      </c>
      <c r="F4" s="334" t="s">
        <v>477</v>
      </c>
      <c r="G4" s="334" t="s">
        <v>469</v>
      </c>
      <c r="H4" s="334" t="s">
        <v>469</v>
      </c>
      <c r="I4" s="334" t="s">
        <v>502</v>
      </c>
      <c r="J4" s="349" t="s">
        <v>1272</v>
      </c>
      <c r="K4" s="336" t="s">
        <v>1340</v>
      </c>
      <c r="L4" s="337"/>
      <c r="M4" s="337" t="s">
        <v>479</v>
      </c>
      <c r="N4" s="337"/>
      <c r="O4" s="337"/>
      <c r="P4" s="334" t="s">
        <v>503</v>
      </c>
      <c r="Q4" s="334" t="s">
        <v>481</v>
      </c>
      <c r="R4" s="334" t="s">
        <v>469</v>
      </c>
      <c r="S4" s="334" t="s">
        <v>482</v>
      </c>
      <c r="T4" s="334" t="s">
        <v>483</v>
      </c>
      <c r="U4" s="334" t="s">
        <v>484</v>
      </c>
      <c r="V4" s="338" t="s">
        <v>485</v>
      </c>
      <c r="W4" s="334" t="s">
        <v>486</v>
      </c>
      <c r="X4" s="334" t="s">
        <v>487</v>
      </c>
      <c r="Y4" s="338" t="s">
        <v>504</v>
      </c>
      <c r="Z4" s="334" t="s">
        <v>489</v>
      </c>
      <c r="AA4" s="334" t="s">
        <v>498</v>
      </c>
      <c r="AB4" s="334" t="s">
        <v>486</v>
      </c>
      <c r="AC4" s="338" t="s">
        <v>491</v>
      </c>
      <c r="AD4" s="334" t="s">
        <v>484</v>
      </c>
      <c r="AE4" s="338" t="s">
        <v>504</v>
      </c>
      <c r="AF4" s="334" t="s">
        <v>469</v>
      </c>
      <c r="AG4" s="334"/>
      <c r="AH4" s="334" t="s">
        <v>469</v>
      </c>
      <c r="AI4" s="334" t="s">
        <v>484</v>
      </c>
      <c r="AJ4" s="338" t="s">
        <v>504</v>
      </c>
      <c r="AK4" s="334" t="s">
        <v>505</v>
      </c>
    </row>
    <row r="5" spans="1:37" s="339" customFormat="1" ht="16.5" customHeight="1">
      <c r="A5" s="348" t="s">
        <v>1271</v>
      </c>
      <c r="B5" s="334" t="s">
        <v>506</v>
      </c>
      <c r="C5" s="334" t="s">
        <v>474</v>
      </c>
      <c r="D5" s="334" t="s">
        <v>475</v>
      </c>
      <c r="E5" s="334" t="s">
        <v>476</v>
      </c>
      <c r="F5" s="334" t="s">
        <v>477</v>
      </c>
      <c r="G5" s="334" t="s">
        <v>469</v>
      </c>
      <c r="H5" s="334" t="s">
        <v>469</v>
      </c>
      <c r="I5" s="334" t="s">
        <v>507</v>
      </c>
      <c r="J5" s="349" t="s">
        <v>1272</v>
      </c>
      <c r="K5" s="337" t="s">
        <v>1340</v>
      </c>
      <c r="L5" s="337"/>
      <c r="M5" s="337" t="s">
        <v>479</v>
      </c>
      <c r="N5" s="337"/>
      <c r="O5" s="337"/>
      <c r="P5" s="334" t="s">
        <v>508</v>
      </c>
      <c r="Q5" s="334" t="s">
        <v>481</v>
      </c>
      <c r="R5" s="334" t="s">
        <v>469</v>
      </c>
      <c r="S5" s="334" t="s">
        <v>482</v>
      </c>
      <c r="T5" s="334" t="s">
        <v>483</v>
      </c>
      <c r="U5" s="334" t="s">
        <v>509</v>
      </c>
      <c r="V5" s="338" t="s">
        <v>510</v>
      </c>
      <c r="W5" s="334" t="s">
        <v>486</v>
      </c>
      <c r="X5" s="334" t="s">
        <v>487</v>
      </c>
      <c r="Y5" s="338" t="s">
        <v>511</v>
      </c>
      <c r="Z5" s="334" t="s">
        <v>489</v>
      </c>
      <c r="AA5" s="334" t="s">
        <v>498</v>
      </c>
      <c r="AB5" s="334" t="s">
        <v>486</v>
      </c>
      <c r="AC5" s="338" t="s">
        <v>491</v>
      </c>
      <c r="AD5" s="334" t="s">
        <v>509</v>
      </c>
      <c r="AE5" s="338" t="s">
        <v>511</v>
      </c>
      <c r="AF5" s="334" t="s">
        <v>469</v>
      </c>
      <c r="AG5" s="334"/>
      <c r="AH5" s="334" t="s">
        <v>512</v>
      </c>
      <c r="AI5" s="334" t="s">
        <v>509</v>
      </c>
      <c r="AJ5" s="338" t="s">
        <v>511</v>
      </c>
      <c r="AK5" s="334" t="s">
        <v>513</v>
      </c>
    </row>
    <row r="6" spans="1:37" s="339" customFormat="1" ht="16.5" customHeight="1">
      <c r="A6" s="348" t="s">
        <v>1271</v>
      </c>
      <c r="B6" s="339" t="s">
        <v>514</v>
      </c>
      <c r="C6" s="339" t="s">
        <v>474</v>
      </c>
      <c r="D6" s="339" t="s">
        <v>475</v>
      </c>
      <c r="E6" s="339" t="s">
        <v>476</v>
      </c>
      <c r="F6" s="339" t="s">
        <v>477</v>
      </c>
      <c r="G6" s="339" t="s">
        <v>469</v>
      </c>
      <c r="H6" s="339" t="s">
        <v>469</v>
      </c>
      <c r="I6" s="339" t="s">
        <v>515</v>
      </c>
      <c r="J6" s="349" t="s">
        <v>1272</v>
      </c>
      <c r="K6" s="339" t="s">
        <v>516</v>
      </c>
      <c r="M6" s="339" t="s">
        <v>479</v>
      </c>
      <c r="P6" s="339" t="s">
        <v>517</v>
      </c>
      <c r="Q6" s="339" t="s">
        <v>498</v>
      </c>
      <c r="R6" s="339" t="s">
        <v>469</v>
      </c>
      <c r="S6" s="339" t="s">
        <v>482</v>
      </c>
      <c r="T6" s="339" t="s">
        <v>518</v>
      </c>
      <c r="U6" s="339" t="s">
        <v>509</v>
      </c>
      <c r="V6" s="339" t="s">
        <v>510</v>
      </c>
      <c r="W6" s="339" t="s">
        <v>486</v>
      </c>
      <c r="X6" s="339" t="s">
        <v>519</v>
      </c>
      <c r="Y6" s="339" t="s">
        <v>520</v>
      </c>
      <c r="Z6" s="339" t="s">
        <v>489</v>
      </c>
      <c r="AA6" s="339" t="s">
        <v>490</v>
      </c>
      <c r="AB6" s="339" t="s">
        <v>486</v>
      </c>
      <c r="AC6" s="339" t="s">
        <v>491</v>
      </c>
      <c r="AE6" s="339" t="s">
        <v>521</v>
      </c>
      <c r="AF6" s="339" t="s">
        <v>469</v>
      </c>
      <c r="AH6" s="339" t="s">
        <v>522</v>
      </c>
      <c r="AI6" s="339" t="s">
        <v>509</v>
      </c>
      <c r="AJ6" s="339" t="s">
        <v>520</v>
      </c>
    </row>
    <row r="7" spans="1:37" ht="16.5" customHeight="1">
      <c r="A7" s="348" t="s">
        <v>1271</v>
      </c>
      <c r="B7" t="s">
        <v>523</v>
      </c>
      <c r="C7" t="s">
        <v>474</v>
      </c>
      <c r="D7" t="s">
        <v>475</v>
      </c>
      <c r="E7" t="s">
        <v>476</v>
      </c>
      <c r="F7" t="s">
        <v>477</v>
      </c>
      <c r="G7" t="s">
        <v>469</v>
      </c>
      <c r="H7" t="s">
        <v>469</v>
      </c>
      <c r="I7" t="s">
        <v>524</v>
      </c>
      <c r="J7" s="349" t="s">
        <v>1272</v>
      </c>
      <c r="K7" s="349" t="s">
        <v>1337</v>
      </c>
      <c r="M7" t="s">
        <v>479</v>
      </c>
      <c r="P7" t="s">
        <v>525</v>
      </c>
      <c r="Q7" t="s">
        <v>498</v>
      </c>
      <c r="R7" t="s">
        <v>469</v>
      </c>
      <c r="S7" t="s">
        <v>482</v>
      </c>
      <c r="T7" t="s">
        <v>518</v>
      </c>
      <c r="U7" t="s">
        <v>509</v>
      </c>
      <c r="V7" t="s">
        <v>510</v>
      </c>
      <c r="W7" t="s">
        <v>486</v>
      </c>
      <c r="X7" t="s">
        <v>519</v>
      </c>
      <c r="Y7" t="s">
        <v>520</v>
      </c>
      <c r="Z7" t="s">
        <v>489</v>
      </c>
      <c r="AA7" t="s">
        <v>490</v>
      </c>
      <c r="AB7" t="s">
        <v>486</v>
      </c>
      <c r="AC7" t="s">
        <v>491</v>
      </c>
      <c r="AE7" t="s">
        <v>521</v>
      </c>
      <c r="AF7" t="s">
        <v>469</v>
      </c>
      <c r="AH7" t="s">
        <v>526</v>
      </c>
      <c r="AI7" t="s">
        <v>509</v>
      </c>
      <c r="AJ7" t="s">
        <v>520</v>
      </c>
    </row>
    <row r="8" spans="1:37" ht="16.5" customHeight="1">
      <c r="A8" s="348" t="s">
        <v>1271</v>
      </c>
      <c r="B8" t="s">
        <v>527</v>
      </c>
      <c r="C8" t="s">
        <v>474</v>
      </c>
      <c r="D8" t="s">
        <v>475</v>
      </c>
      <c r="E8" t="s">
        <v>476</v>
      </c>
      <c r="F8" t="s">
        <v>477</v>
      </c>
      <c r="G8" t="s">
        <v>469</v>
      </c>
      <c r="H8" t="s">
        <v>469</v>
      </c>
      <c r="I8" t="s">
        <v>528</v>
      </c>
      <c r="J8" s="349" t="s">
        <v>1272</v>
      </c>
      <c r="K8" t="s">
        <v>516</v>
      </c>
      <c r="M8" t="s">
        <v>479</v>
      </c>
      <c r="P8" t="s">
        <v>529</v>
      </c>
      <c r="Q8" t="s">
        <v>481</v>
      </c>
      <c r="R8" t="s">
        <v>469</v>
      </c>
      <c r="S8" t="s">
        <v>482</v>
      </c>
      <c r="T8" t="s">
        <v>483</v>
      </c>
      <c r="U8" t="s">
        <v>509</v>
      </c>
      <c r="V8" t="s">
        <v>510</v>
      </c>
      <c r="W8" t="s">
        <v>486</v>
      </c>
      <c r="X8" t="s">
        <v>487</v>
      </c>
      <c r="Y8" t="s">
        <v>511</v>
      </c>
      <c r="Z8" t="s">
        <v>489</v>
      </c>
      <c r="AA8" t="s">
        <v>498</v>
      </c>
      <c r="AB8" t="s">
        <v>486</v>
      </c>
      <c r="AC8" t="s">
        <v>491</v>
      </c>
      <c r="AD8" t="s">
        <v>509</v>
      </c>
      <c r="AE8" t="s">
        <v>511</v>
      </c>
      <c r="AF8" t="s">
        <v>469</v>
      </c>
      <c r="AH8" t="s">
        <v>530</v>
      </c>
      <c r="AI8" t="s">
        <v>509</v>
      </c>
      <c r="AJ8" t="s">
        <v>511</v>
      </c>
      <c r="AK8" t="s">
        <v>531</v>
      </c>
    </row>
    <row r="9" spans="1:37" ht="16.5" customHeight="1">
      <c r="A9" s="348" t="s">
        <v>1271</v>
      </c>
      <c r="B9" t="s">
        <v>532</v>
      </c>
      <c r="C9" t="s">
        <v>474</v>
      </c>
      <c r="D9" t="s">
        <v>475</v>
      </c>
      <c r="E9" t="s">
        <v>476</v>
      </c>
      <c r="F9" t="s">
        <v>477</v>
      </c>
      <c r="G9" t="s">
        <v>469</v>
      </c>
      <c r="H9" t="s">
        <v>469</v>
      </c>
      <c r="I9" t="s">
        <v>533</v>
      </c>
      <c r="J9" s="349" t="s">
        <v>1272</v>
      </c>
      <c r="K9" t="s">
        <v>516</v>
      </c>
      <c r="M9" t="s">
        <v>479</v>
      </c>
      <c r="P9" t="s">
        <v>534</v>
      </c>
      <c r="Q9" t="s">
        <v>481</v>
      </c>
      <c r="R9" t="s">
        <v>469</v>
      </c>
      <c r="S9" t="s">
        <v>482</v>
      </c>
      <c r="T9" t="s">
        <v>483</v>
      </c>
      <c r="U9" t="s">
        <v>509</v>
      </c>
      <c r="V9" t="s">
        <v>510</v>
      </c>
      <c r="W9" t="s">
        <v>486</v>
      </c>
      <c r="X9" t="s">
        <v>487</v>
      </c>
      <c r="Y9" t="s">
        <v>488</v>
      </c>
      <c r="Z9" t="s">
        <v>489</v>
      </c>
      <c r="AA9" t="s">
        <v>498</v>
      </c>
      <c r="AB9" t="s">
        <v>486</v>
      </c>
      <c r="AC9" t="s">
        <v>491</v>
      </c>
      <c r="AD9" t="s">
        <v>509</v>
      </c>
      <c r="AE9" t="s">
        <v>488</v>
      </c>
      <c r="AF9" t="s">
        <v>469</v>
      </c>
      <c r="AH9" t="s">
        <v>535</v>
      </c>
      <c r="AI9" t="s">
        <v>509</v>
      </c>
      <c r="AJ9" t="s">
        <v>488</v>
      </c>
    </row>
    <row r="10" spans="1:37" ht="16.5" customHeight="1">
      <c r="A10" s="348" t="s">
        <v>1271</v>
      </c>
      <c r="B10" t="s">
        <v>536</v>
      </c>
      <c r="C10" t="s">
        <v>474</v>
      </c>
      <c r="D10" t="s">
        <v>475</v>
      </c>
      <c r="E10" t="s">
        <v>476</v>
      </c>
      <c r="F10" t="s">
        <v>477</v>
      </c>
      <c r="G10" t="s">
        <v>469</v>
      </c>
      <c r="H10" t="s">
        <v>469</v>
      </c>
      <c r="I10" t="s">
        <v>537</v>
      </c>
      <c r="J10" s="349" t="s">
        <v>1272</v>
      </c>
      <c r="K10" t="s">
        <v>516</v>
      </c>
      <c r="M10" t="s">
        <v>479</v>
      </c>
      <c r="P10" t="s">
        <v>538</v>
      </c>
      <c r="Q10" t="s">
        <v>481</v>
      </c>
      <c r="R10" t="s">
        <v>470</v>
      </c>
      <c r="S10" t="s">
        <v>482</v>
      </c>
      <c r="T10" t="s">
        <v>483</v>
      </c>
      <c r="U10" t="s">
        <v>509</v>
      </c>
      <c r="V10" t="s">
        <v>510</v>
      </c>
      <c r="W10" t="s">
        <v>486</v>
      </c>
      <c r="X10" t="s">
        <v>487</v>
      </c>
      <c r="Y10" t="s">
        <v>539</v>
      </c>
      <c r="Z10" t="s">
        <v>489</v>
      </c>
      <c r="AA10" t="s">
        <v>498</v>
      </c>
      <c r="AB10" t="s">
        <v>540</v>
      </c>
      <c r="AC10" t="s">
        <v>541</v>
      </c>
      <c r="AD10" t="s">
        <v>509</v>
      </c>
      <c r="AE10" t="s">
        <v>539</v>
      </c>
      <c r="AF10" t="s">
        <v>469</v>
      </c>
      <c r="AH10" t="s">
        <v>542</v>
      </c>
      <c r="AI10" t="s">
        <v>509</v>
      </c>
      <c r="AJ10" t="s">
        <v>539</v>
      </c>
      <c r="AK10" t="s">
        <v>543</v>
      </c>
    </row>
    <row r="11" spans="1:37" ht="16.5" customHeight="1">
      <c r="A11" s="348" t="s">
        <v>1271</v>
      </c>
      <c r="B11" t="s">
        <v>544</v>
      </c>
      <c r="C11" t="s">
        <v>474</v>
      </c>
      <c r="D11" t="s">
        <v>475</v>
      </c>
      <c r="E11" t="s">
        <v>476</v>
      </c>
      <c r="F11" t="s">
        <v>477</v>
      </c>
      <c r="G11" t="s">
        <v>469</v>
      </c>
      <c r="H11" t="s">
        <v>469</v>
      </c>
      <c r="I11" t="s">
        <v>545</v>
      </c>
      <c r="J11" s="349" t="s">
        <v>1272</v>
      </c>
      <c r="K11" t="s">
        <v>1340</v>
      </c>
      <c r="M11" t="s">
        <v>479</v>
      </c>
      <c r="P11" t="s">
        <v>546</v>
      </c>
      <c r="Q11" t="s">
        <v>481</v>
      </c>
      <c r="R11" t="s">
        <v>469</v>
      </c>
      <c r="S11" t="s">
        <v>482</v>
      </c>
      <c r="T11" t="s">
        <v>483</v>
      </c>
      <c r="U11" t="s">
        <v>484</v>
      </c>
      <c r="V11" t="s">
        <v>510</v>
      </c>
      <c r="W11" t="s">
        <v>486</v>
      </c>
      <c r="X11" t="s">
        <v>487</v>
      </c>
      <c r="Y11" t="s">
        <v>488</v>
      </c>
      <c r="Z11" t="s">
        <v>489</v>
      </c>
      <c r="AA11" t="s">
        <v>498</v>
      </c>
      <c r="AB11" t="s">
        <v>486</v>
      </c>
      <c r="AC11" t="s">
        <v>491</v>
      </c>
      <c r="AD11" t="s">
        <v>484</v>
      </c>
      <c r="AE11" t="s">
        <v>488</v>
      </c>
      <c r="AF11" t="s">
        <v>469</v>
      </c>
      <c r="AH11" t="s">
        <v>469</v>
      </c>
      <c r="AI11" t="s">
        <v>484</v>
      </c>
      <c r="AJ11" t="s">
        <v>488</v>
      </c>
      <c r="AK11" t="s">
        <v>547</v>
      </c>
    </row>
    <row r="12" spans="1:37" ht="16.5" customHeight="1">
      <c r="A12" s="348" t="s">
        <v>1271</v>
      </c>
      <c r="B12" t="s">
        <v>548</v>
      </c>
      <c r="C12" t="s">
        <v>474</v>
      </c>
      <c r="D12" t="s">
        <v>475</v>
      </c>
      <c r="E12" t="s">
        <v>476</v>
      </c>
      <c r="F12" t="s">
        <v>477</v>
      </c>
      <c r="G12" t="s">
        <v>469</v>
      </c>
      <c r="H12" t="s">
        <v>469</v>
      </c>
      <c r="I12" t="s">
        <v>549</v>
      </c>
      <c r="J12" s="349" t="s">
        <v>1272</v>
      </c>
      <c r="K12" t="s">
        <v>1340</v>
      </c>
      <c r="M12" t="s">
        <v>479</v>
      </c>
      <c r="P12" t="s">
        <v>550</v>
      </c>
      <c r="Q12" t="s">
        <v>481</v>
      </c>
      <c r="R12" t="s">
        <v>469</v>
      </c>
      <c r="S12" t="s">
        <v>482</v>
      </c>
      <c r="T12" t="s">
        <v>483</v>
      </c>
      <c r="U12" t="s">
        <v>484</v>
      </c>
      <c r="V12" t="s">
        <v>510</v>
      </c>
      <c r="W12" t="s">
        <v>486</v>
      </c>
      <c r="X12" t="s">
        <v>487</v>
      </c>
      <c r="Y12" t="s">
        <v>488</v>
      </c>
      <c r="Z12" t="s">
        <v>489</v>
      </c>
      <c r="AA12" t="s">
        <v>498</v>
      </c>
      <c r="AB12" t="s">
        <v>486</v>
      </c>
      <c r="AC12" t="s">
        <v>491</v>
      </c>
      <c r="AD12" t="s">
        <v>484</v>
      </c>
      <c r="AE12" t="s">
        <v>488</v>
      </c>
      <c r="AF12" t="s">
        <v>469</v>
      </c>
      <c r="AH12" t="s">
        <v>469</v>
      </c>
      <c r="AI12" t="s">
        <v>484</v>
      </c>
      <c r="AJ12" t="s">
        <v>488</v>
      </c>
      <c r="AK12" t="s">
        <v>551</v>
      </c>
    </row>
    <row r="13" spans="1:37" ht="16.5" customHeight="1">
      <c r="A13" s="348" t="s">
        <v>1271</v>
      </c>
      <c r="B13" t="s">
        <v>552</v>
      </c>
      <c r="C13" t="s">
        <v>474</v>
      </c>
      <c r="D13" t="s">
        <v>475</v>
      </c>
      <c r="E13" t="s">
        <v>476</v>
      </c>
      <c r="F13" t="s">
        <v>477</v>
      </c>
      <c r="G13" t="s">
        <v>469</v>
      </c>
      <c r="H13" t="s">
        <v>469</v>
      </c>
      <c r="I13" t="s">
        <v>553</v>
      </c>
      <c r="J13" s="349" t="s">
        <v>1272</v>
      </c>
      <c r="K13" t="s">
        <v>516</v>
      </c>
      <c r="M13" t="s">
        <v>479</v>
      </c>
      <c r="P13" t="s">
        <v>554</v>
      </c>
      <c r="Q13" t="s">
        <v>481</v>
      </c>
      <c r="R13" t="s">
        <v>469</v>
      </c>
      <c r="S13" t="s">
        <v>482</v>
      </c>
      <c r="T13" t="s">
        <v>483</v>
      </c>
      <c r="U13" t="s">
        <v>484</v>
      </c>
      <c r="V13" t="s">
        <v>510</v>
      </c>
      <c r="W13" t="s">
        <v>486</v>
      </c>
      <c r="X13" t="s">
        <v>487</v>
      </c>
      <c r="Y13" t="s">
        <v>504</v>
      </c>
      <c r="Z13" t="s">
        <v>489</v>
      </c>
      <c r="AA13" t="s">
        <v>490</v>
      </c>
      <c r="AB13" t="s">
        <v>486</v>
      </c>
      <c r="AC13" t="s">
        <v>491</v>
      </c>
      <c r="AD13" t="s">
        <v>484</v>
      </c>
      <c r="AE13" t="s">
        <v>504</v>
      </c>
      <c r="AF13" t="s">
        <v>469</v>
      </c>
      <c r="AH13" t="s">
        <v>469</v>
      </c>
      <c r="AI13" t="s">
        <v>484</v>
      </c>
      <c r="AJ13" t="s">
        <v>504</v>
      </c>
      <c r="AK13" t="s">
        <v>555</v>
      </c>
    </row>
    <row r="14" spans="1:37" ht="16.5" customHeight="1">
      <c r="A14" s="348" t="s">
        <v>1271</v>
      </c>
      <c r="B14" t="s">
        <v>556</v>
      </c>
      <c r="C14" t="s">
        <v>474</v>
      </c>
      <c r="D14" t="s">
        <v>475</v>
      </c>
      <c r="E14" t="s">
        <v>476</v>
      </c>
      <c r="F14" t="s">
        <v>477</v>
      </c>
      <c r="G14" t="s">
        <v>469</v>
      </c>
      <c r="H14" t="s">
        <v>469</v>
      </c>
      <c r="I14" t="s">
        <v>557</v>
      </c>
      <c r="J14" s="349" t="s">
        <v>1272</v>
      </c>
      <c r="K14" t="s">
        <v>516</v>
      </c>
      <c r="M14" t="s">
        <v>479</v>
      </c>
      <c r="P14" t="s">
        <v>558</v>
      </c>
      <c r="Q14" t="s">
        <v>498</v>
      </c>
      <c r="R14" t="s">
        <v>469</v>
      </c>
      <c r="S14" t="s">
        <v>482</v>
      </c>
      <c r="T14" t="s">
        <v>518</v>
      </c>
      <c r="U14" t="s">
        <v>484</v>
      </c>
      <c r="V14" t="s">
        <v>510</v>
      </c>
      <c r="W14" t="s">
        <v>486</v>
      </c>
      <c r="X14" t="s">
        <v>519</v>
      </c>
      <c r="Y14" t="s">
        <v>520</v>
      </c>
      <c r="Z14" t="s">
        <v>489</v>
      </c>
      <c r="AA14" t="s">
        <v>490</v>
      </c>
      <c r="AB14" t="s">
        <v>486</v>
      </c>
      <c r="AC14" t="s">
        <v>491</v>
      </c>
      <c r="AE14" t="s">
        <v>521</v>
      </c>
      <c r="AF14" t="s">
        <v>469</v>
      </c>
      <c r="AH14" t="s">
        <v>469</v>
      </c>
      <c r="AI14" t="s">
        <v>509</v>
      </c>
      <c r="AJ14" t="s">
        <v>520</v>
      </c>
      <c r="AK14" t="s">
        <v>559</v>
      </c>
    </row>
    <row r="15" spans="1:37" ht="16.5" customHeight="1">
      <c r="A15" s="348" t="s">
        <v>1271</v>
      </c>
      <c r="B15" t="s">
        <v>560</v>
      </c>
      <c r="C15" t="s">
        <v>474</v>
      </c>
      <c r="D15" t="s">
        <v>475</v>
      </c>
      <c r="E15" t="s">
        <v>476</v>
      </c>
      <c r="F15" t="s">
        <v>477</v>
      </c>
      <c r="G15" t="s">
        <v>469</v>
      </c>
      <c r="H15" t="s">
        <v>469</v>
      </c>
      <c r="I15" t="s">
        <v>561</v>
      </c>
      <c r="J15" s="349" t="s">
        <v>1272</v>
      </c>
      <c r="K15" t="s">
        <v>516</v>
      </c>
      <c r="M15" t="s">
        <v>479</v>
      </c>
      <c r="P15" t="s">
        <v>562</v>
      </c>
      <c r="Q15" t="s">
        <v>498</v>
      </c>
      <c r="R15" t="s">
        <v>469</v>
      </c>
      <c r="S15" t="s">
        <v>482</v>
      </c>
      <c r="T15" t="s">
        <v>518</v>
      </c>
      <c r="U15" t="s">
        <v>509</v>
      </c>
      <c r="V15" t="s">
        <v>510</v>
      </c>
      <c r="W15" t="s">
        <v>486</v>
      </c>
      <c r="X15" t="s">
        <v>519</v>
      </c>
      <c r="Y15" t="s">
        <v>520</v>
      </c>
      <c r="Z15" t="s">
        <v>563</v>
      </c>
      <c r="AA15" t="s">
        <v>490</v>
      </c>
      <c r="AB15" t="s">
        <v>564</v>
      </c>
      <c r="AC15" t="s">
        <v>565</v>
      </c>
      <c r="AE15" t="s">
        <v>521</v>
      </c>
      <c r="AF15" t="s">
        <v>469</v>
      </c>
      <c r="AH15" t="s">
        <v>566</v>
      </c>
      <c r="AI15" t="s">
        <v>509</v>
      </c>
      <c r="AJ15" t="s">
        <v>520</v>
      </c>
      <c r="AK15" t="s">
        <v>567</v>
      </c>
    </row>
    <row r="16" spans="1:37" ht="16.5" customHeight="1">
      <c r="A16" s="348" t="s">
        <v>1271</v>
      </c>
      <c r="B16" t="s">
        <v>568</v>
      </c>
      <c r="C16" t="s">
        <v>474</v>
      </c>
      <c r="D16" t="s">
        <v>475</v>
      </c>
      <c r="E16" t="s">
        <v>476</v>
      </c>
      <c r="F16" t="s">
        <v>477</v>
      </c>
      <c r="G16" t="s">
        <v>469</v>
      </c>
      <c r="H16" t="s">
        <v>469</v>
      </c>
      <c r="I16" t="s">
        <v>569</v>
      </c>
      <c r="J16" s="349" t="s">
        <v>1272</v>
      </c>
      <c r="K16" t="s">
        <v>516</v>
      </c>
      <c r="M16" t="s">
        <v>479</v>
      </c>
      <c r="P16" t="s">
        <v>570</v>
      </c>
      <c r="Q16" t="s">
        <v>481</v>
      </c>
      <c r="R16" t="s">
        <v>469</v>
      </c>
      <c r="S16" t="s">
        <v>482</v>
      </c>
      <c r="T16" t="s">
        <v>483</v>
      </c>
      <c r="U16" t="s">
        <v>484</v>
      </c>
      <c r="V16" t="s">
        <v>510</v>
      </c>
      <c r="W16" t="s">
        <v>486</v>
      </c>
      <c r="X16" t="s">
        <v>487</v>
      </c>
      <c r="Y16" t="s">
        <v>571</v>
      </c>
      <c r="Z16" t="s">
        <v>489</v>
      </c>
      <c r="AA16" t="s">
        <v>498</v>
      </c>
      <c r="AB16" t="s">
        <v>486</v>
      </c>
      <c r="AC16" t="s">
        <v>491</v>
      </c>
      <c r="AD16" t="s">
        <v>484</v>
      </c>
      <c r="AE16" t="s">
        <v>571</v>
      </c>
      <c r="AF16" t="s">
        <v>469</v>
      </c>
      <c r="AH16" t="s">
        <v>469</v>
      </c>
      <c r="AI16" t="s">
        <v>484</v>
      </c>
      <c r="AJ16" t="s">
        <v>571</v>
      </c>
      <c r="AK16" t="s">
        <v>572</v>
      </c>
    </row>
    <row r="17" spans="1:37" ht="16.5" customHeight="1">
      <c r="A17" s="348" t="s">
        <v>1271</v>
      </c>
      <c r="B17" t="s">
        <v>573</v>
      </c>
      <c r="C17" t="s">
        <v>474</v>
      </c>
      <c r="D17" t="s">
        <v>475</v>
      </c>
      <c r="E17" t="s">
        <v>476</v>
      </c>
      <c r="F17" t="s">
        <v>477</v>
      </c>
      <c r="G17" t="s">
        <v>469</v>
      </c>
      <c r="H17" t="s">
        <v>469</v>
      </c>
      <c r="I17" t="s">
        <v>574</v>
      </c>
      <c r="J17" s="349" t="s">
        <v>1272</v>
      </c>
      <c r="K17" t="s">
        <v>516</v>
      </c>
      <c r="M17" t="s">
        <v>479</v>
      </c>
      <c r="P17" t="s">
        <v>575</v>
      </c>
      <c r="Q17" t="s">
        <v>481</v>
      </c>
      <c r="R17" t="s">
        <v>469</v>
      </c>
      <c r="S17" t="s">
        <v>482</v>
      </c>
      <c r="T17" t="s">
        <v>483</v>
      </c>
      <c r="U17" t="s">
        <v>509</v>
      </c>
      <c r="V17" t="s">
        <v>510</v>
      </c>
      <c r="W17" t="s">
        <v>486</v>
      </c>
      <c r="X17" t="s">
        <v>487</v>
      </c>
      <c r="Y17" t="s">
        <v>488</v>
      </c>
      <c r="Z17" t="s">
        <v>576</v>
      </c>
      <c r="AA17" t="s">
        <v>498</v>
      </c>
      <c r="AB17" t="s">
        <v>564</v>
      </c>
      <c r="AC17" t="s">
        <v>577</v>
      </c>
      <c r="AD17" t="s">
        <v>509</v>
      </c>
      <c r="AE17" t="s">
        <v>488</v>
      </c>
      <c r="AF17" t="s">
        <v>469</v>
      </c>
      <c r="AH17" t="s">
        <v>535</v>
      </c>
      <c r="AI17" t="s">
        <v>509</v>
      </c>
      <c r="AJ17" t="s">
        <v>488</v>
      </c>
    </row>
    <row r="18" spans="1:37" ht="16.5" customHeight="1">
      <c r="A18" s="348" t="s">
        <v>1271</v>
      </c>
      <c r="B18" t="s">
        <v>578</v>
      </c>
      <c r="C18" t="s">
        <v>474</v>
      </c>
      <c r="D18" t="s">
        <v>475</v>
      </c>
      <c r="E18" t="s">
        <v>476</v>
      </c>
      <c r="F18" t="s">
        <v>477</v>
      </c>
      <c r="G18" t="s">
        <v>469</v>
      </c>
      <c r="H18" t="s">
        <v>469</v>
      </c>
      <c r="I18" t="s">
        <v>579</v>
      </c>
      <c r="J18" s="349" t="s">
        <v>1272</v>
      </c>
      <c r="K18" t="s">
        <v>516</v>
      </c>
      <c r="M18" t="s">
        <v>479</v>
      </c>
      <c r="P18" t="s">
        <v>580</v>
      </c>
      <c r="Q18" t="s">
        <v>498</v>
      </c>
      <c r="R18" t="s">
        <v>469</v>
      </c>
      <c r="S18" t="s">
        <v>482</v>
      </c>
      <c r="T18" t="s">
        <v>483</v>
      </c>
      <c r="U18" t="s">
        <v>509</v>
      </c>
      <c r="V18" t="s">
        <v>510</v>
      </c>
      <c r="W18" t="s">
        <v>486</v>
      </c>
      <c r="X18" t="s">
        <v>509</v>
      </c>
      <c r="Y18" t="s">
        <v>491</v>
      </c>
      <c r="Z18" t="s">
        <v>489</v>
      </c>
      <c r="AA18" t="s">
        <v>581</v>
      </c>
      <c r="AB18" t="s">
        <v>486</v>
      </c>
      <c r="AC18" t="s">
        <v>491</v>
      </c>
      <c r="AE18" t="s">
        <v>521</v>
      </c>
      <c r="AF18" t="s">
        <v>469</v>
      </c>
      <c r="AH18" t="s">
        <v>582</v>
      </c>
      <c r="AI18" t="s">
        <v>489</v>
      </c>
      <c r="AJ18" t="s">
        <v>491</v>
      </c>
      <c r="AK18" t="s">
        <v>583</v>
      </c>
    </row>
    <row r="19" spans="1:37" ht="16.5" customHeight="1">
      <c r="A19" s="348" t="s">
        <v>1271</v>
      </c>
      <c r="B19" t="s">
        <v>584</v>
      </c>
      <c r="C19" t="s">
        <v>474</v>
      </c>
      <c r="D19" t="s">
        <v>475</v>
      </c>
      <c r="E19" t="s">
        <v>476</v>
      </c>
      <c r="F19" t="s">
        <v>477</v>
      </c>
      <c r="G19" t="s">
        <v>469</v>
      </c>
      <c r="H19" t="s">
        <v>469</v>
      </c>
      <c r="I19" t="s">
        <v>585</v>
      </c>
      <c r="J19" s="349" t="s">
        <v>1272</v>
      </c>
      <c r="K19" t="s">
        <v>516</v>
      </c>
      <c r="M19" t="s">
        <v>479</v>
      </c>
      <c r="P19" t="s">
        <v>586</v>
      </c>
      <c r="Q19" t="s">
        <v>481</v>
      </c>
      <c r="R19" t="s">
        <v>469</v>
      </c>
      <c r="S19" t="s">
        <v>482</v>
      </c>
      <c r="T19" t="s">
        <v>483</v>
      </c>
      <c r="U19" t="s">
        <v>484</v>
      </c>
      <c r="V19" t="s">
        <v>510</v>
      </c>
      <c r="W19" t="s">
        <v>486</v>
      </c>
      <c r="X19" t="s">
        <v>487</v>
      </c>
      <c r="Y19" t="s">
        <v>504</v>
      </c>
      <c r="Z19" t="s">
        <v>489</v>
      </c>
      <c r="AA19" t="s">
        <v>490</v>
      </c>
      <c r="AB19" t="s">
        <v>486</v>
      </c>
      <c r="AC19" t="s">
        <v>491</v>
      </c>
      <c r="AD19" t="s">
        <v>484</v>
      </c>
      <c r="AE19" t="s">
        <v>504</v>
      </c>
      <c r="AF19" t="s">
        <v>469</v>
      </c>
      <c r="AH19" t="s">
        <v>469</v>
      </c>
      <c r="AI19" t="s">
        <v>484</v>
      </c>
      <c r="AJ19" t="s">
        <v>504</v>
      </c>
      <c r="AK19" t="s">
        <v>587</v>
      </c>
    </row>
    <row r="20" spans="1:37" ht="16.5" customHeight="1">
      <c r="A20" s="348" t="s">
        <v>1271</v>
      </c>
      <c r="B20" t="s">
        <v>588</v>
      </c>
      <c r="C20" t="s">
        <v>474</v>
      </c>
      <c r="D20" t="s">
        <v>475</v>
      </c>
      <c r="E20" t="s">
        <v>476</v>
      </c>
      <c r="F20" t="s">
        <v>477</v>
      </c>
      <c r="G20" t="s">
        <v>469</v>
      </c>
      <c r="H20" t="s">
        <v>469</v>
      </c>
      <c r="I20" t="s">
        <v>589</v>
      </c>
      <c r="J20" s="349" t="s">
        <v>1272</v>
      </c>
      <c r="K20" t="s">
        <v>516</v>
      </c>
      <c r="M20" t="s">
        <v>479</v>
      </c>
      <c r="P20" t="s">
        <v>590</v>
      </c>
      <c r="Q20" t="s">
        <v>498</v>
      </c>
      <c r="R20" t="s">
        <v>469</v>
      </c>
      <c r="S20" t="s">
        <v>482</v>
      </c>
      <c r="T20" t="s">
        <v>518</v>
      </c>
      <c r="U20" t="s">
        <v>509</v>
      </c>
      <c r="V20" t="s">
        <v>510</v>
      </c>
      <c r="W20" t="s">
        <v>486</v>
      </c>
      <c r="X20" t="s">
        <v>519</v>
      </c>
      <c r="Y20" t="s">
        <v>520</v>
      </c>
      <c r="Z20" t="s">
        <v>563</v>
      </c>
      <c r="AA20" t="s">
        <v>490</v>
      </c>
      <c r="AB20" t="s">
        <v>564</v>
      </c>
      <c r="AC20" t="s">
        <v>565</v>
      </c>
      <c r="AE20" t="s">
        <v>521</v>
      </c>
      <c r="AF20" t="s">
        <v>469</v>
      </c>
      <c r="AH20" t="s">
        <v>469</v>
      </c>
      <c r="AI20" t="s">
        <v>509</v>
      </c>
      <c r="AJ20" t="s">
        <v>520</v>
      </c>
      <c r="AK20" t="s">
        <v>591</v>
      </c>
    </row>
    <row r="21" spans="1:37" ht="16.5" customHeight="1">
      <c r="A21" s="348" t="s">
        <v>1271</v>
      </c>
      <c r="B21" t="s">
        <v>592</v>
      </c>
      <c r="C21" t="s">
        <v>474</v>
      </c>
      <c r="D21" t="s">
        <v>475</v>
      </c>
      <c r="E21" t="s">
        <v>476</v>
      </c>
      <c r="F21" t="s">
        <v>477</v>
      </c>
      <c r="G21" t="s">
        <v>469</v>
      </c>
      <c r="H21" t="s">
        <v>469</v>
      </c>
      <c r="I21" t="s">
        <v>593</v>
      </c>
      <c r="J21" s="349" t="s">
        <v>1272</v>
      </c>
      <c r="K21" t="s">
        <v>516</v>
      </c>
      <c r="M21" t="s">
        <v>479</v>
      </c>
      <c r="P21" t="s">
        <v>594</v>
      </c>
      <c r="Q21" t="s">
        <v>498</v>
      </c>
      <c r="R21" t="s">
        <v>469</v>
      </c>
      <c r="S21" t="s">
        <v>482</v>
      </c>
      <c r="T21" t="s">
        <v>518</v>
      </c>
      <c r="U21" t="s">
        <v>509</v>
      </c>
      <c r="V21" t="s">
        <v>510</v>
      </c>
      <c r="W21" t="s">
        <v>486</v>
      </c>
      <c r="X21" t="s">
        <v>519</v>
      </c>
      <c r="Y21" t="s">
        <v>520</v>
      </c>
      <c r="Z21" t="s">
        <v>489</v>
      </c>
      <c r="AA21" t="s">
        <v>490</v>
      </c>
      <c r="AB21" t="s">
        <v>486</v>
      </c>
      <c r="AC21" t="s">
        <v>491</v>
      </c>
      <c r="AE21" t="s">
        <v>521</v>
      </c>
      <c r="AF21" t="s">
        <v>469</v>
      </c>
      <c r="AH21" t="s">
        <v>595</v>
      </c>
      <c r="AI21" t="s">
        <v>509</v>
      </c>
      <c r="AJ21" t="s">
        <v>520</v>
      </c>
      <c r="AK21" t="s">
        <v>596</v>
      </c>
    </row>
    <row r="22" spans="1:37" ht="16.5" customHeight="1">
      <c r="A22" s="348" t="s">
        <v>1271</v>
      </c>
      <c r="B22" t="s">
        <v>597</v>
      </c>
      <c r="C22" t="s">
        <v>474</v>
      </c>
      <c r="D22" t="s">
        <v>475</v>
      </c>
      <c r="E22" t="s">
        <v>476</v>
      </c>
      <c r="F22" t="s">
        <v>477</v>
      </c>
      <c r="G22" t="s">
        <v>469</v>
      </c>
      <c r="H22" t="s">
        <v>469</v>
      </c>
      <c r="I22" t="s">
        <v>598</v>
      </c>
      <c r="J22" s="349" t="s">
        <v>1272</v>
      </c>
      <c r="K22" t="s">
        <v>516</v>
      </c>
      <c r="M22" t="s">
        <v>479</v>
      </c>
      <c r="P22" t="s">
        <v>599</v>
      </c>
      <c r="Q22" t="s">
        <v>498</v>
      </c>
      <c r="R22" t="s">
        <v>470</v>
      </c>
      <c r="S22" t="s">
        <v>482</v>
      </c>
      <c r="T22" t="s">
        <v>483</v>
      </c>
      <c r="U22" t="s">
        <v>509</v>
      </c>
      <c r="V22" t="s">
        <v>600</v>
      </c>
      <c r="W22" t="s">
        <v>486</v>
      </c>
      <c r="X22" t="s">
        <v>509</v>
      </c>
      <c r="Y22" t="s">
        <v>541</v>
      </c>
      <c r="Z22" t="s">
        <v>489</v>
      </c>
      <c r="AA22" t="s">
        <v>581</v>
      </c>
      <c r="AB22" t="s">
        <v>540</v>
      </c>
      <c r="AC22" t="s">
        <v>541</v>
      </c>
      <c r="AE22" t="s">
        <v>521</v>
      </c>
      <c r="AF22" t="s">
        <v>469</v>
      </c>
      <c r="AH22" t="s">
        <v>601</v>
      </c>
      <c r="AI22" t="s">
        <v>489</v>
      </c>
      <c r="AJ22" t="s">
        <v>541</v>
      </c>
      <c r="AK22" t="s">
        <v>602</v>
      </c>
    </row>
    <row r="23" spans="1:37" ht="16.5" customHeight="1">
      <c r="A23" s="348" t="s">
        <v>1271</v>
      </c>
      <c r="B23" t="s">
        <v>603</v>
      </c>
      <c r="C23" t="s">
        <v>474</v>
      </c>
      <c r="D23" t="s">
        <v>475</v>
      </c>
      <c r="E23" t="s">
        <v>476</v>
      </c>
      <c r="F23" t="s">
        <v>477</v>
      </c>
      <c r="G23" t="s">
        <v>469</v>
      </c>
      <c r="H23" t="s">
        <v>469</v>
      </c>
      <c r="I23" t="s">
        <v>604</v>
      </c>
      <c r="J23" s="349" t="s">
        <v>1272</v>
      </c>
      <c r="K23" t="s">
        <v>516</v>
      </c>
      <c r="M23" t="s">
        <v>479</v>
      </c>
      <c r="P23" t="s">
        <v>605</v>
      </c>
      <c r="Q23" t="s">
        <v>498</v>
      </c>
      <c r="R23" t="s">
        <v>469</v>
      </c>
      <c r="S23" t="s">
        <v>482</v>
      </c>
      <c r="T23" t="s">
        <v>518</v>
      </c>
      <c r="U23" t="s">
        <v>509</v>
      </c>
      <c r="V23" t="s">
        <v>600</v>
      </c>
      <c r="W23" t="s">
        <v>486</v>
      </c>
      <c r="X23" t="s">
        <v>519</v>
      </c>
      <c r="Y23" t="s">
        <v>520</v>
      </c>
      <c r="Z23" t="s">
        <v>489</v>
      </c>
      <c r="AA23" t="s">
        <v>490</v>
      </c>
      <c r="AB23" t="s">
        <v>486</v>
      </c>
      <c r="AC23" t="s">
        <v>606</v>
      </c>
      <c r="AE23" t="s">
        <v>521</v>
      </c>
      <c r="AF23" t="s">
        <v>469</v>
      </c>
      <c r="AH23" t="s">
        <v>607</v>
      </c>
      <c r="AI23" t="s">
        <v>509</v>
      </c>
      <c r="AJ23" t="s">
        <v>520</v>
      </c>
    </row>
    <row r="24" spans="1:37" ht="16.5" customHeight="1">
      <c r="A24" s="348" t="s">
        <v>1271</v>
      </c>
      <c r="B24" t="s">
        <v>608</v>
      </c>
      <c r="C24" t="s">
        <v>474</v>
      </c>
      <c r="D24" t="s">
        <v>475</v>
      </c>
      <c r="E24" t="s">
        <v>476</v>
      </c>
      <c r="F24" t="s">
        <v>477</v>
      </c>
      <c r="G24" t="s">
        <v>469</v>
      </c>
      <c r="H24" t="s">
        <v>469</v>
      </c>
      <c r="I24" t="s">
        <v>609</v>
      </c>
      <c r="J24" s="349" t="s">
        <v>1272</v>
      </c>
      <c r="K24" t="s">
        <v>516</v>
      </c>
      <c r="M24" t="s">
        <v>479</v>
      </c>
      <c r="P24" t="s">
        <v>610</v>
      </c>
      <c r="Q24" t="s">
        <v>498</v>
      </c>
      <c r="R24" t="s">
        <v>469</v>
      </c>
      <c r="S24" t="s">
        <v>482</v>
      </c>
      <c r="T24" t="s">
        <v>483</v>
      </c>
      <c r="U24" t="s">
        <v>509</v>
      </c>
      <c r="V24" t="s">
        <v>600</v>
      </c>
      <c r="W24" t="s">
        <v>486</v>
      </c>
      <c r="X24" t="s">
        <v>509</v>
      </c>
      <c r="Y24" t="s">
        <v>606</v>
      </c>
      <c r="Z24" t="s">
        <v>489</v>
      </c>
      <c r="AA24" t="s">
        <v>498</v>
      </c>
      <c r="AB24" t="s">
        <v>486</v>
      </c>
      <c r="AC24" t="s">
        <v>606</v>
      </c>
      <c r="AE24" t="s">
        <v>521</v>
      </c>
      <c r="AF24" t="s">
        <v>469</v>
      </c>
      <c r="AH24" t="s">
        <v>611</v>
      </c>
      <c r="AI24" t="s">
        <v>489</v>
      </c>
      <c r="AJ24" t="s">
        <v>606</v>
      </c>
      <c r="AK24" t="s">
        <v>612</v>
      </c>
    </row>
    <row r="25" spans="1:37" ht="16.5" customHeight="1">
      <c r="A25" s="348" t="s">
        <v>1271</v>
      </c>
      <c r="B25" t="s">
        <v>613</v>
      </c>
      <c r="C25" t="s">
        <v>474</v>
      </c>
      <c r="D25" t="s">
        <v>475</v>
      </c>
      <c r="E25" t="s">
        <v>476</v>
      </c>
      <c r="F25" t="s">
        <v>477</v>
      </c>
      <c r="G25" t="s">
        <v>469</v>
      </c>
      <c r="H25" t="s">
        <v>469</v>
      </c>
      <c r="I25" t="s">
        <v>614</v>
      </c>
      <c r="J25" s="349" t="s">
        <v>1272</v>
      </c>
      <c r="K25" t="s">
        <v>516</v>
      </c>
      <c r="M25" t="s">
        <v>479</v>
      </c>
      <c r="P25" t="s">
        <v>615</v>
      </c>
      <c r="Q25" t="s">
        <v>481</v>
      </c>
      <c r="R25" t="s">
        <v>469</v>
      </c>
      <c r="S25" t="s">
        <v>482</v>
      </c>
      <c r="T25" t="s">
        <v>483</v>
      </c>
      <c r="U25" t="s">
        <v>509</v>
      </c>
      <c r="V25" t="s">
        <v>600</v>
      </c>
      <c r="W25" t="s">
        <v>486</v>
      </c>
      <c r="X25" t="s">
        <v>487</v>
      </c>
      <c r="Y25" t="s">
        <v>488</v>
      </c>
      <c r="Z25" t="s">
        <v>489</v>
      </c>
      <c r="AA25" t="s">
        <v>498</v>
      </c>
      <c r="AB25" t="s">
        <v>564</v>
      </c>
      <c r="AC25" t="s">
        <v>606</v>
      </c>
      <c r="AD25" t="s">
        <v>509</v>
      </c>
      <c r="AE25" t="s">
        <v>488</v>
      </c>
      <c r="AF25" t="s">
        <v>469</v>
      </c>
      <c r="AH25" t="s">
        <v>616</v>
      </c>
      <c r="AI25" t="s">
        <v>509</v>
      </c>
      <c r="AJ25" t="s">
        <v>488</v>
      </c>
      <c r="AK25" t="s">
        <v>617</v>
      </c>
    </row>
    <row r="26" spans="1:37" ht="16.5" customHeight="1">
      <c r="A26" s="348" t="s">
        <v>1271</v>
      </c>
      <c r="B26" t="s">
        <v>618</v>
      </c>
      <c r="C26" t="s">
        <v>474</v>
      </c>
      <c r="D26" t="s">
        <v>475</v>
      </c>
      <c r="E26" t="s">
        <v>476</v>
      </c>
      <c r="F26" t="s">
        <v>477</v>
      </c>
      <c r="G26" t="s">
        <v>469</v>
      </c>
      <c r="H26" t="s">
        <v>469</v>
      </c>
      <c r="I26" t="s">
        <v>619</v>
      </c>
      <c r="J26" s="349" t="s">
        <v>1272</v>
      </c>
      <c r="K26" t="s">
        <v>1340</v>
      </c>
      <c r="L26" t="s">
        <v>620</v>
      </c>
      <c r="M26" t="s">
        <v>479</v>
      </c>
      <c r="P26" t="s">
        <v>621</v>
      </c>
      <c r="Q26" t="s">
        <v>481</v>
      </c>
      <c r="R26" t="s">
        <v>470</v>
      </c>
      <c r="S26" t="s">
        <v>482</v>
      </c>
      <c r="T26" t="s">
        <v>483</v>
      </c>
      <c r="U26" t="s">
        <v>484</v>
      </c>
      <c r="V26" t="s">
        <v>571</v>
      </c>
      <c r="W26" t="s">
        <v>540</v>
      </c>
      <c r="X26" t="s">
        <v>487</v>
      </c>
      <c r="Y26" t="s">
        <v>622</v>
      </c>
      <c r="Z26" t="s">
        <v>563</v>
      </c>
      <c r="AA26" t="s">
        <v>498</v>
      </c>
      <c r="AB26" t="s">
        <v>564</v>
      </c>
      <c r="AC26" t="s">
        <v>623</v>
      </c>
      <c r="AD26" t="s">
        <v>509</v>
      </c>
      <c r="AE26" t="s">
        <v>622</v>
      </c>
      <c r="AF26" t="s">
        <v>469</v>
      </c>
      <c r="AH26" t="s">
        <v>469</v>
      </c>
      <c r="AI26" t="s">
        <v>509</v>
      </c>
      <c r="AJ26" t="s">
        <v>622</v>
      </c>
      <c r="AK26" t="s">
        <v>624</v>
      </c>
    </row>
    <row r="27" spans="1:37" ht="16.5" customHeight="1">
      <c r="A27" s="348" t="s">
        <v>1271</v>
      </c>
      <c r="B27" t="s">
        <v>625</v>
      </c>
      <c r="C27" t="s">
        <v>474</v>
      </c>
      <c r="D27" t="s">
        <v>475</v>
      </c>
      <c r="E27" t="s">
        <v>476</v>
      </c>
      <c r="F27" t="s">
        <v>477</v>
      </c>
      <c r="G27" t="s">
        <v>469</v>
      </c>
      <c r="H27" t="s">
        <v>469</v>
      </c>
      <c r="I27" t="s">
        <v>626</v>
      </c>
      <c r="J27" s="349" t="s">
        <v>1272</v>
      </c>
      <c r="K27" t="s">
        <v>516</v>
      </c>
      <c r="L27" t="s">
        <v>627</v>
      </c>
      <c r="M27" t="s">
        <v>479</v>
      </c>
      <c r="P27" t="s">
        <v>628</v>
      </c>
      <c r="Q27" t="s">
        <v>481</v>
      </c>
      <c r="R27" t="s">
        <v>469</v>
      </c>
      <c r="S27" t="s">
        <v>482</v>
      </c>
      <c r="T27" t="s">
        <v>483</v>
      </c>
      <c r="U27" t="s">
        <v>484</v>
      </c>
      <c r="V27" t="s">
        <v>571</v>
      </c>
      <c r="W27" t="s">
        <v>540</v>
      </c>
      <c r="X27" t="s">
        <v>487</v>
      </c>
      <c r="Y27" t="s">
        <v>629</v>
      </c>
      <c r="Z27" t="s">
        <v>563</v>
      </c>
      <c r="AA27" t="s">
        <v>498</v>
      </c>
      <c r="AB27" t="s">
        <v>564</v>
      </c>
      <c r="AC27" t="s">
        <v>623</v>
      </c>
      <c r="AD27" t="s">
        <v>499</v>
      </c>
      <c r="AE27" t="s">
        <v>629</v>
      </c>
      <c r="AF27" t="s">
        <v>469</v>
      </c>
      <c r="AH27" t="s">
        <v>469</v>
      </c>
      <c r="AI27" t="s">
        <v>499</v>
      </c>
      <c r="AJ27" t="s">
        <v>629</v>
      </c>
      <c r="AK27" t="s">
        <v>630</v>
      </c>
    </row>
    <row r="28" spans="1:37" ht="16.5" customHeight="1">
      <c r="A28" s="348" t="s">
        <v>1271</v>
      </c>
      <c r="B28" t="s">
        <v>631</v>
      </c>
      <c r="C28" t="s">
        <v>474</v>
      </c>
      <c r="D28" t="s">
        <v>475</v>
      </c>
      <c r="E28" t="s">
        <v>476</v>
      </c>
      <c r="F28" t="s">
        <v>477</v>
      </c>
      <c r="G28" t="s">
        <v>469</v>
      </c>
      <c r="H28" t="s">
        <v>469</v>
      </c>
      <c r="I28" t="s">
        <v>632</v>
      </c>
      <c r="J28" s="349" t="s">
        <v>1272</v>
      </c>
      <c r="K28" t="s">
        <v>516</v>
      </c>
      <c r="L28" t="s">
        <v>627</v>
      </c>
      <c r="M28" t="s">
        <v>479</v>
      </c>
      <c r="P28" t="s">
        <v>633</v>
      </c>
      <c r="Q28" t="s">
        <v>498</v>
      </c>
      <c r="R28" t="s">
        <v>469</v>
      </c>
      <c r="S28" t="s">
        <v>482</v>
      </c>
      <c r="T28" t="s">
        <v>634</v>
      </c>
      <c r="U28" t="s">
        <v>484</v>
      </c>
      <c r="V28" t="s">
        <v>571</v>
      </c>
      <c r="W28" t="s">
        <v>540</v>
      </c>
      <c r="X28" t="s">
        <v>489</v>
      </c>
      <c r="Y28" t="s">
        <v>511</v>
      </c>
      <c r="Z28" t="s">
        <v>563</v>
      </c>
      <c r="AA28" t="s">
        <v>635</v>
      </c>
      <c r="AB28" t="s">
        <v>564</v>
      </c>
      <c r="AC28" t="s">
        <v>636</v>
      </c>
      <c r="AE28" t="s">
        <v>521</v>
      </c>
      <c r="AF28" t="s">
        <v>469</v>
      </c>
      <c r="AH28" t="s">
        <v>637</v>
      </c>
      <c r="AI28" t="s">
        <v>638</v>
      </c>
      <c r="AJ28" t="s">
        <v>511</v>
      </c>
      <c r="AK28" t="s">
        <v>639</v>
      </c>
    </row>
    <row r="29" spans="1:37" ht="16.5" customHeight="1">
      <c r="A29" s="348" t="s">
        <v>1271</v>
      </c>
      <c r="B29" t="s">
        <v>640</v>
      </c>
      <c r="C29" t="s">
        <v>474</v>
      </c>
      <c r="D29" t="s">
        <v>475</v>
      </c>
      <c r="E29" t="s">
        <v>469</v>
      </c>
      <c r="F29" t="s">
        <v>477</v>
      </c>
      <c r="G29" t="s">
        <v>469</v>
      </c>
      <c r="H29" t="s">
        <v>469</v>
      </c>
      <c r="I29" t="s">
        <v>641</v>
      </c>
      <c r="J29" s="349" t="s">
        <v>1272</v>
      </c>
      <c r="K29" t="s">
        <v>516</v>
      </c>
      <c r="L29" t="s">
        <v>627</v>
      </c>
      <c r="M29" t="s">
        <v>479</v>
      </c>
      <c r="P29" t="s">
        <v>642</v>
      </c>
      <c r="Q29" t="s">
        <v>481</v>
      </c>
      <c r="R29" t="s">
        <v>469</v>
      </c>
      <c r="S29" t="s">
        <v>482</v>
      </c>
      <c r="T29" t="s">
        <v>483</v>
      </c>
      <c r="U29" t="s">
        <v>509</v>
      </c>
      <c r="V29" t="s">
        <v>571</v>
      </c>
      <c r="W29" t="s">
        <v>540</v>
      </c>
      <c r="X29" t="s">
        <v>487</v>
      </c>
      <c r="Y29" t="s">
        <v>539</v>
      </c>
      <c r="Z29" t="s">
        <v>489</v>
      </c>
      <c r="AA29" t="s">
        <v>498</v>
      </c>
      <c r="AB29" t="s">
        <v>540</v>
      </c>
      <c r="AC29" t="s">
        <v>541</v>
      </c>
      <c r="AD29" t="s">
        <v>509</v>
      </c>
      <c r="AE29" t="s">
        <v>539</v>
      </c>
      <c r="AF29" t="s">
        <v>469</v>
      </c>
      <c r="AH29" t="s">
        <v>643</v>
      </c>
      <c r="AI29" t="s">
        <v>509</v>
      </c>
      <c r="AJ29" t="s">
        <v>539</v>
      </c>
      <c r="AK29" t="s">
        <v>644</v>
      </c>
    </row>
    <row r="30" spans="1:37" ht="16.5" customHeight="1">
      <c r="A30" s="348" t="s">
        <v>1271</v>
      </c>
      <c r="B30" t="s">
        <v>645</v>
      </c>
      <c r="C30" t="s">
        <v>474</v>
      </c>
      <c r="D30" t="s">
        <v>475</v>
      </c>
      <c r="E30" t="s">
        <v>476</v>
      </c>
      <c r="F30" t="s">
        <v>477</v>
      </c>
      <c r="G30" t="s">
        <v>469</v>
      </c>
      <c r="H30" t="s">
        <v>469</v>
      </c>
      <c r="I30" t="s">
        <v>646</v>
      </c>
      <c r="J30" s="349" t="s">
        <v>1272</v>
      </c>
      <c r="K30" t="s">
        <v>516</v>
      </c>
      <c r="L30" t="s">
        <v>627</v>
      </c>
      <c r="M30" t="s">
        <v>479</v>
      </c>
      <c r="P30" t="s">
        <v>647</v>
      </c>
      <c r="Q30" t="s">
        <v>498</v>
      </c>
      <c r="R30" t="s">
        <v>469</v>
      </c>
      <c r="S30" t="s">
        <v>482</v>
      </c>
      <c r="T30" t="s">
        <v>634</v>
      </c>
      <c r="U30" t="s">
        <v>484</v>
      </c>
      <c r="V30" t="s">
        <v>571</v>
      </c>
      <c r="W30" t="s">
        <v>540</v>
      </c>
      <c r="X30" t="s">
        <v>519</v>
      </c>
      <c r="Y30" t="s">
        <v>636</v>
      </c>
      <c r="Z30" t="s">
        <v>648</v>
      </c>
      <c r="AA30" t="s">
        <v>649</v>
      </c>
      <c r="AB30" t="s">
        <v>540</v>
      </c>
      <c r="AC30" t="s">
        <v>623</v>
      </c>
      <c r="AE30" t="s">
        <v>521</v>
      </c>
      <c r="AF30" t="s">
        <v>469</v>
      </c>
      <c r="AH30" t="s">
        <v>469</v>
      </c>
      <c r="AI30" t="s">
        <v>484</v>
      </c>
      <c r="AJ30" t="s">
        <v>636</v>
      </c>
      <c r="AK30" t="s">
        <v>650</v>
      </c>
    </row>
    <row r="31" spans="1:37" ht="16.5" customHeight="1">
      <c r="A31" s="348" t="s">
        <v>1271</v>
      </c>
      <c r="B31" t="s">
        <v>651</v>
      </c>
      <c r="C31" t="s">
        <v>474</v>
      </c>
      <c r="D31" t="s">
        <v>475</v>
      </c>
      <c r="E31" t="s">
        <v>476</v>
      </c>
      <c r="F31" t="s">
        <v>477</v>
      </c>
      <c r="G31" t="s">
        <v>469</v>
      </c>
      <c r="H31" t="s">
        <v>469</v>
      </c>
      <c r="I31" t="s">
        <v>652</v>
      </c>
      <c r="J31" s="349" t="s">
        <v>1272</v>
      </c>
      <c r="K31" t="s">
        <v>1337</v>
      </c>
      <c r="L31" t="s">
        <v>627</v>
      </c>
      <c r="M31" t="s">
        <v>479</v>
      </c>
      <c r="P31" t="s">
        <v>653</v>
      </c>
      <c r="Q31" t="s">
        <v>481</v>
      </c>
      <c r="R31" t="s">
        <v>469</v>
      </c>
      <c r="S31" t="s">
        <v>482</v>
      </c>
      <c r="T31" t="s">
        <v>483</v>
      </c>
      <c r="U31" t="s">
        <v>484</v>
      </c>
      <c r="V31" t="s">
        <v>571</v>
      </c>
      <c r="W31" t="s">
        <v>540</v>
      </c>
      <c r="X31" t="s">
        <v>487</v>
      </c>
      <c r="Y31" t="s">
        <v>511</v>
      </c>
      <c r="Z31" t="s">
        <v>489</v>
      </c>
      <c r="AA31" t="s">
        <v>498</v>
      </c>
      <c r="AB31" t="s">
        <v>540</v>
      </c>
      <c r="AC31" t="s">
        <v>654</v>
      </c>
      <c r="AD31" t="s">
        <v>509</v>
      </c>
      <c r="AE31" t="s">
        <v>511</v>
      </c>
      <c r="AF31" t="s">
        <v>469</v>
      </c>
      <c r="AH31" t="s">
        <v>655</v>
      </c>
      <c r="AI31" t="s">
        <v>509</v>
      </c>
      <c r="AJ31" t="s">
        <v>511</v>
      </c>
    </row>
    <row r="32" spans="1:37" ht="16.5" customHeight="1">
      <c r="A32" s="348" t="s">
        <v>1271</v>
      </c>
      <c r="B32" t="s">
        <v>656</v>
      </c>
      <c r="C32" t="s">
        <v>474</v>
      </c>
      <c r="D32" t="s">
        <v>475</v>
      </c>
      <c r="E32" t="s">
        <v>476</v>
      </c>
      <c r="F32" t="s">
        <v>477</v>
      </c>
      <c r="G32" t="s">
        <v>469</v>
      </c>
      <c r="H32" t="s">
        <v>469</v>
      </c>
      <c r="I32" t="s">
        <v>657</v>
      </c>
      <c r="J32" s="349" t="s">
        <v>1272</v>
      </c>
      <c r="K32" t="s">
        <v>516</v>
      </c>
      <c r="L32" t="s">
        <v>627</v>
      </c>
      <c r="M32" t="s">
        <v>479</v>
      </c>
      <c r="P32" t="s">
        <v>658</v>
      </c>
      <c r="Q32" t="s">
        <v>498</v>
      </c>
      <c r="R32" t="s">
        <v>469</v>
      </c>
      <c r="S32" t="s">
        <v>482</v>
      </c>
      <c r="T32" t="s">
        <v>634</v>
      </c>
      <c r="U32" t="s">
        <v>484</v>
      </c>
      <c r="V32" t="s">
        <v>571</v>
      </c>
      <c r="W32" t="s">
        <v>540</v>
      </c>
      <c r="X32" t="s">
        <v>489</v>
      </c>
      <c r="Y32" t="s">
        <v>511</v>
      </c>
      <c r="Z32" t="s">
        <v>563</v>
      </c>
      <c r="AA32" t="s">
        <v>635</v>
      </c>
      <c r="AB32" t="s">
        <v>564</v>
      </c>
      <c r="AC32" t="s">
        <v>636</v>
      </c>
      <c r="AE32" t="s">
        <v>521</v>
      </c>
      <c r="AF32" t="s">
        <v>469</v>
      </c>
      <c r="AH32" t="s">
        <v>469</v>
      </c>
      <c r="AI32" t="s">
        <v>638</v>
      </c>
      <c r="AJ32" t="s">
        <v>511</v>
      </c>
      <c r="AK32" t="s">
        <v>659</v>
      </c>
    </row>
    <row r="33" spans="1:37" ht="16.5" customHeight="1">
      <c r="A33" s="348" t="s">
        <v>1271</v>
      </c>
      <c r="B33" t="s">
        <v>660</v>
      </c>
      <c r="C33" t="s">
        <v>474</v>
      </c>
      <c r="D33" t="s">
        <v>475</v>
      </c>
      <c r="E33" t="s">
        <v>476</v>
      </c>
      <c r="F33" t="s">
        <v>477</v>
      </c>
      <c r="G33" t="s">
        <v>469</v>
      </c>
      <c r="H33" t="s">
        <v>469</v>
      </c>
      <c r="I33" t="s">
        <v>661</v>
      </c>
      <c r="J33" s="349" t="s">
        <v>1272</v>
      </c>
      <c r="K33" t="s">
        <v>516</v>
      </c>
      <c r="L33" t="s">
        <v>627</v>
      </c>
      <c r="M33" t="s">
        <v>479</v>
      </c>
      <c r="P33" t="s">
        <v>662</v>
      </c>
      <c r="Q33" t="s">
        <v>498</v>
      </c>
      <c r="R33" t="s">
        <v>469</v>
      </c>
      <c r="S33" t="s">
        <v>482</v>
      </c>
      <c r="T33" t="s">
        <v>483</v>
      </c>
      <c r="U33" t="s">
        <v>509</v>
      </c>
      <c r="V33" t="s">
        <v>663</v>
      </c>
      <c r="W33" t="s">
        <v>540</v>
      </c>
      <c r="X33" t="s">
        <v>489</v>
      </c>
      <c r="Y33" t="s">
        <v>623</v>
      </c>
      <c r="Z33" t="s">
        <v>648</v>
      </c>
      <c r="AA33" t="s">
        <v>498</v>
      </c>
      <c r="AB33" t="s">
        <v>564</v>
      </c>
      <c r="AC33" t="s">
        <v>623</v>
      </c>
      <c r="AE33" t="s">
        <v>521</v>
      </c>
      <c r="AF33" t="s">
        <v>469</v>
      </c>
      <c r="AH33" t="s">
        <v>664</v>
      </c>
      <c r="AI33" t="s">
        <v>509</v>
      </c>
      <c r="AJ33" t="s">
        <v>511</v>
      </c>
      <c r="AK33" t="s">
        <v>665</v>
      </c>
    </row>
    <row r="34" spans="1:37" ht="16.5" customHeight="1">
      <c r="A34" s="348" t="s">
        <v>1271</v>
      </c>
      <c r="B34" t="s">
        <v>666</v>
      </c>
      <c r="C34" t="s">
        <v>474</v>
      </c>
      <c r="D34" t="s">
        <v>475</v>
      </c>
      <c r="E34" t="s">
        <v>469</v>
      </c>
      <c r="F34" t="s">
        <v>477</v>
      </c>
      <c r="G34" t="s">
        <v>469</v>
      </c>
      <c r="H34" t="s">
        <v>469</v>
      </c>
      <c r="I34" t="s">
        <v>667</v>
      </c>
      <c r="J34" s="349" t="s">
        <v>1272</v>
      </c>
      <c r="K34" t="s">
        <v>516</v>
      </c>
      <c r="L34" t="s">
        <v>620</v>
      </c>
      <c r="M34" t="s">
        <v>479</v>
      </c>
      <c r="P34" t="s">
        <v>668</v>
      </c>
      <c r="Q34" t="s">
        <v>481</v>
      </c>
      <c r="R34" t="s">
        <v>469</v>
      </c>
      <c r="S34" t="s">
        <v>482</v>
      </c>
      <c r="T34" t="s">
        <v>483</v>
      </c>
      <c r="U34" t="s">
        <v>509</v>
      </c>
      <c r="V34" t="s">
        <v>663</v>
      </c>
      <c r="W34" t="s">
        <v>540</v>
      </c>
      <c r="X34" t="s">
        <v>487</v>
      </c>
      <c r="Y34" t="s">
        <v>539</v>
      </c>
      <c r="Z34" t="s">
        <v>648</v>
      </c>
      <c r="AA34" t="s">
        <v>498</v>
      </c>
      <c r="AB34" t="s">
        <v>540</v>
      </c>
      <c r="AC34" t="s">
        <v>622</v>
      </c>
      <c r="AD34" t="s">
        <v>509</v>
      </c>
      <c r="AE34" t="s">
        <v>539</v>
      </c>
      <c r="AF34" t="s">
        <v>469</v>
      </c>
      <c r="AH34" t="s">
        <v>669</v>
      </c>
      <c r="AI34" t="s">
        <v>509</v>
      </c>
      <c r="AJ34" t="s">
        <v>539</v>
      </c>
      <c r="AK34" t="s">
        <v>670</v>
      </c>
    </row>
    <row r="35" spans="1:37" ht="16.5" customHeight="1">
      <c r="A35" s="348" t="s">
        <v>1271</v>
      </c>
      <c r="B35" t="s">
        <v>671</v>
      </c>
      <c r="C35" t="s">
        <v>474</v>
      </c>
      <c r="D35" t="s">
        <v>475</v>
      </c>
      <c r="E35" t="s">
        <v>469</v>
      </c>
      <c r="F35" t="s">
        <v>477</v>
      </c>
      <c r="G35" t="s">
        <v>469</v>
      </c>
      <c r="H35" t="s">
        <v>469</v>
      </c>
      <c r="I35" t="s">
        <v>672</v>
      </c>
      <c r="J35" s="349" t="s">
        <v>1272</v>
      </c>
      <c r="K35" t="s">
        <v>516</v>
      </c>
      <c r="L35" t="s">
        <v>627</v>
      </c>
      <c r="M35" t="s">
        <v>479</v>
      </c>
      <c r="P35" t="s">
        <v>673</v>
      </c>
      <c r="Q35" t="s">
        <v>481</v>
      </c>
      <c r="R35" t="s">
        <v>469</v>
      </c>
      <c r="S35" t="s">
        <v>482</v>
      </c>
      <c r="T35" t="s">
        <v>483</v>
      </c>
      <c r="U35" t="s">
        <v>509</v>
      </c>
      <c r="V35" t="s">
        <v>663</v>
      </c>
      <c r="W35" t="s">
        <v>540</v>
      </c>
      <c r="X35" t="s">
        <v>487</v>
      </c>
      <c r="Y35" t="s">
        <v>539</v>
      </c>
      <c r="Z35" t="s">
        <v>648</v>
      </c>
      <c r="AA35" t="s">
        <v>498</v>
      </c>
      <c r="AB35" t="s">
        <v>540</v>
      </c>
      <c r="AC35" t="s">
        <v>622</v>
      </c>
      <c r="AD35" t="s">
        <v>509</v>
      </c>
      <c r="AE35" t="s">
        <v>539</v>
      </c>
      <c r="AF35" t="s">
        <v>469</v>
      </c>
      <c r="AH35" t="s">
        <v>469</v>
      </c>
      <c r="AI35" t="s">
        <v>509</v>
      </c>
      <c r="AJ35" t="s">
        <v>539</v>
      </c>
      <c r="AK35" t="s">
        <v>674</v>
      </c>
    </row>
    <row r="36" spans="1:37" ht="16.5" customHeight="1">
      <c r="A36" s="348" t="s">
        <v>1271</v>
      </c>
      <c r="B36" t="s">
        <v>675</v>
      </c>
      <c r="C36" t="s">
        <v>474</v>
      </c>
      <c r="D36" t="s">
        <v>475</v>
      </c>
      <c r="E36" t="s">
        <v>469</v>
      </c>
      <c r="F36" t="s">
        <v>477</v>
      </c>
      <c r="G36" t="s">
        <v>469</v>
      </c>
      <c r="H36" t="s">
        <v>469</v>
      </c>
      <c r="I36" t="s">
        <v>676</v>
      </c>
      <c r="J36" s="349" t="s">
        <v>1272</v>
      </c>
      <c r="K36" t="s">
        <v>516</v>
      </c>
      <c r="L36" t="s">
        <v>627</v>
      </c>
      <c r="M36" t="s">
        <v>479</v>
      </c>
      <c r="P36" t="s">
        <v>677</v>
      </c>
      <c r="Q36" t="s">
        <v>481</v>
      </c>
      <c r="R36" t="s">
        <v>469</v>
      </c>
      <c r="S36" t="s">
        <v>482</v>
      </c>
      <c r="T36" t="s">
        <v>483</v>
      </c>
      <c r="U36" t="s">
        <v>509</v>
      </c>
      <c r="V36" t="s">
        <v>663</v>
      </c>
      <c r="W36" t="s">
        <v>540</v>
      </c>
      <c r="X36" t="s">
        <v>487</v>
      </c>
      <c r="Y36" t="s">
        <v>539</v>
      </c>
      <c r="Z36" t="s">
        <v>648</v>
      </c>
      <c r="AA36" t="s">
        <v>498</v>
      </c>
      <c r="AB36" t="s">
        <v>540</v>
      </c>
      <c r="AC36" t="s">
        <v>622</v>
      </c>
      <c r="AD36" t="s">
        <v>509</v>
      </c>
      <c r="AE36" t="s">
        <v>539</v>
      </c>
      <c r="AF36" t="s">
        <v>469</v>
      </c>
      <c r="AH36" t="s">
        <v>469</v>
      </c>
      <c r="AI36" t="s">
        <v>509</v>
      </c>
      <c r="AJ36" t="s">
        <v>539</v>
      </c>
    </row>
    <row r="37" spans="1:37" ht="16.5" customHeight="1">
      <c r="A37" s="348" t="s">
        <v>1271</v>
      </c>
      <c r="B37" t="s">
        <v>678</v>
      </c>
      <c r="C37" t="s">
        <v>474</v>
      </c>
      <c r="D37" t="s">
        <v>475</v>
      </c>
      <c r="E37" t="s">
        <v>469</v>
      </c>
      <c r="F37" t="s">
        <v>477</v>
      </c>
      <c r="G37" t="s">
        <v>469</v>
      </c>
      <c r="H37" t="s">
        <v>469</v>
      </c>
      <c r="I37" t="s">
        <v>679</v>
      </c>
      <c r="J37" s="349" t="s">
        <v>1272</v>
      </c>
      <c r="K37" t="s">
        <v>516</v>
      </c>
      <c r="L37" t="s">
        <v>680</v>
      </c>
      <c r="M37" t="s">
        <v>479</v>
      </c>
      <c r="P37" t="s">
        <v>681</v>
      </c>
      <c r="Q37" t="s">
        <v>481</v>
      </c>
      <c r="R37" t="s">
        <v>469</v>
      </c>
      <c r="S37" t="s">
        <v>482</v>
      </c>
      <c r="T37" t="s">
        <v>483</v>
      </c>
      <c r="U37" t="s">
        <v>509</v>
      </c>
      <c r="V37" t="s">
        <v>663</v>
      </c>
      <c r="W37" t="s">
        <v>540</v>
      </c>
      <c r="X37" t="s">
        <v>487</v>
      </c>
      <c r="Y37" t="s">
        <v>539</v>
      </c>
      <c r="Z37" t="s">
        <v>648</v>
      </c>
      <c r="AA37" t="s">
        <v>498</v>
      </c>
      <c r="AB37" t="s">
        <v>540</v>
      </c>
      <c r="AC37" t="s">
        <v>622</v>
      </c>
      <c r="AD37" t="s">
        <v>509</v>
      </c>
      <c r="AE37" t="s">
        <v>539</v>
      </c>
      <c r="AF37" t="s">
        <v>469</v>
      </c>
      <c r="AH37" t="s">
        <v>469</v>
      </c>
      <c r="AI37" t="s">
        <v>509</v>
      </c>
      <c r="AJ37" t="s">
        <v>539</v>
      </c>
    </row>
    <row r="38" spans="1:37" ht="16.5" customHeight="1">
      <c r="A38" s="348" t="s">
        <v>1271</v>
      </c>
      <c r="B38" t="s">
        <v>682</v>
      </c>
      <c r="C38" t="s">
        <v>474</v>
      </c>
      <c r="D38" t="s">
        <v>475</v>
      </c>
      <c r="E38" t="s">
        <v>476</v>
      </c>
      <c r="F38" t="s">
        <v>477</v>
      </c>
      <c r="G38" t="s">
        <v>469</v>
      </c>
      <c r="H38" t="s">
        <v>469</v>
      </c>
      <c r="I38" t="s">
        <v>683</v>
      </c>
      <c r="J38" s="349" t="s">
        <v>1272</v>
      </c>
      <c r="K38" t="s">
        <v>1337</v>
      </c>
      <c r="L38" t="s">
        <v>627</v>
      </c>
      <c r="M38" t="s">
        <v>479</v>
      </c>
      <c r="P38" t="s">
        <v>684</v>
      </c>
      <c r="Q38" t="s">
        <v>481</v>
      </c>
      <c r="R38" t="s">
        <v>469</v>
      </c>
      <c r="S38" t="s">
        <v>482</v>
      </c>
      <c r="T38" t="s">
        <v>483</v>
      </c>
      <c r="U38" t="s">
        <v>509</v>
      </c>
      <c r="V38" t="s">
        <v>663</v>
      </c>
      <c r="W38" t="s">
        <v>540</v>
      </c>
      <c r="X38" t="s">
        <v>487</v>
      </c>
      <c r="Y38" t="s">
        <v>629</v>
      </c>
      <c r="Z38" t="s">
        <v>648</v>
      </c>
      <c r="AA38" t="s">
        <v>498</v>
      </c>
      <c r="AB38" t="s">
        <v>564</v>
      </c>
      <c r="AC38" t="s">
        <v>623</v>
      </c>
      <c r="AD38" t="s">
        <v>499</v>
      </c>
      <c r="AE38" t="s">
        <v>629</v>
      </c>
      <c r="AF38" t="s">
        <v>469</v>
      </c>
      <c r="AH38" t="s">
        <v>685</v>
      </c>
      <c r="AI38" t="s">
        <v>499</v>
      </c>
      <c r="AJ38" t="s">
        <v>629</v>
      </c>
      <c r="AK38" t="s">
        <v>686</v>
      </c>
    </row>
    <row r="39" spans="1:37" ht="16.5" customHeight="1">
      <c r="A39" s="348" t="s">
        <v>1271</v>
      </c>
      <c r="B39" t="s">
        <v>687</v>
      </c>
      <c r="C39" t="s">
        <v>474</v>
      </c>
      <c r="D39" t="s">
        <v>475</v>
      </c>
      <c r="E39" t="s">
        <v>469</v>
      </c>
      <c r="F39" t="s">
        <v>477</v>
      </c>
      <c r="G39" t="s">
        <v>469</v>
      </c>
      <c r="H39" t="s">
        <v>469</v>
      </c>
      <c r="I39" t="s">
        <v>688</v>
      </c>
      <c r="J39" s="349" t="s">
        <v>1272</v>
      </c>
      <c r="K39" t="s">
        <v>516</v>
      </c>
      <c r="L39" t="s">
        <v>627</v>
      </c>
      <c r="M39" t="s">
        <v>479</v>
      </c>
      <c r="P39" t="s">
        <v>689</v>
      </c>
      <c r="Q39" t="s">
        <v>498</v>
      </c>
      <c r="R39" t="s">
        <v>469</v>
      </c>
      <c r="S39" t="s">
        <v>482</v>
      </c>
      <c r="T39" t="s">
        <v>483</v>
      </c>
      <c r="U39" t="s">
        <v>509</v>
      </c>
      <c r="V39" t="s">
        <v>690</v>
      </c>
      <c r="W39" t="s">
        <v>540</v>
      </c>
      <c r="X39" t="s">
        <v>509</v>
      </c>
      <c r="Y39" t="s">
        <v>691</v>
      </c>
      <c r="Z39" t="s">
        <v>648</v>
      </c>
      <c r="AA39" t="s">
        <v>498</v>
      </c>
      <c r="AB39" t="s">
        <v>540</v>
      </c>
      <c r="AC39" t="s">
        <v>691</v>
      </c>
      <c r="AE39" t="s">
        <v>521</v>
      </c>
      <c r="AF39" t="s">
        <v>469</v>
      </c>
      <c r="AH39" t="s">
        <v>692</v>
      </c>
      <c r="AI39" t="s">
        <v>648</v>
      </c>
      <c r="AJ39" t="s">
        <v>691</v>
      </c>
      <c r="AK39" t="s">
        <v>693</v>
      </c>
    </row>
    <row r="40" spans="1:37" ht="16.5" customHeight="1">
      <c r="A40" s="348" t="s">
        <v>1271</v>
      </c>
      <c r="B40" t="s">
        <v>694</v>
      </c>
      <c r="C40" t="s">
        <v>474</v>
      </c>
      <c r="D40" t="s">
        <v>475</v>
      </c>
      <c r="E40" t="s">
        <v>469</v>
      </c>
      <c r="F40" t="s">
        <v>477</v>
      </c>
      <c r="G40" t="s">
        <v>469</v>
      </c>
      <c r="H40" t="s">
        <v>469</v>
      </c>
      <c r="I40" t="s">
        <v>695</v>
      </c>
      <c r="J40" s="349" t="s">
        <v>1272</v>
      </c>
      <c r="K40" t="s">
        <v>516</v>
      </c>
      <c r="L40" t="s">
        <v>627</v>
      </c>
      <c r="M40" t="s">
        <v>479</v>
      </c>
      <c r="P40" t="s">
        <v>696</v>
      </c>
      <c r="Q40" t="s">
        <v>481</v>
      </c>
      <c r="R40" t="s">
        <v>469</v>
      </c>
      <c r="S40" t="s">
        <v>482</v>
      </c>
      <c r="T40" t="s">
        <v>483</v>
      </c>
      <c r="U40" t="s">
        <v>509</v>
      </c>
      <c r="V40" t="s">
        <v>690</v>
      </c>
      <c r="W40" t="s">
        <v>540</v>
      </c>
      <c r="X40" t="s">
        <v>487</v>
      </c>
      <c r="Y40" t="s">
        <v>539</v>
      </c>
      <c r="Z40" t="s">
        <v>648</v>
      </c>
      <c r="AA40" t="s">
        <v>498</v>
      </c>
      <c r="AB40" t="s">
        <v>540</v>
      </c>
      <c r="AC40" t="s">
        <v>622</v>
      </c>
      <c r="AD40" t="s">
        <v>509</v>
      </c>
      <c r="AE40" t="s">
        <v>539</v>
      </c>
      <c r="AF40" t="s">
        <v>469</v>
      </c>
      <c r="AH40" t="s">
        <v>697</v>
      </c>
      <c r="AI40" t="s">
        <v>509</v>
      </c>
      <c r="AJ40" t="s">
        <v>539</v>
      </c>
      <c r="AK40" t="s">
        <v>698</v>
      </c>
    </row>
    <row r="41" spans="1:37" ht="16.5" customHeight="1">
      <c r="A41" s="348" t="s">
        <v>1271</v>
      </c>
      <c r="B41" t="s">
        <v>699</v>
      </c>
      <c r="C41" t="s">
        <v>474</v>
      </c>
      <c r="D41" t="s">
        <v>475</v>
      </c>
      <c r="E41" t="s">
        <v>476</v>
      </c>
      <c r="F41" t="s">
        <v>477</v>
      </c>
      <c r="G41" t="s">
        <v>469</v>
      </c>
      <c r="H41" t="s">
        <v>469</v>
      </c>
      <c r="I41" t="s">
        <v>700</v>
      </c>
      <c r="J41" s="349" t="s">
        <v>1272</v>
      </c>
      <c r="K41" t="s">
        <v>516</v>
      </c>
      <c r="L41" t="s">
        <v>627</v>
      </c>
      <c r="M41" t="s">
        <v>479</v>
      </c>
      <c r="P41" t="s">
        <v>701</v>
      </c>
      <c r="Q41" t="s">
        <v>498</v>
      </c>
      <c r="R41" t="s">
        <v>469</v>
      </c>
      <c r="S41" t="s">
        <v>482</v>
      </c>
      <c r="T41" t="s">
        <v>702</v>
      </c>
      <c r="U41" t="s">
        <v>484</v>
      </c>
      <c r="V41" t="s">
        <v>690</v>
      </c>
      <c r="W41" t="s">
        <v>540</v>
      </c>
      <c r="X41" t="s">
        <v>484</v>
      </c>
      <c r="Y41" t="s">
        <v>541</v>
      </c>
      <c r="Z41" t="s">
        <v>489</v>
      </c>
      <c r="AA41" t="s">
        <v>581</v>
      </c>
      <c r="AB41" t="s">
        <v>540</v>
      </c>
      <c r="AC41" t="s">
        <v>541</v>
      </c>
      <c r="AE41" t="s">
        <v>521</v>
      </c>
      <c r="AF41" t="s">
        <v>469</v>
      </c>
      <c r="AH41" t="s">
        <v>469</v>
      </c>
      <c r="AI41" t="s">
        <v>489</v>
      </c>
      <c r="AJ41" t="s">
        <v>541</v>
      </c>
      <c r="AK41" t="s">
        <v>703</v>
      </c>
    </row>
    <row r="42" spans="1:37" ht="16.5" customHeight="1">
      <c r="A42" s="348" t="s">
        <v>1271</v>
      </c>
      <c r="B42" t="s">
        <v>704</v>
      </c>
      <c r="C42" t="s">
        <v>474</v>
      </c>
      <c r="D42" t="s">
        <v>475</v>
      </c>
      <c r="E42" t="s">
        <v>476</v>
      </c>
      <c r="F42" t="s">
        <v>477</v>
      </c>
      <c r="G42" t="s">
        <v>469</v>
      </c>
      <c r="H42" t="s">
        <v>469</v>
      </c>
      <c r="I42" t="s">
        <v>705</v>
      </c>
      <c r="J42" s="349" t="s">
        <v>1272</v>
      </c>
      <c r="K42" t="s">
        <v>516</v>
      </c>
      <c r="L42" t="s">
        <v>627</v>
      </c>
      <c r="M42" t="s">
        <v>479</v>
      </c>
      <c r="P42" t="s">
        <v>706</v>
      </c>
      <c r="Q42" t="s">
        <v>481</v>
      </c>
      <c r="R42" t="s">
        <v>469</v>
      </c>
      <c r="S42" t="s">
        <v>482</v>
      </c>
      <c r="T42" t="s">
        <v>483</v>
      </c>
      <c r="U42" t="s">
        <v>484</v>
      </c>
      <c r="V42" t="s">
        <v>690</v>
      </c>
      <c r="W42" t="s">
        <v>540</v>
      </c>
      <c r="X42" t="s">
        <v>487</v>
      </c>
      <c r="Y42" t="s">
        <v>511</v>
      </c>
      <c r="Z42" t="s">
        <v>648</v>
      </c>
      <c r="AA42" t="s">
        <v>498</v>
      </c>
      <c r="AB42" t="s">
        <v>540</v>
      </c>
      <c r="AC42" t="s">
        <v>623</v>
      </c>
      <c r="AD42" t="s">
        <v>509</v>
      </c>
      <c r="AE42" t="s">
        <v>511</v>
      </c>
      <c r="AF42" t="s">
        <v>469</v>
      </c>
      <c r="AH42" t="s">
        <v>469</v>
      </c>
      <c r="AI42" t="s">
        <v>509</v>
      </c>
      <c r="AJ42" t="s">
        <v>511</v>
      </c>
      <c r="AK42" t="s">
        <v>707</v>
      </c>
    </row>
    <row r="43" spans="1:37" ht="16.5" customHeight="1">
      <c r="A43" s="348" t="s">
        <v>1271</v>
      </c>
      <c r="B43" t="s">
        <v>708</v>
      </c>
      <c r="C43" t="s">
        <v>474</v>
      </c>
      <c r="D43" t="s">
        <v>475</v>
      </c>
      <c r="E43" t="s">
        <v>476</v>
      </c>
      <c r="F43" t="s">
        <v>477</v>
      </c>
      <c r="G43" t="s">
        <v>469</v>
      </c>
      <c r="H43" t="s">
        <v>469</v>
      </c>
      <c r="I43" t="s">
        <v>709</v>
      </c>
      <c r="J43" s="349" t="s">
        <v>1272</v>
      </c>
      <c r="K43" t="s">
        <v>516</v>
      </c>
      <c r="L43" t="s">
        <v>627</v>
      </c>
      <c r="M43" t="s">
        <v>479</v>
      </c>
      <c r="P43" t="s">
        <v>710</v>
      </c>
      <c r="Q43" t="s">
        <v>481</v>
      </c>
      <c r="R43" t="s">
        <v>469</v>
      </c>
      <c r="S43" t="s">
        <v>482</v>
      </c>
      <c r="T43" t="s">
        <v>483</v>
      </c>
      <c r="U43" t="s">
        <v>484</v>
      </c>
      <c r="V43" t="s">
        <v>690</v>
      </c>
      <c r="W43" t="s">
        <v>540</v>
      </c>
      <c r="X43" t="s">
        <v>487</v>
      </c>
      <c r="Y43" t="s">
        <v>511</v>
      </c>
      <c r="Z43" t="s">
        <v>648</v>
      </c>
      <c r="AA43" t="s">
        <v>498</v>
      </c>
      <c r="AB43" t="s">
        <v>564</v>
      </c>
      <c r="AC43" t="s">
        <v>623</v>
      </c>
      <c r="AD43" t="s">
        <v>509</v>
      </c>
      <c r="AE43" t="s">
        <v>511</v>
      </c>
      <c r="AF43" t="s">
        <v>469</v>
      </c>
      <c r="AH43" t="s">
        <v>469</v>
      </c>
      <c r="AI43" t="s">
        <v>509</v>
      </c>
      <c r="AJ43" t="s">
        <v>511</v>
      </c>
      <c r="AK43" t="s">
        <v>711</v>
      </c>
    </row>
    <row r="44" spans="1:37" ht="16.5" customHeight="1">
      <c r="A44" s="348" t="s">
        <v>1271</v>
      </c>
      <c r="B44" t="s">
        <v>712</v>
      </c>
      <c r="C44" t="s">
        <v>474</v>
      </c>
      <c r="D44" t="s">
        <v>475</v>
      </c>
      <c r="E44" t="s">
        <v>476</v>
      </c>
      <c r="F44" t="s">
        <v>477</v>
      </c>
      <c r="G44" t="s">
        <v>469</v>
      </c>
      <c r="H44" t="s">
        <v>469</v>
      </c>
      <c r="I44" t="s">
        <v>713</v>
      </c>
      <c r="J44" s="349" t="s">
        <v>1272</v>
      </c>
      <c r="K44" t="s">
        <v>516</v>
      </c>
      <c r="L44" t="s">
        <v>627</v>
      </c>
      <c r="M44" t="s">
        <v>479</v>
      </c>
      <c r="P44" t="s">
        <v>714</v>
      </c>
      <c r="Q44" t="s">
        <v>481</v>
      </c>
      <c r="R44" t="s">
        <v>469</v>
      </c>
      <c r="S44" t="s">
        <v>482</v>
      </c>
      <c r="T44" t="s">
        <v>483</v>
      </c>
      <c r="U44" t="s">
        <v>484</v>
      </c>
      <c r="V44" t="s">
        <v>690</v>
      </c>
      <c r="W44" t="s">
        <v>540</v>
      </c>
      <c r="X44" t="s">
        <v>487</v>
      </c>
      <c r="Y44" t="s">
        <v>504</v>
      </c>
      <c r="Z44" t="s">
        <v>489</v>
      </c>
      <c r="AA44" t="s">
        <v>498</v>
      </c>
      <c r="AB44" t="s">
        <v>540</v>
      </c>
      <c r="AC44" t="s">
        <v>623</v>
      </c>
      <c r="AD44" t="s">
        <v>484</v>
      </c>
      <c r="AE44" t="s">
        <v>504</v>
      </c>
      <c r="AF44" t="s">
        <v>469</v>
      </c>
      <c r="AH44" t="s">
        <v>469</v>
      </c>
      <c r="AI44" t="s">
        <v>484</v>
      </c>
      <c r="AJ44" t="s">
        <v>504</v>
      </c>
      <c r="AK44" t="s">
        <v>715</v>
      </c>
    </row>
    <row r="45" spans="1:37" ht="16.5" customHeight="1">
      <c r="A45" s="348" t="s">
        <v>1271</v>
      </c>
      <c r="B45" t="s">
        <v>716</v>
      </c>
      <c r="C45" t="s">
        <v>474</v>
      </c>
      <c r="D45" t="s">
        <v>475</v>
      </c>
      <c r="E45" t="s">
        <v>476</v>
      </c>
      <c r="F45" t="s">
        <v>477</v>
      </c>
      <c r="G45" t="s">
        <v>469</v>
      </c>
      <c r="H45" t="s">
        <v>469</v>
      </c>
      <c r="I45" t="s">
        <v>717</v>
      </c>
      <c r="J45" s="349" t="s">
        <v>1272</v>
      </c>
      <c r="K45" t="s">
        <v>516</v>
      </c>
      <c r="L45" t="s">
        <v>627</v>
      </c>
      <c r="M45" t="s">
        <v>479</v>
      </c>
      <c r="P45" t="s">
        <v>718</v>
      </c>
      <c r="Q45" t="s">
        <v>481</v>
      </c>
      <c r="R45" t="s">
        <v>469</v>
      </c>
      <c r="S45" t="s">
        <v>482</v>
      </c>
      <c r="T45" t="s">
        <v>483</v>
      </c>
      <c r="U45" t="s">
        <v>484</v>
      </c>
      <c r="V45" t="s">
        <v>690</v>
      </c>
      <c r="W45" t="s">
        <v>540</v>
      </c>
      <c r="X45" t="s">
        <v>487</v>
      </c>
      <c r="Y45" t="s">
        <v>511</v>
      </c>
      <c r="Z45" t="s">
        <v>489</v>
      </c>
      <c r="AA45" t="s">
        <v>498</v>
      </c>
      <c r="AB45" t="s">
        <v>540</v>
      </c>
      <c r="AC45" t="s">
        <v>623</v>
      </c>
      <c r="AD45" t="s">
        <v>509</v>
      </c>
      <c r="AE45" t="s">
        <v>511</v>
      </c>
      <c r="AF45" t="s">
        <v>469</v>
      </c>
      <c r="AH45" t="s">
        <v>469</v>
      </c>
      <c r="AI45" t="s">
        <v>509</v>
      </c>
      <c r="AJ45" t="s">
        <v>511</v>
      </c>
      <c r="AK45" t="s">
        <v>719</v>
      </c>
    </row>
    <row r="46" spans="1:37" ht="16.5" customHeight="1">
      <c r="A46" s="348" t="s">
        <v>1271</v>
      </c>
      <c r="B46" t="s">
        <v>720</v>
      </c>
      <c r="C46" t="s">
        <v>474</v>
      </c>
      <c r="D46" t="s">
        <v>475</v>
      </c>
      <c r="E46" t="s">
        <v>469</v>
      </c>
      <c r="F46" t="s">
        <v>477</v>
      </c>
      <c r="G46" t="s">
        <v>469</v>
      </c>
      <c r="H46" t="s">
        <v>469</v>
      </c>
      <c r="I46" t="s">
        <v>721</v>
      </c>
      <c r="J46" s="349" t="s">
        <v>1272</v>
      </c>
      <c r="K46" t="s">
        <v>516</v>
      </c>
      <c r="L46" t="s">
        <v>627</v>
      </c>
      <c r="M46" t="s">
        <v>479</v>
      </c>
      <c r="P46" t="s">
        <v>722</v>
      </c>
      <c r="Q46" t="s">
        <v>498</v>
      </c>
      <c r="R46" t="s">
        <v>469</v>
      </c>
      <c r="S46" t="s">
        <v>482</v>
      </c>
      <c r="T46" t="s">
        <v>483</v>
      </c>
      <c r="U46" t="s">
        <v>509</v>
      </c>
      <c r="V46" t="s">
        <v>690</v>
      </c>
      <c r="W46" t="s">
        <v>540</v>
      </c>
      <c r="X46" t="s">
        <v>509</v>
      </c>
      <c r="Y46" t="s">
        <v>623</v>
      </c>
      <c r="Z46" t="s">
        <v>723</v>
      </c>
      <c r="AA46" t="s">
        <v>498</v>
      </c>
      <c r="AB46" t="s">
        <v>564</v>
      </c>
      <c r="AC46" t="s">
        <v>623</v>
      </c>
      <c r="AE46" t="s">
        <v>521</v>
      </c>
      <c r="AF46" t="s">
        <v>469</v>
      </c>
      <c r="AH46" t="s">
        <v>469</v>
      </c>
      <c r="AI46" t="s">
        <v>723</v>
      </c>
      <c r="AJ46" t="s">
        <v>623</v>
      </c>
    </row>
    <row r="47" spans="1:37" ht="16.5" customHeight="1">
      <c r="A47" s="348" t="s">
        <v>1271</v>
      </c>
      <c r="B47" t="s">
        <v>724</v>
      </c>
      <c r="C47" t="s">
        <v>474</v>
      </c>
      <c r="D47" t="s">
        <v>475</v>
      </c>
      <c r="E47" t="s">
        <v>469</v>
      </c>
      <c r="F47" t="s">
        <v>477</v>
      </c>
      <c r="G47" t="s">
        <v>469</v>
      </c>
      <c r="H47" t="s">
        <v>469</v>
      </c>
      <c r="I47" t="s">
        <v>725</v>
      </c>
      <c r="J47" s="349" t="s">
        <v>1272</v>
      </c>
      <c r="K47" t="s">
        <v>1337</v>
      </c>
      <c r="L47" t="s">
        <v>620</v>
      </c>
      <c r="M47" t="s">
        <v>479</v>
      </c>
      <c r="P47" t="s">
        <v>726</v>
      </c>
      <c r="Q47" t="s">
        <v>481</v>
      </c>
      <c r="R47" t="s">
        <v>469</v>
      </c>
      <c r="S47" t="s">
        <v>482</v>
      </c>
      <c r="T47" t="s">
        <v>483</v>
      </c>
      <c r="U47" t="s">
        <v>509</v>
      </c>
      <c r="V47" t="s">
        <v>690</v>
      </c>
      <c r="W47" t="s">
        <v>540</v>
      </c>
      <c r="X47" t="s">
        <v>487</v>
      </c>
      <c r="Y47" t="s">
        <v>511</v>
      </c>
      <c r="Z47" t="s">
        <v>727</v>
      </c>
      <c r="AA47" t="s">
        <v>498</v>
      </c>
      <c r="AB47" t="s">
        <v>564</v>
      </c>
      <c r="AC47" t="s">
        <v>654</v>
      </c>
      <c r="AD47" t="s">
        <v>509</v>
      </c>
      <c r="AE47" t="s">
        <v>511</v>
      </c>
      <c r="AF47" t="s">
        <v>469</v>
      </c>
      <c r="AH47" t="s">
        <v>469</v>
      </c>
      <c r="AI47" t="s">
        <v>509</v>
      </c>
      <c r="AJ47" t="s">
        <v>511</v>
      </c>
    </row>
    <row r="48" spans="1:37" ht="16.5" customHeight="1">
      <c r="A48" s="348" t="s">
        <v>1271</v>
      </c>
      <c r="B48" t="s">
        <v>728</v>
      </c>
      <c r="C48" t="s">
        <v>474</v>
      </c>
      <c r="D48" t="s">
        <v>475</v>
      </c>
      <c r="E48" t="s">
        <v>469</v>
      </c>
      <c r="F48" t="s">
        <v>477</v>
      </c>
      <c r="G48" t="s">
        <v>469</v>
      </c>
      <c r="H48" t="s">
        <v>469</v>
      </c>
      <c r="I48" t="s">
        <v>729</v>
      </c>
      <c r="J48" s="349" t="s">
        <v>1272</v>
      </c>
      <c r="K48" t="s">
        <v>1337</v>
      </c>
      <c r="L48" t="s">
        <v>620</v>
      </c>
      <c r="M48" t="s">
        <v>479</v>
      </c>
      <c r="P48" t="s">
        <v>730</v>
      </c>
      <c r="Q48" t="s">
        <v>481</v>
      </c>
      <c r="R48" t="s">
        <v>469</v>
      </c>
      <c r="S48" t="s">
        <v>482</v>
      </c>
      <c r="T48" t="s">
        <v>634</v>
      </c>
      <c r="U48" t="s">
        <v>509</v>
      </c>
      <c r="V48" t="s">
        <v>690</v>
      </c>
      <c r="W48" t="s">
        <v>540</v>
      </c>
      <c r="X48" t="s">
        <v>487</v>
      </c>
      <c r="Y48" t="s">
        <v>511</v>
      </c>
      <c r="Z48" t="s">
        <v>489</v>
      </c>
      <c r="AA48" t="s">
        <v>498</v>
      </c>
      <c r="AB48" t="s">
        <v>540</v>
      </c>
      <c r="AC48" t="s">
        <v>654</v>
      </c>
      <c r="AD48" t="s">
        <v>509</v>
      </c>
      <c r="AE48" t="s">
        <v>511</v>
      </c>
      <c r="AF48" t="s">
        <v>469</v>
      </c>
      <c r="AH48" t="s">
        <v>469</v>
      </c>
      <c r="AI48" t="s">
        <v>509</v>
      </c>
      <c r="AJ48" t="s">
        <v>511</v>
      </c>
      <c r="AK48" t="s">
        <v>731</v>
      </c>
    </row>
    <row r="49" spans="1:37" ht="16.5" customHeight="1">
      <c r="A49" s="348" t="s">
        <v>1271</v>
      </c>
      <c r="B49" t="s">
        <v>732</v>
      </c>
      <c r="C49" t="s">
        <v>474</v>
      </c>
      <c r="D49" t="s">
        <v>475</v>
      </c>
      <c r="E49" t="s">
        <v>469</v>
      </c>
      <c r="F49" t="s">
        <v>477</v>
      </c>
      <c r="G49" t="s">
        <v>469</v>
      </c>
      <c r="H49" t="s">
        <v>469</v>
      </c>
      <c r="I49" t="s">
        <v>733</v>
      </c>
      <c r="J49" s="349" t="s">
        <v>1272</v>
      </c>
      <c r="K49" t="s">
        <v>516</v>
      </c>
      <c r="L49" t="s">
        <v>627</v>
      </c>
      <c r="M49" t="s">
        <v>479</v>
      </c>
      <c r="P49" t="s">
        <v>726</v>
      </c>
      <c r="Q49" t="s">
        <v>498</v>
      </c>
      <c r="R49" t="s">
        <v>469</v>
      </c>
      <c r="S49" t="s">
        <v>482</v>
      </c>
      <c r="T49" t="s">
        <v>483</v>
      </c>
      <c r="U49" t="s">
        <v>509</v>
      </c>
      <c r="V49" t="s">
        <v>690</v>
      </c>
      <c r="W49" t="s">
        <v>540</v>
      </c>
      <c r="X49" t="s">
        <v>509</v>
      </c>
      <c r="Y49" t="s">
        <v>622</v>
      </c>
      <c r="Z49" t="s">
        <v>648</v>
      </c>
      <c r="AA49" t="s">
        <v>581</v>
      </c>
      <c r="AB49" t="s">
        <v>540</v>
      </c>
      <c r="AC49" t="s">
        <v>622</v>
      </c>
      <c r="AE49" t="s">
        <v>521</v>
      </c>
      <c r="AF49" t="s">
        <v>469</v>
      </c>
      <c r="AH49" t="s">
        <v>469</v>
      </c>
      <c r="AI49" t="s">
        <v>648</v>
      </c>
      <c r="AJ49" t="s">
        <v>622</v>
      </c>
    </row>
    <row r="50" spans="1:37" ht="16.5" customHeight="1">
      <c r="A50" s="348" t="s">
        <v>1271</v>
      </c>
      <c r="B50" t="s">
        <v>734</v>
      </c>
      <c r="C50" t="s">
        <v>735</v>
      </c>
      <c r="D50" t="s">
        <v>475</v>
      </c>
      <c r="E50" t="s">
        <v>736</v>
      </c>
      <c r="F50" t="s">
        <v>737</v>
      </c>
      <c r="G50" t="s">
        <v>469</v>
      </c>
      <c r="H50" t="s">
        <v>469</v>
      </c>
      <c r="I50" t="s">
        <v>738</v>
      </c>
      <c r="J50" s="349" t="s">
        <v>1272</v>
      </c>
      <c r="K50" t="s">
        <v>516</v>
      </c>
      <c r="L50" t="s">
        <v>627</v>
      </c>
      <c r="M50" t="s">
        <v>479</v>
      </c>
      <c r="P50" t="s">
        <v>739</v>
      </c>
      <c r="Q50" t="s">
        <v>740</v>
      </c>
      <c r="R50" t="s">
        <v>469</v>
      </c>
      <c r="S50" t="s">
        <v>741</v>
      </c>
      <c r="T50" t="s">
        <v>742</v>
      </c>
      <c r="U50" t="s">
        <v>509</v>
      </c>
      <c r="V50" t="s">
        <v>690</v>
      </c>
      <c r="W50" t="s">
        <v>743</v>
      </c>
      <c r="X50" t="s">
        <v>744</v>
      </c>
      <c r="Y50" t="s">
        <v>745</v>
      </c>
      <c r="AC50" t="s">
        <v>521</v>
      </c>
      <c r="AE50" t="s">
        <v>521</v>
      </c>
      <c r="AF50" t="s">
        <v>469</v>
      </c>
      <c r="AH50" t="s">
        <v>469</v>
      </c>
      <c r="AI50" t="s">
        <v>489</v>
      </c>
      <c r="AJ50" t="s">
        <v>745</v>
      </c>
      <c r="AK50" t="s">
        <v>746</v>
      </c>
    </row>
    <row r="51" spans="1:37" ht="16.5" customHeight="1">
      <c r="A51" s="348" t="s">
        <v>1271</v>
      </c>
      <c r="B51" t="s">
        <v>747</v>
      </c>
      <c r="C51" t="s">
        <v>735</v>
      </c>
      <c r="D51" t="s">
        <v>475</v>
      </c>
      <c r="E51" t="s">
        <v>736</v>
      </c>
      <c r="F51" t="s">
        <v>737</v>
      </c>
      <c r="G51" t="s">
        <v>469</v>
      </c>
      <c r="H51" t="s">
        <v>469</v>
      </c>
      <c r="I51" t="s">
        <v>748</v>
      </c>
      <c r="J51" s="349" t="s">
        <v>1272</v>
      </c>
      <c r="K51" t="s">
        <v>516</v>
      </c>
      <c r="L51" t="s">
        <v>627</v>
      </c>
      <c r="M51" t="s">
        <v>479</v>
      </c>
      <c r="P51" t="s">
        <v>749</v>
      </c>
      <c r="Q51" t="s">
        <v>740</v>
      </c>
      <c r="R51" t="s">
        <v>469</v>
      </c>
      <c r="S51" t="s">
        <v>741</v>
      </c>
      <c r="T51" t="s">
        <v>742</v>
      </c>
      <c r="U51" t="s">
        <v>509</v>
      </c>
      <c r="V51" t="s">
        <v>690</v>
      </c>
      <c r="W51" t="s">
        <v>743</v>
      </c>
      <c r="X51" t="s">
        <v>744</v>
      </c>
      <c r="Y51" t="s">
        <v>745</v>
      </c>
      <c r="AC51" t="s">
        <v>521</v>
      </c>
      <c r="AE51" t="s">
        <v>521</v>
      </c>
      <c r="AF51" t="s">
        <v>469</v>
      </c>
      <c r="AH51" t="s">
        <v>469</v>
      </c>
      <c r="AI51" t="s">
        <v>489</v>
      </c>
      <c r="AJ51" t="s">
        <v>745</v>
      </c>
    </row>
    <row r="52" spans="1:37" ht="16.5" customHeight="1">
      <c r="A52" s="348" t="s">
        <v>1271</v>
      </c>
      <c r="B52" t="s">
        <v>750</v>
      </c>
      <c r="C52" t="s">
        <v>474</v>
      </c>
      <c r="D52" t="s">
        <v>475</v>
      </c>
      <c r="E52" t="s">
        <v>469</v>
      </c>
      <c r="F52" t="s">
        <v>477</v>
      </c>
      <c r="G52" t="s">
        <v>469</v>
      </c>
      <c r="H52" t="s">
        <v>469</v>
      </c>
      <c r="I52" t="s">
        <v>751</v>
      </c>
      <c r="J52" s="349" t="s">
        <v>1272</v>
      </c>
      <c r="K52" t="s">
        <v>1337</v>
      </c>
      <c r="L52" t="s">
        <v>627</v>
      </c>
      <c r="M52" t="s">
        <v>479</v>
      </c>
      <c r="P52" t="s">
        <v>752</v>
      </c>
      <c r="Q52" t="s">
        <v>481</v>
      </c>
      <c r="R52" t="s">
        <v>469</v>
      </c>
      <c r="S52" t="s">
        <v>482</v>
      </c>
      <c r="T52" t="s">
        <v>483</v>
      </c>
      <c r="U52" t="s">
        <v>509</v>
      </c>
      <c r="V52" t="s">
        <v>690</v>
      </c>
      <c r="W52" t="s">
        <v>540</v>
      </c>
      <c r="X52" t="s">
        <v>487</v>
      </c>
      <c r="Y52" t="s">
        <v>753</v>
      </c>
      <c r="Z52" t="s">
        <v>648</v>
      </c>
      <c r="AA52" t="s">
        <v>581</v>
      </c>
      <c r="AC52" t="s">
        <v>754</v>
      </c>
      <c r="AD52" t="s">
        <v>648</v>
      </c>
      <c r="AE52" t="s">
        <v>753</v>
      </c>
      <c r="AF52" t="s">
        <v>469</v>
      </c>
      <c r="AH52" t="s">
        <v>469</v>
      </c>
      <c r="AI52" t="s">
        <v>648</v>
      </c>
      <c r="AJ52" t="s">
        <v>753</v>
      </c>
      <c r="AK52" t="s">
        <v>755</v>
      </c>
    </row>
    <row r="53" spans="1:37" ht="16.5" customHeight="1">
      <c r="A53" s="348" t="s">
        <v>1271</v>
      </c>
      <c r="B53" t="s">
        <v>756</v>
      </c>
      <c r="C53" t="s">
        <v>735</v>
      </c>
      <c r="D53" t="s">
        <v>475</v>
      </c>
      <c r="E53" t="s">
        <v>757</v>
      </c>
      <c r="F53" t="s">
        <v>737</v>
      </c>
      <c r="G53" t="s">
        <v>469</v>
      </c>
      <c r="H53" t="s">
        <v>469</v>
      </c>
      <c r="I53" t="s">
        <v>758</v>
      </c>
      <c r="J53" s="349" t="s">
        <v>1272</v>
      </c>
      <c r="K53" t="s">
        <v>1337</v>
      </c>
      <c r="L53" t="s">
        <v>620</v>
      </c>
      <c r="M53" t="s">
        <v>479</v>
      </c>
      <c r="P53" t="s">
        <v>759</v>
      </c>
      <c r="Q53" t="s">
        <v>740</v>
      </c>
      <c r="R53" t="s">
        <v>469</v>
      </c>
      <c r="S53" t="s">
        <v>741</v>
      </c>
      <c r="T53" t="s">
        <v>742</v>
      </c>
      <c r="U53" t="s">
        <v>509</v>
      </c>
      <c r="V53" t="s">
        <v>690</v>
      </c>
      <c r="W53" t="s">
        <v>743</v>
      </c>
      <c r="X53" t="s">
        <v>744</v>
      </c>
      <c r="Y53" t="s">
        <v>745</v>
      </c>
      <c r="AC53" t="s">
        <v>521</v>
      </c>
      <c r="AE53" t="s">
        <v>521</v>
      </c>
      <c r="AF53" t="s">
        <v>469</v>
      </c>
      <c r="AH53" t="s">
        <v>469</v>
      </c>
      <c r="AI53" t="s">
        <v>489</v>
      </c>
      <c r="AJ53" t="s">
        <v>745</v>
      </c>
      <c r="AK53" t="s">
        <v>760</v>
      </c>
    </row>
    <row r="54" spans="1:37" ht="16.5" customHeight="1">
      <c r="A54" s="348" t="s">
        <v>1271</v>
      </c>
      <c r="B54" t="s">
        <v>761</v>
      </c>
      <c r="C54" t="s">
        <v>735</v>
      </c>
      <c r="D54" t="s">
        <v>475</v>
      </c>
      <c r="E54" t="s">
        <v>469</v>
      </c>
      <c r="F54" t="s">
        <v>737</v>
      </c>
      <c r="G54" t="s">
        <v>469</v>
      </c>
      <c r="H54" t="s">
        <v>469</v>
      </c>
      <c r="I54" t="s">
        <v>762</v>
      </c>
      <c r="J54" s="349" t="s">
        <v>1272</v>
      </c>
      <c r="K54" t="s">
        <v>516</v>
      </c>
      <c r="L54" t="s">
        <v>627</v>
      </c>
      <c r="M54" t="s">
        <v>479</v>
      </c>
      <c r="P54" t="s">
        <v>726</v>
      </c>
      <c r="Q54" t="s">
        <v>740</v>
      </c>
      <c r="R54" t="s">
        <v>469</v>
      </c>
      <c r="S54" t="s">
        <v>741</v>
      </c>
      <c r="T54" t="s">
        <v>742</v>
      </c>
      <c r="U54" t="s">
        <v>509</v>
      </c>
      <c r="V54" t="s">
        <v>623</v>
      </c>
      <c r="W54" t="s">
        <v>743</v>
      </c>
      <c r="X54" t="s">
        <v>744</v>
      </c>
      <c r="Y54" t="s">
        <v>745</v>
      </c>
      <c r="AC54" t="s">
        <v>521</v>
      </c>
      <c r="AE54" t="s">
        <v>521</v>
      </c>
      <c r="AF54" t="s">
        <v>469</v>
      </c>
      <c r="AH54" t="s">
        <v>469</v>
      </c>
      <c r="AI54" t="s">
        <v>489</v>
      </c>
      <c r="AJ54" t="s">
        <v>745</v>
      </c>
    </row>
    <row r="55" spans="1:37" ht="16.5" customHeight="1">
      <c r="A55" s="348" t="s">
        <v>1271</v>
      </c>
      <c r="B55" t="s">
        <v>763</v>
      </c>
      <c r="C55" t="s">
        <v>735</v>
      </c>
      <c r="D55" t="s">
        <v>475</v>
      </c>
      <c r="E55" t="s">
        <v>469</v>
      </c>
      <c r="F55" t="s">
        <v>737</v>
      </c>
      <c r="G55" t="s">
        <v>469</v>
      </c>
      <c r="H55" t="s">
        <v>469</v>
      </c>
      <c r="I55" t="s">
        <v>764</v>
      </c>
      <c r="J55" s="349" t="s">
        <v>1272</v>
      </c>
      <c r="K55" t="s">
        <v>1337</v>
      </c>
      <c r="L55" t="s">
        <v>620</v>
      </c>
      <c r="M55" t="s">
        <v>479</v>
      </c>
      <c r="P55" t="s">
        <v>765</v>
      </c>
      <c r="Q55" t="s">
        <v>740</v>
      </c>
      <c r="R55" t="s">
        <v>469</v>
      </c>
      <c r="S55" t="s">
        <v>741</v>
      </c>
      <c r="T55" t="s">
        <v>742</v>
      </c>
      <c r="U55" t="s">
        <v>509</v>
      </c>
      <c r="V55" t="s">
        <v>636</v>
      </c>
      <c r="W55" t="s">
        <v>743</v>
      </c>
      <c r="X55" t="s">
        <v>744</v>
      </c>
      <c r="Y55" t="s">
        <v>745</v>
      </c>
      <c r="AC55" t="s">
        <v>521</v>
      </c>
      <c r="AE55" t="s">
        <v>521</v>
      </c>
      <c r="AF55" t="s">
        <v>469</v>
      </c>
      <c r="AH55" t="s">
        <v>469</v>
      </c>
      <c r="AI55" t="s">
        <v>489</v>
      </c>
      <c r="AJ55" t="s">
        <v>745</v>
      </c>
      <c r="AK55" t="s">
        <v>766</v>
      </c>
    </row>
    <row r="56" spans="1:37" ht="16.5" customHeight="1">
      <c r="A56" s="348" t="s">
        <v>1271</v>
      </c>
      <c r="B56" t="s">
        <v>767</v>
      </c>
      <c r="C56" t="s">
        <v>735</v>
      </c>
      <c r="D56" t="s">
        <v>475</v>
      </c>
      <c r="E56" t="s">
        <v>469</v>
      </c>
      <c r="F56" t="s">
        <v>737</v>
      </c>
      <c r="G56" t="s">
        <v>469</v>
      </c>
      <c r="H56" t="s">
        <v>469</v>
      </c>
      <c r="I56" t="s">
        <v>768</v>
      </c>
      <c r="J56" s="349" t="s">
        <v>1272</v>
      </c>
      <c r="K56" t="s">
        <v>1337</v>
      </c>
      <c r="L56" t="s">
        <v>620</v>
      </c>
      <c r="M56" t="s">
        <v>479</v>
      </c>
      <c r="P56" t="s">
        <v>769</v>
      </c>
      <c r="Q56" t="s">
        <v>740</v>
      </c>
      <c r="R56" t="s">
        <v>469</v>
      </c>
      <c r="S56" t="s">
        <v>741</v>
      </c>
      <c r="T56" t="s">
        <v>742</v>
      </c>
      <c r="U56" t="s">
        <v>509</v>
      </c>
      <c r="V56" t="s">
        <v>636</v>
      </c>
      <c r="W56" t="s">
        <v>743</v>
      </c>
      <c r="X56" t="s">
        <v>744</v>
      </c>
      <c r="Y56" t="s">
        <v>745</v>
      </c>
      <c r="AC56" t="s">
        <v>521</v>
      </c>
      <c r="AE56" t="s">
        <v>521</v>
      </c>
      <c r="AF56" t="s">
        <v>469</v>
      </c>
      <c r="AH56" t="s">
        <v>469</v>
      </c>
      <c r="AI56" t="s">
        <v>489</v>
      </c>
      <c r="AJ56" t="s">
        <v>745</v>
      </c>
      <c r="AK56" t="s">
        <v>770</v>
      </c>
    </row>
    <row r="57" spans="1:37" ht="16.5" customHeight="1">
      <c r="A57" s="348" t="s">
        <v>1271</v>
      </c>
      <c r="B57" t="s">
        <v>771</v>
      </c>
      <c r="C57" t="s">
        <v>735</v>
      </c>
      <c r="D57" t="s">
        <v>475</v>
      </c>
      <c r="E57" t="s">
        <v>772</v>
      </c>
      <c r="F57" t="s">
        <v>737</v>
      </c>
      <c r="G57" t="s">
        <v>469</v>
      </c>
      <c r="H57" t="s">
        <v>469</v>
      </c>
      <c r="I57" t="s">
        <v>773</v>
      </c>
      <c r="J57" s="349" t="s">
        <v>1272</v>
      </c>
      <c r="K57" t="s">
        <v>516</v>
      </c>
      <c r="L57" t="s">
        <v>627</v>
      </c>
      <c r="M57" t="s">
        <v>479</v>
      </c>
      <c r="P57" t="s">
        <v>774</v>
      </c>
      <c r="Q57" t="s">
        <v>740</v>
      </c>
      <c r="R57" t="s">
        <v>469</v>
      </c>
      <c r="S57" t="s">
        <v>741</v>
      </c>
      <c r="T57" t="s">
        <v>742</v>
      </c>
      <c r="U57" t="s">
        <v>509</v>
      </c>
      <c r="V57" t="s">
        <v>636</v>
      </c>
      <c r="W57" t="s">
        <v>743</v>
      </c>
      <c r="X57" t="s">
        <v>744</v>
      </c>
      <c r="Y57" t="s">
        <v>745</v>
      </c>
      <c r="AC57" t="s">
        <v>521</v>
      </c>
      <c r="AE57" t="s">
        <v>521</v>
      </c>
      <c r="AF57" t="s">
        <v>469</v>
      </c>
      <c r="AH57" t="s">
        <v>469</v>
      </c>
      <c r="AI57" t="s">
        <v>489</v>
      </c>
      <c r="AJ57" t="s">
        <v>745</v>
      </c>
      <c r="AK57" t="s">
        <v>775</v>
      </c>
    </row>
    <row r="58" spans="1:37" ht="16.5" customHeight="1">
      <c r="A58" s="348" t="s">
        <v>1271</v>
      </c>
      <c r="B58" t="s">
        <v>776</v>
      </c>
      <c r="C58" t="s">
        <v>735</v>
      </c>
      <c r="D58" t="s">
        <v>475</v>
      </c>
      <c r="E58" t="s">
        <v>772</v>
      </c>
      <c r="F58" t="s">
        <v>737</v>
      </c>
      <c r="G58" t="s">
        <v>469</v>
      </c>
      <c r="H58" t="s">
        <v>469</v>
      </c>
      <c r="I58" t="s">
        <v>777</v>
      </c>
      <c r="J58" s="349" t="s">
        <v>1272</v>
      </c>
      <c r="K58" t="s">
        <v>516</v>
      </c>
      <c r="L58" t="s">
        <v>627</v>
      </c>
      <c r="M58" t="s">
        <v>479</v>
      </c>
      <c r="P58" t="s">
        <v>778</v>
      </c>
      <c r="Q58" t="s">
        <v>740</v>
      </c>
      <c r="R58" t="s">
        <v>469</v>
      </c>
      <c r="S58" t="s">
        <v>741</v>
      </c>
      <c r="T58" t="s">
        <v>742</v>
      </c>
      <c r="U58" t="s">
        <v>509</v>
      </c>
      <c r="V58" t="s">
        <v>636</v>
      </c>
      <c r="W58" t="s">
        <v>743</v>
      </c>
      <c r="X58" t="s">
        <v>744</v>
      </c>
      <c r="Y58" t="s">
        <v>745</v>
      </c>
      <c r="AC58" t="s">
        <v>521</v>
      </c>
      <c r="AE58" t="s">
        <v>521</v>
      </c>
      <c r="AF58" t="s">
        <v>469</v>
      </c>
      <c r="AH58" t="s">
        <v>469</v>
      </c>
      <c r="AI58" t="s">
        <v>489</v>
      </c>
      <c r="AJ58" t="s">
        <v>745</v>
      </c>
      <c r="AK58" t="s">
        <v>779</v>
      </c>
    </row>
    <row r="59" spans="1:37" ht="16.5" customHeight="1">
      <c r="A59" s="348" t="s">
        <v>1271</v>
      </c>
      <c r="B59" t="s">
        <v>780</v>
      </c>
      <c r="C59" t="s">
        <v>735</v>
      </c>
      <c r="D59" t="s">
        <v>475</v>
      </c>
      <c r="E59" t="s">
        <v>772</v>
      </c>
      <c r="F59" t="s">
        <v>737</v>
      </c>
      <c r="G59" t="s">
        <v>469</v>
      </c>
      <c r="H59" t="s">
        <v>469</v>
      </c>
      <c r="I59" t="s">
        <v>781</v>
      </c>
      <c r="J59" s="349" t="s">
        <v>1272</v>
      </c>
      <c r="K59" t="s">
        <v>516</v>
      </c>
      <c r="L59" t="s">
        <v>627</v>
      </c>
      <c r="M59" t="s">
        <v>479</v>
      </c>
      <c r="P59" t="s">
        <v>782</v>
      </c>
      <c r="Q59" t="s">
        <v>740</v>
      </c>
      <c r="R59" t="s">
        <v>469</v>
      </c>
      <c r="S59" t="s">
        <v>741</v>
      </c>
      <c r="T59" t="s">
        <v>742</v>
      </c>
      <c r="U59" t="s">
        <v>509</v>
      </c>
      <c r="V59" t="s">
        <v>636</v>
      </c>
      <c r="W59" t="s">
        <v>743</v>
      </c>
      <c r="X59" t="s">
        <v>744</v>
      </c>
      <c r="Y59" t="s">
        <v>745</v>
      </c>
      <c r="AC59" t="s">
        <v>521</v>
      </c>
      <c r="AE59" t="s">
        <v>521</v>
      </c>
      <c r="AF59" t="s">
        <v>469</v>
      </c>
      <c r="AH59" t="s">
        <v>469</v>
      </c>
      <c r="AI59" t="s">
        <v>489</v>
      </c>
      <c r="AJ59" t="s">
        <v>745</v>
      </c>
      <c r="AK59" t="s">
        <v>783</v>
      </c>
    </row>
    <row r="60" spans="1:37" ht="16.5" customHeight="1">
      <c r="A60" s="348" t="s">
        <v>1271</v>
      </c>
      <c r="B60" t="s">
        <v>784</v>
      </c>
      <c r="C60" t="s">
        <v>735</v>
      </c>
      <c r="D60" t="s">
        <v>475</v>
      </c>
      <c r="E60" t="s">
        <v>772</v>
      </c>
      <c r="F60" t="s">
        <v>737</v>
      </c>
      <c r="G60" t="s">
        <v>469</v>
      </c>
      <c r="H60" t="s">
        <v>469</v>
      </c>
      <c r="I60" t="s">
        <v>785</v>
      </c>
      <c r="J60" s="349" t="s">
        <v>1272</v>
      </c>
      <c r="K60" t="s">
        <v>516</v>
      </c>
      <c r="L60" t="s">
        <v>627</v>
      </c>
      <c r="M60" t="s">
        <v>479</v>
      </c>
      <c r="P60" t="s">
        <v>786</v>
      </c>
      <c r="Q60" t="s">
        <v>740</v>
      </c>
      <c r="R60" t="s">
        <v>469</v>
      </c>
      <c r="S60" t="s">
        <v>741</v>
      </c>
      <c r="T60" t="s">
        <v>742</v>
      </c>
      <c r="U60" t="s">
        <v>509</v>
      </c>
      <c r="V60" t="s">
        <v>636</v>
      </c>
      <c r="W60" t="s">
        <v>743</v>
      </c>
      <c r="X60" t="s">
        <v>744</v>
      </c>
      <c r="Y60" t="s">
        <v>745</v>
      </c>
      <c r="AC60" t="s">
        <v>521</v>
      </c>
      <c r="AE60" t="s">
        <v>521</v>
      </c>
      <c r="AF60" t="s">
        <v>469</v>
      </c>
      <c r="AH60" t="s">
        <v>469</v>
      </c>
      <c r="AI60" t="s">
        <v>489</v>
      </c>
      <c r="AJ60" t="s">
        <v>745</v>
      </c>
      <c r="AK60" t="s">
        <v>787</v>
      </c>
    </row>
    <row r="61" spans="1:37" ht="16.5" customHeight="1">
      <c r="A61" s="348" t="s">
        <v>1271</v>
      </c>
      <c r="B61" t="s">
        <v>788</v>
      </c>
      <c r="C61" t="s">
        <v>474</v>
      </c>
      <c r="D61" t="s">
        <v>475</v>
      </c>
      <c r="E61" t="s">
        <v>476</v>
      </c>
      <c r="F61" t="s">
        <v>477</v>
      </c>
      <c r="G61" t="s">
        <v>469</v>
      </c>
      <c r="H61" t="s">
        <v>469</v>
      </c>
      <c r="I61" t="s">
        <v>789</v>
      </c>
      <c r="J61" s="349" t="s">
        <v>1272</v>
      </c>
      <c r="K61" t="s">
        <v>516</v>
      </c>
      <c r="L61" t="s">
        <v>627</v>
      </c>
      <c r="M61" t="s">
        <v>479</v>
      </c>
      <c r="P61" t="s">
        <v>790</v>
      </c>
      <c r="Q61" t="s">
        <v>481</v>
      </c>
      <c r="R61" t="s">
        <v>469</v>
      </c>
      <c r="S61" t="s">
        <v>482</v>
      </c>
      <c r="T61" t="s">
        <v>483</v>
      </c>
      <c r="U61" t="s">
        <v>484</v>
      </c>
      <c r="V61" t="s">
        <v>636</v>
      </c>
      <c r="W61" t="s">
        <v>540</v>
      </c>
      <c r="X61" t="s">
        <v>487</v>
      </c>
      <c r="Y61" t="s">
        <v>753</v>
      </c>
      <c r="Z61" t="s">
        <v>648</v>
      </c>
      <c r="AA61" t="s">
        <v>581</v>
      </c>
      <c r="AC61" t="s">
        <v>754</v>
      </c>
      <c r="AD61" t="s">
        <v>648</v>
      </c>
      <c r="AE61" t="s">
        <v>753</v>
      </c>
      <c r="AF61" t="s">
        <v>469</v>
      </c>
      <c r="AH61" t="s">
        <v>469</v>
      </c>
      <c r="AI61" t="s">
        <v>648</v>
      </c>
      <c r="AJ61" t="s">
        <v>753</v>
      </c>
      <c r="AK61" t="s">
        <v>791</v>
      </c>
    </row>
    <row r="62" spans="1:37" ht="16.5" customHeight="1">
      <c r="A62" s="348" t="s">
        <v>1271</v>
      </c>
      <c r="B62" t="s">
        <v>792</v>
      </c>
      <c r="C62" t="s">
        <v>474</v>
      </c>
      <c r="D62" t="s">
        <v>475</v>
      </c>
      <c r="E62" t="s">
        <v>476</v>
      </c>
      <c r="F62" t="s">
        <v>477</v>
      </c>
      <c r="G62" t="s">
        <v>469</v>
      </c>
      <c r="H62" t="s">
        <v>469</v>
      </c>
      <c r="I62" t="s">
        <v>793</v>
      </c>
      <c r="J62" s="349" t="s">
        <v>1272</v>
      </c>
      <c r="K62" t="s">
        <v>516</v>
      </c>
      <c r="L62" t="s">
        <v>627</v>
      </c>
      <c r="M62" t="s">
        <v>479</v>
      </c>
      <c r="P62" t="s">
        <v>794</v>
      </c>
      <c r="Q62" t="s">
        <v>481</v>
      </c>
      <c r="R62" t="s">
        <v>469</v>
      </c>
      <c r="S62" t="s">
        <v>482</v>
      </c>
      <c r="T62" t="s">
        <v>483</v>
      </c>
      <c r="U62" t="s">
        <v>484</v>
      </c>
      <c r="V62" t="s">
        <v>636</v>
      </c>
      <c r="W62" t="s">
        <v>540</v>
      </c>
      <c r="X62" t="s">
        <v>487</v>
      </c>
      <c r="Y62" t="s">
        <v>504</v>
      </c>
      <c r="Z62" t="s">
        <v>648</v>
      </c>
      <c r="AA62" t="s">
        <v>490</v>
      </c>
      <c r="AC62" t="s">
        <v>754</v>
      </c>
      <c r="AD62" t="s">
        <v>484</v>
      </c>
      <c r="AE62" t="s">
        <v>504</v>
      </c>
      <c r="AF62" t="s">
        <v>469</v>
      </c>
      <c r="AH62" t="s">
        <v>469</v>
      </c>
      <c r="AI62" t="s">
        <v>484</v>
      </c>
      <c r="AJ62" t="s">
        <v>504</v>
      </c>
      <c r="AK62" t="s">
        <v>795</v>
      </c>
    </row>
    <row r="63" spans="1:37" ht="16.5" customHeight="1">
      <c r="A63" s="348" t="s">
        <v>1271</v>
      </c>
      <c r="B63" t="s">
        <v>796</v>
      </c>
      <c r="C63" t="s">
        <v>474</v>
      </c>
      <c r="D63" t="s">
        <v>475</v>
      </c>
      <c r="E63" t="s">
        <v>476</v>
      </c>
      <c r="F63" t="s">
        <v>477</v>
      </c>
      <c r="G63" t="s">
        <v>469</v>
      </c>
      <c r="H63" t="s">
        <v>469</v>
      </c>
      <c r="I63" t="s">
        <v>797</v>
      </c>
      <c r="J63" s="349" t="s">
        <v>1272</v>
      </c>
      <c r="K63" t="s">
        <v>516</v>
      </c>
      <c r="L63" t="s">
        <v>627</v>
      </c>
      <c r="M63" t="s">
        <v>479</v>
      </c>
      <c r="P63" t="s">
        <v>798</v>
      </c>
      <c r="Q63" t="s">
        <v>481</v>
      </c>
      <c r="R63" t="s">
        <v>469</v>
      </c>
      <c r="S63" t="s">
        <v>482</v>
      </c>
      <c r="T63" t="s">
        <v>483</v>
      </c>
      <c r="U63" t="s">
        <v>484</v>
      </c>
      <c r="V63" t="s">
        <v>636</v>
      </c>
      <c r="W63" t="s">
        <v>540</v>
      </c>
      <c r="X63" t="s">
        <v>487</v>
      </c>
      <c r="Y63" t="s">
        <v>504</v>
      </c>
      <c r="Z63" t="s">
        <v>648</v>
      </c>
      <c r="AA63" t="s">
        <v>490</v>
      </c>
      <c r="AC63" t="s">
        <v>754</v>
      </c>
      <c r="AD63" t="s">
        <v>484</v>
      </c>
      <c r="AE63" t="s">
        <v>504</v>
      </c>
      <c r="AF63" t="s">
        <v>469</v>
      </c>
      <c r="AH63" t="s">
        <v>469</v>
      </c>
      <c r="AI63" t="s">
        <v>484</v>
      </c>
      <c r="AJ63" t="s">
        <v>504</v>
      </c>
      <c r="AK63" t="s">
        <v>799</v>
      </c>
    </row>
    <row r="64" spans="1:37" ht="16.5" customHeight="1">
      <c r="A64" s="348" t="s">
        <v>1271</v>
      </c>
      <c r="B64" t="s">
        <v>800</v>
      </c>
      <c r="C64" t="s">
        <v>474</v>
      </c>
      <c r="D64" t="s">
        <v>475</v>
      </c>
      <c r="E64" t="s">
        <v>476</v>
      </c>
      <c r="F64" t="s">
        <v>477</v>
      </c>
      <c r="G64" t="s">
        <v>469</v>
      </c>
      <c r="H64" t="s">
        <v>469</v>
      </c>
      <c r="I64" t="s">
        <v>801</v>
      </c>
      <c r="J64" s="349" t="s">
        <v>1272</v>
      </c>
      <c r="K64" t="s">
        <v>516</v>
      </c>
      <c r="L64" t="s">
        <v>627</v>
      </c>
      <c r="M64" t="s">
        <v>479</v>
      </c>
      <c r="P64" t="s">
        <v>802</v>
      </c>
      <c r="Q64" t="s">
        <v>481</v>
      </c>
      <c r="R64" t="s">
        <v>469</v>
      </c>
      <c r="S64" t="s">
        <v>482</v>
      </c>
      <c r="T64" t="s">
        <v>483</v>
      </c>
      <c r="U64" t="s">
        <v>484</v>
      </c>
      <c r="V64" t="s">
        <v>636</v>
      </c>
      <c r="W64" t="s">
        <v>540</v>
      </c>
      <c r="X64" t="s">
        <v>487</v>
      </c>
      <c r="Y64" t="s">
        <v>753</v>
      </c>
      <c r="Z64" t="s">
        <v>648</v>
      </c>
      <c r="AA64" t="s">
        <v>581</v>
      </c>
      <c r="AC64" t="s">
        <v>754</v>
      </c>
      <c r="AD64" t="s">
        <v>648</v>
      </c>
      <c r="AE64" t="s">
        <v>753</v>
      </c>
      <c r="AF64" t="s">
        <v>469</v>
      </c>
      <c r="AH64" t="s">
        <v>469</v>
      </c>
      <c r="AI64" t="s">
        <v>648</v>
      </c>
      <c r="AJ64" t="s">
        <v>753</v>
      </c>
      <c r="AK64" t="s">
        <v>803</v>
      </c>
    </row>
    <row r="65" spans="1:37" ht="16.5" customHeight="1">
      <c r="A65" s="348" t="s">
        <v>1271</v>
      </c>
      <c r="B65" t="s">
        <v>804</v>
      </c>
      <c r="C65" t="s">
        <v>474</v>
      </c>
      <c r="D65" t="s">
        <v>475</v>
      </c>
      <c r="E65" t="s">
        <v>476</v>
      </c>
      <c r="F65" t="s">
        <v>477</v>
      </c>
      <c r="G65" t="s">
        <v>469</v>
      </c>
      <c r="H65" t="s">
        <v>469</v>
      </c>
      <c r="I65" t="s">
        <v>805</v>
      </c>
      <c r="J65" s="349" t="s">
        <v>1272</v>
      </c>
      <c r="K65" t="s">
        <v>516</v>
      </c>
      <c r="L65" t="s">
        <v>627</v>
      </c>
      <c r="M65" t="s">
        <v>479</v>
      </c>
      <c r="P65" t="s">
        <v>806</v>
      </c>
      <c r="Q65" t="s">
        <v>481</v>
      </c>
      <c r="R65" t="s">
        <v>469</v>
      </c>
      <c r="S65" t="s">
        <v>482</v>
      </c>
      <c r="T65" t="s">
        <v>483</v>
      </c>
      <c r="U65" t="s">
        <v>484</v>
      </c>
      <c r="V65" t="s">
        <v>636</v>
      </c>
      <c r="W65" t="s">
        <v>540</v>
      </c>
      <c r="X65" t="s">
        <v>487</v>
      </c>
      <c r="Y65" t="s">
        <v>504</v>
      </c>
      <c r="Z65" t="s">
        <v>563</v>
      </c>
      <c r="AA65" t="s">
        <v>498</v>
      </c>
      <c r="AB65" t="s">
        <v>564</v>
      </c>
      <c r="AC65" t="s">
        <v>807</v>
      </c>
      <c r="AD65" t="s">
        <v>484</v>
      </c>
      <c r="AE65" t="s">
        <v>504</v>
      </c>
      <c r="AF65" t="s">
        <v>469</v>
      </c>
      <c r="AH65" t="s">
        <v>469</v>
      </c>
      <c r="AI65" t="s">
        <v>484</v>
      </c>
      <c r="AJ65" t="s">
        <v>504</v>
      </c>
      <c r="AK65" t="s">
        <v>808</v>
      </c>
    </row>
    <row r="66" spans="1:37" ht="16.5" customHeight="1">
      <c r="A66" s="348" t="s">
        <v>1271</v>
      </c>
      <c r="B66" t="s">
        <v>809</v>
      </c>
      <c r="C66" t="s">
        <v>474</v>
      </c>
      <c r="D66" t="s">
        <v>475</v>
      </c>
      <c r="E66" t="s">
        <v>476</v>
      </c>
      <c r="F66" t="s">
        <v>477</v>
      </c>
      <c r="G66" t="s">
        <v>469</v>
      </c>
      <c r="H66" t="s">
        <v>469</v>
      </c>
      <c r="I66" t="s">
        <v>810</v>
      </c>
      <c r="J66" s="349" t="s">
        <v>1272</v>
      </c>
      <c r="K66" t="s">
        <v>1337</v>
      </c>
      <c r="L66" t="s">
        <v>620</v>
      </c>
      <c r="M66" t="s">
        <v>479</v>
      </c>
      <c r="P66" t="s">
        <v>811</v>
      </c>
      <c r="Q66" t="s">
        <v>481</v>
      </c>
      <c r="R66" t="s">
        <v>469</v>
      </c>
      <c r="S66" t="s">
        <v>482</v>
      </c>
      <c r="T66" t="s">
        <v>483</v>
      </c>
      <c r="U66" t="s">
        <v>484</v>
      </c>
      <c r="V66" t="s">
        <v>636</v>
      </c>
      <c r="W66" t="s">
        <v>540</v>
      </c>
      <c r="X66" t="s">
        <v>487</v>
      </c>
      <c r="Y66" t="s">
        <v>753</v>
      </c>
      <c r="Z66" t="s">
        <v>648</v>
      </c>
      <c r="AA66" t="s">
        <v>581</v>
      </c>
      <c r="AC66" t="s">
        <v>754</v>
      </c>
      <c r="AD66" t="s">
        <v>648</v>
      </c>
      <c r="AE66" t="s">
        <v>753</v>
      </c>
      <c r="AF66" t="s">
        <v>469</v>
      </c>
      <c r="AH66" t="s">
        <v>469</v>
      </c>
      <c r="AI66" t="s">
        <v>648</v>
      </c>
      <c r="AJ66" t="s">
        <v>753</v>
      </c>
      <c r="AK66" t="s">
        <v>812</v>
      </c>
    </row>
    <row r="67" spans="1:37" ht="16.5" customHeight="1">
      <c r="A67" s="348" t="s">
        <v>1271</v>
      </c>
      <c r="B67" t="s">
        <v>813</v>
      </c>
      <c r="C67" t="s">
        <v>474</v>
      </c>
      <c r="D67" t="s">
        <v>475</v>
      </c>
      <c r="E67" t="s">
        <v>469</v>
      </c>
      <c r="F67" t="s">
        <v>477</v>
      </c>
      <c r="G67" t="s">
        <v>469</v>
      </c>
      <c r="H67" t="s">
        <v>469</v>
      </c>
      <c r="I67" t="s">
        <v>814</v>
      </c>
      <c r="J67" s="349" t="s">
        <v>1272</v>
      </c>
      <c r="K67" t="s">
        <v>1337</v>
      </c>
      <c r="L67" t="s">
        <v>815</v>
      </c>
      <c r="M67" t="s">
        <v>816</v>
      </c>
      <c r="P67" t="s">
        <v>817</v>
      </c>
      <c r="Q67" t="s">
        <v>481</v>
      </c>
      <c r="R67" t="s">
        <v>469</v>
      </c>
      <c r="S67" t="s">
        <v>482</v>
      </c>
      <c r="T67" t="s">
        <v>483</v>
      </c>
      <c r="U67" t="s">
        <v>509</v>
      </c>
      <c r="V67" t="s">
        <v>520</v>
      </c>
      <c r="W67" t="s">
        <v>540</v>
      </c>
      <c r="X67" t="s">
        <v>487</v>
      </c>
      <c r="Y67" t="s">
        <v>654</v>
      </c>
      <c r="Z67" t="s">
        <v>723</v>
      </c>
      <c r="AA67" t="s">
        <v>498</v>
      </c>
      <c r="AB67" t="s">
        <v>818</v>
      </c>
      <c r="AC67" t="s">
        <v>654</v>
      </c>
      <c r="AD67" t="s">
        <v>509</v>
      </c>
      <c r="AE67" t="s">
        <v>654</v>
      </c>
      <c r="AF67" t="s">
        <v>469</v>
      </c>
      <c r="AH67" t="s">
        <v>469</v>
      </c>
      <c r="AI67" t="s">
        <v>509</v>
      </c>
      <c r="AJ67" t="s">
        <v>654</v>
      </c>
      <c r="AK67" t="s">
        <v>819</v>
      </c>
    </row>
    <row r="68" spans="1:37" ht="16.5" customHeight="1">
      <c r="A68" s="348" t="s">
        <v>1271</v>
      </c>
      <c r="B68" t="s">
        <v>820</v>
      </c>
      <c r="C68" t="s">
        <v>474</v>
      </c>
      <c r="D68" t="s">
        <v>475</v>
      </c>
      <c r="E68" t="s">
        <v>469</v>
      </c>
      <c r="F68" t="s">
        <v>477</v>
      </c>
      <c r="G68" t="s">
        <v>469</v>
      </c>
      <c r="H68" t="s">
        <v>469</v>
      </c>
      <c r="I68" t="s">
        <v>821</v>
      </c>
      <c r="J68" s="349" t="s">
        <v>1272</v>
      </c>
      <c r="K68" t="s">
        <v>1337</v>
      </c>
      <c r="L68" t="s">
        <v>620</v>
      </c>
      <c r="M68" t="s">
        <v>479</v>
      </c>
      <c r="P68" t="s">
        <v>726</v>
      </c>
      <c r="Q68" t="s">
        <v>481</v>
      </c>
      <c r="R68" t="s">
        <v>469</v>
      </c>
      <c r="S68" t="s">
        <v>482</v>
      </c>
      <c r="T68" t="s">
        <v>483</v>
      </c>
      <c r="U68" t="s">
        <v>509</v>
      </c>
      <c r="V68" t="s">
        <v>520</v>
      </c>
      <c r="W68" t="s">
        <v>540</v>
      </c>
      <c r="X68" t="s">
        <v>487</v>
      </c>
      <c r="Y68" t="s">
        <v>654</v>
      </c>
      <c r="Z68" t="s">
        <v>489</v>
      </c>
      <c r="AA68" t="s">
        <v>498</v>
      </c>
      <c r="AB68" t="s">
        <v>540</v>
      </c>
      <c r="AC68" t="s">
        <v>654</v>
      </c>
      <c r="AD68" t="s">
        <v>509</v>
      </c>
      <c r="AE68" t="s">
        <v>654</v>
      </c>
      <c r="AF68" t="s">
        <v>469</v>
      </c>
      <c r="AH68" t="s">
        <v>469</v>
      </c>
      <c r="AI68" t="s">
        <v>509</v>
      </c>
      <c r="AJ68" t="s">
        <v>654</v>
      </c>
    </row>
    <row r="69" spans="1:37" ht="16.5" customHeight="1">
      <c r="A69" s="348" t="s">
        <v>1271</v>
      </c>
      <c r="B69" t="s">
        <v>303</v>
      </c>
      <c r="C69" t="s">
        <v>735</v>
      </c>
      <c r="D69" t="s">
        <v>475</v>
      </c>
      <c r="E69" t="s">
        <v>757</v>
      </c>
      <c r="F69" t="s">
        <v>737</v>
      </c>
      <c r="G69" t="s">
        <v>469</v>
      </c>
      <c r="H69" t="s">
        <v>469</v>
      </c>
      <c r="I69" t="s">
        <v>822</v>
      </c>
      <c r="J69" s="349" t="s">
        <v>1272</v>
      </c>
      <c r="K69" t="s">
        <v>1337</v>
      </c>
      <c r="L69" t="s">
        <v>627</v>
      </c>
      <c r="M69" t="s">
        <v>479</v>
      </c>
      <c r="P69" t="s">
        <v>726</v>
      </c>
      <c r="Q69" t="s">
        <v>740</v>
      </c>
      <c r="R69" t="s">
        <v>469</v>
      </c>
      <c r="S69" t="s">
        <v>741</v>
      </c>
      <c r="T69" t="s">
        <v>742</v>
      </c>
      <c r="U69" t="s">
        <v>509</v>
      </c>
      <c r="V69" t="s">
        <v>654</v>
      </c>
      <c r="W69" t="s">
        <v>743</v>
      </c>
      <c r="X69" t="s">
        <v>744</v>
      </c>
      <c r="Y69" t="s">
        <v>745</v>
      </c>
      <c r="AC69" t="s">
        <v>521</v>
      </c>
      <c r="AE69" t="s">
        <v>521</v>
      </c>
      <c r="AF69" t="s">
        <v>469</v>
      </c>
      <c r="AH69" t="s">
        <v>469</v>
      </c>
      <c r="AI69" t="s">
        <v>489</v>
      </c>
      <c r="AJ69" t="s">
        <v>745</v>
      </c>
    </row>
    <row r="70" spans="1:37" ht="16.5" customHeight="1">
      <c r="A70" s="348" t="s">
        <v>1271</v>
      </c>
      <c r="B70" t="s">
        <v>304</v>
      </c>
      <c r="C70" t="s">
        <v>735</v>
      </c>
      <c r="D70" t="s">
        <v>475</v>
      </c>
      <c r="E70" t="s">
        <v>469</v>
      </c>
      <c r="F70" t="s">
        <v>737</v>
      </c>
      <c r="G70" t="s">
        <v>469</v>
      </c>
      <c r="H70" t="s">
        <v>469</v>
      </c>
      <c r="I70" t="s">
        <v>823</v>
      </c>
      <c r="J70" s="349" t="s">
        <v>1272</v>
      </c>
      <c r="K70" t="s">
        <v>516</v>
      </c>
      <c r="L70" t="s">
        <v>627</v>
      </c>
      <c r="M70" t="s">
        <v>479</v>
      </c>
      <c r="P70" t="s">
        <v>824</v>
      </c>
      <c r="Q70" t="s">
        <v>740</v>
      </c>
      <c r="R70" t="s">
        <v>470</v>
      </c>
      <c r="S70" t="s">
        <v>482</v>
      </c>
      <c r="T70" t="s">
        <v>742</v>
      </c>
      <c r="U70" t="s">
        <v>509</v>
      </c>
      <c r="V70" t="s">
        <v>511</v>
      </c>
      <c r="W70" t="s">
        <v>743</v>
      </c>
      <c r="X70" t="s">
        <v>744</v>
      </c>
      <c r="Y70" t="s">
        <v>745</v>
      </c>
      <c r="AC70" t="s">
        <v>521</v>
      </c>
      <c r="AE70" t="s">
        <v>521</v>
      </c>
      <c r="AF70" t="s">
        <v>469</v>
      </c>
      <c r="AH70" t="s">
        <v>469</v>
      </c>
      <c r="AI70" t="s">
        <v>489</v>
      </c>
      <c r="AJ70" t="s">
        <v>745</v>
      </c>
    </row>
    <row r="71" spans="1:37" ht="16.5" customHeight="1">
      <c r="A71" s="348" t="s">
        <v>1271</v>
      </c>
      <c r="B71" t="s">
        <v>305</v>
      </c>
      <c r="C71" t="s">
        <v>735</v>
      </c>
      <c r="D71" t="s">
        <v>475</v>
      </c>
      <c r="E71" t="s">
        <v>772</v>
      </c>
      <c r="F71" t="s">
        <v>737</v>
      </c>
      <c r="G71" t="s">
        <v>469</v>
      </c>
      <c r="H71" t="s">
        <v>469</v>
      </c>
      <c r="I71" t="s">
        <v>825</v>
      </c>
      <c r="J71" s="349" t="s">
        <v>1272</v>
      </c>
      <c r="K71" t="s">
        <v>1337</v>
      </c>
      <c r="L71" t="s">
        <v>620</v>
      </c>
      <c r="M71" t="s">
        <v>479</v>
      </c>
      <c r="P71" t="s">
        <v>826</v>
      </c>
      <c r="Q71" t="s">
        <v>740</v>
      </c>
      <c r="R71" t="s">
        <v>469</v>
      </c>
      <c r="S71" t="s">
        <v>741</v>
      </c>
      <c r="T71" t="s">
        <v>742</v>
      </c>
      <c r="U71" t="s">
        <v>509</v>
      </c>
      <c r="V71" t="s">
        <v>511</v>
      </c>
      <c r="W71" t="s">
        <v>743</v>
      </c>
      <c r="X71" t="s">
        <v>744</v>
      </c>
      <c r="Y71" t="s">
        <v>745</v>
      </c>
      <c r="AC71" t="s">
        <v>521</v>
      </c>
      <c r="AE71" t="s">
        <v>521</v>
      </c>
      <c r="AF71" t="s">
        <v>469</v>
      </c>
      <c r="AH71" t="s">
        <v>469</v>
      </c>
      <c r="AI71" t="s">
        <v>489</v>
      </c>
      <c r="AJ71" t="s">
        <v>745</v>
      </c>
      <c r="AK71" t="s">
        <v>827</v>
      </c>
    </row>
    <row r="72" spans="1:37" ht="16.5" customHeight="1">
      <c r="A72" s="348" t="s">
        <v>1271</v>
      </c>
      <c r="B72" t="s">
        <v>306</v>
      </c>
      <c r="C72" t="s">
        <v>474</v>
      </c>
      <c r="D72" t="s">
        <v>475</v>
      </c>
      <c r="E72" t="s">
        <v>469</v>
      </c>
      <c r="F72" t="s">
        <v>477</v>
      </c>
      <c r="G72" t="s">
        <v>469</v>
      </c>
      <c r="H72" t="s">
        <v>469</v>
      </c>
      <c r="I72" t="s">
        <v>828</v>
      </c>
      <c r="J72" s="349" t="s">
        <v>1272</v>
      </c>
      <c r="K72" t="s">
        <v>516</v>
      </c>
      <c r="L72" t="s">
        <v>627</v>
      </c>
      <c r="M72" t="s">
        <v>479</v>
      </c>
      <c r="P72" t="s">
        <v>829</v>
      </c>
      <c r="Q72" t="s">
        <v>481</v>
      </c>
      <c r="R72" t="s">
        <v>469</v>
      </c>
      <c r="S72" t="s">
        <v>482</v>
      </c>
      <c r="T72" t="s">
        <v>483</v>
      </c>
      <c r="U72" t="s">
        <v>509</v>
      </c>
      <c r="V72" t="s">
        <v>511</v>
      </c>
      <c r="W72" t="s">
        <v>540</v>
      </c>
      <c r="X72" t="s">
        <v>487</v>
      </c>
      <c r="Y72" t="s">
        <v>504</v>
      </c>
      <c r="Z72" t="s">
        <v>648</v>
      </c>
      <c r="AA72" t="s">
        <v>498</v>
      </c>
      <c r="AB72" t="s">
        <v>540</v>
      </c>
      <c r="AC72" t="s">
        <v>622</v>
      </c>
      <c r="AD72" t="s">
        <v>509</v>
      </c>
      <c r="AE72" t="s">
        <v>504</v>
      </c>
      <c r="AF72" t="s">
        <v>469</v>
      </c>
      <c r="AH72" t="s">
        <v>469</v>
      </c>
      <c r="AI72" t="s">
        <v>509</v>
      </c>
      <c r="AJ72" t="s">
        <v>504</v>
      </c>
    </row>
    <row r="73" spans="1:37" ht="16.5" customHeight="1">
      <c r="A73" s="348" t="s">
        <v>1271</v>
      </c>
      <c r="B73" t="s">
        <v>830</v>
      </c>
      <c r="C73" t="s">
        <v>474</v>
      </c>
      <c r="D73" t="s">
        <v>475</v>
      </c>
      <c r="E73" t="s">
        <v>469</v>
      </c>
      <c r="F73" t="s">
        <v>477</v>
      </c>
      <c r="G73" t="s">
        <v>469</v>
      </c>
      <c r="H73" t="s">
        <v>469</v>
      </c>
      <c r="I73" t="s">
        <v>831</v>
      </c>
      <c r="J73" s="349" t="s">
        <v>1272</v>
      </c>
      <c r="K73" t="s">
        <v>1337</v>
      </c>
      <c r="L73" t="s">
        <v>627</v>
      </c>
      <c r="M73" t="s">
        <v>479</v>
      </c>
      <c r="P73" t="s">
        <v>832</v>
      </c>
      <c r="Q73" t="s">
        <v>481</v>
      </c>
      <c r="R73" t="s">
        <v>469</v>
      </c>
      <c r="S73" t="s">
        <v>482</v>
      </c>
      <c r="T73" t="s">
        <v>483</v>
      </c>
      <c r="U73" t="s">
        <v>509</v>
      </c>
      <c r="V73" t="s">
        <v>511</v>
      </c>
      <c r="W73" t="s">
        <v>540</v>
      </c>
      <c r="X73" t="s">
        <v>487</v>
      </c>
      <c r="Y73" t="s">
        <v>629</v>
      </c>
      <c r="Z73" t="s">
        <v>648</v>
      </c>
      <c r="AA73" t="s">
        <v>498</v>
      </c>
      <c r="AB73" t="s">
        <v>540</v>
      </c>
      <c r="AC73" t="s">
        <v>691</v>
      </c>
      <c r="AD73" t="s">
        <v>499</v>
      </c>
      <c r="AE73" t="s">
        <v>629</v>
      </c>
      <c r="AF73" t="s">
        <v>469</v>
      </c>
      <c r="AH73" t="s">
        <v>469</v>
      </c>
      <c r="AI73" t="s">
        <v>499</v>
      </c>
      <c r="AJ73" t="s">
        <v>629</v>
      </c>
    </row>
    <row r="74" spans="1:37" ht="16.5" customHeight="1">
      <c r="A74" s="348" t="s">
        <v>1271</v>
      </c>
      <c r="B74" t="s">
        <v>307</v>
      </c>
      <c r="C74" t="s">
        <v>474</v>
      </c>
      <c r="D74" t="s">
        <v>475</v>
      </c>
      <c r="E74" t="s">
        <v>469</v>
      </c>
      <c r="F74" t="s">
        <v>477</v>
      </c>
      <c r="G74" t="s">
        <v>469</v>
      </c>
      <c r="H74" t="s">
        <v>469</v>
      </c>
      <c r="I74" t="s">
        <v>833</v>
      </c>
      <c r="J74" s="349" t="s">
        <v>1272</v>
      </c>
      <c r="K74" t="s">
        <v>516</v>
      </c>
      <c r="L74" t="s">
        <v>627</v>
      </c>
      <c r="M74" t="s">
        <v>479</v>
      </c>
      <c r="P74" t="s">
        <v>834</v>
      </c>
      <c r="Q74" t="s">
        <v>481</v>
      </c>
      <c r="R74" t="s">
        <v>469</v>
      </c>
      <c r="S74" t="s">
        <v>482</v>
      </c>
      <c r="T74" t="s">
        <v>483</v>
      </c>
      <c r="U74" t="s">
        <v>509</v>
      </c>
      <c r="V74" t="s">
        <v>511</v>
      </c>
      <c r="W74" t="s">
        <v>540</v>
      </c>
      <c r="X74" t="s">
        <v>487</v>
      </c>
      <c r="Y74" t="s">
        <v>753</v>
      </c>
      <c r="Z74" t="s">
        <v>648</v>
      </c>
      <c r="AA74" t="s">
        <v>581</v>
      </c>
      <c r="AC74" t="s">
        <v>754</v>
      </c>
      <c r="AD74" t="s">
        <v>648</v>
      </c>
      <c r="AE74" t="s">
        <v>753</v>
      </c>
      <c r="AF74" t="s">
        <v>469</v>
      </c>
      <c r="AH74" t="s">
        <v>469</v>
      </c>
      <c r="AI74" t="s">
        <v>648</v>
      </c>
      <c r="AJ74" t="s">
        <v>753</v>
      </c>
    </row>
    <row r="75" spans="1:37" ht="16.5" customHeight="1">
      <c r="A75" s="348" t="s">
        <v>1271</v>
      </c>
      <c r="B75" t="s">
        <v>308</v>
      </c>
      <c r="C75" t="s">
        <v>474</v>
      </c>
      <c r="D75" t="s">
        <v>475</v>
      </c>
      <c r="E75" t="s">
        <v>469</v>
      </c>
      <c r="F75" t="s">
        <v>477</v>
      </c>
      <c r="G75" t="s">
        <v>469</v>
      </c>
      <c r="H75" t="s">
        <v>469</v>
      </c>
      <c r="I75" t="s">
        <v>835</v>
      </c>
      <c r="J75" s="349" t="s">
        <v>1272</v>
      </c>
      <c r="K75" t="s">
        <v>516</v>
      </c>
      <c r="L75" t="s">
        <v>627</v>
      </c>
      <c r="M75" t="s">
        <v>479</v>
      </c>
      <c r="P75" t="s">
        <v>836</v>
      </c>
      <c r="Q75" t="s">
        <v>481</v>
      </c>
      <c r="R75" t="s">
        <v>469</v>
      </c>
      <c r="S75" t="s">
        <v>482</v>
      </c>
      <c r="T75" t="s">
        <v>483</v>
      </c>
      <c r="U75" t="s">
        <v>509</v>
      </c>
      <c r="V75" t="s">
        <v>511</v>
      </c>
      <c r="W75" t="s">
        <v>540</v>
      </c>
      <c r="X75" t="s">
        <v>487</v>
      </c>
      <c r="Y75" t="s">
        <v>504</v>
      </c>
      <c r="Z75" t="s">
        <v>648</v>
      </c>
      <c r="AA75" t="s">
        <v>498</v>
      </c>
      <c r="AB75" t="s">
        <v>540</v>
      </c>
      <c r="AC75" t="s">
        <v>622</v>
      </c>
      <c r="AD75" t="s">
        <v>509</v>
      </c>
      <c r="AE75" t="s">
        <v>504</v>
      </c>
      <c r="AF75" t="s">
        <v>469</v>
      </c>
      <c r="AH75" t="s">
        <v>469</v>
      </c>
      <c r="AI75" t="s">
        <v>509</v>
      </c>
      <c r="AJ75" t="s">
        <v>504</v>
      </c>
      <c r="AK75" t="s">
        <v>837</v>
      </c>
    </row>
    <row r="76" spans="1:37" ht="16.5" customHeight="1">
      <c r="A76" s="348" t="s">
        <v>1271</v>
      </c>
      <c r="B76" t="s">
        <v>838</v>
      </c>
      <c r="C76" t="s">
        <v>474</v>
      </c>
      <c r="D76" t="s">
        <v>475</v>
      </c>
      <c r="E76" t="s">
        <v>469</v>
      </c>
      <c r="F76" t="s">
        <v>477</v>
      </c>
      <c r="G76" t="s">
        <v>469</v>
      </c>
      <c r="H76" t="s">
        <v>469</v>
      </c>
      <c r="I76" t="s">
        <v>839</v>
      </c>
      <c r="J76" s="349" t="s">
        <v>1272</v>
      </c>
      <c r="K76" t="s">
        <v>516</v>
      </c>
      <c r="L76" t="s">
        <v>627</v>
      </c>
      <c r="M76" t="s">
        <v>479</v>
      </c>
      <c r="P76" t="s">
        <v>840</v>
      </c>
      <c r="Q76" t="s">
        <v>481</v>
      </c>
      <c r="R76" t="s">
        <v>469</v>
      </c>
      <c r="S76" t="s">
        <v>482</v>
      </c>
      <c r="T76" t="s">
        <v>483</v>
      </c>
      <c r="U76" t="s">
        <v>509</v>
      </c>
      <c r="V76" t="s">
        <v>511</v>
      </c>
      <c r="W76" t="s">
        <v>540</v>
      </c>
      <c r="X76" t="s">
        <v>487</v>
      </c>
      <c r="Y76" t="s">
        <v>504</v>
      </c>
      <c r="Z76" t="s">
        <v>723</v>
      </c>
      <c r="AA76" t="s">
        <v>649</v>
      </c>
      <c r="AB76" t="s">
        <v>818</v>
      </c>
      <c r="AC76" t="s">
        <v>511</v>
      </c>
      <c r="AD76" t="s">
        <v>509</v>
      </c>
      <c r="AE76" t="s">
        <v>504</v>
      </c>
      <c r="AF76" t="s">
        <v>469</v>
      </c>
      <c r="AH76" t="s">
        <v>469</v>
      </c>
      <c r="AI76" t="s">
        <v>509</v>
      </c>
      <c r="AJ76" t="s">
        <v>504</v>
      </c>
      <c r="AK76" t="s">
        <v>841</v>
      </c>
    </row>
    <row r="77" spans="1:37" ht="16.5" customHeight="1">
      <c r="A77" s="348" t="s">
        <v>1271</v>
      </c>
      <c r="B77" t="s">
        <v>309</v>
      </c>
      <c r="C77" t="s">
        <v>474</v>
      </c>
      <c r="D77" t="s">
        <v>475</v>
      </c>
      <c r="E77" t="s">
        <v>469</v>
      </c>
      <c r="F77" t="s">
        <v>477</v>
      </c>
      <c r="G77" t="s">
        <v>469</v>
      </c>
      <c r="H77" t="s">
        <v>469</v>
      </c>
      <c r="I77" t="s">
        <v>842</v>
      </c>
      <c r="J77" s="349" t="s">
        <v>1272</v>
      </c>
      <c r="K77" t="s">
        <v>516</v>
      </c>
      <c r="L77" t="s">
        <v>627</v>
      </c>
      <c r="M77" t="s">
        <v>479</v>
      </c>
      <c r="P77" t="s">
        <v>843</v>
      </c>
      <c r="Q77" t="s">
        <v>481</v>
      </c>
      <c r="R77" t="s">
        <v>469</v>
      </c>
      <c r="S77" t="s">
        <v>482</v>
      </c>
      <c r="T77" t="s">
        <v>483</v>
      </c>
      <c r="U77" t="s">
        <v>509</v>
      </c>
      <c r="V77" t="s">
        <v>511</v>
      </c>
      <c r="W77" t="s">
        <v>540</v>
      </c>
      <c r="X77" t="s">
        <v>487</v>
      </c>
      <c r="Y77" t="s">
        <v>504</v>
      </c>
      <c r="Z77" t="s">
        <v>648</v>
      </c>
      <c r="AA77" t="s">
        <v>498</v>
      </c>
      <c r="AB77" t="s">
        <v>540</v>
      </c>
      <c r="AC77" t="s">
        <v>691</v>
      </c>
      <c r="AD77" t="s">
        <v>509</v>
      </c>
      <c r="AE77" t="s">
        <v>504</v>
      </c>
      <c r="AF77" t="s">
        <v>469</v>
      </c>
      <c r="AH77" t="s">
        <v>469</v>
      </c>
      <c r="AI77" t="s">
        <v>509</v>
      </c>
      <c r="AJ77" t="s">
        <v>504</v>
      </c>
      <c r="AK77" t="s">
        <v>844</v>
      </c>
    </row>
    <row r="78" spans="1:37" ht="16.5" customHeight="1">
      <c r="A78" s="348" t="s">
        <v>1271</v>
      </c>
      <c r="B78" t="s">
        <v>845</v>
      </c>
      <c r="C78" t="s">
        <v>474</v>
      </c>
      <c r="D78" t="s">
        <v>475</v>
      </c>
      <c r="E78" t="s">
        <v>469</v>
      </c>
      <c r="F78" t="s">
        <v>477</v>
      </c>
      <c r="G78" t="s">
        <v>469</v>
      </c>
      <c r="H78" t="s">
        <v>469</v>
      </c>
      <c r="I78" t="s">
        <v>846</v>
      </c>
      <c r="J78" s="349" t="s">
        <v>1272</v>
      </c>
      <c r="K78" t="s">
        <v>1337</v>
      </c>
      <c r="L78" t="s">
        <v>627</v>
      </c>
      <c r="M78" t="s">
        <v>479</v>
      </c>
      <c r="P78" t="s">
        <v>847</v>
      </c>
      <c r="Q78" t="s">
        <v>481</v>
      </c>
      <c r="R78" t="s">
        <v>469</v>
      </c>
      <c r="S78" t="s">
        <v>482</v>
      </c>
      <c r="T78" t="s">
        <v>483</v>
      </c>
      <c r="U78" t="s">
        <v>509</v>
      </c>
      <c r="V78" t="s">
        <v>511</v>
      </c>
      <c r="W78" t="s">
        <v>540</v>
      </c>
      <c r="X78" t="s">
        <v>487</v>
      </c>
      <c r="Y78" t="s">
        <v>539</v>
      </c>
      <c r="Z78" t="s">
        <v>648</v>
      </c>
      <c r="AA78" t="s">
        <v>498</v>
      </c>
      <c r="AB78" t="s">
        <v>540</v>
      </c>
      <c r="AC78" t="s">
        <v>691</v>
      </c>
      <c r="AD78" t="s">
        <v>509</v>
      </c>
      <c r="AE78" t="s">
        <v>539</v>
      </c>
      <c r="AF78" t="s">
        <v>469</v>
      </c>
      <c r="AH78" t="s">
        <v>469</v>
      </c>
      <c r="AI78" t="s">
        <v>509</v>
      </c>
      <c r="AJ78" t="s">
        <v>539</v>
      </c>
      <c r="AK78" t="s">
        <v>848</v>
      </c>
    </row>
    <row r="79" spans="1:37" ht="16.5" customHeight="1">
      <c r="A79" s="348" t="s">
        <v>1271</v>
      </c>
      <c r="B79" t="s">
        <v>849</v>
      </c>
      <c r="C79" t="s">
        <v>474</v>
      </c>
      <c r="D79" t="s">
        <v>475</v>
      </c>
      <c r="E79" t="s">
        <v>469</v>
      </c>
      <c r="F79" t="s">
        <v>477</v>
      </c>
      <c r="G79" t="s">
        <v>469</v>
      </c>
      <c r="H79" t="s">
        <v>469</v>
      </c>
      <c r="I79" t="s">
        <v>850</v>
      </c>
      <c r="J79" s="349" t="s">
        <v>1272</v>
      </c>
      <c r="K79" t="s">
        <v>1337</v>
      </c>
      <c r="L79" t="s">
        <v>627</v>
      </c>
      <c r="M79" t="s">
        <v>479</v>
      </c>
      <c r="P79" t="s">
        <v>851</v>
      </c>
      <c r="Q79" t="s">
        <v>481</v>
      </c>
      <c r="R79" t="s">
        <v>469</v>
      </c>
      <c r="S79" t="s">
        <v>482</v>
      </c>
      <c r="T79" t="s">
        <v>483</v>
      </c>
      <c r="U79" t="s">
        <v>509</v>
      </c>
      <c r="V79" t="s">
        <v>511</v>
      </c>
      <c r="W79" t="s">
        <v>540</v>
      </c>
      <c r="X79" t="s">
        <v>487</v>
      </c>
      <c r="Y79" t="s">
        <v>539</v>
      </c>
      <c r="Z79" t="s">
        <v>648</v>
      </c>
      <c r="AA79" t="s">
        <v>498</v>
      </c>
      <c r="AB79" t="s">
        <v>540</v>
      </c>
      <c r="AC79" t="s">
        <v>691</v>
      </c>
      <c r="AD79" t="s">
        <v>509</v>
      </c>
      <c r="AE79" t="s">
        <v>539</v>
      </c>
      <c r="AF79" t="s">
        <v>469</v>
      </c>
      <c r="AH79" t="s">
        <v>469</v>
      </c>
      <c r="AI79" t="s">
        <v>509</v>
      </c>
      <c r="AJ79" t="s">
        <v>539</v>
      </c>
      <c r="AK79" t="s">
        <v>852</v>
      </c>
    </row>
    <row r="80" spans="1:37" ht="16.5" customHeight="1">
      <c r="A80" s="348" t="s">
        <v>1271</v>
      </c>
      <c r="B80" t="s">
        <v>310</v>
      </c>
      <c r="C80" t="s">
        <v>474</v>
      </c>
      <c r="D80" t="s">
        <v>475</v>
      </c>
      <c r="E80" t="s">
        <v>469</v>
      </c>
      <c r="F80" t="s">
        <v>477</v>
      </c>
      <c r="G80" t="s">
        <v>469</v>
      </c>
      <c r="H80" t="s">
        <v>469</v>
      </c>
      <c r="I80" t="s">
        <v>853</v>
      </c>
      <c r="J80" s="349" t="s">
        <v>1272</v>
      </c>
      <c r="K80" t="s">
        <v>1337</v>
      </c>
      <c r="L80" t="s">
        <v>627</v>
      </c>
      <c r="M80" t="s">
        <v>479</v>
      </c>
      <c r="P80" t="s">
        <v>854</v>
      </c>
      <c r="Q80" t="s">
        <v>481</v>
      </c>
      <c r="R80" t="s">
        <v>469</v>
      </c>
      <c r="S80" t="s">
        <v>482</v>
      </c>
      <c r="T80" t="s">
        <v>483</v>
      </c>
      <c r="U80" t="s">
        <v>509</v>
      </c>
      <c r="V80" t="s">
        <v>511</v>
      </c>
      <c r="W80" t="s">
        <v>540</v>
      </c>
      <c r="X80" t="s">
        <v>487</v>
      </c>
      <c r="Y80" t="s">
        <v>753</v>
      </c>
      <c r="Z80" t="s">
        <v>648</v>
      </c>
      <c r="AA80" t="s">
        <v>581</v>
      </c>
      <c r="AC80" t="s">
        <v>754</v>
      </c>
      <c r="AD80" t="s">
        <v>648</v>
      </c>
      <c r="AE80" t="s">
        <v>753</v>
      </c>
      <c r="AF80" t="s">
        <v>469</v>
      </c>
      <c r="AH80" t="s">
        <v>469</v>
      </c>
      <c r="AI80" t="s">
        <v>648</v>
      </c>
      <c r="AJ80" t="s">
        <v>753</v>
      </c>
      <c r="AK80" t="s">
        <v>855</v>
      </c>
    </row>
    <row r="81" spans="1:37" ht="16.5" customHeight="1">
      <c r="A81" s="348" t="s">
        <v>1271</v>
      </c>
      <c r="B81" t="s">
        <v>311</v>
      </c>
      <c r="C81" t="s">
        <v>474</v>
      </c>
      <c r="D81" t="s">
        <v>475</v>
      </c>
      <c r="E81" t="s">
        <v>469</v>
      </c>
      <c r="F81" t="s">
        <v>477</v>
      </c>
      <c r="G81" t="s">
        <v>469</v>
      </c>
      <c r="H81" t="s">
        <v>469</v>
      </c>
      <c r="I81" t="s">
        <v>856</v>
      </c>
      <c r="J81" s="349" t="s">
        <v>1272</v>
      </c>
      <c r="K81" t="s">
        <v>1337</v>
      </c>
      <c r="L81" t="s">
        <v>627</v>
      </c>
      <c r="M81" t="s">
        <v>479</v>
      </c>
      <c r="P81" t="s">
        <v>857</v>
      </c>
      <c r="Q81" t="s">
        <v>481</v>
      </c>
      <c r="R81" t="s">
        <v>469</v>
      </c>
      <c r="S81" t="s">
        <v>482</v>
      </c>
      <c r="T81" t="s">
        <v>483</v>
      </c>
      <c r="U81" t="s">
        <v>509</v>
      </c>
      <c r="V81" t="s">
        <v>511</v>
      </c>
      <c r="W81" t="s">
        <v>540</v>
      </c>
      <c r="X81" t="s">
        <v>487</v>
      </c>
      <c r="Y81" t="s">
        <v>753</v>
      </c>
      <c r="Z81" t="s">
        <v>648</v>
      </c>
      <c r="AA81" t="s">
        <v>581</v>
      </c>
      <c r="AC81" t="s">
        <v>754</v>
      </c>
      <c r="AD81" t="s">
        <v>648</v>
      </c>
      <c r="AE81" t="s">
        <v>753</v>
      </c>
      <c r="AF81" t="s">
        <v>469</v>
      </c>
      <c r="AH81" t="s">
        <v>469</v>
      </c>
      <c r="AI81" t="s">
        <v>648</v>
      </c>
      <c r="AJ81" t="s">
        <v>753</v>
      </c>
      <c r="AK81" t="s">
        <v>858</v>
      </c>
    </row>
    <row r="82" spans="1:37" ht="16.5" customHeight="1">
      <c r="A82" s="348" t="s">
        <v>1271</v>
      </c>
      <c r="B82" t="s">
        <v>312</v>
      </c>
      <c r="C82" t="s">
        <v>474</v>
      </c>
      <c r="D82" t="s">
        <v>475</v>
      </c>
      <c r="E82" t="s">
        <v>469</v>
      </c>
      <c r="F82" t="s">
        <v>477</v>
      </c>
      <c r="G82" t="s">
        <v>469</v>
      </c>
      <c r="H82" t="s">
        <v>469</v>
      </c>
      <c r="I82" t="s">
        <v>859</v>
      </c>
      <c r="J82" s="349" t="s">
        <v>1272</v>
      </c>
      <c r="K82" t="s">
        <v>1337</v>
      </c>
      <c r="L82" t="s">
        <v>627</v>
      </c>
      <c r="M82" t="s">
        <v>479</v>
      </c>
      <c r="P82" t="s">
        <v>860</v>
      </c>
      <c r="Q82" t="s">
        <v>481</v>
      </c>
      <c r="R82" t="s">
        <v>469</v>
      </c>
      <c r="S82" t="s">
        <v>482</v>
      </c>
      <c r="T82" t="s">
        <v>483</v>
      </c>
      <c r="U82" t="s">
        <v>509</v>
      </c>
      <c r="V82" t="s">
        <v>511</v>
      </c>
      <c r="W82" t="s">
        <v>540</v>
      </c>
      <c r="X82" t="s">
        <v>487</v>
      </c>
      <c r="Y82" t="s">
        <v>497</v>
      </c>
      <c r="Z82" t="s">
        <v>648</v>
      </c>
      <c r="AA82" t="s">
        <v>498</v>
      </c>
      <c r="AB82" t="s">
        <v>540</v>
      </c>
      <c r="AC82" t="s">
        <v>622</v>
      </c>
      <c r="AD82" t="s">
        <v>499</v>
      </c>
      <c r="AE82" t="s">
        <v>497</v>
      </c>
      <c r="AF82" t="s">
        <v>469</v>
      </c>
      <c r="AH82" t="s">
        <v>469</v>
      </c>
      <c r="AI82" t="s">
        <v>499</v>
      </c>
      <c r="AJ82" t="s">
        <v>497</v>
      </c>
      <c r="AK82" t="s">
        <v>861</v>
      </c>
    </row>
    <row r="83" spans="1:37" ht="16.5" customHeight="1">
      <c r="A83" s="348" t="s">
        <v>1271</v>
      </c>
      <c r="B83" t="s">
        <v>862</v>
      </c>
      <c r="C83" t="s">
        <v>474</v>
      </c>
      <c r="D83" t="s">
        <v>475</v>
      </c>
      <c r="E83" t="s">
        <v>469</v>
      </c>
      <c r="F83" t="s">
        <v>477</v>
      </c>
      <c r="G83" t="s">
        <v>469</v>
      </c>
      <c r="H83" t="s">
        <v>469</v>
      </c>
      <c r="I83" t="s">
        <v>863</v>
      </c>
      <c r="J83" s="349" t="s">
        <v>1272</v>
      </c>
      <c r="K83" t="s">
        <v>1337</v>
      </c>
      <c r="L83" t="s">
        <v>627</v>
      </c>
      <c r="M83" t="s">
        <v>479</v>
      </c>
      <c r="P83" t="s">
        <v>864</v>
      </c>
      <c r="Q83" t="s">
        <v>481</v>
      </c>
      <c r="R83" t="s">
        <v>469</v>
      </c>
      <c r="S83" t="s">
        <v>482</v>
      </c>
      <c r="T83" t="s">
        <v>483</v>
      </c>
      <c r="U83" t="s">
        <v>509</v>
      </c>
      <c r="V83" t="s">
        <v>511</v>
      </c>
      <c r="W83" t="s">
        <v>540</v>
      </c>
      <c r="X83" t="s">
        <v>487</v>
      </c>
      <c r="Y83" t="s">
        <v>753</v>
      </c>
      <c r="Z83" t="s">
        <v>648</v>
      </c>
      <c r="AA83" t="s">
        <v>581</v>
      </c>
      <c r="AC83" t="s">
        <v>754</v>
      </c>
      <c r="AD83" t="s">
        <v>648</v>
      </c>
      <c r="AE83" t="s">
        <v>753</v>
      </c>
      <c r="AF83" t="s">
        <v>469</v>
      </c>
      <c r="AH83" t="s">
        <v>469</v>
      </c>
      <c r="AI83" t="s">
        <v>648</v>
      </c>
      <c r="AJ83" t="s">
        <v>753</v>
      </c>
      <c r="AK83" t="s">
        <v>865</v>
      </c>
    </row>
    <row r="84" spans="1:37" ht="16.5" customHeight="1">
      <c r="A84" s="348" t="s">
        <v>1271</v>
      </c>
      <c r="B84" t="s">
        <v>866</v>
      </c>
      <c r="C84" t="s">
        <v>735</v>
      </c>
      <c r="D84" t="s">
        <v>475</v>
      </c>
      <c r="E84" t="s">
        <v>757</v>
      </c>
      <c r="F84" t="s">
        <v>737</v>
      </c>
      <c r="G84" t="s">
        <v>469</v>
      </c>
      <c r="H84" t="s">
        <v>469</v>
      </c>
      <c r="I84" t="s">
        <v>867</v>
      </c>
      <c r="J84" s="349" t="s">
        <v>1272</v>
      </c>
      <c r="K84" t="s">
        <v>1340</v>
      </c>
      <c r="L84" t="s">
        <v>620</v>
      </c>
      <c r="M84" t="s">
        <v>479</v>
      </c>
      <c r="P84" t="s">
        <v>868</v>
      </c>
      <c r="Q84" t="s">
        <v>740</v>
      </c>
      <c r="R84" t="s">
        <v>469</v>
      </c>
      <c r="S84" t="s">
        <v>482</v>
      </c>
      <c r="T84" t="s">
        <v>742</v>
      </c>
      <c r="U84" t="s">
        <v>509</v>
      </c>
      <c r="V84" t="s">
        <v>511</v>
      </c>
      <c r="W84" t="s">
        <v>743</v>
      </c>
      <c r="X84" t="s">
        <v>744</v>
      </c>
      <c r="Y84" t="s">
        <v>869</v>
      </c>
      <c r="AC84" t="s">
        <v>521</v>
      </c>
      <c r="AE84" t="s">
        <v>521</v>
      </c>
      <c r="AF84" t="s">
        <v>469</v>
      </c>
      <c r="AH84" t="s">
        <v>469</v>
      </c>
      <c r="AI84" t="s">
        <v>489</v>
      </c>
      <c r="AJ84" t="s">
        <v>869</v>
      </c>
      <c r="AK84" t="s">
        <v>870</v>
      </c>
    </row>
    <row r="85" spans="1:37" ht="16.5" customHeight="1">
      <c r="A85" s="348" t="s">
        <v>1271</v>
      </c>
      <c r="B85" t="s">
        <v>871</v>
      </c>
      <c r="C85" t="s">
        <v>474</v>
      </c>
      <c r="D85" t="s">
        <v>475</v>
      </c>
      <c r="E85" t="s">
        <v>469</v>
      </c>
      <c r="F85" t="s">
        <v>477</v>
      </c>
      <c r="G85" t="s">
        <v>469</v>
      </c>
      <c r="H85" t="s">
        <v>469</v>
      </c>
      <c r="I85" t="s">
        <v>872</v>
      </c>
      <c r="J85" s="349" t="s">
        <v>1272</v>
      </c>
      <c r="K85" t="s">
        <v>516</v>
      </c>
      <c r="L85" t="s">
        <v>627</v>
      </c>
      <c r="M85" t="s">
        <v>479</v>
      </c>
      <c r="P85" t="s">
        <v>873</v>
      </c>
      <c r="Q85" t="s">
        <v>481</v>
      </c>
      <c r="R85" t="s">
        <v>469</v>
      </c>
      <c r="S85" t="s">
        <v>482</v>
      </c>
      <c r="T85" t="s">
        <v>483</v>
      </c>
      <c r="U85" t="s">
        <v>509</v>
      </c>
      <c r="V85" t="s">
        <v>511</v>
      </c>
      <c r="W85" t="s">
        <v>540</v>
      </c>
      <c r="X85" t="s">
        <v>487</v>
      </c>
      <c r="Y85" t="s">
        <v>504</v>
      </c>
      <c r="Z85" t="s">
        <v>489</v>
      </c>
      <c r="AA85" t="s">
        <v>490</v>
      </c>
      <c r="AB85" t="s">
        <v>540</v>
      </c>
      <c r="AC85" t="s">
        <v>807</v>
      </c>
      <c r="AD85" t="s">
        <v>509</v>
      </c>
      <c r="AE85" t="s">
        <v>504</v>
      </c>
      <c r="AF85" t="s">
        <v>469</v>
      </c>
      <c r="AH85" t="s">
        <v>469</v>
      </c>
      <c r="AI85" t="s">
        <v>509</v>
      </c>
      <c r="AJ85" t="s">
        <v>504</v>
      </c>
      <c r="AK85" t="s">
        <v>874</v>
      </c>
    </row>
    <row r="86" spans="1:37" ht="16.5" customHeight="1">
      <c r="A86" s="348" t="s">
        <v>1271</v>
      </c>
      <c r="B86" t="s">
        <v>875</v>
      </c>
      <c r="C86" t="s">
        <v>735</v>
      </c>
      <c r="D86" t="s">
        <v>475</v>
      </c>
      <c r="E86" t="s">
        <v>736</v>
      </c>
      <c r="F86" t="s">
        <v>737</v>
      </c>
      <c r="G86" t="s">
        <v>469</v>
      </c>
      <c r="H86" t="s">
        <v>469</v>
      </c>
      <c r="I86" t="s">
        <v>876</v>
      </c>
      <c r="J86" s="349" t="s">
        <v>1272</v>
      </c>
      <c r="K86" t="s">
        <v>516</v>
      </c>
      <c r="L86" t="s">
        <v>627</v>
      </c>
      <c r="M86" t="s">
        <v>479</v>
      </c>
      <c r="P86" t="s">
        <v>877</v>
      </c>
      <c r="Q86" t="s">
        <v>740</v>
      </c>
      <c r="R86" t="s">
        <v>469</v>
      </c>
      <c r="S86" t="s">
        <v>741</v>
      </c>
      <c r="T86" t="s">
        <v>742</v>
      </c>
      <c r="U86" t="s">
        <v>499</v>
      </c>
      <c r="V86" t="s">
        <v>807</v>
      </c>
      <c r="W86" t="s">
        <v>743</v>
      </c>
      <c r="X86" t="s">
        <v>744</v>
      </c>
      <c r="Y86" t="s">
        <v>869</v>
      </c>
      <c r="AC86" t="s">
        <v>521</v>
      </c>
      <c r="AE86" t="s">
        <v>521</v>
      </c>
      <c r="AF86" t="s">
        <v>469</v>
      </c>
      <c r="AH86" t="s">
        <v>878</v>
      </c>
      <c r="AI86" t="s">
        <v>489</v>
      </c>
      <c r="AJ86" t="s">
        <v>869</v>
      </c>
    </row>
    <row r="87" spans="1:37" ht="16.5" customHeight="1">
      <c r="A87" s="348" t="s">
        <v>1271</v>
      </c>
      <c r="B87" t="s">
        <v>879</v>
      </c>
      <c r="C87" t="s">
        <v>735</v>
      </c>
      <c r="D87" t="s">
        <v>475</v>
      </c>
      <c r="E87" t="s">
        <v>736</v>
      </c>
      <c r="F87" t="s">
        <v>469</v>
      </c>
      <c r="G87" t="s">
        <v>469</v>
      </c>
      <c r="H87" t="s">
        <v>469</v>
      </c>
      <c r="I87" t="s">
        <v>880</v>
      </c>
      <c r="J87" s="349" t="s">
        <v>1272</v>
      </c>
      <c r="K87" t="s">
        <v>516</v>
      </c>
      <c r="L87" t="s">
        <v>627</v>
      </c>
      <c r="M87" t="s">
        <v>479</v>
      </c>
      <c r="P87" t="s">
        <v>881</v>
      </c>
      <c r="Q87" t="s">
        <v>498</v>
      </c>
      <c r="R87" t="s">
        <v>469</v>
      </c>
      <c r="S87" t="s">
        <v>482</v>
      </c>
      <c r="T87" t="s">
        <v>742</v>
      </c>
      <c r="U87" t="s">
        <v>499</v>
      </c>
      <c r="V87" t="s">
        <v>807</v>
      </c>
      <c r="W87" t="s">
        <v>743</v>
      </c>
      <c r="X87" t="s">
        <v>499</v>
      </c>
      <c r="Y87" t="s">
        <v>882</v>
      </c>
      <c r="Z87" t="s">
        <v>744</v>
      </c>
      <c r="AA87" t="s">
        <v>498</v>
      </c>
      <c r="AB87" t="s">
        <v>883</v>
      </c>
      <c r="AC87" t="s">
        <v>882</v>
      </c>
      <c r="AE87" t="s">
        <v>521</v>
      </c>
      <c r="AF87" t="s">
        <v>469</v>
      </c>
      <c r="AH87" t="s">
        <v>884</v>
      </c>
      <c r="AI87" t="s">
        <v>744</v>
      </c>
      <c r="AJ87" t="s">
        <v>882</v>
      </c>
      <c r="AK87" t="s">
        <v>885</v>
      </c>
    </row>
    <row r="88" spans="1:37" ht="16.5" customHeight="1">
      <c r="A88" s="348" t="s">
        <v>1271</v>
      </c>
      <c r="B88" t="s">
        <v>313</v>
      </c>
      <c r="C88" t="s">
        <v>735</v>
      </c>
      <c r="D88" t="s">
        <v>475</v>
      </c>
      <c r="E88" t="s">
        <v>469</v>
      </c>
      <c r="F88" t="s">
        <v>737</v>
      </c>
      <c r="G88" t="s">
        <v>469</v>
      </c>
      <c r="H88" t="s">
        <v>469</v>
      </c>
      <c r="I88" t="s">
        <v>886</v>
      </c>
      <c r="J88" s="349" t="s">
        <v>1272</v>
      </c>
      <c r="K88" t="s">
        <v>516</v>
      </c>
      <c r="L88" t="s">
        <v>627</v>
      </c>
      <c r="M88" t="s">
        <v>479</v>
      </c>
      <c r="P88" t="s">
        <v>887</v>
      </c>
      <c r="Q88" t="s">
        <v>740</v>
      </c>
      <c r="R88" t="s">
        <v>469</v>
      </c>
      <c r="S88" t="s">
        <v>741</v>
      </c>
      <c r="T88" t="s">
        <v>742</v>
      </c>
      <c r="U88" t="s">
        <v>484</v>
      </c>
      <c r="V88" t="s">
        <v>504</v>
      </c>
      <c r="W88" t="s">
        <v>888</v>
      </c>
      <c r="X88" t="s">
        <v>744</v>
      </c>
      <c r="Y88" t="s">
        <v>745</v>
      </c>
      <c r="AC88" t="s">
        <v>521</v>
      </c>
      <c r="AE88" t="s">
        <v>521</v>
      </c>
      <c r="AF88" t="s">
        <v>469</v>
      </c>
      <c r="AH88" t="s">
        <v>469</v>
      </c>
      <c r="AI88" t="s">
        <v>489</v>
      </c>
      <c r="AJ88" t="s">
        <v>745</v>
      </c>
      <c r="AK88" t="s">
        <v>889</v>
      </c>
    </row>
    <row r="89" spans="1:37" ht="16.5" customHeight="1">
      <c r="A89" s="348" t="s">
        <v>1271</v>
      </c>
      <c r="B89" t="s">
        <v>314</v>
      </c>
      <c r="C89" t="s">
        <v>735</v>
      </c>
      <c r="D89" t="s">
        <v>475</v>
      </c>
      <c r="E89" t="s">
        <v>469</v>
      </c>
      <c r="F89" t="s">
        <v>737</v>
      </c>
      <c r="G89" t="s">
        <v>469</v>
      </c>
      <c r="H89" t="s">
        <v>469</v>
      </c>
      <c r="I89" t="s">
        <v>890</v>
      </c>
      <c r="J89" s="349" t="s">
        <v>1272</v>
      </c>
      <c r="K89" t="s">
        <v>516</v>
      </c>
      <c r="L89" t="s">
        <v>627</v>
      </c>
      <c r="M89" t="s">
        <v>479</v>
      </c>
      <c r="P89" t="s">
        <v>891</v>
      </c>
      <c r="Q89" t="s">
        <v>740</v>
      </c>
      <c r="R89" t="s">
        <v>469</v>
      </c>
      <c r="S89" t="s">
        <v>741</v>
      </c>
      <c r="T89" t="s">
        <v>742</v>
      </c>
      <c r="U89" t="s">
        <v>484</v>
      </c>
      <c r="V89" t="s">
        <v>504</v>
      </c>
      <c r="W89" t="s">
        <v>888</v>
      </c>
      <c r="X89" t="s">
        <v>744</v>
      </c>
      <c r="Y89" t="s">
        <v>745</v>
      </c>
      <c r="AC89" t="s">
        <v>521</v>
      </c>
      <c r="AE89" t="s">
        <v>521</v>
      </c>
      <c r="AF89" t="s">
        <v>469</v>
      </c>
      <c r="AH89" t="s">
        <v>469</v>
      </c>
      <c r="AI89" t="s">
        <v>489</v>
      </c>
      <c r="AJ89" t="s">
        <v>745</v>
      </c>
      <c r="AK89" t="s">
        <v>892</v>
      </c>
    </row>
    <row r="90" spans="1:37" ht="16.5" customHeight="1">
      <c r="A90" s="348" t="s">
        <v>1271</v>
      </c>
      <c r="B90" t="s">
        <v>315</v>
      </c>
      <c r="C90" t="s">
        <v>735</v>
      </c>
      <c r="D90" t="s">
        <v>475</v>
      </c>
      <c r="E90" t="s">
        <v>469</v>
      </c>
      <c r="F90" t="s">
        <v>737</v>
      </c>
      <c r="G90" t="s">
        <v>469</v>
      </c>
      <c r="H90" t="s">
        <v>469</v>
      </c>
      <c r="I90" t="s">
        <v>893</v>
      </c>
      <c r="J90" s="349" t="s">
        <v>1272</v>
      </c>
      <c r="K90" t="s">
        <v>516</v>
      </c>
      <c r="L90" t="s">
        <v>627</v>
      </c>
      <c r="M90" t="s">
        <v>479</v>
      </c>
      <c r="P90" t="s">
        <v>894</v>
      </c>
      <c r="Q90" t="s">
        <v>740</v>
      </c>
      <c r="R90" t="s">
        <v>469</v>
      </c>
      <c r="S90" t="s">
        <v>741</v>
      </c>
      <c r="T90" t="s">
        <v>742</v>
      </c>
      <c r="U90" t="s">
        <v>484</v>
      </c>
      <c r="V90" t="s">
        <v>504</v>
      </c>
      <c r="W90" t="s">
        <v>888</v>
      </c>
      <c r="X90" t="s">
        <v>744</v>
      </c>
      <c r="Y90" t="s">
        <v>745</v>
      </c>
      <c r="AC90" t="s">
        <v>521</v>
      </c>
      <c r="AE90" t="s">
        <v>521</v>
      </c>
      <c r="AF90" t="s">
        <v>469</v>
      </c>
      <c r="AH90" t="s">
        <v>469</v>
      </c>
      <c r="AI90" t="s">
        <v>489</v>
      </c>
      <c r="AJ90" t="s">
        <v>745</v>
      </c>
    </row>
    <row r="91" spans="1:37" ht="16.5" customHeight="1">
      <c r="A91" s="348" t="s">
        <v>1271</v>
      </c>
      <c r="B91" t="s">
        <v>316</v>
      </c>
      <c r="C91" t="s">
        <v>735</v>
      </c>
      <c r="D91" t="s">
        <v>475</v>
      </c>
      <c r="E91" t="s">
        <v>469</v>
      </c>
      <c r="F91" t="s">
        <v>737</v>
      </c>
      <c r="G91" t="s">
        <v>469</v>
      </c>
      <c r="H91" t="s">
        <v>469</v>
      </c>
      <c r="I91" t="s">
        <v>895</v>
      </c>
      <c r="J91" s="349" t="s">
        <v>1272</v>
      </c>
      <c r="K91" t="s">
        <v>516</v>
      </c>
      <c r="L91" t="s">
        <v>627</v>
      </c>
      <c r="M91" t="s">
        <v>479</v>
      </c>
      <c r="P91" t="s">
        <v>896</v>
      </c>
      <c r="Q91" t="s">
        <v>740</v>
      </c>
      <c r="R91" t="s">
        <v>469</v>
      </c>
      <c r="S91" t="s">
        <v>741</v>
      </c>
      <c r="T91" t="s">
        <v>742</v>
      </c>
      <c r="U91" t="s">
        <v>484</v>
      </c>
      <c r="V91" t="s">
        <v>504</v>
      </c>
      <c r="W91" t="s">
        <v>888</v>
      </c>
      <c r="X91" t="s">
        <v>744</v>
      </c>
      <c r="Y91" t="s">
        <v>745</v>
      </c>
      <c r="AC91" t="s">
        <v>521</v>
      </c>
      <c r="AE91" t="s">
        <v>521</v>
      </c>
      <c r="AF91" t="s">
        <v>469</v>
      </c>
      <c r="AH91" t="s">
        <v>469</v>
      </c>
      <c r="AI91" t="s">
        <v>489</v>
      </c>
      <c r="AJ91" t="s">
        <v>745</v>
      </c>
      <c r="AK91" t="s">
        <v>897</v>
      </c>
    </row>
    <row r="92" spans="1:37" ht="16.5" customHeight="1">
      <c r="A92" s="348" t="s">
        <v>1271</v>
      </c>
      <c r="B92" t="s">
        <v>317</v>
      </c>
      <c r="C92" t="s">
        <v>735</v>
      </c>
      <c r="D92" t="s">
        <v>475</v>
      </c>
      <c r="E92" t="s">
        <v>469</v>
      </c>
      <c r="F92" t="s">
        <v>737</v>
      </c>
      <c r="G92" t="s">
        <v>469</v>
      </c>
      <c r="H92" t="s">
        <v>469</v>
      </c>
      <c r="I92" t="s">
        <v>898</v>
      </c>
      <c r="J92" s="349" t="s">
        <v>1272</v>
      </c>
      <c r="K92" t="s">
        <v>516</v>
      </c>
      <c r="L92" t="s">
        <v>627</v>
      </c>
      <c r="M92" t="s">
        <v>479</v>
      </c>
      <c r="P92" t="s">
        <v>899</v>
      </c>
      <c r="Q92" t="s">
        <v>498</v>
      </c>
      <c r="R92" t="s">
        <v>469</v>
      </c>
      <c r="S92" t="s">
        <v>482</v>
      </c>
      <c r="T92" t="s">
        <v>900</v>
      </c>
      <c r="U92" t="s">
        <v>509</v>
      </c>
      <c r="V92" t="s">
        <v>504</v>
      </c>
      <c r="W92" t="s">
        <v>888</v>
      </c>
      <c r="X92" t="s">
        <v>509</v>
      </c>
      <c r="Y92" t="s">
        <v>745</v>
      </c>
      <c r="Z92" t="s">
        <v>648</v>
      </c>
      <c r="AA92" t="s">
        <v>498</v>
      </c>
      <c r="AB92" t="s">
        <v>888</v>
      </c>
      <c r="AC92" t="s">
        <v>745</v>
      </c>
      <c r="AE92" t="s">
        <v>521</v>
      </c>
      <c r="AF92" t="s">
        <v>469</v>
      </c>
      <c r="AH92" t="s">
        <v>469</v>
      </c>
      <c r="AI92" t="s">
        <v>648</v>
      </c>
      <c r="AJ92" t="s">
        <v>745</v>
      </c>
      <c r="AK92" t="s">
        <v>901</v>
      </c>
    </row>
    <row r="93" spans="1:37" ht="16.5" customHeight="1">
      <c r="A93" s="348" t="s">
        <v>1271</v>
      </c>
      <c r="B93" t="s">
        <v>318</v>
      </c>
      <c r="C93" t="s">
        <v>735</v>
      </c>
      <c r="D93" t="s">
        <v>475</v>
      </c>
      <c r="E93" t="s">
        <v>469</v>
      </c>
      <c r="F93" t="s">
        <v>737</v>
      </c>
      <c r="G93" t="s">
        <v>469</v>
      </c>
      <c r="H93" t="s">
        <v>469</v>
      </c>
      <c r="I93" t="s">
        <v>902</v>
      </c>
      <c r="J93" s="349" t="s">
        <v>1272</v>
      </c>
      <c r="K93" t="s">
        <v>516</v>
      </c>
      <c r="L93" t="s">
        <v>627</v>
      </c>
      <c r="M93" t="s">
        <v>479</v>
      </c>
      <c r="P93" t="s">
        <v>903</v>
      </c>
      <c r="Q93" t="s">
        <v>498</v>
      </c>
      <c r="R93" t="s">
        <v>469</v>
      </c>
      <c r="S93" t="s">
        <v>482</v>
      </c>
      <c r="T93" t="s">
        <v>900</v>
      </c>
      <c r="U93" t="s">
        <v>509</v>
      </c>
      <c r="V93" t="s">
        <v>504</v>
      </c>
      <c r="W93" t="s">
        <v>888</v>
      </c>
      <c r="X93" t="s">
        <v>509</v>
      </c>
      <c r="Y93" t="s">
        <v>882</v>
      </c>
      <c r="Z93" t="s">
        <v>648</v>
      </c>
      <c r="AA93" t="s">
        <v>498</v>
      </c>
      <c r="AB93" t="s">
        <v>883</v>
      </c>
      <c r="AC93" t="s">
        <v>882</v>
      </c>
      <c r="AE93" t="s">
        <v>521</v>
      </c>
      <c r="AF93" t="s">
        <v>469</v>
      </c>
      <c r="AH93" t="s">
        <v>469</v>
      </c>
      <c r="AI93" t="s">
        <v>648</v>
      </c>
      <c r="AJ93" t="s">
        <v>882</v>
      </c>
      <c r="AK93" t="s">
        <v>904</v>
      </c>
    </row>
    <row r="94" spans="1:37" ht="16.5" customHeight="1">
      <c r="A94" s="348" t="s">
        <v>1271</v>
      </c>
      <c r="B94" t="s">
        <v>319</v>
      </c>
      <c r="C94" t="s">
        <v>735</v>
      </c>
      <c r="D94" t="s">
        <v>475</v>
      </c>
      <c r="E94" t="s">
        <v>905</v>
      </c>
      <c r="F94" t="s">
        <v>737</v>
      </c>
      <c r="G94" t="s">
        <v>469</v>
      </c>
      <c r="H94" t="s">
        <v>469</v>
      </c>
      <c r="I94" t="s">
        <v>906</v>
      </c>
      <c r="J94" s="349" t="s">
        <v>1272</v>
      </c>
      <c r="K94" t="s">
        <v>516</v>
      </c>
      <c r="L94" t="s">
        <v>627</v>
      </c>
      <c r="M94" t="s">
        <v>479</v>
      </c>
      <c r="N94" t="s">
        <v>907</v>
      </c>
      <c r="P94" t="s">
        <v>908</v>
      </c>
      <c r="Q94" t="s">
        <v>498</v>
      </c>
      <c r="R94" t="s">
        <v>469</v>
      </c>
      <c r="S94" t="s">
        <v>482</v>
      </c>
      <c r="T94" t="s">
        <v>483</v>
      </c>
      <c r="U94" t="s">
        <v>499</v>
      </c>
      <c r="V94" t="s">
        <v>504</v>
      </c>
      <c r="W94" t="s">
        <v>888</v>
      </c>
      <c r="X94" t="s">
        <v>499</v>
      </c>
      <c r="Y94" t="s">
        <v>909</v>
      </c>
      <c r="Z94" t="s">
        <v>648</v>
      </c>
      <c r="AA94" t="s">
        <v>498</v>
      </c>
      <c r="AB94" t="s">
        <v>888</v>
      </c>
      <c r="AC94" t="s">
        <v>909</v>
      </c>
      <c r="AE94" t="s">
        <v>521</v>
      </c>
      <c r="AF94" t="s">
        <v>469</v>
      </c>
      <c r="AH94" t="s">
        <v>469</v>
      </c>
      <c r="AI94" t="s">
        <v>648</v>
      </c>
      <c r="AJ94" t="s">
        <v>909</v>
      </c>
      <c r="AK94" t="s">
        <v>910</v>
      </c>
    </row>
    <row r="95" spans="1:37" ht="16.5" customHeight="1">
      <c r="A95" s="348" t="s">
        <v>1271</v>
      </c>
      <c r="B95" t="s">
        <v>320</v>
      </c>
      <c r="C95" t="s">
        <v>735</v>
      </c>
      <c r="D95" t="s">
        <v>475</v>
      </c>
      <c r="E95" t="s">
        <v>757</v>
      </c>
      <c r="F95" t="s">
        <v>737</v>
      </c>
      <c r="G95" t="s">
        <v>469</v>
      </c>
      <c r="H95" t="s">
        <v>469</v>
      </c>
      <c r="I95" t="s">
        <v>911</v>
      </c>
      <c r="J95" s="349" t="s">
        <v>1272</v>
      </c>
      <c r="K95" t="s">
        <v>1337</v>
      </c>
      <c r="L95" t="s">
        <v>815</v>
      </c>
      <c r="M95" t="s">
        <v>479</v>
      </c>
      <c r="P95" t="s">
        <v>912</v>
      </c>
      <c r="Q95" t="s">
        <v>740</v>
      </c>
      <c r="R95" t="s">
        <v>469</v>
      </c>
      <c r="S95" t="s">
        <v>741</v>
      </c>
      <c r="T95" t="s">
        <v>913</v>
      </c>
      <c r="U95" t="s">
        <v>499</v>
      </c>
      <c r="V95" t="s">
        <v>504</v>
      </c>
      <c r="W95" t="s">
        <v>888</v>
      </c>
      <c r="X95" t="s">
        <v>727</v>
      </c>
      <c r="Y95" t="s">
        <v>539</v>
      </c>
      <c r="AC95" t="s">
        <v>521</v>
      </c>
      <c r="AE95" t="s">
        <v>521</v>
      </c>
      <c r="AF95" t="s">
        <v>469</v>
      </c>
      <c r="AH95" t="s">
        <v>469</v>
      </c>
      <c r="AI95" t="s">
        <v>499</v>
      </c>
      <c r="AJ95" t="s">
        <v>539</v>
      </c>
      <c r="AK95" t="s">
        <v>914</v>
      </c>
    </row>
    <row r="96" spans="1:37" ht="16.5" customHeight="1">
      <c r="A96" s="348" t="s">
        <v>1271</v>
      </c>
      <c r="B96" t="s">
        <v>915</v>
      </c>
      <c r="C96" t="s">
        <v>735</v>
      </c>
      <c r="D96" t="s">
        <v>475</v>
      </c>
      <c r="E96" t="s">
        <v>469</v>
      </c>
      <c r="F96" t="s">
        <v>737</v>
      </c>
      <c r="G96" t="s">
        <v>469</v>
      </c>
      <c r="H96" t="s">
        <v>469</v>
      </c>
      <c r="I96" t="s">
        <v>916</v>
      </c>
      <c r="J96" s="349" t="s">
        <v>1272</v>
      </c>
      <c r="K96" t="s">
        <v>516</v>
      </c>
      <c r="L96" t="s">
        <v>627</v>
      </c>
      <c r="M96" t="s">
        <v>479</v>
      </c>
      <c r="P96" t="s">
        <v>917</v>
      </c>
      <c r="Q96" t="s">
        <v>740</v>
      </c>
      <c r="R96" t="s">
        <v>469</v>
      </c>
      <c r="S96" t="s">
        <v>741</v>
      </c>
      <c r="T96" t="s">
        <v>742</v>
      </c>
      <c r="U96" t="s">
        <v>484</v>
      </c>
      <c r="V96" t="s">
        <v>539</v>
      </c>
      <c r="W96" t="s">
        <v>888</v>
      </c>
      <c r="X96" t="s">
        <v>744</v>
      </c>
      <c r="Y96" t="s">
        <v>745</v>
      </c>
      <c r="AC96" t="s">
        <v>521</v>
      </c>
      <c r="AE96" t="s">
        <v>521</v>
      </c>
      <c r="AF96" t="s">
        <v>469</v>
      </c>
      <c r="AH96" t="s">
        <v>469</v>
      </c>
      <c r="AI96" t="s">
        <v>489</v>
      </c>
      <c r="AJ96" t="s">
        <v>745</v>
      </c>
      <c r="AK96" t="s">
        <v>918</v>
      </c>
    </row>
    <row r="97" spans="1:37" ht="16.5" customHeight="1">
      <c r="A97" s="348" t="s">
        <v>1271</v>
      </c>
      <c r="B97" t="s">
        <v>919</v>
      </c>
      <c r="C97" t="s">
        <v>735</v>
      </c>
      <c r="D97" t="s">
        <v>475</v>
      </c>
      <c r="E97" t="s">
        <v>469</v>
      </c>
      <c r="F97" t="s">
        <v>737</v>
      </c>
      <c r="G97" t="s">
        <v>469</v>
      </c>
      <c r="H97" t="s">
        <v>469</v>
      </c>
      <c r="I97" t="s">
        <v>920</v>
      </c>
      <c r="J97" s="349" t="s">
        <v>1272</v>
      </c>
      <c r="K97" t="s">
        <v>516</v>
      </c>
      <c r="L97" t="s">
        <v>627</v>
      </c>
      <c r="M97" t="s">
        <v>479</v>
      </c>
      <c r="P97" t="s">
        <v>921</v>
      </c>
      <c r="Q97" t="s">
        <v>498</v>
      </c>
      <c r="R97" t="s">
        <v>469</v>
      </c>
      <c r="S97" t="s">
        <v>482</v>
      </c>
      <c r="T97" t="s">
        <v>900</v>
      </c>
      <c r="U97" t="s">
        <v>484</v>
      </c>
      <c r="V97" t="s">
        <v>539</v>
      </c>
      <c r="W97" t="s">
        <v>888</v>
      </c>
      <c r="X97" t="s">
        <v>484</v>
      </c>
      <c r="Y97" t="s">
        <v>882</v>
      </c>
      <c r="Z97" t="s">
        <v>648</v>
      </c>
      <c r="AA97" t="s">
        <v>498</v>
      </c>
      <c r="AB97" t="s">
        <v>883</v>
      </c>
      <c r="AC97" t="s">
        <v>882</v>
      </c>
      <c r="AE97" t="s">
        <v>521</v>
      </c>
      <c r="AF97" t="s">
        <v>469</v>
      </c>
      <c r="AH97" t="s">
        <v>469</v>
      </c>
      <c r="AI97" t="s">
        <v>648</v>
      </c>
      <c r="AJ97" t="s">
        <v>882</v>
      </c>
      <c r="AK97" t="s">
        <v>922</v>
      </c>
    </row>
    <row r="98" spans="1:37" ht="16.5" customHeight="1">
      <c r="A98" s="348" t="s">
        <v>1271</v>
      </c>
      <c r="B98" t="s">
        <v>923</v>
      </c>
      <c r="C98" t="s">
        <v>735</v>
      </c>
      <c r="D98" t="s">
        <v>475</v>
      </c>
      <c r="E98" t="s">
        <v>469</v>
      </c>
      <c r="F98" t="s">
        <v>737</v>
      </c>
      <c r="G98" t="s">
        <v>469</v>
      </c>
      <c r="H98" t="s">
        <v>469</v>
      </c>
      <c r="I98" t="s">
        <v>924</v>
      </c>
      <c r="J98" s="349" t="s">
        <v>1272</v>
      </c>
      <c r="K98" t="s">
        <v>516</v>
      </c>
      <c r="L98" t="s">
        <v>627</v>
      </c>
      <c r="M98" t="s">
        <v>479</v>
      </c>
      <c r="P98" t="s">
        <v>925</v>
      </c>
      <c r="Q98" t="s">
        <v>498</v>
      </c>
      <c r="R98" t="s">
        <v>469</v>
      </c>
      <c r="S98" t="s">
        <v>482</v>
      </c>
      <c r="T98" t="s">
        <v>900</v>
      </c>
      <c r="U98" t="s">
        <v>509</v>
      </c>
      <c r="V98" t="s">
        <v>539</v>
      </c>
      <c r="W98" t="s">
        <v>888</v>
      </c>
      <c r="X98" t="s">
        <v>509</v>
      </c>
      <c r="Y98" t="s">
        <v>745</v>
      </c>
      <c r="Z98" t="s">
        <v>648</v>
      </c>
      <c r="AA98" t="s">
        <v>498</v>
      </c>
      <c r="AB98" t="s">
        <v>888</v>
      </c>
      <c r="AC98" t="s">
        <v>745</v>
      </c>
      <c r="AE98" t="s">
        <v>521</v>
      </c>
      <c r="AF98" t="s">
        <v>469</v>
      </c>
      <c r="AH98" t="s">
        <v>469</v>
      </c>
      <c r="AI98" t="s">
        <v>648</v>
      </c>
      <c r="AJ98" t="s">
        <v>745</v>
      </c>
      <c r="AK98" t="s">
        <v>926</v>
      </c>
    </row>
    <row r="99" spans="1:37" ht="16.5" customHeight="1">
      <c r="A99" s="348" t="s">
        <v>1271</v>
      </c>
      <c r="B99" t="s">
        <v>927</v>
      </c>
      <c r="C99" t="s">
        <v>735</v>
      </c>
      <c r="D99" t="s">
        <v>475</v>
      </c>
      <c r="E99" t="s">
        <v>469</v>
      </c>
      <c r="F99" t="s">
        <v>737</v>
      </c>
      <c r="G99" t="s">
        <v>469</v>
      </c>
      <c r="H99" t="s">
        <v>469</v>
      </c>
      <c r="I99" t="s">
        <v>928</v>
      </c>
      <c r="J99" s="349" t="s">
        <v>1272</v>
      </c>
      <c r="K99" t="s">
        <v>516</v>
      </c>
      <c r="L99" t="s">
        <v>627</v>
      </c>
      <c r="M99" t="s">
        <v>479</v>
      </c>
      <c r="P99" t="s">
        <v>929</v>
      </c>
      <c r="Q99" t="s">
        <v>498</v>
      </c>
      <c r="R99" t="s">
        <v>469</v>
      </c>
      <c r="S99" t="s">
        <v>482</v>
      </c>
      <c r="T99" t="s">
        <v>900</v>
      </c>
      <c r="U99" t="s">
        <v>484</v>
      </c>
      <c r="V99" t="s">
        <v>539</v>
      </c>
      <c r="W99" t="s">
        <v>888</v>
      </c>
      <c r="X99" t="s">
        <v>484</v>
      </c>
      <c r="Y99" t="s">
        <v>882</v>
      </c>
      <c r="Z99" t="s">
        <v>648</v>
      </c>
      <c r="AA99" t="s">
        <v>498</v>
      </c>
      <c r="AB99" t="s">
        <v>883</v>
      </c>
      <c r="AC99" t="s">
        <v>882</v>
      </c>
      <c r="AE99" t="s">
        <v>521</v>
      </c>
      <c r="AF99" t="s">
        <v>469</v>
      </c>
      <c r="AH99" t="s">
        <v>469</v>
      </c>
      <c r="AI99" t="s">
        <v>648</v>
      </c>
      <c r="AJ99" t="s">
        <v>882</v>
      </c>
    </row>
    <row r="100" spans="1:37" ht="16.5" customHeight="1">
      <c r="A100" s="348" t="s">
        <v>1271</v>
      </c>
      <c r="B100" t="s">
        <v>930</v>
      </c>
      <c r="C100" t="s">
        <v>735</v>
      </c>
      <c r="D100" t="s">
        <v>475</v>
      </c>
      <c r="E100" t="s">
        <v>757</v>
      </c>
      <c r="F100" t="s">
        <v>737</v>
      </c>
      <c r="G100" t="s">
        <v>469</v>
      </c>
      <c r="H100" t="s">
        <v>469</v>
      </c>
      <c r="I100" t="s">
        <v>931</v>
      </c>
      <c r="J100" s="349" t="s">
        <v>1272</v>
      </c>
      <c r="K100" t="s">
        <v>1337</v>
      </c>
      <c r="L100" t="s">
        <v>815</v>
      </c>
      <c r="M100" t="s">
        <v>479</v>
      </c>
      <c r="P100" t="s">
        <v>932</v>
      </c>
      <c r="Q100" t="s">
        <v>740</v>
      </c>
      <c r="R100" t="s">
        <v>469</v>
      </c>
      <c r="S100" t="s">
        <v>741</v>
      </c>
      <c r="T100" t="s">
        <v>742</v>
      </c>
      <c r="U100" t="s">
        <v>499</v>
      </c>
      <c r="V100" t="s">
        <v>539</v>
      </c>
      <c r="W100" t="s">
        <v>888</v>
      </c>
      <c r="X100" t="s">
        <v>744</v>
      </c>
      <c r="Y100" t="s">
        <v>745</v>
      </c>
      <c r="AC100" t="s">
        <v>521</v>
      </c>
      <c r="AE100" t="s">
        <v>521</v>
      </c>
      <c r="AF100" t="s">
        <v>469</v>
      </c>
      <c r="AH100" t="s">
        <v>469</v>
      </c>
      <c r="AI100" t="s">
        <v>489</v>
      </c>
      <c r="AJ100" t="s">
        <v>745</v>
      </c>
      <c r="AK100" t="s">
        <v>933</v>
      </c>
    </row>
    <row r="101" spans="1:37" ht="16.5" customHeight="1">
      <c r="A101" s="348" t="s">
        <v>1271</v>
      </c>
      <c r="B101" t="s">
        <v>934</v>
      </c>
      <c r="C101" t="s">
        <v>735</v>
      </c>
      <c r="D101" t="s">
        <v>475</v>
      </c>
      <c r="E101" t="s">
        <v>469</v>
      </c>
      <c r="F101" t="s">
        <v>737</v>
      </c>
      <c r="G101" t="s">
        <v>469</v>
      </c>
      <c r="H101" t="s">
        <v>469</v>
      </c>
      <c r="I101" t="s">
        <v>935</v>
      </c>
      <c r="J101" s="349" t="s">
        <v>1272</v>
      </c>
      <c r="K101" t="s">
        <v>516</v>
      </c>
      <c r="L101" t="s">
        <v>627</v>
      </c>
      <c r="M101" t="s">
        <v>479</v>
      </c>
      <c r="P101" t="s">
        <v>936</v>
      </c>
      <c r="Q101" t="s">
        <v>498</v>
      </c>
      <c r="R101" t="s">
        <v>469</v>
      </c>
      <c r="S101" t="s">
        <v>482</v>
      </c>
      <c r="T101" t="s">
        <v>900</v>
      </c>
      <c r="U101" t="s">
        <v>484</v>
      </c>
      <c r="V101" t="s">
        <v>539</v>
      </c>
      <c r="W101" t="s">
        <v>888</v>
      </c>
      <c r="X101" t="s">
        <v>484</v>
      </c>
      <c r="Y101" t="s">
        <v>882</v>
      </c>
      <c r="Z101" t="s">
        <v>648</v>
      </c>
      <c r="AA101" t="s">
        <v>498</v>
      </c>
      <c r="AB101" t="s">
        <v>883</v>
      </c>
      <c r="AC101" t="s">
        <v>882</v>
      </c>
      <c r="AE101" t="s">
        <v>521</v>
      </c>
      <c r="AF101" t="s">
        <v>469</v>
      </c>
      <c r="AH101" t="s">
        <v>469</v>
      </c>
      <c r="AI101" t="s">
        <v>648</v>
      </c>
      <c r="AJ101" t="s">
        <v>882</v>
      </c>
      <c r="AK101" t="s">
        <v>937</v>
      </c>
    </row>
    <row r="102" spans="1:37" ht="16.5" customHeight="1">
      <c r="A102" s="348" t="s">
        <v>1271</v>
      </c>
      <c r="B102" t="s">
        <v>938</v>
      </c>
      <c r="C102" t="s">
        <v>735</v>
      </c>
      <c r="D102" t="s">
        <v>475</v>
      </c>
      <c r="E102" t="s">
        <v>469</v>
      </c>
      <c r="F102" t="s">
        <v>737</v>
      </c>
      <c r="G102" t="s">
        <v>469</v>
      </c>
      <c r="H102" t="s">
        <v>469</v>
      </c>
      <c r="I102" t="s">
        <v>939</v>
      </c>
      <c r="J102" s="349" t="s">
        <v>1272</v>
      </c>
      <c r="K102" t="s">
        <v>516</v>
      </c>
      <c r="L102" t="s">
        <v>627</v>
      </c>
      <c r="M102" t="s">
        <v>479</v>
      </c>
      <c r="P102" t="s">
        <v>940</v>
      </c>
      <c r="Q102" t="s">
        <v>498</v>
      </c>
      <c r="R102" t="s">
        <v>469</v>
      </c>
      <c r="S102" t="s">
        <v>482</v>
      </c>
      <c r="T102" t="s">
        <v>900</v>
      </c>
      <c r="U102" t="s">
        <v>509</v>
      </c>
      <c r="V102" t="s">
        <v>539</v>
      </c>
      <c r="W102" t="s">
        <v>888</v>
      </c>
      <c r="X102" t="s">
        <v>509</v>
      </c>
      <c r="Y102" t="s">
        <v>882</v>
      </c>
      <c r="Z102" t="s">
        <v>648</v>
      </c>
      <c r="AA102" t="s">
        <v>498</v>
      </c>
      <c r="AB102" t="s">
        <v>883</v>
      </c>
      <c r="AC102" t="s">
        <v>882</v>
      </c>
      <c r="AE102" t="s">
        <v>521</v>
      </c>
      <c r="AF102" t="s">
        <v>469</v>
      </c>
      <c r="AH102" t="s">
        <v>469</v>
      </c>
      <c r="AI102" t="s">
        <v>648</v>
      </c>
      <c r="AJ102" t="s">
        <v>882</v>
      </c>
    </row>
    <row r="103" spans="1:37" ht="16.5" customHeight="1">
      <c r="A103" s="348" t="s">
        <v>1271</v>
      </c>
      <c r="B103" t="s">
        <v>941</v>
      </c>
      <c r="C103" t="s">
        <v>735</v>
      </c>
      <c r="D103" t="s">
        <v>475</v>
      </c>
      <c r="E103" t="s">
        <v>469</v>
      </c>
      <c r="F103" t="s">
        <v>737</v>
      </c>
      <c r="G103" t="s">
        <v>469</v>
      </c>
      <c r="H103" t="s">
        <v>469</v>
      </c>
      <c r="I103" t="s">
        <v>942</v>
      </c>
      <c r="J103" s="349" t="s">
        <v>1272</v>
      </c>
      <c r="K103" t="s">
        <v>516</v>
      </c>
      <c r="L103" t="s">
        <v>627</v>
      </c>
      <c r="M103" t="s">
        <v>479</v>
      </c>
      <c r="P103" t="s">
        <v>943</v>
      </c>
      <c r="Q103" t="s">
        <v>498</v>
      </c>
      <c r="R103" t="s">
        <v>469</v>
      </c>
      <c r="S103" t="s">
        <v>482</v>
      </c>
      <c r="T103" t="s">
        <v>483</v>
      </c>
      <c r="U103" t="s">
        <v>484</v>
      </c>
      <c r="V103" t="s">
        <v>539</v>
      </c>
      <c r="W103" t="s">
        <v>888</v>
      </c>
      <c r="X103" t="s">
        <v>484</v>
      </c>
      <c r="Y103" t="s">
        <v>869</v>
      </c>
      <c r="Z103" t="s">
        <v>489</v>
      </c>
      <c r="AA103" t="s">
        <v>498</v>
      </c>
      <c r="AB103" t="s">
        <v>818</v>
      </c>
      <c r="AC103" t="s">
        <v>869</v>
      </c>
      <c r="AE103" t="s">
        <v>521</v>
      </c>
      <c r="AF103" t="s">
        <v>469</v>
      </c>
      <c r="AH103" t="s">
        <v>469</v>
      </c>
      <c r="AI103" t="s">
        <v>489</v>
      </c>
      <c r="AJ103" t="s">
        <v>882</v>
      </c>
      <c r="AK103" t="s">
        <v>944</v>
      </c>
    </row>
    <row r="104" spans="1:37" ht="16.5" customHeight="1">
      <c r="A104" s="348" t="s">
        <v>1271</v>
      </c>
      <c r="B104" t="s">
        <v>945</v>
      </c>
      <c r="C104" t="s">
        <v>735</v>
      </c>
      <c r="D104" t="s">
        <v>475</v>
      </c>
      <c r="E104" t="s">
        <v>772</v>
      </c>
      <c r="F104" t="s">
        <v>737</v>
      </c>
      <c r="G104" t="s">
        <v>469</v>
      </c>
      <c r="H104" t="s">
        <v>469</v>
      </c>
      <c r="I104" t="s">
        <v>946</v>
      </c>
      <c r="J104" s="349" t="s">
        <v>1272</v>
      </c>
      <c r="K104" t="s">
        <v>1337</v>
      </c>
      <c r="L104" t="s">
        <v>815</v>
      </c>
      <c r="M104" t="s">
        <v>479</v>
      </c>
      <c r="P104" t="s">
        <v>947</v>
      </c>
      <c r="Q104" t="s">
        <v>740</v>
      </c>
      <c r="R104" t="s">
        <v>469</v>
      </c>
      <c r="S104" t="s">
        <v>741</v>
      </c>
      <c r="T104" t="s">
        <v>742</v>
      </c>
      <c r="U104" t="s">
        <v>499</v>
      </c>
      <c r="V104" t="s">
        <v>539</v>
      </c>
      <c r="W104" t="s">
        <v>888</v>
      </c>
      <c r="X104" t="s">
        <v>744</v>
      </c>
      <c r="Y104" t="s">
        <v>745</v>
      </c>
      <c r="AC104" t="s">
        <v>521</v>
      </c>
      <c r="AE104" t="s">
        <v>521</v>
      </c>
      <c r="AF104" t="s">
        <v>469</v>
      </c>
      <c r="AH104" t="s">
        <v>469</v>
      </c>
      <c r="AI104" t="s">
        <v>489</v>
      </c>
      <c r="AJ104" t="s">
        <v>745</v>
      </c>
      <c r="AK104" t="s">
        <v>948</v>
      </c>
    </row>
    <row r="105" spans="1:37" ht="16.5" customHeight="1">
      <c r="A105" s="348" t="s">
        <v>1271</v>
      </c>
      <c r="B105" t="s">
        <v>949</v>
      </c>
      <c r="C105" t="s">
        <v>735</v>
      </c>
      <c r="D105" t="s">
        <v>475</v>
      </c>
      <c r="E105" t="s">
        <v>469</v>
      </c>
      <c r="F105" t="s">
        <v>737</v>
      </c>
      <c r="G105" t="s">
        <v>469</v>
      </c>
      <c r="H105" t="s">
        <v>469</v>
      </c>
      <c r="I105" t="s">
        <v>950</v>
      </c>
      <c r="J105" s="349" t="s">
        <v>1272</v>
      </c>
      <c r="K105" t="s">
        <v>516</v>
      </c>
      <c r="L105" t="s">
        <v>627</v>
      </c>
      <c r="M105" t="s">
        <v>479</v>
      </c>
      <c r="P105" t="s">
        <v>726</v>
      </c>
      <c r="Q105" t="s">
        <v>498</v>
      </c>
      <c r="R105" t="s">
        <v>469</v>
      </c>
      <c r="S105" t="s">
        <v>482</v>
      </c>
      <c r="T105" t="s">
        <v>483</v>
      </c>
      <c r="U105" t="s">
        <v>509</v>
      </c>
      <c r="V105" t="s">
        <v>539</v>
      </c>
      <c r="W105" t="s">
        <v>888</v>
      </c>
      <c r="X105" t="s">
        <v>509</v>
      </c>
      <c r="Y105" t="s">
        <v>951</v>
      </c>
      <c r="Z105" t="s">
        <v>723</v>
      </c>
      <c r="AA105" t="s">
        <v>498</v>
      </c>
      <c r="AB105" t="s">
        <v>818</v>
      </c>
      <c r="AC105" t="s">
        <v>951</v>
      </c>
      <c r="AE105" t="s">
        <v>521</v>
      </c>
      <c r="AF105" t="s">
        <v>469</v>
      </c>
      <c r="AH105" t="s">
        <v>469</v>
      </c>
      <c r="AI105" t="s">
        <v>723</v>
      </c>
      <c r="AJ105" t="s">
        <v>951</v>
      </c>
    </row>
    <row r="106" spans="1:37" ht="16.5" customHeight="1">
      <c r="A106" s="348" t="s">
        <v>1271</v>
      </c>
      <c r="B106" t="s">
        <v>321</v>
      </c>
      <c r="C106" t="s">
        <v>735</v>
      </c>
      <c r="D106" t="s">
        <v>475</v>
      </c>
      <c r="E106" t="s">
        <v>952</v>
      </c>
      <c r="F106" t="s">
        <v>737</v>
      </c>
      <c r="G106" t="s">
        <v>469</v>
      </c>
      <c r="H106" t="s">
        <v>469</v>
      </c>
      <c r="I106" t="s">
        <v>953</v>
      </c>
      <c r="J106" s="349" t="s">
        <v>1272</v>
      </c>
      <c r="K106" t="s">
        <v>516</v>
      </c>
      <c r="L106" t="s">
        <v>627</v>
      </c>
      <c r="M106" t="s">
        <v>479</v>
      </c>
      <c r="P106" t="s">
        <v>954</v>
      </c>
      <c r="Q106" t="s">
        <v>498</v>
      </c>
      <c r="R106" t="s">
        <v>469</v>
      </c>
      <c r="S106" t="s">
        <v>482</v>
      </c>
      <c r="T106" t="s">
        <v>483</v>
      </c>
      <c r="U106" t="s">
        <v>499</v>
      </c>
      <c r="V106" t="s">
        <v>539</v>
      </c>
      <c r="W106" t="s">
        <v>888</v>
      </c>
      <c r="X106" t="s">
        <v>499</v>
      </c>
      <c r="Y106" t="s">
        <v>882</v>
      </c>
      <c r="Z106" t="s">
        <v>489</v>
      </c>
      <c r="AA106" t="s">
        <v>498</v>
      </c>
      <c r="AB106" t="s">
        <v>883</v>
      </c>
      <c r="AC106" t="s">
        <v>882</v>
      </c>
      <c r="AE106" t="s">
        <v>521</v>
      </c>
      <c r="AF106" t="s">
        <v>469</v>
      </c>
      <c r="AH106" t="s">
        <v>469</v>
      </c>
      <c r="AI106" t="s">
        <v>489</v>
      </c>
      <c r="AJ106" t="s">
        <v>882</v>
      </c>
      <c r="AK106" t="s">
        <v>955</v>
      </c>
    </row>
    <row r="107" spans="1:37" ht="16.5" customHeight="1">
      <c r="A107" s="348" t="s">
        <v>1271</v>
      </c>
      <c r="B107" t="s">
        <v>322</v>
      </c>
      <c r="C107" t="s">
        <v>735</v>
      </c>
      <c r="D107" t="s">
        <v>475</v>
      </c>
      <c r="E107" t="s">
        <v>956</v>
      </c>
      <c r="F107" t="s">
        <v>737</v>
      </c>
      <c r="G107" t="s">
        <v>469</v>
      </c>
      <c r="H107" t="s">
        <v>469</v>
      </c>
      <c r="I107" t="s">
        <v>957</v>
      </c>
      <c r="J107" s="349" t="s">
        <v>1272</v>
      </c>
      <c r="K107" t="s">
        <v>516</v>
      </c>
      <c r="L107" t="s">
        <v>627</v>
      </c>
      <c r="M107" t="s">
        <v>479</v>
      </c>
      <c r="P107" t="s">
        <v>958</v>
      </c>
      <c r="Q107" t="s">
        <v>498</v>
      </c>
      <c r="R107" t="s">
        <v>469</v>
      </c>
      <c r="S107" t="s">
        <v>482</v>
      </c>
      <c r="T107" t="s">
        <v>900</v>
      </c>
      <c r="U107" t="s">
        <v>499</v>
      </c>
      <c r="V107" t="s">
        <v>539</v>
      </c>
      <c r="W107" t="s">
        <v>888</v>
      </c>
      <c r="X107" t="s">
        <v>499</v>
      </c>
      <c r="Y107" t="s">
        <v>745</v>
      </c>
      <c r="Z107" t="s">
        <v>648</v>
      </c>
      <c r="AA107" t="s">
        <v>498</v>
      </c>
      <c r="AB107" t="s">
        <v>888</v>
      </c>
      <c r="AC107" t="s">
        <v>745</v>
      </c>
      <c r="AE107" t="s">
        <v>521</v>
      </c>
      <c r="AF107" t="s">
        <v>469</v>
      </c>
      <c r="AH107" t="s">
        <v>469</v>
      </c>
      <c r="AI107" t="s">
        <v>648</v>
      </c>
      <c r="AJ107" t="s">
        <v>745</v>
      </c>
      <c r="AK107" t="s">
        <v>959</v>
      </c>
    </row>
    <row r="108" spans="1:37" ht="16.5" customHeight="1">
      <c r="A108" s="348" t="s">
        <v>1271</v>
      </c>
      <c r="B108" t="s">
        <v>960</v>
      </c>
      <c r="C108" t="s">
        <v>735</v>
      </c>
      <c r="D108" t="s">
        <v>475</v>
      </c>
      <c r="E108" t="s">
        <v>956</v>
      </c>
      <c r="F108" t="s">
        <v>737</v>
      </c>
      <c r="G108" t="s">
        <v>469</v>
      </c>
      <c r="H108" t="s">
        <v>469</v>
      </c>
      <c r="I108" t="s">
        <v>961</v>
      </c>
      <c r="J108" s="349" t="s">
        <v>1272</v>
      </c>
      <c r="K108" t="s">
        <v>516</v>
      </c>
      <c r="L108" t="s">
        <v>627</v>
      </c>
      <c r="M108" t="s">
        <v>479</v>
      </c>
      <c r="P108" t="s">
        <v>962</v>
      </c>
      <c r="Q108" t="s">
        <v>498</v>
      </c>
      <c r="R108" t="s">
        <v>469</v>
      </c>
      <c r="S108" t="s">
        <v>482</v>
      </c>
      <c r="T108" t="s">
        <v>900</v>
      </c>
      <c r="U108" t="s">
        <v>499</v>
      </c>
      <c r="V108" t="s">
        <v>539</v>
      </c>
      <c r="W108" t="s">
        <v>888</v>
      </c>
      <c r="X108" t="s">
        <v>499</v>
      </c>
      <c r="Y108" t="s">
        <v>882</v>
      </c>
      <c r="Z108" t="s">
        <v>648</v>
      </c>
      <c r="AA108" t="s">
        <v>498</v>
      </c>
      <c r="AB108" t="s">
        <v>883</v>
      </c>
      <c r="AC108" t="s">
        <v>882</v>
      </c>
      <c r="AE108" t="s">
        <v>521</v>
      </c>
      <c r="AF108" t="s">
        <v>469</v>
      </c>
      <c r="AH108" t="s">
        <v>469</v>
      </c>
      <c r="AI108" t="s">
        <v>648</v>
      </c>
      <c r="AJ108" t="s">
        <v>882</v>
      </c>
      <c r="AK108" t="s">
        <v>963</v>
      </c>
    </row>
    <row r="109" spans="1:37" ht="16.5" customHeight="1">
      <c r="A109" s="348" t="s">
        <v>1271</v>
      </c>
      <c r="B109" t="s">
        <v>964</v>
      </c>
      <c r="C109" t="s">
        <v>735</v>
      </c>
      <c r="D109" t="s">
        <v>475</v>
      </c>
      <c r="E109" t="s">
        <v>956</v>
      </c>
      <c r="F109" t="s">
        <v>737</v>
      </c>
      <c r="G109" t="s">
        <v>469</v>
      </c>
      <c r="H109" t="s">
        <v>469</v>
      </c>
      <c r="I109" t="s">
        <v>965</v>
      </c>
      <c r="J109" s="349" t="s">
        <v>1272</v>
      </c>
      <c r="K109" t="s">
        <v>1337</v>
      </c>
      <c r="L109" t="s">
        <v>815</v>
      </c>
      <c r="M109" t="s">
        <v>479</v>
      </c>
      <c r="P109" t="s">
        <v>966</v>
      </c>
      <c r="Q109" t="s">
        <v>498</v>
      </c>
      <c r="R109" t="s">
        <v>469</v>
      </c>
      <c r="S109" t="s">
        <v>482</v>
      </c>
      <c r="T109" t="s">
        <v>900</v>
      </c>
      <c r="U109" t="s">
        <v>499</v>
      </c>
      <c r="V109" t="s">
        <v>539</v>
      </c>
      <c r="W109" t="s">
        <v>888</v>
      </c>
      <c r="X109" t="s">
        <v>499</v>
      </c>
      <c r="Y109" t="s">
        <v>869</v>
      </c>
      <c r="Z109" t="s">
        <v>648</v>
      </c>
      <c r="AA109" t="s">
        <v>498</v>
      </c>
      <c r="AB109" t="s">
        <v>883</v>
      </c>
      <c r="AC109" t="s">
        <v>869</v>
      </c>
      <c r="AE109" t="s">
        <v>521</v>
      </c>
      <c r="AF109" t="s">
        <v>469</v>
      </c>
      <c r="AH109" t="s">
        <v>469</v>
      </c>
      <c r="AI109" t="s">
        <v>648</v>
      </c>
      <c r="AJ109" t="s">
        <v>869</v>
      </c>
      <c r="AK109" t="s">
        <v>967</v>
      </c>
    </row>
    <row r="110" spans="1:37" ht="16.5" customHeight="1">
      <c r="A110" s="348" t="s">
        <v>1271</v>
      </c>
      <c r="B110" t="s">
        <v>323</v>
      </c>
      <c r="C110" t="s">
        <v>735</v>
      </c>
      <c r="D110" t="s">
        <v>475</v>
      </c>
      <c r="E110" t="s">
        <v>469</v>
      </c>
      <c r="F110" t="s">
        <v>737</v>
      </c>
      <c r="G110" t="s">
        <v>469</v>
      </c>
      <c r="H110" t="s">
        <v>469</v>
      </c>
      <c r="I110" t="s">
        <v>968</v>
      </c>
      <c r="J110" s="349" t="s">
        <v>1272</v>
      </c>
      <c r="K110" t="s">
        <v>1337</v>
      </c>
      <c r="L110" t="s">
        <v>627</v>
      </c>
      <c r="M110" t="s">
        <v>479</v>
      </c>
      <c r="P110" t="s">
        <v>969</v>
      </c>
      <c r="Q110" t="s">
        <v>498</v>
      </c>
      <c r="R110" t="s">
        <v>469</v>
      </c>
      <c r="S110" t="s">
        <v>482</v>
      </c>
      <c r="T110" t="s">
        <v>483</v>
      </c>
      <c r="U110" t="s">
        <v>509</v>
      </c>
      <c r="V110" t="s">
        <v>497</v>
      </c>
      <c r="W110" t="s">
        <v>888</v>
      </c>
      <c r="X110" t="s">
        <v>509</v>
      </c>
      <c r="Y110" t="s">
        <v>970</v>
      </c>
      <c r="Z110" t="s">
        <v>971</v>
      </c>
      <c r="AA110" t="s">
        <v>972</v>
      </c>
      <c r="AB110" t="s">
        <v>818</v>
      </c>
      <c r="AC110" t="s">
        <v>970</v>
      </c>
      <c r="AE110" t="s">
        <v>521</v>
      </c>
      <c r="AF110" t="s">
        <v>469</v>
      </c>
      <c r="AH110" t="s">
        <v>469</v>
      </c>
      <c r="AI110" t="s">
        <v>971</v>
      </c>
      <c r="AJ110" t="s">
        <v>970</v>
      </c>
      <c r="AK110" t="s">
        <v>973</v>
      </c>
    </row>
    <row r="111" spans="1:37" ht="16.5" customHeight="1">
      <c r="A111" s="348" t="s">
        <v>1271</v>
      </c>
      <c r="B111" t="s">
        <v>324</v>
      </c>
      <c r="C111" t="s">
        <v>735</v>
      </c>
      <c r="D111" t="s">
        <v>475</v>
      </c>
      <c r="E111" t="s">
        <v>469</v>
      </c>
      <c r="F111" t="s">
        <v>737</v>
      </c>
      <c r="G111" t="s">
        <v>469</v>
      </c>
      <c r="H111" t="s">
        <v>469</v>
      </c>
      <c r="I111" t="s">
        <v>974</v>
      </c>
      <c r="J111" s="349" t="s">
        <v>1272</v>
      </c>
      <c r="K111" t="s">
        <v>516</v>
      </c>
      <c r="L111" t="s">
        <v>627</v>
      </c>
      <c r="M111" t="s">
        <v>479</v>
      </c>
      <c r="P111" t="s">
        <v>975</v>
      </c>
      <c r="Q111" t="s">
        <v>498</v>
      </c>
      <c r="R111" t="s">
        <v>469</v>
      </c>
      <c r="S111" t="s">
        <v>482</v>
      </c>
      <c r="T111" t="s">
        <v>900</v>
      </c>
      <c r="U111" t="s">
        <v>509</v>
      </c>
      <c r="V111" t="s">
        <v>497</v>
      </c>
      <c r="W111" t="s">
        <v>888</v>
      </c>
      <c r="X111" t="s">
        <v>509</v>
      </c>
      <c r="Y111" t="s">
        <v>882</v>
      </c>
      <c r="Z111" t="s">
        <v>648</v>
      </c>
      <c r="AA111" t="s">
        <v>498</v>
      </c>
      <c r="AB111" t="s">
        <v>883</v>
      </c>
      <c r="AC111" t="s">
        <v>882</v>
      </c>
      <c r="AE111" t="s">
        <v>521</v>
      </c>
      <c r="AF111" t="s">
        <v>469</v>
      </c>
      <c r="AH111" t="s">
        <v>469</v>
      </c>
      <c r="AI111" t="s">
        <v>648</v>
      </c>
      <c r="AJ111" t="s">
        <v>882</v>
      </c>
      <c r="AK111" t="s">
        <v>976</v>
      </c>
    </row>
    <row r="112" spans="1:37" ht="16.5" customHeight="1">
      <c r="A112" s="348" t="s">
        <v>1271</v>
      </c>
      <c r="B112" t="s">
        <v>325</v>
      </c>
      <c r="C112" t="s">
        <v>735</v>
      </c>
      <c r="D112" t="s">
        <v>475</v>
      </c>
      <c r="E112" t="s">
        <v>469</v>
      </c>
      <c r="F112" t="s">
        <v>977</v>
      </c>
      <c r="G112" t="s">
        <v>469</v>
      </c>
      <c r="H112" t="s">
        <v>469</v>
      </c>
      <c r="I112" t="s">
        <v>978</v>
      </c>
      <c r="J112" s="349" t="s">
        <v>1272</v>
      </c>
      <c r="K112" t="s">
        <v>516</v>
      </c>
      <c r="L112" t="s">
        <v>627</v>
      </c>
      <c r="M112" t="s">
        <v>479</v>
      </c>
      <c r="P112" t="s">
        <v>979</v>
      </c>
      <c r="Q112" t="s">
        <v>498</v>
      </c>
      <c r="R112" t="s">
        <v>469</v>
      </c>
      <c r="S112" t="s">
        <v>482</v>
      </c>
      <c r="T112" t="s">
        <v>483</v>
      </c>
      <c r="U112" t="s">
        <v>484</v>
      </c>
      <c r="V112" t="s">
        <v>497</v>
      </c>
      <c r="W112" t="s">
        <v>980</v>
      </c>
      <c r="X112" t="s">
        <v>484</v>
      </c>
      <c r="Y112" t="s">
        <v>909</v>
      </c>
      <c r="Z112" t="s">
        <v>744</v>
      </c>
      <c r="AA112" t="s">
        <v>498</v>
      </c>
      <c r="AB112" t="s">
        <v>981</v>
      </c>
      <c r="AC112" t="s">
        <v>909</v>
      </c>
      <c r="AE112" t="s">
        <v>521</v>
      </c>
      <c r="AF112" t="s">
        <v>469</v>
      </c>
      <c r="AH112" t="s">
        <v>469</v>
      </c>
      <c r="AI112" t="s">
        <v>744</v>
      </c>
      <c r="AJ112" t="s">
        <v>909</v>
      </c>
      <c r="AK112" t="s">
        <v>982</v>
      </c>
    </row>
    <row r="113" spans="1:37" ht="16.5" customHeight="1">
      <c r="A113" s="348" t="s">
        <v>1271</v>
      </c>
      <c r="B113" t="s">
        <v>326</v>
      </c>
      <c r="C113" t="s">
        <v>735</v>
      </c>
      <c r="D113" t="s">
        <v>475</v>
      </c>
      <c r="E113" t="s">
        <v>469</v>
      </c>
      <c r="F113" t="s">
        <v>977</v>
      </c>
      <c r="G113" t="s">
        <v>469</v>
      </c>
      <c r="H113" t="s">
        <v>469</v>
      </c>
      <c r="I113" t="s">
        <v>983</v>
      </c>
      <c r="J113" s="349" t="s">
        <v>1272</v>
      </c>
      <c r="K113" t="s">
        <v>516</v>
      </c>
      <c r="L113" t="s">
        <v>627</v>
      </c>
      <c r="M113" t="s">
        <v>479</v>
      </c>
      <c r="P113" t="s">
        <v>984</v>
      </c>
      <c r="Q113" t="s">
        <v>498</v>
      </c>
      <c r="R113" t="s">
        <v>469</v>
      </c>
      <c r="S113" t="s">
        <v>482</v>
      </c>
      <c r="T113" t="s">
        <v>483</v>
      </c>
      <c r="U113" t="s">
        <v>484</v>
      </c>
      <c r="V113" t="s">
        <v>497</v>
      </c>
      <c r="W113" t="s">
        <v>980</v>
      </c>
      <c r="X113" t="s">
        <v>484</v>
      </c>
      <c r="Y113" t="s">
        <v>909</v>
      </c>
      <c r="Z113" t="s">
        <v>744</v>
      </c>
      <c r="AA113" t="s">
        <v>498</v>
      </c>
      <c r="AB113" t="s">
        <v>981</v>
      </c>
      <c r="AC113" t="s">
        <v>909</v>
      </c>
      <c r="AE113" t="s">
        <v>521</v>
      </c>
      <c r="AF113" t="s">
        <v>469</v>
      </c>
      <c r="AH113" t="s">
        <v>469</v>
      </c>
      <c r="AI113" t="s">
        <v>744</v>
      </c>
      <c r="AJ113" t="s">
        <v>909</v>
      </c>
      <c r="AK113" t="s">
        <v>985</v>
      </c>
    </row>
    <row r="114" spans="1:37" ht="16.5" customHeight="1">
      <c r="A114" s="348" t="s">
        <v>1271</v>
      </c>
      <c r="B114" t="s">
        <v>986</v>
      </c>
      <c r="C114" t="s">
        <v>735</v>
      </c>
      <c r="D114" t="s">
        <v>475</v>
      </c>
      <c r="E114" t="s">
        <v>469</v>
      </c>
      <c r="F114" t="s">
        <v>977</v>
      </c>
      <c r="G114" t="s">
        <v>469</v>
      </c>
      <c r="H114" t="s">
        <v>469</v>
      </c>
      <c r="I114" t="s">
        <v>987</v>
      </c>
      <c r="J114" s="349" t="s">
        <v>1272</v>
      </c>
      <c r="K114" t="s">
        <v>516</v>
      </c>
      <c r="L114" t="s">
        <v>627</v>
      </c>
      <c r="M114" t="s">
        <v>479</v>
      </c>
      <c r="P114" t="s">
        <v>988</v>
      </c>
      <c r="Q114" t="s">
        <v>498</v>
      </c>
      <c r="R114" t="s">
        <v>469</v>
      </c>
      <c r="S114" t="s">
        <v>482</v>
      </c>
      <c r="T114" t="s">
        <v>483</v>
      </c>
      <c r="U114" t="s">
        <v>484</v>
      </c>
      <c r="V114" t="s">
        <v>497</v>
      </c>
      <c r="W114" t="s">
        <v>980</v>
      </c>
      <c r="X114" t="s">
        <v>484</v>
      </c>
      <c r="Y114" t="s">
        <v>909</v>
      </c>
      <c r="Z114" t="s">
        <v>744</v>
      </c>
      <c r="AA114" t="s">
        <v>498</v>
      </c>
      <c r="AB114" t="s">
        <v>981</v>
      </c>
      <c r="AC114" t="s">
        <v>909</v>
      </c>
      <c r="AE114" t="s">
        <v>521</v>
      </c>
      <c r="AF114" t="s">
        <v>469</v>
      </c>
      <c r="AH114" t="s">
        <v>469</v>
      </c>
      <c r="AI114" t="s">
        <v>744</v>
      </c>
      <c r="AJ114" t="s">
        <v>909</v>
      </c>
      <c r="AK114" t="s">
        <v>989</v>
      </c>
    </row>
    <row r="115" spans="1:37" ht="16.5" customHeight="1">
      <c r="A115" s="348" t="s">
        <v>1271</v>
      </c>
      <c r="B115" t="s">
        <v>327</v>
      </c>
      <c r="C115" t="s">
        <v>735</v>
      </c>
      <c r="D115" t="s">
        <v>475</v>
      </c>
      <c r="E115" t="s">
        <v>469</v>
      </c>
      <c r="F115" t="s">
        <v>977</v>
      </c>
      <c r="G115" t="s">
        <v>469</v>
      </c>
      <c r="H115" t="s">
        <v>469</v>
      </c>
      <c r="I115" t="s">
        <v>990</v>
      </c>
      <c r="J115" s="349" t="s">
        <v>1272</v>
      </c>
      <c r="K115" t="s">
        <v>516</v>
      </c>
      <c r="L115" t="s">
        <v>627</v>
      </c>
      <c r="M115" t="s">
        <v>479</v>
      </c>
      <c r="P115" t="s">
        <v>991</v>
      </c>
      <c r="Q115" t="s">
        <v>498</v>
      </c>
      <c r="R115" t="s">
        <v>469</v>
      </c>
      <c r="S115" t="s">
        <v>482</v>
      </c>
      <c r="T115" t="s">
        <v>483</v>
      </c>
      <c r="U115" t="s">
        <v>484</v>
      </c>
      <c r="V115" t="s">
        <v>497</v>
      </c>
      <c r="W115" t="s">
        <v>980</v>
      </c>
      <c r="X115" t="s">
        <v>484</v>
      </c>
      <c r="Y115" t="s">
        <v>909</v>
      </c>
      <c r="Z115" t="s">
        <v>744</v>
      </c>
      <c r="AA115" t="s">
        <v>498</v>
      </c>
      <c r="AB115" t="s">
        <v>981</v>
      </c>
      <c r="AC115" t="s">
        <v>909</v>
      </c>
      <c r="AE115" t="s">
        <v>521</v>
      </c>
      <c r="AF115" t="s">
        <v>469</v>
      </c>
      <c r="AH115" t="s">
        <v>469</v>
      </c>
      <c r="AI115" t="s">
        <v>744</v>
      </c>
      <c r="AJ115" t="s">
        <v>909</v>
      </c>
    </row>
    <row r="116" spans="1:37" ht="16.5" customHeight="1">
      <c r="A116" s="348" t="s">
        <v>1271</v>
      </c>
      <c r="B116" t="s">
        <v>328</v>
      </c>
      <c r="C116" t="s">
        <v>735</v>
      </c>
      <c r="D116" t="s">
        <v>475</v>
      </c>
      <c r="E116" t="s">
        <v>905</v>
      </c>
      <c r="F116" t="s">
        <v>977</v>
      </c>
      <c r="G116" t="s">
        <v>469</v>
      </c>
      <c r="H116" t="s">
        <v>469</v>
      </c>
      <c r="I116" t="s">
        <v>992</v>
      </c>
      <c r="J116" s="349" t="s">
        <v>1272</v>
      </c>
      <c r="K116" t="s">
        <v>516</v>
      </c>
      <c r="M116" t="s">
        <v>816</v>
      </c>
      <c r="P116" t="s">
        <v>993</v>
      </c>
      <c r="Q116" t="s">
        <v>498</v>
      </c>
      <c r="R116" t="s">
        <v>469</v>
      </c>
      <c r="S116" t="s">
        <v>482</v>
      </c>
      <c r="T116" t="s">
        <v>483</v>
      </c>
      <c r="U116" t="s">
        <v>994</v>
      </c>
      <c r="V116" t="s">
        <v>497</v>
      </c>
      <c r="W116" t="s">
        <v>980</v>
      </c>
      <c r="X116" t="s">
        <v>994</v>
      </c>
      <c r="Y116" t="s">
        <v>629</v>
      </c>
      <c r="Z116" t="s">
        <v>744</v>
      </c>
      <c r="AA116" t="s">
        <v>498</v>
      </c>
      <c r="AB116" t="s">
        <v>981</v>
      </c>
      <c r="AC116" t="s">
        <v>629</v>
      </c>
      <c r="AE116" t="s">
        <v>521</v>
      </c>
      <c r="AF116" t="s">
        <v>469</v>
      </c>
      <c r="AH116" t="s">
        <v>469</v>
      </c>
      <c r="AI116" t="s">
        <v>744</v>
      </c>
      <c r="AJ116" t="s">
        <v>629</v>
      </c>
      <c r="AK116" t="s">
        <v>995</v>
      </c>
    </row>
    <row r="117" spans="1:37" ht="16.5" customHeight="1">
      <c r="A117" s="348" t="s">
        <v>1271</v>
      </c>
      <c r="B117" t="s">
        <v>329</v>
      </c>
      <c r="C117" t="s">
        <v>735</v>
      </c>
      <c r="D117" t="s">
        <v>475</v>
      </c>
      <c r="E117" t="s">
        <v>757</v>
      </c>
      <c r="F117" t="s">
        <v>977</v>
      </c>
      <c r="G117" t="s">
        <v>469</v>
      </c>
      <c r="H117" t="s">
        <v>469</v>
      </c>
      <c r="I117" t="s">
        <v>996</v>
      </c>
      <c r="J117" s="349" t="s">
        <v>1272</v>
      </c>
      <c r="K117" t="s">
        <v>516</v>
      </c>
      <c r="M117" t="s">
        <v>997</v>
      </c>
      <c r="P117" t="s">
        <v>998</v>
      </c>
      <c r="Q117" t="s">
        <v>498</v>
      </c>
      <c r="R117" t="s">
        <v>469</v>
      </c>
      <c r="S117" t="s">
        <v>482</v>
      </c>
      <c r="T117" t="s">
        <v>483</v>
      </c>
      <c r="U117" t="s">
        <v>994</v>
      </c>
      <c r="V117" t="s">
        <v>497</v>
      </c>
      <c r="W117" t="s">
        <v>980</v>
      </c>
      <c r="X117" t="s">
        <v>994</v>
      </c>
      <c r="Y117" t="s">
        <v>909</v>
      </c>
      <c r="Z117" t="s">
        <v>744</v>
      </c>
      <c r="AA117" t="s">
        <v>498</v>
      </c>
      <c r="AB117" t="s">
        <v>981</v>
      </c>
      <c r="AC117" t="s">
        <v>909</v>
      </c>
      <c r="AE117" t="s">
        <v>521</v>
      </c>
      <c r="AF117" t="s">
        <v>469</v>
      </c>
      <c r="AH117" t="s">
        <v>469</v>
      </c>
      <c r="AI117" t="s">
        <v>744</v>
      </c>
      <c r="AJ117" t="s">
        <v>909</v>
      </c>
      <c r="AK117" t="s">
        <v>999</v>
      </c>
    </row>
    <row r="118" spans="1:37" ht="16.5" customHeight="1">
      <c r="A118" s="348" t="s">
        <v>1271</v>
      </c>
      <c r="B118" t="s">
        <v>1000</v>
      </c>
      <c r="C118" t="s">
        <v>735</v>
      </c>
      <c r="D118" t="s">
        <v>475</v>
      </c>
      <c r="E118" t="s">
        <v>905</v>
      </c>
      <c r="F118" t="s">
        <v>977</v>
      </c>
      <c r="G118" t="s">
        <v>469</v>
      </c>
      <c r="H118" t="s">
        <v>469</v>
      </c>
      <c r="I118" t="s">
        <v>1001</v>
      </c>
      <c r="J118" s="349" t="s">
        <v>1272</v>
      </c>
      <c r="K118" t="s">
        <v>1337</v>
      </c>
      <c r="L118" t="s">
        <v>815</v>
      </c>
      <c r="M118" t="s">
        <v>479</v>
      </c>
      <c r="P118" t="s">
        <v>1002</v>
      </c>
      <c r="Q118" t="s">
        <v>498</v>
      </c>
      <c r="R118" t="s">
        <v>469</v>
      </c>
      <c r="S118" t="s">
        <v>482</v>
      </c>
      <c r="T118" t="s">
        <v>483</v>
      </c>
      <c r="U118" t="s">
        <v>499</v>
      </c>
      <c r="V118" t="s">
        <v>497</v>
      </c>
      <c r="W118" t="s">
        <v>980</v>
      </c>
      <c r="X118" t="s">
        <v>499</v>
      </c>
      <c r="Y118" t="s">
        <v>970</v>
      </c>
      <c r="Z118" t="s">
        <v>971</v>
      </c>
      <c r="AA118" t="s">
        <v>498</v>
      </c>
      <c r="AB118" t="s">
        <v>1003</v>
      </c>
      <c r="AC118" t="s">
        <v>970</v>
      </c>
      <c r="AE118" t="s">
        <v>521</v>
      </c>
      <c r="AF118" t="s">
        <v>469</v>
      </c>
      <c r="AH118" t="s">
        <v>469</v>
      </c>
      <c r="AI118" t="s">
        <v>971</v>
      </c>
      <c r="AJ118" t="s">
        <v>970</v>
      </c>
      <c r="AK118" t="s">
        <v>1004</v>
      </c>
    </row>
    <row r="119" spans="1:37" ht="16.5" customHeight="1">
      <c r="A119" s="348" t="s">
        <v>1271</v>
      </c>
      <c r="B119" t="s">
        <v>330</v>
      </c>
      <c r="C119" t="s">
        <v>735</v>
      </c>
      <c r="D119" t="s">
        <v>475</v>
      </c>
      <c r="E119" t="s">
        <v>772</v>
      </c>
      <c r="F119" t="s">
        <v>977</v>
      </c>
      <c r="G119" t="s">
        <v>469</v>
      </c>
      <c r="H119" t="s">
        <v>469</v>
      </c>
      <c r="I119" t="s">
        <v>1005</v>
      </c>
      <c r="J119" s="349" t="s">
        <v>1272</v>
      </c>
      <c r="K119" t="s">
        <v>516</v>
      </c>
      <c r="L119" t="s">
        <v>627</v>
      </c>
      <c r="M119" t="s">
        <v>479</v>
      </c>
      <c r="P119" t="s">
        <v>1006</v>
      </c>
      <c r="Q119" t="s">
        <v>498</v>
      </c>
      <c r="R119" t="s">
        <v>469</v>
      </c>
      <c r="S119" t="s">
        <v>482</v>
      </c>
      <c r="T119" t="s">
        <v>483</v>
      </c>
      <c r="U119" t="s">
        <v>499</v>
      </c>
      <c r="V119" t="s">
        <v>497</v>
      </c>
      <c r="W119" t="s">
        <v>980</v>
      </c>
      <c r="X119" t="s">
        <v>499</v>
      </c>
      <c r="Y119" t="s">
        <v>909</v>
      </c>
      <c r="Z119" t="s">
        <v>744</v>
      </c>
      <c r="AA119" t="s">
        <v>498</v>
      </c>
      <c r="AB119" t="s">
        <v>981</v>
      </c>
      <c r="AC119" t="s">
        <v>909</v>
      </c>
      <c r="AE119" t="s">
        <v>521</v>
      </c>
      <c r="AF119" t="s">
        <v>469</v>
      </c>
      <c r="AH119" t="s">
        <v>469</v>
      </c>
      <c r="AI119" t="s">
        <v>744</v>
      </c>
      <c r="AJ119" t="s">
        <v>909</v>
      </c>
      <c r="AK119" t="s">
        <v>1007</v>
      </c>
    </row>
    <row r="120" spans="1:37" ht="16.5" customHeight="1">
      <c r="A120" s="348" t="s">
        <v>1271</v>
      </c>
      <c r="B120" t="s">
        <v>331</v>
      </c>
      <c r="C120" t="s">
        <v>735</v>
      </c>
      <c r="D120" t="s">
        <v>475</v>
      </c>
      <c r="E120" t="s">
        <v>469</v>
      </c>
      <c r="F120" t="s">
        <v>977</v>
      </c>
      <c r="G120" t="s">
        <v>469</v>
      </c>
      <c r="H120" t="s">
        <v>469</v>
      </c>
      <c r="I120" t="s">
        <v>1008</v>
      </c>
      <c r="J120" s="349" t="s">
        <v>1272</v>
      </c>
      <c r="K120" t="s">
        <v>516</v>
      </c>
      <c r="L120" t="s">
        <v>627</v>
      </c>
      <c r="M120" t="s">
        <v>479</v>
      </c>
      <c r="P120" t="s">
        <v>1009</v>
      </c>
      <c r="Q120" t="s">
        <v>498</v>
      </c>
      <c r="R120" t="s">
        <v>469</v>
      </c>
      <c r="S120" t="s">
        <v>482</v>
      </c>
      <c r="T120" t="s">
        <v>483</v>
      </c>
      <c r="U120" t="s">
        <v>484</v>
      </c>
      <c r="V120" t="s">
        <v>951</v>
      </c>
      <c r="W120" t="s">
        <v>980</v>
      </c>
      <c r="X120" t="s">
        <v>484</v>
      </c>
      <c r="Y120" t="s">
        <v>1010</v>
      </c>
      <c r="Z120" t="s">
        <v>1011</v>
      </c>
      <c r="AA120" t="s">
        <v>498</v>
      </c>
      <c r="AB120" t="s">
        <v>883</v>
      </c>
      <c r="AC120" t="s">
        <v>1010</v>
      </c>
      <c r="AE120" t="s">
        <v>521</v>
      </c>
      <c r="AF120" t="s">
        <v>469</v>
      </c>
      <c r="AH120" t="s">
        <v>469</v>
      </c>
      <c r="AI120" t="s">
        <v>1011</v>
      </c>
      <c r="AJ120" t="s">
        <v>1010</v>
      </c>
      <c r="AK120" t="s">
        <v>1012</v>
      </c>
    </row>
    <row r="121" spans="1:37" ht="16.5" customHeight="1">
      <c r="A121" s="348" t="s">
        <v>1271</v>
      </c>
      <c r="B121" t="s">
        <v>332</v>
      </c>
      <c r="C121" t="s">
        <v>735</v>
      </c>
      <c r="D121" t="s">
        <v>475</v>
      </c>
      <c r="E121" t="s">
        <v>757</v>
      </c>
      <c r="F121" t="s">
        <v>977</v>
      </c>
      <c r="G121" t="s">
        <v>469</v>
      </c>
      <c r="H121" t="s">
        <v>469</v>
      </c>
      <c r="I121" t="s">
        <v>1013</v>
      </c>
      <c r="J121" s="349" t="s">
        <v>1272</v>
      </c>
      <c r="K121" t="s">
        <v>1337</v>
      </c>
      <c r="L121" t="s">
        <v>815</v>
      </c>
      <c r="M121" t="s">
        <v>479</v>
      </c>
      <c r="P121" t="s">
        <v>1014</v>
      </c>
      <c r="Q121" t="s">
        <v>740</v>
      </c>
      <c r="R121" t="s">
        <v>469</v>
      </c>
      <c r="S121" t="s">
        <v>741</v>
      </c>
      <c r="T121" t="s">
        <v>1015</v>
      </c>
      <c r="U121" t="s">
        <v>1016</v>
      </c>
      <c r="V121" t="s">
        <v>909</v>
      </c>
      <c r="W121" t="s">
        <v>981</v>
      </c>
      <c r="X121" t="s">
        <v>971</v>
      </c>
      <c r="Y121" t="s">
        <v>970</v>
      </c>
      <c r="AC121" t="s">
        <v>521</v>
      </c>
      <c r="AE121" t="s">
        <v>521</v>
      </c>
      <c r="AF121" t="s">
        <v>469</v>
      </c>
      <c r="AH121" t="s">
        <v>1017</v>
      </c>
      <c r="AI121" t="s">
        <v>971</v>
      </c>
      <c r="AJ121" t="s">
        <v>970</v>
      </c>
      <c r="AK121" t="s">
        <v>1018</v>
      </c>
    </row>
    <row r="122" spans="1:37" ht="16.5" customHeight="1">
      <c r="A122" s="348" t="s">
        <v>1271</v>
      </c>
      <c r="B122" t="s">
        <v>333</v>
      </c>
      <c r="C122" t="s">
        <v>735</v>
      </c>
      <c r="D122" t="s">
        <v>475</v>
      </c>
      <c r="E122" t="s">
        <v>757</v>
      </c>
      <c r="F122" t="s">
        <v>977</v>
      </c>
      <c r="G122" t="s">
        <v>469</v>
      </c>
      <c r="H122" t="s">
        <v>469</v>
      </c>
      <c r="I122" t="s">
        <v>1019</v>
      </c>
      <c r="J122" s="349" t="s">
        <v>1272</v>
      </c>
      <c r="K122" t="s">
        <v>1337</v>
      </c>
      <c r="L122" t="s">
        <v>815</v>
      </c>
      <c r="M122" t="s">
        <v>1020</v>
      </c>
      <c r="P122" t="s">
        <v>1021</v>
      </c>
      <c r="Q122" t="s">
        <v>498</v>
      </c>
      <c r="R122" t="s">
        <v>469</v>
      </c>
      <c r="S122" t="s">
        <v>482</v>
      </c>
      <c r="T122" t="s">
        <v>742</v>
      </c>
      <c r="U122" t="s">
        <v>499</v>
      </c>
      <c r="V122" t="s">
        <v>909</v>
      </c>
      <c r="W122" t="s">
        <v>981</v>
      </c>
      <c r="X122" t="s">
        <v>499</v>
      </c>
      <c r="Y122" t="s">
        <v>882</v>
      </c>
      <c r="Z122" t="s">
        <v>563</v>
      </c>
      <c r="AA122" t="s">
        <v>498</v>
      </c>
      <c r="AB122" t="s">
        <v>883</v>
      </c>
      <c r="AC122" t="s">
        <v>882</v>
      </c>
      <c r="AE122" t="s">
        <v>521</v>
      </c>
      <c r="AF122" t="s">
        <v>469</v>
      </c>
      <c r="AH122" t="s">
        <v>1022</v>
      </c>
      <c r="AI122" t="s">
        <v>563</v>
      </c>
      <c r="AJ122" t="s">
        <v>882</v>
      </c>
    </row>
    <row r="123" spans="1:37" ht="16.5" customHeight="1">
      <c r="A123" s="348" t="s">
        <v>1271</v>
      </c>
      <c r="B123" t="s">
        <v>334</v>
      </c>
      <c r="C123" t="s">
        <v>735</v>
      </c>
      <c r="D123" t="s">
        <v>475</v>
      </c>
      <c r="E123" t="s">
        <v>469</v>
      </c>
      <c r="F123" t="s">
        <v>977</v>
      </c>
      <c r="G123" t="s">
        <v>469</v>
      </c>
      <c r="H123" t="s">
        <v>469</v>
      </c>
      <c r="I123" t="s">
        <v>1023</v>
      </c>
      <c r="J123" s="349" t="s">
        <v>1272</v>
      </c>
      <c r="K123" t="s">
        <v>1340</v>
      </c>
      <c r="L123" t="s">
        <v>620</v>
      </c>
      <c r="M123" t="s">
        <v>479</v>
      </c>
      <c r="P123" t="s">
        <v>1024</v>
      </c>
      <c r="Q123" t="s">
        <v>498</v>
      </c>
      <c r="R123" t="s">
        <v>469</v>
      </c>
      <c r="S123" t="s">
        <v>482</v>
      </c>
      <c r="T123" t="s">
        <v>483</v>
      </c>
      <c r="U123" t="s">
        <v>509</v>
      </c>
      <c r="V123" t="s">
        <v>909</v>
      </c>
      <c r="W123" t="s">
        <v>981</v>
      </c>
      <c r="X123" t="s">
        <v>509</v>
      </c>
      <c r="Y123" t="s">
        <v>970</v>
      </c>
      <c r="Z123" t="s">
        <v>971</v>
      </c>
      <c r="AA123" t="s">
        <v>498</v>
      </c>
      <c r="AB123" t="s">
        <v>1003</v>
      </c>
      <c r="AC123" t="s">
        <v>629</v>
      </c>
      <c r="AE123" t="s">
        <v>521</v>
      </c>
      <c r="AF123" t="s">
        <v>469</v>
      </c>
      <c r="AH123" t="s">
        <v>469</v>
      </c>
      <c r="AI123" t="s">
        <v>971</v>
      </c>
      <c r="AJ123" t="s">
        <v>970</v>
      </c>
      <c r="AK123" t="s">
        <v>1025</v>
      </c>
    </row>
    <row r="124" spans="1:37" ht="16.5" customHeight="1">
      <c r="A124" s="348" t="s">
        <v>1271</v>
      </c>
      <c r="B124" t="s">
        <v>1026</v>
      </c>
      <c r="C124" t="s">
        <v>735</v>
      </c>
      <c r="D124" t="s">
        <v>475</v>
      </c>
      <c r="E124" t="s">
        <v>1027</v>
      </c>
      <c r="F124" t="s">
        <v>977</v>
      </c>
      <c r="G124" t="s">
        <v>469</v>
      </c>
      <c r="H124" t="s">
        <v>469</v>
      </c>
      <c r="I124" t="s">
        <v>1028</v>
      </c>
      <c r="J124" s="349" t="s">
        <v>1272</v>
      </c>
      <c r="K124" t="s">
        <v>516</v>
      </c>
      <c r="L124" t="s">
        <v>627</v>
      </c>
      <c r="M124" t="s">
        <v>479</v>
      </c>
      <c r="P124" t="s">
        <v>1029</v>
      </c>
      <c r="Q124" t="s">
        <v>740</v>
      </c>
      <c r="R124" t="s">
        <v>469</v>
      </c>
      <c r="S124" t="s">
        <v>741</v>
      </c>
      <c r="T124" t="s">
        <v>1030</v>
      </c>
      <c r="U124" t="s">
        <v>499</v>
      </c>
      <c r="V124" t="s">
        <v>909</v>
      </c>
      <c r="W124" t="s">
        <v>981</v>
      </c>
      <c r="X124" t="s">
        <v>744</v>
      </c>
      <c r="Y124" t="s">
        <v>745</v>
      </c>
      <c r="AC124" t="s">
        <v>521</v>
      </c>
      <c r="AE124" t="s">
        <v>521</v>
      </c>
      <c r="AF124" t="s">
        <v>469</v>
      </c>
      <c r="AH124" t="s">
        <v>469</v>
      </c>
      <c r="AI124" t="s">
        <v>489</v>
      </c>
      <c r="AJ124" t="s">
        <v>745</v>
      </c>
      <c r="AK124" t="s">
        <v>1031</v>
      </c>
    </row>
    <row r="125" spans="1:37" ht="16.5" customHeight="1">
      <c r="A125" s="348" t="s">
        <v>1271</v>
      </c>
      <c r="B125" t="s">
        <v>1032</v>
      </c>
      <c r="C125" t="s">
        <v>735</v>
      </c>
      <c r="D125" t="s">
        <v>475</v>
      </c>
      <c r="E125" t="s">
        <v>469</v>
      </c>
      <c r="F125" t="s">
        <v>977</v>
      </c>
      <c r="G125" t="s">
        <v>469</v>
      </c>
      <c r="H125" t="s">
        <v>469</v>
      </c>
      <c r="I125" t="s">
        <v>1033</v>
      </c>
      <c r="J125" s="349" t="s">
        <v>1272</v>
      </c>
      <c r="K125" t="s">
        <v>1337</v>
      </c>
      <c r="L125" t="s">
        <v>620</v>
      </c>
      <c r="M125" t="s">
        <v>479</v>
      </c>
      <c r="P125" t="s">
        <v>1034</v>
      </c>
      <c r="Q125" t="s">
        <v>498</v>
      </c>
      <c r="R125" t="s">
        <v>469</v>
      </c>
      <c r="S125" t="s">
        <v>482</v>
      </c>
      <c r="T125" t="s">
        <v>483</v>
      </c>
      <c r="U125" t="s">
        <v>509</v>
      </c>
      <c r="V125" t="s">
        <v>909</v>
      </c>
      <c r="W125" t="s">
        <v>981</v>
      </c>
      <c r="X125" t="s">
        <v>509</v>
      </c>
      <c r="Y125" t="s">
        <v>970</v>
      </c>
      <c r="Z125" t="s">
        <v>971</v>
      </c>
      <c r="AA125" t="s">
        <v>498</v>
      </c>
      <c r="AB125" t="s">
        <v>1003</v>
      </c>
      <c r="AC125" t="s">
        <v>970</v>
      </c>
      <c r="AE125" t="s">
        <v>521</v>
      </c>
      <c r="AF125" t="s">
        <v>469</v>
      </c>
      <c r="AH125" t="s">
        <v>469</v>
      </c>
      <c r="AI125" t="s">
        <v>971</v>
      </c>
      <c r="AJ125" t="s">
        <v>882</v>
      </c>
      <c r="AK125" t="s">
        <v>1035</v>
      </c>
    </row>
    <row r="126" spans="1:37" ht="16.5" customHeight="1">
      <c r="A126" s="348" t="s">
        <v>1271</v>
      </c>
      <c r="B126" t="s">
        <v>1036</v>
      </c>
      <c r="C126" t="s">
        <v>735</v>
      </c>
      <c r="D126" t="s">
        <v>475</v>
      </c>
      <c r="E126" t="s">
        <v>772</v>
      </c>
      <c r="F126" t="s">
        <v>977</v>
      </c>
      <c r="G126" t="s">
        <v>469</v>
      </c>
      <c r="H126" t="s">
        <v>469</v>
      </c>
      <c r="I126" t="s">
        <v>1037</v>
      </c>
      <c r="J126" s="349" t="s">
        <v>1272</v>
      </c>
      <c r="K126" t="s">
        <v>1337</v>
      </c>
      <c r="L126" t="s">
        <v>815</v>
      </c>
      <c r="M126" t="s">
        <v>479</v>
      </c>
      <c r="P126" t="s">
        <v>1038</v>
      </c>
      <c r="Q126" t="s">
        <v>498</v>
      </c>
      <c r="R126" t="s">
        <v>469</v>
      </c>
      <c r="S126" t="s">
        <v>482</v>
      </c>
      <c r="T126" t="s">
        <v>483</v>
      </c>
      <c r="U126" t="s">
        <v>499</v>
      </c>
      <c r="V126" t="s">
        <v>629</v>
      </c>
      <c r="W126" t="s">
        <v>981</v>
      </c>
      <c r="X126" t="s">
        <v>499</v>
      </c>
      <c r="Y126" t="s">
        <v>970</v>
      </c>
      <c r="Z126" t="s">
        <v>744</v>
      </c>
      <c r="AA126" t="s">
        <v>498</v>
      </c>
      <c r="AB126" t="s">
        <v>1003</v>
      </c>
      <c r="AC126" t="s">
        <v>970</v>
      </c>
      <c r="AE126" t="s">
        <v>521</v>
      </c>
      <c r="AF126" t="s">
        <v>469</v>
      </c>
      <c r="AH126" t="s">
        <v>469</v>
      </c>
      <c r="AI126" t="s">
        <v>744</v>
      </c>
      <c r="AJ126" t="s">
        <v>970</v>
      </c>
      <c r="AK126" t="s">
        <v>1039</v>
      </c>
    </row>
    <row r="127" spans="1:37" ht="16.5" customHeight="1">
      <c r="A127" s="348" t="s">
        <v>1271</v>
      </c>
      <c r="B127" t="s">
        <v>1040</v>
      </c>
      <c r="C127" t="s">
        <v>735</v>
      </c>
      <c r="D127" t="s">
        <v>475</v>
      </c>
      <c r="E127" t="s">
        <v>772</v>
      </c>
      <c r="F127" t="s">
        <v>977</v>
      </c>
      <c r="G127" t="s">
        <v>469</v>
      </c>
      <c r="H127" t="s">
        <v>469</v>
      </c>
      <c r="I127" t="s">
        <v>1041</v>
      </c>
      <c r="J127" s="349" t="s">
        <v>1272</v>
      </c>
      <c r="K127" t="s">
        <v>516</v>
      </c>
      <c r="L127" t="s">
        <v>627</v>
      </c>
      <c r="M127" t="s">
        <v>479</v>
      </c>
      <c r="P127" t="s">
        <v>1042</v>
      </c>
      <c r="Q127" t="s">
        <v>498</v>
      </c>
      <c r="R127" t="s">
        <v>469</v>
      </c>
      <c r="S127" t="s">
        <v>482</v>
      </c>
      <c r="T127" t="s">
        <v>742</v>
      </c>
      <c r="U127" t="s">
        <v>499</v>
      </c>
      <c r="V127" t="s">
        <v>629</v>
      </c>
      <c r="W127" t="s">
        <v>981</v>
      </c>
      <c r="X127" t="s">
        <v>499</v>
      </c>
      <c r="Y127" t="s">
        <v>869</v>
      </c>
      <c r="Z127" t="s">
        <v>744</v>
      </c>
      <c r="AA127" t="s">
        <v>498</v>
      </c>
      <c r="AB127" t="s">
        <v>883</v>
      </c>
      <c r="AC127" t="s">
        <v>869</v>
      </c>
      <c r="AE127" t="s">
        <v>521</v>
      </c>
      <c r="AF127" t="s">
        <v>469</v>
      </c>
      <c r="AH127" t="s">
        <v>469</v>
      </c>
      <c r="AI127" t="s">
        <v>744</v>
      </c>
      <c r="AJ127" t="s">
        <v>869</v>
      </c>
      <c r="AK127" t="s">
        <v>1043</v>
      </c>
    </row>
    <row r="128" spans="1:37" ht="16.5" customHeight="1">
      <c r="A128" s="348" t="s">
        <v>1271</v>
      </c>
      <c r="B128" t="s">
        <v>1044</v>
      </c>
      <c r="C128" t="s">
        <v>735</v>
      </c>
      <c r="D128" t="s">
        <v>475</v>
      </c>
      <c r="E128" t="s">
        <v>952</v>
      </c>
      <c r="F128" t="s">
        <v>977</v>
      </c>
      <c r="G128" t="s">
        <v>469</v>
      </c>
      <c r="H128" t="s">
        <v>469</v>
      </c>
      <c r="I128" t="s">
        <v>1045</v>
      </c>
      <c r="J128" s="349" t="s">
        <v>1272</v>
      </c>
      <c r="K128" t="s">
        <v>516</v>
      </c>
      <c r="L128" t="s">
        <v>627</v>
      </c>
      <c r="M128" t="s">
        <v>479</v>
      </c>
      <c r="P128" t="s">
        <v>1046</v>
      </c>
      <c r="Q128" t="s">
        <v>498</v>
      </c>
      <c r="R128" t="s">
        <v>469</v>
      </c>
      <c r="S128" t="s">
        <v>482</v>
      </c>
      <c r="T128" t="s">
        <v>742</v>
      </c>
      <c r="U128" t="s">
        <v>499</v>
      </c>
      <c r="V128" t="s">
        <v>629</v>
      </c>
      <c r="W128" t="s">
        <v>981</v>
      </c>
      <c r="X128" t="s">
        <v>499</v>
      </c>
      <c r="Y128" t="s">
        <v>882</v>
      </c>
      <c r="Z128" t="s">
        <v>744</v>
      </c>
      <c r="AA128" t="s">
        <v>498</v>
      </c>
      <c r="AB128" t="s">
        <v>883</v>
      </c>
      <c r="AC128" t="s">
        <v>882</v>
      </c>
      <c r="AE128" t="s">
        <v>521</v>
      </c>
      <c r="AF128" t="s">
        <v>469</v>
      </c>
      <c r="AH128" t="s">
        <v>469</v>
      </c>
      <c r="AI128" t="s">
        <v>744</v>
      </c>
      <c r="AJ128" t="s">
        <v>882</v>
      </c>
      <c r="AK128" t="s">
        <v>1047</v>
      </c>
    </row>
    <row r="129" spans="1:37" ht="16.5" customHeight="1">
      <c r="A129" s="348" t="s">
        <v>1271</v>
      </c>
      <c r="B129" t="s">
        <v>1048</v>
      </c>
      <c r="C129" t="s">
        <v>735</v>
      </c>
      <c r="D129" t="s">
        <v>475</v>
      </c>
      <c r="E129" t="s">
        <v>772</v>
      </c>
      <c r="F129" t="s">
        <v>977</v>
      </c>
      <c r="G129" t="s">
        <v>469</v>
      </c>
      <c r="H129" t="s">
        <v>469</v>
      </c>
      <c r="I129" t="s">
        <v>1049</v>
      </c>
      <c r="J129" s="349" t="s">
        <v>1272</v>
      </c>
      <c r="K129" t="s">
        <v>1337</v>
      </c>
      <c r="L129" t="s">
        <v>815</v>
      </c>
      <c r="M129" t="s">
        <v>479</v>
      </c>
      <c r="P129" t="s">
        <v>1050</v>
      </c>
      <c r="Q129" t="s">
        <v>498</v>
      </c>
      <c r="R129" t="s">
        <v>469</v>
      </c>
      <c r="S129" t="s">
        <v>482</v>
      </c>
      <c r="T129" t="s">
        <v>634</v>
      </c>
      <c r="U129" t="s">
        <v>499</v>
      </c>
      <c r="V129" t="s">
        <v>629</v>
      </c>
      <c r="W129" t="s">
        <v>981</v>
      </c>
      <c r="X129" t="s">
        <v>499</v>
      </c>
      <c r="Y129" t="s">
        <v>882</v>
      </c>
      <c r="Z129" t="s">
        <v>489</v>
      </c>
      <c r="AA129" t="s">
        <v>498</v>
      </c>
      <c r="AB129" t="s">
        <v>818</v>
      </c>
      <c r="AC129" t="s">
        <v>882</v>
      </c>
      <c r="AE129" t="s">
        <v>521</v>
      </c>
      <c r="AF129" t="s">
        <v>469</v>
      </c>
      <c r="AH129" t="s">
        <v>469</v>
      </c>
      <c r="AI129" t="s">
        <v>489</v>
      </c>
      <c r="AJ129" t="s">
        <v>882</v>
      </c>
      <c r="AK129" t="s">
        <v>1051</v>
      </c>
    </row>
    <row r="130" spans="1:37" ht="16.5" customHeight="1">
      <c r="A130" s="348" t="s">
        <v>1271</v>
      </c>
      <c r="B130" t="s">
        <v>1052</v>
      </c>
      <c r="C130" t="s">
        <v>735</v>
      </c>
      <c r="D130" t="s">
        <v>475</v>
      </c>
      <c r="E130" t="s">
        <v>757</v>
      </c>
      <c r="F130" t="s">
        <v>977</v>
      </c>
      <c r="G130" t="s">
        <v>469</v>
      </c>
      <c r="H130" t="s">
        <v>1053</v>
      </c>
      <c r="I130" t="s">
        <v>1054</v>
      </c>
      <c r="J130" s="349" t="s">
        <v>1272</v>
      </c>
      <c r="K130" t="s">
        <v>1337</v>
      </c>
      <c r="L130" t="s">
        <v>815</v>
      </c>
      <c r="M130" t="s">
        <v>479</v>
      </c>
      <c r="P130" t="s">
        <v>1055</v>
      </c>
      <c r="Q130" t="s">
        <v>498</v>
      </c>
      <c r="R130" t="s">
        <v>469</v>
      </c>
      <c r="S130" t="s">
        <v>482</v>
      </c>
      <c r="T130" t="s">
        <v>634</v>
      </c>
      <c r="U130" t="s">
        <v>499</v>
      </c>
      <c r="V130" t="s">
        <v>753</v>
      </c>
      <c r="W130" t="s">
        <v>981</v>
      </c>
      <c r="X130" t="s">
        <v>499</v>
      </c>
      <c r="Y130" t="s">
        <v>882</v>
      </c>
      <c r="Z130" t="s">
        <v>489</v>
      </c>
      <c r="AA130" t="s">
        <v>498</v>
      </c>
      <c r="AB130" t="s">
        <v>818</v>
      </c>
      <c r="AC130" t="s">
        <v>882</v>
      </c>
      <c r="AE130" t="s">
        <v>521</v>
      </c>
      <c r="AF130" t="s">
        <v>469</v>
      </c>
      <c r="AH130" t="s">
        <v>469</v>
      </c>
      <c r="AI130" t="s">
        <v>489</v>
      </c>
      <c r="AJ130" t="s">
        <v>882</v>
      </c>
      <c r="AK130" t="s">
        <v>1056</v>
      </c>
    </row>
    <row r="131" spans="1:37" ht="16.5" customHeight="1">
      <c r="A131" s="348" t="s">
        <v>1271</v>
      </c>
      <c r="B131" t="s">
        <v>1057</v>
      </c>
      <c r="C131" t="s">
        <v>735</v>
      </c>
      <c r="D131" t="s">
        <v>475</v>
      </c>
      <c r="E131" t="s">
        <v>772</v>
      </c>
      <c r="F131" t="s">
        <v>977</v>
      </c>
      <c r="G131" t="s">
        <v>469</v>
      </c>
      <c r="H131" t="s">
        <v>469</v>
      </c>
      <c r="I131" t="s">
        <v>1058</v>
      </c>
      <c r="J131" s="349" t="s">
        <v>1272</v>
      </c>
      <c r="K131" t="s">
        <v>1337</v>
      </c>
      <c r="L131" t="s">
        <v>815</v>
      </c>
      <c r="M131" t="s">
        <v>479</v>
      </c>
      <c r="P131" t="s">
        <v>1059</v>
      </c>
      <c r="Q131" t="s">
        <v>498</v>
      </c>
      <c r="R131" t="s">
        <v>469</v>
      </c>
      <c r="S131" t="s">
        <v>482</v>
      </c>
      <c r="T131" t="s">
        <v>1060</v>
      </c>
      <c r="U131" t="s">
        <v>499</v>
      </c>
      <c r="V131" t="s">
        <v>753</v>
      </c>
      <c r="W131" t="s">
        <v>981</v>
      </c>
      <c r="X131" t="s">
        <v>499</v>
      </c>
      <c r="Y131" t="s">
        <v>745</v>
      </c>
      <c r="Z131" t="s">
        <v>744</v>
      </c>
      <c r="AA131" t="s">
        <v>498</v>
      </c>
      <c r="AB131" t="s">
        <v>883</v>
      </c>
      <c r="AC131" t="s">
        <v>745</v>
      </c>
      <c r="AE131" t="s">
        <v>521</v>
      </c>
      <c r="AF131" t="s">
        <v>469</v>
      </c>
      <c r="AH131" t="s">
        <v>469</v>
      </c>
      <c r="AI131" t="s">
        <v>744</v>
      </c>
      <c r="AJ131" t="s">
        <v>745</v>
      </c>
      <c r="AK131" t="s">
        <v>1061</v>
      </c>
    </row>
    <row r="132" spans="1:37" ht="16.5" customHeight="1">
      <c r="A132" s="348" t="s">
        <v>1271</v>
      </c>
      <c r="B132" t="s">
        <v>1062</v>
      </c>
      <c r="C132" t="s">
        <v>735</v>
      </c>
      <c r="D132" t="s">
        <v>475</v>
      </c>
      <c r="E132" t="s">
        <v>956</v>
      </c>
      <c r="F132" t="s">
        <v>977</v>
      </c>
      <c r="G132" t="s">
        <v>469</v>
      </c>
      <c r="H132" t="s">
        <v>469</v>
      </c>
      <c r="I132" t="s">
        <v>1063</v>
      </c>
      <c r="J132" s="349" t="s">
        <v>1272</v>
      </c>
      <c r="K132" t="s">
        <v>1337</v>
      </c>
      <c r="L132" t="s">
        <v>815</v>
      </c>
      <c r="M132" t="s">
        <v>479</v>
      </c>
      <c r="P132" t="s">
        <v>1064</v>
      </c>
      <c r="Q132" t="s">
        <v>498</v>
      </c>
      <c r="R132" t="s">
        <v>469</v>
      </c>
      <c r="S132" t="s">
        <v>482</v>
      </c>
      <c r="T132" t="s">
        <v>1065</v>
      </c>
      <c r="U132" t="s">
        <v>499</v>
      </c>
      <c r="V132" t="s">
        <v>753</v>
      </c>
      <c r="W132" t="s">
        <v>981</v>
      </c>
      <c r="X132" t="s">
        <v>499</v>
      </c>
      <c r="Y132" t="s">
        <v>869</v>
      </c>
      <c r="Z132" t="s">
        <v>648</v>
      </c>
      <c r="AA132" t="s">
        <v>498</v>
      </c>
      <c r="AB132" t="s">
        <v>883</v>
      </c>
      <c r="AC132" t="s">
        <v>869</v>
      </c>
      <c r="AE132" t="s">
        <v>521</v>
      </c>
      <c r="AF132" t="s">
        <v>469</v>
      </c>
      <c r="AH132" t="s">
        <v>469</v>
      </c>
      <c r="AI132" t="s">
        <v>648</v>
      </c>
      <c r="AJ132" t="s">
        <v>869</v>
      </c>
      <c r="AK132" t="s">
        <v>1066</v>
      </c>
    </row>
    <row r="133" spans="1:37" ht="16.5" customHeight="1">
      <c r="A133" s="348" t="s">
        <v>1271</v>
      </c>
      <c r="B133" t="s">
        <v>1067</v>
      </c>
      <c r="C133" t="s">
        <v>735</v>
      </c>
      <c r="D133" t="s">
        <v>475</v>
      </c>
      <c r="E133" t="s">
        <v>736</v>
      </c>
      <c r="F133" t="s">
        <v>977</v>
      </c>
      <c r="G133" t="s">
        <v>469</v>
      </c>
      <c r="H133" t="s">
        <v>469</v>
      </c>
      <c r="I133" t="s">
        <v>1068</v>
      </c>
      <c r="J133" s="349" t="s">
        <v>1272</v>
      </c>
      <c r="K133" t="s">
        <v>516</v>
      </c>
      <c r="M133" t="s">
        <v>997</v>
      </c>
      <c r="P133" t="s">
        <v>1069</v>
      </c>
      <c r="Q133" t="s">
        <v>498</v>
      </c>
      <c r="R133" t="s">
        <v>469</v>
      </c>
      <c r="S133" t="s">
        <v>482</v>
      </c>
      <c r="T133" t="s">
        <v>742</v>
      </c>
      <c r="U133" t="s">
        <v>994</v>
      </c>
      <c r="V133" t="s">
        <v>753</v>
      </c>
      <c r="W133" t="s">
        <v>981</v>
      </c>
      <c r="X133" t="s">
        <v>994</v>
      </c>
      <c r="Y133" t="s">
        <v>882</v>
      </c>
      <c r="Z133" t="s">
        <v>744</v>
      </c>
      <c r="AA133" t="s">
        <v>498</v>
      </c>
      <c r="AB133" t="s">
        <v>883</v>
      </c>
      <c r="AC133" t="s">
        <v>882</v>
      </c>
      <c r="AE133" t="s">
        <v>521</v>
      </c>
      <c r="AF133" t="s">
        <v>469</v>
      </c>
      <c r="AH133" t="s">
        <v>469</v>
      </c>
      <c r="AI133" t="s">
        <v>744</v>
      </c>
      <c r="AJ133" t="s">
        <v>882</v>
      </c>
      <c r="AK133" t="s">
        <v>1070</v>
      </c>
    </row>
    <row r="134" spans="1:37" ht="16.5" customHeight="1">
      <c r="A134" s="348" t="s">
        <v>1271</v>
      </c>
      <c r="B134" t="s">
        <v>1071</v>
      </c>
      <c r="C134" t="s">
        <v>735</v>
      </c>
      <c r="D134" t="s">
        <v>475</v>
      </c>
      <c r="E134" t="s">
        <v>757</v>
      </c>
      <c r="F134" t="s">
        <v>977</v>
      </c>
      <c r="G134" t="s">
        <v>469</v>
      </c>
      <c r="H134" t="s">
        <v>469</v>
      </c>
      <c r="I134" t="s">
        <v>1072</v>
      </c>
      <c r="J134" s="349" t="s">
        <v>1272</v>
      </c>
      <c r="K134" t="s">
        <v>1337</v>
      </c>
      <c r="L134" t="s">
        <v>815</v>
      </c>
      <c r="M134" t="s">
        <v>479</v>
      </c>
      <c r="P134" t="s">
        <v>1073</v>
      </c>
      <c r="Q134" t="s">
        <v>498</v>
      </c>
      <c r="R134" t="s">
        <v>469</v>
      </c>
      <c r="S134" t="s">
        <v>482</v>
      </c>
      <c r="T134" t="s">
        <v>634</v>
      </c>
      <c r="U134" t="s">
        <v>499</v>
      </c>
      <c r="V134" t="s">
        <v>753</v>
      </c>
      <c r="W134" t="s">
        <v>981</v>
      </c>
      <c r="X134" t="s">
        <v>499</v>
      </c>
      <c r="Y134" t="s">
        <v>882</v>
      </c>
      <c r="Z134" t="s">
        <v>489</v>
      </c>
      <c r="AA134" t="s">
        <v>498</v>
      </c>
      <c r="AB134" t="s">
        <v>883</v>
      </c>
      <c r="AC134" t="s">
        <v>882</v>
      </c>
      <c r="AE134" t="s">
        <v>521</v>
      </c>
      <c r="AF134" t="s">
        <v>469</v>
      </c>
      <c r="AH134" t="s">
        <v>469</v>
      </c>
      <c r="AI134" t="s">
        <v>489</v>
      </c>
      <c r="AJ134" t="s">
        <v>882</v>
      </c>
      <c r="AK134" t="s">
        <v>1074</v>
      </c>
    </row>
    <row r="135" spans="1:37" ht="16.5" customHeight="1">
      <c r="A135" s="348" t="s">
        <v>1271</v>
      </c>
      <c r="B135" t="s">
        <v>1075</v>
      </c>
      <c r="C135" t="s">
        <v>735</v>
      </c>
      <c r="D135" t="s">
        <v>475</v>
      </c>
      <c r="E135" t="s">
        <v>757</v>
      </c>
      <c r="F135" t="s">
        <v>977</v>
      </c>
      <c r="G135" t="s">
        <v>469</v>
      </c>
      <c r="H135" t="s">
        <v>469</v>
      </c>
      <c r="I135" t="s">
        <v>1076</v>
      </c>
      <c r="J135" s="349" t="s">
        <v>1272</v>
      </c>
      <c r="K135" t="s">
        <v>516</v>
      </c>
      <c r="L135" t="s">
        <v>627</v>
      </c>
      <c r="M135" t="s">
        <v>479</v>
      </c>
      <c r="P135" t="s">
        <v>1077</v>
      </c>
      <c r="Q135" t="s">
        <v>498</v>
      </c>
      <c r="R135" t="s">
        <v>469</v>
      </c>
      <c r="S135" t="s">
        <v>482</v>
      </c>
      <c r="T135" t="s">
        <v>742</v>
      </c>
      <c r="U135" t="s">
        <v>499</v>
      </c>
      <c r="V135" t="s">
        <v>753</v>
      </c>
      <c r="W135" t="s">
        <v>981</v>
      </c>
      <c r="X135" t="s">
        <v>499</v>
      </c>
      <c r="Y135" t="s">
        <v>882</v>
      </c>
      <c r="Z135" t="s">
        <v>489</v>
      </c>
      <c r="AA135" t="s">
        <v>498</v>
      </c>
      <c r="AB135" t="s">
        <v>883</v>
      </c>
      <c r="AC135" t="s">
        <v>882</v>
      </c>
      <c r="AE135" t="s">
        <v>521</v>
      </c>
      <c r="AF135" t="s">
        <v>469</v>
      </c>
      <c r="AH135" t="s">
        <v>469</v>
      </c>
      <c r="AI135" t="s">
        <v>489</v>
      </c>
      <c r="AJ135" t="s">
        <v>882</v>
      </c>
      <c r="AK135" t="s">
        <v>1078</v>
      </c>
    </row>
    <row r="136" spans="1:37" ht="16.5" customHeight="1">
      <c r="A136" s="348" t="s">
        <v>1271</v>
      </c>
      <c r="B136" t="s">
        <v>1079</v>
      </c>
      <c r="C136" t="s">
        <v>735</v>
      </c>
      <c r="D136" t="s">
        <v>475</v>
      </c>
      <c r="E136" t="s">
        <v>736</v>
      </c>
      <c r="F136" t="s">
        <v>977</v>
      </c>
      <c r="G136" t="s">
        <v>469</v>
      </c>
      <c r="H136" t="s">
        <v>469</v>
      </c>
      <c r="I136" t="s">
        <v>1080</v>
      </c>
      <c r="J136" s="349" t="s">
        <v>1272</v>
      </c>
      <c r="K136" t="s">
        <v>516</v>
      </c>
      <c r="M136" t="s">
        <v>479</v>
      </c>
      <c r="P136" t="s">
        <v>1081</v>
      </c>
      <c r="Q136" t="s">
        <v>740</v>
      </c>
      <c r="R136" t="s">
        <v>469</v>
      </c>
      <c r="S136" t="s">
        <v>741</v>
      </c>
      <c r="T136" t="s">
        <v>742</v>
      </c>
      <c r="U136" t="s">
        <v>994</v>
      </c>
      <c r="V136" t="s">
        <v>753</v>
      </c>
      <c r="W136" t="s">
        <v>981</v>
      </c>
      <c r="X136" t="s">
        <v>744</v>
      </c>
      <c r="Y136" t="s">
        <v>745</v>
      </c>
      <c r="AC136" t="s">
        <v>521</v>
      </c>
      <c r="AE136" t="s">
        <v>521</v>
      </c>
      <c r="AF136" t="s">
        <v>469</v>
      </c>
      <c r="AH136" t="s">
        <v>469</v>
      </c>
      <c r="AI136" t="s">
        <v>489</v>
      </c>
      <c r="AJ136" t="s">
        <v>745</v>
      </c>
      <c r="AK136" t="s">
        <v>1082</v>
      </c>
    </row>
    <row r="137" spans="1:37" ht="16.5" customHeight="1">
      <c r="A137" s="348" t="s">
        <v>1271</v>
      </c>
      <c r="B137" t="s">
        <v>1083</v>
      </c>
      <c r="C137" t="s">
        <v>735</v>
      </c>
      <c r="D137" t="s">
        <v>475</v>
      </c>
      <c r="E137" t="s">
        <v>905</v>
      </c>
      <c r="F137" t="s">
        <v>977</v>
      </c>
      <c r="G137" t="s">
        <v>469</v>
      </c>
      <c r="H137" t="s">
        <v>469</v>
      </c>
      <c r="I137" t="s">
        <v>1084</v>
      </c>
      <c r="J137" s="349" t="s">
        <v>1272</v>
      </c>
      <c r="K137" t="s">
        <v>516</v>
      </c>
      <c r="L137" t="s">
        <v>627</v>
      </c>
      <c r="M137" t="s">
        <v>479</v>
      </c>
      <c r="P137" t="s">
        <v>1085</v>
      </c>
      <c r="Q137" t="s">
        <v>498</v>
      </c>
      <c r="R137" t="s">
        <v>469</v>
      </c>
      <c r="S137" t="s">
        <v>482</v>
      </c>
      <c r="T137" t="s">
        <v>742</v>
      </c>
      <c r="U137" t="s">
        <v>499</v>
      </c>
      <c r="V137" t="s">
        <v>753</v>
      </c>
      <c r="W137" t="s">
        <v>981</v>
      </c>
      <c r="X137" t="s">
        <v>499</v>
      </c>
      <c r="Y137" t="s">
        <v>869</v>
      </c>
      <c r="Z137" t="s">
        <v>744</v>
      </c>
      <c r="AA137" t="s">
        <v>498</v>
      </c>
      <c r="AB137" t="s">
        <v>883</v>
      </c>
      <c r="AC137" t="s">
        <v>869</v>
      </c>
      <c r="AE137" t="s">
        <v>521</v>
      </c>
      <c r="AF137" t="s">
        <v>469</v>
      </c>
      <c r="AH137" t="s">
        <v>469</v>
      </c>
      <c r="AI137" t="s">
        <v>744</v>
      </c>
      <c r="AJ137" t="s">
        <v>869</v>
      </c>
      <c r="AK137" t="s">
        <v>1086</v>
      </c>
    </row>
    <row r="138" spans="1:37" ht="16.5" customHeight="1">
      <c r="A138" s="348" t="s">
        <v>1271</v>
      </c>
      <c r="B138" t="s">
        <v>335</v>
      </c>
      <c r="C138" t="s">
        <v>735</v>
      </c>
      <c r="D138" t="s">
        <v>475</v>
      </c>
      <c r="E138" t="s">
        <v>905</v>
      </c>
      <c r="F138" t="s">
        <v>977</v>
      </c>
      <c r="G138" t="s">
        <v>469</v>
      </c>
      <c r="H138" t="s">
        <v>469</v>
      </c>
      <c r="I138" t="s">
        <v>1087</v>
      </c>
      <c r="J138" s="349" t="s">
        <v>1272</v>
      </c>
      <c r="K138" t="s">
        <v>516</v>
      </c>
      <c r="L138" t="s">
        <v>627</v>
      </c>
      <c r="M138" t="s">
        <v>479</v>
      </c>
      <c r="P138" t="s">
        <v>1088</v>
      </c>
      <c r="Q138" t="s">
        <v>498</v>
      </c>
      <c r="R138" t="s">
        <v>469</v>
      </c>
      <c r="S138" t="s">
        <v>482</v>
      </c>
      <c r="T138" t="s">
        <v>483</v>
      </c>
      <c r="U138" t="s">
        <v>499</v>
      </c>
      <c r="V138" t="s">
        <v>753</v>
      </c>
      <c r="W138" t="s">
        <v>981</v>
      </c>
      <c r="X138" t="s">
        <v>499</v>
      </c>
      <c r="Y138" t="s">
        <v>882</v>
      </c>
      <c r="Z138" t="s">
        <v>648</v>
      </c>
      <c r="AA138" t="s">
        <v>581</v>
      </c>
      <c r="AB138" t="s">
        <v>818</v>
      </c>
      <c r="AC138" t="s">
        <v>882</v>
      </c>
      <c r="AE138" t="s">
        <v>521</v>
      </c>
      <c r="AF138" t="s">
        <v>469</v>
      </c>
      <c r="AH138" t="s">
        <v>469</v>
      </c>
      <c r="AI138" t="s">
        <v>648</v>
      </c>
      <c r="AJ138" t="s">
        <v>882</v>
      </c>
      <c r="AK138" t="s">
        <v>1089</v>
      </c>
    </row>
    <row r="139" spans="1:37" ht="16.5" customHeight="1">
      <c r="A139" s="348" t="s">
        <v>1271</v>
      </c>
      <c r="B139" t="s">
        <v>336</v>
      </c>
      <c r="C139" t="s">
        <v>735</v>
      </c>
      <c r="D139" t="s">
        <v>475</v>
      </c>
      <c r="E139" t="s">
        <v>1027</v>
      </c>
      <c r="F139" t="s">
        <v>977</v>
      </c>
      <c r="G139" t="s">
        <v>469</v>
      </c>
      <c r="H139" t="s">
        <v>469</v>
      </c>
      <c r="I139" t="s">
        <v>1090</v>
      </c>
      <c r="J139" s="349" t="s">
        <v>1272</v>
      </c>
      <c r="K139" t="s">
        <v>516</v>
      </c>
      <c r="L139" t="s">
        <v>627</v>
      </c>
      <c r="M139" t="s">
        <v>479</v>
      </c>
      <c r="P139" t="s">
        <v>1091</v>
      </c>
      <c r="Q139" t="s">
        <v>498</v>
      </c>
      <c r="R139" t="s">
        <v>469</v>
      </c>
      <c r="S139" t="s">
        <v>482</v>
      </c>
      <c r="T139" t="s">
        <v>742</v>
      </c>
      <c r="U139" t="s">
        <v>499</v>
      </c>
      <c r="V139" t="s">
        <v>753</v>
      </c>
      <c r="W139" t="s">
        <v>981</v>
      </c>
      <c r="X139" t="s">
        <v>499</v>
      </c>
      <c r="Y139" t="s">
        <v>882</v>
      </c>
      <c r="Z139" t="s">
        <v>971</v>
      </c>
      <c r="AA139" t="s">
        <v>498</v>
      </c>
      <c r="AB139" t="s">
        <v>818</v>
      </c>
      <c r="AC139" t="s">
        <v>882</v>
      </c>
      <c r="AE139" t="s">
        <v>521</v>
      </c>
      <c r="AF139" t="s">
        <v>469</v>
      </c>
      <c r="AH139" t="s">
        <v>469</v>
      </c>
      <c r="AI139" t="s">
        <v>971</v>
      </c>
      <c r="AJ139" t="s">
        <v>882</v>
      </c>
      <c r="AK139" t="s">
        <v>1092</v>
      </c>
    </row>
    <row r="140" spans="1:37" ht="16.5" customHeight="1">
      <c r="A140" s="348" t="s">
        <v>1271</v>
      </c>
      <c r="B140" t="s">
        <v>337</v>
      </c>
      <c r="C140" t="s">
        <v>735</v>
      </c>
      <c r="D140" t="s">
        <v>475</v>
      </c>
      <c r="E140" t="s">
        <v>905</v>
      </c>
      <c r="F140" t="s">
        <v>977</v>
      </c>
      <c r="G140" t="s">
        <v>469</v>
      </c>
      <c r="H140" t="s">
        <v>469</v>
      </c>
      <c r="I140" t="s">
        <v>1093</v>
      </c>
      <c r="J140" s="349" t="s">
        <v>1272</v>
      </c>
      <c r="K140" t="s">
        <v>516</v>
      </c>
      <c r="M140" t="s">
        <v>479</v>
      </c>
      <c r="P140" t="s">
        <v>1094</v>
      </c>
      <c r="Q140" t="s">
        <v>498</v>
      </c>
      <c r="R140" t="s">
        <v>469</v>
      </c>
      <c r="S140" t="s">
        <v>482</v>
      </c>
      <c r="T140" t="s">
        <v>483</v>
      </c>
      <c r="U140" t="s">
        <v>994</v>
      </c>
      <c r="V140" t="s">
        <v>753</v>
      </c>
      <c r="W140" t="s">
        <v>981</v>
      </c>
      <c r="X140" t="s">
        <v>994</v>
      </c>
      <c r="Y140" t="s">
        <v>882</v>
      </c>
      <c r="Z140" t="s">
        <v>648</v>
      </c>
      <c r="AA140" t="s">
        <v>498</v>
      </c>
      <c r="AB140" t="s">
        <v>883</v>
      </c>
      <c r="AC140" t="s">
        <v>882</v>
      </c>
      <c r="AE140" t="s">
        <v>521</v>
      </c>
      <c r="AF140" t="s">
        <v>469</v>
      </c>
      <c r="AH140" t="s">
        <v>469</v>
      </c>
      <c r="AI140" t="s">
        <v>648</v>
      </c>
      <c r="AJ140" t="s">
        <v>882</v>
      </c>
      <c r="AK140" t="s">
        <v>1095</v>
      </c>
    </row>
    <row r="141" spans="1:37" ht="16.5" customHeight="1">
      <c r="A141" s="348" t="s">
        <v>1271</v>
      </c>
      <c r="B141" t="s">
        <v>1096</v>
      </c>
      <c r="C141" t="s">
        <v>735</v>
      </c>
      <c r="D141" t="s">
        <v>475</v>
      </c>
      <c r="E141" t="s">
        <v>905</v>
      </c>
      <c r="F141" t="s">
        <v>977</v>
      </c>
      <c r="G141" t="s">
        <v>469</v>
      </c>
      <c r="H141" t="s">
        <v>469</v>
      </c>
      <c r="I141" t="s">
        <v>1097</v>
      </c>
      <c r="J141" s="349" t="s">
        <v>1272</v>
      </c>
      <c r="K141" t="s">
        <v>516</v>
      </c>
      <c r="M141" t="s">
        <v>816</v>
      </c>
      <c r="P141" t="s">
        <v>1098</v>
      </c>
      <c r="Q141" t="s">
        <v>498</v>
      </c>
      <c r="R141" t="s">
        <v>469</v>
      </c>
      <c r="S141" t="s">
        <v>482</v>
      </c>
      <c r="T141" t="s">
        <v>483</v>
      </c>
      <c r="U141" t="s">
        <v>994</v>
      </c>
      <c r="V141" t="s">
        <v>753</v>
      </c>
      <c r="W141" t="s">
        <v>981</v>
      </c>
      <c r="X141" t="s">
        <v>994</v>
      </c>
      <c r="Y141" t="s">
        <v>869</v>
      </c>
      <c r="Z141" t="s">
        <v>489</v>
      </c>
      <c r="AA141" t="s">
        <v>498</v>
      </c>
      <c r="AB141" t="s">
        <v>883</v>
      </c>
      <c r="AC141" t="s">
        <v>869</v>
      </c>
      <c r="AE141" t="s">
        <v>521</v>
      </c>
      <c r="AF141" t="s">
        <v>469</v>
      </c>
      <c r="AH141" t="s">
        <v>469</v>
      </c>
      <c r="AI141" t="s">
        <v>489</v>
      </c>
      <c r="AJ141" t="s">
        <v>869</v>
      </c>
      <c r="AK141" t="s">
        <v>1099</v>
      </c>
    </row>
    <row r="142" spans="1:37" ht="16.5" customHeight="1">
      <c r="A142" s="348" t="s">
        <v>1271</v>
      </c>
      <c r="B142" t="s">
        <v>338</v>
      </c>
      <c r="C142" t="s">
        <v>735</v>
      </c>
      <c r="D142" t="s">
        <v>475</v>
      </c>
      <c r="E142" t="s">
        <v>952</v>
      </c>
      <c r="F142" t="s">
        <v>977</v>
      </c>
      <c r="G142" t="s">
        <v>469</v>
      </c>
      <c r="H142" t="s">
        <v>469</v>
      </c>
      <c r="I142" t="s">
        <v>1100</v>
      </c>
      <c r="J142" s="349" t="s">
        <v>1272</v>
      </c>
      <c r="K142" t="s">
        <v>1101</v>
      </c>
      <c r="L142" t="s">
        <v>680</v>
      </c>
      <c r="M142" t="s">
        <v>479</v>
      </c>
      <c r="P142" t="s">
        <v>1102</v>
      </c>
      <c r="Q142" t="s">
        <v>498</v>
      </c>
      <c r="R142" t="s">
        <v>469</v>
      </c>
      <c r="S142" t="s">
        <v>482</v>
      </c>
      <c r="T142" t="s">
        <v>742</v>
      </c>
      <c r="U142" t="s">
        <v>499</v>
      </c>
      <c r="V142" t="s">
        <v>753</v>
      </c>
      <c r="W142" t="s">
        <v>981</v>
      </c>
      <c r="X142" t="s">
        <v>499</v>
      </c>
      <c r="Y142" t="s">
        <v>882</v>
      </c>
      <c r="Z142" t="s">
        <v>744</v>
      </c>
      <c r="AA142" t="s">
        <v>498</v>
      </c>
      <c r="AB142" t="s">
        <v>883</v>
      </c>
      <c r="AC142" t="s">
        <v>882</v>
      </c>
      <c r="AE142" t="s">
        <v>521</v>
      </c>
      <c r="AF142" t="s">
        <v>469</v>
      </c>
      <c r="AH142" t="s">
        <v>469</v>
      </c>
      <c r="AI142" t="s">
        <v>744</v>
      </c>
      <c r="AJ142" t="s">
        <v>882</v>
      </c>
      <c r="AK142" t="s">
        <v>1103</v>
      </c>
    </row>
    <row r="143" spans="1:37" ht="16.5" customHeight="1">
      <c r="A143" s="348" t="s">
        <v>1271</v>
      </c>
      <c r="B143" t="s">
        <v>1104</v>
      </c>
      <c r="C143" t="s">
        <v>735</v>
      </c>
      <c r="D143" t="s">
        <v>475</v>
      </c>
      <c r="E143" t="s">
        <v>956</v>
      </c>
      <c r="F143" t="s">
        <v>977</v>
      </c>
      <c r="G143" t="s">
        <v>469</v>
      </c>
      <c r="H143" t="s">
        <v>469</v>
      </c>
      <c r="I143" t="s">
        <v>1105</v>
      </c>
      <c r="J143" s="349" t="s">
        <v>1272</v>
      </c>
      <c r="K143" t="s">
        <v>516</v>
      </c>
      <c r="L143" t="s">
        <v>627</v>
      </c>
      <c r="M143" t="s">
        <v>479</v>
      </c>
      <c r="P143" t="s">
        <v>1106</v>
      </c>
      <c r="Q143" t="s">
        <v>498</v>
      </c>
      <c r="R143" t="s">
        <v>469</v>
      </c>
      <c r="S143" t="s">
        <v>482</v>
      </c>
      <c r="T143" t="s">
        <v>483</v>
      </c>
      <c r="U143" t="s">
        <v>499</v>
      </c>
      <c r="V143" t="s">
        <v>753</v>
      </c>
      <c r="W143" t="s">
        <v>981</v>
      </c>
      <c r="X143" t="s">
        <v>499</v>
      </c>
      <c r="Y143" t="s">
        <v>882</v>
      </c>
      <c r="Z143" t="s">
        <v>744</v>
      </c>
      <c r="AA143" t="s">
        <v>498</v>
      </c>
      <c r="AB143" t="s">
        <v>883</v>
      </c>
      <c r="AC143" t="s">
        <v>882</v>
      </c>
      <c r="AE143" t="s">
        <v>521</v>
      </c>
      <c r="AF143" t="s">
        <v>469</v>
      </c>
      <c r="AH143" t="s">
        <v>469</v>
      </c>
      <c r="AI143" t="s">
        <v>744</v>
      </c>
      <c r="AJ143" t="s">
        <v>882</v>
      </c>
      <c r="AK143" t="s">
        <v>1107</v>
      </c>
    </row>
    <row r="144" spans="1:37" ht="16.5" customHeight="1">
      <c r="A144" s="348" t="s">
        <v>1271</v>
      </c>
      <c r="B144" t="s">
        <v>1108</v>
      </c>
      <c r="C144" t="s">
        <v>735</v>
      </c>
      <c r="D144" t="s">
        <v>475</v>
      </c>
      <c r="E144" t="s">
        <v>952</v>
      </c>
      <c r="F144" t="s">
        <v>977</v>
      </c>
      <c r="G144" t="s">
        <v>469</v>
      </c>
      <c r="H144" t="s">
        <v>469</v>
      </c>
      <c r="I144" t="s">
        <v>1109</v>
      </c>
      <c r="J144" s="349" t="s">
        <v>1272</v>
      </c>
      <c r="K144" t="s">
        <v>516</v>
      </c>
      <c r="L144" t="s">
        <v>627</v>
      </c>
      <c r="M144" t="s">
        <v>479</v>
      </c>
      <c r="P144" t="s">
        <v>1110</v>
      </c>
      <c r="Q144" t="s">
        <v>740</v>
      </c>
      <c r="R144" t="s">
        <v>469</v>
      </c>
      <c r="S144" t="s">
        <v>741</v>
      </c>
      <c r="T144" t="s">
        <v>483</v>
      </c>
      <c r="U144" t="s">
        <v>499</v>
      </c>
      <c r="V144" t="s">
        <v>753</v>
      </c>
      <c r="W144" t="s">
        <v>981</v>
      </c>
      <c r="X144" t="s">
        <v>648</v>
      </c>
      <c r="Y144" t="s">
        <v>882</v>
      </c>
      <c r="AC144" t="s">
        <v>521</v>
      </c>
      <c r="AE144" t="s">
        <v>521</v>
      </c>
      <c r="AF144" t="s">
        <v>469</v>
      </c>
      <c r="AH144" t="s">
        <v>469</v>
      </c>
      <c r="AI144" t="s">
        <v>648</v>
      </c>
      <c r="AJ144" t="s">
        <v>882</v>
      </c>
      <c r="AK144" t="s">
        <v>1111</v>
      </c>
    </row>
    <row r="145" spans="1:37" ht="16.5" customHeight="1">
      <c r="A145" s="348" t="s">
        <v>1271</v>
      </c>
      <c r="B145" t="s">
        <v>339</v>
      </c>
      <c r="C145" t="s">
        <v>735</v>
      </c>
      <c r="D145" t="s">
        <v>475</v>
      </c>
      <c r="E145" t="s">
        <v>952</v>
      </c>
      <c r="F145" t="s">
        <v>977</v>
      </c>
      <c r="G145" t="s">
        <v>469</v>
      </c>
      <c r="H145" t="s">
        <v>469</v>
      </c>
      <c r="I145" t="s">
        <v>1112</v>
      </c>
      <c r="J145" s="349" t="s">
        <v>1272</v>
      </c>
      <c r="K145" t="s">
        <v>1337</v>
      </c>
      <c r="L145" t="s">
        <v>815</v>
      </c>
      <c r="M145" t="s">
        <v>479</v>
      </c>
      <c r="P145" t="s">
        <v>1113</v>
      </c>
      <c r="Q145" t="s">
        <v>740</v>
      </c>
      <c r="R145" t="s">
        <v>469</v>
      </c>
      <c r="S145" t="s">
        <v>482</v>
      </c>
      <c r="T145" t="s">
        <v>483</v>
      </c>
      <c r="U145" t="s">
        <v>499</v>
      </c>
      <c r="V145" t="s">
        <v>970</v>
      </c>
      <c r="W145" t="s">
        <v>981</v>
      </c>
      <c r="X145" t="s">
        <v>727</v>
      </c>
      <c r="Y145" t="s">
        <v>970</v>
      </c>
      <c r="AC145" t="s">
        <v>521</v>
      </c>
      <c r="AE145" t="s">
        <v>521</v>
      </c>
      <c r="AF145" t="s">
        <v>469</v>
      </c>
      <c r="AH145" t="s">
        <v>469</v>
      </c>
      <c r="AI145" t="s">
        <v>971</v>
      </c>
      <c r="AJ145" t="s">
        <v>869</v>
      </c>
      <c r="AK145" t="s">
        <v>1114</v>
      </c>
    </row>
    <row r="146" spans="1:37" ht="16.5" customHeight="1">
      <c r="A146" s="348" t="s">
        <v>1271</v>
      </c>
      <c r="B146" t="s">
        <v>340</v>
      </c>
      <c r="C146" t="s">
        <v>735</v>
      </c>
      <c r="D146" t="s">
        <v>475</v>
      </c>
      <c r="E146" t="s">
        <v>905</v>
      </c>
      <c r="F146" t="s">
        <v>977</v>
      </c>
      <c r="G146" t="s">
        <v>469</v>
      </c>
      <c r="H146" t="s">
        <v>469</v>
      </c>
      <c r="I146" t="s">
        <v>1115</v>
      </c>
      <c r="J146" s="349" t="s">
        <v>1272</v>
      </c>
      <c r="K146" t="s">
        <v>516</v>
      </c>
      <c r="L146" t="s">
        <v>627</v>
      </c>
      <c r="M146" t="s">
        <v>479</v>
      </c>
      <c r="P146" t="s">
        <v>1116</v>
      </c>
      <c r="Q146" t="s">
        <v>498</v>
      </c>
      <c r="R146" t="s">
        <v>469</v>
      </c>
      <c r="S146" t="s">
        <v>482</v>
      </c>
      <c r="T146" t="s">
        <v>742</v>
      </c>
      <c r="U146" t="s">
        <v>499</v>
      </c>
      <c r="V146" t="s">
        <v>970</v>
      </c>
      <c r="W146" t="s">
        <v>981</v>
      </c>
      <c r="X146" t="s">
        <v>499</v>
      </c>
      <c r="Y146" t="s">
        <v>745</v>
      </c>
      <c r="Z146" t="s">
        <v>744</v>
      </c>
      <c r="AA146" t="s">
        <v>498</v>
      </c>
      <c r="AB146" t="s">
        <v>883</v>
      </c>
      <c r="AC146" t="s">
        <v>745</v>
      </c>
      <c r="AE146" t="s">
        <v>521</v>
      </c>
      <c r="AF146" t="s">
        <v>469</v>
      </c>
      <c r="AH146" t="s">
        <v>469</v>
      </c>
      <c r="AI146" t="s">
        <v>744</v>
      </c>
      <c r="AJ146" t="s">
        <v>745</v>
      </c>
      <c r="AK146" t="s">
        <v>1117</v>
      </c>
    </row>
    <row r="147" spans="1:37" ht="16.5" customHeight="1">
      <c r="A147" s="348" t="s">
        <v>1271</v>
      </c>
      <c r="B147" t="s">
        <v>341</v>
      </c>
      <c r="C147" t="s">
        <v>735</v>
      </c>
      <c r="D147" t="s">
        <v>475</v>
      </c>
      <c r="E147" t="s">
        <v>905</v>
      </c>
      <c r="F147" t="s">
        <v>977</v>
      </c>
      <c r="G147" t="s">
        <v>469</v>
      </c>
      <c r="H147" t="s">
        <v>469</v>
      </c>
      <c r="I147" t="s">
        <v>1118</v>
      </c>
      <c r="J147" s="349" t="s">
        <v>1272</v>
      </c>
      <c r="K147" t="s">
        <v>516</v>
      </c>
      <c r="L147" t="s">
        <v>627</v>
      </c>
      <c r="M147" t="s">
        <v>479</v>
      </c>
      <c r="P147" t="s">
        <v>1119</v>
      </c>
      <c r="Q147" t="s">
        <v>498</v>
      </c>
      <c r="R147" t="s">
        <v>469</v>
      </c>
      <c r="S147" t="s">
        <v>482</v>
      </c>
      <c r="T147" t="s">
        <v>483</v>
      </c>
      <c r="U147" t="s">
        <v>499</v>
      </c>
      <c r="V147" t="s">
        <v>970</v>
      </c>
      <c r="W147" t="s">
        <v>1003</v>
      </c>
      <c r="X147" t="s">
        <v>499</v>
      </c>
      <c r="Y147" t="s">
        <v>869</v>
      </c>
      <c r="Z147" t="s">
        <v>489</v>
      </c>
      <c r="AA147" t="s">
        <v>498</v>
      </c>
      <c r="AB147" t="s">
        <v>883</v>
      </c>
      <c r="AC147" t="s">
        <v>869</v>
      </c>
      <c r="AE147" t="s">
        <v>521</v>
      </c>
      <c r="AF147" t="s">
        <v>469</v>
      </c>
      <c r="AH147" t="s">
        <v>469</v>
      </c>
      <c r="AI147" t="s">
        <v>489</v>
      </c>
      <c r="AJ147" t="s">
        <v>869</v>
      </c>
      <c r="AK147" t="s">
        <v>1120</v>
      </c>
    </row>
    <row r="148" spans="1:37" ht="16.5" customHeight="1">
      <c r="A148" s="348" t="s">
        <v>1271</v>
      </c>
      <c r="B148" t="s">
        <v>342</v>
      </c>
      <c r="C148" t="s">
        <v>735</v>
      </c>
      <c r="D148" t="s">
        <v>475</v>
      </c>
      <c r="E148" t="s">
        <v>905</v>
      </c>
      <c r="F148" t="s">
        <v>977</v>
      </c>
      <c r="G148" t="s">
        <v>469</v>
      </c>
      <c r="H148" t="s">
        <v>469</v>
      </c>
      <c r="I148" t="s">
        <v>1121</v>
      </c>
      <c r="J148" s="349" t="s">
        <v>1272</v>
      </c>
      <c r="K148" t="s">
        <v>516</v>
      </c>
      <c r="L148" t="s">
        <v>627</v>
      </c>
      <c r="M148" t="s">
        <v>479</v>
      </c>
      <c r="P148" t="s">
        <v>1122</v>
      </c>
      <c r="Q148" t="s">
        <v>498</v>
      </c>
      <c r="R148" t="s">
        <v>469</v>
      </c>
      <c r="S148" t="s">
        <v>482</v>
      </c>
      <c r="T148" t="s">
        <v>483</v>
      </c>
      <c r="U148" t="s">
        <v>499</v>
      </c>
      <c r="V148" t="s">
        <v>970</v>
      </c>
      <c r="W148" t="s">
        <v>1003</v>
      </c>
      <c r="X148" t="s">
        <v>499</v>
      </c>
      <c r="Y148" t="s">
        <v>869</v>
      </c>
      <c r="Z148" t="s">
        <v>489</v>
      </c>
      <c r="AA148" t="s">
        <v>498</v>
      </c>
      <c r="AB148" t="s">
        <v>883</v>
      </c>
      <c r="AC148" t="s">
        <v>869</v>
      </c>
      <c r="AE148" t="s">
        <v>521</v>
      </c>
      <c r="AF148" t="s">
        <v>469</v>
      </c>
      <c r="AH148" t="s">
        <v>469</v>
      </c>
      <c r="AI148" t="s">
        <v>489</v>
      </c>
      <c r="AJ148" t="s">
        <v>869</v>
      </c>
      <c r="AK148" t="s">
        <v>1123</v>
      </c>
    </row>
    <row r="149" spans="1:37" ht="16.5" customHeight="1">
      <c r="A149" s="348" t="s">
        <v>1271</v>
      </c>
      <c r="B149" t="s">
        <v>1124</v>
      </c>
      <c r="C149" t="s">
        <v>735</v>
      </c>
      <c r="D149" t="s">
        <v>475</v>
      </c>
      <c r="E149" t="s">
        <v>905</v>
      </c>
      <c r="F149" t="s">
        <v>977</v>
      </c>
      <c r="G149" t="s">
        <v>469</v>
      </c>
      <c r="H149" t="s">
        <v>469</v>
      </c>
      <c r="I149" t="s">
        <v>1125</v>
      </c>
      <c r="J149" s="349" t="s">
        <v>1272</v>
      </c>
      <c r="K149" t="s">
        <v>1101</v>
      </c>
      <c r="L149" t="s">
        <v>680</v>
      </c>
      <c r="M149" t="s">
        <v>479</v>
      </c>
      <c r="P149" t="s">
        <v>1126</v>
      </c>
      <c r="Q149" t="s">
        <v>498</v>
      </c>
      <c r="R149" t="s">
        <v>469</v>
      </c>
      <c r="S149" t="s">
        <v>482</v>
      </c>
      <c r="T149" t="s">
        <v>483</v>
      </c>
      <c r="U149" t="s">
        <v>499</v>
      </c>
      <c r="V149" t="s">
        <v>970</v>
      </c>
      <c r="W149" t="s">
        <v>1003</v>
      </c>
      <c r="X149" t="s">
        <v>499</v>
      </c>
      <c r="Y149" t="s">
        <v>869</v>
      </c>
      <c r="Z149" t="s">
        <v>489</v>
      </c>
      <c r="AA149" t="s">
        <v>498</v>
      </c>
      <c r="AB149" t="s">
        <v>883</v>
      </c>
      <c r="AC149" t="s">
        <v>869</v>
      </c>
      <c r="AE149" t="s">
        <v>521</v>
      </c>
      <c r="AF149" t="s">
        <v>469</v>
      </c>
      <c r="AH149" t="s">
        <v>469</v>
      </c>
      <c r="AI149" t="s">
        <v>489</v>
      </c>
      <c r="AJ149" t="s">
        <v>869</v>
      </c>
      <c r="AK149" t="s">
        <v>1127</v>
      </c>
    </row>
    <row r="150" spans="1:37" ht="16.5" customHeight="1">
      <c r="A150" s="348" t="s">
        <v>1271</v>
      </c>
      <c r="B150" t="s">
        <v>343</v>
      </c>
      <c r="C150" t="s">
        <v>735</v>
      </c>
      <c r="D150" t="s">
        <v>475</v>
      </c>
      <c r="E150" t="s">
        <v>905</v>
      </c>
      <c r="F150" t="s">
        <v>977</v>
      </c>
      <c r="G150" t="s">
        <v>469</v>
      </c>
      <c r="H150" t="s">
        <v>469</v>
      </c>
      <c r="I150" t="s">
        <v>1128</v>
      </c>
      <c r="J150" s="349" t="s">
        <v>1272</v>
      </c>
      <c r="K150" t="s">
        <v>1337</v>
      </c>
      <c r="L150" t="s">
        <v>815</v>
      </c>
      <c r="M150" t="s">
        <v>479</v>
      </c>
      <c r="P150" t="s">
        <v>1129</v>
      </c>
      <c r="Q150" t="s">
        <v>498</v>
      </c>
      <c r="R150" t="s">
        <v>469</v>
      </c>
      <c r="S150" t="s">
        <v>482</v>
      </c>
      <c r="T150" t="s">
        <v>483</v>
      </c>
      <c r="U150" t="s">
        <v>499</v>
      </c>
      <c r="V150" t="s">
        <v>970</v>
      </c>
      <c r="W150" t="s">
        <v>1003</v>
      </c>
      <c r="X150" t="s">
        <v>499</v>
      </c>
      <c r="Y150" t="s">
        <v>869</v>
      </c>
      <c r="Z150" t="s">
        <v>489</v>
      </c>
      <c r="AA150" t="s">
        <v>498</v>
      </c>
      <c r="AB150" t="s">
        <v>883</v>
      </c>
      <c r="AC150" t="s">
        <v>869</v>
      </c>
      <c r="AE150" t="s">
        <v>521</v>
      </c>
      <c r="AF150" t="s">
        <v>469</v>
      </c>
      <c r="AH150" t="s">
        <v>469</v>
      </c>
      <c r="AI150" t="s">
        <v>489</v>
      </c>
      <c r="AJ150" t="s">
        <v>869</v>
      </c>
      <c r="AK150" t="s">
        <v>1130</v>
      </c>
    </row>
    <row r="151" spans="1:37" ht="16.5" customHeight="1">
      <c r="A151" s="348" t="s">
        <v>1271</v>
      </c>
      <c r="B151" t="s">
        <v>1131</v>
      </c>
      <c r="C151" t="s">
        <v>735</v>
      </c>
      <c r="D151" t="s">
        <v>475</v>
      </c>
      <c r="E151" t="s">
        <v>1132</v>
      </c>
      <c r="F151" t="s">
        <v>977</v>
      </c>
      <c r="G151" t="s">
        <v>469</v>
      </c>
      <c r="H151" t="s">
        <v>469</v>
      </c>
      <c r="I151" t="s">
        <v>1133</v>
      </c>
      <c r="J151" s="349" t="s">
        <v>1272</v>
      </c>
      <c r="K151" t="s">
        <v>516</v>
      </c>
      <c r="M151" t="s">
        <v>997</v>
      </c>
      <c r="P151" t="s">
        <v>1134</v>
      </c>
      <c r="Q151" t="s">
        <v>498</v>
      </c>
      <c r="R151" t="s">
        <v>469</v>
      </c>
      <c r="S151" t="s">
        <v>482</v>
      </c>
      <c r="T151" t="s">
        <v>900</v>
      </c>
      <c r="U151" t="s">
        <v>994</v>
      </c>
      <c r="V151" t="s">
        <v>970</v>
      </c>
      <c r="W151" t="s">
        <v>1003</v>
      </c>
      <c r="X151" t="s">
        <v>994</v>
      </c>
      <c r="Y151" t="s">
        <v>882</v>
      </c>
      <c r="Z151" t="s">
        <v>648</v>
      </c>
      <c r="AA151" t="s">
        <v>498</v>
      </c>
      <c r="AB151" t="s">
        <v>883</v>
      </c>
      <c r="AC151" t="s">
        <v>882</v>
      </c>
      <c r="AE151" t="s">
        <v>521</v>
      </c>
      <c r="AF151" t="s">
        <v>469</v>
      </c>
      <c r="AH151" t="s">
        <v>469</v>
      </c>
      <c r="AI151" t="s">
        <v>648</v>
      </c>
      <c r="AJ151" t="s">
        <v>882</v>
      </c>
      <c r="AK151" t="s">
        <v>1135</v>
      </c>
    </row>
    <row r="152" spans="1:37" ht="16.5" customHeight="1">
      <c r="A152" s="348" t="s">
        <v>1271</v>
      </c>
      <c r="B152" t="s">
        <v>1136</v>
      </c>
      <c r="C152" t="s">
        <v>735</v>
      </c>
      <c r="D152" t="s">
        <v>475</v>
      </c>
      <c r="E152" t="s">
        <v>1132</v>
      </c>
      <c r="F152" t="s">
        <v>977</v>
      </c>
      <c r="G152" t="s">
        <v>469</v>
      </c>
      <c r="H152" t="s">
        <v>469</v>
      </c>
      <c r="I152" t="s">
        <v>1137</v>
      </c>
      <c r="J152" s="349" t="s">
        <v>1272</v>
      </c>
      <c r="K152" t="s">
        <v>516</v>
      </c>
      <c r="M152" t="s">
        <v>997</v>
      </c>
      <c r="P152" t="s">
        <v>1138</v>
      </c>
      <c r="Q152" t="s">
        <v>498</v>
      </c>
      <c r="R152" t="s">
        <v>469</v>
      </c>
      <c r="S152" t="s">
        <v>482</v>
      </c>
      <c r="T152" t="s">
        <v>900</v>
      </c>
      <c r="U152" t="s">
        <v>994</v>
      </c>
      <c r="V152" t="s">
        <v>970</v>
      </c>
      <c r="W152" t="s">
        <v>1003</v>
      </c>
      <c r="X152" t="s">
        <v>994</v>
      </c>
      <c r="Y152" t="s">
        <v>882</v>
      </c>
      <c r="Z152" t="s">
        <v>648</v>
      </c>
      <c r="AA152" t="s">
        <v>498</v>
      </c>
      <c r="AB152" t="s">
        <v>883</v>
      </c>
      <c r="AC152" t="s">
        <v>882</v>
      </c>
      <c r="AE152" t="s">
        <v>521</v>
      </c>
      <c r="AF152" t="s">
        <v>469</v>
      </c>
      <c r="AH152" t="s">
        <v>469</v>
      </c>
      <c r="AI152" t="s">
        <v>648</v>
      </c>
      <c r="AJ152" t="s">
        <v>882</v>
      </c>
      <c r="AK152" t="s">
        <v>1139</v>
      </c>
    </row>
    <row r="153" spans="1:37" ht="16.5" customHeight="1">
      <c r="A153" s="348" t="s">
        <v>1271</v>
      </c>
      <c r="B153" t="s">
        <v>1140</v>
      </c>
      <c r="C153" t="s">
        <v>735</v>
      </c>
      <c r="D153" t="s">
        <v>475</v>
      </c>
      <c r="E153" t="s">
        <v>956</v>
      </c>
      <c r="F153" t="s">
        <v>977</v>
      </c>
      <c r="G153" t="s">
        <v>469</v>
      </c>
      <c r="H153" t="s">
        <v>469</v>
      </c>
      <c r="I153" t="s">
        <v>1141</v>
      </c>
      <c r="J153" s="349" t="s">
        <v>1272</v>
      </c>
      <c r="K153" t="s">
        <v>516</v>
      </c>
      <c r="M153" t="s">
        <v>816</v>
      </c>
      <c r="P153" t="s">
        <v>1142</v>
      </c>
      <c r="Q153" t="s">
        <v>498</v>
      </c>
      <c r="R153" t="s">
        <v>469</v>
      </c>
      <c r="S153" t="s">
        <v>482</v>
      </c>
      <c r="T153" t="s">
        <v>900</v>
      </c>
      <c r="U153" t="s">
        <v>994</v>
      </c>
      <c r="V153" t="s">
        <v>970</v>
      </c>
      <c r="W153" t="s">
        <v>1003</v>
      </c>
      <c r="X153" t="s">
        <v>994</v>
      </c>
      <c r="Y153" t="s">
        <v>869</v>
      </c>
      <c r="Z153" t="s">
        <v>971</v>
      </c>
      <c r="AA153" t="s">
        <v>498</v>
      </c>
      <c r="AB153" t="s">
        <v>818</v>
      </c>
      <c r="AC153" t="s">
        <v>869</v>
      </c>
      <c r="AE153" t="s">
        <v>521</v>
      </c>
      <c r="AF153" t="s">
        <v>469</v>
      </c>
      <c r="AH153" t="s">
        <v>469</v>
      </c>
      <c r="AI153" t="s">
        <v>971</v>
      </c>
      <c r="AJ153" t="s">
        <v>869</v>
      </c>
      <c r="AK153" t="s">
        <v>1143</v>
      </c>
    </row>
    <row r="154" spans="1:37" ht="16.5" customHeight="1">
      <c r="A154" s="348" t="s">
        <v>1271</v>
      </c>
      <c r="B154" t="s">
        <v>1144</v>
      </c>
      <c r="C154" t="s">
        <v>735</v>
      </c>
      <c r="D154" t="s">
        <v>475</v>
      </c>
      <c r="E154" t="s">
        <v>1027</v>
      </c>
      <c r="F154" t="s">
        <v>977</v>
      </c>
      <c r="G154" t="s">
        <v>469</v>
      </c>
      <c r="H154" t="s">
        <v>469</v>
      </c>
      <c r="I154" t="s">
        <v>1145</v>
      </c>
      <c r="J154" s="349" t="s">
        <v>1272</v>
      </c>
      <c r="K154" t="s">
        <v>516</v>
      </c>
      <c r="M154" t="s">
        <v>816</v>
      </c>
      <c r="P154" t="s">
        <v>1146</v>
      </c>
      <c r="Q154" t="s">
        <v>498</v>
      </c>
      <c r="R154" t="s">
        <v>469</v>
      </c>
      <c r="S154" t="s">
        <v>482</v>
      </c>
      <c r="T154" t="s">
        <v>742</v>
      </c>
      <c r="U154" t="s">
        <v>994</v>
      </c>
      <c r="V154" t="s">
        <v>970</v>
      </c>
      <c r="W154" t="s">
        <v>1003</v>
      </c>
      <c r="X154" t="s">
        <v>994</v>
      </c>
      <c r="Y154" t="s">
        <v>882</v>
      </c>
      <c r="Z154" t="s">
        <v>971</v>
      </c>
      <c r="AA154" t="s">
        <v>1147</v>
      </c>
      <c r="AB154" t="s">
        <v>818</v>
      </c>
      <c r="AC154" t="s">
        <v>882</v>
      </c>
      <c r="AE154" t="s">
        <v>521</v>
      </c>
      <c r="AF154" t="s">
        <v>1148</v>
      </c>
      <c r="AH154" t="s">
        <v>469</v>
      </c>
      <c r="AI154" t="s">
        <v>971</v>
      </c>
      <c r="AJ154" t="s">
        <v>882</v>
      </c>
      <c r="AK154" t="s">
        <v>1149</v>
      </c>
    </row>
    <row r="155" spans="1:37" ht="16.5" customHeight="1">
      <c r="A155" s="348" t="s">
        <v>1271</v>
      </c>
      <c r="B155" t="s">
        <v>1150</v>
      </c>
      <c r="C155" t="s">
        <v>735</v>
      </c>
      <c r="D155" t="s">
        <v>475</v>
      </c>
      <c r="E155" t="s">
        <v>905</v>
      </c>
      <c r="F155" t="s">
        <v>977</v>
      </c>
      <c r="G155" t="s">
        <v>469</v>
      </c>
      <c r="H155" t="s">
        <v>469</v>
      </c>
      <c r="I155" t="s">
        <v>1151</v>
      </c>
      <c r="J155" s="349" t="s">
        <v>1272</v>
      </c>
      <c r="K155" t="s">
        <v>516</v>
      </c>
      <c r="L155" t="s">
        <v>627</v>
      </c>
      <c r="M155" t="s">
        <v>479</v>
      </c>
      <c r="P155" t="s">
        <v>1152</v>
      </c>
      <c r="Q155" t="s">
        <v>498</v>
      </c>
      <c r="R155" t="s">
        <v>469</v>
      </c>
      <c r="S155" t="s">
        <v>482</v>
      </c>
      <c r="T155" t="s">
        <v>483</v>
      </c>
      <c r="U155" t="s">
        <v>499</v>
      </c>
      <c r="V155" t="s">
        <v>745</v>
      </c>
      <c r="W155" t="s">
        <v>1003</v>
      </c>
      <c r="X155" t="s">
        <v>499</v>
      </c>
      <c r="Y155" t="s">
        <v>869</v>
      </c>
      <c r="Z155" t="s">
        <v>489</v>
      </c>
      <c r="AA155" t="s">
        <v>498</v>
      </c>
      <c r="AB155" t="s">
        <v>883</v>
      </c>
      <c r="AC155" t="s">
        <v>869</v>
      </c>
      <c r="AE155" t="s">
        <v>521</v>
      </c>
      <c r="AF155" t="s">
        <v>469</v>
      </c>
      <c r="AH155" t="s">
        <v>469</v>
      </c>
      <c r="AI155" t="s">
        <v>489</v>
      </c>
      <c r="AJ155" t="s">
        <v>869</v>
      </c>
      <c r="AK155" t="s">
        <v>1153</v>
      </c>
    </row>
    <row r="156" spans="1:37" ht="16.5" customHeight="1">
      <c r="A156" s="348" t="s">
        <v>1271</v>
      </c>
      <c r="B156" t="s">
        <v>1154</v>
      </c>
      <c r="C156" t="s">
        <v>735</v>
      </c>
      <c r="D156" t="s">
        <v>475</v>
      </c>
      <c r="E156" t="s">
        <v>772</v>
      </c>
      <c r="F156" t="s">
        <v>977</v>
      </c>
      <c r="G156" t="s">
        <v>469</v>
      </c>
      <c r="H156" t="s">
        <v>469</v>
      </c>
      <c r="I156" t="s">
        <v>1155</v>
      </c>
      <c r="J156" s="349" t="s">
        <v>1272</v>
      </c>
      <c r="K156" t="s">
        <v>516</v>
      </c>
      <c r="L156" t="s">
        <v>627</v>
      </c>
      <c r="M156" t="s">
        <v>479</v>
      </c>
      <c r="P156" t="s">
        <v>1156</v>
      </c>
      <c r="Q156" t="s">
        <v>740</v>
      </c>
      <c r="R156" t="s">
        <v>469</v>
      </c>
      <c r="S156" t="s">
        <v>741</v>
      </c>
      <c r="T156" t="s">
        <v>742</v>
      </c>
      <c r="U156" t="s">
        <v>499</v>
      </c>
      <c r="V156" t="s">
        <v>745</v>
      </c>
      <c r="W156" t="s">
        <v>1003</v>
      </c>
      <c r="X156" t="s">
        <v>489</v>
      </c>
      <c r="Y156" t="s">
        <v>882</v>
      </c>
      <c r="AC156" t="s">
        <v>521</v>
      </c>
      <c r="AE156" t="s">
        <v>521</v>
      </c>
      <c r="AF156" t="s">
        <v>469</v>
      </c>
      <c r="AH156" t="s">
        <v>469</v>
      </c>
      <c r="AI156" t="s">
        <v>744</v>
      </c>
      <c r="AJ156" t="s">
        <v>882</v>
      </c>
      <c r="AK156" t="s">
        <v>1157</v>
      </c>
    </row>
    <row r="157" spans="1:37" ht="16.5" customHeight="1">
      <c r="A157" s="348" t="s">
        <v>1271</v>
      </c>
      <c r="B157" t="s">
        <v>1158</v>
      </c>
      <c r="C157" t="s">
        <v>735</v>
      </c>
      <c r="D157" t="s">
        <v>475</v>
      </c>
      <c r="E157" t="s">
        <v>905</v>
      </c>
      <c r="F157" t="s">
        <v>977</v>
      </c>
      <c r="G157" t="s">
        <v>469</v>
      </c>
      <c r="H157" t="s">
        <v>469</v>
      </c>
      <c r="I157" t="s">
        <v>1159</v>
      </c>
      <c r="J157" s="349" t="s">
        <v>1272</v>
      </c>
      <c r="K157" t="s">
        <v>516</v>
      </c>
      <c r="M157" t="s">
        <v>816</v>
      </c>
      <c r="P157" t="s">
        <v>1160</v>
      </c>
      <c r="Q157" t="s">
        <v>498</v>
      </c>
      <c r="R157" t="s">
        <v>469</v>
      </c>
      <c r="S157" t="s">
        <v>482</v>
      </c>
      <c r="T157" t="s">
        <v>483</v>
      </c>
      <c r="U157" t="s">
        <v>994</v>
      </c>
      <c r="V157" t="s">
        <v>745</v>
      </c>
      <c r="W157" t="s">
        <v>883</v>
      </c>
      <c r="X157" t="s">
        <v>994</v>
      </c>
      <c r="Y157" t="s">
        <v>869</v>
      </c>
      <c r="Z157" t="s">
        <v>489</v>
      </c>
      <c r="AA157" t="s">
        <v>498</v>
      </c>
      <c r="AB157" t="s">
        <v>883</v>
      </c>
      <c r="AC157" t="s">
        <v>869</v>
      </c>
      <c r="AE157" t="s">
        <v>521</v>
      </c>
      <c r="AF157" t="s">
        <v>469</v>
      </c>
      <c r="AH157" t="s">
        <v>469</v>
      </c>
      <c r="AI157" t="s">
        <v>489</v>
      </c>
      <c r="AJ157" t="s">
        <v>869</v>
      </c>
      <c r="AK157" t="s">
        <v>1161</v>
      </c>
    </row>
    <row r="158" spans="1:37" ht="16.5" customHeight="1">
      <c r="A158" s="348" t="s">
        <v>1271</v>
      </c>
      <c r="B158" t="s">
        <v>1162</v>
      </c>
      <c r="C158" t="s">
        <v>735</v>
      </c>
      <c r="D158" t="s">
        <v>475</v>
      </c>
      <c r="E158" t="s">
        <v>952</v>
      </c>
      <c r="F158" t="s">
        <v>977</v>
      </c>
      <c r="G158" t="s">
        <v>469</v>
      </c>
      <c r="H158" t="s">
        <v>469</v>
      </c>
      <c r="I158" t="s">
        <v>1163</v>
      </c>
      <c r="J158" s="349" t="s">
        <v>1272</v>
      </c>
      <c r="K158" t="s">
        <v>516</v>
      </c>
      <c r="M158" t="s">
        <v>997</v>
      </c>
      <c r="P158" t="s">
        <v>1164</v>
      </c>
      <c r="Q158" t="s">
        <v>498</v>
      </c>
      <c r="R158" t="s">
        <v>469</v>
      </c>
      <c r="S158" t="s">
        <v>482</v>
      </c>
      <c r="T158" t="s">
        <v>483</v>
      </c>
      <c r="U158" t="s">
        <v>994</v>
      </c>
      <c r="V158" t="s">
        <v>745</v>
      </c>
      <c r="W158" t="s">
        <v>883</v>
      </c>
      <c r="X158" t="s">
        <v>994</v>
      </c>
      <c r="Y158" t="s">
        <v>882</v>
      </c>
      <c r="Z158" t="s">
        <v>648</v>
      </c>
      <c r="AA158" t="s">
        <v>498</v>
      </c>
      <c r="AB158" t="s">
        <v>883</v>
      </c>
      <c r="AC158" t="s">
        <v>882</v>
      </c>
      <c r="AE158" t="s">
        <v>521</v>
      </c>
      <c r="AF158" t="s">
        <v>469</v>
      </c>
      <c r="AH158" t="s">
        <v>469</v>
      </c>
      <c r="AI158" t="s">
        <v>648</v>
      </c>
      <c r="AJ158" t="s">
        <v>882</v>
      </c>
      <c r="AK158" t="s">
        <v>1165</v>
      </c>
    </row>
    <row r="159" spans="1:37" ht="16.5" customHeight="1">
      <c r="A159" s="348" t="s">
        <v>1271</v>
      </c>
      <c r="B159" t="s">
        <v>344</v>
      </c>
      <c r="C159" t="s">
        <v>735</v>
      </c>
      <c r="D159" t="s">
        <v>475</v>
      </c>
      <c r="E159" t="s">
        <v>1132</v>
      </c>
      <c r="F159" t="s">
        <v>977</v>
      </c>
      <c r="G159" t="s">
        <v>469</v>
      </c>
      <c r="H159" t="s">
        <v>469</v>
      </c>
      <c r="I159" t="s">
        <v>1166</v>
      </c>
      <c r="J159" s="349" t="s">
        <v>1272</v>
      </c>
      <c r="K159" t="s">
        <v>516</v>
      </c>
      <c r="M159" t="s">
        <v>997</v>
      </c>
      <c r="P159" t="s">
        <v>1167</v>
      </c>
      <c r="Q159" t="s">
        <v>498</v>
      </c>
      <c r="R159" t="s">
        <v>469</v>
      </c>
      <c r="S159" t="s">
        <v>482</v>
      </c>
      <c r="T159" t="s">
        <v>900</v>
      </c>
      <c r="U159" t="s">
        <v>994</v>
      </c>
      <c r="V159" t="s">
        <v>745</v>
      </c>
      <c r="W159" t="s">
        <v>883</v>
      </c>
      <c r="X159" t="s">
        <v>994</v>
      </c>
      <c r="Y159" t="s">
        <v>882</v>
      </c>
      <c r="Z159" t="s">
        <v>648</v>
      </c>
      <c r="AA159" t="s">
        <v>498</v>
      </c>
      <c r="AB159" t="s">
        <v>883</v>
      </c>
      <c r="AC159" t="s">
        <v>882</v>
      </c>
      <c r="AE159" t="s">
        <v>521</v>
      </c>
      <c r="AF159" t="s">
        <v>469</v>
      </c>
      <c r="AH159" t="s">
        <v>469</v>
      </c>
      <c r="AI159" t="s">
        <v>648</v>
      </c>
      <c r="AJ159" t="s">
        <v>882</v>
      </c>
      <c r="AK159" t="s">
        <v>1168</v>
      </c>
    </row>
    <row r="160" spans="1:37" ht="16.5" customHeight="1">
      <c r="A160" s="348" t="s">
        <v>1271</v>
      </c>
      <c r="B160" t="s">
        <v>1169</v>
      </c>
      <c r="C160" t="s">
        <v>735</v>
      </c>
      <c r="D160" t="s">
        <v>475</v>
      </c>
      <c r="E160" t="s">
        <v>1132</v>
      </c>
      <c r="F160" t="s">
        <v>977</v>
      </c>
      <c r="G160" t="s">
        <v>469</v>
      </c>
      <c r="H160" t="s">
        <v>469</v>
      </c>
      <c r="I160" t="s">
        <v>1170</v>
      </c>
      <c r="J160" s="349" t="s">
        <v>1272</v>
      </c>
      <c r="K160" t="s">
        <v>516</v>
      </c>
      <c r="M160" t="s">
        <v>816</v>
      </c>
      <c r="P160" t="s">
        <v>1171</v>
      </c>
      <c r="Q160" t="s">
        <v>498</v>
      </c>
      <c r="R160" t="s">
        <v>469</v>
      </c>
      <c r="S160" t="s">
        <v>482</v>
      </c>
      <c r="T160" t="s">
        <v>900</v>
      </c>
      <c r="U160" t="s">
        <v>994</v>
      </c>
      <c r="V160" t="s">
        <v>745</v>
      </c>
      <c r="W160" t="s">
        <v>883</v>
      </c>
      <c r="X160" t="s">
        <v>994</v>
      </c>
      <c r="Y160" t="s">
        <v>882</v>
      </c>
      <c r="Z160" t="s">
        <v>971</v>
      </c>
      <c r="AA160" t="s">
        <v>498</v>
      </c>
      <c r="AB160" t="s">
        <v>818</v>
      </c>
      <c r="AC160" t="s">
        <v>882</v>
      </c>
      <c r="AE160" t="s">
        <v>521</v>
      </c>
      <c r="AF160" t="s">
        <v>469</v>
      </c>
      <c r="AH160" t="s">
        <v>469</v>
      </c>
      <c r="AI160" t="s">
        <v>971</v>
      </c>
      <c r="AJ160" t="s">
        <v>882</v>
      </c>
      <c r="AK160" t="s">
        <v>1172</v>
      </c>
    </row>
    <row r="161" spans="1:37" ht="16.5" customHeight="1">
      <c r="A161" s="348" t="s">
        <v>1271</v>
      </c>
      <c r="B161" t="s">
        <v>1173</v>
      </c>
      <c r="C161" t="s">
        <v>735</v>
      </c>
      <c r="D161" t="s">
        <v>475</v>
      </c>
      <c r="E161" t="s">
        <v>952</v>
      </c>
      <c r="F161" t="s">
        <v>977</v>
      </c>
      <c r="G161" t="s">
        <v>469</v>
      </c>
      <c r="H161" t="s">
        <v>469</v>
      </c>
      <c r="I161" t="s">
        <v>1174</v>
      </c>
      <c r="J161" s="349" t="s">
        <v>1272</v>
      </c>
      <c r="K161" t="s">
        <v>1337</v>
      </c>
      <c r="L161" t="s">
        <v>815</v>
      </c>
      <c r="M161" t="s">
        <v>479</v>
      </c>
      <c r="P161" t="s">
        <v>1175</v>
      </c>
      <c r="Q161" t="s">
        <v>498</v>
      </c>
      <c r="R161" t="s">
        <v>469</v>
      </c>
      <c r="S161" t="s">
        <v>482</v>
      </c>
      <c r="T161" t="s">
        <v>483</v>
      </c>
      <c r="U161" t="s">
        <v>499</v>
      </c>
      <c r="V161" t="s">
        <v>745</v>
      </c>
      <c r="W161" t="s">
        <v>883</v>
      </c>
      <c r="X161" t="s">
        <v>499</v>
      </c>
      <c r="Y161" t="s">
        <v>882</v>
      </c>
      <c r="Z161" t="s">
        <v>727</v>
      </c>
      <c r="AA161" t="s">
        <v>498</v>
      </c>
      <c r="AB161" t="s">
        <v>818</v>
      </c>
      <c r="AC161" t="s">
        <v>882</v>
      </c>
      <c r="AE161" t="s">
        <v>521</v>
      </c>
      <c r="AF161" t="s">
        <v>469</v>
      </c>
      <c r="AH161" t="s">
        <v>469</v>
      </c>
      <c r="AI161" t="s">
        <v>727</v>
      </c>
      <c r="AJ161" t="s">
        <v>882</v>
      </c>
      <c r="AK161" t="s">
        <v>1176</v>
      </c>
    </row>
    <row r="162" spans="1:37" ht="16.5" customHeight="1">
      <c r="A162" s="348" t="s">
        <v>1271</v>
      </c>
      <c r="B162" t="s">
        <v>345</v>
      </c>
      <c r="C162" t="s">
        <v>735</v>
      </c>
      <c r="D162" t="s">
        <v>475</v>
      </c>
      <c r="E162" t="s">
        <v>956</v>
      </c>
      <c r="F162" t="s">
        <v>977</v>
      </c>
      <c r="G162" t="s">
        <v>469</v>
      </c>
      <c r="H162" t="s">
        <v>469</v>
      </c>
      <c r="I162" t="s">
        <v>1177</v>
      </c>
      <c r="J162" s="349" t="s">
        <v>1272</v>
      </c>
      <c r="K162" t="s">
        <v>1337</v>
      </c>
      <c r="L162" t="s">
        <v>815</v>
      </c>
      <c r="M162" t="s">
        <v>479</v>
      </c>
      <c r="P162" t="s">
        <v>1178</v>
      </c>
      <c r="Q162" t="s">
        <v>498</v>
      </c>
      <c r="R162" t="s">
        <v>469</v>
      </c>
      <c r="S162" t="s">
        <v>482</v>
      </c>
      <c r="T162" t="s">
        <v>900</v>
      </c>
      <c r="U162" t="s">
        <v>499</v>
      </c>
      <c r="V162" t="s">
        <v>745</v>
      </c>
      <c r="W162" t="s">
        <v>883</v>
      </c>
      <c r="X162" t="s">
        <v>499</v>
      </c>
      <c r="Y162" t="s">
        <v>869</v>
      </c>
      <c r="Z162" t="s">
        <v>648</v>
      </c>
      <c r="AA162" t="s">
        <v>498</v>
      </c>
      <c r="AB162" t="s">
        <v>883</v>
      </c>
      <c r="AC162" t="s">
        <v>869</v>
      </c>
      <c r="AE162" t="s">
        <v>521</v>
      </c>
      <c r="AF162" t="s">
        <v>469</v>
      </c>
      <c r="AH162" t="s">
        <v>469</v>
      </c>
      <c r="AI162" t="s">
        <v>648</v>
      </c>
      <c r="AJ162" t="s">
        <v>869</v>
      </c>
      <c r="AK162" t="s">
        <v>1179</v>
      </c>
    </row>
    <row r="163" spans="1:37" ht="16.5" customHeight="1">
      <c r="A163" s="348" t="s">
        <v>1271</v>
      </c>
      <c r="B163" t="s">
        <v>346</v>
      </c>
      <c r="C163" t="s">
        <v>735</v>
      </c>
      <c r="D163" t="s">
        <v>475</v>
      </c>
      <c r="E163" t="s">
        <v>772</v>
      </c>
      <c r="F163" t="s">
        <v>977</v>
      </c>
      <c r="G163" t="s">
        <v>469</v>
      </c>
      <c r="H163" t="s">
        <v>469</v>
      </c>
      <c r="I163" t="s">
        <v>1180</v>
      </c>
      <c r="J163" s="349" t="s">
        <v>1272</v>
      </c>
      <c r="K163" t="s">
        <v>1337</v>
      </c>
      <c r="L163" t="s">
        <v>815</v>
      </c>
      <c r="M163" t="s">
        <v>479</v>
      </c>
      <c r="P163" t="s">
        <v>1181</v>
      </c>
      <c r="Q163" t="s">
        <v>498</v>
      </c>
      <c r="R163" t="s">
        <v>469</v>
      </c>
      <c r="S163" t="s">
        <v>482</v>
      </c>
      <c r="T163" t="s">
        <v>742</v>
      </c>
      <c r="U163" t="s">
        <v>499</v>
      </c>
      <c r="V163" t="s">
        <v>745</v>
      </c>
      <c r="W163" t="s">
        <v>883</v>
      </c>
      <c r="X163" t="s">
        <v>499</v>
      </c>
      <c r="Y163" t="s">
        <v>882</v>
      </c>
      <c r="Z163" t="s">
        <v>489</v>
      </c>
      <c r="AA163" t="s">
        <v>498</v>
      </c>
      <c r="AB163" t="s">
        <v>818</v>
      </c>
      <c r="AC163" t="s">
        <v>882</v>
      </c>
      <c r="AE163" t="s">
        <v>521</v>
      </c>
      <c r="AF163" t="s">
        <v>469</v>
      </c>
      <c r="AH163" t="s">
        <v>469</v>
      </c>
      <c r="AI163" t="s">
        <v>489</v>
      </c>
      <c r="AJ163" t="s">
        <v>882</v>
      </c>
      <c r="AK163" t="s">
        <v>1182</v>
      </c>
    </row>
    <row r="164" spans="1:37" ht="16.5" customHeight="1">
      <c r="A164" s="348" t="s">
        <v>1271</v>
      </c>
      <c r="B164" t="s">
        <v>1183</v>
      </c>
      <c r="C164" t="s">
        <v>735</v>
      </c>
      <c r="D164" t="s">
        <v>475</v>
      </c>
      <c r="E164" t="s">
        <v>952</v>
      </c>
      <c r="F164" t="s">
        <v>977</v>
      </c>
      <c r="G164" t="s">
        <v>469</v>
      </c>
      <c r="H164" t="s">
        <v>469</v>
      </c>
      <c r="I164" t="s">
        <v>1184</v>
      </c>
      <c r="J164" s="349" t="s">
        <v>1272</v>
      </c>
      <c r="K164" t="s">
        <v>516</v>
      </c>
      <c r="L164" t="s">
        <v>627</v>
      </c>
      <c r="M164" t="s">
        <v>479</v>
      </c>
      <c r="P164" t="s">
        <v>1185</v>
      </c>
      <c r="Q164" t="s">
        <v>498</v>
      </c>
      <c r="R164" t="s">
        <v>469</v>
      </c>
      <c r="S164" t="s">
        <v>482</v>
      </c>
      <c r="T164" t="s">
        <v>900</v>
      </c>
      <c r="U164" t="s">
        <v>499</v>
      </c>
      <c r="V164" t="s">
        <v>745</v>
      </c>
      <c r="W164" t="s">
        <v>883</v>
      </c>
      <c r="X164" t="s">
        <v>499</v>
      </c>
      <c r="Y164" t="s">
        <v>882</v>
      </c>
      <c r="Z164" t="s">
        <v>648</v>
      </c>
      <c r="AA164" t="s">
        <v>498</v>
      </c>
      <c r="AB164" t="s">
        <v>883</v>
      </c>
      <c r="AC164" t="s">
        <v>882</v>
      </c>
      <c r="AE164" t="s">
        <v>521</v>
      </c>
      <c r="AF164" t="s">
        <v>469</v>
      </c>
      <c r="AH164" t="s">
        <v>469</v>
      </c>
      <c r="AI164" t="s">
        <v>648</v>
      </c>
      <c r="AJ164" t="s">
        <v>882</v>
      </c>
      <c r="AK164" t="s">
        <v>1186</v>
      </c>
    </row>
    <row r="165" spans="1:37" ht="16.5" customHeight="1">
      <c r="A165" s="348" t="s">
        <v>1271</v>
      </c>
      <c r="B165" t="s">
        <v>347</v>
      </c>
      <c r="C165" t="s">
        <v>735</v>
      </c>
      <c r="D165" t="s">
        <v>475</v>
      </c>
      <c r="E165" t="s">
        <v>772</v>
      </c>
      <c r="F165" t="s">
        <v>977</v>
      </c>
      <c r="G165" t="s">
        <v>469</v>
      </c>
      <c r="H165" t="s">
        <v>469</v>
      </c>
      <c r="I165" t="s">
        <v>1187</v>
      </c>
      <c r="J165" s="349" t="s">
        <v>1272</v>
      </c>
      <c r="K165" t="s">
        <v>516</v>
      </c>
      <c r="M165" t="s">
        <v>479</v>
      </c>
      <c r="P165" t="s">
        <v>1188</v>
      </c>
      <c r="Q165" t="s">
        <v>498</v>
      </c>
      <c r="R165" t="s">
        <v>469</v>
      </c>
      <c r="S165" t="s">
        <v>482</v>
      </c>
      <c r="T165" t="s">
        <v>742</v>
      </c>
      <c r="U165" t="s">
        <v>499</v>
      </c>
      <c r="V165" t="s">
        <v>745</v>
      </c>
      <c r="W165" t="s">
        <v>883</v>
      </c>
      <c r="X165" t="s">
        <v>499</v>
      </c>
      <c r="Y165" t="s">
        <v>869</v>
      </c>
      <c r="Z165" t="s">
        <v>744</v>
      </c>
      <c r="AA165" t="s">
        <v>498</v>
      </c>
      <c r="AB165" t="s">
        <v>883</v>
      </c>
      <c r="AC165" t="s">
        <v>869</v>
      </c>
      <c r="AE165" t="s">
        <v>521</v>
      </c>
      <c r="AF165" t="s">
        <v>469</v>
      </c>
      <c r="AH165" t="s">
        <v>469</v>
      </c>
      <c r="AI165" t="s">
        <v>744</v>
      </c>
      <c r="AJ165" t="s">
        <v>869</v>
      </c>
      <c r="AK165" t="s">
        <v>1189</v>
      </c>
    </row>
    <row r="166" spans="1:37" ht="16.5" customHeight="1">
      <c r="A166" s="348" t="s">
        <v>1271</v>
      </c>
      <c r="B166" t="s">
        <v>1190</v>
      </c>
      <c r="C166" t="s">
        <v>735</v>
      </c>
      <c r="D166" t="s">
        <v>475</v>
      </c>
      <c r="E166" t="s">
        <v>736</v>
      </c>
      <c r="F166" t="s">
        <v>977</v>
      </c>
      <c r="G166" t="s">
        <v>469</v>
      </c>
      <c r="H166" t="s">
        <v>469</v>
      </c>
      <c r="I166" t="s">
        <v>1191</v>
      </c>
      <c r="J166" s="349" t="s">
        <v>1272</v>
      </c>
      <c r="K166" t="s">
        <v>516</v>
      </c>
      <c r="L166" t="s">
        <v>627</v>
      </c>
      <c r="M166" t="s">
        <v>479</v>
      </c>
      <c r="P166" t="s">
        <v>1192</v>
      </c>
      <c r="Q166" t="s">
        <v>498</v>
      </c>
      <c r="R166" t="s">
        <v>469</v>
      </c>
      <c r="S166" t="s">
        <v>482</v>
      </c>
      <c r="T166" t="s">
        <v>483</v>
      </c>
      <c r="U166" t="s">
        <v>499</v>
      </c>
      <c r="V166" t="s">
        <v>745</v>
      </c>
      <c r="W166" t="s">
        <v>883</v>
      </c>
      <c r="X166" t="s">
        <v>499</v>
      </c>
      <c r="Y166" t="s">
        <v>882</v>
      </c>
      <c r="Z166" t="s">
        <v>648</v>
      </c>
      <c r="AA166" t="s">
        <v>581</v>
      </c>
      <c r="AB166" t="s">
        <v>818</v>
      </c>
      <c r="AC166" t="s">
        <v>882</v>
      </c>
      <c r="AE166" t="s">
        <v>521</v>
      </c>
      <c r="AF166" t="s">
        <v>469</v>
      </c>
      <c r="AH166" t="s">
        <v>469</v>
      </c>
      <c r="AI166" t="s">
        <v>648</v>
      </c>
      <c r="AJ166" t="s">
        <v>882</v>
      </c>
      <c r="AK166" t="s">
        <v>1193</v>
      </c>
    </row>
    <row r="167" spans="1:37" ht="16.5" customHeight="1">
      <c r="A167" s="348" t="s">
        <v>1271</v>
      </c>
      <c r="B167" t="s">
        <v>1194</v>
      </c>
      <c r="C167" t="s">
        <v>735</v>
      </c>
      <c r="D167" t="s">
        <v>475</v>
      </c>
      <c r="E167" t="s">
        <v>772</v>
      </c>
      <c r="F167" t="s">
        <v>977</v>
      </c>
      <c r="G167" t="s">
        <v>469</v>
      </c>
      <c r="H167" t="s">
        <v>469</v>
      </c>
      <c r="I167" t="s">
        <v>1195</v>
      </c>
      <c r="J167" s="349" t="s">
        <v>1272</v>
      </c>
      <c r="K167" t="s">
        <v>1337</v>
      </c>
      <c r="L167" t="s">
        <v>815</v>
      </c>
      <c r="M167" t="s">
        <v>479</v>
      </c>
      <c r="P167" t="s">
        <v>1196</v>
      </c>
      <c r="Q167" t="s">
        <v>740</v>
      </c>
      <c r="R167" t="s">
        <v>469</v>
      </c>
      <c r="S167" t="s">
        <v>741</v>
      </c>
      <c r="T167" t="s">
        <v>483</v>
      </c>
      <c r="U167" t="s">
        <v>499</v>
      </c>
      <c r="V167" t="s">
        <v>745</v>
      </c>
      <c r="W167" t="s">
        <v>883</v>
      </c>
      <c r="X167" t="s">
        <v>489</v>
      </c>
      <c r="Y167" t="s">
        <v>745</v>
      </c>
      <c r="AC167" t="s">
        <v>521</v>
      </c>
      <c r="AE167" t="s">
        <v>521</v>
      </c>
      <c r="AF167" t="s">
        <v>469</v>
      </c>
      <c r="AH167" t="s">
        <v>469</v>
      </c>
      <c r="AJ167" t="s">
        <v>521</v>
      </c>
      <c r="AK167" t="s">
        <v>1197</v>
      </c>
    </row>
    <row r="168" spans="1:37" ht="16.5" customHeight="1">
      <c r="A168" s="348" t="s">
        <v>1271</v>
      </c>
      <c r="B168" t="s">
        <v>348</v>
      </c>
      <c r="C168" t="s">
        <v>735</v>
      </c>
      <c r="D168" t="s">
        <v>475</v>
      </c>
      <c r="E168" t="s">
        <v>952</v>
      </c>
      <c r="F168" t="s">
        <v>977</v>
      </c>
      <c r="G168" t="s">
        <v>469</v>
      </c>
      <c r="H168" t="s">
        <v>469</v>
      </c>
      <c r="I168" t="s">
        <v>1198</v>
      </c>
      <c r="J168" s="349" t="s">
        <v>1272</v>
      </c>
      <c r="K168" t="s">
        <v>516</v>
      </c>
      <c r="L168" t="s">
        <v>815</v>
      </c>
      <c r="M168" t="s">
        <v>1199</v>
      </c>
      <c r="P168" t="s">
        <v>1200</v>
      </c>
      <c r="Q168" t="s">
        <v>498</v>
      </c>
      <c r="R168" t="s">
        <v>469</v>
      </c>
      <c r="S168" t="s">
        <v>482</v>
      </c>
      <c r="T168" t="s">
        <v>1201</v>
      </c>
      <c r="U168" t="s">
        <v>994</v>
      </c>
      <c r="V168" t="s">
        <v>745</v>
      </c>
      <c r="W168" t="s">
        <v>883</v>
      </c>
      <c r="X168" t="s">
        <v>994</v>
      </c>
      <c r="Y168" t="s">
        <v>1010</v>
      </c>
      <c r="Z168" t="s">
        <v>1011</v>
      </c>
      <c r="AA168" t="s">
        <v>498</v>
      </c>
      <c r="AB168" t="s">
        <v>883</v>
      </c>
      <c r="AC168" t="s">
        <v>1010</v>
      </c>
      <c r="AE168" t="s">
        <v>521</v>
      </c>
      <c r="AF168" t="s">
        <v>469</v>
      </c>
      <c r="AH168" t="s">
        <v>469</v>
      </c>
      <c r="AI168" t="s">
        <v>1011</v>
      </c>
      <c r="AJ168" t="s">
        <v>1010</v>
      </c>
      <c r="AK168" t="s">
        <v>1202</v>
      </c>
    </row>
    <row r="169" spans="1:37" ht="16.5" customHeight="1">
      <c r="A169" s="348" t="s">
        <v>1271</v>
      </c>
      <c r="B169" t="s">
        <v>1203</v>
      </c>
      <c r="C169" t="s">
        <v>735</v>
      </c>
      <c r="D169" t="s">
        <v>475</v>
      </c>
      <c r="E169" t="s">
        <v>772</v>
      </c>
      <c r="F169" t="s">
        <v>977</v>
      </c>
      <c r="G169" t="s">
        <v>469</v>
      </c>
      <c r="H169" t="s">
        <v>469</v>
      </c>
      <c r="I169" t="s">
        <v>1204</v>
      </c>
      <c r="J169" s="349" t="s">
        <v>1272</v>
      </c>
      <c r="K169" t="s">
        <v>1337</v>
      </c>
      <c r="L169" t="s">
        <v>815</v>
      </c>
      <c r="M169" t="s">
        <v>479</v>
      </c>
      <c r="P169" t="s">
        <v>1205</v>
      </c>
      <c r="Q169" t="s">
        <v>498</v>
      </c>
      <c r="R169" t="s">
        <v>469</v>
      </c>
      <c r="S169" t="s">
        <v>482</v>
      </c>
      <c r="T169" t="s">
        <v>1206</v>
      </c>
      <c r="U169" t="s">
        <v>499</v>
      </c>
      <c r="V169" t="s">
        <v>745</v>
      </c>
      <c r="W169" t="s">
        <v>883</v>
      </c>
      <c r="X169" t="s">
        <v>499</v>
      </c>
      <c r="Y169" t="s">
        <v>882</v>
      </c>
      <c r="Z169" t="s">
        <v>489</v>
      </c>
      <c r="AA169" t="s">
        <v>498</v>
      </c>
      <c r="AB169" t="s">
        <v>818</v>
      </c>
      <c r="AC169" t="s">
        <v>882</v>
      </c>
      <c r="AE169" t="s">
        <v>521</v>
      </c>
      <c r="AF169" t="s">
        <v>469</v>
      </c>
      <c r="AH169" t="s">
        <v>469</v>
      </c>
      <c r="AI169" t="s">
        <v>489</v>
      </c>
      <c r="AJ169" t="s">
        <v>882</v>
      </c>
      <c r="AK169" t="s">
        <v>1207</v>
      </c>
    </row>
    <row r="170" spans="1:37" ht="16.5" customHeight="1">
      <c r="A170" s="348" t="s">
        <v>1271</v>
      </c>
      <c r="B170" t="s">
        <v>1208</v>
      </c>
      <c r="C170" t="s">
        <v>735</v>
      </c>
      <c r="D170" t="s">
        <v>475</v>
      </c>
      <c r="E170" t="s">
        <v>1027</v>
      </c>
      <c r="F170" t="s">
        <v>977</v>
      </c>
      <c r="G170" t="s">
        <v>469</v>
      </c>
      <c r="H170" t="s">
        <v>469</v>
      </c>
      <c r="I170" t="s">
        <v>1209</v>
      </c>
      <c r="J170" s="349" t="s">
        <v>1272</v>
      </c>
      <c r="K170" t="s">
        <v>516</v>
      </c>
      <c r="L170" t="s">
        <v>627</v>
      </c>
      <c r="M170" t="s">
        <v>479</v>
      </c>
      <c r="P170" t="s">
        <v>1210</v>
      </c>
      <c r="Q170" t="s">
        <v>498</v>
      </c>
      <c r="R170" t="s">
        <v>469</v>
      </c>
      <c r="S170" t="s">
        <v>482</v>
      </c>
      <c r="T170" t="s">
        <v>742</v>
      </c>
      <c r="U170" t="s">
        <v>499</v>
      </c>
      <c r="V170" t="s">
        <v>745</v>
      </c>
      <c r="W170" t="s">
        <v>883</v>
      </c>
      <c r="X170" t="s">
        <v>499</v>
      </c>
      <c r="Y170" t="s">
        <v>882</v>
      </c>
      <c r="Z170" t="s">
        <v>744</v>
      </c>
      <c r="AA170" t="s">
        <v>498</v>
      </c>
      <c r="AB170" t="s">
        <v>883</v>
      </c>
      <c r="AC170" t="s">
        <v>882</v>
      </c>
      <c r="AE170" t="s">
        <v>521</v>
      </c>
      <c r="AF170" t="s">
        <v>469</v>
      </c>
      <c r="AH170" t="s">
        <v>469</v>
      </c>
      <c r="AI170" t="s">
        <v>744</v>
      </c>
      <c r="AJ170" t="s">
        <v>882</v>
      </c>
    </row>
    <row r="171" spans="1:37" ht="16.5" customHeight="1">
      <c r="A171" s="348" t="s">
        <v>1271</v>
      </c>
      <c r="B171" t="s">
        <v>1211</v>
      </c>
      <c r="C171" t="s">
        <v>735</v>
      </c>
      <c r="D171" t="s">
        <v>475</v>
      </c>
      <c r="E171" t="s">
        <v>757</v>
      </c>
      <c r="F171" t="s">
        <v>977</v>
      </c>
      <c r="G171" t="s">
        <v>469</v>
      </c>
      <c r="H171" t="s">
        <v>469</v>
      </c>
      <c r="I171" t="s">
        <v>1212</v>
      </c>
      <c r="J171" s="349" t="s">
        <v>1272</v>
      </c>
      <c r="K171" t="s">
        <v>516</v>
      </c>
      <c r="M171" t="s">
        <v>816</v>
      </c>
      <c r="P171" t="s">
        <v>1213</v>
      </c>
      <c r="Q171" t="s">
        <v>498</v>
      </c>
      <c r="R171" t="s">
        <v>469</v>
      </c>
      <c r="S171" t="s">
        <v>482</v>
      </c>
      <c r="T171" t="s">
        <v>900</v>
      </c>
      <c r="U171" t="s">
        <v>994</v>
      </c>
      <c r="V171" t="s">
        <v>745</v>
      </c>
      <c r="W171" t="s">
        <v>883</v>
      </c>
      <c r="X171" t="s">
        <v>994</v>
      </c>
      <c r="Y171" t="s">
        <v>882</v>
      </c>
      <c r="Z171" t="s">
        <v>648</v>
      </c>
      <c r="AA171" t="s">
        <v>581</v>
      </c>
      <c r="AB171" t="s">
        <v>883</v>
      </c>
      <c r="AC171" t="s">
        <v>882</v>
      </c>
      <c r="AE171" t="s">
        <v>521</v>
      </c>
      <c r="AF171" t="s">
        <v>469</v>
      </c>
      <c r="AH171" t="s">
        <v>469</v>
      </c>
      <c r="AI171" t="s">
        <v>648</v>
      </c>
      <c r="AJ171" t="s">
        <v>882</v>
      </c>
      <c r="AK171" t="s">
        <v>1214</v>
      </c>
    </row>
    <row r="172" spans="1:37" ht="16.5" customHeight="1">
      <c r="A172" s="348" t="s">
        <v>1271</v>
      </c>
      <c r="B172" t="s">
        <v>349</v>
      </c>
      <c r="C172" t="s">
        <v>735</v>
      </c>
      <c r="D172" t="s">
        <v>475</v>
      </c>
      <c r="E172" t="s">
        <v>772</v>
      </c>
      <c r="F172" t="s">
        <v>977</v>
      </c>
      <c r="G172" t="s">
        <v>469</v>
      </c>
      <c r="H172" t="s">
        <v>469</v>
      </c>
      <c r="I172" t="s">
        <v>1215</v>
      </c>
      <c r="J172" s="349" t="s">
        <v>1272</v>
      </c>
      <c r="K172" t="s">
        <v>516</v>
      </c>
      <c r="L172" t="s">
        <v>627</v>
      </c>
      <c r="M172" t="s">
        <v>479</v>
      </c>
      <c r="P172" t="s">
        <v>1216</v>
      </c>
      <c r="Q172" t="s">
        <v>740</v>
      </c>
      <c r="R172" t="s">
        <v>469</v>
      </c>
      <c r="S172" t="s">
        <v>741</v>
      </c>
      <c r="T172" t="s">
        <v>483</v>
      </c>
      <c r="U172" t="s">
        <v>499</v>
      </c>
      <c r="V172" t="s">
        <v>869</v>
      </c>
      <c r="W172" t="s">
        <v>883</v>
      </c>
      <c r="X172" t="s">
        <v>489</v>
      </c>
      <c r="Y172" t="s">
        <v>869</v>
      </c>
      <c r="AC172" t="s">
        <v>521</v>
      </c>
      <c r="AE172" t="s">
        <v>521</v>
      </c>
      <c r="AF172" t="s">
        <v>469</v>
      </c>
      <c r="AH172" t="s">
        <v>469</v>
      </c>
      <c r="AI172" t="s">
        <v>499</v>
      </c>
      <c r="AJ172" t="s">
        <v>869</v>
      </c>
      <c r="AK172" t="s">
        <v>1217</v>
      </c>
    </row>
    <row r="173" spans="1:37" ht="16.5" customHeight="1">
      <c r="A173" s="348" t="s">
        <v>1271</v>
      </c>
      <c r="B173" t="s">
        <v>350</v>
      </c>
      <c r="C173" t="s">
        <v>735</v>
      </c>
      <c r="D173" t="s">
        <v>475</v>
      </c>
      <c r="E173" t="s">
        <v>757</v>
      </c>
      <c r="F173" t="s">
        <v>977</v>
      </c>
      <c r="G173" t="s">
        <v>469</v>
      </c>
      <c r="H173" t="s">
        <v>469</v>
      </c>
      <c r="I173" t="s">
        <v>1218</v>
      </c>
      <c r="J173" s="349" t="s">
        <v>1272</v>
      </c>
      <c r="K173" t="s">
        <v>516</v>
      </c>
      <c r="L173" t="s">
        <v>627</v>
      </c>
      <c r="M173" t="s">
        <v>479</v>
      </c>
      <c r="P173" t="s">
        <v>1219</v>
      </c>
      <c r="Q173" t="s">
        <v>498</v>
      </c>
      <c r="R173" t="s">
        <v>469</v>
      </c>
      <c r="S173" t="s">
        <v>482</v>
      </c>
      <c r="T173" t="s">
        <v>483</v>
      </c>
      <c r="U173" t="s">
        <v>499</v>
      </c>
      <c r="V173" t="s">
        <v>869</v>
      </c>
      <c r="W173" t="s">
        <v>883</v>
      </c>
      <c r="X173" t="s">
        <v>499</v>
      </c>
      <c r="Y173" t="s">
        <v>882</v>
      </c>
      <c r="Z173" t="s">
        <v>648</v>
      </c>
      <c r="AA173" t="s">
        <v>581</v>
      </c>
      <c r="AB173" t="s">
        <v>883</v>
      </c>
      <c r="AC173" t="s">
        <v>882</v>
      </c>
      <c r="AE173" t="s">
        <v>521</v>
      </c>
      <c r="AF173" t="s">
        <v>469</v>
      </c>
      <c r="AH173" t="s">
        <v>469</v>
      </c>
      <c r="AI173" t="s">
        <v>648</v>
      </c>
      <c r="AJ173" t="s">
        <v>882</v>
      </c>
      <c r="AK173" t="s">
        <v>1220</v>
      </c>
    </row>
    <row r="174" spans="1:37" ht="16.5" customHeight="1">
      <c r="A174" s="348" t="s">
        <v>1271</v>
      </c>
      <c r="B174" t="s">
        <v>1221</v>
      </c>
      <c r="C174" t="s">
        <v>735</v>
      </c>
      <c r="D174" t="s">
        <v>475</v>
      </c>
      <c r="E174" t="s">
        <v>772</v>
      </c>
      <c r="F174" t="s">
        <v>977</v>
      </c>
      <c r="G174" t="s">
        <v>469</v>
      </c>
      <c r="H174" t="s">
        <v>469</v>
      </c>
      <c r="I174" t="s">
        <v>1222</v>
      </c>
      <c r="J174" s="349" t="s">
        <v>1272</v>
      </c>
      <c r="K174" t="s">
        <v>1337</v>
      </c>
      <c r="L174" t="s">
        <v>815</v>
      </c>
      <c r="M174" t="s">
        <v>479</v>
      </c>
      <c r="P174" t="s">
        <v>1223</v>
      </c>
      <c r="Q174" t="s">
        <v>740</v>
      </c>
      <c r="R174" t="s">
        <v>469</v>
      </c>
      <c r="S174" t="s">
        <v>741</v>
      </c>
      <c r="T174" t="s">
        <v>483</v>
      </c>
      <c r="U174" t="s">
        <v>499</v>
      </c>
      <c r="V174" t="s">
        <v>869</v>
      </c>
      <c r="W174" t="s">
        <v>883</v>
      </c>
      <c r="X174" t="s">
        <v>489</v>
      </c>
      <c r="Y174" t="s">
        <v>869</v>
      </c>
      <c r="AC174" t="s">
        <v>521</v>
      </c>
      <c r="AE174" t="s">
        <v>521</v>
      </c>
      <c r="AF174" t="s">
        <v>469</v>
      </c>
      <c r="AH174" t="s">
        <v>469</v>
      </c>
      <c r="AJ174" t="s">
        <v>521</v>
      </c>
      <c r="AK174" t="s">
        <v>1224</v>
      </c>
    </row>
    <row r="175" spans="1:37" ht="16.5" customHeight="1">
      <c r="A175" s="348" t="s">
        <v>1271</v>
      </c>
      <c r="B175" t="s">
        <v>1225</v>
      </c>
      <c r="C175" t="s">
        <v>735</v>
      </c>
      <c r="D175" t="s">
        <v>475</v>
      </c>
      <c r="E175" t="s">
        <v>952</v>
      </c>
      <c r="F175" t="s">
        <v>977</v>
      </c>
      <c r="G175" t="s">
        <v>469</v>
      </c>
      <c r="H175" t="s">
        <v>469</v>
      </c>
      <c r="I175" t="s">
        <v>1226</v>
      </c>
      <c r="J175" s="349" t="s">
        <v>1272</v>
      </c>
      <c r="K175" t="s">
        <v>1337</v>
      </c>
      <c r="L175" t="s">
        <v>815</v>
      </c>
      <c r="M175" t="s">
        <v>479</v>
      </c>
      <c r="P175" t="s">
        <v>1227</v>
      </c>
      <c r="Q175" t="s">
        <v>498</v>
      </c>
      <c r="R175" t="s">
        <v>469</v>
      </c>
      <c r="S175" t="s">
        <v>482</v>
      </c>
      <c r="T175" t="s">
        <v>483</v>
      </c>
      <c r="U175" t="s">
        <v>499</v>
      </c>
      <c r="V175" t="s">
        <v>869</v>
      </c>
      <c r="W175" t="s">
        <v>883</v>
      </c>
      <c r="X175" t="s">
        <v>499</v>
      </c>
      <c r="Y175" t="s">
        <v>882</v>
      </c>
      <c r="Z175" t="s">
        <v>971</v>
      </c>
      <c r="AA175" t="s">
        <v>972</v>
      </c>
      <c r="AB175" t="s">
        <v>818</v>
      </c>
      <c r="AC175" t="s">
        <v>882</v>
      </c>
      <c r="AE175" t="s">
        <v>521</v>
      </c>
      <c r="AF175" t="s">
        <v>469</v>
      </c>
      <c r="AH175" t="s">
        <v>469</v>
      </c>
      <c r="AI175" t="s">
        <v>971</v>
      </c>
      <c r="AJ175" t="s">
        <v>882</v>
      </c>
      <c r="AK175" t="s">
        <v>1228</v>
      </c>
    </row>
    <row r="176" spans="1:37" ht="16.5" customHeight="1">
      <c r="A176" s="348" t="s">
        <v>1271</v>
      </c>
      <c r="B176" t="s">
        <v>1229</v>
      </c>
      <c r="C176" t="s">
        <v>735</v>
      </c>
      <c r="D176" t="s">
        <v>475</v>
      </c>
      <c r="E176" t="s">
        <v>772</v>
      </c>
      <c r="F176" t="s">
        <v>977</v>
      </c>
      <c r="G176" t="s">
        <v>469</v>
      </c>
      <c r="H176" t="s">
        <v>469</v>
      </c>
      <c r="I176" t="s">
        <v>1230</v>
      </c>
      <c r="J176" s="349" t="s">
        <v>1272</v>
      </c>
      <c r="K176" t="s">
        <v>1101</v>
      </c>
      <c r="L176" t="s">
        <v>627</v>
      </c>
      <c r="M176" t="s">
        <v>479</v>
      </c>
      <c r="P176" t="s">
        <v>1231</v>
      </c>
      <c r="Q176" t="s">
        <v>498</v>
      </c>
      <c r="R176" t="s">
        <v>469</v>
      </c>
      <c r="S176" t="s">
        <v>482</v>
      </c>
      <c r="T176" t="s">
        <v>483</v>
      </c>
      <c r="U176" t="s">
        <v>499</v>
      </c>
      <c r="V176" t="s">
        <v>869</v>
      </c>
      <c r="W176" t="s">
        <v>883</v>
      </c>
      <c r="X176" t="s">
        <v>499</v>
      </c>
      <c r="Y176" t="s">
        <v>882</v>
      </c>
      <c r="Z176" t="s">
        <v>648</v>
      </c>
      <c r="AA176" t="s">
        <v>498</v>
      </c>
      <c r="AB176" t="s">
        <v>818</v>
      </c>
      <c r="AC176" t="s">
        <v>882</v>
      </c>
      <c r="AE176" t="s">
        <v>521</v>
      </c>
      <c r="AF176" t="s">
        <v>469</v>
      </c>
      <c r="AH176" t="s">
        <v>1232</v>
      </c>
      <c r="AI176" t="s">
        <v>648</v>
      </c>
      <c r="AJ176" t="s">
        <v>882</v>
      </c>
    </row>
    <row r="177" spans="1:37" ht="16.5" customHeight="1">
      <c r="A177" s="348" t="s">
        <v>1271</v>
      </c>
      <c r="B177" t="s">
        <v>1233</v>
      </c>
      <c r="C177" t="s">
        <v>735</v>
      </c>
      <c r="D177" t="s">
        <v>475</v>
      </c>
      <c r="E177" t="s">
        <v>736</v>
      </c>
      <c r="F177" t="s">
        <v>977</v>
      </c>
      <c r="G177" t="s">
        <v>469</v>
      </c>
      <c r="H177" t="s">
        <v>469</v>
      </c>
      <c r="I177" t="s">
        <v>1234</v>
      </c>
      <c r="J177" s="349" t="s">
        <v>1272</v>
      </c>
      <c r="K177" t="s">
        <v>516</v>
      </c>
      <c r="M177" t="s">
        <v>479</v>
      </c>
      <c r="P177" t="s">
        <v>1235</v>
      </c>
      <c r="Q177" t="s">
        <v>498</v>
      </c>
      <c r="R177" t="s">
        <v>469</v>
      </c>
      <c r="S177" t="s">
        <v>482</v>
      </c>
      <c r="T177" t="s">
        <v>483</v>
      </c>
      <c r="U177" t="s">
        <v>499</v>
      </c>
      <c r="V177" t="s">
        <v>869</v>
      </c>
      <c r="W177" t="s">
        <v>883</v>
      </c>
      <c r="X177" t="s">
        <v>499</v>
      </c>
      <c r="Y177" t="s">
        <v>882</v>
      </c>
      <c r="Z177" t="s">
        <v>648</v>
      </c>
      <c r="AA177" t="s">
        <v>649</v>
      </c>
      <c r="AB177" t="s">
        <v>883</v>
      </c>
      <c r="AC177" t="s">
        <v>882</v>
      </c>
      <c r="AE177" t="s">
        <v>521</v>
      </c>
      <c r="AF177" t="s">
        <v>469</v>
      </c>
      <c r="AH177" t="s">
        <v>1236</v>
      </c>
      <c r="AI177" t="s">
        <v>648</v>
      </c>
      <c r="AJ177" t="s">
        <v>882</v>
      </c>
      <c r="AK177" t="s">
        <v>1237</v>
      </c>
    </row>
    <row r="178" spans="1:37" ht="16.5" customHeight="1">
      <c r="A178" s="348" t="s">
        <v>1271</v>
      </c>
      <c r="B178" t="s">
        <v>1238</v>
      </c>
      <c r="C178" t="s">
        <v>735</v>
      </c>
      <c r="D178" t="s">
        <v>475</v>
      </c>
      <c r="E178" t="s">
        <v>952</v>
      </c>
      <c r="F178" t="s">
        <v>977</v>
      </c>
      <c r="G178" t="s">
        <v>469</v>
      </c>
      <c r="H178" t="s">
        <v>469</v>
      </c>
      <c r="I178" t="s">
        <v>1239</v>
      </c>
      <c r="J178" s="349" t="s">
        <v>1272</v>
      </c>
      <c r="K178" t="s">
        <v>516</v>
      </c>
      <c r="L178" t="s">
        <v>620</v>
      </c>
      <c r="M178" t="s">
        <v>479</v>
      </c>
      <c r="P178" t="s">
        <v>1240</v>
      </c>
      <c r="Q178" t="s">
        <v>740</v>
      </c>
      <c r="R178" t="s">
        <v>469</v>
      </c>
      <c r="S178" t="s">
        <v>482</v>
      </c>
      <c r="T178" t="s">
        <v>483</v>
      </c>
      <c r="U178" t="s">
        <v>499</v>
      </c>
      <c r="V178" t="s">
        <v>869</v>
      </c>
      <c r="W178" t="s">
        <v>883</v>
      </c>
      <c r="X178" t="s">
        <v>1011</v>
      </c>
      <c r="Y178" t="s">
        <v>882</v>
      </c>
      <c r="AC178" t="s">
        <v>521</v>
      </c>
      <c r="AE178" t="s">
        <v>521</v>
      </c>
      <c r="AF178" t="s">
        <v>469</v>
      </c>
      <c r="AH178" t="s">
        <v>469</v>
      </c>
      <c r="AI178" t="s">
        <v>727</v>
      </c>
      <c r="AJ178" t="s">
        <v>882</v>
      </c>
      <c r="AK178" t="s">
        <v>1241</v>
      </c>
    </row>
    <row r="179" spans="1:37" ht="16.5" customHeight="1">
      <c r="A179" s="348" t="s">
        <v>1271</v>
      </c>
      <c r="B179" t="s">
        <v>1242</v>
      </c>
      <c r="C179" t="s">
        <v>735</v>
      </c>
      <c r="D179" t="s">
        <v>475</v>
      </c>
      <c r="E179" t="s">
        <v>952</v>
      </c>
      <c r="F179" t="s">
        <v>977</v>
      </c>
      <c r="G179" t="s">
        <v>469</v>
      </c>
      <c r="H179" t="s">
        <v>469</v>
      </c>
      <c r="I179" t="s">
        <v>1243</v>
      </c>
      <c r="J179" s="349" t="s">
        <v>1272</v>
      </c>
      <c r="K179" t="s">
        <v>1337</v>
      </c>
      <c r="L179" t="s">
        <v>815</v>
      </c>
      <c r="M179" t="s">
        <v>479</v>
      </c>
      <c r="P179" t="s">
        <v>1244</v>
      </c>
      <c r="Q179" t="s">
        <v>740</v>
      </c>
      <c r="R179" t="s">
        <v>469</v>
      </c>
      <c r="S179" t="s">
        <v>741</v>
      </c>
      <c r="T179" t="s">
        <v>483</v>
      </c>
      <c r="U179" t="s">
        <v>499</v>
      </c>
      <c r="V179" t="s">
        <v>869</v>
      </c>
      <c r="W179" t="s">
        <v>883</v>
      </c>
      <c r="X179" t="s">
        <v>727</v>
      </c>
      <c r="Y179" t="s">
        <v>882</v>
      </c>
      <c r="AC179" t="s">
        <v>521</v>
      </c>
      <c r="AE179" t="s">
        <v>521</v>
      </c>
      <c r="AF179" t="s">
        <v>469</v>
      </c>
      <c r="AH179" t="s">
        <v>469</v>
      </c>
      <c r="AI179" t="s">
        <v>971</v>
      </c>
      <c r="AJ179" t="s">
        <v>882</v>
      </c>
      <c r="AK179" t="s">
        <v>1245</v>
      </c>
    </row>
    <row r="180" spans="1:37" ht="16.5" customHeight="1">
      <c r="A180" s="348" t="s">
        <v>1271</v>
      </c>
      <c r="B180" t="s">
        <v>1246</v>
      </c>
      <c r="C180" t="s">
        <v>735</v>
      </c>
      <c r="D180" t="s">
        <v>475</v>
      </c>
      <c r="E180" t="s">
        <v>952</v>
      </c>
      <c r="F180" t="s">
        <v>977</v>
      </c>
      <c r="G180" t="s">
        <v>469</v>
      </c>
      <c r="H180" t="s">
        <v>469</v>
      </c>
      <c r="I180" t="s">
        <v>1247</v>
      </c>
      <c r="J180" s="349" t="s">
        <v>1272</v>
      </c>
      <c r="K180" t="s">
        <v>1337</v>
      </c>
      <c r="L180" t="s">
        <v>815</v>
      </c>
      <c r="M180" t="s">
        <v>479</v>
      </c>
      <c r="P180" t="s">
        <v>1248</v>
      </c>
      <c r="Q180" t="s">
        <v>498</v>
      </c>
      <c r="R180" t="s">
        <v>469</v>
      </c>
      <c r="S180" t="s">
        <v>482</v>
      </c>
      <c r="T180" t="s">
        <v>483</v>
      </c>
      <c r="U180" t="s">
        <v>499</v>
      </c>
      <c r="V180" t="s">
        <v>869</v>
      </c>
      <c r="W180" t="s">
        <v>883</v>
      </c>
      <c r="X180" t="s">
        <v>499</v>
      </c>
      <c r="Y180" t="s">
        <v>869</v>
      </c>
      <c r="Z180" t="s">
        <v>971</v>
      </c>
      <c r="AA180" t="s">
        <v>649</v>
      </c>
      <c r="AB180" t="s">
        <v>818</v>
      </c>
      <c r="AC180" t="s">
        <v>869</v>
      </c>
      <c r="AE180" t="s">
        <v>521</v>
      </c>
      <c r="AF180" t="s">
        <v>469</v>
      </c>
      <c r="AH180" t="s">
        <v>469</v>
      </c>
      <c r="AI180" t="s">
        <v>971</v>
      </c>
      <c r="AJ180" t="s">
        <v>869</v>
      </c>
      <c r="AK180" t="s">
        <v>1249</v>
      </c>
    </row>
    <row r="181" spans="1:37" ht="16.5" customHeight="1">
      <c r="A181" s="348" t="s">
        <v>1271</v>
      </c>
      <c r="B181" t="s">
        <v>1250</v>
      </c>
      <c r="C181" t="s">
        <v>735</v>
      </c>
      <c r="D181" t="s">
        <v>475</v>
      </c>
      <c r="E181" t="s">
        <v>905</v>
      </c>
      <c r="F181" t="s">
        <v>977</v>
      </c>
      <c r="G181" t="s">
        <v>469</v>
      </c>
      <c r="H181" t="s">
        <v>469</v>
      </c>
      <c r="I181" t="s">
        <v>1251</v>
      </c>
      <c r="J181" s="349" t="s">
        <v>1272</v>
      </c>
      <c r="K181" t="s">
        <v>516</v>
      </c>
      <c r="L181" t="s">
        <v>627</v>
      </c>
      <c r="M181" t="s">
        <v>479</v>
      </c>
      <c r="P181" t="s">
        <v>1252</v>
      </c>
      <c r="Q181" t="s">
        <v>498</v>
      </c>
      <c r="R181" t="s">
        <v>469</v>
      </c>
      <c r="S181" t="s">
        <v>482</v>
      </c>
      <c r="T181" t="s">
        <v>634</v>
      </c>
      <c r="U181" t="s">
        <v>499</v>
      </c>
      <c r="V181" t="s">
        <v>869</v>
      </c>
      <c r="W181" t="s">
        <v>883</v>
      </c>
      <c r="X181" t="s">
        <v>499</v>
      </c>
      <c r="Y181" t="s">
        <v>882</v>
      </c>
      <c r="Z181" t="s">
        <v>648</v>
      </c>
      <c r="AA181" t="s">
        <v>498</v>
      </c>
      <c r="AB181" t="s">
        <v>883</v>
      </c>
      <c r="AC181" t="s">
        <v>882</v>
      </c>
      <c r="AE181" t="s">
        <v>521</v>
      </c>
      <c r="AF181" t="s">
        <v>469</v>
      </c>
      <c r="AH181" t="s">
        <v>469</v>
      </c>
      <c r="AI181" t="s">
        <v>648</v>
      </c>
      <c r="AJ181" t="s">
        <v>882</v>
      </c>
      <c r="AK181" t="s">
        <v>1253</v>
      </c>
    </row>
    <row r="182" spans="1:37" ht="16.5" customHeight="1">
      <c r="A182" s="348" t="s">
        <v>1271</v>
      </c>
      <c r="B182" t="s">
        <v>1254</v>
      </c>
      <c r="C182" t="s">
        <v>735</v>
      </c>
      <c r="D182" t="s">
        <v>475</v>
      </c>
      <c r="E182" t="s">
        <v>1255</v>
      </c>
      <c r="F182" t="s">
        <v>977</v>
      </c>
      <c r="G182" t="s">
        <v>469</v>
      </c>
      <c r="H182" t="s">
        <v>469</v>
      </c>
      <c r="I182" t="s">
        <v>1256</v>
      </c>
      <c r="J182" s="349" t="s">
        <v>1272</v>
      </c>
      <c r="K182" t="s">
        <v>516</v>
      </c>
      <c r="L182" t="s">
        <v>627</v>
      </c>
      <c r="M182" t="s">
        <v>997</v>
      </c>
      <c r="P182" t="s">
        <v>1257</v>
      </c>
      <c r="Q182" t="s">
        <v>498</v>
      </c>
      <c r="R182" t="s">
        <v>469</v>
      </c>
      <c r="S182" t="s">
        <v>482</v>
      </c>
      <c r="T182" t="s">
        <v>900</v>
      </c>
      <c r="U182" t="s">
        <v>499</v>
      </c>
      <c r="V182" t="s">
        <v>869</v>
      </c>
      <c r="W182" t="s">
        <v>883</v>
      </c>
      <c r="X182" t="s">
        <v>499</v>
      </c>
      <c r="Y182" t="s">
        <v>882</v>
      </c>
      <c r="Z182" t="s">
        <v>648</v>
      </c>
      <c r="AA182" t="s">
        <v>498</v>
      </c>
      <c r="AB182" t="s">
        <v>883</v>
      </c>
      <c r="AC182" t="s">
        <v>882</v>
      </c>
      <c r="AE182" t="s">
        <v>521</v>
      </c>
      <c r="AF182" t="s">
        <v>469</v>
      </c>
      <c r="AH182" t="s">
        <v>469</v>
      </c>
      <c r="AI182" t="s">
        <v>648</v>
      </c>
      <c r="AJ182" t="s">
        <v>882</v>
      </c>
      <c r="AK182" t="s">
        <v>1258</v>
      </c>
    </row>
    <row r="183" spans="1:37" ht="16.5" customHeight="1">
      <c r="A183" s="348" t="s">
        <v>1271</v>
      </c>
      <c r="B183" t="s">
        <v>1259</v>
      </c>
      <c r="C183" t="s">
        <v>735</v>
      </c>
      <c r="D183" t="s">
        <v>475</v>
      </c>
      <c r="E183" t="s">
        <v>905</v>
      </c>
      <c r="F183" t="s">
        <v>977</v>
      </c>
      <c r="G183" t="s">
        <v>469</v>
      </c>
      <c r="H183" t="s">
        <v>469</v>
      </c>
      <c r="I183" t="s">
        <v>1260</v>
      </c>
      <c r="J183" s="349" t="s">
        <v>1272</v>
      </c>
      <c r="K183" t="s">
        <v>1101</v>
      </c>
      <c r="L183" t="s">
        <v>627</v>
      </c>
      <c r="M183" t="s">
        <v>997</v>
      </c>
      <c r="P183" t="s">
        <v>1261</v>
      </c>
      <c r="Q183" t="s">
        <v>498</v>
      </c>
      <c r="R183" t="s">
        <v>469</v>
      </c>
      <c r="S183" t="s">
        <v>482</v>
      </c>
      <c r="T183" t="s">
        <v>483</v>
      </c>
      <c r="U183" t="s">
        <v>499</v>
      </c>
      <c r="V183" t="s">
        <v>869</v>
      </c>
      <c r="W183" t="s">
        <v>883</v>
      </c>
      <c r="X183" t="s">
        <v>499</v>
      </c>
      <c r="Y183" t="s">
        <v>869</v>
      </c>
      <c r="Z183" t="s">
        <v>489</v>
      </c>
      <c r="AA183" t="s">
        <v>649</v>
      </c>
      <c r="AB183" t="s">
        <v>883</v>
      </c>
      <c r="AC183" t="s">
        <v>869</v>
      </c>
      <c r="AE183" t="s">
        <v>521</v>
      </c>
      <c r="AF183" t="s">
        <v>469</v>
      </c>
      <c r="AH183" t="s">
        <v>469</v>
      </c>
      <c r="AI183" t="s">
        <v>489</v>
      </c>
      <c r="AJ183" t="s">
        <v>869</v>
      </c>
    </row>
    <row r="184" spans="1:37" ht="16.5" customHeight="1">
      <c r="A184" s="348" t="s">
        <v>1271</v>
      </c>
      <c r="B184" t="s">
        <v>1262</v>
      </c>
      <c r="C184" t="s">
        <v>735</v>
      </c>
      <c r="D184" t="s">
        <v>475</v>
      </c>
      <c r="E184" t="s">
        <v>736</v>
      </c>
      <c r="F184" t="s">
        <v>977</v>
      </c>
      <c r="G184" t="s">
        <v>469</v>
      </c>
      <c r="H184" t="s">
        <v>469</v>
      </c>
      <c r="I184" t="s">
        <v>1263</v>
      </c>
      <c r="J184" s="349" t="s">
        <v>1272</v>
      </c>
      <c r="K184" t="s">
        <v>1101</v>
      </c>
      <c r="L184" t="s">
        <v>680</v>
      </c>
      <c r="M184" t="s">
        <v>997</v>
      </c>
      <c r="P184" t="s">
        <v>1264</v>
      </c>
      <c r="Q184" t="s">
        <v>498</v>
      </c>
      <c r="R184" t="s">
        <v>469</v>
      </c>
      <c r="S184" t="s">
        <v>482</v>
      </c>
      <c r="T184" t="s">
        <v>483</v>
      </c>
      <c r="U184" t="s">
        <v>499</v>
      </c>
      <c r="V184" t="s">
        <v>869</v>
      </c>
      <c r="W184" t="s">
        <v>883</v>
      </c>
      <c r="X184" t="s">
        <v>499</v>
      </c>
      <c r="Y184" t="s">
        <v>882</v>
      </c>
      <c r="Z184" t="s">
        <v>648</v>
      </c>
      <c r="AA184" t="s">
        <v>498</v>
      </c>
      <c r="AB184" t="s">
        <v>883</v>
      </c>
      <c r="AC184" t="s">
        <v>882</v>
      </c>
      <c r="AE184" t="s">
        <v>521</v>
      </c>
      <c r="AF184" t="s">
        <v>469</v>
      </c>
      <c r="AH184" t="s">
        <v>469</v>
      </c>
      <c r="AI184" t="s">
        <v>648</v>
      </c>
      <c r="AJ184" t="s">
        <v>882</v>
      </c>
      <c r="AK184" t="s">
        <v>1265</v>
      </c>
    </row>
    <row r="185" spans="1:37" ht="16.5" customHeight="1">
      <c r="A185" s="348" t="s">
        <v>1271</v>
      </c>
      <c r="B185" t="s">
        <v>1266</v>
      </c>
      <c r="C185" t="s">
        <v>735</v>
      </c>
      <c r="D185" t="s">
        <v>475</v>
      </c>
      <c r="E185" t="s">
        <v>952</v>
      </c>
      <c r="F185" t="s">
        <v>977</v>
      </c>
      <c r="G185" t="s">
        <v>469</v>
      </c>
      <c r="H185" t="s">
        <v>469</v>
      </c>
      <c r="I185" t="s">
        <v>1267</v>
      </c>
      <c r="J185" s="349" t="s">
        <v>1272</v>
      </c>
      <c r="K185" t="s">
        <v>1337</v>
      </c>
      <c r="L185" t="s">
        <v>815</v>
      </c>
      <c r="M185" t="s">
        <v>479</v>
      </c>
      <c r="P185" t="s">
        <v>1268</v>
      </c>
      <c r="Q185" t="s">
        <v>740</v>
      </c>
      <c r="R185" t="s">
        <v>469</v>
      </c>
      <c r="S185" t="s">
        <v>482</v>
      </c>
      <c r="T185" t="s">
        <v>1269</v>
      </c>
      <c r="U185" t="s">
        <v>499</v>
      </c>
      <c r="V185" t="s">
        <v>882</v>
      </c>
      <c r="W185" t="s">
        <v>883</v>
      </c>
      <c r="X185" t="s">
        <v>727</v>
      </c>
      <c r="Y185" t="s">
        <v>882</v>
      </c>
      <c r="AC185" t="s">
        <v>521</v>
      </c>
      <c r="AE185" t="s">
        <v>521</v>
      </c>
      <c r="AF185" t="s">
        <v>469</v>
      </c>
      <c r="AH185" t="s">
        <v>469</v>
      </c>
      <c r="AI185" t="s">
        <v>971</v>
      </c>
      <c r="AJ185" t="s">
        <v>882</v>
      </c>
      <c r="AK185" t="s">
        <v>1270</v>
      </c>
    </row>
  </sheetData>
  <autoFilter ref="A1:AK185"/>
  <phoneticPr fontId="13" type="noConversion"/>
  <dataValidations count="5">
    <dataValidation type="list" showErrorMessage="1" errorTitle="输入有误" error="您输入的值不在下拉框列表内。" sqref="O2:O5">
      <formula1>",全部,IE系列,IE11,IE10,IE9,IE8,IE7,IE6,chrome,firefox系列,firefox4,firefox3,firefox2,opera系列,opera11,opera10,opera9,safari,傲游,UC,其他"</formula1>
    </dataValidation>
    <dataValidation type="list" showErrorMessage="1" errorTitle="输入有误" error="您输入的值不在下拉框列表内。" sqref="N2:N5">
      <formula1>",全部,Windows,Windows 8,Windows 7,Windows Vista,Windows XP,Windows 2012,Windows 2008,Windows 2003,Windows 2000,Android,IOS,WP8,WP7,Symbian,Linux,FreeBSD,OS X,Unix,其他"</formula1>
    </dataValidation>
    <dataValidation type="list" showErrorMessage="1" errorTitle="输入有误" error="您输入的值不在下拉框列表内。" sqref="M2:M5">
      <formula1>"代码错误,界面优化,设计缺陷,配置相关,安装部署,安全相关,性能问题,标准规范,测试脚本,代码改进,其他"</formula1>
    </dataValidation>
    <dataValidation type="list" showErrorMessage="1" errorTitle="输入有误" error="您输入的值不在下拉框列表内。" sqref="L2:L5">
      <formula1>",下个发布修改,立即修改,下个迭代修改,不修改"</formula1>
    </dataValidation>
    <dataValidation showErrorMessage="1" errorTitle="输入有误" error="您输入的值不在下拉框列表内。" sqref="K2:K5"/>
  </dataValidations>
  <pageMargins left="0.69930555555555596" right="0.69930555555555596" top="0.75" bottom="0.75" header="0.3" footer="0.3"/>
  <pageSetup paperSize="9" orientation="portrait"/>
  <legacyDrawing r:id="rId1"/>
  <extLst>
    <ext xmlns:x14="http://schemas.microsoft.com/office/spreadsheetml/2009/9/main" uri="{CCE6A557-97BC-4b89-ADB6-D9C93CAAB3DF}">
      <x14:dataValidations xmlns:xm="http://schemas.microsoft.com/office/excel/2006/main" count="4">
        <x14:dataValidation type="list" showErrorMessage="1" errorTitle="输入有误" error="您输入的值不在下拉框列表内。">
          <x14:formula1>
            <xm:f>'C:\0.管理体系\4.度量\[老产品功能升级优化_缺陷列表.xlsx]系统数据'!#REF!</xm:f>
          </x14:formula1>
          <xm:sqref>W2:W5</xm:sqref>
        </x14:dataValidation>
        <x14:dataValidation type="list" showErrorMessage="1" errorTitle="输入有误" error="您输入的值不在下拉框列表内。">
          <x14:formula1>
            <xm:f>'C:\0.管理体系\4.度量\[老产品功能升级优化_缺陷列表.xlsx]系统数据'!#REF!</xm:f>
          </x14:formula1>
          <xm:sqref>G2:G5</xm:sqref>
        </x14:dataValidation>
        <x14:dataValidation type="list" showErrorMessage="1" errorTitle="输入有误" error="您输入的值不在下拉框列表内。">
          <x14:formula1>
            <xm:f>'C:\0.管理体系\4.度量\[老产品功能升级优化_缺陷列表.xlsx]系统数据'!#REF!</xm:f>
          </x14:formula1>
          <xm:sqref>F2:F5</xm:sqref>
        </x14:dataValidation>
        <x14:dataValidation type="list" showErrorMessage="1" errorTitle="输入有误" error="您输入的值不在下拉框列表内。">
          <x14:formula1>
            <xm:f>'C:\0.管理体系\4.度量\[老产品功能升级优化_缺陷列表.xlsx]系统数据'!#REF!</xm:f>
          </x14:formula1>
          <xm:sqref>E2:E5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rgb="FFFF00FF"/>
  </sheetPr>
  <dimension ref="A1:AK59"/>
  <sheetViews>
    <sheetView zoomScaleNormal="100" workbookViewId="0">
      <pane xSplit="3" ySplit="4" topLeftCell="D5" activePane="bottomRight" state="frozen"/>
      <selection pane="topRight"/>
      <selection pane="bottomLeft"/>
      <selection pane="bottomRight" activeCell="C8" sqref="C8"/>
    </sheetView>
  </sheetViews>
  <sheetFormatPr defaultColWidth="9" defaultRowHeight="13.2"/>
  <cols>
    <col min="1" max="1" width="5.109375" customWidth="1"/>
    <col min="3" max="3" width="29.33203125" customWidth="1"/>
    <col min="4" max="4" width="14.6640625" customWidth="1"/>
    <col min="5" max="5" width="5.88671875" style="38" customWidth="1"/>
    <col min="6" max="7" width="5.6640625" style="38" customWidth="1"/>
    <col min="8" max="36" width="5.6640625" customWidth="1"/>
    <col min="37" max="37" width="20" customWidth="1"/>
    <col min="38" max="38" width="8.109375" customWidth="1"/>
  </cols>
  <sheetData>
    <row r="1" spans="1:37" ht="13.5" customHeight="1" thickBot="1">
      <c r="A1" s="29"/>
      <c r="B1" s="272" t="s">
        <v>61</v>
      </c>
      <c r="C1" s="272"/>
      <c r="D1" s="272"/>
      <c r="E1" s="272"/>
      <c r="F1" s="273"/>
      <c r="G1" s="273"/>
      <c r="H1" s="407" t="s">
        <v>63</v>
      </c>
      <c r="I1" s="407"/>
      <c r="J1" s="407"/>
      <c r="K1" s="407"/>
      <c r="L1" s="407"/>
      <c r="M1" s="407"/>
      <c r="N1" s="407"/>
      <c r="O1" s="407"/>
      <c r="P1" s="407"/>
      <c r="Q1" s="407"/>
      <c r="R1" s="407"/>
      <c r="S1" s="407"/>
      <c r="T1" s="407"/>
      <c r="U1" s="407"/>
      <c r="V1" s="407"/>
      <c r="W1" s="407"/>
      <c r="X1" s="407"/>
      <c r="Y1" s="407"/>
      <c r="Z1" s="407"/>
      <c r="AA1" s="407"/>
      <c r="AB1" s="407"/>
      <c r="AC1" s="145"/>
      <c r="AD1" s="145"/>
      <c r="AE1" s="145"/>
      <c r="AF1" s="145"/>
      <c r="AG1" s="145"/>
      <c r="AH1" s="145"/>
      <c r="AI1" s="145"/>
      <c r="AJ1" s="146"/>
      <c r="AK1" s="155"/>
    </row>
    <row r="2" spans="1:37" ht="12.75" customHeight="1" thickBot="1">
      <c r="B2" s="399" t="s">
        <v>180</v>
      </c>
      <c r="C2" s="408" t="s">
        <v>60</v>
      </c>
      <c r="D2" s="410" t="s">
        <v>104</v>
      </c>
      <c r="E2" s="401" t="s">
        <v>181</v>
      </c>
      <c r="F2" s="408" t="s">
        <v>182</v>
      </c>
      <c r="G2" s="409"/>
      <c r="H2" s="403" t="s">
        <v>210</v>
      </c>
      <c r="I2" s="403"/>
      <c r="J2" s="403"/>
      <c r="K2" s="403"/>
      <c r="L2" s="404" t="s">
        <v>183</v>
      </c>
      <c r="M2" s="405"/>
      <c r="N2" s="405"/>
      <c r="O2" s="405"/>
      <c r="P2" s="405"/>
      <c r="Q2" s="405"/>
      <c r="R2" s="405"/>
      <c r="S2" s="405"/>
      <c r="T2" s="406"/>
      <c r="U2" s="395" t="s">
        <v>44</v>
      </c>
      <c r="V2" s="396"/>
      <c r="W2" s="396"/>
      <c r="X2" s="396"/>
      <c r="Y2" s="413" t="s">
        <v>184</v>
      </c>
      <c r="Z2" s="414"/>
      <c r="AA2" s="414"/>
      <c r="AB2" s="414"/>
      <c r="AC2" s="390" t="s">
        <v>2</v>
      </c>
      <c r="AD2" s="391"/>
      <c r="AE2" s="391"/>
      <c r="AF2" s="391"/>
      <c r="AG2" s="391"/>
      <c r="AH2" s="391"/>
      <c r="AI2" s="391"/>
      <c r="AJ2" s="392"/>
      <c r="AK2" s="393" t="s">
        <v>4</v>
      </c>
    </row>
    <row r="3" spans="1:37" ht="84.6" thickBot="1">
      <c r="B3" s="400"/>
      <c r="C3" s="412"/>
      <c r="D3" s="411"/>
      <c r="E3" s="402"/>
      <c r="F3" s="274" t="s">
        <v>273</v>
      </c>
      <c r="G3" s="275" t="s">
        <v>274</v>
      </c>
      <c r="H3" s="34" t="s">
        <v>105</v>
      </c>
      <c r="I3" s="34" t="s">
        <v>106</v>
      </c>
      <c r="J3" s="34" t="s">
        <v>107</v>
      </c>
      <c r="K3" s="34" t="s">
        <v>108</v>
      </c>
      <c r="L3" s="33" t="s">
        <v>185</v>
      </c>
      <c r="M3" s="34" t="s">
        <v>186</v>
      </c>
      <c r="N3" s="31" t="s">
        <v>45</v>
      </c>
      <c r="O3" s="31" t="s">
        <v>46</v>
      </c>
      <c r="P3" s="31" t="s">
        <v>34</v>
      </c>
      <c r="Q3" s="31" t="s">
        <v>36</v>
      </c>
      <c r="R3" s="31" t="s">
        <v>283</v>
      </c>
      <c r="S3" s="31" t="s">
        <v>35</v>
      </c>
      <c r="T3" s="32" t="s">
        <v>37</v>
      </c>
      <c r="U3" s="106" t="s">
        <v>110</v>
      </c>
      <c r="V3" s="35" t="s">
        <v>111</v>
      </c>
      <c r="W3" s="35" t="s">
        <v>188</v>
      </c>
      <c r="X3" s="35" t="s">
        <v>112</v>
      </c>
      <c r="Y3" s="106" t="s">
        <v>65</v>
      </c>
      <c r="Z3" s="35" t="s">
        <v>189</v>
      </c>
      <c r="AA3" s="35" t="s">
        <v>67</v>
      </c>
      <c r="AB3" s="36" t="s">
        <v>190</v>
      </c>
      <c r="AC3" s="33" t="s">
        <v>38</v>
      </c>
      <c r="AD3" s="31" t="s">
        <v>39</v>
      </c>
      <c r="AE3" s="31" t="s">
        <v>40</v>
      </c>
      <c r="AF3" s="31" t="s">
        <v>41</v>
      </c>
      <c r="AG3" s="31" t="s">
        <v>113</v>
      </c>
      <c r="AH3" s="31" t="s">
        <v>115</v>
      </c>
      <c r="AI3" s="31" t="s">
        <v>191</v>
      </c>
      <c r="AJ3" s="32" t="s">
        <v>114</v>
      </c>
      <c r="AK3" s="394"/>
    </row>
    <row r="4" spans="1:37" ht="13.8" thickBot="1">
      <c r="B4" s="102" t="s">
        <v>192</v>
      </c>
      <c r="C4" s="80" t="s">
        <v>301</v>
      </c>
      <c r="D4" s="141"/>
      <c r="E4" s="137"/>
      <c r="F4" s="107"/>
      <c r="G4" s="81"/>
      <c r="H4" s="69"/>
      <c r="I4" s="63"/>
      <c r="J4" s="63"/>
      <c r="K4" s="64"/>
      <c r="L4" s="77"/>
      <c r="M4" s="108"/>
      <c r="N4" s="63"/>
      <c r="O4" s="63"/>
      <c r="P4" s="63"/>
      <c r="Q4" s="63"/>
      <c r="R4" s="63"/>
      <c r="S4" s="63"/>
      <c r="T4" s="64"/>
      <c r="U4" s="62"/>
      <c r="V4" s="63"/>
      <c r="W4" s="63"/>
      <c r="X4" s="64"/>
      <c r="Y4" s="62"/>
      <c r="Z4" s="63"/>
      <c r="AA4" s="63"/>
      <c r="AB4" s="64"/>
      <c r="AC4" s="69"/>
      <c r="AD4" s="63"/>
      <c r="AE4" s="63"/>
      <c r="AF4" s="63"/>
      <c r="AG4" s="63"/>
      <c r="AH4" s="63"/>
      <c r="AI4" s="63"/>
      <c r="AJ4" s="64"/>
      <c r="AK4" s="149"/>
    </row>
    <row r="5" spans="1:37" ht="24">
      <c r="A5">
        <v>1</v>
      </c>
      <c r="B5" s="78">
        <v>119</v>
      </c>
      <c r="C5" s="79" t="s">
        <v>284</v>
      </c>
      <c r="D5" s="318" t="s">
        <v>285</v>
      </c>
      <c r="E5" s="82"/>
      <c r="F5" s="319">
        <v>24</v>
      </c>
      <c r="G5" s="320"/>
      <c r="H5" s="293">
        <f>COUNTIFS(缺陷明细!$A$2:$A$50000,$B$4,缺陷明细!$G$2:$G$50000,$C5,缺陷明细!$J$2:$J$50000,"评审",缺陷明细!$AA$2:$AA$50000,"&lt;&gt;丢弃",缺陷明细!$AA$2:$AA$50000,"&lt;&gt;设计如此",缺陷明细!$AA$2:$AA$50000,"&lt;&gt;重复Bug")</f>
        <v>0</v>
      </c>
      <c r="I5" s="294">
        <f>COUNTIFS(缺陷明细!$A$2:$A$50000,$B$4,缺陷明细!$G$2:$G$50000,$C5,缺陷明细!$Q$2:$Q$50000,"已关闭",缺陷明细!$J$2:$J$50000,"评审")</f>
        <v>0</v>
      </c>
      <c r="J5" s="294">
        <f>COUNTIFS(缺陷明细!$A$2:$A$50000,$B$4,缺陷明细!$G$2:$G$50000,$C5,缺陷明细!$J$2:$J$50000,"单元测试",缺陷明细!$AA$2:$AA$50000,"&lt;&gt;丢弃",缺陷明细!$AA$2:$AA$50000,"&lt;&gt;设计如此",缺陷明细!$AA$2:$AA$50000,"&lt;&gt;重复Bug")</f>
        <v>0</v>
      </c>
      <c r="K5" s="295">
        <f>COUNTIFS(缺陷明细!$A$2:$A$50000,$B$4,缺陷明细!$G$2:$G$50000,$C5,缺陷明细!$Q$2:$Q$50000,"已关闭",缺陷明细!$J$2:$J$50000,"单元测试")</f>
        <v>0</v>
      </c>
      <c r="L5" s="296"/>
      <c r="M5" s="297"/>
      <c r="N5" s="298">
        <f>COUNTIFS(缺陷明细!$A$2:$A$50000,$B$4,缺陷明细!$G$2:$G$50000,$C5,缺陷明细!$J$2:$J$50000,"系统测试案例评审",缺陷明细!$AA$2:$AA$50000,"&lt;&gt;丢弃",缺陷明细!$AA$2:$AA$50000,"&lt;&gt;设计如此",缺陷明细!$AA$2:$AA$50000,"&lt;&gt;重复Bug")</f>
        <v>0</v>
      </c>
      <c r="O5" s="298">
        <f>COUNTIFS(缺陷明细!$A$2:$A$50000,$B$4,缺陷明细!$G$2:$G$50000,$C5,缺陷明细!$Q$2:$Q$50000,"已关闭",缺陷明细!$J$2:$J$50000,"系统测试案例评审")</f>
        <v>0</v>
      </c>
      <c r="P5" s="298">
        <f>COUNTIFS(缺陷明细!$A$2:$A$50000,$B$4,缺陷明细!$G$2:$G$50000,$C5,缺陷明细!$J$2:$J$50000,"系统测试",缺陷明细!$AA$2:$AA$50000,"&lt;&gt;丢弃",缺陷明细!$AA$2:$AA$50000,"&lt;&gt;设计如此",缺陷明细!$AA$2:$AA$50000,"&lt;&gt;重复Bug")</f>
        <v>0</v>
      </c>
      <c r="Q5" s="298">
        <f>COUNTIFS(缺陷明细!$A$2:$A$50000,$B$4,缺陷明细!$G$2:$G$50000,$C5,缺陷明细!$Q$2:$Q$50000,"已关闭",缺陷明细!$J$2:$J$50000,"系统测试")</f>
        <v>0</v>
      </c>
      <c r="R5" s="298">
        <f>COUNTIFS(缺陷明细!$A$2:$A$50000,$B$4,缺陷明细!$G$2:$G$50000,$C5,缺陷明细!$AA$2:$AA$50000,"丢弃",缺陷明细!$J$2:$J$50000,"系统测试")+COUNTIFS(缺陷明细!$A$2:$A$50000,$B$4,缺陷明细!$G$2:$G$50000,$C5,缺陷明细!$AA$2:$AA$50000,"设计如此",缺陷明细!$J$2:$J$50000,"系统测试"+COUNTIFS(缺陷明细!$A$2:$A$50000,$B$4,缺陷明细!$G$2:$G$50000,$C5,缺陷明细!$AA$2:$AA$50000,"重复Bug",缺陷明细!$J$2:$J$50000,"系统测试"))</f>
        <v>0</v>
      </c>
      <c r="S5" s="298">
        <f>COUNTIFS(缺陷明细!$A$2:$A$50000,$B$4,缺陷明细!$G$2:$G$50000,$C5,缺陷明细!$J$2:$J$50000,"系统测试",缺陷明细!$K$2:$K$50000,"致命",缺陷明细!$AA$2:$AA$50000,"&lt;&gt;丢弃",缺陷明细!$AA$2:$AA$50000,"&lt;&gt;设计如此",缺陷明细!$AA$2:$AA$50000,"&lt;&gt;重复Bug")+COUNTIFS(缺陷明细!$A$2:$A$50000,$B$4,缺陷明细!$G$2:$G$50000,$C5,缺陷明细!$J$2:$J$50000,"系统测试",缺陷明细!$K$2:$K$50000,"严重",缺陷明细!$AA$2:$AA$50000,"&lt;&gt;丢弃",缺陷明细!$AA$2:$AA$50000,"&lt;&gt;设计如此",缺陷明细!$AA$2:$AA$50000,"&lt;&gt;重复Bug")</f>
        <v>0</v>
      </c>
      <c r="T5" s="299">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300">
        <f>COUNTIFS(缺陷明细!$A$2:$A$50000,$B$4,缺陷明细!$G$2:$G$50000,$C5,缺陷明细!$J$2:$J$50000,"验收测试",缺陷明细!$AA$2:$AA$50000,"&lt;&gt;丢弃",缺陷明细!$AA$2:$AA$50000,"&lt;&gt;设计如此",缺陷明细!$AA$2:$AA$50000,"&lt;&gt;重复Bug")</f>
        <v>0</v>
      </c>
      <c r="V5" s="301">
        <f>COUNTIFS(缺陷明细!$A$2:$A$50000,$B$4,缺陷明细!$G$2:$G$50000,$C5,缺陷明细!$Q$2:$Q$50000,"已关闭",缺陷明细!$J$2:$J$50000,"验收测试")</f>
        <v>0</v>
      </c>
      <c r="W5" s="301">
        <f>COUNTIFS(缺陷明细!$A$2:$A$50000,$B$4,缺陷明细!$G$2:$G$50000,$C5,缺陷明细!$J$2:$J$50000,"验收测试",缺陷明细!$K$2:$K$50000,"致命",缺陷明细!$AA$2:$AA$50000,"&lt;&gt;丢弃",缺陷明细!$AA$2:$AA$50000,"&lt;&gt;设计如此",缺陷明细!$AA$2:$AA$50000,"&lt;&gt;重复Bug")+COUNTIFS(缺陷明细!$A$2:$A$50000,$B$4,缺陷明细!$G$2:$G$50000,$C5,缺陷明细!$J$2:$J$50000,"验收测试",缺陷明细!$K$2:$K$50000,"严重",缺陷明细!$AA$2:$AA$50000,"&lt;&gt;丢弃",缺陷明细!$AA$2:$AA$50000,"&lt;&gt;设计如此",缺陷明细!$AA$2:$AA$50000,"&lt;&gt;重复Bug")</f>
        <v>0</v>
      </c>
      <c r="X5" s="302">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303">
        <f>COUNTIFS(缺陷明细!$A$2:$A$50000,$B$4,缺陷明细!$G$2:$G$50000,$C5,缺陷明细!$J$2:$J$50000,"运维测试",缺陷明细!$AA$2:$AA$50000,"&lt;&gt;丢弃",缺陷明细!$AA$2:$AA$50000,"&lt;&gt;设计如此",缺陷明细!$AA$2:$AA$50000,"&lt;&gt;重复Bug")</f>
        <v>0</v>
      </c>
      <c r="Z5" s="304">
        <f>COUNTIFS(缺陷明细!$A$2:$A$50000,$B$4,缺陷明细!$G$2:$G$50000,$C5,缺陷明细!$Q$2:$Q$50000,"已关闭",缺陷明细!$J$2:$J$50000,"运维测试")</f>
        <v>0</v>
      </c>
      <c r="AA5" s="298">
        <f>COUNTIFS(缺陷明细!$A$2:$A$50000,$B$4,缺陷明细!$G$2:$G$50000,$C5,缺陷明细!$J$2:$J$50000,"运维测试",缺陷明细!$K$2:$K$50000,"致命",缺陷明细!$AA$2:$AA$50000,"&lt;&gt;丢弃",缺陷明细!$AA$2:$AA$50000,"&lt;&gt;设计如此",缺陷明细!$AA$2:$AA$50000,"&lt;&gt;重复Bug")+COUNTIFS(缺陷明细!$A$2:$A$50000,$B$4,缺陷明细!$G$2:$G$50000,$C5,缺陷明细!$J$2:$J$50000,"运维测试",缺陷明细!$K$2:$K$50000,"严重",缺陷明细!$AA$2:$AA$50000,"&lt;&gt;丢弃",缺陷明细!$AA$2:$AA$50000,"&lt;&gt;设计如此",缺陷明细!$AA$2:$AA$50000,"&lt;&gt;重复Bug")</f>
        <v>0</v>
      </c>
      <c r="AB5" s="299">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50"/>
    </row>
    <row r="6" spans="1:37" ht="24">
      <c r="A6">
        <v>2</v>
      </c>
      <c r="B6" s="57">
        <v>120</v>
      </c>
      <c r="C6" s="58" t="s">
        <v>286</v>
      </c>
      <c r="D6" s="321" t="s">
        <v>300</v>
      </c>
      <c r="E6" s="82"/>
      <c r="F6" s="322">
        <v>24</v>
      </c>
      <c r="G6" s="323"/>
      <c r="H6" s="305">
        <f>COUNTIFS(缺陷明细!$A$2:$A$50000,$B$4,缺陷明细!$G$2:$G$50000,$C6,缺陷明细!$J$2:$J$50000,"评审",缺陷明细!$AA$2:$AA$50000,"&lt;&gt;丢弃",缺陷明细!$AA$2:$AA$50000,"&lt;&gt;设计如此",缺陷明细!$AA$2:$AA$50000,"&lt;&gt;重复Bug")</f>
        <v>0</v>
      </c>
      <c r="I6" s="161">
        <f>COUNTIFS(缺陷明细!$A$2:$A$50000,$B$4,缺陷明细!$G$2:$G$50000,$C6,缺陷明细!$Q$2:$Q$50000,"已关闭",缺陷明细!$J$2:$J$50000,"评审")</f>
        <v>0</v>
      </c>
      <c r="J6" s="161">
        <f>COUNTIFS(缺陷明细!$A$2:$A$50000,$B$4,缺陷明细!$G$2:$G$50000,$C6,缺陷明细!$J$2:$J$50000,"单元测试",缺陷明细!$AA$2:$AA$50000,"&lt;&gt;丢弃",缺陷明细!$AA$2:$AA$50000,"&lt;&gt;设计如此",缺陷明细!$AA$2:$AA$50000,"&lt;&gt;重复Bug")</f>
        <v>0</v>
      </c>
      <c r="K6" s="162">
        <f>COUNTIFS(缺陷明细!$A$2:$A$50000,$B$4,缺陷明细!$G$2:$G$50000,$C6,缺陷明细!$Q$2:$Q$50000,"已关闭",缺陷明细!$J$2:$J$50000,"单元测试")</f>
        <v>0</v>
      </c>
      <c r="L6" s="163"/>
      <c r="M6" s="164"/>
      <c r="N6" s="72">
        <f>COUNTIFS(缺陷明细!$A$2:$A$50000,$B$4,缺陷明细!$G$2:$G$50000,$C6,缺陷明细!$J$2:$J$50000,"系统测试案例评审",缺陷明细!$AA$2:$AA$50000,"&lt;&gt;丢弃",缺陷明细!$AA$2:$AA$50000,"&lt;&gt;设计如此",缺陷明细!$AA$2:$AA$50000,"&lt;&gt;重复Bug")</f>
        <v>0</v>
      </c>
      <c r="O6" s="72">
        <f>COUNTIFS(缺陷明细!$A$2:$A$50000,$B$4,缺陷明细!$G$2:$G$50000,$C6,缺陷明细!$Q$2:$Q$50000,"已关闭",缺陷明细!$J$2:$J$50000,"系统测试案例评审")</f>
        <v>0</v>
      </c>
      <c r="P6" s="72">
        <f>COUNTIFS(缺陷明细!$A$2:$A$50000,$B$4,缺陷明细!$G$2:$G$50000,$C6,缺陷明细!$J$2:$J$50000,"系统测试",缺陷明细!$AA$2:$AA$50000,"&lt;&gt;丢弃",缺陷明细!$AA$2:$AA$50000,"&lt;&gt;设计如此",缺陷明细!$AA$2:$AA$50000,"&lt;&gt;重复Bug")</f>
        <v>0</v>
      </c>
      <c r="Q6" s="72">
        <f>COUNTIFS(缺陷明细!$A$2:$A$50000,$B$4,缺陷明细!$G$2:$G$50000,$C6,缺陷明细!$Q$2:$Q$50000,"已关闭",缺陷明细!$J$2:$J$50000,"系统测试")</f>
        <v>0</v>
      </c>
      <c r="R6" s="72">
        <f>COUNTIFS(缺陷明细!$A$2:$A$50000,$B$4,缺陷明细!$G$2:$G$50000,$C6,缺陷明细!$AA$2:$AA$50000,"丢弃",缺陷明细!$J$2:$J$50000,"系统测试")+COUNTIFS(缺陷明细!$A$2:$A$50000,$B$4,缺陷明细!$G$2:$G$50000,$C6,缺陷明细!$AA$2:$AA$50000,"设计如此",缺陷明细!$J$2:$J$50000,"系统测试"+COUNTIFS(缺陷明细!$A$2:$A$50000,$B$4,缺陷明细!$G$2:$G$50000,$C6,缺陷明细!$AA$2:$AA$50000,"重复Bug",缺陷明细!$J$2:$J$50000,"系统测试"))</f>
        <v>0</v>
      </c>
      <c r="S6" s="72">
        <f>COUNTIFS(缺陷明细!$A$2:$A$50000,$B$4,缺陷明细!$G$2:$G$50000,$C6,缺陷明细!$J$2:$J$50000,"系统测试",缺陷明细!$K$2:$K$50000,"致命",缺陷明细!$AA$2:$AA$50000,"&lt;&gt;丢弃",缺陷明细!$AA$2:$AA$50000,"&lt;&gt;设计如此",缺陷明细!$AA$2:$AA$50000,"&lt;&gt;重复Bug")+COUNTIFS(缺陷明细!$A$2:$A$50000,$B$4,缺陷明细!$G$2:$G$50000,$C6,缺陷明细!$J$2:$J$50000,"系统测试",缺陷明细!$K$2:$K$50000,"严重",缺陷明细!$AA$2:$AA$50000,"&lt;&gt;丢弃",缺陷明细!$AA$2:$AA$50000,"&lt;&gt;设计如此",缺陷明细!$AA$2:$AA$50000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COUNTIFS(缺陷明细!$A$2:$A$50000,$B$4,缺陷明细!$G$2:$G$50000,$C6,缺陷明细!$J$2:$J$50000,"验收测试",缺陷明细!$AA$2:$AA$50000,"&lt;&gt;丢弃",缺陷明细!$AA$2:$AA$50000,"&lt;&gt;设计如此",缺陷明细!$AA$2:$AA$50000,"&lt;&gt;重复Bug")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A$2:$AA$50000,"&lt;&gt;丢弃",缺陷明细!$AA$2:$AA$50000,"&lt;&gt;设计如此",缺陷明细!$AA$2:$AA$50000,"&lt;&gt;重复Bug")+COUNTIFS(缺陷明细!$A$2:$A$50000,$B$4,缺陷明细!$G$2:$G$50000,$C6,缺陷明细!$J$2:$J$50000,"验收测试",缺陷明细!$K$2:$K$50000,"严重",缺陷明细!$AA$2:$AA$50000,"&lt;&gt;丢弃",缺陷明细!$AA$2:$AA$50000,"&lt;&gt;设计如此",缺陷明细!$AA$2:$AA$50000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COUNTIFS(缺陷明细!$A$2:$A$50000,$B$4,缺陷明细!$G$2:$G$50000,$C6,缺陷明细!$J$2:$J$50000,"运维测试",缺陷明细!$AA$2:$AA$50000,"&lt;&gt;丢弃",缺陷明细!$AA$2:$AA$50000,"&lt;&gt;设计如此",缺陷明细!$AA$2:$AA$50000,"&lt;&gt;重复Bug")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A$2:$AA$50000,"&lt;&gt;丢弃",缺陷明细!$AA$2:$AA$50000,"&lt;&gt;设计如此",缺陷明细!$AA$2:$AA$50000,"&lt;&gt;重复Bug")+COUNTIFS(缺陷明细!$A$2:$A$50000,$B$4,缺陷明细!$G$2:$G$50000,$C6,缺陷明细!$J$2:$J$50000,"运维测试",缺陷明细!$K$2:$K$50000,"严重",缺陷明细!$AA$2:$AA$50000,"&lt;&gt;丢弃",缺陷明细!$AA$2:$AA$50000,"&lt;&gt;设计如此",缺陷明细!$AA$2:$AA$50000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51"/>
    </row>
    <row r="7" spans="1:37" ht="26.4">
      <c r="A7">
        <v>3</v>
      </c>
      <c r="B7" s="57">
        <v>121</v>
      </c>
      <c r="C7" s="58" t="s">
        <v>287</v>
      </c>
      <c r="D7" s="321" t="s">
        <v>285</v>
      </c>
      <c r="E7" s="82"/>
      <c r="F7" s="322">
        <v>32</v>
      </c>
      <c r="G7" s="323"/>
      <c r="H7" s="305">
        <f>COUNTIFS(缺陷明细!$A$2:$A$50000,$B$4,缺陷明细!$G$2:$G$50000,$C7,缺陷明细!$J$2:$J$50000,"评审",缺陷明细!$AA$2:$AA$50000,"&lt;&gt;丢弃",缺陷明细!$AA$2:$AA$50000,"&lt;&gt;设计如此",缺陷明细!$AA$2:$AA$50000,"&lt;&gt;重复Bug")</f>
        <v>0</v>
      </c>
      <c r="I7" s="161">
        <f>COUNTIFS(缺陷明细!$A$2:$A$50000,$B$4,缺陷明细!$G$2:$G$50000,$C7,缺陷明细!$Q$2:$Q$50000,"已关闭",缺陷明细!$J$2:$J$50000,"评审")</f>
        <v>0</v>
      </c>
      <c r="J7" s="161">
        <f>COUNTIFS(缺陷明细!$A$2:$A$50000,$B$4,缺陷明细!$G$2:$G$50000,$C7,缺陷明细!$J$2:$J$50000,"单元测试",缺陷明细!$AA$2:$AA$50000,"&lt;&gt;丢弃",缺陷明细!$AA$2:$AA$50000,"&lt;&gt;设计如此",缺陷明细!$AA$2:$AA$50000,"&lt;&gt;重复Bug")</f>
        <v>0</v>
      </c>
      <c r="K7" s="162">
        <f>COUNTIFS(缺陷明细!$A$2:$A$50000,$B$4,缺陷明细!$G$2:$G$50000,$C7,缺陷明细!$Q$2:$Q$50000,"已关闭",缺陷明细!$J$2:$J$50000,"单元测试")</f>
        <v>0</v>
      </c>
      <c r="L7" s="163"/>
      <c r="M7" s="164"/>
      <c r="N7" s="72">
        <f>COUNTIFS(缺陷明细!$A$2:$A$50000,$B$4,缺陷明细!$G$2:$G$50000,$C7,缺陷明细!$J$2:$J$50000,"系统测试案例评审",缺陷明细!$AA$2:$AA$50000,"&lt;&gt;丢弃",缺陷明细!$AA$2:$AA$50000,"&lt;&gt;设计如此",缺陷明细!$AA$2:$AA$50000,"&lt;&gt;重复Bug")</f>
        <v>0</v>
      </c>
      <c r="O7" s="72">
        <f>COUNTIFS(缺陷明细!$A$2:$A$50000,$B$4,缺陷明细!$G$2:$G$50000,$C7,缺陷明细!$Q$2:$Q$50000,"已关闭",缺陷明细!$J$2:$J$50000,"系统测试案例评审")</f>
        <v>0</v>
      </c>
      <c r="P7" s="72">
        <f>COUNTIFS(缺陷明细!$A$2:$A$50000,$B$4,缺陷明细!$G$2:$G$50000,$C7,缺陷明细!$J$2:$J$50000,"系统测试",缺陷明细!$AA$2:$AA$50000,"&lt;&gt;丢弃",缺陷明细!$AA$2:$AA$50000,"&lt;&gt;设计如此",缺陷明细!$AA$2:$AA$50000,"&lt;&gt;重复Bug")</f>
        <v>0</v>
      </c>
      <c r="Q7" s="72">
        <f>COUNTIFS(缺陷明细!$A$2:$A$50000,$B$4,缺陷明细!$G$2:$G$50000,$C7,缺陷明细!$Q$2:$Q$50000,"已关闭",缺陷明细!$J$2:$J$50000,"系统测试")</f>
        <v>0</v>
      </c>
      <c r="R7" s="72">
        <f>COUNTIFS(缺陷明细!$A$2:$A$50000,$B$4,缺陷明细!$G$2:$G$50000,$C7,缺陷明细!$AA$2:$AA$50000,"丢弃",缺陷明细!$J$2:$J$50000,"系统测试")+COUNTIFS(缺陷明细!$A$2:$A$50000,$B$4,缺陷明细!$G$2:$G$50000,$C7,缺陷明细!$AA$2:$AA$50000,"设计如此",缺陷明细!$J$2:$J$50000,"系统测试"+COUNTIFS(缺陷明细!$A$2:$A$50000,$B$4,缺陷明细!$G$2:$G$50000,$C7,缺陷明细!$AA$2:$AA$50000,"重复Bug",缺陷明细!$J$2:$J$50000,"系统测试"))</f>
        <v>0</v>
      </c>
      <c r="S7" s="72">
        <f>COUNTIFS(缺陷明细!$A$2:$A$50000,$B$4,缺陷明细!$G$2:$G$50000,$C7,缺陷明细!$J$2:$J$50000,"系统测试",缺陷明细!$K$2:$K$50000,"致命",缺陷明细!$AA$2:$AA$50000,"&lt;&gt;丢弃",缺陷明细!$AA$2:$AA$50000,"&lt;&gt;设计如此",缺陷明细!$AA$2:$AA$50000,"&lt;&gt;重复Bug")+COUNTIFS(缺陷明细!$A$2:$A$50000,$B$4,缺陷明细!$G$2:$G$50000,$C7,缺陷明细!$J$2:$J$50000,"系统测试",缺陷明细!$K$2:$K$50000,"严重",缺陷明细!$AA$2:$AA$50000,"&lt;&gt;丢弃",缺陷明细!$AA$2:$AA$50000,"&lt;&gt;设计如此",缺陷明细!$AA$2:$AA$50000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COUNTIFS(缺陷明细!$A$2:$A$50000,$B$4,缺陷明细!$G$2:$G$50000,$C7,缺陷明细!$J$2:$J$50000,"验收测试",缺陷明细!$AA$2:$AA$50000,"&lt;&gt;丢弃",缺陷明细!$AA$2:$AA$50000,"&lt;&gt;设计如此",缺陷明细!$AA$2:$AA$50000,"&lt;&gt;重复Bug")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A$2:$AA$50000,"&lt;&gt;丢弃",缺陷明细!$AA$2:$AA$50000,"&lt;&gt;设计如此",缺陷明细!$AA$2:$AA$50000,"&lt;&gt;重复Bug")+COUNTIFS(缺陷明细!$A$2:$A$50000,$B$4,缺陷明细!$G$2:$G$50000,$C7,缺陷明细!$J$2:$J$50000,"验收测试",缺陷明细!$K$2:$K$50000,"严重",缺陷明细!$AA$2:$AA$50000,"&lt;&gt;丢弃",缺陷明细!$AA$2:$AA$50000,"&lt;&gt;设计如此",缺陷明细!$AA$2:$AA$50000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COUNTIFS(缺陷明细!$A$2:$A$50000,$B$4,缺陷明细!$G$2:$G$50000,$C7,缺陷明细!$J$2:$J$50000,"运维测试",缺陷明细!$AA$2:$AA$50000,"&lt;&gt;丢弃",缺陷明细!$AA$2:$AA$50000,"&lt;&gt;设计如此",缺陷明细!$AA$2:$AA$50000,"&lt;&gt;重复Bug")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A$2:$AA$50000,"&lt;&gt;丢弃",缺陷明细!$AA$2:$AA$50000,"&lt;&gt;设计如此",缺陷明细!$AA$2:$AA$50000,"&lt;&gt;重复Bug")+COUNTIFS(缺陷明细!$A$2:$A$50000,$B$4,缺陷明细!$G$2:$G$50000,$C7,缺陷明细!$J$2:$J$50000,"运维测试",缺陷明细!$K$2:$K$50000,"严重",缺陷明细!$AA$2:$AA$50000,"&lt;&gt;丢弃",缺陷明细!$AA$2:$AA$50000,"&lt;&gt;设计如此",缺陷明细!$AA$2:$AA$50000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51"/>
    </row>
    <row r="8" spans="1:37" ht="24">
      <c r="A8">
        <v>4</v>
      </c>
      <c r="B8" s="57">
        <v>122</v>
      </c>
      <c r="C8" s="58" t="s">
        <v>288</v>
      </c>
      <c r="D8" s="321" t="s">
        <v>289</v>
      </c>
      <c r="E8" s="82"/>
      <c r="F8" s="322">
        <v>40</v>
      </c>
      <c r="G8" s="323"/>
      <c r="H8" s="305">
        <f>COUNTIFS(缺陷明细!$A$2:$A$50000,$B$4,缺陷明细!$G$2:$G$50000,$C8,缺陷明细!$J$2:$J$50000,"评审",缺陷明细!$AA$2:$AA$50000,"&lt;&gt;丢弃",缺陷明细!$AA$2:$AA$50000,"&lt;&gt;设计如此",缺陷明细!$AA$2:$AA$50000,"&lt;&gt;重复Bug")</f>
        <v>0</v>
      </c>
      <c r="I8" s="161">
        <f>COUNTIFS(缺陷明细!$A$2:$A$50000,$B$4,缺陷明细!$G$2:$G$50000,$C8,缺陷明细!$Q$2:$Q$50000,"已关闭",缺陷明细!$J$2:$J$50000,"评审")</f>
        <v>0</v>
      </c>
      <c r="J8" s="161">
        <f>COUNTIFS(缺陷明细!$A$2:$A$50000,$B$4,缺陷明细!$G$2:$G$50000,$C8,缺陷明细!$J$2:$J$50000,"单元测试",缺陷明细!$AA$2:$AA$50000,"&lt;&gt;丢弃",缺陷明细!$AA$2:$AA$50000,"&lt;&gt;设计如此",缺陷明细!$AA$2:$AA$50000,"&lt;&gt;重复Bug")</f>
        <v>0</v>
      </c>
      <c r="K8" s="162">
        <f>COUNTIFS(缺陷明细!$A$2:$A$50000,$B$4,缺陷明细!$G$2:$G$50000,$C8,缺陷明细!$Q$2:$Q$50000,"已关闭",缺陷明细!$J$2:$J$50000,"单元测试")</f>
        <v>0</v>
      </c>
      <c r="L8" s="163"/>
      <c r="M8" s="164"/>
      <c r="N8" s="72">
        <f>COUNTIFS(缺陷明细!$A$2:$A$50000,$B$4,缺陷明细!$G$2:$G$50000,$C8,缺陷明细!$J$2:$J$50000,"系统测试案例评审",缺陷明细!$AA$2:$AA$50000,"&lt;&gt;丢弃",缺陷明细!$AA$2:$AA$50000,"&lt;&gt;设计如此",缺陷明细!$AA$2:$AA$50000,"&lt;&gt;重复Bug")</f>
        <v>0</v>
      </c>
      <c r="O8" s="72">
        <f>COUNTIFS(缺陷明细!$A$2:$A$50000,$B$4,缺陷明细!$G$2:$G$50000,$C8,缺陷明细!$Q$2:$Q$50000,"已关闭",缺陷明细!$J$2:$J$50000,"系统测试案例评审")</f>
        <v>0</v>
      </c>
      <c r="P8" s="72">
        <f>COUNTIFS(缺陷明细!$A$2:$A$50000,$B$4,缺陷明细!$G$2:$G$50000,$C8,缺陷明细!$J$2:$J$50000,"系统测试",缺陷明细!$AA$2:$AA$50000,"&lt;&gt;丢弃",缺陷明细!$AA$2:$AA$50000,"&lt;&gt;设计如此",缺陷明细!$AA$2:$AA$50000,"&lt;&gt;重复Bug")</f>
        <v>0</v>
      </c>
      <c r="Q8" s="72">
        <f>COUNTIFS(缺陷明细!$A$2:$A$50000,$B$4,缺陷明细!$G$2:$G$50000,$C8,缺陷明细!$Q$2:$Q$50000,"已关闭",缺陷明细!$J$2:$J$50000,"系统测试")</f>
        <v>0</v>
      </c>
      <c r="R8" s="72">
        <f>COUNTIFS(缺陷明细!$A$2:$A$50000,$B$4,缺陷明细!$G$2:$G$50000,$C8,缺陷明细!$AA$2:$AA$50000,"丢弃",缺陷明细!$J$2:$J$50000,"系统测试")+COUNTIFS(缺陷明细!$A$2:$A$50000,$B$4,缺陷明细!$G$2:$G$50000,$C8,缺陷明细!$AA$2:$AA$50000,"设计如此",缺陷明细!$J$2:$J$50000,"系统测试"+COUNTIFS(缺陷明细!$A$2:$A$50000,$B$4,缺陷明细!$G$2:$G$50000,$C8,缺陷明细!$AA$2:$AA$50000,"重复Bug",缺陷明细!$J$2:$J$50000,"系统测试"))</f>
        <v>0</v>
      </c>
      <c r="S8" s="72">
        <f>COUNTIFS(缺陷明细!$A$2:$A$50000,$B$4,缺陷明细!$G$2:$G$50000,$C8,缺陷明细!$J$2:$J$50000,"系统测试",缺陷明细!$K$2:$K$50000,"致命",缺陷明细!$AA$2:$AA$50000,"&lt;&gt;丢弃",缺陷明细!$AA$2:$AA$50000,"&lt;&gt;设计如此",缺陷明细!$AA$2:$AA$50000,"&lt;&gt;重复Bug")+COUNTIFS(缺陷明细!$A$2:$A$50000,$B$4,缺陷明细!$G$2:$G$50000,$C8,缺陷明细!$J$2:$J$50000,"系统测试",缺陷明细!$K$2:$K$50000,"严重",缺陷明细!$AA$2:$AA$50000,"&lt;&gt;丢弃",缺陷明细!$AA$2:$AA$50000,"&lt;&gt;设计如此",缺陷明细!$AA$2:$AA$50000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COUNTIFS(缺陷明细!$A$2:$A$50000,$B$4,缺陷明细!$G$2:$G$50000,$C8,缺陷明细!$J$2:$J$50000,"验收测试",缺陷明细!$AA$2:$AA$50000,"&lt;&gt;丢弃",缺陷明细!$AA$2:$AA$50000,"&lt;&gt;设计如此",缺陷明细!$AA$2:$AA$50000,"&lt;&gt;重复Bug")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A$2:$AA$50000,"&lt;&gt;丢弃",缺陷明细!$AA$2:$AA$50000,"&lt;&gt;设计如此",缺陷明细!$AA$2:$AA$50000,"&lt;&gt;重复Bug")+COUNTIFS(缺陷明细!$A$2:$A$50000,$B$4,缺陷明细!$G$2:$G$50000,$C8,缺陷明细!$J$2:$J$50000,"验收测试",缺陷明细!$K$2:$K$50000,"严重",缺陷明细!$AA$2:$AA$50000,"&lt;&gt;丢弃",缺陷明细!$AA$2:$AA$50000,"&lt;&gt;设计如此",缺陷明细!$AA$2:$AA$50000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COUNTIFS(缺陷明细!$A$2:$A$50000,$B$4,缺陷明细!$G$2:$G$50000,$C8,缺陷明细!$J$2:$J$50000,"运维测试",缺陷明细!$AA$2:$AA$50000,"&lt;&gt;丢弃",缺陷明细!$AA$2:$AA$50000,"&lt;&gt;设计如此",缺陷明细!$AA$2:$AA$50000,"&lt;&gt;重复Bug")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A$2:$AA$50000,"&lt;&gt;丢弃",缺陷明细!$AA$2:$AA$50000,"&lt;&gt;设计如此",缺陷明细!$AA$2:$AA$50000,"&lt;&gt;重复Bug")+COUNTIFS(缺陷明细!$A$2:$A$50000,$B$4,缺陷明细!$G$2:$G$50000,$C8,缺陷明细!$J$2:$J$50000,"运维测试",缺陷明细!$K$2:$K$50000,"严重",缺陷明细!$AA$2:$AA$50000,"&lt;&gt;丢弃",缺陷明细!$AA$2:$AA$50000,"&lt;&gt;设计如此",缺陷明细!$AA$2:$AA$50000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51"/>
    </row>
    <row r="9" spans="1:37" ht="24">
      <c r="A9">
        <v>5</v>
      </c>
      <c r="B9" s="57">
        <v>123</v>
      </c>
      <c r="C9" s="59" t="s">
        <v>290</v>
      </c>
      <c r="D9" s="321" t="s">
        <v>289</v>
      </c>
      <c r="E9" s="82"/>
      <c r="F9" s="322">
        <v>72</v>
      </c>
      <c r="G9" s="323"/>
      <c r="H9" s="305">
        <f>COUNTIFS(缺陷明细!$A$2:$A$50000,$B$4,缺陷明细!$G$2:$G$50000,$C9,缺陷明细!$J$2:$J$50000,"评审",缺陷明细!$AA$2:$AA$50000,"&lt;&gt;丢弃",缺陷明细!$AA$2:$AA$50000,"&lt;&gt;设计如此",缺陷明细!$AA$2:$AA$50000,"&lt;&gt;重复Bug")</f>
        <v>0</v>
      </c>
      <c r="I9" s="161">
        <f>COUNTIFS(缺陷明细!$A$2:$A$50000,$B$4,缺陷明细!$G$2:$G$50000,$C9,缺陷明细!$Q$2:$Q$50000,"已关闭",缺陷明细!$J$2:$J$50000,"评审")</f>
        <v>0</v>
      </c>
      <c r="J9" s="161">
        <f>COUNTIFS(缺陷明细!$A$2:$A$50000,$B$4,缺陷明细!$G$2:$G$50000,$C9,缺陷明细!$J$2:$J$50000,"单元测试",缺陷明细!$AA$2:$AA$50000,"&lt;&gt;丢弃",缺陷明细!$AA$2:$AA$50000,"&lt;&gt;设计如此",缺陷明细!$AA$2:$AA$50000,"&lt;&gt;重复Bug")</f>
        <v>0</v>
      </c>
      <c r="K9" s="162">
        <f>COUNTIFS(缺陷明细!$A$2:$A$50000,$B$4,缺陷明细!$G$2:$G$50000,$C9,缺陷明细!$Q$2:$Q$50000,"已关闭",缺陷明细!$J$2:$J$50000,"单元测试")</f>
        <v>0</v>
      </c>
      <c r="L9" s="163"/>
      <c r="M9" s="164"/>
      <c r="N9" s="72">
        <f>COUNTIFS(缺陷明细!$A$2:$A$50000,$B$4,缺陷明细!$G$2:$G$50000,$C9,缺陷明细!$J$2:$J$50000,"系统测试案例评审",缺陷明细!$AA$2:$AA$50000,"&lt;&gt;丢弃",缺陷明细!$AA$2:$AA$50000,"&lt;&gt;设计如此",缺陷明细!$AA$2:$AA$50000,"&lt;&gt;重复Bug")</f>
        <v>0</v>
      </c>
      <c r="O9" s="72">
        <f>COUNTIFS(缺陷明细!$A$2:$A$50000,$B$4,缺陷明细!$G$2:$G$50000,$C9,缺陷明细!$Q$2:$Q$50000,"已关闭",缺陷明细!$J$2:$J$50000,"系统测试案例评审")</f>
        <v>0</v>
      </c>
      <c r="P9" s="72">
        <f>COUNTIFS(缺陷明细!$A$2:$A$50000,$B$4,缺陷明细!$G$2:$G$50000,$C9,缺陷明细!$J$2:$J$50000,"系统测试",缺陷明细!$AA$2:$AA$50000,"&lt;&gt;丢弃",缺陷明细!$AA$2:$AA$50000,"&lt;&gt;设计如此",缺陷明细!$AA$2:$AA$50000,"&lt;&gt;重复Bug")</f>
        <v>0</v>
      </c>
      <c r="Q9" s="72">
        <f>COUNTIFS(缺陷明细!$A$2:$A$50000,$B$4,缺陷明细!$G$2:$G$50000,$C9,缺陷明细!$Q$2:$Q$50000,"已关闭",缺陷明细!$J$2:$J$50000,"系统测试")</f>
        <v>0</v>
      </c>
      <c r="R9" s="72">
        <f>COUNTIFS(缺陷明细!$A$2:$A$50000,$B$4,缺陷明细!$G$2:$G$50000,$C9,缺陷明细!$AA$2:$AA$50000,"丢弃",缺陷明细!$J$2:$J$50000,"系统测试")+COUNTIFS(缺陷明细!$A$2:$A$50000,$B$4,缺陷明细!$G$2:$G$50000,$C9,缺陷明细!$AA$2:$AA$50000,"设计如此",缺陷明细!$J$2:$J$50000,"系统测试"+COUNTIFS(缺陷明细!$A$2:$A$50000,$B$4,缺陷明细!$G$2:$G$50000,$C9,缺陷明细!$AA$2:$AA$50000,"重复Bug",缺陷明细!$J$2:$J$50000,"系统测试"))</f>
        <v>0</v>
      </c>
      <c r="S9" s="72">
        <f>COUNTIFS(缺陷明细!$A$2:$A$50000,$B$4,缺陷明细!$G$2:$G$50000,$C9,缺陷明细!$J$2:$J$50000,"系统测试",缺陷明细!$K$2:$K$50000,"致命",缺陷明细!$AA$2:$AA$50000,"&lt;&gt;丢弃",缺陷明细!$AA$2:$AA$50000,"&lt;&gt;设计如此",缺陷明细!$AA$2:$AA$50000,"&lt;&gt;重复Bug")+COUNTIFS(缺陷明细!$A$2:$A$50000,$B$4,缺陷明细!$G$2:$G$50000,$C9,缺陷明细!$J$2:$J$50000,"系统测试",缺陷明细!$K$2:$K$50000,"严重",缺陷明细!$AA$2:$AA$50000,"&lt;&gt;丢弃",缺陷明细!$AA$2:$AA$50000,"&lt;&gt;设计如此",缺陷明细!$AA$2:$AA$50000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COUNTIFS(缺陷明细!$A$2:$A$50000,$B$4,缺陷明细!$G$2:$G$50000,$C9,缺陷明细!$J$2:$J$50000,"验收测试",缺陷明细!$AA$2:$AA$50000,"&lt;&gt;丢弃",缺陷明细!$AA$2:$AA$50000,"&lt;&gt;设计如此",缺陷明细!$AA$2:$AA$50000,"&lt;&gt;重复Bug")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A$2:$AA$50000,"&lt;&gt;丢弃",缺陷明细!$AA$2:$AA$50000,"&lt;&gt;设计如此",缺陷明细!$AA$2:$AA$50000,"&lt;&gt;重复Bug")+COUNTIFS(缺陷明细!$A$2:$A$50000,$B$4,缺陷明细!$G$2:$G$50000,$C9,缺陷明细!$J$2:$J$50000,"验收测试",缺陷明细!$K$2:$K$50000,"严重",缺陷明细!$AA$2:$AA$50000,"&lt;&gt;丢弃",缺陷明细!$AA$2:$AA$50000,"&lt;&gt;设计如此",缺陷明细!$AA$2:$AA$50000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COUNTIFS(缺陷明细!$A$2:$A$50000,$B$4,缺陷明细!$G$2:$G$50000,$C9,缺陷明细!$J$2:$J$50000,"运维测试",缺陷明细!$AA$2:$AA$50000,"&lt;&gt;丢弃",缺陷明细!$AA$2:$AA$50000,"&lt;&gt;设计如此",缺陷明细!$AA$2:$AA$50000,"&lt;&gt;重复Bug")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A$2:$AA$50000,"&lt;&gt;丢弃",缺陷明细!$AA$2:$AA$50000,"&lt;&gt;设计如此",缺陷明细!$AA$2:$AA$50000,"&lt;&gt;重复Bug")+COUNTIFS(缺陷明细!$A$2:$A$50000,$B$4,缺陷明细!$G$2:$G$50000,$C9,缺陷明细!$J$2:$J$50000,"运维测试",缺陷明细!$K$2:$K$50000,"严重",缺陷明细!$AA$2:$AA$50000,"&lt;&gt;丢弃",缺陷明细!$AA$2:$AA$50000,"&lt;&gt;设计如此",缺陷明细!$AA$2:$AA$50000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51"/>
    </row>
    <row r="10" spans="1:37" ht="24">
      <c r="A10">
        <v>6</v>
      </c>
      <c r="B10" s="57">
        <v>124</v>
      </c>
      <c r="C10" s="58" t="s">
        <v>291</v>
      </c>
      <c r="D10" s="321" t="s">
        <v>289</v>
      </c>
      <c r="E10" s="82"/>
      <c r="F10" s="322">
        <v>32</v>
      </c>
      <c r="G10" s="323"/>
      <c r="H10" s="305">
        <f>COUNTIFS(缺陷明细!$A$2:$A$50000,$B$4,缺陷明细!$G$2:$G$50000,$C10,缺陷明细!$J$2:$J$50000,"评审",缺陷明细!$AA$2:$AA$50000,"&lt;&gt;丢弃",缺陷明细!$AA$2:$AA$50000,"&lt;&gt;设计如此",缺陷明细!$AA$2:$AA$50000,"&lt;&gt;重复Bug")</f>
        <v>0</v>
      </c>
      <c r="I10" s="161">
        <f>COUNTIFS(缺陷明细!$A$2:$A$50000,$B$4,缺陷明细!$G$2:$G$50000,$C10,缺陷明细!$Q$2:$Q$50000,"已关闭",缺陷明细!$J$2:$J$50000,"评审")</f>
        <v>0</v>
      </c>
      <c r="J10" s="161">
        <f>COUNTIFS(缺陷明细!$A$2:$A$50000,$B$4,缺陷明细!$G$2:$G$50000,$C10,缺陷明细!$J$2:$J$50000,"单元测试",缺陷明细!$AA$2:$AA$50000,"&lt;&gt;丢弃",缺陷明细!$AA$2:$AA$50000,"&lt;&gt;设计如此",缺陷明细!$AA$2:$AA$50000,"&lt;&gt;重复Bug")</f>
        <v>0</v>
      </c>
      <c r="K10" s="162">
        <f>COUNTIFS(缺陷明细!$A$2:$A$50000,$B$4,缺陷明细!$G$2:$G$50000,$C10,缺陷明细!$Q$2:$Q$50000,"已关闭",缺陷明细!$J$2:$J$50000,"单元测试")</f>
        <v>0</v>
      </c>
      <c r="L10" s="163"/>
      <c r="M10" s="164"/>
      <c r="N10" s="72">
        <f>COUNTIFS(缺陷明细!$A$2:$A$50000,$B$4,缺陷明细!$G$2:$G$50000,$C10,缺陷明细!$J$2:$J$50000,"系统测试案例评审",缺陷明细!$AA$2:$AA$50000,"&lt;&gt;丢弃",缺陷明细!$AA$2:$AA$50000,"&lt;&gt;设计如此",缺陷明细!$AA$2:$AA$50000,"&lt;&gt;重复Bug")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COUNTIFS(缺陷明细!$A$2:$A$50000,$B$4,缺陷明细!$G$2:$G$50000,$C10,缺陷明细!$J$2:$J$50000,"系统测试",缺陷明细!$AA$2:$AA$50000,"&lt;&gt;丢弃",缺陷明细!$AA$2:$AA$50000,"&lt;&gt;设计如此",缺陷明细!$AA$2:$AA$50000,"&lt;&gt;重复Bug")</f>
        <v>0</v>
      </c>
      <c r="Q10" s="72">
        <f>COUNTIFS(缺陷明细!$A$2:$A$50000,$B$4,缺陷明细!$G$2:$G$50000,$C10,缺陷明细!$Q$2:$Q$50000,"已关闭",缺陷明细!$J$2:$J$50000,"系统测试")</f>
        <v>0</v>
      </c>
      <c r="R10" s="72">
        <f>COUNTIFS(缺陷明细!$A$2:$A$50000,$B$4,缺陷明细!$G$2:$G$50000,$C10,缺陷明细!$AA$2:$AA$50000,"丢弃",缺陷明细!$J$2:$J$50000,"系统测试")+COUNTIFS(缺陷明细!$A$2:$A$50000,$B$4,缺陷明细!$G$2:$G$50000,$C10,缺陷明细!$AA$2:$AA$50000,"设计如此",缺陷明细!$J$2:$J$50000,"系统测试"+COUNTIFS(缺陷明细!$A$2:$A$50000,$B$4,缺陷明细!$G$2:$G$50000,$C10,缺陷明细!$AA$2:$AA$50000,"重复Bug",缺陷明细!$J$2:$J$50000,"系统测试"))</f>
        <v>0</v>
      </c>
      <c r="S10" s="72">
        <f>COUNTIFS(缺陷明细!$A$2:$A$50000,$B$4,缺陷明细!$G$2:$G$50000,$C10,缺陷明细!$J$2:$J$50000,"系统测试",缺陷明细!$K$2:$K$50000,"致命",缺陷明细!$AA$2:$AA$50000,"&lt;&gt;丢弃",缺陷明细!$AA$2:$AA$50000,"&lt;&gt;设计如此",缺陷明细!$AA$2:$AA$50000,"&lt;&gt;重复Bug")+COUNTIFS(缺陷明细!$A$2:$A$50000,$B$4,缺陷明细!$G$2:$G$50000,$C10,缺陷明细!$J$2:$J$50000,"系统测试",缺陷明细!$K$2:$K$50000,"严重",缺陷明细!$AA$2:$AA$50000,"&lt;&gt;丢弃",缺陷明细!$AA$2:$AA$50000,"&lt;&gt;设计如此",缺陷明细!$AA$2:$AA$50000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COUNTIFS(缺陷明细!$A$2:$A$50000,$B$4,缺陷明细!$G$2:$G$50000,$C10,缺陷明细!$J$2:$J$50000,"验收测试",缺陷明细!$AA$2:$AA$50000,"&lt;&gt;丢弃",缺陷明细!$AA$2:$AA$50000,"&lt;&gt;设计如此",缺陷明细!$AA$2:$AA$50000,"&lt;&gt;重复Bug")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A$2:$AA$50000,"&lt;&gt;丢弃",缺陷明细!$AA$2:$AA$50000,"&lt;&gt;设计如此",缺陷明细!$AA$2:$AA$50000,"&lt;&gt;重复Bug")+COUNTIFS(缺陷明细!$A$2:$A$50000,$B$4,缺陷明细!$G$2:$G$50000,$C10,缺陷明细!$J$2:$J$50000,"验收测试",缺陷明细!$K$2:$K$50000,"严重",缺陷明细!$AA$2:$AA$50000,"&lt;&gt;丢弃",缺陷明细!$AA$2:$AA$50000,"&lt;&gt;设计如此",缺陷明细!$AA$2:$AA$50000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COUNTIFS(缺陷明细!$A$2:$A$50000,$B$4,缺陷明细!$G$2:$G$50000,$C10,缺陷明细!$J$2:$J$50000,"运维测试",缺陷明细!$AA$2:$AA$50000,"&lt;&gt;丢弃",缺陷明细!$AA$2:$AA$50000,"&lt;&gt;设计如此",缺陷明细!$AA$2:$AA$50000,"&lt;&gt;重复Bug")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A$2:$AA$50000,"&lt;&gt;丢弃",缺陷明细!$AA$2:$AA$50000,"&lt;&gt;设计如此",缺陷明细!$AA$2:$AA$50000,"&lt;&gt;重复Bug")+COUNTIFS(缺陷明细!$A$2:$A$50000,$B$4,缺陷明细!$G$2:$G$50000,$C10,缺陷明细!$J$2:$J$50000,"运维测试",缺陷明细!$K$2:$K$50000,"严重",缺陷明细!$AA$2:$AA$50000,"&lt;&gt;丢弃",缺陷明细!$AA$2:$AA$50000,"&lt;&gt;设计如此",缺陷明细!$AA$2:$AA$50000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51"/>
    </row>
    <row r="11" spans="1:37" ht="24">
      <c r="A11">
        <v>7</v>
      </c>
      <c r="B11" s="57">
        <v>125</v>
      </c>
      <c r="C11" s="58" t="s">
        <v>292</v>
      </c>
      <c r="D11" s="321" t="s">
        <v>289</v>
      </c>
      <c r="E11" s="82"/>
      <c r="F11" s="322"/>
      <c r="G11" s="323"/>
      <c r="H11" s="305">
        <f>COUNTIFS(缺陷明细!$A$2:$A$50000,$B$4,缺陷明细!$G$2:$G$50000,$C11,缺陷明细!$J$2:$J$50000,"评审",缺陷明细!$AA$2:$AA$50000,"&lt;&gt;丢弃",缺陷明细!$AA$2:$AA$50000,"&lt;&gt;设计如此",缺陷明细!$AA$2:$AA$50000,"&lt;&gt;重复Bug")</f>
        <v>0</v>
      </c>
      <c r="I11" s="161">
        <f>COUNTIFS(缺陷明细!$A$2:$A$50000,$B$4,缺陷明细!$G$2:$G$50000,$C11,缺陷明细!$Q$2:$Q$50000,"已关闭",缺陷明细!$J$2:$J$50000,"评审")</f>
        <v>0</v>
      </c>
      <c r="J11" s="161">
        <f>COUNTIFS(缺陷明细!$A$2:$A$50000,$B$4,缺陷明细!$G$2:$G$50000,$C11,缺陷明细!$J$2:$J$50000,"单元测试",缺陷明细!$AA$2:$AA$50000,"&lt;&gt;丢弃",缺陷明细!$AA$2:$AA$50000,"&lt;&gt;设计如此",缺陷明细!$AA$2:$AA$50000,"&lt;&gt;重复Bug")</f>
        <v>0</v>
      </c>
      <c r="K11" s="162">
        <f>COUNTIFS(缺陷明细!$A$2:$A$50000,$B$4,缺陷明细!$G$2:$G$50000,$C11,缺陷明细!$Q$2:$Q$50000,"已关闭",缺陷明细!$J$2:$J$50000,"单元测试")</f>
        <v>0</v>
      </c>
      <c r="L11" s="163"/>
      <c r="M11" s="164"/>
      <c r="N11" s="72">
        <f>COUNTIFS(缺陷明细!$A$2:$A$50000,$B$4,缺陷明细!$G$2:$G$50000,$C11,缺陷明细!$J$2:$J$50000,"系统测试案例评审",缺陷明细!$AA$2:$AA$50000,"&lt;&gt;丢弃",缺陷明细!$AA$2:$AA$50000,"&lt;&gt;设计如此",缺陷明细!$AA$2:$AA$50000,"&lt;&gt;重复Bug")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COUNTIFS(缺陷明细!$A$2:$A$50000,$B$4,缺陷明细!$G$2:$G$50000,$C11,缺陷明细!$J$2:$J$50000,"系统测试",缺陷明细!$AA$2:$AA$50000,"&lt;&gt;丢弃",缺陷明细!$AA$2:$AA$50000,"&lt;&gt;设计如此",缺陷明细!$AA$2:$AA$50000,"&lt;&gt;重复Bug")</f>
        <v>0</v>
      </c>
      <c r="Q11" s="72">
        <f>COUNTIFS(缺陷明细!$A$2:$A$50000,$B$4,缺陷明细!$G$2:$G$50000,$C11,缺陷明细!$Q$2:$Q$50000,"已关闭",缺陷明细!$J$2:$J$50000,"系统测试")</f>
        <v>0</v>
      </c>
      <c r="R11" s="72">
        <f>COUNTIFS(缺陷明细!$A$2:$A$50000,$B$4,缺陷明细!$G$2:$G$50000,$C11,缺陷明细!$AA$2:$AA$50000,"丢弃",缺陷明细!$J$2:$J$50000,"系统测试")+COUNTIFS(缺陷明细!$A$2:$A$50000,$B$4,缺陷明细!$G$2:$G$50000,$C11,缺陷明细!$AA$2:$AA$50000,"设计如此",缺陷明细!$J$2:$J$50000,"系统测试"+COUNTIFS(缺陷明细!$A$2:$A$50000,$B$4,缺陷明细!$G$2:$G$50000,$C11,缺陷明细!$AA$2:$AA$50000,"重复Bug",缺陷明细!$J$2:$J$50000,"系统测试"))</f>
        <v>0</v>
      </c>
      <c r="S11" s="72">
        <f>COUNTIFS(缺陷明细!$A$2:$A$50000,$B$4,缺陷明细!$G$2:$G$50000,$C11,缺陷明细!$J$2:$J$50000,"系统测试",缺陷明细!$K$2:$K$50000,"致命",缺陷明细!$AA$2:$AA$50000,"&lt;&gt;丢弃",缺陷明细!$AA$2:$AA$50000,"&lt;&gt;设计如此",缺陷明细!$AA$2:$AA$50000,"&lt;&gt;重复Bug")+COUNTIFS(缺陷明细!$A$2:$A$50000,$B$4,缺陷明细!$G$2:$G$50000,$C11,缺陷明细!$J$2:$J$50000,"系统测试",缺陷明细!$K$2:$K$50000,"严重",缺陷明细!$AA$2:$AA$50000,"&lt;&gt;丢弃",缺陷明细!$AA$2:$AA$50000,"&lt;&gt;设计如此",缺陷明细!$AA$2:$AA$50000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COUNTIFS(缺陷明细!$A$2:$A$50000,$B$4,缺陷明细!$G$2:$G$50000,$C11,缺陷明细!$J$2:$J$50000,"验收测试",缺陷明细!$AA$2:$AA$50000,"&lt;&gt;丢弃",缺陷明细!$AA$2:$AA$50000,"&lt;&gt;设计如此",缺陷明细!$AA$2:$AA$50000,"&lt;&gt;重复Bug")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A$2:$AA$50000,"&lt;&gt;丢弃",缺陷明细!$AA$2:$AA$50000,"&lt;&gt;设计如此",缺陷明细!$AA$2:$AA$50000,"&lt;&gt;重复Bug")+COUNTIFS(缺陷明细!$A$2:$A$50000,$B$4,缺陷明细!$G$2:$G$50000,$C11,缺陷明细!$J$2:$J$50000,"验收测试",缺陷明细!$K$2:$K$50000,"严重",缺陷明细!$AA$2:$AA$50000,"&lt;&gt;丢弃",缺陷明细!$AA$2:$AA$50000,"&lt;&gt;设计如此",缺陷明细!$AA$2:$AA$50000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COUNTIFS(缺陷明细!$A$2:$A$50000,$B$4,缺陷明细!$G$2:$G$50000,$C11,缺陷明细!$J$2:$J$50000,"运维测试",缺陷明细!$AA$2:$AA$50000,"&lt;&gt;丢弃",缺陷明细!$AA$2:$AA$50000,"&lt;&gt;设计如此",缺陷明细!$AA$2:$AA$50000,"&lt;&gt;重复Bug")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A$2:$AA$50000,"&lt;&gt;丢弃",缺陷明细!$AA$2:$AA$50000,"&lt;&gt;设计如此",缺陷明细!$AA$2:$AA$50000,"&lt;&gt;重复Bug")+COUNTIFS(缺陷明细!$A$2:$A$50000,$B$4,缺陷明细!$G$2:$G$50000,$C11,缺陷明细!$J$2:$J$50000,"运维测试",缺陷明细!$K$2:$K$50000,"严重",缺陷明细!$AA$2:$AA$50000,"&lt;&gt;丢弃",缺陷明细!$AA$2:$AA$50000,"&lt;&gt;设计如此",缺陷明细!$AA$2:$AA$50000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51"/>
    </row>
    <row r="12" spans="1:37" ht="26.4">
      <c r="A12">
        <v>8</v>
      </c>
      <c r="B12" s="57">
        <v>127</v>
      </c>
      <c r="C12" s="58" t="s">
        <v>293</v>
      </c>
      <c r="D12" s="324" t="s">
        <v>294</v>
      </c>
      <c r="E12" s="82"/>
      <c r="F12" s="322">
        <v>40</v>
      </c>
      <c r="G12" s="323">
        <v>44</v>
      </c>
      <c r="H12" s="305">
        <f>COUNTIFS(缺陷明细!$A$2:$A$50000,$B$4,缺陷明细!$G$2:$G$50000,$C12,缺陷明细!$J$2:$J$50000,"评审",缺陷明细!$AA$2:$AA$50000,"&lt;&gt;丢弃",缺陷明细!$AA$2:$AA$50000,"&lt;&gt;设计如此",缺陷明细!$AA$2:$AA$50000,"&lt;&gt;重复Bug")</f>
        <v>0</v>
      </c>
      <c r="I12" s="161">
        <f>COUNTIFS(缺陷明细!$A$2:$A$50000,$B$4,缺陷明细!$G$2:$G$50000,$C12,缺陷明细!$Q$2:$Q$50000,"已关闭",缺陷明细!$J$2:$J$50000,"评审")</f>
        <v>0</v>
      </c>
      <c r="J12" s="161">
        <f>COUNTIFS(缺陷明细!$A$2:$A$50000,$B$4,缺陷明细!$G$2:$G$50000,$C12,缺陷明细!$J$2:$J$50000,"单元测试",缺陷明细!$AA$2:$AA$50000,"&lt;&gt;丢弃",缺陷明细!$AA$2:$AA$50000,"&lt;&gt;设计如此",缺陷明细!$AA$2:$AA$50000,"&lt;&gt;重复Bug")</f>
        <v>0</v>
      </c>
      <c r="K12" s="162">
        <f>COUNTIFS(缺陷明细!$A$2:$A$50000,$B$4,缺陷明细!$G$2:$G$50000,$C12,缺陷明细!$Q$2:$Q$50000,"已关闭",缺陷明细!$J$2:$J$50000,"单元测试")</f>
        <v>0</v>
      </c>
      <c r="L12" s="163"/>
      <c r="M12" s="164"/>
      <c r="N12" s="72">
        <f>COUNTIFS(缺陷明细!$A$2:$A$50000,$B$4,缺陷明细!$G$2:$G$50000,$C12,缺陷明细!$J$2:$J$50000,"系统测试案例评审",缺陷明细!$AA$2:$AA$50000,"&lt;&gt;丢弃",缺陷明细!$AA$2:$AA$50000,"&lt;&gt;设计如此",缺陷明细!$AA$2:$AA$50000,"&lt;&gt;重复Bug")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COUNTIFS(缺陷明细!$A$2:$A$50000,$B$4,缺陷明细!$G$2:$G$50000,$C12,缺陷明细!$J$2:$J$50000,"系统测试",缺陷明细!$AA$2:$AA$50000,"&lt;&gt;丢弃",缺陷明细!$AA$2:$AA$50000,"&lt;&gt;设计如此",缺陷明细!$AA$2:$AA$50000,"&lt;&gt;重复Bug")</f>
        <v>0</v>
      </c>
      <c r="Q12" s="72">
        <f>COUNTIFS(缺陷明细!$A$2:$A$50000,$B$4,缺陷明细!$G$2:$G$50000,$C12,缺陷明细!$Q$2:$Q$50000,"已关闭",缺陷明细!$J$2:$J$50000,"系统测试")</f>
        <v>0</v>
      </c>
      <c r="R12" s="72">
        <f>COUNTIFS(缺陷明细!$A$2:$A$50000,$B$4,缺陷明细!$G$2:$G$50000,$C12,缺陷明细!$AA$2:$AA$50000,"丢弃",缺陷明细!$J$2:$J$50000,"系统测试")+COUNTIFS(缺陷明细!$A$2:$A$50000,$B$4,缺陷明细!$G$2:$G$50000,$C12,缺陷明细!$AA$2:$AA$50000,"设计如此",缺陷明细!$J$2:$J$50000,"系统测试"+COUNTIFS(缺陷明细!$A$2:$A$50000,$B$4,缺陷明细!$G$2:$G$50000,$C12,缺陷明细!$AA$2:$AA$50000,"重复Bug",缺陷明细!$J$2:$J$50000,"系统测试"))</f>
        <v>0</v>
      </c>
      <c r="S12" s="72">
        <f>COUNTIFS(缺陷明细!$A$2:$A$50000,$B$4,缺陷明细!$G$2:$G$50000,$C12,缺陷明细!$J$2:$J$50000,"系统测试",缺陷明细!$K$2:$K$50000,"致命",缺陷明细!$AA$2:$AA$50000,"&lt;&gt;丢弃",缺陷明细!$AA$2:$AA$50000,"&lt;&gt;设计如此",缺陷明细!$AA$2:$AA$50000,"&lt;&gt;重复Bug")+COUNTIFS(缺陷明细!$A$2:$A$50000,$B$4,缺陷明细!$G$2:$G$50000,$C12,缺陷明细!$J$2:$J$50000,"系统测试",缺陷明细!$K$2:$K$50000,"严重",缺陷明细!$AA$2:$AA$50000,"&lt;&gt;丢弃",缺陷明细!$AA$2:$AA$50000,"&lt;&gt;设计如此",缺陷明细!$AA$2:$AA$50000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COUNTIFS(缺陷明细!$A$2:$A$50000,$B$4,缺陷明细!$G$2:$G$50000,$C12,缺陷明细!$J$2:$J$50000,"验收测试",缺陷明细!$AA$2:$AA$50000,"&lt;&gt;丢弃",缺陷明细!$AA$2:$AA$50000,"&lt;&gt;设计如此",缺陷明细!$AA$2:$AA$50000,"&lt;&gt;重复Bug")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A$2:$AA$50000,"&lt;&gt;丢弃",缺陷明细!$AA$2:$AA$50000,"&lt;&gt;设计如此",缺陷明细!$AA$2:$AA$50000,"&lt;&gt;重复Bug")+COUNTIFS(缺陷明细!$A$2:$A$50000,$B$4,缺陷明细!$G$2:$G$50000,$C12,缺陷明细!$J$2:$J$50000,"验收测试",缺陷明细!$K$2:$K$50000,"严重",缺陷明细!$AA$2:$AA$50000,"&lt;&gt;丢弃",缺陷明细!$AA$2:$AA$50000,"&lt;&gt;设计如此",缺陷明细!$AA$2:$AA$50000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COUNTIFS(缺陷明细!$A$2:$A$50000,$B$4,缺陷明细!$G$2:$G$50000,$C12,缺陷明细!$J$2:$J$50000,"运维测试",缺陷明细!$AA$2:$AA$50000,"&lt;&gt;丢弃",缺陷明细!$AA$2:$AA$50000,"&lt;&gt;设计如此",缺陷明细!$AA$2:$AA$50000,"&lt;&gt;重复Bug")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A$2:$AA$50000,"&lt;&gt;丢弃",缺陷明细!$AA$2:$AA$50000,"&lt;&gt;设计如此",缺陷明细!$AA$2:$AA$50000,"&lt;&gt;重复Bug")+COUNTIFS(缺陷明细!$A$2:$A$50000,$B$4,缺陷明细!$G$2:$G$50000,$C12,缺陷明细!$J$2:$J$50000,"运维测试",缺陷明细!$K$2:$K$50000,"严重",缺陷明细!$AA$2:$AA$50000,"&lt;&gt;丢弃",缺陷明细!$AA$2:$AA$50000,"&lt;&gt;设计如此",缺陷明细!$AA$2:$AA$50000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51"/>
    </row>
    <row r="13" spans="1:37" ht="26.4">
      <c r="A13">
        <v>9</v>
      </c>
      <c r="B13" s="57">
        <v>128</v>
      </c>
      <c r="C13" s="58" t="s">
        <v>295</v>
      </c>
      <c r="D13" s="324" t="s">
        <v>294</v>
      </c>
      <c r="E13" s="82"/>
      <c r="F13" s="322">
        <v>32</v>
      </c>
      <c r="G13" s="323">
        <v>28</v>
      </c>
      <c r="H13" s="305">
        <f>COUNTIFS(缺陷明细!$A$2:$A$50000,$B$4,缺陷明细!$G$2:$G$50000,$C13,缺陷明细!$J$2:$J$50000,"评审",缺陷明细!$AA$2:$AA$50000,"&lt;&gt;丢弃",缺陷明细!$AA$2:$AA$50000,"&lt;&gt;设计如此",缺陷明细!$AA$2:$AA$50000,"&lt;&gt;重复Bug")</f>
        <v>0</v>
      </c>
      <c r="I13" s="161">
        <f>COUNTIFS(缺陷明细!$A$2:$A$50000,$B$4,缺陷明细!$G$2:$G$50000,$C13,缺陷明细!$Q$2:$Q$50000,"已关闭",缺陷明细!$J$2:$J$50000,"评审")</f>
        <v>0</v>
      </c>
      <c r="J13" s="161">
        <f>COUNTIFS(缺陷明细!$A$2:$A$50000,$B$4,缺陷明细!$G$2:$G$50000,$C13,缺陷明细!$J$2:$J$50000,"单元测试",缺陷明细!$AA$2:$AA$50000,"&lt;&gt;丢弃",缺陷明细!$AA$2:$AA$50000,"&lt;&gt;设计如此",缺陷明细!$AA$2:$AA$50000,"&lt;&gt;重复Bug")</f>
        <v>0</v>
      </c>
      <c r="K13" s="162">
        <f>COUNTIFS(缺陷明细!$A$2:$A$50000,$B$4,缺陷明细!$G$2:$G$50000,$C13,缺陷明细!$Q$2:$Q$50000,"已关闭",缺陷明细!$J$2:$J$50000,"单元测试")</f>
        <v>0</v>
      </c>
      <c r="L13" s="163"/>
      <c r="M13" s="164"/>
      <c r="N13" s="72">
        <f>COUNTIFS(缺陷明细!$A$2:$A$50000,$B$4,缺陷明细!$G$2:$G$50000,$C13,缺陷明细!$J$2:$J$50000,"系统测试案例评审",缺陷明细!$AA$2:$AA$50000,"&lt;&gt;丢弃",缺陷明细!$AA$2:$AA$50000,"&lt;&gt;设计如此",缺陷明细!$AA$2:$AA$50000,"&lt;&gt;重复Bug")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COUNTIFS(缺陷明细!$A$2:$A$50000,$B$4,缺陷明细!$G$2:$G$50000,$C13,缺陷明细!$J$2:$J$50000,"系统测试",缺陷明细!$AA$2:$AA$50000,"&lt;&gt;丢弃",缺陷明细!$AA$2:$AA$50000,"&lt;&gt;设计如此",缺陷明细!$AA$2:$AA$50000,"&lt;&gt;重复Bug")</f>
        <v>0</v>
      </c>
      <c r="Q13" s="72">
        <f>COUNTIFS(缺陷明细!$A$2:$A$50000,$B$4,缺陷明细!$G$2:$G$50000,$C13,缺陷明细!$Q$2:$Q$50000,"已关闭",缺陷明细!$J$2:$J$50000,"系统测试")</f>
        <v>0</v>
      </c>
      <c r="R13" s="72">
        <f>COUNTIFS(缺陷明细!$A$2:$A$50000,$B$4,缺陷明细!$G$2:$G$50000,$C13,缺陷明细!$AA$2:$AA$50000,"丢弃",缺陷明细!$J$2:$J$50000,"系统测试")+COUNTIFS(缺陷明细!$A$2:$A$50000,$B$4,缺陷明细!$G$2:$G$50000,$C13,缺陷明细!$AA$2:$AA$50000,"设计如此",缺陷明细!$J$2:$J$50000,"系统测试"+COUNTIFS(缺陷明细!$A$2:$A$50000,$B$4,缺陷明细!$G$2:$G$50000,$C13,缺陷明细!$AA$2:$AA$50000,"重复Bug",缺陷明细!$J$2:$J$50000,"系统测试"))</f>
        <v>0</v>
      </c>
      <c r="S13" s="72">
        <f>COUNTIFS(缺陷明细!$A$2:$A$50000,$B$4,缺陷明细!$G$2:$G$50000,$C13,缺陷明细!$J$2:$J$50000,"系统测试",缺陷明细!$K$2:$K$50000,"致命",缺陷明细!$AA$2:$AA$50000,"&lt;&gt;丢弃",缺陷明细!$AA$2:$AA$50000,"&lt;&gt;设计如此",缺陷明细!$AA$2:$AA$50000,"&lt;&gt;重复Bug")+COUNTIFS(缺陷明细!$A$2:$A$50000,$B$4,缺陷明细!$G$2:$G$50000,$C13,缺陷明细!$J$2:$J$50000,"系统测试",缺陷明细!$K$2:$K$50000,"严重",缺陷明细!$AA$2:$AA$50000,"&lt;&gt;丢弃",缺陷明细!$AA$2:$AA$50000,"&lt;&gt;设计如此",缺陷明细!$AA$2:$AA$50000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COUNTIFS(缺陷明细!$A$2:$A$50000,$B$4,缺陷明细!$G$2:$G$50000,$C13,缺陷明细!$J$2:$J$50000,"验收测试",缺陷明细!$AA$2:$AA$50000,"&lt;&gt;丢弃",缺陷明细!$AA$2:$AA$50000,"&lt;&gt;设计如此",缺陷明细!$AA$2:$AA$50000,"&lt;&gt;重复Bug")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A$2:$AA$50000,"&lt;&gt;丢弃",缺陷明细!$AA$2:$AA$50000,"&lt;&gt;设计如此",缺陷明细!$AA$2:$AA$50000,"&lt;&gt;重复Bug")+COUNTIFS(缺陷明细!$A$2:$A$50000,$B$4,缺陷明细!$G$2:$G$50000,$C13,缺陷明细!$J$2:$J$50000,"验收测试",缺陷明细!$K$2:$K$50000,"严重",缺陷明细!$AA$2:$AA$50000,"&lt;&gt;丢弃",缺陷明细!$AA$2:$AA$50000,"&lt;&gt;设计如此",缺陷明细!$AA$2:$AA$50000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COUNTIFS(缺陷明细!$A$2:$A$50000,$B$4,缺陷明细!$G$2:$G$50000,$C13,缺陷明细!$J$2:$J$50000,"运维测试",缺陷明细!$AA$2:$AA$50000,"&lt;&gt;丢弃",缺陷明细!$AA$2:$AA$50000,"&lt;&gt;设计如此",缺陷明细!$AA$2:$AA$50000,"&lt;&gt;重复Bug")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A$2:$AA$50000,"&lt;&gt;丢弃",缺陷明细!$AA$2:$AA$50000,"&lt;&gt;设计如此",缺陷明细!$AA$2:$AA$50000,"&lt;&gt;重复Bug")+COUNTIFS(缺陷明细!$A$2:$A$50000,$B$4,缺陷明细!$G$2:$G$50000,$C13,缺陷明细!$J$2:$J$50000,"运维测试",缺陷明细!$K$2:$K$50000,"严重",缺陷明细!$AA$2:$AA$50000,"&lt;&gt;丢弃",缺陷明细!$AA$2:$AA$50000,"&lt;&gt;设计如此",缺陷明细!$AA$2:$AA$50000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51"/>
    </row>
    <row r="14" spans="1:37" ht="26.4">
      <c r="A14">
        <v>10</v>
      </c>
      <c r="B14" s="57">
        <v>129</v>
      </c>
      <c r="C14" s="58" t="s">
        <v>296</v>
      </c>
      <c r="D14" s="324" t="s">
        <v>294</v>
      </c>
      <c r="E14" s="82"/>
      <c r="F14" s="322">
        <v>24</v>
      </c>
      <c r="G14" s="323"/>
      <c r="H14" s="305">
        <f>COUNTIFS(缺陷明细!$A$2:$A$50000,$B$4,缺陷明细!$G$2:$G$50000,$C14,缺陷明细!$J$2:$J$50000,"评审",缺陷明细!$AA$2:$AA$50000,"&lt;&gt;丢弃",缺陷明细!$AA$2:$AA$50000,"&lt;&gt;设计如此",缺陷明细!$AA$2:$AA$50000,"&lt;&gt;重复Bug")</f>
        <v>0</v>
      </c>
      <c r="I14" s="161">
        <f>COUNTIFS(缺陷明细!$A$2:$A$50000,$B$4,缺陷明细!$G$2:$G$50000,$C14,缺陷明细!$Q$2:$Q$50000,"已关闭",缺陷明细!$J$2:$J$50000,"评审")</f>
        <v>0</v>
      </c>
      <c r="J14" s="161">
        <f>COUNTIFS(缺陷明细!$A$2:$A$50000,$B$4,缺陷明细!$G$2:$G$50000,$C14,缺陷明细!$J$2:$J$50000,"单元测试",缺陷明细!$AA$2:$AA$50000,"&lt;&gt;丢弃",缺陷明细!$AA$2:$AA$50000,"&lt;&gt;设计如此",缺陷明细!$AA$2:$AA$50000,"&lt;&gt;重复Bug")</f>
        <v>0</v>
      </c>
      <c r="K14" s="162">
        <f>COUNTIFS(缺陷明细!$A$2:$A$50000,$B$4,缺陷明细!$G$2:$G$50000,$C14,缺陷明细!$Q$2:$Q$50000,"已关闭",缺陷明细!$J$2:$J$50000,"单元测试")</f>
        <v>0</v>
      </c>
      <c r="L14" s="163"/>
      <c r="M14" s="164"/>
      <c r="N14" s="72">
        <f>COUNTIFS(缺陷明细!$A$2:$A$50000,$B$4,缺陷明细!$G$2:$G$50000,$C14,缺陷明细!$J$2:$J$50000,"系统测试案例评审",缺陷明细!$AA$2:$AA$50000,"&lt;&gt;丢弃",缺陷明细!$AA$2:$AA$50000,"&lt;&gt;设计如此",缺陷明细!$AA$2:$AA$50000,"&lt;&gt;重复Bug")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COUNTIFS(缺陷明细!$A$2:$A$50000,$B$4,缺陷明细!$G$2:$G$50000,$C14,缺陷明细!$J$2:$J$50000,"系统测试",缺陷明细!$AA$2:$AA$50000,"&lt;&gt;丢弃",缺陷明细!$AA$2:$AA$50000,"&lt;&gt;设计如此",缺陷明细!$AA$2:$AA$50000,"&lt;&gt;重复Bug")</f>
        <v>0</v>
      </c>
      <c r="Q14" s="72">
        <f>COUNTIFS(缺陷明细!$A$2:$A$50000,$B$4,缺陷明细!$G$2:$G$50000,$C14,缺陷明细!$Q$2:$Q$50000,"已关闭",缺陷明细!$J$2:$J$50000,"系统测试")</f>
        <v>0</v>
      </c>
      <c r="R14" s="72">
        <f>COUNTIFS(缺陷明细!$A$2:$A$50000,$B$4,缺陷明细!$G$2:$G$50000,$C14,缺陷明细!$AA$2:$AA$50000,"丢弃",缺陷明细!$J$2:$J$50000,"系统测试")+COUNTIFS(缺陷明细!$A$2:$A$50000,$B$4,缺陷明细!$G$2:$G$50000,$C14,缺陷明细!$AA$2:$AA$50000,"设计如此",缺陷明细!$J$2:$J$50000,"系统测试"+COUNTIFS(缺陷明细!$A$2:$A$50000,$B$4,缺陷明细!$G$2:$G$50000,$C14,缺陷明细!$AA$2:$AA$50000,"重复Bug",缺陷明细!$J$2:$J$50000,"系统测试"))</f>
        <v>0</v>
      </c>
      <c r="S14" s="72">
        <f>COUNTIFS(缺陷明细!$A$2:$A$50000,$B$4,缺陷明细!$G$2:$G$50000,$C14,缺陷明细!$J$2:$J$50000,"系统测试",缺陷明细!$K$2:$K$50000,"致命",缺陷明细!$AA$2:$AA$50000,"&lt;&gt;丢弃",缺陷明细!$AA$2:$AA$50000,"&lt;&gt;设计如此",缺陷明细!$AA$2:$AA$50000,"&lt;&gt;重复Bug")+COUNTIFS(缺陷明细!$A$2:$A$50000,$B$4,缺陷明细!$G$2:$G$50000,$C14,缺陷明细!$J$2:$J$50000,"系统测试",缺陷明细!$K$2:$K$50000,"严重",缺陷明细!$AA$2:$AA$50000,"&lt;&gt;丢弃",缺陷明细!$AA$2:$AA$50000,"&lt;&gt;设计如此",缺陷明细!$AA$2:$AA$50000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COUNTIFS(缺陷明细!$A$2:$A$50000,$B$4,缺陷明细!$G$2:$G$50000,$C14,缺陷明细!$J$2:$J$50000,"验收测试",缺陷明细!$AA$2:$AA$50000,"&lt;&gt;丢弃",缺陷明细!$AA$2:$AA$50000,"&lt;&gt;设计如此",缺陷明细!$AA$2:$AA$50000,"&lt;&gt;重复Bug")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A$2:$AA$50000,"&lt;&gt;丢弃",缺陷明细!$AA$2:$AA$50000,"&lt;&gt;设计如此",缺陷明细!$AA$2:$AA$50000,"&lt;&gt;重复Bug")+COUNTIFS(缺陷明细!$A$2:$A$50000,$B$4,缺陷明细!$G$2:$G$50000,$C14,缺陷明细!$J$2:$J$50000,"验收测试",缺陷明细!$K$2:$K$50000,"严重",缺陷明细!$AA$2:$AA$50000,"&lt;&gt;丢弃",缺陷明细!$AA$2:$AA$50000,"&lt;&gt;设计如此",缺陷明细!$AA$2:$AA$50000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COUNTIFS(缺陷明细!$A$2:$A$50000,$B$4,缺陷明细!$G$2:$G$50000,$C14,缺陷明细!$J$2:$J$50000,"运维测试",缺陷明细!$AA$2:$AA$50000,"&lt;&gt;丢弃",缺陷明细!$AA$2:$AA$50000,"&lt;&gt;设计如此",缺陷明细!$AA$2:$AA$50000,"&lt;&gt;重复Bug")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A$2:$AA$50000,"&lt;&gt;丢弃",缺陷明细!$AA$2:$AA$50000,"&lt;&gt;设计如此",缺陷明细!$AA$2:$AA$50000,"&lt;&gt;重复Bug")+COUNTIFS(缺陷明细!$A$2:$A$50000,$B$4,缺陷明细!$G$2:$G$50000,$C14,缺陷明细!$J$2:$J$50000,"运维测试",缺陷明细!$K$2:$K$50000,"严重",缺陷明细!$AA$2:$AA$50000,"&lt;&gt;丢弃",缺陷明细!$AA$2:$AA$50000,"&lt;&gt;设计如此",缺陷明细!$AA$2:$AA$50000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51"/>
    </row>
    <row r="15" spans="1:37" ht="24">
      <c r="A15">
        <v>11</v>
      </c>
      <c r="B15" s="57">
        <v>130</v>
      </c>
      <c r="C15" s="58" t="s">
        <v>297</v>
      </c>
      <c r="D15" s="321" t="s">
        <v>289</v>
      </c>
      <c r="E15" s="82"/>
      <c r="F15" s="322">
        <v>40</v>
      </c>
      <c r="G15" s="323"/>
      <c r="H15" s="305">
        <f>COUNTIFS(缺陷明细!$A$2:$A$50000,$B$4,缺陷明细!$G$2:$G$50000,$C15,缺陷明细!$J$2:$J$50000,"评审",缺陷明细!$AA$2:$AA$50000,"&lt;&gt;丢弃",缺陷明细!$AA$2:$AA$50000,"&lt;&gt;设计如此",缺陷明细!$AA$2:$AA$50000,"&lt;&gt;重复Bug")</f>
        <v>0</v>
      </c>
      <c r="I15" s="161">
        <f>COUNTIFS(缺陷明细!$A$2:$A$50000,$B$4,缺陷明细!$G$2:$G$50000,$C15,缺陷明细!$Q$2:$Q$50000,"已关闭",缺陷明细!$J$2:$J$50000,"评审")</f>
        <v>0</v>
      </c>
      <c r="J15" s="161">
        <f>COUNTIFS(缺陷明细!$A$2:$A$50000,$B$4,缺陷明细!$G$2:$G$50000,$C15,缺陷明细!$J$2:$J$50000,"单元测试",缺陷明细!$AA$2:$AA$50000,"&lt;&gt;丢弃",缺陷明细!$AA$2:$AA$50000,"&lt;&gt;设计如此",缺陷明细!$AA$2:$AA$50000,"&lt;&gt;重复Bug")</f>
        <v>0</v>
      </c>
      <c r="K15" s="162">
        <f>COUNTIFS(缺陷明细!$A$2:$A$50000,$B$4,缺陷明细!$G$2:$G$50000,$C15,缺陷明细!$Q$2:$Q$50000,"已关闭",缺陷明细!$J$2:$J$50000,"单元测试")</f>
        <v>0</v>
      </c>
      <c r="L15" s="163"/>
      <c r="M15" s="164"/>
      <c r="N15" s="72">
        <f>COUNTIFS(缺陷明细!$A$2:$A$50000,$B$4,缺陷明细!$G$2:$G$50000,$C15,缺陷明细!$J$2:$J$50000,"系统测试案例评审",缺陷明细!$AA$2:$AA$50000,"&lt;&gt;丢弃",缺陷明细!$AA$2:$AA$50000,"&lt;&gt;设计如此",缺陷明细!$AA$2:$AA$50000,"&lt;&gt;重复Bug")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COUNTIFS(缺陷明细!$A$2:$A$50000,$B$4,缺陷明细!$G$2:$G$50000,$C15,缺陷明细!$J$2:$J$50000,"系统测试",缺陷明细!$AA$2:$AA$50000,"&lt;&gt;丢弃",缺陷明细!$AA$2:$AA$50000,"&lt;&gt;设计如此",缺陷明细!$AA$2:$AA$50000,"&lt;&gt;重复Bug")</f>
        <v>0</v>
      </c>
      <c r="Q15" s="72">
        <f>COUNTIFS(缺陷明细!$A$2:$A$50000,$B$4,缺陷明细!$G$2:$G$50000,$C15,缺陷明细!$Q$2:$Q$50000,"已关闭",缺陷明细!$J$2:$J$50000,"系统测试")</f>
        <v>0</v>
      </c>
      <c r="R15" s="72">
        <f>COUNTIFS(缺陷明细!$A$2:$A$50000,$B$4,缺陷明细!$G$2:$G$50000,$C15,缺陷明细!$AA$2:$AA$50000,"丢弃",缺陷明细!$J$2:$J$50000,"系统测试")+COUNTIFS(缺陷明细!$A$2:$A$50000,$B$4,缺陷明细!$G$2:$G$50000,$C15,缺陷明细!$AA$2:$AA$50000,"设计如此",缺陷明细!$J$2:$J$50000,"系统测试"+COUNTIFS(缺陷明细!$A$2:$A$50000,$B$4,缺陷明细!$G$2:$G$50000,$C15,缺陷明细!$AA$2:$AA$50000,"重复Bug",缺陷明细!$J$2:$J$50000,"系统测试"))</f>
        <v>0</v>
      </c>
      <c r="S15" s="72">
        <f>COUNTIFS(缺陷明细!$A$2:$A$50000,$B$4,缺陷明细!$G$2:$G$50000,$C15,缺陷明细!$J$2:$J$50000,"系统测试",缺陷明细!$K$2:$K$50000,"致命",缺陷明细!$AA$2:$AA$50000,"&lt;&gt;丢弃",缺陷明细!$AA$2:$AA$50000,"&lt;&gt;设计如此",缺陷明细!$AA$2:$AA$50000,"&lt;&gt;重复Bug")+COUNTIFS(缺陷明细!$A$2:$A$50000,$B$4,缺陷明细!$G$2:$G$50000,$C15,缺陷明细!$J$2:$J$50000,"系统测试",缺陷明细!$K$2:$K$50000,"严重",缺陷明细!$AA$2:$AA$50000,"&lt;&gt;丢弃",缺陷明细!$AA$2:$AA$50000,"&lt;&gt;设计如此",缺陷明细!$AA$2:$AA$50000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COUNTIFS(缺陷明细!$A$2:$A$50000,$B$4,缺陷明细!$G$2:$G$50000,$C15,缺陷明细!$J$2:$J$50000,"验收测试",缺陷明细!$AA$2:$AA$50000,"&lt;&gt;丢弃",缺陷明细!$AA$2:$AA$50000,"&lt;&gt;设计如此",缺陷明细!$AA$2:$AA$50000,"&lt;&gt;重复Bug")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A$2:$AA$50000,"&lt;&gt;丢弃",缺陷明细!$AA$2:$AA$50000,"&lt;&gt;设计如此",缺陷明细!$AA$2:$AA$50000,"&lt;&gt;重复Bug")+COUNTIFS(缺陷明细!$A$2:$A$50000,$B$4,缺陷明细!$G$2:$G$50000,$C15,缺陷明细!$J$2:$J$50000,"验收测试",缺陷明细!$K$2:$K$50000,"严重",缺陷明细!$AA$2:$AA$50000,"&lt;&gt;丢弃",缺陷明细!$AA$2:$AA$50000,"&lt;&gt;设计如此",缺陷明细!$AA$2:$AA$50000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COUNTIFS(缺陷明细!$A$2:$A$50000,$B$4,缺陷明细!$G$2:$G$50000,$C15,缺陷明细!$J$2:$J$50000,"运维测试",缺陷明细!$AA$2:$AA$50000,"&lt;&gt;丢弃",缺陷明细!$AA$2:$AA$50000,"&lt;&gt;设计如此",缺陷明细!$AA$2:$AA$50000,"&lt;&gt;重复Bug")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A$2:$AA$50000,"&lt;&gt;丢弃",缺陷明细!$AA$2:$AA$50000,"&lt;&gt;设计如此",缺陷明细!$AA$2:$AA$50000,"&lt;&gt;重复Bug")+COUNTIFS(缺陷明细!$A$2:$A$50000,$B$4,缺陷明细!$G$2:$G$50000,$C15,缺陷明细!$J$2:$J$50000,"运维测试",缺陷明细!$K$2:$K$50000,"严重",缺陷明细!$AA$2:$AA$50000,"&lt;&gt;丢弃",缺陷明细!$AA$2:$AA$50000,"&lt;&gt;设计如此",缺陷明细!$AA$2:$AA$50000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51"/>
    </row>
    <row r="16" spans="1:37" ht="26.4">
      <c r="A16">
        <v>12</v>
      </c>
      <c r="B16" s="57">
        <v>132</v>
      </c>
      <c r="C16" s="58" t="s">
        <v>298</v>
      </c>
      <c r="D16" s="324" t="s">
        <v>294</v>
      </c>
      <c r="E16" s="82"/>
      <c r="F16" s="322">
        <v>16</v>
      </c>
      <c r="G16" s="323"/>
      <c r="H16" s="305">
        <f>COUNTIFS(缺陷明细!$A$2:$A$50000,$B$4,缺陷明细!$G$2:$G$50000,$C16,缺陷明细!$J$2:$J$50000,"评审",缺陷明细!$AA$2:$AA$50000,"&lt;&gt;丢弃",缺陷明细!$AA$2:$AA$50000,"&lt;&gt;设计如此",缺陷明细!$AA$2:$AA$50000,"&lt;&gt;重复Bug")</f>
        <v>0</v>
      </c>
      <c r="I16" s="161">
        <f>COUNTIFS(缺陷明细!$A$2:$A$50000,$B$4,缺陷明细!$G$2:$G$50000,$C16,缺陷明细!$Q$2:$Q$50000,"已关闭",缺陷明细!$J$2:$J$50000,"评审")</f>
        <v>0</v>
      </c>
      <c r="J16" s="161">
        <f>COUNTIFS(缺陷明细!$A$2:$A$50000,$B$4,缺陷明细!$G$2:$G$50000,$C16,缺陷明细!$J$2:$J$50000,"单元测试",缺陷明细!$AA$2:$AA$50000,"&lt;&gt;丢弃",缺陷明细!$AA$2:$AA$50000,"&lt;&gt;设计如此",缺陷明细!$AA$2:$AA$50000,"&lt;&gt;重复Bug")</f>
        <v>0</v>
      </c>
      <c r="K16" s="162">
        <f>COUNTIFS(缺陷明细!$A$2:$A$50000,$B$4,缺陷明细!$G$2:$G$50000,$C16,缺陷明细!$Q$2:$Q$50000,"已关闭",缺陷明细!$J$2:$J$50000,"单元测试")</f>
        <v>0</v>
      </c>
      <c r="L16" s="163"/>
      <c r="M16" s="164"/>
      <c r="N16" s="72">
        <f>COUNTIFS(缺陷明细!$A$2:$A$50000,$B$4,缺陷明细!$G$2:$G$50000,$C16,缺陷明细!$J$2:$J$50000,"系统测试案例评审",缺陷明细!$AA$2:$AA$50000,"&lt;&gt;丢弃",缺陷明细!$AA$2:$AA$50000,"&lt;&gt;设计如此",缺陷明细!$AA$2:$AA$50000,"&lt;&gt;重复Bug")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COUNTIFS(缺陷明细!$A$2:$A$50000,$B$4,缺陷明细!$G$2:$G$50000,$C16,缺陷明细!$J$2:$J$50000,"系统测试",缺陷明细!$AA$2:$AA$50000,"&lt;&gt;丢弃",缺陷明细!$AA$2:$AA$50000,"&lt;&gt;设计如此",缺陷明细!$AA$2:$AA$50000,"&lt;&gt;重复Bug")</f>
        <v>0</v>
      </c>
      <c r="Q16" s="72">
        <f>COUNTIFS(缺陷明细!$A$2:$A$50000,$B$4,缺陷明细!$G$2:$G$50000,$C16,缺陷明细!$Q$2:$Q$50000,"已关闭",缺陷明细!$J$2:$J$50000,"系统测试")</f>
        <v>0</v>
      </c>
      <c r="R16" s="72">
        <f>COUNTIFS(缺陷明细!$A$2:$A$50000,$B$4,缺陷明细!$G$2:$G$50000,$C16,缺陷明细!$AA$2:$AA$50000,"丢弃",缺陷明细!$J$2:$J$50000,"系统测试")+COUNTIFS(缺陷明细!$A$2:$A$50000,$B$4,缺陷明细!$G$2:$G$50000,$C16,缺陷明细!$AA$2:$AA$50000,"设计如此",缺陷明细!$J$2:$J$50000,"系统测试"+COUNTIFS(缺陷明细!$A$2:$A$50000,$B$4,缺陷明细!$G$2:$G$50000,$C16,缺陷明细!$AA$2:$AA$50000,"重复Bug",缺陷明细!$J$2:$J$50000,"系统测试"))</f>
        <v>0</v>
      </c>
      <c r="S16" s="72">
        <f>COUNTIFS(缺陷明细!$A$2:$A$50000,$B$4,缺陷明细!$G$2:$G$50000,$C16,缺陷明细!$J$2:$J$50000,"系统测试",缺陷明细!$K$2:$K$50000,"致命",缺陷明细!$AA$2:$AA$50000,"&lt;&gt;丢弃",缺陷明细!$AA$2:$AA$50000,"&lt;&gt;设计如此",缺陷明细!$AA$2:$AA$50000,"&lt;&gt;重复Bug")+COUNTIFS(缺陷明细!$A$2:$A$50000,$B$4,缺陷明细!$G$2:$G$50000,$C16,缺陷明细!$J$2:$J$50000,"系统测试",缺陷明细!$K$2:$K$50000,"严重",缺陷明细!$AA$2:$AA$50000,"&lt;&gt;丢弃",缺陷明细!$AA$2:$AA$50000,"&lt;&gt;设计如此",缺陷明细!$AA$2:$AA$50000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COUNTIFS(缺陷明细!$A$2:$A$50000,$B$4,缺陷明细!$G$2:$G$50000,$C16,缺陷明细!$J$2:$J$50000,"验收测试",缺陷明细!$AA$2:$AA$50000,"&lt;&gt;丢弃",缺陷明细!$AA$2:$AA$50000,"&lt;&gt;设计如此",缺陷明细!$AA$2:$AA$50000,"&lt;&gt;重复Bug")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A$2:$AA$50000,"&lt;&gt;丢弃",缺陷明细!$AA$2:$AA$50000,"&lt;&gt;设计如此",缺陷明细!$AA$2:$AA$50000,"&lt;&gt;重复Bug")+COUNTIFS(缺陷明细!$A$2:$A$50000,$B$4,缺陷明细!$G$2:$G$50000,$C16,缺陷明细!$J$2:$J$50000,"验收测试",缺陷明细!$K$2:$K$50000,"严重",缺陷明细!$AA$2:$AA$50000,"&lt;&gt;丢弃",缺陷明细!$AA$2:$AA$50000,"&lt;&gt;设计如此",缺陷明细!$AA$2:$AA$50000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COUNTIFS(缺陷明细!$A$2:$A$50000,$B$4,缺陷明细!$G$2:$G$50000,$C16,缺陷明细!$J$2:$J$50000,"运维测试",缺陷明细!$AA$2:$AA$50000,"&lt;&gt;丢弃",缺陷明细!$AA$2:$AA$50000,"&lt;&gt;设计如此",缺陷明细!$AA$2:$AA$50000,"&lt;&gt;重复Bug")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A$2:$AA$50000,"&lt;&gt;丢弃",缺陷明细!$AA$2:$AA$50000,"&lt;&gt;设计如此",缺陷明细!$AA$2:$AA$50000,"&lt;&gt;重复Bug")+COUNTIFS(缺陷明细!$A$2:$A$50000,$B$4,缺陷明细!$G$2:$G$50000,$C16,缺陷明细!$J$2:$J$50000,"运维测试",缺陷明细!$K$2:$K$50000,"严重",缺陷明细!$AA$2:$AA$50000,"&lt;&gt;丢弃",缺陷明细!$AA$2:$AA$50000,"&lt;&gt;设计如此",缺陷明细!$AA$2:$AA$50000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51"/>
    </row>
    <row r="17" spans="1:37" ht="24">
      <c r="A17">
        <v>13</v>
      </c>
      <c r="B17" s="57">
        <v>134</v>
      </c>
      <c r="C17" s="325" t="s">
        <v>299</v>
      </c>
      <c r="D17" s="83" t="s">
        <v>289</v>
      </c>
      <c r="E17" s="82"/>
      <c r="F17" s="322"/>
      <c r="G17" s="323"/>
      <c r="H17" s="305">
        <f>COUNTIFS(缺陷明细!$A$2:$A$50000,$B$4,缺陷明细!$G$2:$G$50000,$C17,缺陷明细!$J$2:$J$50000,"评审",缺陷明细!$AA$2:$AA$50000,"&lt;&gt;丢弃",缺陷明细!$AA$2:$AA$50000,"&lt;&gt;设计如此",缺陷明细!$AA$2:$AA$50000,"&lt;&gt;重复Bug")</f>
        <v>0</v>
      </c>
      <c r="I17" s="161">
        <f>COUNTIFS(缺陷明细!$A$2:$A$50000,$B$4,缺陷明细!$G$2:$G$50000,$C17,缺陷明细!$Q$2:$Q$50000,"已关闭",缺陷明细!$J$2:$J$50000,"评审")</f>
        <v>0</v>
      </c>
      <c r="J17" s="161">
        <f>COUNTIFS(缺陷明细!$A$2:$A$50000,$B$4,缺陷明细!$G$2:$G$50000,$C17,缺陷明细!$J$2:$J$50000,"单元测试",缺陷明细!$AA$2:$AA$50000,"&lt;&gt;丢弃",缺陷明细!$AA$2:$AA$50000,"&lt;&gt;设计如此",缺陷明细!$AA$2:$AA$50000,"&lt;&gt;重复Bug")</f>
        <v>0</v>
      </c>
      <c r="K17" s="162">
        <f>COUNTIFS(缺陷明细!$A$2:$A$50000,$B$4,缺陷明细!$G$2:$G$50000,$C17,缺陷明细!$Q$2:$Q$50000,"已关闭",缺陷明细!$J$2:$J$50000,"单元测试")</f>
        <v>0</v>
      </c>
      <c r="L17" s="163"/>
      <c r="M17" s="164"/>
      <c r="N17" s="72">
        <f>COUNTIFS(缺陷明细!$A$2:$A$50000,$B$4,缺陷明细!$G$2:$G$50000,$C17,缺陷明细!$J$2:$J$50000,"系统测试案例评审",缺陷明细!$AA$2:$AA$50000,"&lt;&gt;丢弃",缺陷明细!$AA$2:$AA$50000,"&lt;&gt;设计如此",缺陷明细!$AA$2:$AA$50000,"&lt;&gt;重复Bug")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COUNTIFS(缺陷明细!$A$2:$A$50000,$B$4,缺陷明细!$G$2:$G$50000,$C17,缺陷明细!$J$2:$J$50000,"系统测试",缺陷明细!$AA$2:$AA$50000,"&lt;&gt;丢弃",缺陷明细!$AA$2:$AA$50000,"&lt;&gt;设计如此",缺陷明细!$AA$2:$AA$50000,"&lt;&gt;重复Bug")</f>
        <v>0</v>
      </c>
      <c r="Q17" s="72">
        <f>COUNTIFS(缺陷明细!$A$2:$A$50000,$B$4,缺陷明细!$G$2:$G$50000,$C17,缺陷明细!$Q$2:$Q$50000,"已关闭",缺陷明细!$J$2:$J$50000,"系统测试")</f>
        <v>0</v>
      </c>
      <c r="R17" s="72">
        <f>COUNTIFS(缺陷明细!$A$2:$A$50000,$B$4,缺陷明细!$G$2:$G$50000,$C17,缺陷明细!$AA$2:$AA$50000,"丢弃",缺陷明细!$J$2:$J$50000,"系统测试")+COUNTIFS(缺陷明细!$A$2:$A$50000,$B$4,缺陷明细!$G$2:$G$50000,$C17,缺陷明细!$AA$2:$AA$50000,"设计如此",缺陷明细!$J$2:$J$50000,"系统测试"+COUNTIFS(缺陷明细!$A$2:$A$50000,$B$4,缺陷明细!$G$2:$G$50000,$C17,缺陷明细!$AA$2:$AA$50000,"重复Bug",缺陷明细!$J$2:$J$50000,"系统测试"))</f>
        <v>0</v>
      </c>
      <c r="S17" s="72">
        <f>COUNTIFS(缺陷明细!$A$2:$A$50000,$B$4,缺陷明细!$G$2:$G$50000,$C17,缺陷明细!$J$2:$J$50000,"系统测试",缺陷明细!$K$2:$K$50000,"致命",缺陷明细!$AA$2:$AA$50000,"&lt;&gt;丢弃",缺陷明细!$AA$2:$AA$50000,"&lt;&gt;设计如此",缺陷明细!$AA$2:$AA$50000,"&lt;&gt;重复Bug")+COUNTIFS(缺陷明细!$A$2:$A$50000,$B$4,缺陷明细!$G$2:$G$50000,$C17,缺陷明细!$J$2:$J$50000,"系统测试",缺陷明细!$K$2:$K$50000,"严重",缺陷明细!$AA$2:$AA$50000,"&lt;&gt;丢弃",缺陷明细!$AA$2:$AA$50000,"&lt;&gt;设计如此",缺陷明细!$AA$2:$AA$50000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COUNTIFS(缺陷明细!$A$2:$A$50000,$B$4,缺陷明细!$G$2:$G$50000,$C17,缺陷明细!$J$2:$J$50000,"验收测试",缺陷明细!$AA$2:$AA$50000,"&lt;&gt;丢弃",缺陷明细!$AA$2:$AA$50000,"&lt;&gt;设计如此",缺陷明细!$AA$2:$AA$50000,"&lt;&gt;重复Bug")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A$2:$AA$50000,"&lt;&gt;丢弃",缺陷明细!$AA$2:$AA$50000,"&lt;&gt;设计如此",缺陷明细!$AA$2:$AA$50000,"&lt;&gt;重复Bug")+COUNTIFS(缺陷明细!$A$2:$A$50000,$B$4,缺陷明细!$G$2:$G$50000,$C17,缺陷明细!$J$2:$J$50000,"验收测试",缺陷明细!$K$2:$K$50000,"严重",缺陷明细!$AA$2:$AA$50000,"&lt;&gt;丢弃",缺陷明细!$AA$2:$AA$50000,"&lt;&gt;设计如此",缺陷明细!$AA$2:$AA$50000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COUNTIFS(缺陷明细!$A$2:$A$50000,$B$4,缺陷明细!$G$2:$G$50000,$C17,缺陷明细!$J$2:$J$50000,"运维测试",缺陷明细!$AA$2:$AA$50000,"&lt;&gt;丢弃",缺陷明细!$AA$2:$AA$50000,"&lt;&gt;设计如此",缺陷明细!$AA$2:$AA$50000,"&lt;&gt;重复Bug")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A$2:$AA$50000,"&lt;&gt;丢弃",缺陷明细!$AA$2:$AA$50000,"&lt;&gt;设计如此",缺陷明细!$AA$2:$AA$50000,"&lt;&gt;重复Bug")+COUNTIFS(缺陷明细!$A$2:$A$50000,$B$4,缺陷明细!$G$2:$G$50000,$C17,缺陷明细!$J$2:$J$50000,"运维测试",缺陷明细!$K$2:$K$50000,"严重",缺陷明细!$AA$2:$AA$50000,"&lt;&gt;丢弃",缺陷明细!$AA$2:$AA$50000,"&lt;&gt;设计如此",缺陷明细!$AA$2:$AA$50000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51"/>
    </row>
    <row r="18" spans="1:37">
      <c r="A18">
        <v>14</v>
      </c>
      <c r="B18" s="57"/>
      <c r="C18" s="58"/>
      <c r="D18" s="84"/>
      <c r="E18" s="82"/>
      <c r="F18" s="165"/>
      <c r="G18" s="166"/>
      <c r="H18" s="305">
        <f>COUNTIFS(缺陷明细!$A$2:$A$50000,$B$4,缺陷明细!$G$2:$G$50000,$C18,缺陷明细!$J$2:$J$50000,"评审",缺陷明细!$AA$2:$AA$50000,"&lt;&gt;丢弃",缺陷明细!$AA$2:$AA$50000,"&lt;&gt;设计如此",缺陷明细!$AA$2:$AA$50000,"&lt;&gt;重复Bug")</f>
        <v>0</v>
      </c>
      <c r="I18" s="161">
        <f>COUNTIFS(缺陷明细!$A$2:$A$50000,$B$4,缺陷明细!$G$2:$G$50000,$C18,缺陷明细!$Q$2:$Q$50000,"已关闭",缺陷明细!$J$2:$J$50000,"评审")</f>
        <v>0</v>
      </c>
      <c r="J18" s="161">
        <f>COUNTIFS(缺陷明细!$A$2:$A$50000,$B$4,缺陷明细!$G$2:$G$50000,$C18,缺陷明细!$J$2:$J$50000,"单元测试",缺陷明细!$AA$2:$AA$50000,"&lt;&gt;丢弃",缺陷明细!$AA$2:$AA$50000,"&lt;&gt;设计如此",缺陷明细!$AA$2:$AA$50000,"&lt;&gt;重复Bug")</f>
        <v>0</v>
      </c>
      <c r="K18" s="162">
        <f>COUNTIFS(缺陷明细!$A$2:$A$50000,$B$4,缺陷明细!$G$2:$G$50000,$C18,缺陷明细!$Q$2:$Q$50000,"已关闭",缺陷明细!$J$2:$J$50000,"单元测试")</f>
        <v>0</v>
      </c>
      <c r="L18" s="163"/>
      <c r="M18" s="164"/>
      <c r="N18" s="72">
        <f>COUNTIFS(缺陷明细!$A$2:$A$50000,$B$4,缺陷明细!$G$2:$G$50000,$C18,缺陷明细!$J$2:$J$50000,"系统测试案例评审",缺陷明细!$AA$2:$AA$50000,"&lt;&gt;丢弃",缺陷明细!$AA$2:$AA$50000,"&lt;&gt;设计如此",缺陷明细!$AA$2:$AA$50000,"&lt;&gt;重复Bug")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COUNTIFS(缺陷明细!$A$2:$A$50000,$B$4,缺陷明细!$G$2:$G$50000,$C18,缺陷明细!$J$2:$J$50000,"系统测试",缺陷明细!$AA$2:$AA$50000,"&lt;&gt;丢弃",缺陷明细!$AA$2:$AA$50000,"&lt;&gt;设计如此",缺陷明细!$AA$2:$AA$50000,"&lt;&gt;重复Bug")</f>
        <v>0</v>
      </c>
      <c r="Q18" s="72">
        <f>COUNTIFS(缺陷明细!$A$2:$A$50000,$B$4,缺陷明细!$G$2:$G$50000,$C18,缺陷明细!$Q$2:$Q$50000,"已关闭",缺陷明细!$J$2:$J$50000,"系统测试")</f>
        <v>0</v>
      </c>
      <c r="R18" s="72">
        <f>COUNTIFS(缺陷明细!$A$2:$A$50000,$B$4,缺陷明细!$G$2:$G$50000,$C18,缺陷明细!$AA$2:$AA$50000,"丢弃",缺陷明细!$J$2:$J$50000,"系统测试")+COUNTIFS(缺陷明细!$A$2:$A$50000,$B$4,缺陷明细!$G$2:$G$50000,$C18,缺陷明细!$AA$2:$AA$50000,"设计如此",缺陷明细!$J$2:$J$50000,"系统测试"+COUNTIFS(缺陷明细!$A$2:$A$50000,$B$4,缺陷明细!$G$2:$G$50000,$C18,缺陷明细!$AA$2:$AA$50000,"重复Bug",缺陷明细!$J$2:$J$50000,"系统测试"))</f>
        <v>0</v>
      </c>
      <c r="S18" s="72">
        <f>COUNTIFS(缺陷明细!$A$2:$A$50000,$B$4,缺陷明细!$G$2:$G$50000,$C18,缺陷明细!$J$2:$J$50000,"系统测试",缺陷明细!$K$2:$K$50000,"致命",缺陷明细!$AA$2:$AA$50000,"&lt;&gt;丢弃",缺陷明细!$AA$2:$AA$50000,"&lt;&gt;设计如此",缺陷明细!$AA$2:$AA$50000,"&lt;&gt;重复Bug")+COUNTIFS(缺陷明细!$A$2:$A$50000,$B$4,缺陷明细!$G$2:$G$50000,$C18,缺陷明细!$J$2:$J$50000,"系统测试",缺陷明细!$K$2:$K$50000,"严重",缺陷明细!$AA$2:$AA$50000,"&lt;&gt;丢弃",缺陷明细!$AA$2:$AA$50000,"&lt;&gt;设计如此",缺陷明细!$AA$2:$AA$50000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COUNTIFS(缺陷明细!$A$2:$A$50000,$B$4,缺陷明细!$G$2:$G$50000,$C18,缺陷明细!$J$2:$J$50000,"验收测试",缺陷明细!$AA$2:$AA$50000,"&lt;&gt;丢弃",缺陷明细!$AA$2:$AA$50000,"&lt;&gt;设计如此",缺陷明细!$AA$2:$AA$50000,"&lt;&gt;重复Bug")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A$2:$AA$50000,"&lt;&gt;丢弃",缺陷明细!$AA$2:$AA$50000,"&lt;&gt;设计如此",缺陷明细!$AA$2:$AA$50000,"&lt;&gt;重复Bug")+COUNTIFS(缺陷明细!$A$2:$A$50000,$B$4,缺陷明细!$G$2:$G$50000,$C18,缺陷明细!$J$2:$J$50000,"验收测试",缺陷明细!$K$2:$K$50000,"严重",缺陷明细!$AA$2:$AA$50000,"&lt;&gt;丢弃",缺陷明细!$AA$2:$AA$50000,"&lt;&gt;设计如此",缺陷明细!$AA$2:$AA$50000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COUNTIFS(缺陷明细!$A$2:$A$50000,$B$4,缺陷明细!$G$2:$G$50000,$C18,缺陷明细!$J$2:$J$50000,"运维测试",缺陷明细!$AA$2:$AA$50000,"&lt;&gt;丢弃",缺陷明细!$AA$2:$AA$50000,"&lt;&gt;设计如此",缺陷明细!$AA$2:$AA$50000,"&lt;&gt;重复Bug")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A$2:$AA$50000,"&lt;&gt;丢弃",缺陷明细!$AA$2:$AA$50000,"&lt;&gt;设计如此",缺陷明细!$AA$2:$AA$50000,"&lt;&gt;重复Bug")+COUNTIFS(缺陷明细!$A$2:$A$50000,$B$4,缺陷明细!$G$2:$G$50000,$C18,缺陷明细!$J$2:$J$50000,"运维测试",缺陷明细!$K$2:$K$50000,"严重",缺陷明细!$AA$2:$AA$50000,"&lt;&gt;丢弃",缺陷明细!$AA$2:$AA$50000,"&lt;&gt;设计如此",缺陷明细!$AA$2:$AA$50000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51"/>
    </row>
    <row r="19" spans="1:37">
      <c r="A19">
        <v>15</v>
      </c>
      <c r="B19" s="57"/>
      <c r="C19" s="58"/>
      <c r="D19" s="84"/>
      <c r="E19" s="82"/>
      <c r="F19" s="165"/>
      <c r="G19" s="166"/>
      <c r="H19" s="305">
        <f>COUNTIFS(缺陷明细!$A$2:$A$50000,$B$4,缺陷明细!$G$2:$G$50000,$C19,缺陷明细!$J$2:$J$50000,"评审",缺陷明细!$AA$2:$AA$50000,"&lt;&gt;丢弃",缺陷明细!$AA$2:$AA$50000,"&lt;&gt;设计如此",缺陷明细!$AA$2:$AA$50000,"&lt;&gt;重复Bug")</f>
        <v>0</v>
      </c>
      <c r="I19" s="161">
        <f>COUNTIFS(缺陷明细!$A$2:$A$50000,$B$4,缺陷明细!$G$2:$G$50000,$C19,缺陷明细!$Q$2:$Q$50000,"已关闭",缺陷明细!$J$2:$J$50000,"评审")</f>
        <v>0</v>
      </c>
      <c r="J19" s="161">
        <f>COUNTIFS(缺陷明细!$A$2:$A$50000,$B$4,缺陷明细!$G$2:$G$50000,$C19,缺陷明细!$J$2:$J$50000,"单元测试",缺陷明细!$AA$2:$AA$50000,"&lt;&gt;丢弃",缺陷明细!$AA$2:$AA$50000,"&lt;&gt;设计如此",缺陷明细!$AA$2:$AA$50000,"&lt;&gt;重复Bug")</f>
        <v>0</v>
      </c>
      <c r="K19" s="162">
        <f>COUNTIFS(缺陷明细!$A$2:$A$50000,$B$4,缺陷明细!$G$2:$G$50000,$C19,缺陷明细!$Q$2:$Q$50000,"已关闭",缺陷明细!$J$2:$J$50000,"单元测试")</f>
        <v>0</v>
      </c>
      <c r="L19" s="163"/>
      <c r="M19" s="164"/>
      <c r="N19" s="72">
        <f>COUNTIFS(缺陷明细!$A$2:$A$50000,$B$4,缺陷明细!$G$2:$G$50000,$C19,缺陷明细!$J$2:$J$50000,"系统测试案例评审",缺陷明细!$AA$2:$AA$50000,"&lt;&gt;丢弃",缺陷明细!$AA$2:$AA$50000,"&lt;&gt;设计如此",缺陷明细!$AA$2:$AA$50000,"&lt;&gt;重复Bug")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COUNTIFS(缺陷明细!$A$2:$A$50000,$B$4,缺陷明细!$G$2:$G$50000,$C19,缺陷明细!$J$2:$J$50000,"系统测试",缺陷明细!$AA$2:$AA$50000,"&lt;&gt;丢弃",缺陷明细!$AA$2:$AA$50000,"&lt;&gt;设计如此",缺陷明细!$AA$2:$AA$50000,"&lt;&gt;重复Bug")</f>
        <v>0</v>
      </c>
      <c r="Q19" s="72">
        <f>COUNTIFS(缺陷明细!$A$2:$A$50000,$B$4,缺陷明细!$G$2:$G$50000,$C19,缺陷明细!$Q$2:$Q$50000,"已关闭",缺陷明细!$J$2:$J$50000,"系统测试")</f>
        <v>0</v>
      </c>
      <c r="R19" s="72">
        <f>COUNTIFS(缺陷明细!$A$2:$A$50000,$B$4,缺陷明细!$G$2:$G$50000,$C19,缺陷明细!$AA$2:$AA$50000,"丢弃",缺陷明细!$J$2:$J$50000,"系统测试")+COUNTIFS(缺陷明细!$A$2:$A$50000,$B$4,缺陷明细!$G$2:$G$50000,$C19,缺陷明细!$AA$2:$AA$50000,"设计如此",缺陷明细!$J$2:$J$50000,"系统测试"+COUNTIFS(缺陷明细!$A$2:$A$50000,$B$4,缺陷明细!$G$2:$G$50000,$C19,缺陷明细!$AA$2:$AA$50000,"重复Bug",缺陷明细!$J$2:$J$50000,"系统测试"))</f>
        <v>0</v>
      </c>
      <c r="S19" s="72">
        <f>COUNTIFS(缺陷明细!$A$2:$A$50000,$B$4,缺陷明细!$G$2:$G$50000,$C19,缺陷明细!$J$2:$J$50000,"系统测试",缺陷明细!$K$2:$K$50000,"致命",缺陷明细!$AA$2:$AA$50000,"&lt;&gt;丢弃",缺陷明细!$AA$2:$AA$50000,"&lt;&gt;设计如此",缺陷明细!$AA$2:$AA$50000,"&lt;&gt;重复Bug")+COUNTIFS(缺陷明细!$A$2:$A$50000,$B$4,缺陷明细!$G$2:$G$50000,$C19,缺陷明细!$J$2:$J$50000,"系统测试",缺陷明细!$K$2:$K$50000,"严重",缺陷明细!$AA$2:$AA$50000,"&lt;&gt;丢弃",缺陷明细!$AA$2:$AA$50000,"&lt;&gt;设计如此",缺陷明细!$AA$2:$AA$50000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COUNTIFS(缺陷明细!$A$2:$A$50000,$B$4,缺陷明细!$G$2:$G$50000,$C19,缺陷明细!$J$2:$J$50000,"验收测试",缺陷明细!$AA$2:$AA$50000,"&lt;&gt;丢弃",缺陷明细!$AA$2:$AA$50000,"&lt;&gt;设计如此",缺陷明细!$AA$2:$AA$50000,"&lt;&gt;重复Bug")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A$2:$AA$50000,"&lt;&gt;丢弃",缺陷明细!$AA$2:$AA$50000,"&lt;&gt;设计如此",缺陷明细!$AA$2:$AA$50000,"&lt;&gt;重复Bug")+COUNTIFS(缺陷明细!$A$2:$A$50000,$B$4,缺陷明细!$G$2:$G$50000,$C19,缺陷明细!$J$2:$J$50000,"验收测试",缺陷明细!$K$2:$K$50000,"严重",缺陷明细!$AA$2:$AA$50000,"&lt;&gt;丢弃",缺陷明细!$AA$2:$AA$50000,"&lt;&gt;设计如此",缺陷明细!$AA$2:$AA$50000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COUNTIFS(缺陷明细!$A$2:$A$50000,$B$4,缺陷明细!$G$2:$G$50000,$C19,缺陷明细!$J$2:$J$50000,"运维测试",缺陷明细!$AA$2:$AA$50000,"&lt;&gt;丢弃",缺陷明细!$AA$2:$AA$50000,"&lt;&gt;设计如此",缺陷明细!$AA$2:$AA$50000,"&lt;&gt;重复Bug")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A$2:$AA$50000,"&lt;&gt;丢弃",缺陷明细!$AA$2:$AA$50000,"&lt;&gt;设计如此",缺陷明细!$AA$2:$AA$50000,"&lt;&gt;重复Bug")+COUNTIFS(缺陷明细!$A$2:$A$50000,$B$4,缺陷明细!$G$2:$G$50000,$C19,缺陷明细!$J$2:$J$50000,"运维测试",缺陷明细!$K$2:$K$50000,"严重",缺陷明细!$AA$2:$AA$50000,"&lt;&gt;丢弃",缺陷明细!$AA$2:$AA$50000,"&lt;&gt;设计如此",缺陷明细!$AA$2:$AA$50000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51"/>
    </row>
    <row r="20" spans="1:37">
      <c r="A20">
        <v>16</v>
      </c>
      <c r="B20" s="57"/>
      <c r="C20" s="58"/>
      <c r="D20" s="84"/>
      <c r="E20" s="82"/>
      <c r="F20" s="165"/>
      <c r="G20" s="166"/>
      <c r="H20" s="305">
        <f>COUNTIFS(缺陷明细!$A$2:$A$50000,$B$4,缺陷明细!$G$2:$G$50000,$C20,缺陷明细!$J$2:$J$50000,"评审",缺陷明细!$AA$2:$AA$50000,"&lt;&gt;丢弃",缺陷明细!$AA$2:$AA$50000,"&lt;&gt;设计如此",缺陷明细!$AA$2:$AA$50000,"&lt;&gt;重复Bug")</f>
        <v>0</v>
      </c>
      <c r="I20" s="161">
        <f>COUNTIFS(缺陷明细!$A$2:$A$50000,$B$4,缺陷明细!$G$2:$G$50000,$C20,缺陷明细!$Q$2:$Q$50000,"已关闭",缺陷明细!$J$2:$J$50000,"评审")</f>
        <v>0</v>
      </c>
      <c r="J20" s="161">
        <f>COUNTIFS(缺陷明细!$A$2:$A$50000,$B$4,缺陷明细!$G$2:$G$50000,$C20,缺陷明细!$J$2:$J$50000,"单元测试",缺陷明细!$AA$2:$AA$50000,"&lt;&gt;丢弃",缺陷明细!$AA$2:$AA$50000,"&lt;&gt;设计如此",缺陷明细!$AA$2:$AA$50000,"&lt;&gt;重复Bug")</f>
        <v>0</v>
      </c>
      <c r="K20" s="162">
        <f>COUNTIFS(缺陷明细!$A$2:$A$50000,$B$4,缺陷明细!$G$2:$G$50000,$C20,缺陷明细!$Q$2:$Q$50000,"已关闭",缺陷明细!$J$2:$J$50000,"单元测试")</f>
        <v>0</v>
      </c>
      <c r="L20" s="163"/>
      <c r="M20" s="164"/>
      <c r="N20" s="72">
        <f>COUNTIFS(缺陷明细!$A$2:$A$50000,$B$4,缺陷明细!$G$2:$G$50000,$C20,缺陷明细!$J$2:$J$50000,"系统测试案例评审",缺陷明细!$AA$2:$AA$50000,"&lt;&gt;丢弃",缺陷明细!$AA$2:$AA$50000,"&lt;&gt;设计如此",缺陷明细!$AA$2:$AA$50000,"&lt;&gt;重复Bug")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COUNTIFS(缺陷明细!$A$2:$A$50000,$B$4,缺陷明细!$G$2:$G$50000,$C20,缺陷明细!$J$2:$J$50000,"系统测试",缺陷明细!$AA$2:$AA$50000,"&lt;&gt;丢弃",缺陷明细!$AA$2:$AA$50000,"&lt;&gt;设计如此",缺陷明细!$AA$2:$AA$50000,"&lt;&gt;重复Bug")</f>
        <v>0</v>
      </c>
      <c r="Q20" s="72">
        <f>COUNTIFS(缺陷明细!$A$2:$A$50000,$B$4,缺陷明细!$G$2:$G$50000,$C20,缺陷明细!$Q$2:$Q$50000,"已关闭",缺陷明细!$J$2:$J$50000,"系统测试")</f>
        <v>0</v>
      </c>
      <c r="R20" s="72">
        <f>COUNTIFS(缺陷明细!$A$2:$A$50000,$B$4,缺陷明细!$G$2:$G$50000,$C20,缺陷明细!$AA$2:$AA$50000,"丢弃",缺陷明细!$J$2:$J$50000,"系统测试")+COUNTIFS(缺陷明细!$A$2:$A$50000,$B$4,缺陷明细!$G$2:$G$50000,$C20,缺陷明细!$AA$2:$AA$50000,"设计如此",缺陷明细!$J$2:$J$50000,"系统测试"+COUNTIFS(缺陷明细!$A$2:$A$50000,$B$4,缺陷明细!$G$2:$G$50000,$C20,缺陷明细!$AA$2:$AA$50000,"重复Bug",缺陷明细!$J$2:$J$50000,"系统测试"))</f>
        <v>0</v>
      </c>
      <c r="S20" s="72">
        <f>COUNTIFS(缺陷明细!$A$2:$A$50000,$B$4,缺陷明细!$G$2:$G$50000,$C20,缺陷明细!$J$2:$J$50000,"系统测试",缺陷明细!$K$2:$K$50000,"致命",缺陷明细!$AA$2:$AA$50000,"&lt;&gt;丢弃",缺陷明细!$AA$2:$AA$50000,"&lt;&gt;设计如此",缺陷明细!$AA$2:$AA$50000,"&lt;&gt;重复Bug")+COUNTIFS(缺陷明细!$A$2:$A$50000,$B$4,缺陷明细!$G$2:$G$50000,$C20,缺陷明细!$J$2:$J$50000,"系统测试",缺陷明细!$K$2:$K$50000,"严重",缺陷明细!$AA$2:$AA$50000,"&lt;&gt;丢弃",缺陷明细!$AA$2:$AA$50000,"&lt;&gt;设计如此",缺陷明细!$AA$2:$AA$50000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COUNTIFS(缺陷明细!$A$2:$A$50000,$B$4,缺陷明细!$G$2:$G$50000,$C20,缺陷明细!$J$2:$J$50000,"验收测试",缺陷明细!$AA$2:$AA$50000,"&lt;&gt;丢弃",缺陷明细!$AA$2:$AA$50000,"&lt;&gt;设计如此",缺陷明细!$AA$2:$AA$50000,"&lt;&gt;重复Bug")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A$2:$AA$50000,"&lt;&gt;丢弃",缺陷明细!$AA$2:$AA$50000,"&lt;&gt;设计如此",缺陷明细!$AA$2:$AA$50000,"&lt;&gt;重复Bug")+COUNTIFS(缺陷明细!$A$2:$A$50000,$B$4,缺陷明细!$G$2:$G$50000,$C20,缺陷明细!$J$2:$J$50000,"验收测试",缺陷明细!$K$2:$K$50000,"严重",缺陷明细!$AA$2:$AA$50000,"&lt;&gt;丢弃",缺陷明细!$AA$2:$AA$50000,"&lt;&gt;设计如此",缺陷明细!$AA$2:$AA$50000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COUNTIFS(缺陷明细!$A$2:$A$50000,$B$4,缺陷明细!$G$2:$G$50000,$C20,缺陷明细!$J$2:$J$50000,"运维测试",缺陷明细!$AA$2:$AA$50000,"&lt;&gt;丢弃",缺陷明细!$AA$2:$AA$50000,"&lt;&gt;设计如此",缺陷明细!$AA$2:$AA$50000,"&lt;&gt;重复Bug")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A$2:$AA$50000,"&lt;&gt;丢弃",缺陷明细!$AA$2:$AA$50000,"&lt;&gt;设计如此",缺陷明细!$AA$2:$AA$50000,"&lt;&gt;重复Bug")+COUNTIFS(缺陷明细!$A$2:$A$50000,$B$4,缺陷明细!$G$2:$G$50000,$C20,缺陷明细!$J$2:$J$50000,"运维测试",缺陷明细!$K$2:$K$50000,"严重",缺陷明细!$AA$2:$AA$50000,"&lt;&gt;丢弃",缺陷明细!$AA$2:$AA$50000,"&lt;&gt;设计如此",缺陷明细!$AA$2:$AA$50000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51"/>
    </row>
    <row r="21" spans="1:37">
      <c r="A21">
        <v>17</v>
      </c>
      <c r="B21" s="57"/>
      <c r="C21" s="58"/>
      <c r="D21" s="84"/>
      <c r="E21" s="82"/>
      <c r="F21" s="165"/>
      <c r="G21" s="166"/>
      <c r="H21" s="305">
        <f>COUNTIFS(缺陷明细!$A$2:$A$50000,$B$4,缺陷明细!$G$2:$G$50000,$C21,缺陷明细!$J$2:$J$50000,"评审",缺陷明细!$AA$2:$AA$50000,"&lt;&gt;丢弃",缺陷明细!$AA$2:$AA$50000,"&lt;&gt;设计如此",缺陷明细!$AA$2:$AA$50000,"&lt;&gt;重复Bug")</f>
        <v>0</v>
      </c>
      <c r="I21" s="161">
        <f>COUNTIFS(缺陷明细!$A$2:$A$50000,$B$4,缺陷明细!$G$2:$G$50000,$C21,缺陷明细!$Q$2:$Q$50000,"已关闭",缺陷明细!$J$2:$J$50000,"评审")</f>
        <v>0</v>
      </c>
      <c r="J21" s="161">
        <f>COUNTIFS(缺陷明细!$A$2:$A$50000,$B$4,缺陷明细!$G$2:$G$50000,$C21,缺陷明细!$J$2:$J$50000,"单元测试",缺陷明细!$AA$2:$AA$50000,"&lt;&gt;丢弃",缺陷明细!$AA$2:$AA$50000,"&lt;&gt;设计如此",缺陷明细!$AA$2:$AA$50000,"&lt;&gt;重复Bug")</f>
        <v>0</v>
      </c>
      <c r="K21" s="162">
        <f>COUNTIFS(缺陷明细!$A$2:$A$50000,$B$4,缺陷明细!$G$2:$G$50000,$C21,缺陷明细!$Q$2:$Q$50000,"已关闭",缺陷明细!$J$2:$J$50000,"单元测试")</f>
        <v>0</v>
      </c>
      <c r="L21" s="163"/>
      <c r="M21" s="164"/>
      <c r="N21" s="72">
        <f>COUNTIFS(缺陷明细!$A$2:$A$50000,$B$4,缺陷明细!$G$2:$G$50000,$C21,缺陷明细!$J$2:$J$50000,"系统测试案例评审",缺陷明细!$AA$2:$AA$50000,"&lt;&gt;丢弃",缺陷明细!$AA$2:$AA$50000,"&lt;&gt;设计如此",缺陷明细!$AA$2:$AA$50000,"&lt;&gt;重复Bug")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COUNTIFS(缺陷明细!$A$2:$A$50000,$B$4,缺陷明细!$G$2:$G$50000,$C21,缺陷明细!$J$2:$J$50000,"系统测试",缺陷明细!$AA$2:$AA$50000,"&lt;&gt;丢弃",缺陷明细!$AA$2:$AA$50000,"&lt;&gt;设计如此",缺陷明细!$AA$2:$AA$50000,"&lt;&gt;重复Bug")</f>
        <v>0</v>
      </c>
      <c r="Q21" s="72">
        <f>COUNTIFS(缺陷明细!$A$2:$A$50000,$B$4,缺陷明细!$G$2:$G$50000,$C21,缺陷明细!$Q$2:$Q$50000,"已关闭",缺陷明细!$J$2:$J$50000,"系统测试")</f>
        <v>0</v>
      </c>
      <c r="R21" s="72">
        <f>COUNTIFS(缺陷明细!$A$2:$A$50000,$B$4,缺陷明细!$G$2:$G$50000,$C21,缺陷明细!$AA$2:$AA$50000,"丢弃",缺陷明细!$J$2:$J$50000,"系统测试")+COUNTIFS(缺陷明细!$A$2:$A$50000,$B$4,缺陷明细!$G$2:$G$50000,$C21,缺陷明细!$AA$2:$AA$50000,"设计如此",缺陷明细!$J$2:$J$50000,"系统测试"+COUNTIFS(缺陷明细!$A$2:$A$50000,$B$4,缺陷明细!$G$2:$G$50000,$C21,缺陷明细!$AA$2:$AA$50000,"重复Bug",缺陷明细!$J$2:$J$50000,"系统测试"))</f>
        <v>0</v>
      </c>
      <c r="S21" s="72">
        <f>COUNTIFS(缺陷明细!$A$2:$A$50000,$B$4,缺陷明细!$G$2:$G$50000,$C21,缺陷明细!$J$2:$J$50000,"系统测试",缺陷明细!$K$2:$K$50000,"致命",缺陷明细!$AA$2:$AA$50000,"&lt;&gt;丢弃",缺陷明细!$AA$2:$AA$50000,"&lt;&gt;设计如此",缺陷明细!$AA$2:$AA$50000,"&lt;&gt;重复Bug")+COUNTIFS(缺陷明细!$A$2:$A$50000,$B$4,缺陷明细!$G$2:$G$50000,$C21,缺陷明细!$J$2:$J$50000,"系统测试",缺陷明细!$K$2:$K$50000,"严重",缺陷明细!$AA$2:$AA$50000,"&lt;&gt;丢弃",缺陷明细!$AA$2:$AA$50000,"&lt;&gt;设计如此",缺陷明细!$AA$2:$AA$50000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COUNTIFS(缺陷明细!$A$2:$A$50000,$B$4,缺陷明细!$G$2:$G$50000,$C21,缺陷明细!$J$2:$J$50000,"验收测试",缺陷明细!$AA$2:$AA$50000,"&lt;&gt;丢弃",缺陷明细!$AA$2:$AA$50000,"&lt;&gt;设计如此",缺陷明细!$AA$2:$AA$50000,"&lt;&gt;重复Bug")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A$2:$AA$50000,"&lt;&gt;丢弃",缺陷明细!$AA$2:$AA$50000,"&lt;&gt;设计如此",缺陷明细!$AA$2:$AA$50000,"&lt;&gt;重复Bug")+COUNTIFS(缺陷明细!$A$2:$A$50000,$B$4,缺陷明细!$G$2:$G$50000,$C21,缺陷明细!$J$2:$J$50000,"验收测试",缺陷明细!$K$2:$K$50000,"严重",缺陷明细!$AA$2:$AA$50000,"&lt;&gt;丢弃",缺陷明细!$AA$2:$AA$50000,"&lt;&gt;设计如此",缺陷明细!$AA$2:$AA$50000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COUNTIFS(缺陷明细!$A$2:$A$50000,$B$4,缺陷明细!$G$2:$G$50000,$C21,缺陷明细!$J$2:$J$50000,"运维测试",缺陷明细!$AA$2:$AA$50000,"&lt;&gt;丢弃",缺陷明细!$AA$2:$AA$50000,"&lt;&gt;设计如此",缺陷明细!$AA$2:$AA$50000,"&lt;&gt;重复Bug")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A$2:$AA$50000,"&lt;&gt;丢弃",缺陷明细!$AA$2:$AA$50000,"&lt;&gt;设计如此",缺陷明细!$AA$2:$AA$50000,"&lt;&gt;重复Bug")+COUNTIFS(缺陷明细!$A$2:$A$50000,$B$4,缺陷明细!$G$2:$G$50000,$C21,缺陷明细!$J$2:$J$50000,"运维测试",缺陷明细!$K$2:$K$50000,"严重",缺陷明细!$AA$2:$AA$50000,"&lt;&gt;丢弃",缺陷明细!$AA$2:$AA$50000,"&lt;&gt;设计如此",缺陷明细!$AA$2:$AA$50000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51"/>
    </row>
    <row r="22" spans="1:37">
      <c r="A22">
        <v>18</v>
      </c>
      <c r="B22" s="57"/>
      <c r="C22" s="58"/>
      <c r="D22" s="84"/>
      <c r="E22" s="82"/>
      <c r="F22" s="165"/>
      <c r="G22" s="166"/>
      <c r="H22" s="305">
        <f>COUNTIFS(缺陷明细!$A$2:$A$50000,$B$4,缺陷明细!$G$2:$G$50000,$C22,缺陷明细!$J$2:$J$50000,"评审",缺陷明细!$AA$2:$AA$50000,"&lt;&gt;丢弃",缺陷明细!$AA$2:$AA$50000,"&lt;&gt;设计如此",缺陷明细!$AA$2:$AA$50000,"&lt;&gt;重复Bug")</f>
        <v>0</v>
      </c>
      <c r="I22" s="161">
        <f>COUNTIFS(缺陷明细!$A$2:$A$50000,$B$4,缺陷明细!$G$2:$G$50000,$C22,缺陷明细!$Q$2:$Q$50000,"已关闭",缺陷明细!$J$2:$J$50000,"评审")</f>
        <v>0</v>
      </c>
      <c r="J22" s="161">
        <f>COUNTIFS(缺陷明细!$A$2:$A$50000,$B$4,缺陷明细!$G$2:$G$50000,$C22,缺陷明细!$J$2:$J$50000,"单元测试",缺陷明细!$AA$2:$AA$50000,"&lt;&gt;丢弃",缺陷明细!$AA$2:$AA$50000,"&lt;&gt;设计如此",缺陷明细!$AA$2:$AA$50000,"&lt;&gt;重复Bug")</f>
        <v>0</v>
      </c>
      <c r="K22" s="162">
        <f>COUNTIFS(缺陷明细!$A$2:$A$50000,$B$4,缺陷明细!$G$2:$G$50000,$C22,缺陷明细!$Q$2:$Q$50000,"已关闭",缺陷明细!$J$2:$J$50000,"单元测试")</f>
        <v>0</v>
      </c>
      <c r="L22" s="163"/>
      <c r="M22" s="164"/>
      <c r="N22" s="72">
        <f>COUNTIFS(缺陷明细!$A$2:$A$50000,$B$4,缺陷明细!$G$2:$G$50000,$C22,缺陷明细!$J$2:$J$50000,"系统测试案例评审",缺陷明细!$AA$2:$AA$50000,"&lt;&gt;丢弃",缺陷明细!$AA$2:$AA$50000,"&lt;&gt;设计如此",缺陷明细!$AA$2:$AA$50000,"&lt;&gt;重复Bug")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COUNTIFS(缺陷明细!$A$2:$A$50000,$B$4,缺陷明细!$G$2:$G$50000,$C22,缺陷明细!$J$2:$J$50000,"系统测试",缺陷明细!$AA$2:$AA$50000,"&lt;&gt;丢弃",缺陷明细!$AA$2:$AA$50000,"&lt;&gt;设计如此",缺陷明细!$AA$2:$AA$50000,"&lt;&gt;重复Bug")</f>
        <v>0</v>
      </c>
      <c r="Q22" s="72">
        <f>COUNTIFS(缺陷明细!$A$2:$A$50000,$B$4,缺陷明细!$G$2:$G$50000,$C22,缺陷明细!$Q$2:$Q$50000,"已关闭",缺陷明细!$J$2:$J$50000,"系统测试")</f>
        <v>0</v>
      </c>
      <c r="R22" s="72">
        <f>COUNTIFS(缺陷明细!$A$2:$A$50000,$B$4,缺陷明细!$G$2:$G$50000,$C22,缺陷明细!$AA$2:$AA$50000,"丢弃",缺陷明细!$J$2:$J$50000,"系统测试")+COUNTIFS(缺陷明细!$A$2:$A$50000,$B$4,缺陷明细!$G$2:$G$50000,$C22,缺陷明细!$AA$2:$AA$50000,"设计如此",缺陷明细!$J$2:$J$50000,"系统测试"+COUNTIFS(缺陷明细!$A$2:$A$50000,$B$4,缺陷明细!$G$2:$G$50000,$C22,缺陷明细!$AA$2:$AA$50000,"重复Bug",缺陷明细!$J$2:$J$50000,"系统测试"))</f>
        <v>0</v>
      </c>
      <c r="S22" s="72">
        <f>COUNTIFS(缺陷明细!$A$2:$A$50000,$B$4,缺陷明细!$G$2:$G$50000,$C22,缺陷明细!$J$2:$J$50000,"系统测试",缺陷明细!$K$2:$K$50000,"致命",缺陷明细!$AA$2:$AA$50000,"&lt;&gt;丢弃",缺陷明细!$AA$2:$AA$50000,"&lt;&gt;设计如此",缺陷明细!$AA$2:$AA$50000,"&lt;&gt;重复Bug")+COUNTIFS(缺陷明细!$A$2:$A$50000,$B$4,缺陷明细!$G$2:$G$50000,$C22,缺陷明细!$J$2:$J$50000,"系统测试",缺陷明细!$K$2:$K$50000,"严重",缺陷明细!$AA$2:$AA$50000,"&lt;&gt;丢弃",缺陷明细!$AA$2:$AA$50000,"&lt;&gt;设计如此",缺陷明细!$AA$2:$AA$50000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COUNTIFS(缺陷明细!$A$2:$A$50000,$B$4,缺陷明细!$G$2:$G$50000,$C22,缺陷明细!$J$2:$J$50000,"验收测试",缺陷明细!$AA$2:$AA$50000,"&lt;&gt;丢弃",缺陷明细!$AA$2:$AA$50000,"&lt;&gt;设计如此",缺陷明细!$AA$2:$AA$50000,"&lt;&gt;重复Bug")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A$2:$AA$50000,"&lt;&gt;丢弃",缺陷明细!$AA$2:$AA$50000,"&lt;&gt;设计如此",缺陷明细!$AA$2:$AA$50000,"&lt;&gt;重复Bug")+COUNTIFS(缺陷明细!$A$2:$A$50000,$B$4,缺陷明细!$G$2:$G$50000,$C22,缺陷明细!$J$2:$J$50000,"验收测试",缺陷明细!$K$2:$K$50000,"严重",缺陷明细!$AA$2:$AA$50000,"&lt;&gt;丢弃",缺陷明细!$AA$2:$AA$50000,"&lt;&gt;设计如此",缺陷明细!$AA$2:$AA$50000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COUNTIFS(缺陷明细!$A$2:$A$50000,$B$4,缺陷明细!$G$2:$G$50000,$C22,缺陷明细!$J$2:$J$50000,"运维测试",缺陷明细!$AA$2:$AA$50000,"&lt;&gt;丢弃",缺陷明细!$AA$2:$AA$50000,"&lt;&gt;设计如此",缺陷明细!$AA$2:$AA$50000,"&lt;&gt;重复Bug")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A$2:$AA$50000,"&lt;&gt;丢弃",缺陷明细!$AA$2:$AA$50000,"&lt;&gt;设计如此",缺陷明细!$AA$2:$AA$50000,"&lt;&gt;重复Bug")+COUNTIFS(缺陷明细!$A$2:$A$50000,$B$4,缺陷明细!$G$2:$G$50000,$C22,缺陷明细!$J$2:$J$50000,"运维测试",缺陷明细!$K$2:$K$50000,"严重",缺陷明细!$AA$2:$AA$50000,"&lt;&gt;丢弃",缺陷明细!$AA$2:$AA$50000,"&lt;&gt;设计如此",缺陷明细!$AA$2:$AA$50000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51"/>
    </row>
    <row r="23" spans="1:37">
      <c r="A23">
        <v>19</v>
      </c>
      <c r="B23" s="57"/>
      <c r="C23" s="58"/>
      <c r="D23" s="84"/>
      <c r="E23" s="82"/>
      <c r="F23" s="165"/>
      <c r="G23" s="166"/>
      <c r="H23" s="305">
        <f>COUNTIFS(缺陷明细!$A$2:$A$50000,$B$4,缺陷明细!$G$2:$G$50000,$C23,缺陷明细!$J$2:$J$50000,"评审",缺陷明细!$AA$2:$AA$50000,"&lt;&gt;丢弃",缺陷明细!$AA$2:$AA$50000,"&lt;&gt;设计如此",缺陷明细!$AA$2:$AA$50000,"&lt;&gt;重复Bug")</f>
        <v>0</v>
      </c>
      <c r="I23" s="161">
        <f>COUNTIFS(缺陷明细!$A$2:$A$50000,$B$4,缺陷明细!$G$2:$G$50000,$C23,缺陷明细!$Q$2:$Q$50000,"已关闭",缺陷明细!$J$2:$J$50000,"评审")</f>
        <v>0</v>
      </c>
      <c r="J23" s="161">
        <f>COUNTIFS(缺陷明细!$A$2:$A$50000,$B$4,缺陷明细!$G$2:$G$50000,$C23,缺陷明细!$J$2:$J$50000,"单元测试",缺陷明细!$AA$2:$AA$50000,"&lt;&gt;丢弃",缺陷明细!$AA$2:$AA$50000,"&lt;&gt;设计如此",缺陷明细!$AA$2:$AA$50000,"&lt;&gt;重复Bug")</f>
        <v>0</v>
      </c>
      <c r="K23" s="162">
        <f>COUNTIFS(缺陷明细!$A$2:$A$50000,$B$4,缺陷明细!$G$2:$G$50000,$C23,缺陷明细!$Q$2:$Q$50000,"已关闭",缺陷明细!$J$2:$J$50000,"单元测试")</f>
        <v>0</v>
      </c>
      <c r="L23" s="163"/>
      <c r="M23" s="164"/>
      <c r="N23" s="72">
        <f>COUNTIFS(缺陷明细!$A$2:$A$50000,$B$4,缺陷明细!$G$2:$G$50000,$C23,缺陷明细!$J$2:$J$50000,"系统测试案例评审",缺陷明细!$AA$2:$AA$50000,"&lt;&gt;丢弃",缺陷明细!$AA$2:$AA$50000,"&lt;&gt;设计如此",缺陷明细!$AA$2:$AA$50000,"&lt;&gt;重复Bug")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COUNTIFS(缺陷明细!$A$2:$A$50000,$B$4,缺陷明细!$G$2:$G$50000,$C23,缺陷明细!$J$2:$J$50000,"系统测试",缺陷明细!$AA$2:$AA$50000,"&lt;&gt;丢弃",缺陷明细!$AA$2:$AA$50000,"&lt;&gt;设计如此",缺陷明细!$AA$2:$AA$50000,"&lt;&gt;重复Bug")</f>
        <v>0</v>
      </c>
      <c r="Q23" s="72">
        <f>COUNTIFS(缺陷明细!$A$2:$A$50000,$B$4,缺陷明细!$G$2:$G$50000,$C23,缺陷明细!$Q$2:$Q$50000,"已关闭",缺陷明细!$J$2:$J$50000,"系统测试")</f>
        <v>0</v>
      </c>
      <c r="R23" s="72">
        <f>COUNTIFS(缺陷明细!$A$2:$A$50000,$B$4,缺陷明细!$G$2:$G$50000,$C23,缺陷明细!$AA$2:$AA$50000,"丢弃",缺陷明细!$J$2:$J$50000,"系统测试")+COUNTIFS(缺陷明细!$A$2:$A$50000,$B$4,缺陷明细!$G$2:$G$50000,$C23,缺陷明细!$AA$2:$AA$50000,"设计如此",缺陷明细!$J$2:$J$50000,"系统测试"+COUNTIFS(缺陷明细!$A$2:$A$50000,$B$4,缺陷明细!$G$2:$G$50000,$C23,缺陷明细!$AA$2:$AA$50000,"重复Bug",缺陷明细!$J$2:$J$50000,"系统测试"))</f>
        <v>0</v>
      </c>
      <c r="S23" s="72">
        <f>COUNTIFS(缺陷明细!$A$2:$A$50000,$B$4,缺陷明细!$G$2:$G$50000,$C23,缺陷明细!$J$2:$J$50000,"系统测试",缺陷明细!$K$2:$K$50000,"致命",缺陷明细!$AA$2:$AA$50000,"&lt;&gt;丢弃",缺陷明细!$AA$2:$AA$50000,"&lt;&gt;设计如此",缺陷明细!$AA$2:$AA$50000,"&lt;&gt;重复Bug")+COUNTIFS(缺陷明细!$A$2:$A$50000,$B$4,缺陷明细!$G$2:$G$50000,$C23,缺陷明细!$J$2:$J$50000,"系统测试",缺陷明细!$K$2:$K$50000,"严重",缺陷明细!$AA$2:$AA$50000,"&lt;&gt;丢弃",缺陷明细!$AA$2:$AA$50000,"&lt;&gt;设计如此",缺陷明细!$AA$2:$AA$50000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COUNTIFS(缺陷明细!$A$2:$A$50000,$B$4,缺陷明细!$G$2:$G$50000,$C23,缺陷明细!$J$2:$J$50000,"验收测试",缺陷明细!$AA$2:$AA$50000,"&lt;&gt;丢弃",缺陷明细!$AA$2:$AA$50000,"&lt;&gt;设计如此",缺陷明细!$AA$2:$AA$50000,"&lt;&gt;重复Bug")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A$2:$AA$50000,"&lt;&gt;丢弃",缺陷明细!$AA$2:$AA$50000,"&lt;&gt;设计如此",缺陷明细!$AA$2:$AA$50000,"&lt;&gt;重复Bug")+COUNTIFS(缺陷明细!$A$2:$A$50000,$B$4,缺陷明细!$G$2:$G$50000,$C23,缺陷明细!$J$2:$J$50000,"验收测试",缺陷明细!$K$2:$K$50000,"严重",缺陷明细!$AA$2:$AA$50000,"&lt;&gt;丢弃",缺陷明细!$AA$2:$AA$50000,"&lt;&gt;设计如此",缺陷明细!$AA$2:$AA$50000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COUNTIFS(缺陷明细!$A$2:$A$50000,$B$4,缺陷明细!$G$2:$G$50000,$C23,缺陷明细!$J$2:$J$50000,"运维测试",缺陷明细!$AA$2:$AA$50000,"&lt;&gt;丢弃",缺陷明细!$AA$2:$AA$50000,"&lt;&gt;设计如此",缺陷明细!$AA$2:$AA$50000,"&lt;&gt;重复Bug")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A$2:$AA$50000,"&lt;&gt;丢弃",缺陷明细!$AA$2:$AA$50000,"&lt;&gt;设计如此",缺陷明细!$AA$2:$AA$50000,"&lt;&gt;重复Bug")+COUNTIFS(缺陷明细!$A$2:$A$50000,$B$4,缺陷明细!$G$2:$G$50000,$C23,缺陷明细!$J$2:$J$50000,"运维测试",缺陷明细!$K$2:$K$50000,"严重",缺陷明细!$AA$2:$AA$50000,"&lt;&gt;丢弃",缺陷明细!$AA$2:$AA$50000,"&lt;&gt;设计如此",缺陷明细!$AA$2:$AA$50000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51"/>
    </row>
    <row r="24" spans="1:37">
      <c r="A24">
        <v>20</v>
      </c>
      <c r="B24" s="57"/>
      <c r="C24" s="58"/>
      <c r="D24" s="84"/>
      <c r="E24" s="82"/>
      <c r="F24" s="165"/>
      <c r="G24" s="166"/>
      <c r="H24" s="305">
        <f>COUNTIFS(缺陷明细!$A$2:$A$50000,$B$4,缺陷明细!$G$2:$G$50000,$C24,缺陷明细!$J$2:$J$50000,"评审",缺陷明细!$AA$2:$AA$50000,"&lt;&gt;丢弃",缺陷明细!$AA$2:$AA$50000,"&lt;&gt;设计如此",缺陷明细!$AA$2:$AA$50000,"&lt;&gt;重复Bug")</f>
        <v>0</v>
      </c>
      <c r="I24" s="161">
        <f>COUNTIFS(缺陷明细!$A$2:$A$50000,$B$4,缺陷明细!$G$2:$G$50000,$C24,缺陷明细!$Q$2:$Q$50000,"已关闭",缺陷明细!$J$2:$J$50000,"评审")</f>
        <v>0</v>
      </c>
      <c r="J24" s="161">
        <f>COUNTIFS(缺陷明细!$A$2:$A$50000,$B$4,缺陷明细!$G$2:$G$50000,$C24,缺陷明细!$J$2:$J$50000,"单元测试",缺陷明细!$AA$2:$AA$50000,"&lt;&gt;丢弃",缺陷明细!$AA$2:$AA$50000,"&lt;&gt;设计如此",缺陷明细!$AA$2:$AA$50000,"&lt;&gt;重复Bug")</f>
        <v>0</v>
      </c>
      <c r="K24" s="162">
        <f>COUNTIFS(缺陷明细!$A$2:$A$50000,$B$4,缺陷明细!$G$2:$G$50000,$C24,缺陷明细!$Q$2:$Q$50000,"已关闭",缺陷明细!$J$2:$J$50000,"单元测试")</f>
        <v>0</v>
      </c>
      <c r="L24" s="163"/>
      <c r="M24" s="164"/>
      <c r="N24" s="72">
        <f>COUNTIFS(缺陷明细!$A$2:$A$50000,$B$4,缺陷明细!$G$2:$G$50000,$C24,缺陷明细!$J$2:$J$50000,"系统测试案例评审",缺陷明细!$AA$2:$AA$50000,"&lt;&gt;丢弃",缺陷明细!$AA$2:$AA$50000,"&lt;&gt;设计如此",缺陷明细!$AA$2:$AA$50000,"&lt;&gt;重复Bug")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COUNTIFS(缺陷明细!$A$2:$A$50000,$B$4,缺陷明细!$G$2:$G$50000,$C24,缺陷明细!$J$2:$J$50000,"系统测试",缺陷明细!$AA$2:$AA$50000,"&lt;&gt;丢弃",缺陷明细!$AA$2:$AA$50000,"&lt;&gt;设计如此",缺陷明细!$AA$2:$AA$50000,"&lt;&gt;重复Bug")</f>
        <v>0</v>
      </c>
      <c r="Q24" s="72">
        <f>COUNTIFS(缺陷明细!$A$2:$A$50000,$B$4,缺陷明细!$G$2:$G$50000,$C24,缺陷明细!$Q$2:$Q$50000,"已关闭",缺陷明细!$J$2:$J$50000,"系统测试")</f>
        <v>0</v>
      </c>
      <c r="R24" s="72">
        <f>COUNTIFS(缺陷明细!$A$2:$A$50000,$B$4,缺陷明细!$G$2:$G$50000,$C24,缺陷明细!$AA$2:$AA$50000,"丢弃",缺陷明细!$J$2:$J$50000,"系统测试")+COUNTIFS(缺陷明细!$A$2:$A$50000,$B$4,缺陷明细!$G$2:$G$50000,$C24,缺陷明细!$AA$2:$AA$50000,"设计如此",缺陷明细!$J$2:$J$50000,"系统测试"+COUNTIFS(缺陷明细!$A$2:$A$50000,$B$4,缺陷明细!$G$2:$G$50000,$C24,缺陷明细!$AA$2:$AA$50000,"重复Bug",缺陷明细!$J$2:$J$50000,"系统测试"))</f>
        <v>0</v>
      </c>
      <c r="S24" s="72">
        <f>COUNTIFS(缺陷明细!$A$2:$A$50000,$B$4,缺陷明细!$G$2:$G$50000,$C24,缺陷明细!$J$2:$J$50000,"系统测试",缺陷明细!$K$2:$K$50000,"致命",缺陷明细!$AA$2:$AA$50000,"&lt;&gt;丢弃",缺陷明细!$AA$2:$AA$50000,"&lt;&gt;设计如此",缺陷明细!$AA$2:$AA$50000,"&lt;&gt;重复Bug")+COUNTIFS(缺陷明细!$A$2:$A$50000,$B$4,缺陷明细!$G$2:$G$50000,$C24,缺陷明细!$J$2:$J$50000,"系统测试",缺陷明细!$K$2:$K$50000,"严重",缺陷明细!$AA$2:$AA$50000,"&lt;&gt;丢弃",缺陷明细!$AA$2:$AA$50000,"&lt;&gt;设计如此",缺陷明细!$AA$2:$AA$50000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COUNTIFS(缺陷明细!$A$2:$A$50000,$B$4,缺陷明细!$G$2:$G$50000,$C24,缺陷明细!$J$2:$J$50000,"验收测试",缺陷明细!$AA$2:$AA$50000,"&lt;&gt;丢弃",缺陷明细!$AA$2:$AA$50000,"&lt;&gt;设计如此",缺陷明细!$AA$2:$AA$50000,"&lt;&gt;重复Bug")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A$2:$AA$50000,"&lt;&gt;丢弃",缺陷明细!$AA$2:$AA$50000,"&lt;&gt;设计如此",缺陷明细!$AA$2:$AA$50000,"&lt;&gt;重复Bug")+COUNTIFS(缺陷明细!$A$2:$A$50000,$B$4,缺陷明细!$G$2:$G$50000,$C24,缺陷明细!$J$2:$J$50000,"验收测试",缺陷明细!$K$2:$K$50000,"严重",缺陷明细!$AA$2:$AA$50000,"&lt;&gt;丢弃",缺陷明细!$AA$2:$AA$50000,"&lt;&gt;设计如此",缺陷明细!$AA$2:$AA$50000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COUNTIFS(缺陷明细!$A$2:$A$50000,$B$4,缺陷明细!$G$2:$G$50000,$C24,缺陷明细!$J$2:$J$50000,"运维测试",缺陷明细!$AA$2:$AA$50000,"&lt;&gt;丢弃",缺陷明细!$AA$2:$AA$50000,"&lt;&gt;设计如此",缺陷明细!$AA$2:$AA$50000,"&lt;&gt;重复Bug")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A$2:$AA$50000,"&lt;&gt;丢弃",缺陷明细!$AA$2:$AA$50000,"&lt;&gt;设计如此",缺陷明细!$AA$2:$AA$50000,"&lt;&gt;重复Bug")+COUNTIFS(缺陷明细!$A$2:$A$50000,$B$4,缺陷明细!$G$2:$G$50000,$C24,缺陷明细!$J$2:$J$50000,"运维测试",缺陷明细!$K$2:$K$50000,"严重",缺陷明细!$AA$2:$AA$50000,"&lt;&gt;丢弃",缺陷明细!$AA$2:$AA$50000,"&lt;&gt;设计如此",缺陷明细!$AA$2:$AA$50000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51"/>
    </row>
    <row r="25" spans="1:37">
      <c r="A25">
        <v>21</v>
      </c>
      <c r="B25" s="57"/>
      <c r="C25" s="58"/>
      <c r="D25" s="84"/>
      <c r="E25" s="82"/>
      <c r="F25" s="165"/>
      <c r="G25" s="166"/>
      <c r="H25" s="305">
        <f>COUNTIFS(缺陷明细!$A$2:$A$50000,$B$4,缺陷明细!$G$2:$G$50000,$C25,缺陷明细!$J$2:$J$50000,"评审",缺陷明细!$AA$2:$AA$50000,"&lt;&gt;丢弃",缺陷明细!$AA$2:$AA$50000,"&lt;&gt;设计如此",缺陷明细!$AA$2:$AA$50000,"&lt;&gt;重复Bug")</f>
        <v>0</v>
      </c>
      <c r="I25" s="161">
        <f>COUNTIFS(缺陷明细!$A$2:$A$50000,$B$4,缺陷明细!$G$2:$G$50000,$C25,缺陷明细!$Q$2:$Q$50000,"已关闭",缺陷明细!$J$2:$J$50000,"评审")</f>
        <v>0</v>
      </c>
      <c r="J25" s="161">
        <f>COUNTIFS(缺陷明细!$A$2:$A$50000,$B$4,缺陷明细!$G$2:$G$50000,$C25,缺陷明细!$J$2:$J$50000,"单元测试",缺陷明细!$AA$2:$AA$50000,"&lt;&gt;丢弃",缺陷明细!$AA$2:$AA$50000,"&lt;&gt;设计如此",缺陷明细!$AA$2:$AA$50000,"&lt;&gt;重复Bug")</f>
        <v>0</v>
      </c>
      <c r="K25" s="162">
        <f>COUNTIFS(缺陷明细!$A$2:$A$50000,$B$4,缺陷明细!$G$2:$G$50000,$C25,缺陷明细!$Q$2:$Q$50000,"已关闭",缺陷明细!$J$2:$J$50000,"单元测试")</f>
        <v>0</v>
      </c>
      <c r="L25" s="163"/>
      <c r="M25" s="164"/>
      <c r="N25" s="72">
        <f>COUNTIFS(缺陷明细!$A$2:$A$50000,$B$4,缺陷明细!$G$2:$G$50000,$C25,缺陷明细!$J$2:$J$50000,"系统测试案例评审",缺陷明细!$AA$2:$AA$50000,"&lt;&gt;丢弃",缺陷明细!$AA$2:$AA$50000,"&lt;&gt;设计如此",缺陷明细!$AA$2:$AA$50000,"&lt;&gt;重复Bug")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COUNTIFS(缺陷明细!$A$2:$A$50000,$B$4,缺陷明细!$G$2:$G$50000,$C25,缺陷明细!$J$2:$J$50000,"系统测试",缺陷明细!$AA$2:$AA$50000,"&lt;&gt;丢弃",缺陷明细!$AA$2:$AA$50000,"&lt;&gt;设计如此",缺陷明细!$AA$2:$AA$50000,"&lt;&gt;重复Bug")</f>
        <v>0</v>
      </c>
      <c r="Q25" s="72">
        <f>COUNTIFS(缺陷明细!$A$2:$A$50000,$B$4,缺陷明细!$G$2:$G$50000,$C25,缺陷明细!$Q$2:$Q$50000,"已关闭",缺陷明细!$J$2:$J$50000,"系统测试")</f>
        <v>0</v>
      </c>
      <c r="R25" s="72">
        <f>COUNTIFS(缺陷明细!$A$2:$A$50000,$B$4,缺陷明细!$G$2:$G$50000,$C25,缺陷明细!$AA$2:$AA$50000,"丢弃",缺陷明细!$J$2:$J$50000,"系统测试")+COUNTIFS(缺陷明细!$A$2:$A$50000,$B$4,缺陷明细!$G$2:$G$50000,$C25,缺陷明细!$AA$2:$AA$50000,"设计如此",缺陷明细!$J$2:$J$50000,"系统测试"+COUNTIFS(缺陷明细!$A$2:$A$50000,$B$4,缺陷明细!$G$2:$G$50000,$C25,缺陷明细!$AA$2:$AA$50000,"重复Bug",缺陷明细!$J$2:$J$50000,"系统测试"))</f>
        <v>0</v>
      </c>
      <c r="S25" s="72">
        <f>COUNTIFS(缺陷明细!$A$2:$A$50000,$B$4,缺陷明细!$G$2:$G$50000,$C25,缺陷明细!$J$2:$J$50000,"系统测试",缺陷明细!$K$2:$K$50000,"致命",缺陷明细!$AA$2:$AA$50000,"&lt;&gt;丢弃",缺陷明细!$AA$2:$AA$50000,"&lt;&gt;设计如此",缺陷明细!$AA$2:$AA$50000,"&lt;&gt;重复Bug")+COUNTIFS(缺陷明细!$A$2:$A$50000,$B$4,缺陷明细!$G$2:$G$50000,$C25,缺陷明细!$J$2:$J$50000,"系统测试",缺陷明细!$K$2:$K$50000,"严重",缺陷明细!$AA$2:$AA$50000,"&lt;&gt;丢弃",缺陷明细!$AA$2:$AA$50000,"&lt;&gt;设计如此",缺陷明细!$AA$2:$AA$50000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COUNTIFS(缺陷明细!$A$2:$A$50000,$B$4,缺陷明细!$G$2:$G$50000,$C25,缺陷明细!$J$2:$J$50000,"验收测试",缺陷明细!$AA$2:$AA$50000,"&lt;&gt;丢弃",缺陷明细!$AA$2:$AA$50000,"&lt;&gt;设计如此",缺陷明细!$AA$2:$AA$50000,"&lt;&gt;重复Bug")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A$2:$AA$50000,"&lt;&gt;丢弃",缺陷明细!$AA$2:$AA$50000,"&lt;&gt;设计如此",缺陷明细!$AA$2:$AA$50000,"&lt;&gt;重复Bug")+COUNTIFS(缺陷明细!$A$2:$A$50000,$B$4,缺陷明细!$G$2:$G$50000,$C25,缺陷明细!$J$2:$J$50000,"验收测试",缺陷明细!$K$2:$K$50000,"严重",缺陷明细!$AA$2:$AA$50000,"&lt;&gt;丢弃",缺陷明细!$AA$2:$AA$50000,"&lt;&gt;设计如此",缺陷明细!$AA$2:$AA$50000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COUNTIFS(缺陷明细!$A$2:$A$50000,$B$4,缺陷明细!$G$2:$G$50000,$C25,缺陷明细!$J$2:$J$50000,"运维测试",缺陷明细!$AA$2:$AA$50000,"&lt;&gt;丢弃",缺陷明细!$AA$2:$AA$50000,"&lt;&gt;设计如此",缺陷明细!$AA$2:$AA$50000,"&lt;&gt;重复Bug")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A$2:$AA$50000,"&lt;&gt;丢弃",缺陷明细!$AA$2:$AA$50000,"&lt;&gt;设计如此",缺陷明细!$AA$2:$AA$50000,"&lt;&gt;重复Bug")+COUNTIFS(缺陷明细!$A$2:$A$50000,$B$4,缺陷明细!$G$2:$G$50000,$C25,缺陷明细!$J$2:$J$50000,"运维测试",缺陷明细!$K$2:$K$50000,"严重",缺陷明细!$AA$2:$AA$50000,"&lt;&gt;丢弃",缺陷明细!$AA$2:$AA$50000,"&lt;&gt;设计如此",缺陷明细!$AA$2:$AA$50000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51"/>
    </row>
    <row r="26" spans="1:37">
      <c r="A26">
        <v>22</v>
      </c>
      <c r="B26" s="57"/>
      <c r="C26" s="58"/>
      <c r="D26" s="84"/>
      <c r="E26" s="82"/>
      <c r="F26" s="165"/>
      <c r="G26" s="166"/>
      <c r="H26" s="305">
        <f>COUNTIFS(缺陷明细!$A$2:$A$50000,$B$4,缺陷明细!$G$2:$G$50000,$C26,缺陷明细!$J$2:$J$50000,"评审",缺陷明细!$AA$2:$AA$50000,"&lt;&gt;丢弃",缺陷明细!$AA$2:$AA$50000,"&lt;&gt;设计如此",缺陷明细!$AA$2:$AA$50000,"&lt;&gt;重复Bug")</f>
        <v>0</v>
      </c>
      <c r="I26" s="161">
        <f>COUNTIFS(缺陷明细!$A$2:$A$50000,$B$4,缺陷明细!$G$2:$G$50000,$C26,缺陷明细!$Q$2:$Q$50000,"已关闭",缺陷明细!$J$2:$J$50000,"评审")</f>
        <v>0</v>
      </c>
      <c r="J26" s="161">
        <f>COUNTIFS(缺陷明细!$A$2:$A$50000,$B$4,缺陷明细!$G$2:$G$50000,$C26,缺陷明细!$J$2:$J$50000,"单元测试",缺陷明细!$AA$2:$AA$50000,"&lt;&gt;丢弃",缺陷明细!$AA$2:$AA$50000,"&lt;&gt;设计如此",缺陷明细!$AA$2:$AA$50000,"&lt;&gt;重复Bug")</f>
        <v>0</v>
      </c>
      <c r="K26" s="162">
        <f>COUNTIFS(缺陷明细!$A$2:$A$50000,$B$4,缺陷明细!$G$2:$G$50000,$C26,缺陷明细!$Q$2:$Q$50000,"已关闭",缺陷明细!$J$2:$J$50000,"单元测试")</f>
        <v>0</v>
      </c>
      <c r="L26" s="163"/>
      <c r="M26" s="164"/>
      <c r="N26" s="72">
        <f>COUNTIFS(缺陷明细!$A$2:$A$50000,$B$4,缺陷明细!$G$2:$G$50000,$C26,缺陷明细!$J$2:$J$50000,"系统测试案例评审",缺陷明细!$AA$2:$AA$50000,"&lt;&gt;丢弃",缺陷明细!$AA$2:$AA$50000,"&lt;&gt;设计如此",缺陷明细!$AA$2:$AA$50000,"&lt;&gt;重复Bug")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COUNTIFS(缺陷明细!$A$2:$A$50000,$B$4,缺陷明细!$G$2:$G$50000,$C26,缺陷明细!$J$2:$J$50000,"系统测试",缺陷明细!$AA$2:$AA$50000,"&lt;&gt;丢弃",缺陷明细!$AA$2:$AA$50000,"&lt;&gt;设计如此",缺陷明细!$AA$2:$AA$50000,"&lt;&gt;重复Bug")</f>
        <v>0</v>
      </c>
      <c r="Q26" s="72">
        <f>COUNTIFS(缺陷明细!$A$2:$A$50000,$B$4,缺陷明细!$G$2:$G$50000,$C26,缺陷明细!$Q$2:$Q$50000,"已关闭",缺陷明细!$J$2:$J$50000,"系统测试")</f>
        <v>0</v>
      </c>
      <c r="R26" s="72">
        <f>COUNTIFS(缺陷明细!$A$2:$A$50000,$B$4,缺陷明细!$G$2:$G$50000,$C26,缺陷明细!$AA$2:$AA$50000,"丢弃",缺陷明细!$J$2:$J$50000,"系统测试")+COUNTIFS(缺陷明细!$A$2:$A$50000,$B$4,缺陷明细!$G$2:$G$50000,$C26,缺陷明细!$AA$2:$AA$50000,"设计如此",缺陷明细!$J$2:$J$50000,"系统测试"+COUNTIFS(缺陷明细!$A$2:$A$50000,$B$4,缺陷明细!$G$2:$G$50000,$C26,缺陷明细!$AA$2:$AA$50000,"重复Bug",缺陷明细!$J$2:$J$50000,"系统测试"))</f>
        <v>0</v>
      </c>
      <c r="S26" s="72">
        <f>COUNTIFS(缺陷明细!$A$2:$A$50000,$B$4,缺陷明细!$G$2:$G$50000,$C26,缺陷明细!$J$2:$J$50000,"系统测试",缺陷明细!$K$2:$K$50000,"致命",缺陷明细!$AA$2:$AA$50000,"&lt;&gt;丢弃",缺陷明细!$AA$2:$AA$50000,"&lt;&gt;设计如此",缺陷明细!$AA$2:$AA$50000,"&lt;&gt;重复Bug")+COUNTIFS(缺陷明细!$A$2:$A$50000,$B$4,缺陷明细!$G$2:$G$50000,$C26,缺陷明细!$J$2:$J$50000,"系统测试",缺陷明细!$K$2:$K$50000,"严重",缺陷明细!$AA$2:$AA$50000,"&lt;&gt;丢弃",缺陷明细!$AA$2:$AA$50000,"&lt;&gt;设计如此",缺陷明细!$AA$2:$AA$50000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COUNTIFS(缺陷明细!$A$2:$A$50000,$B$4,缺陷明细!$G$2:$G$50000,$C26,缺陷明细!$J$2:$J$50000,"验收测试",缺陷明细!$AA$2:$AA$50000,"&lt;&gt;丢弃",缺陷明细!$AA$2:$AA$50000,"&lt;&gt;设计如此",缺陷明细!$AA$2:$AA$50000,"&lt;&gt;重复Bug")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A$2:$AA$50000,"&lt;&gt;丢弃",缺陷明细!$AA$2:$AA$50000,"&lt;&gt;设计如此",缺陷明细!$AA$2:$AA$50000,"&lt;&gt;重复Bug")+COUNTIFS(缺陷明细!$A$2:$A$50000,$B$4,缺陷明细!$G$2:$G$50000,$C26,缺陷明细!$J$2:$J$50000,"验收测试",缺陷明细!$K$2:$K$50000,"严重",缺陷明细!$AA$2:$AA$50000,"&lt;&gt;丢弃",缺陷明细!$AA$2:$AA$50000,"&lt;&gt;设计如此",缺陷明细!$AA$2:$AA$50000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COUNTIFS(缺陷明细!$A$2:$A$50000,$B$4,缺陷明细!$G$2:$G$50000,$C26,缺陷明细!$J$2:$J$50000,"运维测试",缺陷明细!$AA$2:$AA$50000,"&lt;&gt;丢弃",缺陷明细!$AA$2:$AA$50000,"&lt;&gt;设计如此",缺陷明细!$AA$2:$AA$50000,"&lt;&gt;重复Bug")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A$2:$AA$50000,"&lt;&gt;丢弃",缺陷明细!$AA$2:$AA$50000,"&lt;&gt;设计如此",缺陷明细!$AA$2:$AA$50000,"&lt;&gt;重复Bug")+COUNTIFS(缺陷明细!$A$2:$A$50000,$B$4,缺陷明细!$G$2:$G$50000,$C26,缺陷明细!$J$2:$J$50000,"运维测试",缺陷明细!$K$2:$K$50000,"严重",缺陷明细!$AA$2:$AA$50000,"&lt;&gt;丢弃",缺陷明细!$AA$2:$AA$50000,"&lt;&gt;设计如此",缺陷明细!$AA$2:$AA$50000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51"/>
    </row>
    <row r="27" spans="1:37">
      <c r="A27">
        <v>23</v>
      </c>
      <c r="B27" s="57"/>
      <c r="C27" s="58"/>
      <c r="D27" s="84"/>
      <c r="E27" s="82"/>
      <c r="F27" s="165"/>
      <c r="G27" s="166"/>
      <c r="H27" s="305">
        <f>COUNTIFS(缺陷明细!$A$2:$A$50000,$B$4,缺陷明细!$G$2:$G$50000,$C27,缺陷明细!$J$2:$J$50000,"评审",缺陷明细!$AA$2:$AA$50000,"&lt;&gt;丢弃",缺陷明细!$AA$2:$AA$50000,"&lt;&gt;设计如此",缺陷明细!$AA$2:$AA$50000,"&lt;&gt;重复Bug")</f>
        <v>0</v>
      </c>
      <c r="I27" s="161">
        <f>COUNTIFS(缺陷明细!$A$2:$A$50000,$B$4,缺陷明细!$G$2:$G$50000,$C27,缺陷明细!$Q$2:$Q$50000,"已关闭",缺陷明细!$J$2:$J$50000,"评审")</f>
        <v>0</v>
      </c>
      <c r="J27" s="161">
        <f>COUNTIFS(缺陷明细!$A$2:$A$50000,$B$4,缺陷明细!$G$2:$G$50000,$C27,缺陷明细!$J$2:$J$50000,"单元测试",缺陷明细!$AA$2:$AA$50000,"&lt;&gt;丢弃",缺陷明细!$AA$2:$AA$50000,"&lt;&gt;设计如此",缺陷明细!$AA$2:$AA$50000,"&lt;&gt;重复Bug")</f>
        <v>0</v>
      </c>
      <c r="K27" s="162">
        <f>COUNTIFS(缺陷明细!$A$2:$A$50000,$B$4,缺陷明细!$G$2:$G$50000,$C27,缺陷明细!$Q$2:$Q$50000,"已关闭",缺陷明细!$J$2:$J$50000,"单元测试")</f>
        <v>0</v>
      </c>
      <c r="L27" s="163"/>
      <c r="M27" s="164"/>
      <c r="N27" s="72">
        <f>COUNTIFS(缺陷明细!$A$2:$A$50000,$B$4,缺陷明细!$G$2:$G$50000,$C27,缺陷明细!$J$2:$J$50000,"系统测试案例评审",缺陷明细!$AA$2:$AA$50000,"&lt;&gt;丢弃",缺陷明细!$AA$2:$AA$50000,"&lt;&gt;设计如此",缺陷明细!$AA$2:$AA$50000,"&lt;&gt;重复Bug")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COUNTIFS(缺陷明细!$A$2:$A$50000,$B$4,缺陷明细!$G$2:$G$50000,$C27,缺陷明细!$J$2:$J$50000,"系统测试",缺陷明细!$AA$2:$AA$50000,"&lt;&gt;丢弃",缺陷明细!$AA$2:$AA$50000,"&lt;&gt;设计如此",缺陷明细!$AA$2:$AA$50000,"&lt;&gt;重复Bug")</f>
        <v>0</v>
      </c>
      <c r="Q27" s="72">
        <f>COUNTIFS(缺陷明细!$A$2:$A$50000,$B$4,缺陷明细!$G$2:$G$50000,$C27,缺陷明细!$Q$2:$Q$50000,"已关闭",缺陷明细!$J$2:$J$50000,"系统测试")</f>
        <v>0</v>
      </c>
      <c r="R27" s="72">
        <f>COUNTIFS(缺陷明细!$A$2:$A$50000,$B$4,缺陷明细!$G$2:$G$50000,$C27,缺陷明细!$AA$2:$AA$50000,"丢弃",缺陷明细!$J$2:$J$50000,"系统测试")+COUNTIFS(缺陷明细!$A$2:$A$50000,$B$4,缺陷明细!$G$2:$G$50000,$C27,缺陷明细!$AA$2:$AA$50000,"设计如此",缺陷明细!$J$2:$J$50000,"系统测试"+COUNTIFS(缺陷明细!$A$2:$A$50000,$B$4,缺陷明细!$G$2:$G$50000,$C27,缺陷明细!$AA$2:$AA$50000,"重复Bug",缺陷明细!$J$2:$J$50000,"系统测试"))</f>
        <v>0</v>
      </c>
      <c r="S27" s="72">
        <f>COUNTIFS(缺陷明细!$A$2:$A$50000,$B$4,缺陷明细!$G$2:$G$50000,$C27,缺陷明细!$J$2:$J$50000,"系统测试",缺陷明细!$K$2:$K$50000,"致命",缺陷明细!$AA$2:$AA$50000,"&lt;&gt;丢弃",缺陷明细!$AA$2:$AA$50000,"&lt;&gt;设计如此",缺陷明细!$AA$2:$AA$50000,"&lt;&gt;重复Bug")+COUNTIFS(缺陷明细!$A$2:$A$50000,$B$4,缺陷明细!$G$2:$G$50000,$C27,缺陷明细!$J$2:$J$50000,"系统测试",缺陷明细!$K$2:$K$50000,"严重",缺陷明细!$AA$2:$AA$50000,"&lt;&gt;丢弃",缺陷明细!$AA$2:$AA$50000,"&lt;&gt;设计如此",缺陷明细!$AA$2:$AA$50000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COUNTIFS(缺陷明细!$A$2:$A$50000,$B$4,缺陷明细!$G$2:$G$50000,$C27,缺陷明细!$J$2:$J$50000,"验收测试",缺陷明细!$AA$2:$AA$50000,"&lt;&gt;丢弃",缺陷明细!$AA$2:$AA$50000,"&lt;&gt;设计如此",缺陷明细!$AA$2:$AA$50000,"&lt;&gt;重复Bug")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A$2:$AA$50000,"&lt;&gt;丢弃",缺陷明细!$AA$2:$AA$50000,"&lt;&gt;设计如此",缺陷明细!$AA$2:$AA$50000,"&lt;&gt;重复Bug")+COUNTIFS(缺陷明细!$A$2:$A$50000,$B$4,缺陷明细!$G$2:$G$50000,$C27,缺陷明细!$J$2:$J$50000,"验收测试",缺陷明细!$K$2:$K$50000,"严重",缺陷明细!$AA$2:$AA$50000,"&lt;&gt;丢弃",缺陷明细!$AA$2:$AA$50000,"&lt;&gt;设计如此",缺陷明细!$AA$2:$AA$50000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COUNTIFS(缺陷明细!$A$2:$A$50000,$B$4,缺陷明细!$G$2:$G$50000,$C27,缺陷明细!$J$2:$J$50000,"运维测试",缺陷明细!$AA$2:$AA$50000,"&lt;&gt;丢弃",缺陷明细!$AA$2:$AA$50000,"&lt;&gt;设计如此",缺陷明细!$AA$2:$AA$50000,"&lt;&gt;重复Bug")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A$2:$AA$50000,"&lt;&gt;丢弃",缺陷明细!$AA$2:$AA$50000,"&lt;&gt;设计如此",缺陷明细!$AA$2:$AA$50000,"&lt;&gt;重复Bug")+COUNTIFS(缺陷明细!$A$2:$A$50000,$B$4,缺陷明细!$G$2:$G$50000,$C27,缺陷明细!$J$2:$J$50000,"运维测试",缺陷明细!$K$2:$K$50000,"严重",缺陷明细!$AA$2:$AA$50000,"&lt;&gt;丢弃",缺陷明细!$AA$2:$AA$50000,"&lt;&gt;设计如此",缺陷明细!$AA$2:$AA$50000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51"/>
    </row>
    <row r="28" spans="1:37">
      <c r="A28">
        <v>24</v>
      </c>
      <c r="B28" s="57"/>
      <c r="C28" s="58"/>
      <c r="D28" s="84"/>
      <c r="E28" s="82"/>
      <c r="F28" s="165"/>
      <c r="G28" s="166"/>
      <c r="H28" s="305">
        <f>COUNTIFS(缺陷明细!$A$2:$A$50000,$B$4,缺陷明细!$G$2:$G$50000,$C28,缺陷明细!$J$2:$J$50000,"评审",缺陷明细!$AA$2:$AA$50000,"&lt;&gt;丢弃",缺陷明细!$AA$2:$AA$50000,"&lt;&gt;设计如此",缺陷明细!$AA$2:$AA$50000,"&lt;&gt;重复Bug")</f>
        <v>0</v>
      </c>
      <c r="I28" s="161">
        <f>COUNTIFS(缺陷明细!$A$2:$A$50000,$B$4,缺陷明细!$G$2:$G$50000,$C28,缺陷明细!$Q$2:$Q$50000,"已关闭",缺陷明细!$J$2:$J$50000,"评审")</f>
        <v>0</v>
      </c>
      <c r="J28" s="161">
        <f>COUNTIFS(缺陷明细!$A$2:$A$50000,$B$4,缺陷明细!$G$2:$G$50000,$C28,缺陷明细!$J$2:$J$50000,"单元测试",缺陷明细!$AA$2:$AA$50000,"&lt;&gt;丢弃",缺陷明细!$AA$2:$AA$50000,"&lt;&gt;设计如此",缺陷明细!$AA$2:$AA$50000,"&lt;&gt;重复Bug")</f>
        <v>0</v>
      </c>
      <c r="K28" s="162">
        <f>COUNTIFS(缺陷明细!$A$2:$A$50000,$B$4,缺陷明细!$G$2:$G$50000,$C28,缺陷明细!$Q$2:$Q$50000,"已关闭",缺陷明细!$J$2:$J$50000,"单元测试")</f>
        <v>0</v>
      </c>
      <c r="L28" s="163"/>
      <c r="M28" s="164"/>
      <c r="N28" s="72">
        <f>COUNTIFS(缺陷明细!$A$2:$A$50000,$B$4,缺陷明细!$G$2:$G$50000,$C28,缺陷明细!$J$2:$J$50000,"系统测试案例评审",缺陷明细!$AA$2:$AA$50000,"&lt;&gt;丢弃",缺陷明细!$AA$2:$AA$50000,"&lt;&gt;设计如此",缺陷明细!$AA$2:$AA$50000,"&lt;&gt;重复Bug")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COUNTIFS(缺陷明细!$A$2:$A$50000,$B$4,缺陷明细!$G$2:$G$50000,$C28,缺陷明细!$J$2:$J$50000,"系统测试",缺陷明细!$AA$2:$AA$50000,"&lt;&gt;丢弃",缺陷明细!$AA$2:$AA$50000,"&lt;&gt;设计如此",缺陷明细!$AA$2:$AA$50000,"&lt;&gt;重复Bug")</f>
        <v>0</v>
      </c>
      <c r="Q28" s="72">
        <f>COUNTIFS(缺陷明细!$A$2:$A$50000,$B$4,缺陷明细!$G$2:$G$50000,$C28,缺陷明细!$Q$2:$Q$50000,"已关闭",缺陷明细!$J$2:$J$50000,"系统测试")</f>
        <v>0</v>
      </c>
      <c r="R28" s="72">
        <f>COUNTIFS(缺陷明细!$A$2:$A$50000,$B$4,缺陷明细!$G$2:$G$50000,$C28,缺陷明细!$AA$2:$AA$50000,"丢弃",缺陷明细!$J$2:$J$50000,"系统测试")+COUNTIFS(缺陷明细!$A$2:$A$50000,$B$4,缺陷明细!$G$2:$G$50000,$C28,缺陷明细!$AA$2:$AA$50000,"设计如此",缺陷明细!$J$2:$J$50000,"系统测试"+COUNTIFS(缺陷明细!$A$2:$A$50000,$B$4,缺陷明细!$G$2:$G$50000,$C28,缺陷明细!$AA$2:$AA$50000,"重复Bug",缺陷明细!$J$2:$J$50000,"系统测试"))</f>
        <v>0</v>
      </c>
      <c r="S28" s="72">
        <f>COUNTIFS(缺陷明细!$A$2:$A$50000,$B$4,缺陷明细!$G$2:$G$50000,$C28,缺陷明细!$J$2:$J$50000,"系统测试",缺陷明细!$K$2:$K$50000,"致命",缺陷明细!$AA$2:$AA$50000,"&lt;&gt;丢弃",缺陷明细!$AA$2:$AA$50000,"&lt;&gt;设计如此",缺陷明细!$AA$2:$AA$50000,"&lt;&gt;重复Bug")+COUNTIFS(缺陷明细!$A$2:$A$50000,$B$4,缺陷明细!$G$2:$G$50000,$C28,缺陷明细!$J$2:$J$50000,"系统测试",缺陷明细!$K$2:$K$50000,"严重",缺陷明细!$AA$2:$AA$50000,"&lt;&gt;丢弃",缺陷明细!$AA$2:$AA$50000,"&lt;&gt;设计如此",缺陷明细!$AA$2:$AA$50000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COUNTIFS(缺陷明细!$A$2:$A$50000,$B$4,缺陷明细!$G$2:$G$50000,$C28,缺陷明细!$J$2:$J$50000,"验收测试",缺陷明细!$AA$2:$AA$50000,"&lt;&gt;丢弃",缺陷明细!$AA$2:$AA$50000,"&lt;&gt;设计如此",缺陷明细!$AA$2:$AA$50000,"&lt;&gt;重复Bug")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A$2:$AA$50000,"&lt;&gt;丢弃",缺陷明细!$AA$2:$AA$50000,"&lt;&gt;设计如此",缺陷明细!$AA$2:$AA$50000,"&lt;&gt;重复Bug")+COUNTIFS(缺陷明细!$A$2:$A$50000,$B$4,缺陷明细!$G$2:$G$50000,$C28,缺陷明细!$J$2:$J$50000,"验收测试",缺陷明细!$K$2:$K$50000,"严重",缺陷明细!$AA$2:$AA$50000,"&lt;&gt;丢弃",缺陷明细!$AA$2:$AA$50000,"&lt;&gt;设计如此",缺陷明细!$AA$2:$AA$50000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COUNTIFS(缺陷明细!$A$2:$A$50000,$B$4,缺陷明细!$G$2:$G$50000,$C28,缺陷明细!$J$2:$J$50000,"运维测试",缺陷明细!$AA$2:$AA$50000,"&lt;&gt;丢弃",缺陷明细!$AA$2:$AA$50000,"&lt;&gt;设计如此",缺陷明细!$AA$2:$AA$50000,"&lt;&gt;重复Bug")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A$2:$AA$50000,"&lt;&gt;丢弃",缺陷明细!$AA$2:$AA$50000,"&lt;&gt;设计如此",缺陷明细!$AA$2:$AA$50000,"&lt;&gt;重复Bug")+COUNTIFS(缺陷明细!$A$2:$A$50000,$B$4,缺陷明细!$G$2:$G$50000,$C28,缺陷明细!$J$2:$J$50000,"运维测试",缺陷明细!$K$2:$K$50000,"严重",缺陷明细!$AA$2:$AA$50000,"&lt;&gt;丢弃",缺陷明细!$AA$2:$AA$50000,"&lt;&gt;设计如此",缺陷明细!$AA$2:$AA$50000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51"/>
    </row>
    <row r="29" spans="1:37">
      <c r="A29">
        <v>25</v>
      </c>
      <c r="B29" s="57"/>
      <c r="C29" s="58"/>
      <c r="D29" s="84"/>
      <c r="E29" s="82"/>
      <c r="F29" s="165"/>
      <c r="G29" s="166"/>
      <c r="H29" s="305">
        <f>COUNTIFS(缺陷明细!$A$2:$A$50000,$B$4,缺陷明细!$G$2:$G$50000,$C29,缺陷明细!$J$2:$J$50000,"评审",缺陷明细!$AA$2:$AA$50000,"&lt;&gt;丢弃",缺陷明细!$AA$2:$AA$50000,"&lt;&gt;设计如此",缺陷明细!$AA$2:$AA$50000,"&lt;&gt;重复Bug")</f>
        <v>0</v>
      </c>
      <c r="I29" s="161">
        <f>COUNTIFS(缺陷明细!$A$2:$A$50000,$B$4,缺陷明细!$G$2:$G$50000,$C29,缺陷明细!$Q$2:$Q$50000,"已关闭",缺陷明细!$J$2:$J$50000,"评审")</f>
        <v>0</v>
      </c>
      <c r="J29" s="161">
        <f>COUNTIFS(缺陷明细!$A$2:$A$50000,$B$4,缺陷明细!$G$2:$G$50000,$C29,缺陷明细!$J$2:$J$50000,"单元测试",缺陷明细!$AA$2:$AA$50000,"&lt;&gt;丢弃",缺陷明细!$AA$2:$AA$50000,"&lt;&gt;设计如此",缺陷明细!$AA$2:$AA$50000,"&lt;&gt;重复Bug")</f>
        <v>0</v>
      </c>
      <c r="K29" s="162">
        <f>COUNTIFS(缺陷明细!$A$2:$A$50000,$B$4,缺陷明细!$G$2:$G$50000,$C29,缺陷明细!$Q$2:$Q$50000,"已关闭",缺陷明细!$J$2:$J$50000,"单元测试")</f>
        <v>0</v>
      </c>
      <c r="L29" s="163"/>
      <c r="M29" s="164"/>
      <c r="N29" s="72">
        <f>COUNTIFS(缺陷明细!$A$2:$A$50000,$B$4,缺陷明细!$G$2:$G$50000,$C29,缺陷明细!$J$2:$J$50000,"系统测试案例评审",缺陷明细!$AA$2:$AA$50000,"&lt;&gt;丢弃",缺陷明细!$AA$2:$AA$50000,"&lt;&gt;设计如此",缺陷明细!$AA$2:$AA$50000,"&lt;&gt;重复Bug")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COUNTIFS(缺陷明细!$A$2:$A$50000,$B$4,缺陷明细!$G$2:$G$50000,$C29,缺陷明细!$J$2:$J$50000,"系统测试",缺陷明细!$AA$2:$AA$50000,"&lt;&gt;丢弃",缺陷明细!$AA$2:$AA$50000,"&lt;&gt;设计如此",缺陷明细!$AA$2:$AA$50000,"&lt;&gt;重复Bug")</f>
        <v>0</v>
      </c>
      <c r="Q29" s="72">
        <f>COUNTIFS(缺陷明细!$A$2:$A$50000,$B$4,缺陷明细!$G$2:$G$50000,$C29,缺陷明细!$Q$2:$Q$50000,"已关闭",缺陷明细!$J$2:$J$50000,"系统测试")</f>
        <v>0</v>
      </c>
      <c r="R29" s="72">
        <f>COUNTIFS(缺陷明细!$A$2:$A$50000,$B$4,缺陷明细!$G$2:$G$50000,$C29,缺陷明细!$AA$2:$AA$50000,"丢弃",缺陷明细!$J$2:$J$50000,"系统测试")+COUNTIFS(缺陷明细!$A$2:$A$50000,$B$4,缺陷明细!$G$2:$G$50000,$C29,缺陷明细!$AA$2:$AA$50000,"设计如此",缺陷明细!$J$2:$J$50000,"系统测试"+COUNTIFS(缺陷明细!$A$2:$A$50000,$B$4,缺陷明细!$G$2:$G$50000,$C29,缺陷明细!$AA$2:$AA$50000,"重复Bug",缺陷明细!$J$2:$J$50000,"系统测试"))</f>
        <v>0</v>
      </c>
      <c r="S29" s="72">
        <f>COUNTIFS(缺陷明细!$A$2:$A$50000,$B$4,缺陷明细!$G$2:$G$50000,$C29,缺陷明细!$J$2:$J$50000,"系统测试",缺陷明细!$K$2:$K$50000,"致命",缺陷明细!$AA$2:$AA$50000,"&lt;&gt;丢弃",缺陷明细!$AA$2:$AA$50000,"&lt;&gt;设计如此",缺陷明细!$AA$2:$AA$50000,"&lt;&gt;重复Bug")+COUNTIFS(缺陷明细!$A$2:$A$50000,$B$4,缺陷明细!$G$2:$G$50000,$C29,缺陷明细!$J$2:$J$50000,"系统测试",缺陷明细!$K$2:$K$50000,"严重",缺陷明细!$AA$2:$AA$50000,"&lt;&gt;丢弃",缺陷明细!$AA$2:$AA$50000,"&lt;&gt;设计如此",缺陷明细!$AA$2:$AA$50000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COUNTIFS(缺陷明细!$A$2:$A$50000,$B$4,缺陷明细!$G$2:$G$50000,$C29,缺陷明细!$J$2:$J$50000,"验收测试",缺陷明细!$AA$2:$AA$50000,"&lt;&gt;丢弃",缺陷明细!$AA$2:$AA$50000,"&lt;&gt;设计如此",缺陷明细!$AA$2:$AA$50000,"&lt;&gt;重复Bug")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A$2:$AA$50000,"&lt;&gt;丢弃",缺陷明细!$AA$2:$AA$50000,"&lt;&gt;设计如此",缺陷明细!$AA$2:$AA$50000,"&lt;&gt;重复Bug")+COUNTIFS(缺陷明细!$A$2:$A$50000,$B$4,缺陷明细!$G$2:$G$50000,$C29,缺陷明细!$J$2:$J$50000,"验收测试",缺陷明细!$K$2:$K$50000,"严重",缺陷明细!$AA$2:$AA$50000,"&lt;&gt;丢弃",缺陷明细!$AA$2:$AA$50000,"&lt;&gt;设计如此",缺陷明细!$AA$2:$AA$50000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COUNTIFS(缺陷明细!$A$2:$A$50000,$B$4,缺陷明细!$G$2:$G$50000,$C29,缺陷明细!$J$2:$J$50000,"运维测试",缺陷明细!$AA$2:$AA$50000,"&lt;&gt;丢弃",缺陷明细!$AA$2:$AA$50000,"&lt;&gt;设计如此",缺陷明细!$AA$2:$AA$50000,"&lt;&gt;重复Bug")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A$2:$AA$50000,"&lt;&gt;丢弃",缺陷明细!$AA$2:$AA$50000,"&lt;&gt;设计如此",缺陷明细!$AA$2:$AA$50000,"&lt;&gt;重复Bug")+COUNTIFS(缺陷明细!$A$2:$A$50000,$B$4,缺陷明细!$G$2:$G$50000,$C29,缺陷明细!$J$2:$J$50000,"运维测试",缺陷明细!$K$2:$K$50000,"严重",缺陷明细!$AA$2:$AA$50000,"&lt;&gt;丢弃",缺陷明细!$AA$2:$AA$50000,"&lt;&gt;设计如此",缺陷明细!$AA$2:$AA$50000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51"/>
    </row>
    <row r="30" spans="1:37">
      <c r="A30">
        <v>26</v>
      </c>
      <c r="B30" s="57"/>
      <c r="C30" s="58"/>
      <c r="D30" s="84"/>
      <c r="E30" s="82"/>
      <c r="F30" s="165"/>
      <c r="G30" s="166"/>
      <c r="H30" s="305">
        <f>COUNTIFS(缺陷明细!$A$2:$A$50000,$B$4,缺陷明细!$G$2:$G$50000,$C30,缺陷明细!$J$2:$J$50000,"评审",缺陷明细!$AA$2:$AA$50000,"&lt;&gt;丢弃",缺陷明细!$AA$2:$AA$50000,"&lt;&gt;设计如此",缺陷明细!$AA$2:$AA$50000,"&lt;&gt;重复Bug")</f>
        <v>0</v>
      </c>
      <c r="I30" s="161">
        <f>COUNTIFS(缺陷明细!$A$2:$A$50000,$B$4,缺陷明细!$G$2:$G$50000,$C30,缺陷明细!$Q$2:$Q$50000,"已关闭",缺陷明细!$J$2:$J$50000,"评审")</f>
        <v>0</v>
      </c>
      <c r="J30" s="161">
        <f>COUNTIFS(缺陷明细!$A$2:$A$50000,$B$4,缺陷明细!$G$2:$G$50000,$C30,缺陷明细!$J$2:$J$50000,"单元测试",缺陷明细!$AA$2:$AA$50000,"&lt;&gt;丢弃",缺陷明细!$AA$2:$AA$50000,"&lt;&gt;设计如此",缺陷明细!$AA$2:$AA$50000,"&lt;&gt;重复Bug")</f>
        <v>0</v>
      </c>
      <c r="K30" s="162">
        <f>COUNTIFS(缺陷明细!$A$2:$A$50000,$B$4,缺陷明细!$G$2:$G$50000,$C30,缺陷明细!$Q$2:$Q$50000,"已关闭",缺陷明细!$J$2:$J$50000,"单元测试")</f>
        <v>0</v>
      </c>
      <c r="L30" s="163"/>
      <c r="M30" s="164"/>
      <c r="N30" s="72">
        <f>COUNTIFS(缺陷明细!$A$2:$A$50000,$B$4,缺陷明细!$G$2:$G$50000,$C30,缺陷明细!$J$2:$J$50000,"系统测试案例评审",缺陷明细!$AA$2:$AA$50000,"&lt;&gt;丢弃",缺陷明细!$AA$2:$AA$50000,"&lt;&gt;设计如此",缺陷明细!$AA$2:$AA$50000,"&lt;&gt;重复Bug")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COUNTIFS(缺陷明细!$A$2:$A$50000,$B$4,缺陷明细!$G$2:$G$50000,$C30,缺陷明细!$J$2:$J$50000,"系统测试",缺陷明细!$AA$2:$AA$50000,"&lt;&gt;丢弃",缺陷明细!$AA$2:$AA$50000,"&lt;&gt;设计如此",缺陷明细!$AA$2:$AA$50000,"&lt;&gt;重复Bug")</f>
        <v>0</v>
      </c>
      <c r="Q30" s="72">
        <f>COUNTIFS(缺陷明细!$A$2:$A$50000,$B$4,缺陷明细!$G$2:$G$50000,$C30,缺陷明细!$Q$2:$Q$50000,"已关闭",缺陷明细!$J$2:$J$50000,"系统测试")</f>
        <v>0</v>
      </c>
      <c r="R30" s="72">
        <f>COUNTIFS(缺陷明细!$A$2:$A$50000,$B$4,缺陷明细!$G$2:$G$50000,$C30,缺陷明细!$AA$2:$AA$50000,"丢弃",缺陷明细!$J$2:$J$50000,"系统测试")+COUNTIFS(缺陷明细!$A$2:$A$50000,$B$4,缺陷明细!$G$2:$G$50000,$C30,缺陷明细!$AA$2:$AA$50000,"设计如此",缺陷明细!$J$2:$J$50000,"系统测试"+COUNTIFS(缺陷明细!$A$2:$A$50000,$B$4,缺陷明细!$G$2:$G$50000,$C30,缺陷明细!$AA$2:$AA$50000,"重复Bug",缺陷明细!$J$2:$J$50000,"系统测试"))</f>
        <v>0</v>
      </c>
      <c r="S30" s="72">
        <f>COUNTIFS(缺陷明细!$A$2:$A$50000,$B$4,缺陷明细!$G$2:$G$50000,$C30,缺陷明细!$J$2:$J$50000,"系统测试",缺陷明细!$K$2:$K$50000,"致命",缺陷明细!$AA$2:$AA$50000,"&lt;&gt;丢弃",缺陷明细!$AA$2:$AA$50000,"&lt;&gt;设计如此",缺陷明细!$AA$2:$AA$50000,"&lt;&gt;重复Bug")+COUNTIFS(缺陷明细!$A$2:$A$50000,$B$4,缺陷明细!$G$2:$G$50000,$C30,缺陷明细!$J$2:$J$50000,"系统测试",缺陷明细!$K$2:$K$50000,"严重",缺陷明细!$AA$2:$AA$50000,"&lt;&gt;丢弃",缺陷明细!$AA$2:$AA$50000,"&lt;&gt;设计如此",缺陷明细!$AA$2:$AA$50000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COUNTIFS(缺陷明细!$A$2:$A$50000,$B$4,缺陷明细!$G$2:$G$50000,$C30,缺陷明细!$J$2:$J$50000,"验收测试",缺陷明细!$AA$2:$AA$50000,"&lt;&gt;丢弃",缺陷明细!$AA$2:$AA$50000,"&lt;&gt;设计如此",缺陷明细!$AA$2:$AA$50000,"&lt;&gt;重复Bug")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A$2:$AA$50000,"&lt;&gt;丢弃",缺陷明细!$AA$2:$AA$50000,"&lt;&gt;设计如此",缺陷明细!$AA$2:$AA$50000,"&lt;&gt;重复Bug")+COUNTIFS(缺陷明细!$A$2:$A$50000,$B$4,缺陷明细!$G$2:$G$50000,$C30,缺陷明细!$J$2:$J$50000,"验收测试",缺陷明细!$K$2:$K$50000,"严重",缺陷明细!$AA$2:$AA$50000,"&lt;&gt;丢弃",缺陷明细!$AA$2:$AA$50000,"&lt;&gt;设计如此",缺陷明细!$AA$2:$AA$50000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COUNTIFS(缺陷明细!$A$2:$A$50000,$B$4,缺陷明细!$G$2:$G$50000,$C30,缺陷明细!$J$2:$J$50000,"运维测试",缺陷明细!$AA$2:$AA$50000,"&lt;&gt;丢弃",缺陷明细!$AA$2:$AA$50000,"&lt;&gt;设计如此",缺陷明细!$AA$2:$AA$50000,"&lt;&gt;重复Bug")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A$2:$AA$50000,"&lt;&gt;丢弃",缺陷明细!$AA$2:$AA$50000,"&lt;&gt;设计如此",缺陷明细!$AA$2:$AA$50000,"&lt;&gt;重复Bug")+COUNTIFS(缺陷明细!$A$2:$A$50000,$B$4,缺陷明细!$G$2:$G$50000,$C30,缺陷明细!$J$2:$J$50000,"运维测试",缺陷明细!$K$2:$K$50000,"严重",缺陷明细!$AA$2:$AA$50000,"&lt;&gt;丢弃",缺陷明细!$AA$2:$AA$50000,"&lt;&gt;设计如此",缺陷明细!$AA$2:$AA$50000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51"/>
    </row>
    <row r="31" spans="1:37">
      <c r="A31">
        <v>27</v>
      </c>
      <c r="B31" s="57"/>
      <c r="C31" s="58"/>
      <c r="D31" s="84"/>
      <c r="E31" s="82"/>
      <c r="F31" s="165"/>
      <c r="G31" s="166"/>
      <c r="H31" s="305">
        <f>COUNTIFS(缺陷明细!$A$2:$A$50000,$B$4,缺陷明细!$G$2:$G$50000,$C31,缺陷明细!$J$2:$J$50000,"评审",缺陷明细!$AA$2:$AA$50000,"&lt;&gt;丢弃",缺陷明细!$AA$2:$AA$50000,"&lt;&gt;设计如此",缺陷明细!$AA$2:$AA$50000,"&lt;&gt;重复Bug")</f>
        <v>0</v>
      </c>
      <c r="I31" s="161">
        <f>COUNTIFS(缺陷明细!$A$2:$A$50000,$B$4,缺陷明细!$G$2:$G$50000,$C31,缺陷明细!$Q$2:$Q$50000,"已关闭",缺陷明细!$J$2:$J$50000,"评审")</f>
        <v>0</v>
      </c>
      <c r="J31" s="161">
        <f>COUNTIFS(缺陷明细!$A$2:$A$50000,$B$4,缺陷明细!$G$2:$G$50000,$C31,缺陷明细!$J$2:$J$50000,"单元测试",缺陷明细!$AA$2:$AA$50000,"&lt;&gt;丢弃",缺陷明细!$AA$2:$AA$50000,"&lt;&gt;设计如此",缺陷明细!$AA$2:$AA$50000,"&lt;&gt;重复Bug")</f>
        <v>0</v>
      </c>
      <c r="K31" s="162">
        <f>COUNTIFS(缺陷明细!$A$2:$A$50000,$B$4,缺陷明细!$G$2:$G$50000,$C31,缺陷明细!$Q$2:$Q$50000,"已关闭",缺陷明细!$J$2:$J$50000,"单元测试")</f>
        <v>0</v>
      </c>
      <c r="L31" s="163"/>
      <c r="M31" s="164"/>
      <c r="N31" s="72">
        <f>COUNTIFS(缺陷明细!$A$2:$A$50000,$B$4,缺陷明细!$G$2:$G$50000,$C31,缺陷明细!$J$2:$J$50000,"系统测试案例评审",缺陷明细!$AA$2:$AA$50000,"&lt;&gt;丢弃",缺陷明细!$AA$2:$AA$50000,"&lt;&gt;设计如此",缺陷明细!$AA$2:$AA$50000,"&lt;&gt;重复Bug")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COUNTIFS(缺陷明细!$A$2:$A$50000,$B$4,缺陷明细!$G$2:$G$50000,$C31,缺陷明细!$J$2:$J$50000,"系统测试",缺陷明细!$AA$2:$AA$50000,"&lt;&gt;丢弃",缺陷明细!$AA$2:$AA$50000,"&lt;&gt;设计如此",缺陷明细!$AA$2:$AA$50000,"&lt;&gt;重复Bug")</f>
        <v>0</v>
      </c>
      <c r="Q31" s="72">
        <f>COUNTIFS(缺陷明细!$A$2:$A$50000,$B$4,缺陷明细!$G$2:$G$50000,$C31,缺陷明细!$Q$2:$Q$50000,"已关闭",缺陷明细!$J$2:$J$50000,"系统测试")</f>
        <v>0</v>
      </c>
      <c r="R31" s="72">
        <f>COUNTIFS(缺陷明细!$A$2:$A$50000,$B$4,缺陷明细!$G$2:$G$50000,$C31,缺陷明细!$AA$2:$AA$50000,"丢弃",缺陷明细!$J$2:$J$50000,"系统测试")+COUNTIFS(缺陷明细!$A$2:$A$50000,$B$4,缺陷明细!$G$2:$G$50000,$C31,缺陷明细!$AA$2:$AA$50000,"设计如此",缺陷明细!$J$2:$J$50000,"系统测试"+COUNTIFS(缺陷明细!$A$2:$A$50000,$B$4,缺陷明细!$G$2:$G$50000,$C31,缺陷明细!$AA$2:$AA$50000,"重复Bug",缺陷明细!$J$2:$J$50000,"系统测试"))</f>
        <v>0</v>
      </c>
      <c r="S31" s="72">
        <f>COUNTIFS(缺陷明细!$A$2:$A$50000,$B$4,缺陷明细!$G$2:$G$50000,$C31,缺陷明细!$J$2:$J$50000,"系统测试",缺陷明细!$K$2:$K$50000,"致命",缺陷明细!$AA$2:$AA$50000,"&lt;&gt;丢弃",缺陷明细!$AA$2:$AA$50000,"&lt;&gt;设计如此",缺陷明细!$AA$2:$AA$50000,"&lt;&gt;重复Bug")+COUNTIFS(缺陷明细!$A$2:$A$50000,$B$4,缺陷明细!$G$2:$G$50000,$C31,缺陷明细!$J$2:$J$50000,"系统测试",缺陷明细!$K$2:$K$50000,"严重",缺陷明细!$AA$2:$AA$50000,"&lt;&gt;丢弃",缺陷明细!$AA$2:$AA$50000,"&lt;&gt;设计如此",缺陷明细!$AA$2:$AA$50000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COUNTIFS(缺陷明细!$A$2:$A$50000,$B$4,缺陷明细!$G$2:$G$50000,$C31,缺陷明细!$J$2:$J$50000,"验收测试",缺陷明细!$AA$2:$AA$50000,"&lt;&gt;丢弃",缺陷明细!$AA$2:$AA$50000,"&lt;&gt;设计如此",缺陷明细!$AA$2:$AA$50000,"&lt;&gt;重复Bug")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A$2:$AA$50000,"&lt;&gt;丢弃",缺陷明细!$AA$2:$AA$50000,"&lt;&gt;设计如此",缺陷明细!$AA$2:$AA$50000,"&lt;&gt;重复Bug")+COUNTIFS(缺陷明细!$A$2:$A$50000,$B$4,缺陷明细!$G$2:$G$50000,$C31,缺陷明细!$J$2:$J$50000,"验收测试",缺陷明细!$K$2:$K$50000,"严重",缺陷明细!$AA$2:$AA$50000,"&lt;&gt;丢弃",缺陷明细!$AA$2:$AA$50000,"&lt;&gt;设计如此",缺陷明细!$AA$2:$AA$50000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COUNTIFS(缺陷明细!$A$2:$A$50000,$B$4,缺陷明细!$G$2:$G$50000,$C31,缺陷明细!$J$2:$J$50000,"运维测试",缺陷明细!$AA$2:$AA$50000,"&lt;&gt;丢弃",缺陷明细!$AA$2:$AA$50000,"&lt;&gt;设计如此",缺陷明细!$AA$2:$AA$50000,"&lt;&gt;重复Bug")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A$2:$AA$50000,"&lt;&gt;丢弃",缺陷明细!$AA$2:$AA$50000,"&lt;&gt;设计如此",缺陷明细!$AA$2:$AA$50000,"&lt;&gt;重复Bug")+COUNTIFS(缺陷明细!$A$2:$A$50000,$B$4,缺陷明细!$G$2:$G$50000,$C31,缺陷明细!$J$2:$J$50000,"运维测试",缺陷明细!$K$2:$K$50000,"严重",缺陷明细!$AA$2:$AA$50000,"&lt;&gt;丢弃",缺陷明细!$AA$2:$AA$50000,"&lt;&gt;设计如此",缺陷明细!$AA$2:$AA$50000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51"/>
    </row>
    <row r="32" spans="1:37">
      <c r="A32">
        <v>28</v>
      </c>
      <c r="B32" s="57"/>
      <c r="C32" s="58"/>
      <c r="D32" s="84"/>
      <c r="E32" s="82"/>
      <c r="F32" s="165"/>
      <c r="G32" s="166"/>
      <c r="H32" s="305">
        <f>COUNTIFS(缺陷明细!$A$2:$A$50000,$B$4,缺陷明细!$G$2:$G$50000,$C32,缺陷明细!$J$2:$J$50000,"评审",缺陷明细!$AA$2:$AA$50000,"&lt;&gt;丢弃",缺陷明细!$AA$2:$AA$50000,"&lt;&gt;设计如此",缺陷明细!$AA$2:$AA$50000,"&lt;&gt;重复Bug")</f>
        <v>0</v>
      </c>
      <c r="I32" s="161">
        <f>COUNTIFS(缺陷明细!$A$2:$A$50000,$B$4,缺陷明细!$G$2:$G$50000,$C32,缺陷明细!$Q$2:$Q$50000,"已关闭",缺陷明细!$J$2:$J$50000,"评审")</f>
        <v>0</v>
      </c>
      <c r="J32" s="161">
        <f>COUNTIFS(缺陷明细!$A$2:$A$50000,$B$4,缺陷明细!$G$2:$G$50000,$C32,缺陷明细!$J$2:$J$50000,"单元测试",缺陷明细!$AA$2:$AA$50000,"&lt;&gt;丢弃",缺陷明细!$AA$2:$AA$50000,"&lt;&gt;设计如此",缺陷明细!$AA$2:$AA$50000,"&lt;&gt;重复Bug")</f>
        <v>0</v>
      </c>
      <c r="K32" s="162">
        <f>COUNTIFS(缺陷明细!$A$2:$A$50000,$B$4,缺陷明细!$G$2:$G$50000,$C32,缺陷明细!$Q$2:$Q$50000,"已关闭",缺陷明细!$J$2:$J$50000,"单元测试")</f>
        <v>0</v>
      </c>
      <c r="L32" s="163"/>
      <c r="M32" s="164"/>
      <c r="N32" s="72">
        <f>COUNTIFS(缺陷明细!$A$2:$A$50000,$B$4,缺陷明细!$G$2:$G$50000,$C32,缺陷明细!$J$2:$J$50000,"系统测试案例评审",缺陷明细!$AA$2:$AA$50000,"&lt;&gt;丢弃",缺陷明细!$AA$2:$AA$50000,"&lt;&gt;设计如此",缺陷明细!$AA$2:$AA$50000,"&lt;&gt;重复Bug")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COUNTIFS(缺陷明细!$A$2:$A$50000,$B$4,缺陷明细!$G$2:$G$50000,$C32,缺陷明细!$J$2:$J$50000,"系统测试",缺陷明细!$AA$2:$AA$50000,"&lt;&gt;丢弃",缺陷明细!$AA$2:$AA$50000,"&lt;&gt;设计如此",缺陷明细!$AA$2:$AA$50000,"&lt;&gt;重复Bug")</f>
        <v>0</v>
      </c>
      <c r="Q32" s="72">
        <f>COUNTIFS(缺陷明细!$A$2:$A$50000,$B$4,缺陷明细!$G$2:$G$50000,$C32,缺陷明细!$Q$2:$Q$50000,"已关闭",缺陷明细!$J$2:$J$50000,"系统测试")</f>
        <v>0</v>
      </c>
      <c r="R32" s="72">
        <f>COUNTIFS(缺陷明细!$A$2:$A$50000,$B$4,缺陷明细!$G$2:$G$50000,$C32,缺陷明细!$AA$2:$AA$50000,"丢弃",缺陷明细!$J$2:$J$50000,"系统测试")+COUNTIFS(缺陷明细!$A$2:$A$50000,$B$4,缺陷明细!$G$2:$G$50000,$C32,缺陷明细!$AA$2:$AA$50000,"设计如此",缺陷明细!$J$2:$J$50000,"系统测试"+COUNTIFS(缺陷明细!$A$2:$A$50000,$B$4,缺陷明细!$G$2:$G$50000,$C32,缺陷明细!$AA$2:$AA$50000,"重复Bug",缺陷明细!$J$2:$J$50000,"系统测试"))</f>
        <v>0</v>
      </c>
      <c r="S32" s="72">
        <f>COUNTIFS(缺陷明细!$A$2:$A$50000,$B$4,缺陷明细!$G$2:$G$50000,$C32,缺陷明细!$J$2:$J$50000,"系统测试",缺陷明细!$K$2:$K$50000,"致命",缺陷明细!$AA$2:$AA$50000,"&lt;&gt;丢弃",缺陷明细!$AA$2:$AA$50000,"&lt;&gt;设计如此",缺陷明细!$AA$2:$AA$50000,"&lt;&gt;重复Bug")+COUNTIFS(缺陷明细!$A$2:$A$50000,$B$4,缺陷明细!$G$2:$G$50000,$C32,缺陷明细!$J$2:$J$50000,"系统测试",缺陷明细!$K$2:$K$50000,"严重",缺陷明细!$AA$2:$AA$50000,"&lt;&gt;丢弃",缺陷明细!$AA$2:$AA$50000,"&lt;&gt;设计如此",缺陷明细!$AA$2:$AA$50000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COUNTIFS(缺陷明细!$A$2:$A$50000,$B$4,缺陷明细!$G$2:$G$50000,$C32,缺陷明细!$J$2:$J$50000,"验收测试",缺陷明细!$AA$2:$AA$50000,"&lt;&gt;丢弃",缺陷明细!$AA$2:$AA$50000,"&lt;&gt;设计如此",缺陷明细!$AA$2:$AA$50000,"&lt;&gt;重复Bug")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A$2:$AA$50000,"&lt;&gt;丢弃",缺陷明细!$AA$2:$AA$50000,"&lt;&gt;设计如此",缺陷明细!$AA$2:$AA$50000,"&lt;&gt;重复Bug")+COUNTIFS(缺陷明细!$A$2:$A$50000,$B$4,缺陷明细!$G$2:$G$50000,$C32,缺陷明细!$J$2:$J$50000,"验收测试",缺陷明细!$K$2:$K$50000,"严重",缺陷明细!$AA$2:$AA$50000,"&lt;&gt;丢弃",缺陷明细!$AA$2:$AA$50000,"&lt;&gt;设计如此",缺陷明细!$AA$2:$AA$50000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COUNTIFS(缺陷明细!$A$2:$A$50000,$B$4,缺陷明细!$G$2:$G$50000,$C32,缺陷明细!$J$2:$J$50000,"运维测试",缺陷明细!$AA$2:$AA$50000,"&lt;&gt;丢弃",缺陷明细!$AA$2:$AA$50000,"&lt;&gt;设计如此",缺陷明细!$AA$2:$AA$50000,"&lt;&gt;重复Bug")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A$2:$AA$50000,"&lt;&gt;丢弃",缺陷明细!$AA$2:$AA$50000,"&lt;&gt;设计如此",缺陷明细!$AA$2:$AA$50000,"&lt;&gt;重复Bug")+COUNTIFS(缺陷明细!$A$2:$A$50000,$B$4,缺陷明细!$G$2:$G$50000,$C32,缺陷明细!$J$2:$J$50000,"运维测试",缺陷明细!$K$2:$K$50000,"严重",缺陷明细!$AA$2:$AA$50000,"&lt;&gt;丢弃",缺陷明细!$AA$2:$AA$50000,"&lt;&gt;设计如此",缺陷明细!$AA$2:$AA$50000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51"/>
    </row>
    <row r="33" spans="1:37">
      <c r="A33">
        <v>29</v>
      </c>
      <c r="B33" s="57"/>
      <c r="C33" s="58"/>
      <c r="D33" s="84"/>
      <c r="E33" s="82"/>
      <c r="F33" s="165"/>
      <c r="G33" s="166"/>
      <c r="H33" s="305">
        <f>COUNTIFS(缺陷明细!$A$2:$A$50000,$B$4,缺陷明细!$G$2:$G$50000,$C33,缺陷明细!$J$2:$J$50000,"评审",缺陷明细!$AA$2:$AA$50000,"&lt;&gt;丢弃",缺陷明细!$AA$2:$AA$50000,"&lt;&gt;设计如此",缺陷明细!$AA$2:$AA$50000,"&lt;&gt;重复Bug")</f>
        <v>0</v>
      </c>
      <c r="I33" s="161">
        <f>COUNTIFS(缺陷明细!$A$2:$A$50000,$B$4,缺陷明细!$G$2:$G$50000,$C33,缺陷明细!$Q$2:$Q$50000,"已关闭",缺陷明细!$J$2:$J$50000,"评审")</f>
        <v>0</v>
      </c>
      <c r="J33" s="161">
        <f>COUNTIFS(缺陷明细!$A$2:$A$50000,$B$4,缺陷明细!$G$2:$G$50000,$C33,缺陷明细!$J$2:$J$50000,"单元测试",缺陷明细!$AA$2:$AA$50000,"&lt;&gt;丢弃",缺陷明细!$AA$2:$AA$50000,"&lt;&gt;设计如此",缺陷明细!$AA$2:$AA$50000,"&lt;&gt;重复Bug")</f>
        <v>0</v>
      </c>
      <c r="K33" s="162">
        <f>COUNTIFS(缺陷明细!$A$2:$A$50000,$B$4,缺陷明细!$G$2:$G$50000,$C33,缺陷明细!$Q$2:$Q$50000,"已关闭",缺陷明细!$J$2:$J$50000,"单元测试")</f>
        <v>0</v>
      </c>
      <c r="L33" s="163"/>
      <c r="M33" s="164"/>
      <c r="N33" s="72">
        <f>COUNTIFS(缺陷明细!$A$2:$A$50000,$B$4,缺陷明细!$G$2:$G$50000,$C33,缺陷明细!$J$2:$J$50000,"系统测试案例评审",缺陷明细!$AA$2:$AA$50000,"&lt;&gt;丢弃",缺陷明细!$AA$2:$AA$50000,"&lt;&gt;设计如此",缺陷明细!$AA$2:$AA$50000,"&lt;&gt;重复Bug")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COUNTIFS(缺陷明细!$A$2:$A$50000,$B$4,缺陷明细!$G$2:$G$50000,$C33,缺陷明细!$J$2:$J$50000,"系统测试",缺陷明细!$AA$2:$AA$50000,"&lt;&gt;丢弃",缺陷明细!$AA$2:$AA$50000,"&lt;&gt;设计如此",缺陷明细!$AA$2:$AA$50000,"&lt;&gt;重复Bug")</f>
        <v>0</v>
      </c>
      <c r="Q33" s="72">
        <f>COUNTIFS(缺陷明细!$A$2:$A$50000,$B$4,缺陷明细!$G$2:$G$50000,$C33,缺陷明细!$Q$2:$Q$50000,"已关闭",缺陷明细!$J$2:$J$50000,"系统测试")</f>
        <v>0</v>
      </c>
      <c r="R33" s="72">
        <f>COUNTIFS(缺陷明细!$A$2:$A$50000,$B$4,缺陷明细!$G$2:$G$50000,$C33,缺陷明细!$AA$2:$AA$50000,"丢弃",缺陷明细!$J$2:$J$50000,"系统测试")+COUNTIFS(缺陷明细!$A$2:$A$50000,$B$4,缺陷明细!$G$2:$G$50000,$C33,缺陷明细!$AA$2:$AA$50000,"设计如此",缺陷明细!$J$2:$J$50000,"系统测试"+COUNTIFS(缺陷明细!$A$2:$A$50000,$B$4,缺陷明细!$G$2:$G$50000,$C33,缺陷明细!$AA$2:$AA$50000,"重复Bug",缺陷明细!$J$2:$J$50000,"系统测试"))</f>
        <v>0</v>
      </c>
      <c r="S33" s="72">
        <f>COUNTIFS(缺陷明细!$A$2:$A$50000,$B$4,缺陷明细!$G$2:$G$50000,$C33,缺陷明细!$J$2:$J$50000,"系统测试",缺陷明细!$K$2:$K$50000,"致命",缺陷明细!$AA$2:$AA$50000,"&lt;&gt;丢弃",缺陷明细!$AA$2:$AA$50000,"&lt;&gt;设计如此",缺陷明细!$AA$2:$AA$50000,"&lt;&gt;重复Bug")+COUNTIFS(缺陷明细!$A$2:$A$50000,$B$4,缺陷明细!$G$2:$G$50000,$C33,缺陷明细!$J$2:$J$50000,"系统测试",缺陷明细!$K$2:$K$50000,"严重",缺陷明细!$AA$2:$AA$50000,"&lt;&gt;丢弃",缺陷明细!$AA$2:$AA$50000,"&lt;&gt;设计如此",缺陷明细!$AA$2:$AA$50000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COUNTIFS(缺陷明细!$A$2:$A$50000,$B$4,缺陷明细!$G$2:$G$50000,$C33,缺陷明细!$J$2:$J$50000,"验收测试",缺陷明细!$AA$2:$AA$50000,"&lt;&gt;丢弃",缺陷明细!$AA$2:$AA$50000,"&lt;&gt;设计如此",缺陷明细!$AA$2:$AA$50000,"&lt;&gt;重复Bug")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A$2:$AA$50000,"&lt;&gt;丢弃",缺陷明细!$AA$2:$AA$50000,"&lt;&gt;设计如此",缺陷明细!$AA$2:$AA$50000,"&lt;&gt;重复Bug")+COUNTIFS(缺陷明细!$A$2:$A$50000,$B$4,缺陷明细!$G$2:$G$50000,$C33,缺陷明细!$J$2:$J$50000,"验收测试",缺陷明细!$K$2:$K$50000,"严重",缺陷明细!$AA$2:$AA$50000,"&lt;&gt;丢弃",缺陷明细!$AA$2:$AA$50000,"&lt;&gt;设计如此",缺陷明细!$AA$2:$AA$50000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COUNTIFS(缺陷明细!$A$2:$A$50000,$B$4,缺陷明细!$G$2:$G$50000,$C33,缺陷明细!$J$2:$J$50000,"运维测试",缺陷明细!$AA$2:$AA$50000,"&lt;&gt;丢弃",缺陷明细!$AA$2:$AA$50000,"&lt;&gt;设计如此",缺陷明细!$AA$2:$AA$50000,"&lt;&gt;重复Bug")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A$2:$AA$50000,"&lt;&gt;丢弃",缺陷明细!$AA$2:$AA$50000,"&lt;&gt;设计如此",缺陷明细!$AA$2:$AA$50000,"&lt;&gt;重复Bug")+COUNTIFS(缺陷明细!$A$2:$A$50000,$B$4,缺陷明细!$G$2:$G$50000,$C33,缺陷明细!$J$2:$J$50000,"运维测试",缺陷明细!$K$2:$K$50000,"严重",缺陷明细!$AA$2:$AA$50000,"&lt;&gt;丢弃",缺陷明细!$AA$2:$AA$50000,"&lt;&gt;设计如此",缺陷明细!$AA$2:$AA$50000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51"/>
    </row>
    <row r="34" spans="1:37">
      <c r="A34">
        <v>30</v>
      </c>
      <c r="B34" s="57"/>
      <c r="C34" s="58"/>
      <c r="D34" s="84"/>
      <c r="E34" s="82"/>
      <c r="F34" s="165"/>
      <c r="G34" s="166"/>
      <c r="H34" s="305">
        <f>COUNTIFS(缺陷明细!$A$2:$A$50000,$B$4,缺陷明细!$G$2:$G$50000,$C34,缺陷明细!$J$2:$J$50000,"评审",缺陷明细!$AA$2:$AA$50000,"&lt;&gt;丢弃",缺陷明细!$AA$2:$AA$50000,"&lt;&gt;设计如此",缺陷明细!$AA$2:$AA$50000,"&lt;&gt;重复Bug")</f>
        <v>0</v>
      </c>
      <c r="I34" s="161">
        <f>COUNTIFS(缺陷明细!$A$2:$A$50000,$B$4,缺陷明细!$G$2:$G$50000,$C34,缺陷明细!$Q$2:$Q$50000,"已关闭",缺陷明细!$J$2:$J$50000,"评审")</f>
        <v>0</v>
      </c>
      <c r="J34" s="161">
        <f>COUNTIFS(缺陷明细!$A$2:$A$50000,$B$4,缺陷明细!$G$2:$G$50000,$C34,缺陷明细!$J$2:$J$50000,"单元测试",缺陷明细!$AA$2:$AA$50000,"&lt;&gt;丢弃",缺陷明细!$AA$2:$AA$50000,"&lt;&gt;设计如此",缺陷明细!$AA$2:$AA$50000,"&lt;&gt;重复Bug")</f>
        <v>0</v>
      </c>
      <c r="K34" s="162">
        <f>COUNTIFS(缺陷明细!$A$2:$A$50000,$B$4,缺陷明细!$G$2:$G$50000,$C34,缺陷明细!$Q$2:$Q$50000,"已关闭",缺陷明细!$J$2:$J$50000,"单元测试")</f>
        <v>0</v>
      </c>
      <c r="L34" s="163"/>
      <c r="M34" s="164"/>
      <c r="N34" s="72">
        <f>COUNTIFS(缺陷明细!$A$2:$A$50000,$B$4,缺陷明细!$G$2:$G$50000,$C34,缺陷明细!$J$2:$J$50000,"系统测试案例评审",缺陷明细!$AA$2:$AA$50000,"&lt;&gt;丢弃",缺陷明细!$AA$2:$AA$50000,"&lt;&gt;设计如此",缺陷明细!$AA$2:$AA$50000,"&lt;&gt;重复Bug")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COUNTIFS(缺陷明细!$A$2:$A$50000,$B$4,缺陷明细!$G$2:$G$50000,$C34,缺陷明细!$J$2:$J$50000,"系统测试",缺陷明细!$AA$2:$AA$50000,"&lt;&gt;丢弃",缺陷明细!$AA$2:$AA$50000,"&lt;&gt;设计如此",缺陷明细!$AA$2:$AA$50000,"&lt;&gt;重复Bug")</f>
        <v>0</v>
      </c>
      <c r="Q34" s="72">
        <f>COUNTIFS(缺陷明细!$A$2:$A$50000,$B$4,缺陷明细!$G$2:$G$50000,$C34,缺陷明细!$Q$2:$Q$50000,"已关闭",缺陷明细!$J$2:$J$50000,"系统测试")</f>
        <v>0</v>
      </c>
      <c r="R34" s="72">
        <f>COUNTIFS(缺陷明细!$A$2:$A$50000,$B$4,缺陷明细!$G$2:$G$50000,$C34,缺陷明细!$AA$2:$AA$50000,"丢弃",缺陷明细!$J$2:$J$50000,"系统测试")+COUNTIFS(缺陷明细!$A$2:$A$50000,$B$4,缺陷明细!$G$2:$G$50000,$C34,缺陷明细!$AA$2:$AA$50000,"设计如此",缺陷明细!$J$2:$J$50000,"系统测试"+COUNTIFS(缺陷明细!$A$2:$A$50000,$B$4,缺陷明细!$G$2:$G$50000,$C34,缺陷明细!$AA$2:$AA$50000,"重复Bug",缺陷明细!$J$2:$J$50000,"系统测试"))</f>
        <v>0</v>
      </c>
      <c r="S34" s="72">
        <f>COUNTIFS(缺陷明细!$A$2:$A$50000,$B$4,缺陷明细!$G$2:$G$50000,$C34,缺陷明细!$J$2:$J$50000,"系统测试",缺陷明细!$K$2:$K$50000,"致命",缺陷明细!$AA$2:$AA$50000,"&lt;&gt;丢弃",缺陷明细!$AA$2:$AA$50000,"&lt;&gt;设计如此",缺陷明细!$AA$2:$AA$50000,"&lt;&gt;重复Bug")+COUNTIFS(缺陷明细!$A$2:$A$50000,$B$4,缺陷明细!$G$2:$G$50000,$C34,缺陷明细!$J$2:$J$50000,"系统测试",缺陷明细!$K$2:$K$50000,"严重",缺陷明细!$AA$2:$AA$50000,"&lt;&gt;丢弃",缺陷明细!$AA$2:$AA$50000,"&lt;&gt;设计如此",缺陷明细!$AA$2:$AA$50000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COUNTIFS(缺陷明细!$A$2:$A$50000,$B$4,缺陷明细!$G$2:$G$50000,$C34,缺陷明细!$J$2:$J$50000,"验收测试",缺陷明细!$AA$2:$AA$50000,"&lt;&gt;丢弃",缺陷明细!$AA$2:$AA$50000,"&lt;&gt;设计如此",缺陷明细!$AA$2:$AA$50000,"&lt;&gt;重复Bug")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A$2:$AA$50000,"&lt;&gt;丢弃",缺陷明细!$AA$2:$AA$50000,"&lt;&gt;设计如此",缺陷明细!$AA$2:$AA$50000,"&lt;&gt;重复Bug")+COUNTIFS(缺陷明细!$A$2:$A$50000,$B$4,缺陷明细!$G$2:$G$50000,$C34,缺陷明细!$J$2:$J$50000,"验收测试",缺陷明细!$K$2:$K$50000,"严重",缺陷明细!$AA$2:$AA$50000,"&lt;&gt;丢弃",缺陷明细!$AA$2:$AA$50000,"&lt;&gt;设计如此",缺陷明细!$AA$2:$AA$50000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COUNTIFS(缺陷明细!$A$2:$A$50000,$B$4,缺陷明细!$G$2:$G$50000,$C34,缺陷明细!$J$2:$J$50000,"运维测试",缺陷明细!$AA$2:$AA$50000,"&lt;&gt;丢弃",缺陷明细!$AA$2:$AA$50000,"&lt;&gt;设计如此",缺陷明细!$AA$2:$AA$50000,"&lt;&gt;重复Bug")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A$2:$AA$50000,"&lt;&gt;丢弃",缺陷明细!$AA$2:$AA$50000,"&lt;&gt;设计如此",缺陷明细!$AA$2:$AA$50000,"&lt;&gt;重复Bug")+COUNTIFS(缺陷明细!$A$2:$A$50000,$B$4,缺陷明细!$G$2:$G$50000,$C34,缺陷明细!$J$2:$J$50000,"运维测试",缺陷明细!$K$2:$K$50000,"严重",缺陷明细!$AA$2:$AA$50000,"&lt;&gt;丢弃",缺陷明细!$AA$2:$AA$50000,"&lt;&gt;设计如此",缺陷明细!$AA$2:$AA$50000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51"/>
    </row>
    <row r="35" spans="1:37">
      <c r="A35">
        <v>31</v>
      </c>
      <c r="B35" s="57"/>
      <c r="C35" s="58"/>
      <c r="D35" s="84"/>
      <c r="E35" s="82"/>
      <c r="F35" s="165"/>
      <c r="G35" s="166"/>
      <c r="H35" s="305">
        <f>COUNTIFS(缺陷明细!$A$2:$A$50000,$B$4,缺陷明细!$G$2:$G$50000,$C35,缺陷明细!$J$2:$J$50000,"评审",缺陷明细!$AA$2:$AA$50000,"&lt;&gt;丢弃",缺陷明细!$AA$2:$AA$50000,"&lt;&gt;设计如此",缺陷明细!$AA$2:$AA$50000,"&lt;&gt;重复Bug")</f>
        <v>0</v>
      </c>
      <c r="I35" s="161">
        <f>COUNTIFS(缺陷明细!$A$2:$A$50000,$B$4,缺陷明细!$G$2:$G$50000,$C35,缺陷明细!$Q$2:$Q$50000,"已关闭",缺陷明细!$J$2:$J$50000,"评审")</f>
        <v>0</v>
      </c>
      <c r="J35" s="161">
        <f>COUNTIFS(缺陷明细!$A$2:$A$50000,$B$4,缺陷明细!$G$2:$G$50000,$C35,缺陷明细!$J$2:$J$50000,"单元测试",缺陷明细!$AA$2:$AA$50000,"&lt;&gt;丢弃",缺陷明细!$AA$2:$AA$50000,"&lt;&gt;设计如此",缺陷明细!$AA$2:$AA$50000,"&lt;&gt;重复Bug")</f>
        <v>0</v>
      </c>
      <c r="K35" s="162">
        <f>COUNTIFS(缺陷明细!$A$2:$A$50000,$B$4,缺陷明细!$G$2:$G$50000,$C35,缺陷明细!$Q$2:$Q$50000,"已关闭",缺陷明细!$J$2:$J$50000,"单元测试")</f>
        <v>0</v>
      </c>
      <c r="L35" s="163"/>
      <c r="M35" s="164"/>
      <c r="N35" s="72">
        <f>COUNTIFS(缺陷明细!$A$2:$A$50000,$B$4,缺陷明细!$G$2:$G$50000,$C35,缺陷明细!$J$2:$J$50000,"系统测试案例评审",缺陷明细!$AA$2:$AA$50000,"&lt;&gt;丢弃",缺陷明细!$AA$2:$AA$50000,"&lt;&gt;设计如此",缺陷明细!$AA$2:$AA$50000,"&lt;&gt;重复Bug")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COUNTIFS(缺陷明细!$A$2:$A$50000,$B$4,缺陷明细!$G$2:$G$50000,$C35,缺陷明细!$J$2:$J$50000,"系统测试",缺陷明细!$AA$2:$AA$50000,"&lt;&gt;丢弃",缺陷明细!$AA$2:$AA$50000,"&lt;&gt;设计如此",缺陷明细!$AA$2:$AA$50000,"&lt;&gt;重复Bug")</f>
        <v>0</v>
      </c>
      <c r="Q35" s="72">
        <f>COUNTIFS(缺陷明细!$A$2:$A$50000,$B$4,缺陷明细!$G$2:$G$50000,$C35,缺陷明细!$Q$2:$Q$50000,"已关闭",缺陷明细!$J$2:$J$50000,"系统测试")</f>
        <v>0</v>
      </c>
      <c r="R35" s="72">
        <f>COUNTIFS(缺陷明细!$A$2:$A$50000,$B$4,缺陷明细!$G$2:$G$50000,$C35,缺陷明细!$AA$2:$AA$50000,"丢弃",缺陷明细!$J$2:$J$50000,"系统测试")+COUNTIFS(缺陷明细!$A$2:$A$50000,$B$4,缺陷明细!$G$2:$G$50000,$C35,缺陷明细!$AA$2:$AA$50000,"设计如此",缺陷明细!$J$2:$J$50000,"系统测试"+COUNTIFS(缺陷明细!$A$2:$A$50000,$B$4,缺陷明细!$G$2:$G$50000,$C35,缺陷明细!$AA$2:$AA$50000,"重复Bug",缺陷明细!$J$2:$J$50000,"系统测试"))</f>
        <v>0</v>
      </c>
      <c r="S35" s="72">
        <f>COUNTIFS(缺陷明细!$A$2:$A$50000,$B$4,缺陷明细!$G$2:$G$50000,$C35,缺陷明细!$J$2:$J$50000,"系统测试",缺陷明细!$K$2:$K$50000,"致命",缺陷明细!$AA$2:$AA$50000,"&lt;&gt;丢弃",缺陷明细!$AA$2:$AA$50000,"&lt;&gt;设计如此",缺陷明细!$AA$2:$AA$50000,"&lt;&gt;重复Bug")+COUNTIFS(缺陷明细!$A$2:$A$50000,$B$4,缺陷明细!$G$2:$G$50000,$C35,缺陷明细!$J$2:$J$50000,"系统测试",缺陷明细!$K$2:$K$50000,"严重",缺陷明细!$AA$2:$AA$50000,"&lt;&gt;丢弃",缺陷明细!$AA$2:$AA$50000,"&lt;&gt;设计如此",缺陷明细!$AA$2:$AA$50000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COUNTIFS(缺陷明细!$A$2:$A$50000,$B$4,缺陷明细!$G$2:$G$50000,$C35,缺陷明细!$J$2:$J$50000,"验收测试",缺陷明细!$AA$2:$AA$50000,"&lt;&gt;丢弃",缺陷明细!$AA$2:$AA$50000,"&lt;&gt;设计如此",缺陷明细!$AA$2:$AA$50000,"&lt;&gt;重复Bug")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A$2:$AA$50000,"&lt;&gt;丢弃",缺陷明细!$AA$2:$AA$50000,"&lt;&gt;设计如此",缺陷明细!$AA$2:$AA$50000,"&lt;&gt;重复Bug")+COUNTIFS(缺陷明细!$A$2:$A$50000,$B$4,缺陷明细!$G$2:$G$50000,$C35,缺陷明细!$J$2:$J$50000,"验收测试",缺陷明细!$K$2:$K$50000,"严重",缺陷明细!$AA$2:$AA$50000,"&lt;&gt;丢弃",缺陷明细!$AA$2:$AA$50000,"&lt;&gt;设计如此",缺陷明细!$AA$2:$AA$50000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COUNTIFS(缺陷明细!$A$2:$A$50000,$B$4,缺陷明细!$G$2:$G$50000,$C35,缺陷明细!$J$2:$J$50000,"运维测试",缺陷明细!$AA$2:$AA$50000,"&lt;&gt;丢弃",缺陷明细!$AA$2:$AA$50000,"&lt;&gt;设计如此",缺陷明细!$AA$2:$AA$50000,"&lt;&gt;重复Bug")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A$2:$AA$50000,"&lt;&gt;丢弃",缺陷明细!$AA$2:$AA$50000,"&lt;&gt;设计如此",缺陷明细!$AA$2:$AA$50000,"&lt;&gt;重复Bug")+COUNTIFS(缺陷明细!$A$2:$A$50000,$B$4,缺陷明细!$G$2:$G$50000,$C35,缺陷明细!$J$2:$J$50000,"运维测试",缺陷明细!$K$2:$K$50000,"严重",缺陷明细!$AA$2:$AA$50000,"&lt;&gt;丢弃",缺陷明细!$AA$2:$AA$50000,"&lt;&gt;设计如此",缺陷明细!$AA$2:$AA$50000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51"/>
    </row>
    <row r="36" spans="1:37">
      <c r="A36">
        <v>32</v>
      </c>
      <c r="B36" s="57"/>
      <c r="C36" s="58"/>
      <c r="D36" s="84"/>
      <c r="E36" s="82"/>
      <c r="F36" s="165"/>
      <c r="G36" s="166"/>
      <c r="H36" s="305">
        <f>COUNTIFS(缺陷明细!$A$2:$A$50000,$B$4,缺陷明细!$G$2:$G$50000,$C36,缺陷明细!$J$2:$J$50000,"评审",缺陷明细!$AA$2:$AA$50000,"&lt;&gt;丢弃",缺陷明细!$AA$2:$AA$50000,"&lt;&gt;设计如此",缺陷明细!$AA$2:$AA$50000,"&lt;&gt;重复Bug")</f>
        <v>0</v>
      </c>
      <c r="I36" s="161">
        <f>COUNTIFS(缺陷明细!$A$2:$A$50000,$B$4,缺陷明细!$G$2:$G$50000,$C36,缺陷明细!$Q$2:$Q$50000,"已关闭",缺陷明细!$J$2:$J$50000,"评审")</f>
        <v>0</v>
      </c>
      <c r="J36" s="161">
        <f>COUNTIFS(缺陷明细!$A$2:$A$50000,$B$4,缺陷明细!$G$2:$G$50000,$C36,缺陷明细!$J$2:$J$50000,"单元测试",缺陷明细!$AA$2:$AA$50000,"&lt;&gt;丢弃",缺陷明细!$AA$2:$AA$50000,"&lt;&gt;设计如此",缺陷明细!$AA$2:$AA$50000,"&lt;&gt;重复Bug")</f>
        <v>0</v>
      </c>
      <c r="K36" s="162">
        <f>COUNTIFS(缺陷明细!$A$2:$A$50000,$B$4,缺陷明细!$G$2:$G$50000,$C36,缺陷明细!$Q$2:$Q$50000,"已关闭",缺陷明细!$J$2:$J$50000,"单元测试")</f>
        <v>0</v>
      </c>
      <c r="L36" s="163"/>
      <c r="M36" s="164"/>
      <c r="N36" s="72">
        <f>COUNTIFS(缺陷明细!$A$2:$A$50000,$B$4,缺陷明细!$G$2:$G$50000,$C36,缺陷明细!$J$2:$J$50000,"系统测试案例评审",缺陷明细!$AA$2:$AA$50000,"&lt;&gt;丢弃",缺陷明细!$AA$2:$AA$50000,"&lt;&gt;设计如此",缺陷明细!$AA$2:$AA$50000,"&lt;&gt;重复Bug")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COUNTIFS(缺陷明细!$A$2:$A$50000,$B$4,缺陷明细!$G$2:$G$50000,$C36,缺陷明细!$J$2:$J$50000,"系统测试",缺陷明细!$AA$2:$AA$50000,"&lt;&gt;丢弃",缺陷明细!$AA$2:$AA$50000,"&lt;&gt;设计如此",缺陷明细!$AA$2:$AA$50000,"&lt;&gt;重复Bug")</f>
        <v>0</v>
      </c>
      <c r="Q36" s="72">
        <f>COUNTIFS(缺陷明细!$A$2:$A$50000,$B$4,缺陷明细!$G$2:$G$50000,$C36,缺陷明细!$Q$2:$Q$50000,"已关闭",缺陷明细!$J$2:$J$50000,"系统测试")</f>
        <v>0</v>
      </c>
      <c r="R36" s="72">
        <f>COUNTIFS(缺陷明细!$A$2:$A$50000,$B$4,缺陷明细!$G$2:$G$50000,$C36,缺陷明细!$AA$2:$AA$50000,"丢弃",缺陷明细!$J$2:$J$50000,"系统测试")+COUNTIFS(缺陷明细!$A$2:$A$50000,$B$4,缺陷明细!$G$2:$G$50000,$C36,缺陷明细!$AA$2:$AA$50000,"设计如此",缺陷明细!$J$2:$J$50000,"系统测试"+COUNTIFS(缺陷明细!$A$2:$A$50000,$B$4,缺陷明细!$G$2:$G$50000,$C36,缺陷明细!$AA$2:$AA$50000,"重复Bug",缺陷明细!$J$2:$J$50000,"系统测试"))</f>
        <v>0</v>
      </c>
      <c r="S36" s="72">
        <f>COUNTIFS(缺陷明细!$A$2:$A$50000,$B$4,缺陷明细!$G$2:$G$50000,$C36,缺陷明细!$J$2:$J$50000,"系统测试",缺陷明细!$K$2:$K$50000,"致命",缺陷明细!$AA$2:$AA$50000,"&lt;&gt;丢弃",缺陷明细!$AA$2:$AA$50000,"&lt;&gt;设计如此",缺陷明细!$AA$2:$AA$50000,"&lt;&gt;重复Bug")+COUNTIFS(缺陷明细!$A$2:$A$50000,$B$4,缺陷明细!$G$2:$G$50000,$C36,缺陷明细!$J$2:$J$50000,"系统测试",缺陷明细!$K$2:$K$50000,"严重",缺陷明细!$AA$2:$AA$50000,"&lt;&gt;丢弃",缺陷明细!$AA$2:$AA$50000,"&lt;&gt;设计如此",缺陷明细!$AA$2:$AA$50000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COUNTIFS(缺陷明细!$A$2:$A$50000,$B$4,缺陷明细!$G$2:$G$50000,$C36,缺陷明细!$J$2:$J$50000,"验收测试",缺陷明细!$AA$2:$AA$50000,"&lt;&gt;丢弃",缺陷明细!$AA$2:$AA$50000,"&lt;&gt;设计如此",缺陷明细!$AA$2:$AA$50000,"&lt;&gt;重复Bug")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A$2:$AA$50000,"&lt;&gt;丢弃",缺陷明细!$AA$2:$AA$50000,"&lt;&gt;设计如此",缺陷明细!$AA$2:$AA$50000,"&lt;&gt;重复Bug")+COUNTIFS(缺陷明细!$A$2:$A$50000,$B$4,缺陷明细!$G$2:$G$50000,$C36,缺陷明细!$J$2:$J$50000,"验收测试",缺陷明细!$K$2:$K$50000,"严重",缺陷明细!$AA$2:$AA$50000,"&lt;&gt;丢弃",缺陷明细!$AA$2:$AA$50000,"&lt;&gt;设计如此",缺陷明细!$AA$2:$AA$50000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COUNTIFS(缺陷明细!$A$2:$A$50000,$B$4,缺陷明细!$G$2:$G$50000,$C36,缺陷明细!$J$2:$J$50000,"运维测试",缺陷明细!$AA$2:$AA$50000,"&lt;&gt;丢弃",缺陷明细!$AA$2:$AA$50000,"&lt;&gt;设计如此",缺陷明细!$AA$2:$AA$50000,"&lt;&gt;重复Bug")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A$2:$AA$50000,"&lt;&gt;丢弃",缺陷明细!$AA$2:$AA$50000,"&lt;&gt;设计如此",缺陷明细!$AA$2:$AA$50000,"&lt;&gt;重复Bug")+COUNTIFS(缺陷明细!$A$2:$A$50000,$B$4,缺陷明细!$G$2:$G$50000,$C36,缺陷明细!$J$2:$J$50000,"运维测试",缺陷明细!$K$2:$K$50000,"严重",缺陷明细!$AA$2:$AA$50000,"&lt;&gt;丢弃",缺陷明细!$AA$2:$AA$50000,"&lt;&gt;设计如此",缺陷明细!$AA$2:$AA$50000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51"/>
    </row>
    <row r="37" spans="1:37">
      <c r="A37">
        <v>33</v>
      </c>
      <c r="B37" s="57"/>
      <c r="C37" s="58"/>
      <c r="D37" s="84"/>
      <c r="E37" s="82"/>
      <c r="F37" s="165"/>
      <c r="G37" s="166"/>
      <c r="H37" s="305">
        <f>COUNTIFS(缺陷明细!$A$2:$A$50000,$B$4,缺陷明细!$G$2:$G$50000,$C37,缺陷明细!$J$2:$J$50000,"评审",缺陷明细!$AA$2:$AA$50000,"&lt;&gt;丢弃",缺陷明细!$AA$2:$AA$50000,"&lt;&gt;设计如此",缺陷明细!$AA$2:$AA$50000,"&lt;&gt;重复Bug")</f>
        <v>0</v>
      </c>
      <c r="I37" s="161">
        <f>COUNTIFS(缺陷明细!$A$2:$A$50000,$B$4,缺陷明细!$G$2:$G$50000,$C37,缺陷明细!$Q$2:$Q$50000,"已关闭",缺陷明细!$J$2:$J$50000,"评审")</f>
        <v>0</v>
      </c>
      <c r="J37" s="161">
        <f>COUNTIFS(缺陷明细!$A$2:$A$50000,$B$4,缺陷明细!$G$2:$G$50000,$C37,缺陷明细!$J$2:$J$50000,"单元测试",缺陷明细!$AA$2:$AA$50000,"&lt;&gt;丢弃",缺陷明细!$AA$2:$AA$50000,"&lt;&gt;设计如此",缺陷明细!$AA$2:$AA$50000,"&lt;&gt;重复Bug")</f>
        <v>0</v>
      </c>
      <c r="K37" s="162">
        <f>COUNTIFS(缺陷明细!$A$2:$A$50000,$B$4,缺陷明细!$G$2:$G$50000,$C37,缺陷明细!$Q$2:$Q$50000,"已关闭",缺陷明细!$J$2:$J$50000,"单元测试")</f>
        <v>0</v>
      </c>
      <c r="L37" s="163"/>
      <c r="M37" s="164"/>
      <c r="N37" s="72">
        <f>COUNTIFS(缺陷明细!$A$2:$A$50000,$B$4,缺陷明细!$G$2:$G$50000,$C37,缺陷明细!$J$2:$J$50000,"系统测试案例评审",缺陷明细!$AA$2:$AA$50000,"&lt;&gt;丢弃",缺陷明细!$AA$2:$AA$50000,"&lt;&gt;设计如此",缺陷明细!$AA$2:$AA$50000,"&lt;&gt;重复Bug")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COUNTIFS(缺陷明细!$A$2:$A$50000,$B$4,缺陷明细!$G$2:$G$50000,$C37,缺陷明细!$J$2:$J$50000,"系统测试",缺陷明细!$AA$2:$AA$50000,"&lt;&gt;丢弃",缺陷明细!$AA$2:$AA$50000,"&lt;&gt;设计如此",缺陷明细!$AA$2:$AA$50000,"&lt;&gt;重复Bug")</f>
        <v>0</v>
      </c>
      <c r="Q37" s="72">
        <f>COUNTIFS(缺陷明细!$A$2:$A$50000,$B$4,缺陷明细!$G$2:$G$50000,$C37,缺陷明细!$Q$2:$Q$50000,"已关闭",缺陷明细!$J$2:$J$50000,"系统测试")</f>
        <v>0</v>
      </c>
      <c r="R37" s="72">
        <f>COUNTIFS(缺陷明细!$A$2:$A$50000,$B$4,缺陷明细!$G$2:$G$50000,$C37,缺陷明细!$AA$2:$AA$50000,"丢弃",缺陷明细!$J$2:$J$50000,"系统测试")+COUNTIFS(缺陷明细!$A$2:$A$50000,$B$4,缺陷明细!$G$2:$G$50000,$C37,缺陷明细!$AA$2:$AA$50000,"设计如此",缺陷明细!$J$2:$J$50000,"系统测试"+COUNTIFS(缺陷明细!$A$2:$A$50000,$B$4,缺陷明细!$G$2:$G$50000,$C37,缺陷明细!$AA$2:$AA$50000,"重复Bug",缺陷明细!$J$2:$J$50000,"系统测试"))</f>
        <v>0</v>
      </c>
      <c r="S37" s="72">
        <f>COUNTIFS(缺陷明细!$A$2:$A$50000,$B$4,缺陷明细!$G$2:$G$50000,$C37,缺陷明细!$J$2:$J$50000,"系统测试",缺陷明细!$K$2:$K$50000,"致命",缺陷明细!$AA$2:$AA$50000,"&lt;&gt;丢弃",缺陷明细!$AA$2:$AA$50000,"&lt;&gt;设计如此",缺陷明细!$AA$2:$AA$50000,"&lt;&gt;重复Bug")+COUNTIFS(缺陷明细!$A$2:$A$50000,$B$4,缺陷明细!$G$2:$G$50000,$C37,缺陷明细!$J$2:$J$50000,"系统测试",缺陷明细!$K$2:$K$50000,"严重",缺陷明细!$AA$2:$AA$50000,"&lt;&gt;丢弃",缺陷明细!$AA$2:$AA$50000,"&lt;&gt;设计如此",缺陷明细!$AA$2:$AA$50000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COUNTIFS(缺陷明细!$A$2:$A$50000,$B$4,缺陷明细!$G$2:$G$50000,$C37,缺陷明细!$J$2:$J$50000,"验收测试",缺陷明细!$AA$2:$AA$50000,"&lt;&gt;丢弃",缺陷明细!$AA$2:$AA$50000,"&lt;&gt;设计如此",缺陷明细!$AA$2:$AA$50000,"&lt;&gt;重复Bug")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A$2:$AA$50000,"&lt;&gt;丢弃",缺陷明细!$AA$2:$AA$50000,"&lt;&gt;设计如此",缺陷明细!$AA$2:$AA$50000,"&lt;&gt;重复Bug")+COUNTIFS(缺陷明细!$A$2:$A$50000,$B$4,缺陷明细!$G$2:$G$50000,$C37,缺陷明细!$J$2:$J$50000,"验收测试",缺陷明细!$K$2:$K$50000,"严重",缺陷明细!$AA$2:$AA$50000,"&lt;&gt;丢弃",缺陷明细!$AA$2:$AA$50000,"&lt;&gt;设计如此",缺陷明细!$AA$2:$AA$50000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COUNTIFS(缺陷明细!$A$2:$A$50000,$B$4,缺陷明细!$G$2:$G$50000,$C37,缺陷明细!$J$2:$J$50000,"运维测试",缺陷明细!$AA$2:$AA$50000,"&lt;&gt;丢弃",缺陷明细!$AA$2:$AA$50000,"&lt;&gt;设计如此",缺陷明细!$AA$2:$AA$50000,"&lt;&gt;重复Bug")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A$2:$AA$50000,"&lt;&gt;丢弃",缺陷明细!$AA$2:$AA$50000,"&lt;&gt;设计如此",缺陷明细!$AA$2:$AA$50000,"&lt;&gt;重复Bug")+COUNTIFS(缺陷明细!$A$2:$A$50000,$B$4,缺陷明细!$G$2:$G$50000,$C37,缺陷明细!$J$2:$J$50000,"运维测试",缺陷明细!$K$2:$K$50000,"严重",缺陷明细!$AA$2:$AA$50000,"&lt;&gt;丢弃",缺陷明细!$AA$2:$AA$50000,"&lt;&gt;设计如此",缺陷明细!$AA$2:$AA$50000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51"/>
    </row>
    <row r="38" spans="1:37">
      <c r="A38">
        <v>34</v>
      </c>
      <c r="B38" s="57"/>
      <c r="C38" s="58"/>
      <c r="D38" s="84"/>
      <c r="E38" s="82"/>
      <c r="F38" s="165"/>
      <c r="G38" s="166"/>
      <c r="H38" s="305">
        <f>COUNTIFS(缺陷明细!$A$2:$A$50000,$B$4,缺陷明细!$G$2:$G$50000,$C38,缺陷明细!$J$2:$J$50000,"评审",缺陷明细!$AA$2:$AA$50000,"&lt;&gt;丢弃",缺陷明细!$AA$2:$AA$50000,"&lt;&gt;设计如此",缺陷明细!$AA$2:$AA$50000,"&lt;&gt;重复Bug")</f>
        <v>0</v>
      </c>
      <c r="I38" s="161">
        <f>COUNTIFS(缺陷明细!$A$2:$A$50000,$B$4,缺陷明细!$G$2:$G$50000,$C38,缺陷明细!$Q$2:$Q$50000,"已关闭",缺陷明细!$J$2:$J$50000,"评审")</f>
        <v>0</v>
      </c>
      <c r="J38" s="161">
        <f>COUNTIFS(缺陷明细!$A$2:$A$50000,$B$4,缺陷明细!$G$2:$G$50000,$C38,缺陷明细!$J$2:$J$50000,"单元测试",缺陷明细!$AA$2:$AA$50000,"&lt;&gt;丢弃",缺陷明细!$AA$2:$AA$50000,"&lt;&gt;设计如此",缺陷明细!$AA$2:$AA$50000,"&lt;&gt;重复Bug")</f>
        <v>0</v>
      </c>
      <c r="K38" s="162">
        <f>COUNTIFS(缺陷明细!$A$2:$A$50000,$B$4,缺陷明细!$G$2:$G$50000,$C38,缺陷明细!$Q$2:$Q$50000,"已关闭",缺陷明细!$J$2:$J$50000,"单元测试")</f>
        <v>0</v>
      </c>
      <c r="L38" s="163"/>
      <c r="M38" s="164"/>
      <c r="N38" s="72">
        <f>COUNTIFS(缺陷明细!$A$2:$A$50000,$B$4,缺陷明细!$G$2:$G$50000,$C38,缺陷明细!$J$2:$J$50000,"系统测试案例评审",缺陷明细!$AA$2:$AA$50000,"&lt;&gt;丢弃",缺陷明细!$AA$2:$AA$50000,"&lt;&gt;设计如此",缺陷明细!$AA$2:$AA$50000,"&lt;&gt;重复Bug")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COUNTIFS(缺陷明细!$A$2:$A$50000,$B$4,缺陷明细!$G$2:$G$50000,$C38,缺陷明细!$J$2:$J$50000,"系统测试",缺陷明细!$AA$2:$AA$50000,"&lt;&gt;丢弃",缺陷明细!$AA$2:$AA$50000,"&lt;&gt;设计如此",缺陷明细!$AA$2:$AA$50000,"&lt;&gt;重复Bug")</f>
        <v>0</v>
      </c>
      <c r="Q38" s="72">
        <f>COUNTIFS(缺陷明细!$A$2:$A$50000,$B$4,缺陷明细!$G$2:$G$50000,$C38,缺陷明细!$Q$2:$Q$50000,"已关闭",缺陷明细!$J$2:$J$50000,"系统测试")</f>
        <v>0</v>
      </c>
      <c r="R38" s="72">
        <f>COUNTIFS(缺陷明细!$A$2:$A$50000,$B$4,缺陷明细!$G$2:$G$50000,$C38,缺陷明细!$AA$2:$AA$50000,"丢弃",缺陷明细!$J$2:$J$50000,"系统测试")+COUNTIFS(缺陷明细!$A$2:$A$50000,$B$4,缺陷明细!$G$2:$G$50000,$C38,缺陷明细!$AA$2:$AA$50000,"设计如此",缺陷明细!$J$2:$J$50000,"系统测试"+COUNTIFS(缺陷明细!$A$2:$A$50000,$B$4,缺陷明细!$G$2:$G$50000,$C38,缺陷明细!$AA$2:$AA$50000,"重复Bug",缺陷明细!$J$2:$J$50000,"系统测试"))</f>
        <v>0</v>
      </c>
      <c r="S38" s="72">
        <f>COUNTIFS(缺陷明细!$A$2:$A$50000,$B$4,缺陷明细!$G$2:$G$50000,$C38,缺陷明细!$J$2:$J$50000,"系统测试",缺陷明细!$K$2:$K$50000,"致命",缺陷明细!$AA$2:$AA$50000,"&lt;&gt;丢弃",缺陷明细!$AA$2:$AA$50000,"&lt;&gt;设计如此",缺陷明细!$AA$2:$AA$50000,"&lt;&gt;重复Bug")+COUNTIFS(缺陷明细!$A$2:$A$50000,$B$4,缺陷明细!$G$2:$G$50000,$C38,缺陷明细!$J$2:$J$50000,"系统测试",缺陷明细!$K$2:$K$50000,"严重",缺陷明细!$AA$2:$AA$50000,"&lt;&gt;丢弃",缺陷明细!$AA$2:$AA$50000,"&lt;&gt;设计如此",缺陷明细!$AA$2:$AA$50000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COUNTIFS(缺陷明细!$A$2:$A$50000,$B$4,缺陷明细!$G$2:$G$50000,$C38,缺陷明细!$J$2:$J$50000,"验收测试",缺陷明细!$AA$2:$AA$50000,"&lt;&gt;丢弃",缺陷明细!$AA$2:$AA$50000,"&lt;&gt;设计如此",缺陷明细!$AA$2:$AA$50000,"&lt;&gt;重复Bug")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A$2:$AA$50000,"&lt;&gt;丢弃",缺陷明细!$AA$2:$AA$50000,"&lt;&gt;设计如此",缺陷明细!$AA$2:$AA$50000,"&lt;&gt;重复Bug")+COUNTIFS(缺陷明细!$A$2:$A$50000,$B$4,缺陷明细!$G$2:$G$50000,$C38,缺陷明细!$J$2:$J$50000,"验收测试",缺陷明细!$K$2:$K$50000,"严重",缺陷明细!$AA$2:$AA$50000,"&lt;&gt;丢弃",缺陷明细!$AA$2:$AA$50000,"&lt;&gt;设计如此",缺陷明细!$AA$2:$AA$50000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COUNTIFS(缺陷明细!$A$2:$A$50000,$B$4,缺陷明细!$G$2:$G$50000,$C38,缺陷明细!$J$2:$J$50000,"运维测试",缺陷明细!$AA$2:$AA$50000,"&lt;&gt;丢弃",缺陷明细!$AA$2:$AA$50000,"&lt;&gt;设计如此",缺陷明细!$AA$2:$AA$50000,"&lt;&gt;重复Bug")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A$2:$AA$50000,"&lt;&gt;丢弃",缺陷明细!$AA$2:$AA$50000,"&lt;&gt;设计如此",缺陷明细!$AA$2:$AA$50000,"&lt;&gt;重复Bug")+COUNTIFS(缺陷明细!$A$2:$A$50000,$B$4,缺陷明细!$G$2:$G$50000,$C38,缺陷明细!$J$2:$J$50000,"运维测试",缺陷明细!$K$2:$K$50000,"严重",缺陷明细!$AA$2:$AA$50000,"&lt;&gt;丢弃",缺陷明细!$AA$2:$AA$50000,"&lt;&gt;设计如此",缺陷明细!$AA$2:$AA$50000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51"/>
    </row>
    <row r="39" spans="1:37">
      <c r="A39">
        <v>35</v>
      </c>
      <c r="B39" s="57"/>
      <c r="C39" s="58"/>
      <c r="D39" s="84"/>
      <c r="E39" s="82"/>
      <c r="F39" s="165"/>
      <c r="G39" s="166"/>
      <c r="H39" s="305">
        <f>COUNTIFS(缺陷明细!$A$2:$A$50000,$B$4,缺陷明细!$G$2:$G$50000,$C39,缺陷明细!$J$2:$J$50000,"评审",缺陷明细!$AA$2:$AA$50000,"&lt;&gt;丢弃",缺陷明细!$AA$2:$AA$50000,"&lt;&gt;设计如此",缺陷明细!$AA$2:$AA$50000,"&lt;&gt;重复Bug")</f>
        <v>0</v>
      </c>
      <c r="I39" s="161">
        <f>COUNTIFS(缺陷明细!$A$2:$A$50000,$B$4,缺陷明细!$G$2:$G$50000,$C39,缺陷明细!$Q$2:$Q$50000,"已关闭",缺陷明细!$J$2:$J$50000,"评审")</f>
        <v>0</v>
      </c>
      <c r="J39" s="161">
        <f>COUNTIFS(缺陷明细!$A$2:$A$50000,$B$4,缺陷明细!$G$2:$G$50000,$C39,缺陷明细!$J$2:$J$50000,"单元测试",缺陷明细!$AA$2:$AA$50000,"&lt;&gt;丢弃",缺陷明细!$AA$2:$AA$50000,"&lt;&gt;设计如此",缺陷明细!$AA$2:$AA$50000,"&lt;&gt;重复Bug")</f>
        <v>0</v>
      </c>
      <c r="K39" s="162">
        <f>COUNTIFS(缺陷明细!$A$2:$A$50000,$B$4,缺陷明细!$G$2:$G$50000,$C39,缺陷明细!$Q$2:$Q$50000,"已关闭",缺陷明细!$J$2:$J$50000,"单元测试")</f>
        <v>0</v>
      </c>
      <c r="L39" s="163"/>
      <c r="M39" s="164"/>
      <c r="N39" s="72">
        <f>COUNTIFS(缺陷明细!$A$2:$A$50000,$B$4,缺陷明细!$G$2:$G$50000,$C39,缺陷明细!$J$2:$J$50000,"系统测试案例评审",缺陷明细!$AA$2:$AA$50000,"&lt;&gt;丢弃",缺陷明细!$AA$2:$AA$50000,"&lt;&gt;设计如此",缺陷明细!$AA$2:$AA$50000,"&lt;&gt;重复Bug")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COUNTIFS(缺陷明细!$A$2:$A$50000,$B$4,缺陷明细!$G$2:$G$50000,$C39,缺陷明细!$J$2:$J$50000,"系统测试",缺陷明细!$AA$2:$AA$50000,"&lt;&gt;丢弃",缺陷明细!$AA$2:$AA$50000,"&lt;&gt;设计如此",缺陷明细!$AA$2:$AA$50000,"&lt;&gt;重复Bug")</f>
        <v>0</v>
      </c>
      <c r="Q39" s="72">
        <f>COUNTIFS(缺陷明细!$A$2:$A$50000,$B$4,缺陷明细!$G$2:$G$50000,$C39,缺陷明细!$Q$2:$Q$50000,"已关闭",缺陷明细!$J$2:$J$50000,"系统测试")</f>
        <v>0</v>
      </c>
      <c r="R39" s="72">
        <f>COUNTIFS(缺陷明细!$A$2:$A$50000,$B$4,缺陷明细!$G$2:$G$50000,$C39,缺陷明细!$AA$2:$AA$50000,"丢弃",缺陷明细!$J$2:$J$50000,"系统测试")+COUNTIFS(缺陷明细!$A$2:$A$50000,$B$4,缺陷明细!$G$2:$G$50000,$C39,缺陷明细!$AA$2:$AA$50000,"设计如此",缺陷明细!$J$2:$J$50000,"系统测试"+COUNTIFS(缺陷明细!$A$2:$A$50000,$B$4,缺陷明细!$G$2:$G$50000,$C39,缺陷明细!$AA$2:$AA$50000,"重复Bug",缺陷明细!$J$2:$J$50000,"系统测试"))</f>
        <v>0</v>
      </c>
      <c r="S39" s="72">
        <f>COUNTIFS(缺陷明细!$A$2:$A$50000,$B$4,缺陷明细!$G$2:$G$50000,$C39,缺陷明细!$J$2:$J$50000,"系统测试",缺陷明细!$K$2:$K$50000,"致命",缺陷明细!$AA$2:$AA$50000,"&lt;&gt;丢弃",缺陷明细!$AA$2:$AA$50000,"&lt;&gt;设计如此",缺陷明细!$AA$2:$AA$50000,"&lt;&gt;重复Bug")+COUNTIFS(缺陷明细!$A$2:$A$50000,$B$4,缺陷明细!$G$2:$G$50000,$C39,缺陷明细!$J$2:$J$50000,"系统测试",缺陷明细!$K$2:$K$50000,"严重",缺陷明细!$AA$2:$AA$50000,"&lt;&gt;丢弃",缺陷明细!$AA$2:$AA$50000,"&lt;&gt;设计如此",缺陷明细!$AA$2:$AA$50000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COUNTIFS(缺陷明细!$A$2:$A$50000,$B$4,缺陷明细!$G$2:$G$50000,$C39,缺陷明细!$J$2:$J$50000,"验收测试",缺陷明细!$AA$2:$AA$50000,"&lt;&gt;丢弃",缺陷明细!$AA$2:$AA$50000,"&lt;&gt;设计如此",缺陷明细!$AA$2:$AA$50000,"&lt;&gt;重复Bug")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A$2:$AA$50000,"&lt;&gt;丢弃",缺陷明细!$AA$2:$AA$50000,"&lt;&gt;设计如此",缺陷明细!$AA$2:$AA$50000,"&lt;&gt;重复Bug")+COUNTIFS(缺陷明细!$A$2:$A$50000,$B$4,缺陷明细!$G$2:$G$50000,$C39,缺陷明细!$J$2:$J$50000,"验收测试",缺陷明细!$K$2:$K$50000,"严重",缺陷明细!$AA$2:$AA$50000,"&lt;&gt;丢弃",缺陷明细!$AA$2:$AA$50000,"&lt;&gt;设计如此",缺陷明细!$AA$2:$AA$50000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COUNTIFS(缺陷明细!$A$2:$A$50000,$B$4,缺陷明细!$G$2:$G$50000,$C39,缺陷明细!$J$2:$J$50000,"运维测试",缺陷明细!$AA$2:$AA$50000,"&lt;&gt;丢弃",缺陷明细!$AA$2:$AA$50000,"&lt;&gt;设计如此",缺陷明细!$AA$2:$AA$50000,"&lt;&gt;重复Bug")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A$2:$AA$50000,"&lt;&gt;丢弃",缺陷明细!$AA$2:$AA$50000,"&lt;&gt;设计如此",缺陷明细!$AA$2:$AA$50000,"&lt;&gt;重复Bug")+COUNTIFS(缺陷明细!$A$2:$A$50000,$B$4,缺陷明细!$G$2:$G$50000,$C39,缺陷明细!$J$2:$J$50000,"运维测试",缺陷明细!$K$2:$K$50000,"严重",缺陷明细!$AA$2:$AA$50000,"&lt;&gt;丢弃",缺陷明细!$AA$2:$AA$50000,"&lt;&gt;设计如此",缺陷明细!$AA$2:$AA$50000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51"/>
    </row>
    <row r="40" spans="1:37">
      <c r="A40">
        <v>36</v>
      </c>
      <c r="B40" s="57"/>
      <c r="C40" s="58"/>
      <c r="D40" s="84"/>
      <c r="E40" s="82"/>
      <c r="F40" s="165"/>
      <c r="G40" s="166"/>
      <c r="H40" s="305">
        <f>COUNTIFS(缺陷明细!$A$2:$A$50000,$B$4,缺陷明细!$G$2:$G$50000,$C40,缺陷明细!$J$2:$J$50000,"评审",缺陷明细!$AA$2:$AA$50000,"&lt;&gt;丢弃",缺陷明细!$AA$2:$AA$50000,"&lt;&gt;设计如此",缺陷明细!$AA$2:$AA$50000,"&lt;&gt;重复Bug")</f>
        <v>0</v>
      </c>
      <c r="I40" s="161">
        <f>COUNTIFS(缺陷明细!$A$2:$A$50000,$B$4,缺陷明细!$G$2:$G$50000,$C40,缺陷明细!$Q$2:$Q$50000,"已关闭",缺陷明细!$J$2:$J$50000,"评审")</f>
        <v>0</v>
      </c>
      <c r="J40" s="161">
        <f>COUNTIFS(缺陷明细!$A$2:$A$50000,$B$4,缺陷明细!$G$2:$G$50000,$C40,缺陷明细!$J$2:$J$50000,"单元测试",缺陷明细!$AA$2:$AA$50000,"&lt;&gt;丢弃",缺陷明细!$AA$2:$AA$50000,"&lt;&gt;设计如此",缺陷明细!$AA$2:$AA$50000,"&lt;&gt;重复Bug")</f>
        <v>0</v>
      </c>
      <c r="K40" s="162">
        <f>COUNTIFS(缺陷明细!$A$2:$A$50000,$B$4,缺陷明细!$G$2:$G$50000,$C40,缺陷明细!$Q$2:$Q$50000,"已关闭",缺陷明细!$J$2:$J$50000,"单元测试")</f>
        <v>0</v>
      </c>
      <c r="L40" s="163"/>
      <c r="M40" s="164"/>
      <c r="N40" s="72">
        <f>COUNTIFS(缺陷明细!$A$2:$A$50000,$B$4,缺陷明细!$G$2:$G$50000,$C40,缺陷明细!$J$2:$J$50000,"系统测试案例评审",缺陷明细!$AA$2:$AA$50000,"&lt;&gt;丢弃",缺陷明细!$AA$2:$AA$50000,"&lt;&gt;设计如此",缺陷明细!$AA$2:$AA$50000,"&lt;&gt;重复Bug")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COUNTIFS(缺陷明细!$A$2:$A$50000,$B$4,缺陷明细!$G$2:$G$50000,$C40,缺陷明细!$J$2:$J$50000,"系统测试",缺陷明细!$AA$2:$AA$50000,"&lt;&gt;丢弃",缺陷明细!$AA$2:$AA$50000,"&lt;&gt;设计如此",缺陷明细!$AA$2:$AA$50000,"&lt;&gt;重复Bug")</f>
        <v>0</v>
      </c>
      <c r="Q40" s="72">
        <f>COUNTIFS(缺陷明细!$A$2:$A$50000,$B$4,缺陷明细!$G$2:$G$50000,$C40,缺陷明细!$Q$2:$Q$50000,"已关闭",缺陷明细!$J$2:$J$50000,"系统测试")</f>
        <v>0</v>
      </c>
      <c r="R40" s="72">
        <f>COUNTIFS(缺陷明细!$A$2:$A$50000,$B$4,缺陷明细!$G$2:$G$50000,$C40,缺陷明细!$AA$2:$AA$50000,"丢弃",缺陷明细!$J$2:$J$50000,"系统测试")+COUNTIFS(缺陷明细!$A$2:$A$50000,$B$4,缺陷明细!$G$2:$G$50000,$C40,缺陷明细!$AA$2:$AA$50000,"设计如此",缺陷明细!$J$2:$J$50000,"系统测试"+COUNTIFS(缺陷明细!$A$2:$A$50000,$B$4,缺陷明细!$G$2:$G$50000,$C40,缺陷明细!$AA$2:$AA$50000,"重复Bug",缺陷明细!$J$2:$J$50000,"系统测试"))</f>
        <v>0</v>
      </c>
      <c r="S40" s="72">
        <f>COUNTIFS(缺陷明细!$A$2:$A$50000,$B$4,缺陷明细!$G$2:$G$50000,$C40,缺陷明细!$J$2:$J$50000,"系统测试",缺陷明细!$K$2:$K$50000,"致命",缺陷明细!$AA$2:$AA$50000,"&lt;&gt;丢弃",缺陷明细!$AA$2:$AA$50000,"&lt;&gt;设计如此",缺陷明细!$AA$2:$AA$50000,"&lt;&gt;重复Bug")+COUNTIFS(缺陷明细!$A$2:$A$50000,$B$4,缺陷明细!$G$2:$G$50000,$C40,缺陷明细!$J$2:$J$50000,"系统测试",缺陷明细!$K$2:$K$50000,"严重",缺陷明细!$AA$2:$AA$50000,"&lt;&gt;丢弃",缺陷明细!$AA$2:$AA$50000,"&lt;&gt;设计如此",缺陷明细!$AA$2:$AA$50000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COUNTIFS(缺陷明细!$A$2:$A$50000,$B$4,缺陷明细!$G$2:$G$50000,$C40,缺陷明细!$J$2:$J$50000,"验收测试",缺陷明细!$AA$2:$AA$50000,"&lt;&gt;丢弃",缺陷明细!$AA$2:$AA$50000,"&lt;&gt;设计如此",缺陷明细!$AA$2:$AA$50000,"&lt;&gt;重复Bug")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A$2:$AA$50000,"&lt;&gt;丢弃",缺陷明细!$AA$2:$AA$50000,"&lt;&gt;设计如此",缺陷明细!$AA$2:$AA$50000,"&lt;&gt;重复Bug")+COUNTIFS(缺陷明细!$A$2:$A$50000,$B$4,缺陷明细!$G$2:$G$50000,$C40,缺陷明细!$J$2:$J$50000,"验收测试",缺陷明细!$K$2:$K$50000,"严重",缺陷明细!$AA$2:$AA$50000,"&lt;&gt;丢弃",缺陷明细!$AA$2:$AA$50000,"&lt;&gt;设计如此",缺陷明细!$AA$2:$AA$50000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COUNTIFS(缺陷明细!$A$2:$A$50000,$B$4,缺陷明细!$G$2:$G$50000,$C40,缺陷明细!$J$2:$J$50000,"运维测试",缺陷明细!$AA$2:$AA$50000,"&lt;&gt;丢弃",缺陷明细!$AA$2:$AA$50000,"&lt;&gt;设计如此",缺陷明细!$AA$2:$AA$50000,"&lt;&gt;重复Bug")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A$2:$AA$50000,"&lt;&gt;丢弃",缺陷明细!$AA$2:$AA$50000,"&lt;&gt;设计如此",缺陷明细!$AA$2:$AA$50000,"&lt;&gt;重复Bug")+COUNTIFS(缺陷明细!$A$2:$A$50000,$B$4,缺陷明细!$G$2:$G$50000,$C40,缺陷明细!$J$2:$J$50000,"运维测试",缺陷明细!$K$2:$K$50000,"严重",缺陷明细!$AA$2:$AA$50000,"&lt;&gt;丢弃",缺陷明细!$AA$2:$AA$50000,"&lt;&gt;设计如此",缺陷明细!$AA$2:$AA$50000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51"/>
    </row>
    <row r="41" spans="1:37">
      <c r="A41">
        <v>37</v>
      </c>
      <c r="B41" s="57"/>
      <c r="C41" s="58"/>
      <c r="D41" s="84"/>
      <c r="E41" s="82"/>
      <c r="F41" s="165"/>
      <c r="G41" s="166"/>
      <c r="H41" s="305">
        <f>COUNTIFS(缺陷明细!$A$2:$A$50000,$B$4,缺陷明细!$G$2:$G$50000,$C41,缺陷明细!$J$2:$J$50000,"评审",缺陷明细!$AA$2:$AA$50000,"&lt;&gt;丢弃",缺陷明细!$AA$2:$AA$50000,"&lt;&gt;设计如此",缺陷明细!$AA$2:$AA$50000,"&lt;&gt;重复Bug")</f>
        <v>0</v>
      </c>
      <c r="I41" s="161">
        <f>COUNTIFS(缺陷明细!$A$2:$A$50000,$B$4,缺陷明细!$G$2:$G$50000,$C41,缺陷明细!$Q$2:$Q$50000,"已关闭",缺陷明细!$J$2:$J$50000,"评审")</f>
        <v>0</v>
      </c>
      <c r="J41" s="161">
        <f>COUNTIFS(缺陷明细!$A$2:$A$50000,$B$4,缺陷明细!$G$2:$G$50000,$C41,缺陷明细!$J$2:$J$50000,"单元测试",缺陷明细!$AA$2:$AA$50000,"&lt;&gt;丢弃",缺陷明细!$AA$2:$AA$50000,"&lt;&gt;设计如此",缺陷明细!$AA$2:$AA$50000,"&lt;&gt;重复Bug")</f>
        <v>0</v>
      </c>
      <c r="K41" s="162">
        <f>COUNTIFS(缺陷明细!$A$2:$A$50000,$B$4,缺陷明细!$G$2:$G$50000,$C41,缺陷明细!$Q$2:$Q$50000,"已关闭",缺陷明细!$J$2:$J$50000,"单元测试")</f>
        <v>0</v>
      </c>
      <c r="L41" s="163"/>
      <c r="M41" s="164"/>
      <c r="N41" s="72">
        <f>COUNTIFS(缺陷明细!$A$2:$A$50000,$B$4,缺陷明细!$G$2:$G$50000,$C41,缺陷明细!$J$2:$J$50000,"系统测试案例评审",缺陷明细!$AA$2:$AA$50000,"&lt;&gt;丢弃",缺陷明细!$AA$2:$AA$50000,"&lt;&gt;设计如此",缺陷明细!$AA$2:$AA$50000,"&lt;&gt;重复Bug")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COUNTIFS(缺陷明细!$A$2:$A$50000,$B$4,缺陷明细!$G$2:$G$50000,$C41,缺陷明细!$J$2:$J$50000,"系统测试",缺陷明细!$AA$2:$AA$50000,"&lt;&gt;丢弃",缺陷明细!$AA$2:$AA$50000,"&lt;&gt;设计如此",缺陷明细!$AA$2:$AA$50000,"&lt;&gt;重复Bug")</f>
        <v>0</v>
      </c>
      <c r="Q41" s="72">
        <f>COUNTIFS(缺陷明细!$A$2:$A$50000,$B$4,缺陷明细!$G$2:$G$50000,$C41,缺陷明细!$Q$2:$Q$50000,"已关闭",缺陷明细!$J$2:$J$50000,"系统测试")</f>
        <v>0</v>
      </c>
      <c r="R41" s="72">
        <f>COUNTIFS(缺陷明细!$A$2:$A$50000,$B$4,缺陷明细!$G$2:$G$50000,$C41,缺陷明细!$AA$2:$AA$50000,"丢弃",缺陷明细!$J$2:$J$50000,"系统测试")+COUNTIFS(缺陷明细!$A$2:$A$50000,$B$4,缺陷明细!$G$2:$G$50000,$C41,缺陷明细!$AA$2:$AA$50000,"设计如此",缺陷明细!$J$2:$J$50000,"系统测试"+COUNTIFS(缺陷明细!$A$2:$A$50000,$B$4,缺陷明细!$G$2:$G$50000,$C41,缺陷明细!$AA$2:$AA$50000,"重复Bug",缺陷明细!$J$2:$J$50000,"系统测试"))</f>
        <v>0</v>
      </c>
      <c r="S41" s="72">
        <f>COUNTIFS(缺陷明细!$A$2:$A$50000,$B$4,缺陷明细!$G$2:$G$50000,$C41,缺陷明细!$J$2:$J$50000,"系统测试",缺陷明细!$K$2:$K$50000,"致命",缺陷明细!$AA$2:$AA$50000,"&lt;&gt;丢弃",缺陷明细!$AA$2:$AA$50000,"&lt;&gt;设计如此",缺陷明细!$AA$2:$AA$50000,"&lt;&gt;重复Bug")+COUNTIFS(缺陷明细!$A$2:$A$50000,$B$4,缺陷明细!$G$2:$G$50000,$C41,缺陷明细!$J$2:$J$50000,"系统测试",缺陷明细!$K$2:$K$50000,"严重",缺陷明细!$AA$2:$AA$50000,"&lt;&gt;丢弃",缺陷明细!$AA$2:$AA$50000,"&lt;&gt;设计如此",缺陷明细!$AA$2:$AA$50000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COUNTIFS(缺陷明细!$A$2:$A$50000,$B$4,缺陷明细!$G$2:$G$50000,$C41,缺陷明细!$J$2:$J$50000,"验收测试",缺陷明细!$AA$2:$AA$50000,"&lt;&gt;丢弃",缺陷明细!$AA$2:$AA$50000,"&lt;&gt;设计如此",缺陷明细!$AA$2:$AA$50000,"&lt;&gt;重复Bug")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A$2:$AA$50000,"&lt;&gt;丢弃",缺陷明细!$AA$2:$AA$50000,"&lt;&gt;设计如此",缺陷明细!$AA$2:$AA$50000,"&lt;&gt;重复Bug")+COUNTIFS(缺陷明细!$A$2:$A$50000,$B$4,缺陷明细!$G$2:$G$50000,$C41,缺陷明细!$J$2:$J$50000,"验收测试",缺陷明细!$K$2:$K$50000,"严重",缺陷明细!$AA$2:$AA$50000,"&lt;&gt;丢弃",缺陷明细!$AA$2:$AA$50000,"&lt;&gt;设计如此",缺陷明细!$AA$2:$AA$50000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COUNTIFS(缺陷明细!$A$2:$A$50000,$B$4,缺陷明细!$G$2:$G$50000,$C41,缺陷明细!$J$2:$J$50000,"运维测试",缺陷明细!$AA$2:$AA$50000,"&lt;&gt;丢弃",缺陷明细!$AA$2:$AA$50000,"&lt;&gt;设计如此",缺陷明细!$AA$2:$AA$50000,"&lt;&gt;重复Bug")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A$2:$AA$50000,"&lt;&gt;丢弃",缺陷明细!$AA$2:$AA$50000,"&lt;&gt;设计如此",缺陷明细!$AA$2:$AA$50000,"&lt;&gt;重复Bug")+COUNTIFS(缺陷明细!$A$2:$A$50000,$B$4,缺陷明细!$G$2:$G$50000,$C41,缺陷明细!$J$2:$J$50000,"运维测试",缺陷明细!$K$2:$K$50000,"严重",缺陷明细!$AA$2:$AA$50000,"&lt;&gt;丢弃",缺陷明细!$AA$2:$AA$50000,"&lt;&gt;设计如此",缺陷明细!$AA$2:$AA$50000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51"/>
    </row>
    <row r="42" spans="1:37">
      <c r="A42">
        <v>38</v>
      </c>
      <c r="B42" s="57"/>
      <c r="C42" s="58"/>
      <c r="D42" s="84"/>
      <c r="E42" s="82"/>
      <c r="F42" s="165"/>
      <c r="G42" s="166"/>
      <c r="H42" s="305">
        <f>COUNTIFS(缺陷明细!$A$2:$A$50000,$B$4,缺陷明细!$G$2:$G$50000,$C42,缺陷明细!$J$2:$J$50000,"评审",缺陷明细!$AA$2:$AA$50000,"&lt;&gt;丢弃",缺陷明细!$AA$2:$AA$50000,"&lt;&gt;设计如此",缺陷明细!$AA$2:$AA$50000,"&lt;&gt;重复Bug")</f>
        <v>0</v>
      </c>
      <c r="I42" s="161">
        <f>COUNTIFS(缺陷明细!$A$2:$A$50000,$B$4,缺陷明细!$G$2:$G$50000,$C42,缺陷明细!$Q$2:$Q$50000,"已关闭",缺陷明细!$J$2:$J$50000,"评审")</f>
        <v>0</v>
      </c>
      <c r="J42" s="161">
        <f>COUNTIFS(缺陷明细!$A$2:$A$50000,$B$4,缺陷明细!$G$2:$G$50000,$C42,缺陷明细!$J$2:$J$50000,"单元测试",缺陷明细!$AA$2:$AA$50000,"&lt;&gt;丢弃",缺陷明细!$AA$2:$AA$50000,"&lt;&gt;设计如此",缺陷明细!$AA$2:$AA$50000,"&lt;&gt;重复Bug")</f>
        <v>0</v>
      </c>
      <c r="K42" s="162">
        <f>COUNTIFS(缺陷明细!$A$2:$A$50000,$B$4,缺陷明细!$G$2:$G$50000,$C42,缺陷明细!$Q$2:$Q$50000,"已关闭",缺陷明细!$J$2:$J$50000,"单元测试")</f>
        <v>0</v>
      </c>
      <c r="L42" s="163"/>
      <c r="M42" s="164"/>
      <c r="N42" s="72">
        <f>COUNTIFS(缺陷明细!$A$2:$A$50000,$B$4,缺陷明细!$G$2:$G$50000,$C42,缺陷明细!$J$2:$J$50000,"系统测试案例评审",缺陷明细!$AA$2:$AA$50000,"&lt;&gt;丢弃",缺陷明细!$AA$2:$AA$50000,"&lt;&gt;设计如此",缺陷明细!$AA$2:$AA$50000,"&lt;&gt;重复Bug")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COUNTIFS(缺陷明细!$A$2:$A$50000,$B$4,缺陷明细!$G$2:$G$50000,$C42,缺陷明细!$J$2:$J$50000,"系统测试",缺陷明细!$AA$2:$AA$50000,"&lt;&gt;丢弃",缺陷明细!$AA$2:$AA$50000,"&lt;&gt;设计如此",缺陷明细!$AA$2:$AA$50000,"&lt;&gt;重复Bug")</f>
        <v>0</v>
      </c>
      <c r="Q42" s="72">
        <f>COUNTIFS(缺陷明细!$A$2:$A$50000,$B$4,缺陷明细!$G$2:$G$50000,$C42,缺陷明细!$Q$2:$Q$50000,"已关闭",缺陷明细!$J$2:$J$50000,"系统测试")</f>
        <v>0</v>
      </c>
      <c r="R42" s="72">
        <f>COUNTIFS(缺陷明细!$A$2:$A$50000,$B$4,缺陷明细!$G$2:$G$50000,$C42,缺陷明细!$AA$2:$AA$50000,"丢弃",缺陷明细!$J$2:$J$50000,"系统测试")+COUNTIFS(缺陷明细!$A$2:$A$50000,$B$4,缺陷明细!$G$2:$G$50000,$C42,缺陷明细!$AA$2:$AA$50000,"设计如此",缺陷明细!$J$2:$J$50000,"系统测试"+COUNTIFS(缺陷明细!$A$2:$A$50000,$B$4,缺陷明细!$G$2:$G$50000,$C42,缺陷明细!$AA$2:$AA$50000,"重复Bug",缺陷明细!$J$2:$J$50000,"系统测试"))</f>
        <v>0</v>
      </c>
      <c r="S42" s="72">
        <f>COUNTIFS(缺陷明细!$A$2:$A$50000,$B$4,缺陷明细!$G$2:$G$50000,$C42,缺陷明细!$J$2:$J$50000,"系统测试",缺陷明细!$K$2:$K$50000,"致命",缺陷明细!$AA$2:$AA$50000,"&lt;&gt;丢弃",缺陷明细!$AA$2:$AA$50000,"&lt;&gt;设计如此",缺陷明细!$AA$2:$AA$50000,"&lt;&gt;重复Bug")+COUNTIFS(缺陷明细!$A$2:$A$50000,$B$4,缺陷明细!$G$2:$G$50000,$C42,缺陷明细!$J$2:$J$50000,"系统测试",缺陷明细!$K$2:$K$50000,"严重",缺陷明细!$AA$2:$AA$50000,"&lt;&gt;丢弃",缺陷明细!$AA$2:$AA$50000,"&lt;&gt;设计如此",缺陷明细!$AA$2:$AA$50000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COUNTIFS(缺陷明细!$A$2:$A$50000,$B$4,缺陷明细!$G$2:$G$50000,$C42,缺陷明细!$J$2:$J$50000,"验收测试",缺陷明细!$AA$2:$AA$50000,"&lt;&gt;丢弃",缺陷明细!$AA$2:$AA$50000,"&lt;&gt;设计如此",缺陷明细!$AA$2:$AA$50000,"&lt;&gt;重复Bug")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A$2:$AA$50000,"&lt;&gt;丢弃",缺陷明细!$AA$2:$AA$50000,"&lt;&gt;设计如此",缺陷明细!$AA$2:$AA$50000,"&lt;&gt;重复Bug")+COUNTIFS(缺陷明细!$A$2:$A$50000,$B$4,缺陷明细!$G$2:$G$50000,$C42,缺陷明细!$J$2:$J$50000,"验收测试",缺陷明细!$K$2:$K$50000,"严重",缺陷明细!$AA$2:$AA$50000,"&lt;&gt;丢弃",缺陷明细!$AA$2:$AA$50000,"&lt;&gt;设计如此",缺陷明细!$AA$2:$AA$50000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COUNTIFS(缺陷明细!$A$2:$A$50000,$B$4,缺陷明细!$G$2:$G$50000,$C42,缺陷明细!$J$2:$J$50000,"运维测试",缺陷明细!$AA$2:$AA$50000,"&lt;&gt;丢弃",缺陷明细!$AA$2:$AA$50000,"&lt;&gt;设计如此",缺陷明细!$AA$2:$AA$50000,"&lt;&gt;重复Bug")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A$2:$AA$50000,"&lt;&gt;丢弃",缺陷明细!$AA$2:$AA$50000,"&lt;&gt;设计如此",缺陷明细!$AA$2:$AA$50000,"&lt;&gt;重复Bug")+COUNTIFS(缺陷明细!$A$2:$A$50000,$B$4,缺陷明细!$G$2:$G$50000,$C42,缺陷明细!$J$2:$J$50000,"运维测试",缺陷明细!$K$2:$K$50000,"严重",缺陷明细!$AA$2:$AA$50000,"&lt;&gt;丢弃",缺陷明细!$AA$2:$AA$50000,"&lt;&gt;设计如此",缺陷明细!$AA$2:$AA$50000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51"/>
    </row>
    <row r="43" spans="1:37">
      <c r="A43">
        <v>39</v>
      </c>
      <c r="B43" s="57"/>
      <c r="C43" s="58"/>
      <c r="D43" s="84"/>
      <c r="E43" s="82"/>
      <c r="F43" s="165"/>
      <c r="G43" s="166"/>
      <c r="H43" s="305">
        <f>COUNTIFS(缺陷明细!$A$2:$A$50000,$B$4,缺陷明细!$G$2:$G$50000,$C43,缺陷明细!$J$2:$J$50000,"评审",缺陷明细!$AA$2:$AA$50000,"&lt;&gt;丢弃",缺陷明细!$AA$2:$AA$50000,"&lt;&gt;设计如此",缺陷明细!$AA$2:$AA$50000,"&lt;&gt;重复Bug")</f>
        <v>0</v>
      </c>
      <c r="I43" s="161">
        <f>COUNTIFS(缺陷明细!$A$2:$A$50000,$B$4,缺陷明细!$G$2:$G$50000,$C43,缺陷明细!$Q$2:$Q$50000,"已关闭",缺陷明细!$J$2:$J$50000,"评审")</f>
        <v>0</v>
      </c>
      <c r="J43" s="161">
        <f>COUNTIFS(缺陷明细!$A$2:$A$50000,$B$4,缺陷明细!$G$2:$G$50000,$C43,缺陷明细!$J$2:$J$50000,"单元测试",缺陷明细!$AA$2:$AA$50000,"&lt;&gt;丢弃",缺陷明细!$AA$2:$AA$50000,"&lt;&gt;设计如此",缺陷明细!$AA$2:$AA$50000,"&lt;&gt;重复Bug")</f>
        <v>0</v>
      </c>
      <c r="K43" s="162">
        <f>COUNTIFS(缺陷明细!$A$2:$A$50000,$B$4,缺陷明细!$G$2:$G$50000,$C43,缺陷明细!$Q$2:$Q$50000,"已关闭",缺陷明细!$J$2:$J$50000,"单元测试")</f>
        <v>0</v>
      </c>
      <c r="L43" s="163"/>
      <c r="M43" s="164"/>
      <c r="N43" s="72">
        <f>COUNTIFS(缺陷明细!$A$2:$A$50000,$B$4,缺陷明细!$G$2:$G$50000,$C43,缺陷明细!$J$2:$J$50000,"系统测试案例评审",缺陷明细!$AA$2:$AA$50000,"&lt;&gt;丢弃",缺陷明细!$AA$2:$AA$50000,"&lt;&gt;设计如此",缺陷明细!$AA$2:$AA$50000,"&lt;&gt;重复Bug")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COUNTIFS(缺陷明细!$A$2:$A$50000,$B$4,缺陷明细!$G$2:$G$50000,$C43,缺陷明细!$J$2:$J$50000,"系统测试",缺陷明细!$AA$2:$AA$50000,"&lt;&gt;丢弃",缺陷明细!$AA$2:$AA$50000,"&lt;&gt;设计如此",缺陷明细!$AA$2:$AA$50000,"&lt;&gt;重复Bug")</f>
        <v>0</v>
      </c>
      <c r="Q43" s="72">
        <f>COUNTIFS(缺陷明细!$A$2:$A$50000,$B$4,缺陷明细!$G$2:$G$50000,$C43,缺陷明细!$Q$2:$Q$50000,"已关闭",缺陷明细!$J$2:$J$50000,"系统测试")</f>
        <v>0</v>
      </c>
      <c r="R43" s="72">
        <f>COUNTIFS(缺陷明细!$A$2:$A$50000,$B$4,缺陷明细!$G$2:$G$50000,$C43,缺陷明细!$AA$2:$AA$50000,"丢弃",缺陷明细!$J$2:$J$50000,"系统测试")+COUNTIFS(缺陷明细!$A$2:$A$50000,$B$4,缺陷明细!$G$2:$G$50000,$C43,缺陷明细!$AA$2:$AA$50000,"设计如此",缺陷明细!$J$2:$J$50000,"系统测试"+COUNTIFS(缺陷明细!$A$2:$A$50000,$B$4,缺陷明细!$G$2:$G$50000,$C43,缺陷明细!$AA$2:$AA$50000,"重复Bug",缺陷明细!$J$2:$J$50000,"系统测试"))</f>
        <v>0</v>
      </c>
      <c r="S43" s="72">
        <f>COUNTIFS(缺陷明细!$A$2:$A$50000,$B$4,缺陷明细!$G$2:$G$50000,$C43,缺陷明细!$J$2:$J$50000,"系统测试",缺陷明细!$K$2:$K$50000,"致命",缺陷明细!$AA$2:$AA$50000,"&lt;&gt;丢弃",缺陷明细!$AA$2:$AA$50000,"&lt;&gt;设计如此",缺陷明细!$AA$2:$AA$50000,"&lt;&gt;重复Bug")+COUNTIFS(缺陷明细!$A$2:$A$50000,$B$4,缺陷明细!$G$2:$G$50000,$C43,缺陷明细!$J$2:$J$50000,"系统测试",缺陷明细!$K$2:$K$50000,"严重",缺陷明细!$AA$2:$AA$50000,"&lt;&gt;丢弃",缺陷明细!$AA$2:$AA$50000,"&lt;&gt;设计如此",缺陷明细!$AA$2:$AA$50000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COUNTIFS(缺陷明细!$A$2:$A$50000,$B$4,缺陷明细!$G$2:$G$50000,$C43,缺陷明细!$J$2:$J$50000,"验收测试",缺陷明细!$AA$2:$AA$50000,"&lt;&gt;丢弃",缺陷明细!$AA$2:$AA$50000,"&lt;&gt;设计如此",缺陷明细!$AA$2:$AA$50000,"&lt;&gt;重复Bug")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A$2:$AA$50000,"&lt;&gt;丢弃",缺陷明细!$AA$2:$AA$50000,"&lt;&gt;设计如此",缺陷明细!$AA$2:$AA$50000,"&lt;&gt;重复Bug")+COUNTIFS(缺陷明细!$A$2:$A$50000,$B$4,缺陷明细!$G$2:$G$50000,$C43,缺陷明细!$J$2:$J$50000,"验收测试",缺陷明细!$K$2:$K$50000,"严重",缺陷明细!$AA$2:$AA$50000,"&lt;&gt;丢弃",缺陷明细!$AA$2:$AA$50000,"&lt;&gt;设计如此",缺陷明细!$AA$2:$AA$50000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COUNTIFS(缺陷明细!$A$2:$A$50000,$B$4,缺陷明细!$G$2:$G$50000,$C43,缺陷明细!$J$2:$J$50000,"运维测试",缺陷明细!$AA$2:$AA$50000,"&lt;&gt;丢弃",缺陷明细!$AA$2:$AA$50000,"&lt;&gt;设计如此",缺陷明细!$AA$2:$AA$50000,"&lt;&gt;重复Bug")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A$2:$AA$50000,"&lt;&gt;丢弃",缺陷明细!$AA$2:$AA$50000,"&lt;&gt;设计如此",缺陷明细!$AA$2:$AA$50000,"&lt;&gt;重复Bug")+COUNTIFS(缺陷明细!$A$2:$A$50000,$B$4,缺陷明细!$G$2:$G$50000,$C43,缺陷明细!$J$2:$J$50000,"运维测试",缺陷明细!$K$2:$K$50000,"严重",缺陷明细!$AA$2:$AA$50000,"&lt;&gt;丢弃",缺陷明细!$AA$2:$AA$50000,"&lt;&gt;设计如此",缺陷明细!$AA$2:$AA$50000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51"/>
    </row>
    <row r="44" spans="1:37">
      <c r="A44">
        <v>40</v>
      </c>
      <c r="B44" s="57"/>
      <c r="C44" s="58"/>
      <c r="D44" s="84"/>
      <c r="E44" s="82"/>
      <c r="F44" s="165"/>
      <c r="G44" s="166"/>
      <c r="H44" s="305">
        <f>COUNTIFS(缺陷明细!$A$2:$A$50000,$B$4,缺陷明细!$G$2:$G$50000,$C44,缺陷明细!$J$2:$J$50000,"评审",缺陷明细!$AA$2:$AA$50000,"&lt;&gt;丢弃",缺陷明细!$AA$2:$AA$50000,"&lt;&gt;设计如此",缺陷明细!$AA$2:$AA$50000,"&lt;&gt;重复Bug")</f>
        <v>0</v>
      </c>
      <c r="I44" s="161">
        <f>COUNTIFS(缺陷明细!$A$2:$A$50000,$B$4,缺陷明细!$G$2:$G$50000,$C44,缺陷明细!$Q$2:$Q$50000,"已关闭",缺陷明细!$J$2:$J$50000,"评审")</f>
        <v>0</v>
      </c>
      <c r="J44" s="161">
        <f>COUNTIFS(缺陷明细!$A$2:$A$50000,$B$4,缺陷明细!$G$2:$G$50000,$C44,缺陷明细!$J$2:$J$50000,"单元测试",缺陷明细!$AA$2:$AA$50000,"&lt;&gt;丢弃",缺陷明细!$AA$2:$AA$50000,"&lt;&gt;设计如此",缺陷明细!$AA$2:$AA$50000,"&lt;&gt;重复Bug")</f>
        <v>0</v>
      </c>
      <c r="K44" s="162">
        <f>COUNTIFS(缺陷明细!$A$2:$A$50000,$B$4,缺陷明细!$G$2:$G$50000,$C44,缺陷明细!$Q$2:$Q$50000,"已关闭",缺陷明细!$J$2:$J$50000,"单元测试")</f>
        <v>0</v>
      </c>
      <c r="L44" s="163"/>
      <c r="M44" s="164"/>
      <c r="N44" s="72">
        <f>COUNTIFS(缺陷明细!$A$2:$A$50000,$B$4,缺陷明细!$G$2:$G$50000,$C44,缺陷明细!$J$2:$J$50000,"系统测试案例评审",缺陷明细!$AA$2:$AA$50000,"&lt;&gt;丢弃",缺陷明细!$AA$2:$AA$50000,"&lt;&gt;设计如此",缺陷明细!$AA$2:$AA$50000,"&lt;&gt;重复Bug")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COUNTIFS(缺陷明细!$A$2:$A$50000,$B$4,缺陷明细!$G$2:$G$50000,$C44,缺陷明细!$J$2:$J$50000,"系统测试",缺陷明细!$AA$2:$AA$50000,"&lt;&gt;丢弃",缺陷明细!$AA$2:$AA$50000,"&lt;&gt;设计如此",缺陷明细!$AA$2:$AA$50000,"&lt;&gt;重复Bug")</f>
        <v>0</v>
      </c>
      <c r="Q44" s="72">
        <f>COUNTIFS(缺陷明细!$A$2:$A$50000,$B$4,缺陷明细!$G$2:$G$50000,$C44,缺陷明细!$Q$2:$Q$50000,"已关闭",缺陷明细!$J$2:$J$50000,"系统测试")</f>
        <v>0</v>
      </c>
      <c r="R44" s="72">
        <f>COUNTIFS(缺陷明细!$A$2:$A$50000,$B$4,缺陷明细!$G$2:$G$50000,$C44,缺陷明细!$AA$2:$AA$50000,"丢弃",缺陷明细!$J$2:$J$50000,"系统测试")+COUNTIFS(缺陷明细!$A$2:$A$50000,$B$4,缺陷明细!$G$2:$G$50000,$C44,缺陷明细!$AA$2:$AA$50000,"设计如此",缺陷明细!$J$2:$J$50000,"系统测试"+COUNTIFS(缺陷明细!$A$2:$A$50000,$B$4,缺陷明细!$G$2:$G$50000,$C44,缺陷明细!$AA$2:$AA$50000,"重复Bug",缺陷明细!$J$2:$J$50000,"系统测试"))</f>
        <v>0</v>
      </c>
      <c r="S44" s="72">
        <f>COUNTIFS(缺陷明细!$A$2:$A$50000,$B$4,缺陷明细!$G$2:$G$50000,$C44,缺陷明细!$J$2:$J$50000,"系统测试",缺陷明细!$K$2:$K$50000,"致命",缺陷明细!$AA$2:$AA$50000,"&lt;&gt;丢弃",缺陷明细!$AA$2:$AA$50000,"&lt;&gt;设计如此",缺陷明细!$AA$2:$AA$50000,"&lt;&gt;重复Bug")+COUNTIFS(缺陷明细!$A$2:$A$50000,$B$4,缺陷明细!$G$2:$G$50000,$C44,缺陷明细!$J$2:$J$50000,"系统测试",缺陷明细!$K$2:$K$50000,"严重",缺陷明细!$AA$2:$AA$50000,"&lt;&gt;丢弃",缺陷明细!$AA$2:$AA$50000,"&lt;&gt;设计如此",缺陷明细!$AA$2:$AA$50000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COUNTIFS(缺陷明细!$A$2:$A$50000,$B$4,缺陷明细!$G$2:$G$50000,$C44,缺陷明细!$J$2:$J$50000,"验收测试",缺陷明细!$AA$2:$AA$50000,"&lt;&gt;丢弃",缺陷明细!$AA$2:$AA$50000,"&lt;&gt;设计如此",缺陷明细!$AA$2:$AA$50000,"&lt;&gt;重复Bug")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A$2:$AA$50000,"&lt;&gt;丢弃",缺陷明细!$AA$2:$AA$50000,"&lt;&gt;设计如此",缺陷明细!$AA$2:$AA$50000,"&lt;&gt;重复Bug")+COUNTIFS(缺陷明细!$A$2:$A$50000,$B$4,缺陷明细!$G$2:$G$50000,$C44,缺陷明细!$J$2:$J$50000,"验收测试",缺陷明细!$K$2:$K$50000,"严重",缺陷明细!$AA$2:$AA$50000,"&lt;&gt;丢弃",缺陷明细!$AA$2:$AA$50000,"&lt;&gt;设计如此",缺陷明细!$AA$2:$AA$50000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COUNTIFS(缺陷明细!$A$2:$A$50000,$B$4,缺陷明细!$G$2:$G$50000,$C44,缺陷明细!$J$2:$J$50000,"运维测试",缺陷明细!$AA$2:$AA$50000,"&lt;&gt;丢弃",缺陷明细!$AA$2:$AA$50000,"&lt;&gt;设计如此",缺陷明细!$AA$2:$AA$50000,"&lt;&gt;重复Bug")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A$2:$AA$50000,"&lt;&gt;丢弃",缺陷明细!$AA$2:$AA$50000,"&lt;&gt;设计如此",缺陷明细!$AA$2:$AA$50000,"&lt;&gt;重复Bug")+COUNTIFS(缺陷明细!$A$2:$A$50000,$B$4,缺陷明细!$G$2:$G$50000,$C44,缺陷明细!$J$2:$J$50000,"运维测试",缺陷明细!$K$2:$K$50000,"严重",缺陷明细!$AA$2:$AA$50000,"&lt;&gt;丢弃",缺陷明细!$AA$2:$AA$50000,"&lt;&gt;设计如此",缺陷明细!$AA$2:$AA$50000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51"/>
    </row>
    <row r="45" spans="1:37">
      <c r="A45">
        <v>41</v>
      </c>
      <c r="B45" s="57"/>
      <c r="C45" s="58"/>
      <c r="D45" s="84"/>
      <c r="E45" s="82"/>
      <c r="F45" s="165"/>
      <c r="G45" s="166"/>
      <c r="H45" s="305">
        <f>COUNTIFS(缺陷明细!$A$2:$A$50000,$B$4,缺陷明细!$G$2:$G$50000,$C45,缺陷明细!$J$2:$J$50000,"评审",缺陷明细!$AA$2:$AA$50000,"&lt;&gt;丢弃",缺陷明细!$AA$2:$AA$50000,"&lt;&gt;设计如此",缺陷明细!$AA$2:$AA$50000,"&lt;&gt;重复Bug")</f>
        <v>0</v>
      </c>
      <c r="I45" s="161">
        <f>COUNTIFS(缺陷明细!$A$2:$A$50000,$B$4,缺陷明细!$G$2:$G$50000,$C45,缺陷明细!$Q$2:$Q$50000,"已关闭",缺陷明细!$J$2:$J$50000,"评审")</f>
        <v>0</v>
      </c>
      <c r="J45" s="161">
        <f>COUNTIFS(缺陷明细!$A$2:$A$50000,$B$4,缺陷明细!$G$2:$G$50000,$C45,缺陷明细!$J$2:$J$50000,"单元测试",缺陷明细!$AA$2:$AA$50000,"&lt;&gt;丢弃",缺陷明细!$AA$2:$AA$50000,"&lt;&gt;设计如此",缺陷明细!$AA$2:$AA$50000,"&lt;&gt;重复Bug")</f>
        <v>0</v>
      </c>
      <c r="K45" s="162">
        <f>COUNTIFS(缺陷明细!$A$2:$A$50000,$B$4,缺陷明细!$G$2:$G$50000,$C45,缺陷明细!$Q$2:$Q$50000,"已关闭",缺陷明细!$J$2:$J$50000,"单元测试")</f>
        <v>0</v>
      </c>
      <c r="L45" s="163"/>
      <c r="M45" s="164"/>
      <c r="N45" s="72">
        <f>COUNTIFS(缺陷明细!$A$2:$A$50000,$B$4,缺陷明细!$G$2:$G$50000,$C45,缺陷明细!$J$2:$J$50000,"系统测试案例评审",缺陷明细!$AA$2:$AA$50000,"&lt;&gt;丢弃",缺陷明细!$AA$2:$AA$50000,"&lt;&gt;设计如此",缺陷明细!$AA$2:$AA$50000,"&lt;&gt;重复Bug")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COUNTIFS(缺陷明细!$A$2:$A$50000,$B$4,缺陷明细!$G$2:$G$50000,$C45,缺陷明细!$J$2:$J$50000,"系统测试",缺陷明细!$AA$2:$AA$50000,"&lt;&gt;丢弃",缺陷明细!$AA$2:$AA$50000,"&lt;&gt;设计如此",缺陷明细!$AA$2:$AA$50000,"&lt;&gt;重复Bug")</f>
        <v>0</v>
      </c>
      <c r="Q45" s="72">
        <f>COUNTIFS(缺陷明细!$A$2:$A$50000,$B$4,缺陷明细!$G$2:$G$50000,$C45,缺陷明细!$Q$2:$Q$50000,"已关闭",缺陷明细!$J$2:$J$50000,"系统测试")</f>
        <v>0</v>
      </c>
      <c r="R45" s="72">
        <f>COUNTIFS(缺陷明细!$A$2:$A$50000,$B$4,缺陷明细!$G$2:$G$50000,$C45,缺陷明细!$AA$2:$AA$50000,"丢弃",缺陷明细!$J$2:$J$50000,"系统测试")+COUNTIFS(缺陷明细!$A$2:$A$50000,$B$4,缺陷明细!$G$2:$G$50000,$C45,缺陷明细!$AA$2:$AA$50000,"设计如此",缺陷明细!$J$2:$J$50000,"系统测试"+COUNTIFS(缺陷明细!$A$2:$A$50000,$B$4,缺陷明细!$G$2:$G$50000,$C45,缺陷明细!$AA$2:$AA$50000,"重复Bug",缺陷明细!$J$2:$J$50000,"系统测试"))</f>
        <v>0</v>
      </c>
      <c r="S45" s="72">
        <f>COUNTIFS(缺陷明细!$A$2:$A$50000,$B$4,缺陷明细!$G$2:$G$50000,$C45,缺陷明细!$J$2:$J$50000,"系统测试",缺陷明细!$K$2:$K$50000,"致命",缺陷明细!$AA$2:$AA$50000,"&lt;&gt;丢弃",缺陷明细!$AA$2:$AA$50000,"&lt;&gt;设计如此",缺陷明细!$AA$2:$AA$50000,"&lt;&gt;重复Bug")+COUNTIFS(缺陷明细!$A$2:$A$50000,$B$4,缺陷明细!$G$2:$G$50000,$C45,缺陷明细!$J$2:$J$50000,"系统测试",缺陷明细!$K$2:$K$50000,"严重",缺陷明细!$AA$2:$AA$50000,"&lt;&gt;丢弃",缺陷明细!$AA$2:$AA$50000,"&lt;&gt;设计如此",缺陷明细!$AA$2:$AA$50000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COUNTIFS(缺陷明细!$A$2:$A$50000,$B$4,缺陷明细!$G$2:$G$50000,$C45,缺陷明细!$J$2:$J$50000,"验收测试",缺陷明细!$AA$2:$AA$50000,"&lt;&gt;丢弃",缺陷明细!$AA$2:$AA$50000,"&lt;&gt;设计如此",缺陷明细!$AA$2:$AA$50000,"&lt;&gt;重复Bug")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A$2:$AA$50000,"&lt;&gt;丢弃",缺陷明细!$AA$2:$AA$50000,"&lt;&gt;设计如此",缺陷明细!$AA$2:$AA$50000,"&lt;&gt;重复Bug")+COUNTIFS(缺陷明细!$A$2:$A$50000,$B$4,缺陷明细!$G$2:$G$50000,$C45,缺陷明细!$J$2:$J$50000,"验收测试",缺陷明细!$K$2:$K$50000,"严重",缺陷明细!$AA$2:$AA$50000,"&lt;&gt;丢弃",缺陷明细!$AA$2:$AA$50000,"&lt;&gt;设计如此",缺陷明细!$AA$2:$AA$50000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COUNTIFS(缺陷明细!$A$2:$A$50000,$B$4,缺陷明细!$G$2:$G$50000,$C45,缺陷明细!$J$2:$J$50000,"运维测试",缺陷明细!$AA$2:$AA$50000,"&lt;&gt;丢弃",缺陷明细!$AA$2:$AA$50000,"&lt;&gt;设计如此",缺陷明细!$AA$2:$AA$50000,"&lt;&gt;重复Bug")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A$2:$AA$50000,"&lt;&gt;丢弃",缺陷明细!$AA$2:$AA$50000,"&lt;&gt;设计如此",缺陷明细!$AA$2:$AA$50000,"&lt;&gt;重复Bug")+COUNTIFS(缺陷明细!$A$2:$A$50000,$B$4,缺陷明细!$G$2:$G$50000,$C45,缺陷明细!$J$2:$J$50000,"运维测试",缺陷明细!$K$2:$K$50000,"严重",缺陷明细!$AA$2:$AA$50000,"&lt;&gt;丢弃",缺陷明细!$AA$2:$AA$50000,"&lt;&gt;设计如此",缺陷明细!$AA$2:$AA$50000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51"/>
    </row>
    <row r="46" spans="1:37">
      <c r="A46">
        <v>42</v>
      </c>
      <c r="B46" s="57"/>
      <c r="C46" s="58"/>
      <c r="D46" s="84"/>
      <c r="E46" s="82"/>
      <c r="F46" s="165"/>
      <c r="G46" s="166"/>
      <c r="H46" s="305">
        <f>COUNTIFS(缺陷明细!$A$2:$A$50000,$B$4,缺陷明细!$G$2:$G$50000,$C46,缺陷明细!$J$2:$J$50000,"评审",缺陷明细!$AA$2:$AA$50000,"&lt;&gt;丢弃",缺陷明细!$AA$2:$AA$50000,"&lt;&gt;设计如此",缺陷明细!$AA$2:$AA$50000,"&lt;&gt;重复Bug")</f>
        <v>0</v>
      </c>
      <c r="I46" s="161">
        <f>COUNTIFS(缺陷明细!$A$2:$A$50000,$B$4,缺陷明细!$G$2:$G$50000,$C46,缺陷明细!$Q$2:$Q$50000,"已关闭",缺陷明细!$J$2:$J$50000,"评审")</f>
        <v>0</v>
      </c>
      <c r="J46" s="161">
        <f>COUNTIFS(缺陷明细!$A$2:$A$50000,$B$4,缺陷明细!$G$2:$G$50000,$C46,缺陷明细!$J$2:$J$50000,"单元测试",缺陷明细!$AA$2:$AA$50000,"&lt;&gt;丢弃",缺陷明细!$AA$2:$AA$50000,"&lt;&gt;设计如此",缺陷明细!$AA$2:$AA$50000,"&lt;&gt;重复Bug")</f>
        <v>0</v>
      </c>
      <c r="K46" s="162">
        <f>COUNTIFS(缺陷明细!$A$2:$A$50000,$B$4,缺陷明细!$G$2:$G$50000,$C46,缺陷明细!$Q$2:$Q$50000,"已关闭",缺陷明细!$J$2:$J$50000,"单元测试")</f>
        <v>0</v>
      </c>
      <c r="L46" s="163"/>
      <c r="M46" s="164"/>
      <c r="N46" s="72">
        <f>COUNTIFS(缺陷明细!$A$2:$A$50000,$B$4,缺陷明细!$G$2:$G$50000,$C46,缺陷明细!$J$2:$J$50000,"系统测试案例评审",缺陷明细!$AA$2:$AA$50000,"&lt;&gt;丢弃",缺陷明细!$AA$2:$AA$50000,"&lt;&gt;设计如此",缺陷明细!$AA$2:$AA$50000,"&lt;&gt;重复Bug")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COUNTIFS(缺陷明细!$A$2:$A$50000,$B$4,缺陷明细!$G$2:$G$50000,$C46,缺陷明细!$J$2:$J$50000,"系统测试",缺陷明细!$AA$2:$AA$50000,"&lt;&gt;丢弃",缺陷明细!$AA$2:$AA$50000,"&lt;&gt;设计如此",缺陷明细!$AA$2:$AA$50000,"&lt;&gt;重复Bug")</f>
        <v>0</v>
      </c>
      <c r="Q46" s="72">
        <f>COUNTIFS(缺陷明细!$A$2:$A$50000,$B$4,缺陷明细!$G$2:$G$50000,$C46,缺陷明细!$Q$2:$Q$50000,"已关闭",缺陷明细!$J$2:$J$50000,"系统测试")</f>
        <v>0</v>
      </c>
      <c r="R46" s="72">
        <f>COUNTIFS(缺陷明细!$A$2:$A$50000,$B$4,缺陷明细!$G$2:$G$50000,$C46,缺陷明细!$AA$2:$AA$50000,"丢弃",缺陷明细!$J$2:$J$50000,"系统测试")+COUNTIFS(缺陷明细!$A$2:$A$50000,$B$4,缺陷明细!$G$2:$G$50000,$C46,缺陷明细!$AA$2:$AA$50000,"设计如此",缺陷明细!$J$2:$J$50000,"系统测试"+COUNTIFS(缺陷明细!$A$2:$A$50000,$B$4,缺陷明细!$G$2:$G$50000,$C46,缺陷明细!$AA$2:$AA$50000,"重复Bug",缺陷明细!$J$2:$J$50000,"系统测试"))</f>
        <v>0</v>
      </c>
      <c r="S46" s="72">
        <f>COUNTIFS(缺陷明细!$A$2:$A$50000,$B$4,缺陷明细!$G$2:$G$50000,$C46,缺陷明细!$J$2:$J$50000,"系统测试",缺陷明细!$K$2:$K$50000,"致命",缺陷明细!$AA$2:$AA$50000,"&lt;&gt;丢弃",缺陷明细!$AA$2:$AA$50000,"&lt;&gt;设计如此",缺陷明细!$AA$2:$AA$50000,"&lt;&gt;重复Bug")+COUNTIFS(缺陷明细!$A$2:$A$50000,$B$4,缺陷明细!$G$2:$G$50000,$C46,缺陷明细!$J$2:$J$50000,"系统测试",缺陷明细!$K$2:$K$50000,"严重",缺陷明细!$AA$2:$AA$50000,"&lt;&gt;丢弃",缺陷明细!$AA$2:$AA$50000,"&lt;&gt;设计如此",缺陷明细!$AA$2:$AA$50000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COUNTIFS(缺陷明细!$A$2:$A$50000,$B$4,缺陷明细!$G$2:$G$50000,$C46,缺陷明细!$J$2:$J$50000,"验收测试",缺陷明细!$AA$2:$AA$50000,"&lt;&gt;丢弃",缺陷明细!$AA$2:$AA$50000,"&lt;&gt;设计如此",缺陷明细!$AA$2:$AA$50000,"&lt;&gt;重复Bug")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A$2:$AA$50000,"&lt;&gt;丢弃",缺陷明细!$AA$2:$AA$50000,"&lt;&gt;设计如此",缺陷明细!$AA$2:$AA$50000,"&lt;&gt;重复Bug")+COUNTIFS(缺陷明细!$A$2:$A$50000,$B$4,缺陷明细!$G$2:$G$50000,$C46,缺陷明细!$J$2:$J$50000,"验收测试",缺陷明细!$K$2:$K$50000,"严重",缺陷明细!$AA$2:$AA$50000,"&lt;&gt;丢弃",缺陷明细!$AA$2:$AA$50000,"&lt;&gt;设计如此",缺陷明细!$AA$2:$AA$50000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COUNTIFS(缺陷明细!$A$2:$A$50000,$B$4,缺陷明细!$G$2:$G$50000,$C46,缺陷明细!$J$2:$J$50000,"运维测试",缺陷明细!$AA$2:$AA$50000,"&lt;&gt;丢弃",缺陷明细!$AA$2:$AA$50000,"&lt;&gt;设计如此",缺陷明细!$AA$2:$AA$50000,"&lt;&gt;重复Bug")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A$2:$AA$50000,"&lt;&gt;丢弃",缺陷明细!$AA$2:$AA$50000,"&lt;&gt;设计如此",缺陷明细!$AA$2:$AA$50000,"&lt;&gt;重复Bug")+COUNTIFS(缺陷明细!$A$2:$A$50000,$B$4,缺陷明细!$G$2:$G$50000,$C46,缺陷明细!$J$2:$J$50000,"运维测试",缺陷明细!$K$2:$K$50000,"严重",缺陷明细!$AA$2:$AA$50000,"&lt;&gt;丢弃",缺陷明细!$AA$2:$AA$50000,"&lt;&gt;设计如此",缺陷明细!$AA$2:$AA$50000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51"/>
    </row>
    <row r="47" spans="1:37">
      <c r="A47">
        <v>43</v>
      </c>
      <c r="B47" s="57"/>
      <c r="C47" s="58"/>
      <c r="D47" s="84"/>
      <c r="E47" s="82"/>
      <c r="F47" s="165"/>
      <c r="G47" s="166"/>
      <c r="H47" s="305">
        <f>COUNTIFS(缺陷明细!$A$2:$A$50000,$B$4,缺陷明细!$G$2:$G$50000,$C47,缺陷明细!$J$2:$J$50000,"评审",缺陷明细!$AA$2:$AA$50000,"&lt;&gt;丢弃",缺陷明细!$AA$2:$AA$50000,"&lt;&gt;设计如此",缺陷明细!$AA$2:$AA$50000,"&lt;&gt;重复Bug")</f>
        <v>0</v>
      </c>
      <c r="I47" s="161">
        <f>COUNTIFS(缺陷明细!$A$2:$A$50000,$B$4,缺陷明细!$G$2:$G$50000,$C47,缺陷明细!$Q$2:$Q$50000,"已关闭",缺陷明细!$J$2:$J$50000,"评审")</f>
        <v>0</v>
      </c>
      <c r="J47" s="161">
        <f>COUNTIFS(缺陷明细!$A$2:$A$50000,$B$4,缺陷明细!$G$2:$G$50000,$C47,缺陷明细!$J$2:$J$50000,"单元测试",缺陷明细!$AA$2:$AA$50000,"&lt;&gt;丢弃",缺陷明细!$AA$2:$AA$50000,"&lt;&gt;设计如此",缺陷明细!$AA$2:$AA$50000,"&lt;&gt;重复Bug")</f>
        <v>0</v>
      </c>
      <c r="K47" s="162">
        <f>COUNTIFS(缺陷明细!$A$2:$A$50000,$B$4,缺陷明细!$G$2:$G$50000,$C47,缺陷明细!$Q$2:$Q$50000,"已关闭",缺陷明细!$J$2:$J$50000,"单元测试")</f>
        <v>0</v>
      </c>
      <c r="L47" s="163"/>
      <c r="M47" s="164"/>
      <c r="N47" s="72">
        <f>COUNTIFS(缺陷明细!$A$2:$A$50000,$B$4,缺陷明细!$G$2:$G$50000,$C47,缺陷明细!$J$2:$J$50000,"系统测试案例评审",缺陷明细!$AA$2:$AA$50000,"&lt;&gt;丢弃",缺陷明细!$AA$2:$AA$50000,"&lt;&gt;设计如此",缺陷明细!$AA$2:$AA$50000,"&lt;&gt;重复Bug")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COUNTIFS(缺陷明细!$A$2:$A$50000,$B$4,缺陷明细!$G$2:$G$50000,$C47,缺陷明细!$J$2:$J$50000,"系统测试",缺陷明细!$AA$2:$AA$50000,"&lt;&gt;丢弃",缺陷明细!$AA$2:$AA$50000,"&lt;&gt;设计如此",缺陷明细!$AA$2:$AA$50000,"&lt;&gt;重复Bug")</f>
        <v>0</v>
      </c>
      <c r="Q47" s="72">
        <f>COUNTIFS(缺陷明细!$A$2:$A$50000,$B$4,缺陷明细!$G$2:$G$50000,$C47,缺陷明细!$Q$2:$Q$50000,"已关闭",缺陷明细!$J$2:$J$50000,"系统测试")</f>
        <v>0</v>
      </c>
      <c r="R47" s="72">
        <f>COUNTIFS(缺陷明细!$A$2:$A$50000,$B$4,缺陷明细!$G$2:$G$50000,$C47,缺陷明细!$AA$2:$AA$50000,"丢弃",缺陷明细!$J$2:$J$50000,"系统测试")+COUNTIFS(缺陷明细!$A$2:$A$50000,$B$4,缺陷明细!$G$2:$G$50000,$C47,缺陷明细!$AA$2:$AA$50000,"设计如此",缺陷明细!$J$2:$J$50000,"系统测试"+COUNTIFS(缺陷明细!$A$2:$A$50000,$B$4,缺陷明细!$G$2:$G$50000,$C47,缺陷明细!$AA$2:$AA$50000,"重复Bug",缺陷明细!$J$2:$J$50000,"系统测试"))</f>
        <v>0</v>
      </c>
      <c r="S47" s="72">
        <f>COUNTIFS(缺陷明细!$A$2:$A$50000,$B$4,缺陷明细!$G$2:$G$50000,$C47,缺陷明细!$J$2:$J$50000,"系统测试",缺陷明细!$K$2:$K$50000,"致命",缺陷明细!$AA$2:$AA$50000,"&lt;&gt;丢弃",缺陷明细!$AA$2:$AA$50000,"&lt;&gt;设计如此",缺陷明细!$AA$2:$AA$50000,"&lt;&gt;重复Bug")+COUNTIFS(缺陷明细!$A$2:$A$50000,$B$4,缺陷明细!$G$2:$G$50000,$C47,缺陷明细!$J$2:$J$50000,"系统测试",缺陷明细!$K$2:$K$50000,"严重",缺陷明细!$AA$2:$AA$50000,"&lt;&gt;丢弃",缺陷明细!$AA$2:$AA$50000,"&lt;&gt;设计如此",缺陷明细!$AA$2:$AA$50000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COUNTIFS(缺陷明细!$A$2:$A$50000,$B$4,缺陷明细!$G$2:$G$50000,$C47,缺陷明细!$J$2:$J$50000,"验收测试",缺陷明细!$AA$2:$AA$50000,"&lt;&gt;丢弃",缺陷明细!$AA$2:$AA$50000,"&lt;&gt;设计如此",缺陷明细!$AA$2:$AA$50000,"&lt;&gt;重复Bug")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A$2:$AA$50000,"&lt;&gt;丢弃",缺陷明细!$AA$2:$AA$50000,"&lt;&gt;设计如此",缺陷明细!$AA$2:$AA$50000,"&lt;&gt;重复Bug")+COUNTIFS(缺陷明细!$A$2:$A$50000,$B$4,缺陷明细!$G$2:$G$50000,$C47,缺陷明细!$J$2:$J$50000,"验收测试",缺陷明细!$K$2:$K$50000,"严重",缺陷明细!$AA$2:$AA$50000,"&lt;&gt;丢弃",缺陷明细!$AA$2:$AA$50000,"&lt;&gt;设计如此",缺陷明细!$AA$2:$AA$50000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COUNTIFS(缺陷明细!$A$2:$A$50000,$B$4,缺陷明细!$G$2:$G$50000,$C47,缺陷明细!$J$2:$J$50000,"运维测试",缺陷明细!$AA$2:$AA$50000,"&lt;&gt;丢弃",缺陷明细!$AA$2:$AA$50000,"&lt;&gt;设计如此",缺陷明细!$AA$2:$AA$50000,"&lt;&gt;重复Bug")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A$2:$AA$50000,"&lt;&gt;丢弃",缺陷明细!$AA$2:$AA$50000,"&lt;&gt;设计如此",缺陷明细!$AA$2:$AA$50000,"&lt;&gt;重复Bug")+COUNTIFS(缺陷明细!$A$2:$A$50000,$B$4,缺陷明细!$G$2:$G$50000,$C47,缺陷明细!$J$2:$J$50000,"运维测试",缺陷明细!$K$2:$K$50000,"严重",缺陷明细!$AA$2:$AA$50000,"&lt;&gt;丢弃",缺陷明细!$AA$2:$AA$50000,"&lt;&gt;设计如此",缺陷明细!$AA$2:$AA$50000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51"/>
    </row>
    <row r="48" spans="1:37">
      <c r="A48">
        <v>44</v>
      </c>
      <c r="B48" s="57"/>
      <c r="C48" s="58"/>
      <c r="D48" s="84"/>
      <c r="E48" s="82"/>
      <c r="F48" s="165"/>
      <c r="G48" s="166"/>
      <c r="H48" s="305">
        <f>COUNTIFS(缺陷明细!$A$2:$A$50000,$B$4,缺陷明细!$G$2:$G$50000,$C48,缺陷明细!$J$2:$J$50000,"评审",缺陷明细!$AA$2:$AA$50000,"&lt;&gt;丢弃",缺陷明细!$AA$2:$AA$50000,"&lt;&gt;设计如此",缺陷明细!$AA$2:$AA$50000,"&lt;&gt;重复Bug")</f>
        <v>0</v>
      </c>
      <c r="I48" s="161">
        <f>COUNTIFS(缺陷明细!$A$2:$A$50000,$B$4,缺陷明细!$G$2:$G$50000,$C48,缺陷明细!$Q$2:$Q$50000,"已关闭",缺陷明细!$J$2:$J$50000,"评审")</f>
        <v>0</v>
      </c>
      <c r="J48" s="161">
        <f>COUNTIFS(缺陷明细!$A$2:$A$50000,$B$4,缺陷明细!$G$2:$G$50000,$C48,缺陷明细!$J$2:$J$50000,"单元测试",缺陷明细!$AA$2:$AA$50000,"&lt;&gt;丢弃",缺陷明细!$AA$2:$AA$50000,"&lt;&gt;设计如此",缺陷明细!$AA$2:$AA$50000,"&lt;&gt;重复Bug")</f>
        <v>0</v>
      </c>
      <c r="K48" s="162">
        <f>COUNTIFS(缺陷明细!$A$2:$A$50000,$B$4,缺陷明细!$G$2:$G$50000,$C48,缺陷明细!$Q$2:$Q$50000,"已关闭",缺陷明细!$J$2:$J$50000,"单元测试")</f>
        <v>0</v>
      </c>
      <c r="L48" s="163"/>
      <c r="M48" s="164"/>
      <c r="N48" s="72">
        <f>COUNTIFS(缺陷明细!$A$2:$A$50000,$B$4,缺陷明细!$G$2:$G$50000,$C48,缺陷明细!$J$2:$J$50000,"系统测试案例评审",缺陷明细!$AA$2:$AA$50000,"&lt;&gt;丢弃",缺陷明细!$AA$2:$AA$50000,"&lt;&gt;设计如此",缺陷明细!$AA$2:$AA$50000,"&lt;&gt;重复Bug")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COUNTIFS(缺陷明细!$A$2:$A$50000,$B$4,缺陷明细!$G$2:$G$50000,$C48,缺陷明细!$J$2:$J$50000,"系统测试",缺陷明细!$AA$2:$AA$50000,"&lt;&gt;丢弃",缺陷明细!$AA$2:$AA$50000,"&lt;&gt;设计如此",缺陷明细!$AA$2:$AA$50000,"&lt;&gt;重复Bug")</f>
        <v>0</v>
      </c>
      <c r="Q48" s="72">
        <f>COUNTIFS(缺陷明细!$A$2:$A$50000,$B$4,缺陷明细!$G$2:$G$50000,$C48,缺陷明细!$Q$2:$Q$50000,"已关闭",缺陷明细!$J$2:$J$50000,"系统测试")</f>
        <v>0</v>
      </c>
      <c r="R48" s="72">
        <f>COUNTIFS(缺陷明细!$A$2:$A$50000,$B$4,缺陷明细!$G$2:$G$50000,$C48,缺陷明细!$AA$2:$AA$50000,"丢弃",缺陷明细!$J$2:$J$50000,"系统测试")+COUNTIFS(缺陷明细!$A$2:$A$50000,$B$4,缺陷明细!$G$2:$G$50000,$C48,缺陷明细!$AA$2:$AA$50000,"设计如此",缺陷明细!$J$2:$J$50000,"系统测试"+COUNTIFS(缺陷明细!$A$2:$A$50000,$B$4,缺陷明细!$G$2:$G$50000,$C48,缺陷明细!$AA$2:$AA$50000,"重复Bug",缺陷明细!$J$2:$J$50000,"系统测试"))</f>
        <v>0</v>
      </c>
      <c r="S48" s="72">
        <f>COUNTIFS(缺陷明细!$A$2:$A$50000,$B$4,缺陷明细!$G$2:$G$50000,$C48,缺陷明细!$J$2:$J$50000,"系统测试",缺陷明细!$K$2:$K$50000,"致命",缺陷明细!$AA$2:$AA$50000,"&lt;&gt;丢弃",缺陷明细!$AA$2:$AA$50000,"&lt;&gt;设计如此",缺陷明细!$AA$2:$AA$50000,"&lt;&gt;重复Bug")+COUNTIFS(缺陷明细!$A$2:$A$50000,$B$4,缺陷明细!$G$2:$G$50000,$C48,缺陷明细!$J$2:$J$50000,"系统测试",缺陷明细!$K$2:$K$50000,"严重",缺陷明细!$AA$2:$AA$50000,"&lt;&gt;丢弃",缺陷明细!$AA$2:$AA$50000,"&lt;&gt;设计如此",缺陷明细!$AA$2:$AA$50000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COUNTIFS(缺陷明细!$A$2:$A$50000,$B$4,缺陷明细!$G$2:$G$50000,$C48,缺陷明细!$J$2:$J$50000,"验收测试",缺陷明细!$AA$2:$AA$50000,"&lt;&gt;丢弃",缺陷明细!$AA$2:$AA$50000,"&lt;&gt;设计如此",缺陷明细!$AA$2:$AA$50000,"&lt;&gt;重复Bug")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A$2:$AA$50000,"&lt;&gt;丢弃",缺陷明细!$AA$2:$AA$50000,"&lt;&gt;设计如此",缺陷明细!$AA$2:$AA$50000,"&lt;&gt;重复Bug")+COUNTIFS(缺陷明细!$A$2:$A$50000,$B$4,缺陷明细!$G$2:$G$50000,$C48,缺陷明细!$J$2:$J$50000,"验收测试",缺陷明细!$K$2:$K$50000,"严重",缺陷明细!$AA$2:$AA$50000,"&lt;&gt;丢弃",缺陷明细!$AA$2:$AA$50000,"&lt;&gt;设计如此",缺陷明细!$AA$2:$AA$50000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COUNTIFS(缺陷明细!$A$2:$A$50000,$B$4,缺陷明细!$G$2:$G$50000,$C48,缺陷明细!$J$2:$J$50000,"运维测试",缺陷明细!$AA$2:$AA$50000,"&lt;&gt;丢弃",缺陷明细!$AA$2:$AA$50000,"&lt;&gt;设计如此",缺陷明细!$AA$2:$AA$50000,"&lt;&gt;重复Bug")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A$2:$AA$50000,"&lt;&gt;丢弃",缺陷明细!$AA$2:$AA$50000,"&lt;&gt;设计如此",缺陷明细!$AA$2:$AA$50000,"&lt;&gt;重复Bug")+COUNTIFS(缺陷明细!$A$2:$A$50000,$B$4,缺陷明细!$G$2:$G$50000,$C48,缺陷明细!$J$2:$J$50000,"运维测试",缺陷明细!$K$2:$K$50000,"严重",缺陷明细!$AA$2:$AA$50000,"&lt;&gt;丢弃",缺陷明细!$AA$2:$AA$50000,"&lt;&gt;设计如此",缺陷明细!$AA$2:$AA$50000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51"/>
    </row>
    <row r="49" spans="1:37">
      <c r="A49">
        <v>45</v>
      </c>
      <c r="B49" s="57"/>
      <c r="C49" s="58"/>
      <c r="D49" s="84"/>
      <c r="E49" s="82"/>
      <c r="F49" s="165"/>
      <c r="G49" s="166"/>
      <c r="H49" s="305">
        <f>COUNTIFS(缺陷明细!$A$2:$A$50000,$B$4,缺陷明细!$G$2:$G$50000,$C49,缺陷明细!$J$2:$J$50000,"评审",缺陷明细!$AA$2:$AA$50000,"&lt;&gt;丢弃",缺陷明细!$AA$2:$AA$50000,"&lt;&gt;设计如此",缺陷明细!$AA$2:$AA$50000,"&lt;&gt;重复Bug")</f>
        <v>0</v>
      </c>
      <c r="I49" s="161">
        <f>COUNTIFS(缺陷明细!$A$2:$A$50000,$B$4,缺陷明细!$G$2:$G$50000,$C49,缺陷明细!$Q$2:$Q$50000,"已关闭",缺陷明细!$J$2:$J$50000,"评审")</f>
        <v>0</v>
      </c>
      <c r="J49" s="161">
        <f>COUNTIFS(缺陷明细!$A$2:$A$50000,$B$4,缺陷明细!$G$2:$G$50000,$C49,缺陷明细!$J$2:$J$50000,"单元测试",缺陷明细!$AA$2:$AA$50000,"&lt;&gt;丢弃",缺陷明细!$AA$2:$AA$50000,"&lt;&gt;设计如此",缺陷明细!$AA$2:$AA$50000,"&lt;&gt;重复Bug")</f>
        <v>0</v>
      </c>
      <c r="K49" s="162">
        <f>COUNTIFS(缺陷明细!$A$2:$A$50000,$B$4,缺陷明细!$G$2:$G$50000,$C49,缺陷明细!$Q$2:$Q$50000,"已关闭",缺陷明细!$J$2:$J$50000,"单元测试")</f>
        <v>0</v>
      </c>
      <c r="L49" s="163"/>
      <c r="M49" s="164"/>
      <c r="N49" s="72">
        <f>COUNTIFS(缺陷明细!$A$2:$A$50000,$B$4,缺陷明细!$G$2:$G$50000,$C49,缺陷明细!$J$2:$J$50000,"系统测试案例评审",缺陷明细!$AA$2:$AA$50000,"&lt;&gt;丢弃",缺陷明细!$AA$2:$AA$50000,"&lt;&gt;设计如此",缺陷明细!$AA$2:$AA$50000,"&lt;&gt;重复Bug")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COUNTIFS(缺陷明细!$A$2:$A$50000,$B$4,缺陷明细!$G$2:$G$50000,$C49,缺陷明细!$J$2:$J$50000,"系统测试",缺陷明细!$AA$2:$AA$50000,"&lt;&gt;丢弃",缺陷明细!$AA$2:$AA$50000,"&lt;&gt;设计如此",缺陷明细!$AA$2:$AA$50000,"&lt;&gt;重复Bug")</f>
        <v>0</v>
      </c>
      <c r="Q49" s="72">
        <f>COUNTIFS(缺陷明细!$A$2:$A$50000,$B$4,缺陷明细!$G$2:$G$50000,$C49,缺陷明细!$Q$2:$Q$50000,"已关闭",缺陷明细!$J$2:$J$50000,"系统测试")</f>
        <v>0</v>
      </c>
      <c r="R49" s="72">
        <f>COUNTIFS(缺陷明细!$A$2:$A$50000,$B$4,缺陷明细!$G$2:$G$50000,$C49,缺陷明细!$AA$2:$AA$50000,"丢弃",缺陷明细!$J$2:$J$50000,"系统测试")+COUNTIFS(缺陷明细!$A$2:$A$50000,$B$4,缺陷明细!$G$2:$G$50000,$C49,缺陷明细!$AA$2:$AA$50000,"设计如此",缺陷明细!$J$2:$J$50000,"系统测试"+COUNTIFS(缺陷明细!$A$2:$A$50000,$B$4,缺陷明细!$G$2:$G$50000,$C49,缺陷明细!$AA$2:$AA$50000,"重复Bug",缺陷明细!$J$2:$J$50000,"系统测试"))</f>
        <v>0</v>
      </c>
      <c r="S49" s="72">
        <f>COUNTIFS(缺陷明细!$A$2:$A$50000,$B$4,缺陷明细!$G$2:$G$50000,$C49,缺陷明细!$J$2:$J$50000,"系统测试",缺陷明细!$K$2:$K$50000,"致命",缺陷明细!$AA$2:$AA$50000,"&lt;&gt;丢弃",缺陷明细!$AA$2:$AA$50000,"&lt;&gt;设计如此",缺陷明细!$AA$2:$AA$50000,"&lt;&gt;重复Bug")+COUNTIFS(缺陷明细!$A$2:$A$50000,$B$4,缺陷明细!$G$2:$G$50000,$C49,缺陷明细!$J$2:$J$50000,"系统测试",缺陷明细!$K$2:$K$50000,"严重",缺陷明细!$AA$2:$AA$50000,"&lt;&gt;丢弃",缺陷明细!$AA$2:$AA$50000,"&lt;&gt;设计如此",缺陷明细!$AA$2:$AA$50000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COUNTIFS(缺陷明细!$A$2:$A$50000,$B$4,缺陷明细!$G$2:$G$50000,$C49,缺陷明细!$J$2:$J$50000,"验收测试",缺陷明细!$AA$2:$AA$50000,"&lt;&gt;丢弃",缺陷明细!$AA$2:$AA$50000,"&lt;&gt;设计如此",缺陷明细!$AA$2:$AA$50000,"&lt;&gt;重复Bug")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A$2:$AA$50000,"&lt;&gt;丢弃",缺陷明细!$AA$2:$AA$50000,"&lt;&gt;设计如此",缺陷明细!$AA$2:$AA$50000,"&lt;&gt;重复Bug")+COUNTIFS(缺陷明细!$A$2:$A$50000,$B$4,缺陷明细!$G$2:$G$50000,$C49,缺陷明细!$J$2:$J$50000,"验收测试",缺陷明细!$K$2:$K$50000,"严重",缺陷明细!$AA$2:$AA$50000,"&lt;&gt;丢弃",缺陷明细!$AA$2:$AA$50000,"&lt;&gt;设计如此",缺陷明细!$AA$2:$AA$50000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COUNTIFS(缺陷明细!$A$2:$A$50000,$B$4,缺陷明细!$G$2:$G$50000,$C49,缺陷明细!$J$2:$J$50000,"运维测试",缺陷明细!$AA$2:$AA$50000,"&lt;&gt;丢弃",缺陷明细!$AA$2:$AA$50000,"&lt;&gt;设计如此",缺陷明细!$AA$2:$AA$50000,"&lt;&gt;重复Bug")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A$2:$AA$50000,"&lt;&gt;丢弃",缺陷明细!$AA$2:$AA$50000,"&lt;&gt;设计如此",缺陷明细!$AA$2:$AA$50000,"&lt;&gt;重复Bug")+COUNTIFS(缺陷明细!$A$2:$A$50000,$B$4,缺陷明细!$G$2:$G$50000,$C49,缺陷明细!$J$2:$J$50000,"运维测试",缺陷明细!$K$2:$K$50000,"严重",缺陷明细!$AA$2:$AA$50000,"&lt;&gt;丢弃",缺陷明细!$AA$2:$AA$50000,"&lt;&gt;设计如此",缺陷明细!$AA$2:$AA$50000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51"/>
    </row>
    <row r="50" spans="1:37">
      <c r="A50">
        <v>46</v>
      </c>
      <c r="B50" s="57"/>
      <c r="C50" s="58"/>
      <c r="D50" s="84"/>
      <c r="E50" s="82"/>
      <c r="F50" s="165"/>
      <c r="G50" s="166"/>
      <c r="H50" s="305">
        <f>COUNTIFS(缺陷明细!$A$2:$A$50000,$B$4,缺陷明细!$G$2:$G$50000,$C50,缺陷明细!$J$2:$J$50000,"评审",缺陷明细!$AA$2:$AA$50000,"&lt;&gt;丢弃",缺陷明细!$AA$2:$AA$50000,"&lt;&gt;设计如此",缺陷明细!$AA$2:$AA$50000,"&lt;&gt;重复Bug")</f>
        <v>0</v>
      </c>
      <c r="I50" s="161">
        <f>COUNTIFS(缺陷明细!$A$2:$A$50000,$B$4,缺陷明细!$G$2:$G$50000,$C50,缺陷明细!$Q$2:$Q$50000,"已关闭",缺陷明细!$J$2:$J$50000,"评审")</f>
        <v>0</v>
      </c>
      <c r="J50" s="161">
        <f>COUNTIFS(缺陷明细!$A$2:$A$50000,$B$4,缺陷明细!$G$2:$G$50000,$C50,缺陷明细!$J$2:$J$50000,"单元测试",缺陷明细!$AA$2:$AA$50000,"&lt;&gt;丢弃",缺陷明细!$AA$2:$AA$50000,"&lt;&gt;设计如此",缺陷明细!$AA$2:$AA$50000,"&lt;&gt;重复Bug")</f>
        <v>0</v>
      </c>
      <c r="K50" s="162">
        <f>COUNTIFS(缺陷明细!$A$2:$A$50000,$B$4,缺陷明细!$G$2:$G$50000,$C50,缺陷明细!$Q$2:$Q$50000,"已关闭",缺陷明细!$J$2:$J$50000,"单元测试")</f>
        <v>0</v>
      </c>
      <c r="L50" s="163"/>
      <c r="M50" s="164"/>
      <c r="N50" s="72">
        <f>COUNTIFS(缺陷明细!$A$2:$A$50000,$B$4,缺陷明细!$G$2:$G$50000,$C50,缺陷明细!$J$2:$J$50000,"系统测试案例评审",缺陷明细!$AA$2:$AA$50000,"&lt;&gt;丢弃",缺陷明细!$AA$2:$AA$50000,"&lt;&gt;设计如此",缺陷明细!$AA$2:$AA$50000,"&lt;&gt;重复Bug")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COUNTIFS(缺陷明细!$A$2:$A$50000,$B$4,缺陷明细!$G$2:$G$50000,$C50,缺陷明细!$J$2:$J$50000,"系统测试",缺陷明细!$AA$2:$AA$50000,"&lt;&gt;丢弃",缺陷明细!$AA$2:$AA$50000,"&lt;&gt;设计如此",缺陷明细!$AA$2:$AA$50000,"&lt;&gt;重复Bug")</f>
        <v>0</v>
      </c>
      <c r="Q50" s="72">
        <f>COUNTIFS(缺陷明细!$A$2:$A$50000,$B$4,缺陷明细!$G$2:$G$50000,$C50,缺陷明细!$Q$2:$Q$50000,"已关闭",缺陷明细!$J$2:$J$50000,"系统测试")</f>
        <v>0</v>
      </c>
      <c r="R50" s="72">
        <f>COUNTIFS(缺陷明细!$A$2:$A$50000,$B$4,缺陷明细!$G$2:$G$50000,$C50,缺陷明细!$AA$2:$AA$50000,"丢弃",缺陷明细!$J$2:$J$50000,"系统测试")+COUNTIFS(缺陷明细!$A$2:$A$50000,$B$4,缺陷明细!$G$2:$G$50000,$C50,缺陷明细!$AA$2:$AA$50000,"设计如此",缺陷明细!$J$2:$J$50000,"系统测试"+COUNTIFS(缺陷明细!$A$2:$A$50000,$B$4,缺陷明细!$G$2:$G$50000,$C50,缺陷明细!$AA$2:$AA$50000,"重复Bug",缺陷明细!$J$2:$J$50000,"系统测试"))</f>
        <v>0</v>
      </c>
      <c r="S50" s="72">
        <f>COUNTIFS(缺陷明细!$A$2:$A$50000,$B$4,缺陷明细!$G$2:$G$50000,$C50,缺陷明细!$J$2:$J$50000,"系统测试",缺陷明细!$K$2:$K$50000,"致命",缺陷明细!$AA$2:$AA$50000,"&lt;&gt;丢弃",缺陷明细!$AA$2:$AA$50000,"&lt;&gt;设计如此",缺陷明细!$AA$2:$AA$50000,"&lt;&gt;重复Bug")+COUNTIFS(缺陷明细!$A$2:$A$50000,$B$4,缺陷明细!$G$2:$G$50000,$C50,缺陷明细!$J$2:$J$50000,"系统测试",缺陷明细!$K$2:$K$50000,"严重",缺陷明细!$AA$2:$AA$50000,"&lt;&gt;丢弃",缺陷明细!$AA$2:$AA$50000,"&lt;&gt;设计如此",缺陷明细!$AA$2:$AA$50000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COUNTIFS(缺陷明细!$A$2:$A$50000,$B$4,缺陷明细!$G$2:$G$50000,$C50,缺陷明细!$J$2:$J$50000,"验收测试",缺陷明细!$AA$2:$AA$50000,"&lt;&gt;丢弃",缺陷明细!$AA$2:$AA$50000,"&lt;&gt;设计如此",缺陷明细!$AA$2:$AA$50000,"&lt;&gt;重复Bug")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A$2:$AA$50000,"&lt;&gt;丢弃",缺陷明细!$AA$2:$AA$50000,"&lt;&gt;设计如此",缺陷明细!$AA$2:$AA$50000,"&lt;&gt;重复Bug")+COUNTIFS(缺陷明细!$A$2:$A$50000,$B$4,缺陷明细!$G$2:$G$50000,$C50,缺陷明细!$J$2:$J$50000,"验收测试",缺陷明细!$K$2:$K$50000,"严重",缺陷明细!$AA$2:$AA$50000,"&lt;&gt;丢弃",缺陷明细!$AA$2:$AA$50000,"&lt;&gt;设计如此",缺陷明细!$AA$2:$AA$50000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COUNTIFS(缺陷明细!$A$2:$A$50000,$B$4,缺陷明细!$G$2:$G$50000,$C50,缺陷明细!$J$2:$J$50000,"运维测试",缺陷明细!$AA$2:$AA$50000,"&lt;&gt;丢弃",缺陷明细!$AA$2:$AA$50000,"&lt;&gt;设计如此",缺陷明细!$AA$2:$AA$50000,"&lt;&gt;重复Bug")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A$2:$AA$50000,"&lt;&gt;丢弃",缺陷明细!$AA$2:$AA$50000,"&lt;&gt;设计如此",缺陷明细!$AA$2:$AA$50000,"&lt;&gt;重复Bug")+COUNTIFS(缺陷明细!$A$2:$A$50000,$B$4,缺陷明细!$G$2:$G$50000,$C50,缺陷明细!$J$2:$J$50000,"运维测试",缺陷明细!$K$2:$K$50000,"严重",缺陷明细!$AA$2:$AA$50000,"&lt;&gt;丢弃",缺陷明细!$AA$2:$AA$50000,"&lt;&gt;设计如此",缺陷明细!$AA$2:$AA$50000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51"/>
    </row>
    <row r="51" spans="1:37">
      <c r="A51">
        <v>47</v>
      </c>
      <c r="B51" s="57"/>
      <c r="C51" s="58"/>
      <c r="D51" s="84"/>
      <c r="E51" s="82"/>
      <c r="F51" s="165"/>
      <c r="G51" s="166"/>
      <c r="H51" s="305">
        <f>COUNTIFS(缺陷明细!$A$2:$A$50000,$B$4,缺陷明细!$G$2:$G$50000,$C51,缺陷明细!$J$2:$J$50000,"评审",缺陷明细!$AA$2:$AA$50000,"&lt;&gt;丢弃",缺陷明细!$AA$2:$AA$50000,"&lt;&gt;设计如此",缺陷明细!$AA$2:$AA$50000,"&lt;&gt;重复Bug")</f>
        <v>0</v>
      </c>
      <c r="I51" s="161">
        <f>COUNTIFS(缺陷明细!$A$2:$A$50000,$B$4,缺陷明细!$G$2:$G$50000,$C51,缺陷明细!$Q$2:$Q$50000,"已关闭",缺陷明细!$J$2:$J$50000,"评审")</f>
        <v>0</v>
      </c>
      <c r="J51" s="161">
        <f>COUNTIFS(缺陷明细!$A$2:$A$50000,$B$4,缺陷明细!$G$2:$G$50000,$C51,缺陷明细!$J$2:$J$50000,"单元测试",缺陷明细!$AA$2:$AA$50000,"&lt;&gt;丢弃",缺陷明细!$AA$2:$AA$50000,"&lt;&gt;设计如此",缺陷明细!$AA$2:$AA$50000,"&lt;&gt;重复Bug")</f>
        <v>0</v>
      </c>
      <c r="K51" s="162">
        <f>COUNTIFS(缺陷明细!$A$2:$A$50000,$B$4,缺陷明细!$G$2:$G$50000,$C51,缺陷明细!$Q$2:$Q$50000,"已关闭",缺陷明细!$J$2:$J$50000,"单元测试")</f>
        <v>0</v>
      </c>
      <c r="L51" s="163"/>
      <c r="M51" s="164"/>
      <c r="N51" s="72">
        <f>COUNTIFS(缺陷明细!$A$2:$A$50000,$B$4,缺陷明细!$G$2:$G$50000,$C51,缺陷明细!$J$2:$J$50000,"系统测试案例评审",缺陷明细!$AA$2:$AA$50000,"&lt;&gt;丢弃",缺陷明细!$AA$2:$AA$50000,"&lt;&gt;设计如此",缺陷明细!$AA$2:$AA$50000,"&lt;&gt;重复Bug")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COUNTIFS(缺陷明细!$A$2:$A$50000,$B$4,缺陷明细!$G$2:$G$50000,$C51,缺陷明细!$J$2:$J$50000,"系统测试",缺陷明细!$AA$2:$AA$50000,"&lt;&gt;丢弃",缺陷明细!$AA$2:$AA$50000,"&lt;&gt;设计如此",缺陷明细!$AA$2:$AA$50000,"&lt;&gt;重复Bug")</f>
        <v>0</v>
      </c>
      <c r="Q51" s="72">
        <f>COUNTIFS(缺陷明细!$A$2:$A$50000,$B$4,缺陷明细!$G$2:$G$50000,$C51,缺陷明细!$Q$2:$Q$50000,"已关闭",缺陷明细!$J$2:$J$50000,"系统测试")</f>
        <v>0</v>
      </c>
      <c r="R51" s="72">
        <f>COUNTIFS(缺陷明细!$A$2:$A$50000,$B$4,缺陷明细!$G$2:$G$50000,$C51,缺陷明细!$AA$2:$AA$50000,"丢弃",缺陷明细!$J$2:$J$50000,"系统测试")+COUNTIFS(缺陷明细!$A$2:$A$50000,$B$4,缺陷明细!$G$2:$G$50000,$C51,缺陷明细!$AA$2:$AA$50000,"设计如此",缺陷明细!$J$2:$J$50000,"系统测试"+COUNTIFS(缺陷明细!$A$2:$A$50000,$B$4,缺陷明细!$G$2:$G$50000,$C51,缺陷明细!$AA$2:$AA$50000,"重复Bug",缺陷明细!$J$2:$J$50000,"系统测试"))</f>
        <v>0</v>
      </c>
      <c r="S51" s="72">
        <f>COUNTIFS(缺陷明细!$A$2:$A$50000,$B$4,缺陷明细!$G$2:$G$50000,$C51,缺陷明细!$J$2:$J$50000,"系统测试",缺陷明细!$K$2:$K$50000,"致命",缺陷明细!$AA$2:$AA$50000,"&lt;&gt;丢弃",缺陷明细!$AA$2:$AA$50000,"&lt;&gt;设计如此",缺陷明细!$AA$2:$AA$50000,"&lt;&gt;重复Bug")+COUNTIFS(缺陷明细!$A$2:$A$50000,$B$4,缺陷明细!$G$2:$G$50000,$C51,缺陷明细!$J$2:$J$50000,"系统测试",缺陷明细!$K$2:$K$50000,"严重",缺陷明细!$AA$2:$AA$50000,"&lt;&gt;丢弃",缺陷明细!$AA$2:$AA$50000,"&lt;&gt;设计如此",缺陷明细!$AA$2:$AA$50000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COUNTIFS(缺陷明细!$A$2:$A$50000,$B$4,缺陷明细!$G$2:$G$50000,$C51,缺陷明细!$J$2:$J$50000,"验收测试",缺陷明细!$AA$2:$AA$50000,"&lt;&gt;丢弃",缺陷明细!$AA$2:$AA$50000,"&lt;&gt;设计如此",缺陷明细!$AA$2:$AA$50000,"&lt;&gt;重复Bug")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A$2:$AA$50000,"&lt;&gt;丢弃",缺陷明细!$AA$2:$AA$50000,"&lt;&gt;设计如此",缺陷明细!$AA$2:$AA$50000,"&lt;&gt;重复Bug")+COUNTIFS(缺陷明细!$A$2:$A$50000,$B$4,缺陷明细!$G$2:$G$50000,$C51,缺陷明细!$J$2:$J$50000,"验收测试",缺陷明细!$K$2:$K$50000,"严重",缺陷明细!$AA$2:$AA$50000,"&lt;&gt;丢弃",缺陷明细!$AA$2:$AA$50000,"&lt;&gt;设计如此",缺陷明细!$AA$2:$AA$50000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COUNTIFS(缺陷明细!$A$2:$A$50000,$B$4,缺陷明细!$G$2:$G$50000,$C51,缺陷明细!$J$2:$J$50000,"运维测试",缺陷明细!$AA$2:$AA$50000,"&lt;&gt;丢弃",缺陷明细!$AA$2:$AA$50000,"&lt;&gt;设计如此",缺陷明细!$AA$2:$AA$50000,"&lt;&gt;重复Bug")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A$2:$AA$50000,"&lt;&gt;丢弃",缺陷明细!$AA$2:$AA$50000,"&lt;&gt;设计如此",缺陷明细!$AA$2:$AA$50000,"&lt;&gt;重复Bug")+COUNTIFS(缺陷明细!$A$2:$A$50000,$B$4,缺陷明细!$G$2:$G$50000,$C51,缺陷明细!$J$2:$J$50000,"运维测试",缺陷明细!$K$2:$K$50000,"严重",缺陷明细!$AA$2:$AA$50000,"&lt;&gt;丢弃",缺陷明细!$AA$2:$AA$50000,"&lt;&gt;设计如此",缺陷明细!$AA$2:$AA$50000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51"/>
    </row>
    <row r="52" spans="1:37">
      <c r="A52">
        <v>48</v>
      </c>
      <c r="B52" s="57"/>
      <c r="C52" s="58"/>
      <c r="D52" s="84"/>
      <c r="E52" s="82"/>
      <c r="F52" s="165"/>
      <c r="G52" s="166"/>
      <c r="H52" s="305">
        <f>COUNTIFS(缺陷明细!$A$2:$A$50000,$B$4,缺陷明细!$G$2:$G$50000,$C52,缺陷明细!$J$2:$J$50000,"评审",缺陷明细!$AA$2:$AA$50000,"&lt;&gt;丢弃",缺陷明细!$AA$2:$AA$50000,"&lt;&gt;设计如此",缺陷明细!$AA$2:$AA$50000,"&lt;&gt;重复Bug")</f>
        <v>0</v>
      </c>
      <c r="I52" s="161">
        <f>COUNTIFS(缺陷明细!$A$2:$A$50000,$B$4,缺陷明细!$G$2:$G$50000,$C52,缺陷明细!$Q$2:$Q$50000,"已关闭",缺陷明细!$J$2:$J$50000,"评审")</f>
        <v>0</v>
      </c>
      <c r="J52" s="161">
        <f>COUNTIFS(缺陷明细!$A$2:$A$50000,$B$4,缺陷明细!$G$2:$G$50000,$C52,缺陷明细!$J$2:$J$50000,"单元测试",缺陷明细!$AA$2:$AA$50000,"&lt;&gt;丢弃",缺陷明细!$AA$2:$AA$50000,"&lt;&gt;设计如此",缺陷明细!$AA$2:$AA$50000,"&lt;&gt;重复Bug")</f>
        <v>0</v>
      </c>
      <c r="K52" s="162">
        <f>COUNTIFS(缺陷明细!$A$2:$A$50000,$B$4,缺陷明细!$G$2:$G$50000,$C52,缺陷明细!$Q$2:$Q$50000,"已关闭",缺陷明细!$J$2:$J$50000,"单元测试")</f>
        <v>0</v>
      </c>
      <c r="L52" s="163"/>
      <c r="M52" s="164"/>
      <c r="N52" s="72">
        <f>COUNTIFS(缺陷明细!$A$2:$A$50000,$B$4,缺陷明细!$G$2:$G$50000,$C52,缺陷明细!$J$2:$J$50000,"系统测试案例评审",缺陷明细!$AA$2:$AA$50000,"&lt;&gt;丢弃",缺陷明细!$AA$2:$AA$50000,"&lt;&gt;设计如此",缺陷明细!$AA$2:$AA$50000,"&lt;&gt;重复Bug")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COUNTIFS(缺陷明细!$A$2:$A$50000,$B$4,缺陷明细!$G$2:$G$50000,$C52,缺陷明细!$J$2:$J$50000,"系统测试",缺陷明细!$AA$2:$AA$50000,"&lt;&gt;丢弃",缺陷明细!$AA$2:$AA$50000,"&lt;&gt;设计如此",缺陷明细!$AA$2:$AA$50000,"&lt;&gt;重复Bug")</f>
        <v>0</v>
      </c>
      <c r="Q52" s="72">
        <f>COUNTIFS(缺陷明细!$A$2:$A$50000,$B$4,缺陷明细!$G$2:$G$50000,$C52,缺陷明细!$Q$2:$Q$50000,"已关闭",缺陷明细!$J$2:$J$50000,"系统测试")</f>
        <v>0</v>
      </c>
      <c r="R52" s="72">
        <f>COUNTIFS(缺陷明细!$A$2:$A$50000,$B$4,缺陷明细!$G$2:$G$50000,$C52,缺陷明细!$AA$2:$AA$50000,"丢弃",缺陷明细!$J$2:$J$50000,"系统测试")+COUNTIFS(缺陷明细!$A$2:$A$50000,$B$4,缺陷明细!$G$2:$G$50000,$C52,缺陷明细!$AA$2:$AA$50000,"设计如此",缺陷明细!$J$2:$J$50000,"系统测试"+COUNTIFS(缺陷明细!$A$2:$A$50000,$B$4,缺陷明细!$G$2:$G$50000,$C52,缺陷明细!$AA$2:$AA$50000,"重复Bug",缺陷明细!$J$2:$J$50000,"系统测试"))</f>
        <v>0</v>
      </c>
      <c r="S52" s="72">
        <f>COUNTIFS(缺陷明细!$A$2:$A$50000,$B$4,缺陷明细!$G$2:$G$50000,$C52,缺陷明细!$J$2:$J$50000,"系统测试",缺陷明细!$K$2:$K$50000,"致命",缺陷明细!$AA$2:$AA$50000,"&lt;&gt;丢弃",缺陷明细!$AA$2:$AA$50000,"&lt;&gt;设计如此",缺陷明细!$AA$2:$AA$50000,"&lt;&gt;重复Bug")+COUNTIFS(缺陷明细!$A$2:$A$50000,$B$4,缺陷明细!$G$2:$G$50000,$C52,缺陷明细!$J$2:$J$50000,"系统测试",缺陷明细!$K$2:$K$50000,"严重",缺陷明细!$AA$2:$AA$50000,"&lt;&gt;丢弃",缺陷明细!$AA$2:$AA$50000,"&lt;&gt;设计如此",缺陷明细!$AA$2:$AA$50000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COUNTIFS(缺陷明细!$A$2:$A$50000,$B$4,缺陷明细!$G$2:$G$50000,$C52,缺陷明细!$J$2:$J$50000,"验收测试",缺陷明细!$AA$2:$AA$50000,"&lt;&gt;丢弃",缺陷明细!$AA$2:$AA$50000,"&lt;&gt;设计如此",缺陷明细!$AA$2:$AA$50000,"&lt;&gt;重复Bug")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A$2:$AA$50000,"&lt;&gt;丢弃",缺陷明细!$AA$2:$AA$50000,"&lt;&gt;设计如此",缺陷明细!$AA$2:$AA$50000,"&lt;&gt;重复Bug")+COUNTIFS(缺陷明细!$A$2:$A$50000,$B$4,缺陷明细!$G$2:$G$50000,$C52,缺陷明细!$J$2:$J$50000,"验收测试",缺陷明细!$K$2:$K$50000,"严重",缺陷明细!$AA$2:$AA$50000,"&lt;&gt;丢弃",缺陷明细!$AA$2:$AA$50000,"&lt;&gt;设计如此",缺陷明细!$AA$2:$AA$50000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COUNTIFS(缺陷明细!$A$2:$A$50000,$B$4,缺陷明细!$G$2:$G$50000,$C52,缺陷明细!$J$2:$J$50000,"运维测试",缺陷明细!$AA$2:$AA$50000,"&lt;&gt;丢弃",缺陷明细!$AA$2:$AA$50000,"&lt;&gt;设计如此",缺陷明细!$AA$2:$AA$50000,"&lt;&gt;重复Bug")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A$2:$AA$50000,"&lt;&gt;丢弃",缺陷明细!$AA$2:$AA$50000,"&lt;&gt;设计如此",缺陷明细!$AA$2:$AA$50000,"&lt;&gt;重复Bug")+COUNTIFS(缺陷明细!$A$2:$A$50000,$B$4,缺陷明细!$G$2:$G$50000,$C52,缺陷明细!$J$2:$J$50000,"运维测试",缺陷明细!$K$2:$K$50000,"严重",缺陷明细!$AA$2:$AA$50000,"&lt;&gt;丢弃",缺陷明细!$AA$2:$AA$50000,"&lt;&gt;设计如此",缺陷明细!$AA$2:$AA$50000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51"/>
    </row>
    <row r="53" spans="1:37">
      <c r="A53">
        <v>49</v>
      </c>
      <c r="B53" s="57"/>
      <c r="C53" s="58"/>
      <c r="D53" s="84"/>
      <c r="E53" s="82"/>
      <c r="F53" s="165"/>
      <c r="G53" s="166"/>
      <c r="H53" s="305">
        <f>COUNTIFS(缺陷明细!$A$2:$A$50000,$B$4,缺陷明细!$G$2:$G$50000,$C53,缺陷明细!$J$2:$J$50000,"评审",缺陷明细!$AA$2:$AA$50000,"&lt;&gt;丢弃",缺陷明细!$AA$2:$AA$50000,"&lt;&gt;设计如此",缺陷明细!$AA$2:$AA$50000,"&lt;&gt;重复Bug")</f>
        <v>0</v>
      </c>
      <c r="I53" s="161">
        <f>COUNTIFS(缺陷明细!$A$2:$A$50000,$B$4,缺陷明细!$G$2:$G$50000,$C53,缺陷明细!$Q$2:$Q$50000,"已关闭",缺陷明细!$J$2:$J$50000,"评审")</f>
        <v>0</v>
      </c>
      <c r="J53" s="161">
        <f>COUNTIFS(缺陷明细!$A$2:$A$50000,$B$4,缺陷明细!$G$2:$G$50000,$C53,缺陷明细!$J$2:$J$50000,"单元测试",缺陷明细!$AA$2:$AA$50000,"&lt;&gt;丢弃",缺陷明细!$AA$2:$AA$50000,"&lt;&gt;设计如此",缺陷明细!$AA$2:$AA$50000,"&lt;&gt;重复Bug")</f>
        <v>0</v>
      </c>
      <c r="K53" s="162">
        <f>COUNTIFS(缺陷明细!$A$2:$A$50000,$B$4,缺陷明细!$G$2:$G$50000,$C53,缺陷明细!$Q$2:$Q$50000,"已关闭",缺陷明细!$J$2:$J$50000,"单元测试")</f>
        <v>0</v>
      </c>
      <c r="L53" s="163"/>
      <c r="M53" s="164"/>
      <c r="N53" s="72">
        <f>COUNTIFS(缺陷明细!$A$2:$A$50000,$B$4,缺陷明细!$G$2:$G$50000,$C53,缺陷明细!$J$2:$J$50000,"系统测试案例评审",缺陷明细!$AA$2:$AA$50000,"&lt;&gt;丢弃",缺陷明细!$AA$2:$AA$50000,"&lt;&gt;设计如此",缺陷明细!$AA$2:$AA$50000,"&lt;&gt;重复Bug")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COUNTIFS(缺陷明细!$A$2:$A$50000,$B$4,缺陷明细!$G$2:$G$50000,$C53,缺陷明细!$J$2:$J$50000,"系统测试",缺陷明细!$AA$2:$AA$50000,"&lt;&gt;丢弃",缺陷明细!$AA$2:$AA$50000,"&lt;&gt;设计如此",缺陷明细!$AA$2:$AA$50000,"&lt;&gt;重复Bug")</f>
        <v>0</v>
      </c>
      <c r="Q53" s="72">
        <f>COUNTIFS(缺陷明细!$A$2:$A$50000,$B$4,缺陷明细!$G$2:$G$50000,$C53,缺陷明细!$Q$2:$Q$50000,"已关闭",缺陷明细!$J$2:$J$50000,"系统测试")</f>
        <v>0</v>
      </c>
      <c r="R53" s="72">
        <f>COUNTIFS(缺陷明细!$A$2:$A$50000,$B$4,缺陷明细!$G$2:$G$50000,$C53,缺陷明细!$AA$2:$AA$50000,"丢弃",缺陷明细!$J$2:$J$50000,"系统测试")+COUNTIFS(缺陷明细!$A$2:$A$50000,$B$4,缺陷明细!$G$2:$G$50000,$C53,缺陷明细!$AA$2:$AA$50000,"设计如此",缺陷明细!$J$2:$J$50000,"系统测试"+COUNTIFS(缺陷明细!$A$2:$A$50000,$B$4,缺陷明细!$G$2:$G$50000,$C53,缺陷明细!$AA$2:$AA$50000,"重复Bug",缺陷明细!$J$2:$J$50000,"系统测试"))</f>
        <v>0</v>
      </c>
      <c r="S53" s="72">
        <f>COUNTIFS(缺陷明细!$A$2:$A$50000,$B$4,缺陷明细!$G$2:$G$50000,$C53,缺陷明细!$J$2:$J$50000,"系统测试",缺陷明细!$K$2:$K$50000,"致命",缺陷明细!$AA$2:$AA$50000,"&lt;&gt;丢弃",缺陷明细!$AA$2:$AA$50000,"&lt;&gt;设计如此",缺陷明细!$AA$2:$AA$50000,"&lt;&gt;重复Bug")+COUNTIFS(缺陷明细!$A$2:$A$50000,$B$4,缺陷明细!$G$2:$G$50000,$C53,缺陷明细!$J$2:$J$50000,"系统测试",缺陷明细!$K$2:$K$50000,"严重",缺陷明细!$AA$2:$AA$50000,"&lt;&gt;丢弃",缺陷明细!$AA$2:$AA$50000,"&lt;&gt;设计如此",缺陷明细!$AA$2:$AA$50000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COUNTIFS(缺陷明细!$A$2:$A$50000,$B$4,缺陷明细!$G$2:$G$50000,$C53,缺陷明细!$J$2:$J$50000,"验收测试",缺陷明细!$AA$2:$AA$50000,"&lt;&gt;丢弃",缺陷明细!$AA$2:$AA$50000,"&lt;&gt;设计如此",缺陷明细!$AA$2:$AA$50000,"&lt;&gt;重复Bug")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A$2:$AA$50000,"&lt;&gt;丢弃",缺陷明细!$AA$2:$AA$50000,"&lt;&gt;设计如此",缺陷明细!$AA$2:$AA$50000,"&lt;&gt;重复Bug")+COUNTIFS(缺陷明细!$A$2:$A$50000,$B$4,缺陷明细!$G$2:$G$50000,$C53,缺陷明细!$J$2:$J$50000,"验收测试",缺陷明细!$K$2:$K$50000,"严重",缺陷明细!$AA$2:$AA$50000,"&lt;&gt;丢弃",缺陷明细!$AA$2:$AA$50000,"&lt;&gt;设计如此",缺陷明细!$AA$2:$AA$50000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COUNTIFS(缺陷明细!$A$2:$A$50000,$B$4,缺陷明细!$G$2:$G$50000,$C53,缺陷明细!$J$2:$J$50000,"运维测试",缺陷明细!$AA$2:$AA$50000,"&lt;&gt;丢弃",缺陷明细!$AA$2:$AA$50000,"&lt;&gt;设计如此",缺陷明细!$AA$2:$AA$50000,"&lt;&gt;重复Bug")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A$2:$AA$50000,"&lt;&gt;丢弃",缺陷明细!$AA$2:$AA$50000,"&lt;&gt;设计如此",缺陷明细!$AA$2:$AA$50000,"&lt;&gt;重复Bug")+COUNTIFS(缺陷明细!$A$2:$A$50000,$B$4,缺陷明细!$G$2:$G$50000,$C53,缺陷明细!$J$2:$J$50000,"运维测试",缺陷明细!$K$2:$K$50000,"严重",缺陷明细!$AA$2:$AA$50000,"&lt;&gt;丢弃",缺陷明细!$AA$2:$AA$50000,"&lt;&gt;设计如此",缺陷明细!$AA$2:$AA$50000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51"/>
    </row>
    <row r="54" spans="1:37">
      <c r="A54">
        <v>50</v>
      </c>
      <c r="B54" s="57"/>
      <c r="C54" s="58"/>
      <c r="D54" s="84"/>
      <c r="E54" s="82"/>
      <c r="F54" s="165"/>
      <c r="G54" s="166"/>
      <c r="H54" s="305">
        <f>COUNTIFS(缺陷明细!$A$2:$A$50000,$B$4,缺陷明细!$G$2:$G$50000,$C54,缺陷明细!$J$2:$J$50000,"评审",缺陷明细!$AA$2:$AA$50000,"&lt;&gt;丢弃",缺陷明细!$AA$2:$AA$50000,"&lt;&gt;设计如此",缺陷明细!$AA$2:$AA$50000,"&lt;&gt;重复Bug")</f>
        <v>0</v>
      </c>
      <c r="I54" s="161">
        <f>COUNTIFS(缺陷明细!$A$2:$A$50000,$B$4,缺陷明细!$G$2:$G$50000,$C54,缺陷明细!$Q$2:$Q$50000,"已关闭",缺陷明细!$J$2:$J$50000,"评审")</f>
        <v>0</v>
      </c>
      <c r="J54" s="161">
        <f>COUNTIFS(缺陷明细!$A$2:$A$50000,$B$4,缺陷明细!$G$2:$G$50000,$C54,缺陷明细!$J$2:$J$50000,"单元测试",缺陷明细!$AA$2:$AA$50000,"&lt;&gt;丢弃",缺陷明细!$AA$2:$AA$50000,"&lt;&gt;设计如此",缺陷明细!$AA$2:$AA$50000,"&lt;&gt;重复Bug")</f>
        <v>0</v>
      </c>
      <c r="K54" s="162">
        <f>COUNTIFS(缺陷明细!$A$2:$A$50000,$B$4,缺陷明细!$G$2:$G$50000,$C54,缺陷明细!$Q$2:$Q$50000,"已关闭",缺陷明细!$J$2:$J$50000,"单元测试")</f>
        <v>0</v>
      </c>
      <c r="L54" s="163"/>
      <c r="M54" s="164"/>
      <c r="N54" s="72">
        <f>COUNTIFS(缺陷明细!$A$2:$A$50000,$B$4,缺陷明细!$G$2:$G$50000,$C54,缺陷明细!$J$2:$J$50000,"系统测试案例评审",缺陷明细!$AA$2:$AA$50000,"&lt;&gt;丢弃",缺陷明细!$AA$2:$AA$50000,"&lt;&gt;设计如此",缺陷明细!$AA$2:$AA$50000,"&lt;&gt;重复Bug")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COUNTIFS(缺陷明细!$A$2:$A$50000,$B$4,缺陷明细!$G$2:$G$50000,$C54,缺陷明细!$J$2:$J$50000,"系统测试",缺陷明细!$AA$2:$AA$50000,"&lt;&gt;丢弃",缺陷明细!$AA$2:$AA$50000,"&lt;&gt;设计如此",缺陷明细!$AA$2:$AA$50000,"&lt;&gt;重复Bug")</f>
        <v>0</v>
      </c>
      <c r="Q54" s="72">
        <f>COUNTIFS(缺陷明细!$A$2:$A$50000,$B$4,缺陷明细!$G$2:$G$50000,$C54,缺陷明细!$Q$2:$Q$50000,"已关闭",缺陷明细!$J$2:$J$50000,"系统测试")</f>
        <v>0</v>
      </c>
      <c r="R54" s="72">
        <f>COUNTIFS(缺陷明细!$A$2:$A$50000,$B$4,缺陷明细!$G$2:$G$50000,$C54,缺陷明细!$AA$2:$AA$50000,"丢弃",缺陷明细!$J$2:$J$50000,"系统测试")+COUNTIFS(缺陷明细!$A$2:$A$50000,$B$4,缺陷明细!$G$2:$G$50000,$C54,缺陷明细!$AA$2:$AA$50000,"设计如此",缺陷明细!$J$2:$J$50000,"系统测试"+COUNTIFS(缺陷明细!$A$2:$A$50000,$B$4,缺陷明细!$G$2:$G$50000,$C54,缺陷明细!$AA$2:$AA$50000,"重复Bug",缺陷明细!$J$2:$J$50000,"系统测试"))</f>
        <v>0</v>
      </c>
      <c r="S54" s="72">
        <f>COUNTIFS(缺陷明细!$A$2:$A$50000,$B$4,缺陷明细!$G$2:$G$50000,$C54,缺陷明细!$J$2:$J$50000,"系统测试",缺陷明细!$K$2:$K$50000,"致命",缺陷明细!$AA$2:$AA$50000,"&lt;&gt;丢弃",缺陷明细!$AA$2:$AA$50000,"&lt;&gt;设计如此",缺陷明细!$AA$2:$AA$50000,"&lt;&gt;重复Bug")+COUNTIFS(缺陷明细!$A$2:$A$50000,$B$4,缺陷明细!$G$2:$G$50000,$C54,缺陷明细!$J$2:$J$50000,"系统测试",缺陷明细!$K$2:$K$50000,"严重",缺陷明细!$AA$2:$AA$50000,"&lt;&gt;丢弃",缺陷明细!$AA$2:$AA$50000,"&lt;&gt;设计如此",缺陷明细!$AA$2:$AA$50000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COUNTIFS(缺陷明细!$A$2:$A$50000,$B$4,缺陷明细!$G$2:$G$50000,$C54,缺陷明细!$J$2:$J$50000,"验收测试",缺陷明细!$AA$2:$AA$50000,"&lt;&gt;丢弃",缺陷明细!$AA$2:$AA$50000,"&lt;&gt;设计如此",缺陷明细!$AA$2:$AA$50000,"&lt;&gt;重复Bug")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A$2:$AA$50000,"&lt;&gt;丢弃",缺陷明细!$AA$2:$AA$50000,"&lt;&gt;设计如此",缺陷明细!$AA$2:$AA$50000,"&lt;&gt;重复Bug")+COUNTIFS(缺陷明细!$A$2:$A$50000,$B$4,缺陷明细!$G$2:$G$50000,$C54,缺陷明细!$J$2:$J$50000,"验收测试",缺陷明细!$K$2:$K$50000,"严重",缺陷明细!$AA$2:$AA$50000,"&lt;&gt;丢弃",缺陷明细!$AA$2:$AA$50000,"&lt;&gt;设计如此",缺陷明细!$AA$2:$AA$50000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COUNTIFS(缺陷明细!$A$2:$A$50000,$B$4,缺陷明细!$G$2:$G$50000,$C54,缺陷明细!$J$2:$J$50000,"运维测试",缺陷明细!$AA$2:$AA$50000,"&lt;&gt;丢弃",缺陷明细!$AA$2:$AA$50000,"&lt;&gt;设计如此",缺陷明细!$AA$2:$AA$50000,"&lt;&gt;重复Bug")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A$2:$AA$50000,"&lt;&gt;丢弃",缺陷明细!$AA$2:$AA$50000,"&lt;&gt;设计如此",缺陷明细!$AA$2:$AA$50000,"&lt;&gt;重复Bug")+COUNTIFS(缺陷明细!$A$2:$A$50000,$B$4,缺陷明细!$G$2:$G$50000,$C54,缺陷明细!$J$2:$J$50000,"运维测试",缺陷明细!$K$2:$K$50000,"严重",缺陷明细!$AA$2:$AA$50000,"&lt;&gt;丢弃",缺陷明细!$AA$2:$AA$50000,"&lt;&gt;设计如此",缺陷明细!$AA$2:$AA$50000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51"/>
    </row>
    <row r="55" spans="1:37" ht="13.8" thickBot="1">
      <c r="B55" s="147"/>
      <c r="C55" s="109"/>
      <c r="D55" s="85"/>
      <c r="E55" s="156"/>
      <c r="F55" s="169"/>
      <c r="G55" s="170"/>
      <c r="H55" s="306">
        <f>COUNTIFS(缺陷明细!$A$2:$A$50000,$B$4,缺陷明细!$G$2:$G$50000,$C55,缺陷明细!$J$2:$J$50000,"评审",缺陷明细!$AA$2:$AA$50000,"&lt;&gt;丢弃",缺陷明细!$AA$2:$AA$50000,"&lt;&gt;设计如此",缺陷明细!$AA$2:$AA$50000,"&lt;&gt;重复Bug")</f>
        <v>0</v>
      </c>
      <c r="I55" s="307">
        <f>COUNTIFS(缺陷明细!$A$2:$A$50000,$B$4,缺陷明细!$G$2:$G$50000,$C55,缺陷明细!$Q$2:$Q$50000,"已关闭",缺陷明细!$J$2:$J$50000,"评审")</f>
        <v>0</v>
      </c>
      <c r="J55" s="307">
        <f>COUNTIFS(缺陷明细!$A$2:$A$50000,$B$4,缺陷明细!$G$2:$G$50000,$C55,缺陷明细!$J$2:$J$50000,"单元测试",缺陷明细!$AA$2:$AA$50000,"&lt;&gt;丢弃",缺陷明细!$AA$2:$AA$50000,"&lt;&gt;设计如此",缺陷明细!$AA$2:$AA$50000,"&lt;&gt;重复Bug")</f>
        <v>0</v>
      </c>
      <c r="K55" s="308">
        <f>COUNTIFS(缺陷明细!$A$2:$A$50000,$B$4,缺陷明细!$G$2:$G$50000,$C55,缺陷明细!$Q$2:$Q$50000,"已关闭",缺陷明细!$J$2:$J$50000,"单元测试")</f>
        <v>0</v>
      </c>
      <c r="L55" s="309"/>
      <c r="M55" s="310"/>
      <c r="N55" s="311">
        <f>COUNTIFS(缺陷明细!$A$2:$A$50000,$B$4,缺陷明细!$G$2:$G$50000,$C55,缺陷明细!$J$2:$J$50000,"系统测试案例评审",缺陷明细!$AA$2:$AA$50000,"&lt;&gt;丢弃",缺陷明细!$AA$2:$AA$50000,"&lt;&gt;设计如此",缺陷明细!$AA$2:$AA$50000,"&lt;&gt;重复Bug")</f>
        <v>0</v>
      </c>
      <c r="O55" s="311">
        <f>COUNTIFS(缺陷明细!$A$2:$A$50000,$B$4,缺陷明细!$G$2:$G$50000,$C55,缺陷明细!$Q$2:$Q$50000,"已关闭",缺陷明细!$J$2:$J$50000,"系统测试案例评审")</f>
        <v>0</v>
      </c>
      <c r="P55" s="311">
        <f>COUNTIFS(缺陷明细!$A$2:$A$50000,$B$4,缺陷明细!$G$2:$G$50000,$C55,缺陷明细!$J$2:$J$50000,"系统测试",缺陷明细!$AA$2:$AA$50000,"&lt;&gt;丢弃",缺陷明细!$AA$2:$AA$50000,"&lt;&gt;设计如此",缺陷明细!$AA$2:$AA$50000,"&lt;&gt;重复Bug")</f>
        <v>0</v>
      </c>
      <c r="Q55" s="311">
        <f>COUNTIFS(缺陷明细!$A$2:$A$50000,$B$4,缺陷明细!$G$2:$G$50000,$C55,缺陷明细!$Q$2:$Q$50000,"已关闭",缺陷明细!$J$2:$J$50000,"系统测试")</f>
        <v>0</v>
      </c>
      <c r="R55" s="311">
        <f>COUNTIFS(缺陷明细!$A$2:$A$50000,$B$4,缺陷明细!$G$2:$G$50000,$C55,缺陷明细!$AA$2:$AA$50000,"丢弃",缺陷明细!$J$2:$J$50000,"系统测试")+COUNTIFS(缺陷明细!$A$2:$A$50000,$B$4,缺陷明细!$G$2:$G$50000,$C55,缺陷明细!$AA$2:$AA$50000,"设计如此",缺陷明细!$J$2:$J$50000,"系统测试"+COUNTIFS(缺陷明细!$A$2:$A$50000,$B$4,缺陷明细!$G$2:$G$50000,$C55,缺陷明细!$AA$2:$AA$50000,"重复Bug",缺陷明细!$J$2:$J$50000,"系统测试"))</f>
        <v>0</v>
      </c>
      <c r="S55" s="311">
        <f>COUNTIFS(缺陷明细!$A$2:$A$50000,$B$4,缺陷明细!$G$2:$G$50000,$C55,缺陷明细!$J$2:$J$50000,"系统测试",缺陷明细!$K$2:$K$50000,"致命",缺陷明细!$AA$2:$AA$50000,"&lt;&gt;丢弃",缺陷明细!$AA$2:$AA$50000,"&lt;&gt;设计如此",缺陷明细!$AA$2:$AA$50000,"&lt;&gt;重复Bug")+COUNTIFS(缺陷明细!$A$2:$A$50000,$B$4,缺陷明细!$G$2:$G$50000,$C55,缺陷明细!$J$2:$J$50000,"系统测试",缺陷明细!$K$2:$K$50000,"严重",缺陷明细!$AA$2:$AA$50000,"&lt;&gt;丢弃",缺陷明细!$AA$2:$AA$50000,"&lt;&gt;设计如此",缺陷明细!$AA$2:$AA$50000,"&lt;&gt;重复Bug")</f>
        <v>0</v>
      </c>
      <c r="T55" s="312">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313">
        <f>COUNTIFS(缺陷明细!$A$2:$A$50000,$B$4,缺陷明细!$G$2:$G$50000,$C55,缺陷明细!$J$2:$J$50000,"验收测试",缺陷明细!$AA$2:$AA$50000,"&lt;&gt;丢弃",缺陷明细!$AA$2:$AA$50000,"&lt;&gt;设计如此",缺陷明细!$AA$2:$AA$50000,"&lt;&gt;重复Bug")</f>
        <v>0</v>
      </c>
      <c r="V55" s="314">
        <f>COUNTIFS(缺陷明细!$A$2:$A$50000,$B$4,缺陷明细!$G$2:$G$50000,$C55,缺陷明细!$Q$2:$Q$50000,"已关闭",缺陷明细!$J$2:$J$50000,"验收测试")</f>
        <v>0</v>
      </c>
      <c r="W55" s="314">
        <f>COUNTIFS(缺陷明细!$A$2:$A$50000,$B$4,缺陷明细!$G$2:$G$50000,$C55,缺陷明细!$J$2:$J$50000,"验收测试",缺陷明细!$K$2:$K$50000,"致命",缺陷明细!$AA$2:$AA$50000,"&lt;&gt;丢弃",缺陷明细!$AA$2:$AA$50000,"&lt;&gt;设计如此",缺陷明细!$AA$2:$AA$50000,"&lt;&gt;重复Bug")+COUNTIFS(缺陷明细!$A$2:$A$50000,$B$4,缺陷明细!$G$2:$G$50000,$C55,缺陷明细!$J$2:$J$50000,"验收测试",缺陷明细!$K$2:$K$50000,"严重",缺陷明细!$AA$2:$AA$50000,"&lt;&gt;丢弃",缺陷明细!$AA$2:$AA$50000,"&lt;&gt;设计如此",缺陷明细!$AA$2:$AA$50000,"&lt;&gt;重复Bug")</f>
        <v>0</v>
      </c>
      <c r="X55" s="315">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316">
        <f>COUNTIFS(缺陷明细!$A$2:$A$50000,$B$4,缺陷明细!$G$2:$G$50000,$C55,缺陷明细!$J$2:$J$50000,"运维测试",缺陷明细!$AA$2:$AA$50000,"&lt;&gt;丢弃",缺陷明细!$AA$2:$AA$50000,"&lt;&gt;设计如此",缺陷明细!$AA$2:$AA$50000,"&lt;&gt;重复Bug")</f>
        <v>0</v>
      </c>
      <c r="Z55" s="317">
        <f>COUNTIFS(缺陷明细!$A$2:$A$50000,$B$4,缺陷明细!$G$2:$G$50000,$C55,缺陷明细!$Q$2:$Q$50000,"已关闭",缺陷明细!$J$2:$J$50000,"运维测试")</f>
        <v>0</v>
      </c>
      <c r="AA55" s="311">
        <f>COUNTIFS(缺陷明细!$A$2:$A$50000,$B$4,缺陷明细!$G$2:$G$50000,$C55,缺陷明细!$J$2:$J$50000,"运维测试",缺陷明细!$K$2:$K$50000,"致命",缺陷明细!$AA$2:$AA$50000,"&lt;&gt;丢弃",缺陷明细!$AA$2:$AA$50000,"&lt;&gt;设计如此",缺陷明细!$AA$2:$AA$50000,"&lt;&gt;重复Bug")+COUNTIFS(缺陷明细!$A$2:$A$50000,$B$4,缺陷明细!$G$2:$G$50000,$C55,缺陷明细!$J$2:$J$50000,"运维测试",缺陷明细!$K$2:$K$50000,"严重",缺陷明细!$AA$2:$AA$50000,"&lt;&gt;丢弃",缺陷明细!$AA$2:$AA$50000,"&lt;&gt;设计如此",缺陷明细!$AA$2:$AA$50000,"&lt;&gt;重复Bug")</f>
        <v>0</v>
      </c>
      <c r="AB55" s="312">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7">
        <f t="shared" si="0"/>
        <v>0</v>
      </c>
      <c r="AD55" s="158">
        <f t="shared" si="0"/>
        <v>0</v>
      </c>
      <c r="AE55" s="158">
        <f t="shared" si="1"/>
        <v>0</v>
      </c>
      <c r="AF55" s="158">
        <f t="shared" si="1"/>
        <v>0</v>
      </c>
      <c r="AG55" s="158">
        <f t="shared" si="2"/>
        <v>0</v>
      </c>
      <c r="AH55" s="158">
        <f t="shared" si="2"/>
        <v>0</v>
      </c>
      <c r="AI55" s="158">
        <f t="shared" si="3"/>
        <v>0</v>
      </c>
      <c r="AJ55" s="148">
        <f t="shared" si="3"/>
        <v>0</v>
      </c>
      <c r="AK55" s="152"/>
    </row>
    <row r="56" spans="1:37">
      <c r="B56" s="397" t="s">
        <v>209</v>
      </c>
      <c r="C56" s="398"/>
      <c r="D56" s="142">
        <f>COUNTA(D5:D55)</f>
        <v>13</v>
      </c>
      <c r="E56" s="142">
        <f>COUNTIF(E2:E55,"是")</f>
        <v>0</v>
      </c>
      <c r="F56" s="142">
        <f>SUMIFS(F5:F500,$E$5:$E$500,"是")</f>
        <v>0</v>
      </c>
      <c r="G56" s="142">
        <f t="shared" ref="G56:AJ56" si="4">SUMIFS(G5:G500,$E$5:$E$500,"是")</f>
        <v>0</v>
      </c>
      <c r="H56" s="142">
        <f t="shared" si="4"/>
        <v>0</v>
      </c>
      <c r="I56" s="142">
        <f t="shared" si="4"/>
        <v>0</v>
      </c>
      <c r="J56" s="142">
        <f t="shared" si="4"/>
        <v>0</v>
      </c>
      <c r="K56" s="142">
        <f t="shared" si="4"/>
        <v>0</v>
      </c>
      <c r="L56" s="142">
        <f t="shared" si="4"/>
        <v>0</v>
      </c>
      <c r="M56" s="142">
        <f t="shared" si="4"/>
        <v>0</v>
      </c>
      <c r="N56" s="142">
        <f t="shared" si="4"/>
        <v>0</v>
      </c>
      <c r="O56" s="142">
        <f t="shared" si="4"/>
        <v>0</v>
      </c>
      <c r="P56" s="142">
        <f t="shared" si="4"/>
        <v>0</v>
      </c>
      <c r="Q56" s="142">
        <f t="shared" si="4"/>
        <v>0</v>
      </c>
      <c r="R56" s="142">
        <f t="shared" si="4"/>
        <v>0</v>
      </c>
      <c r="S56" s="142">
        <f t="shared" si="4"/>
        <v>0</v>
      </c>
      <c r="T56" s="142">
        <f t="shared" si="4"/>
        <v>0</v>
      </c>
      <c r="U56" s="142">
        <f t="shared" si="4"/>
        <v>0</v>
      </c>
      <c r="V56" s="142">
        <f t="shared" si="4"/>
        <v>0</v>
      </c>
      <c r="W56" s="142">
        <f t="shared" si="4"/>
        <v>0</v>
      </c>
      <c r="X56" s="142">
        <f t="shared" si="4"/>
        <v>0</v>
      </c>
      <c r="Y56" s="142">
        <f t="shared" si="4"/>
        <v>0</v>
      </c>
      <c r="Z56" s="142">
        <f t="shared" si="4"/>
        <v>0</v>
      </c>
      <c r="AA56" s="142">
        <f t="shared" si="4"/>
        <v>0</v>
      </c>
      <c r="AB56" s="142">
        <f t="shared" si="4"/>
        <v>0</v>
      </c>
      <c r="AC56" s="142">
        <f t="shared" si="4"/>
        <v>0</v>
      </c>
      <c r="AD56" s="142">
        <f t="shared" si="4"/>
        <v>0</v>
      </c>
      <c r="AE56" s="142">
        <f t="shared" si="4"/>
        <v>0</v>
      </c>
      <c r="AF56" s="142">
        <f t="shared" si="4"/>
        <v>0</v>
      </c>
      <c r="AG56" s="142">
        <f t="shared" si="4"/>
        <v>0</v>
      </c>
      <c r="AH56" s="142">
        <f t="shared" si="4"/>
        <v>0</v>
      </c>
      <c r="AI56" s="142">
        <f t="shared" si="4"/>
        <v>0</v>
      </c>
      <c r="AJ56" s="142">
        <f t="shared" si="4"/>
        <v>0</v>
      </c>
      <c r="AK56" s="30"/>
    </row>
    <row r="57" spans="1:37">
      <c r="C57" s="153"/>
      <c r="D57" s="154"/>
      <c r="E57" s="143"/>
      <c r="F57" s="143"/>
      <c r="G57" s="143"/>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row>
    <row r="59" spans="1:37">
      <c r="F59" s="98"/>
    </row>
  </sheetData>
  <mergeCells count="13">
    <mergeCell ref="H1:AB1"/>
    <mergeCell ref="F2:G2"/>
    <mergeCell ref="D2:D3"/>
    <mergeCell ref="C2:C3"/>
    <mergeCell ref="Y2:AB2"/>
    <mergeCell ref="AC2:AJ2"/>
    <mergeCell ref="AK2:AK3"/>
    <mergeCell ref="U2:X2"/>
    <mergeCell ref="B56:C56"/>
    <mergeCell ref="B2:B3"/>
    <mergeCell ref="E2:E3"/>
    <mergeCell ref="H2:K2"/>
    <mergeCell ref="L2:T2"/>
  </mergeCells>
  <phoneticPr fontId="13" type="noConversion"/>
  <dataValidations count="1">
    <dataValidation type="list" allowBlank="1" showInputMessage="1" showErrorMessage="1" sqref="E5:E55">
      <formula1>"是,否"</formula1>
    </dataValidation>
  </dataValidations>
  <pageMargins left="0.69930555555555596" right="0.69930555555555596"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126"/>
  <sheetViews>
    <sheetView topLeftCell="A115" workbookViewId="0">
      <selection activeCell="T128" sqref="T128"/>
    </sheetView>
  </sheetViews>
  <sheetFormatPr defaultColWidth="9" defaultRowHeight="13.2"/>
  <cols>
    <col min="1" max="1" width="5.109375" customWidth="1"/>
    <col min="3" max="3" width="29.33203125" customWidth="1"/>
    <col min="4" max="4" width="6.33203125" customWidth="1"/>
    <col min="5" max="5" width="5.88671875" style="38" customWidth="1"/>
    <col min="6" max="7" width="5.6640625" style="38" customWidth="1"/>
    <col min="8" max="36" width="5.6640625" customWidth="1"/>
    <col min="37" max="37" width="20" customWidth="1"/>
    <col min="38" max="38" width="8.109375" customWidth="1"/>
  </cols>
  <sheetData>
    <row r="1" spans="1:37" ht="13.5" customHeight="1" thickBot="1">
      <c r="A1" s="29"/>
      <c r="B1" s="272" t="s">
        <v>61</v>
      </c>
      <c r="C1" s="272"/>
      <c r="D1" s="272"/>
      <c r="E1" s="272"/>
      <c r="F1" s="273"/>
      <c r="G1" s="273"/>
      <c r="H1" s="407" t="s">
        <v>63</v>
      </c>
      <c r="I1" s="407"/>
      <c r="J1" s="407"/>
      <c r="K1" s="407"/>
      <c r="L1" s="407"/>
      <c r="M1" s="407"/>
      <c r="N1" s="407"/>
      <c r="O1" s="407"/>
      <c r="P1" s="407"/>
      <c r="Q1" s="407"/>
      <c r="R1" s="407"/>
      <c r="S1" s="407"/>
      <c r="T1" s="407"/>
      <c r="U1" s="407"/>
      <c r="V1" s="407"/>
      <c r="W1" s="407"/>
      <c r="X1" s="407"/>
      <c r="Y1" s="407"/>
      <c r="Z1" s="407"/>
      <c r="AA1" s="407"/>
      <c r="AB1" s="407"/>
      <c r="AC1" s="145"/>
      <c r="AD1" s="145"/>
      <c r="AE1" s="145"/>
      <c r="AF1" s="145"/>
      <c r="AG1" s="145"/>
      <c r="AH1" s="145"/>
      <c r="AI1" s="145"/>
      <c r="AJ1" s="146"/>
      <c r="AK1" s="155"/>
    </row>
    <row r="2" spans="1:37" ht="12.75" customHeight="1" thickBot="1">
      <c r="B2" s="399" t="s">
        <v>180</v>
      </c>
      <c r="C2" s="408" t="s">
        <v>60</v>
      </c>
      <c r="D2" s="410" t="s">
        <v>104</v>
      </c>
      <c r="E2" s="401" t="s">
        <v>181</v>
      </c>
      <c r="F2" s="408" t="s">
        <v>182</v>
      </c>
      <c r="G2" s="409"/>
      <c r="H2" s="403" t="s">
        <v>210</v>
      </c>
      <c r="I2" s="403"/>
      <c r="J2" s="403"/>
      <c r="K2" s="403"/>
      <c r="L2" s="404" t="s">
        <v>183</v>
      </c>
      <c r="M2" s="405"/>
      <c r="N2" s="405"/>
      <c r="O2" s="405"/>
      <c r="P2" s="405"/>
      <c r="Q2" s="405"/>
      <c r="R2" s="405"/>
      <c r="S2" s="405"/>
      <c r="T2" s="406"/>
      <c r="U2" s="395" t="s">
        <v>44</v>
      </c>
      <c r="V2" s="396"/>
      <c r="W2" s="396"/>
      <c r="X2" s="396"/>
      <c r="Y2" s="413" t="s">
        <v>64</v>
      </c>
      <c r="Z2" s="414"/>
      <c r="AA2" s="414"/>
      <c r="AB2" s="414"/>
      <c r="AC2" s="390" t="s">
        <v>2</v>
      </c>
      <c r="AD2" s="391"/>
      <c r="AE2" s="391"/>
      <c r="AF2" s="391"/>
      <c r="AG2" s="391"/>
      <c r="AH2" s="391"/>
      <c r="AI2" s="391"/>
      <c r="AJ2" s="392"/>
      <c r="AK2" s="393" t="s">
        <v>4</v>
      </c>
    </row>
    <row r="3" spans="1:37" ht="84.6" thickBot="1">
      <c r="B3" s="400"/>
      <c r="C3" s="412"/>
      <c r="D3" s="411"/>
      <c r="E3" s="402"/>
      <c r="F3" s="274" t="s">
        <v>273</v>
      </c>
      <c r="G3" s="275" t="s">
        <v>274</v>
      </c>
      <c r="H3" s="34" t="s">
        <v>105</v>
      </c>
      <c r="I3" s="34" t="s">
        <v>106</v>
      </c>
      <c r="J3" s="34" t="s">
        <v>107</v>
      </c>
      <c r="K3" s="34" t="s">
        <v>108</v>
      </c>
      <c r="L3" s="33" t="s">
        <v>185</v>
      </c>
      <c r="M3" s="34" t="s">
        <v>186</v>
      </c>
      <c r="N3" s="31" t="s">
        <v>45</v>
      </c>
      <c r="O3" s="31" t="s">
        <v>46</v>
      </c>
      <c r="P3" s="31" t="s">
        <v>34</v>
      </c>
      <c r="Q3" s="31" t="s">
        <v>36</v>
      </c>
      <c r="R3" s="31" t="s">
        <v>187</v>
      </c>
      <c r="S3" s="31" t="s">
        <v>35</v>
      </c>
      <c r="T3" s="32" t="s">
        <v>37</v>
      </c>
      <c r="U3" s="106" t="s">
        <v>110</v>
      </c>
      <c r="V3" s="35" t="s">
        <v>111</v>
      </c>
      <c r="W3" s="35" t="s">
        <v>188</v>
      </c>
      <c r="X3" s="35" t="s">
        <v>112</v>
      </c>
      <c r="Y3" s="106" t="s">
        <v>65</v>
      </c>
      <c r="Z3" s="35" t="s">
        <v>66</v>
      </c>
      <c r="AA3" s="35" t="s">
        <v>67</v>
      </c>
      <c r="AB3" s="36" t="s">
        <v>190</v>
      </c>
      <c r="AC3" s="33" t="s">
        <v>38</v>
      </c>
      <c r="AD3" s="31" t="s">
        <v>39</v>
      </c>
      <c r="AE3" s="31" t="s">
        <v>40</v>
      </c>
      <c r="AF3" s="31" t="s">
        <v>41</v>
      </c>
      <c r="AG3" s="31" t="s">
        <v>113</v>
      </c>
      <c r="AH3" s="31" t="s">
        <v>115</v>
      </c>
      <c r="AI3" s="31" t="s">
        <v>116</v>
      </c>
      <c r="AJ3" s="32" t="s">
        <v>114</v>
      </c>
      <c r="AK3" s="394"/>
    </row>
    <row r="4" spans="1:37" ht="13.8" thickBot="1">
      <c r="B4" s="102" t="s">
        <v>271</v>
      </c>
      <c r="C4" s="80" t="s">
        <v>302</v>
      </c>
      <c r="D4" s="141"/>
      <c r="E4" s="137"/>
      <c r="F4" s="107"/>
      <c r="G4" s="81"/>
      <c r="H4" s="69"/>
      <c r="I4" s="63"/>
      <c r="J4" s="63"/>
      <c r="K4" s="64"/>
      <c r="L4" s="352"/>
      <c r="M4" s="353"/>
      <c r="N4" s="350"/>
      <c r="O4" s="350"/>
      <c r="P4" s="350"/>
      <c r="Q4" s="350"/>
      <c r="R4" s="350"/>
      <c r="S4" s="350"/>
      <c r="T4" s="351"/>
      <c r="U4" s="62"/>
      <c r="V4" s="63"/>
      <c r="W4" s="63"/>
      <c r="X4" s="64"/>
      <c r="Y4" s="62"/>
      <c r="Z4" s="63"/>
      <c r="AA4" s="63"/>
      <c r="AB4" s="64"/>
      <c r="AC4" s="69"/>
      <c r="AD4" s="63"/>
      <c r="AE4" s="63"/>
      <c r="AF4" s="63"/>
      <c r="AG4" s="63"/>
      <c r="AH4" s="63"/>
      <c r="AI4" s="63"/>
      <c r="AJ4" s="64"/>
      <c r="AK4" s="149"/>
    </row>
    <row r="5" spans="1:37">
      <c r="A5">
        <v>1</v>
      </c>
      <c r="B5" s="346">
        <v>306</v>
      </c>
      <c r="C5" s="79" t="s">
        <v>351</v>
      </c>
      <c r="D5" s="82" t="s">
        <v>467</v>
      </c>
      <c r="E5" s="82" t="s">
        <v>471</v>
      </c>
      <c r="F5" s="319">
        <v>16</v>
      </c>
      <c r="G5" s="320">
        <v>0</v>
      </c>
      <c r="H5" s="293">
        <f>COUNTIFS(缺陷明细!$A$2:$A$50000,$B$4,缺陷明细!$G$2:$G$50000,$C5,缺陷明细!$J$2:$J$50000,"评审",缺陷明细!$AA$2:$AA$50000,"&lt;&gt;丢弃",缺陷明细!$AA$2:$AA$50000,"&lt;&gt;设计如此",缺陷明细!$AA$2:$AA$50000,"&lt;&gt;重复Bug")</f>
        <v>0</v>
      </c>
      <c r="I5" s="294">
        <f>COUNTIFS(缺陷明细!$A$2:$A$50000,$B$4,缺陷明细!$G$2:$G$50000,$C5,缺陷明细!$Q$2:$Q$50000,"已关闭",缺陷明细!$J$2:$J$50000,"评审")</f>
        <v>0</v>
      </c>
      <c r="J5" s="294">
        <f>COUNTIFS(缺陷明细!$A$2:$A$50000,$B$4,缺陷明细!$G$2:$G$50000,$C5,缺陷明细!$J$2:$J$50000,"单元测试",缺陷明细!$AA$2:$AA$50000,"&lt;&gt;丢弃",缺陷明细!$AA$2:$AA$50000,"&lt;&gt;设计如此",缺陷明细!$AA$2:$AA$50000,"&lt;&gt;重复Bug")</f>
        <v>0</v>
      </c>
      <c r="K5" s="295">
        <f>COUNTIFS(缺陷明细!$A$2:$A$50000,$B$4,缺陷明细!$G$2:$G$50000,$C5,缺陷明细!$Q$2:$Q$50000,"已关闭",缺陷明细!$J$2:$J$50000,"单元测试")</f>
        <v>0</v>
      </c>
      <c r="L5" s="296"/>
      <c r="M5" s="297"/>
      <c r="N5" s="298">
        <f>COUNTIFS(缺陷明细!$A$2:$A$50000,$B$4,缺陷明细!$G$2:$G$50000,$C5,缺陷明细!$J$2:$J$50000,"系统测试案例评审",缺陷明细!$AA$2:$AA$50000,"&lt;&gt;丢弃",缺陷明细!$AA$2:$AA$50000,"&lt;&gt;设计如此",缺陷明细!$AA$2:$AA$50000,"&lt;&gt;重复Bug")</f>
        <v>0</v>
      </c>
      <c r="O5" s="298">
        <f>COUNTIFS(缺陷明细!$A$2:$A$50000,$B$4,缺陷明细!$G$2:$G$50000,$C5,缺陷明细!$Q$2:$Q$50000,"已关闭",缺陷明细!$J$2:$J$50000,"系统测试案例评审")</f>
        <v>0</v>
      </c>
      <c r="P5" s="298">
        <f>COUNTIFS(缺陷明细!$A$2:$A$50000,$B$4,缺陷明细!$G$2:$G$50000,$C5,缺陷明细!$J$2:$J$50000,"系统测试",缺陷明细!$AA$2:$AA$50000,"&lt;&gt;丢弃",缺陷明细!$AA$2:$AA$50000,"&lt;&gt;设计如此",缺陷明细!$AA$2:$AA$50000,"&lt;&gt;重复Bug")</f>
        <v>0</v>
      </c>
      <c r="Q5" s="298">
        <f>COUNTIFS(缺陷明细!$A$2:$A$50000,$B$4,缺陷明细!$G$2:$G$50000,$C5,缺陷明细!$Q$2:$Q$50000,"已关闭",缺陷明细!$J$2:$J$50000,"系统测试")</f>
        <v>0</v>
      </c>
      <c r="R5" s="298">
        <f>COUNTIFS(缺陷明细!$A$2:$A$50000,$B$4,缺陷明细!$G$2:$G$50000,$C5,缺陷明细!$AA$2:$AA$50000,"丢弃",缺陷明细!$J$2:$J$50000,"系统测试")+COUNTIFS(缺陷明细!$A$2:$A$50000,$B$4,缺陷明细!$G$2:$G$50000,$C5,缺陷明细!$AA$2:$AA$50000,"设计如此",缺陷明细!$J$2:$J$50000,"系统测试")+COUNTIFS(缺陷明细!$A$2:$A$50000,$B$4,缺陷明细!$G$2:$G$50000,$C5,缺陷明细!$AA$2:$AA$50000,"重复Bug",缺陷明细!$J$2:$J$50000,"系统测试")</f>
        <v>0</v>
      </c>
      <c r="S5" s="298">
        <f>COUNTIFS(缺陷明细!$A$2:$A$50000,$B$4,缺陷明细!$G$2:$G$50000,$C5,缺陷明细!$J$2:$J$50000,"系统测试",缺陷明细!$K$2:$K$50000,"致命",缺陷明细!$AA$2:$AA$50000,"&lt;&gt;丢弃",缺陷明细!$AA$2:$AA$50000,"&lt;&gt;设计如此",缺陷明细!$AA$2:$AA$50000,"&lt;&gt;重复Bug")+COUNTIFS(缺陷明细!$A$2:$A$50000,$B$4,缺陷明细!$G$2:$G$50000,$C5,缺陷明细!$J$2:$J$50000,"系统测试",缺陷明细!$K$2:$K$50000,"严重",缺陷明细!$AA$2:$AA$50000,"&lt;&gt;丢弃",缺陷明细!$AA$2:$AA$50000,"&lt;&gt;设计如此",缺陷明细!$AA$2:$AA$50000,"&lt;&gt;重复Bug")</f>
        <v>0</v>
      </c>
      <c r="T5" s="299">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300">
        <f>COUNTIFS(缺陷明细!$A$2:$A$50000,$B$4,缺陷明细!$G$2:$G$50000,$C5,缺陷明细!$J$2:$J$50000,"验收测试",缺陷明细!$AA$2:$AA$50000,"&lt;&gt;丢弃",缺陷明细!$AA$2:$AA$50000,"&lt;&gt;设计如此",缺陷明细!$AA$2:$AA$50000,"&lt;&gt;重复Bug")</f>
        <v>0</v>
      </c>
      <c r="V5" s="301">
        <f>COUNTIFS(缺陷明细!$A$2:$A$50000,$B$4,缺陷明细!$G$2:$G$50000,$C5,缺陷明细!$Q$2:$Q$50000,"已关闭",缺陷明细!$J$2:$J$50000,"验收测试")</f>
        <v>0</v>
      </c>
      <c r="W5" s="301">
        <f>COUNTIFS(缺陷明细!$A$2:$A$50000,$B$4,缺陷明细!$G$2:$G$50000,$C5,缺陷明细!$J$2:$J$50000,"验收测试",缺陷明细!$K$2:$K$50000,"致命",缺陷明细!$AA$2:$AA$50000,"&lt;&gt;丢弃",缺陷明细!$AA$2:$AA$50000,"&lt;&gt;设计如此",缺陷明细!$AA$2:$AA$50000,"&lt;&gt;重复Bug")+COUNTIFS(缺陷明细!$A$2:$A$50000,$B$4,缺陷明细!$G$2:$G$50000,$C5,缺陷明细!$J$2:$J$50000,"验收测试",缺陷明细!$K$2:$K$50000,"严重",缺陷明细!$AA$2:$AA$50000,"&lt;&gt;丢弃",缺陷明细!$AA$2:$AA$50000,"&lt;&gt;设计如此",缺陷明细!$AA$2:$AA$50000,"&lt;&gt;重复Bug")</f>
        <v>0</v>
      </c>
      <c r="X5" s="302">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303">
        <f>COUNTIFS(缺陷明细!$A$2:$A$50000,$B$4,缺陷明细!$G$2:$G$50000,$C5,缺陷明细!$J$2:$J$50000,"运维测试",缺陷明细!$AA$2:$AA$50000,"&lt;&gt;丢弃",缺陷明细!$AA$2:$AA$50000,"&lt;&gt;设计如此",缺陷明细!$AA$2:$AA$50000,"&lt;&gt;重复Bug")</f>
        <v>0</v>
      </c>
      <c r="Z5" s="304">
        <f>COUNTIFS(缺陷明细!$A$2:$A$50000,$B$4,缺陷明细!$G$2:$G$50000,$C5,缺陷明细!$Q$2:$Q$50000,"已关闭",缺陷明细!$J$2:$J$50000,"运维测试")</f>
        <v>0</v>
      </c>
      <c r="AA5" s="298">
        <f>COUNTIFS(缺陷明细!$A$2:$A$50000,$B$4,缺陷明细!$G$2:$G$50000,$C5,缺陷明细!$J$2:$J$50000,"运维测试",缺陷明细!$K$2:$K$50000,"致命",缺陷明细!$AA$2:$AA$50000,"&lt;&gt;丢弃",缺陷明细!$AA$2:$AA$50000,"&lt;&gt;设计如此",缺陷明细!$AA$2:$AA$50000,"&lt;&gt;重复Bug")+COUNTIFS(缺陷明细!$A$2:$A$50000,$B$4,缺陷明细!$G$2:$G$50000,$C5,缺陷明细!$J$2:$J$50000,"运维测试",缺陷明细!$K$2:$K$50000,"严重",缺陷明细!$AA$2:$AA$50000,"&lt;&gt;丢弃",缺陷明细!$AA$2:$AA$50000,"&lt;&gt;设计如此",缺陷明细!$AA$2:$AA$50000,"&lt;&gt;重复Bug")</f>
        <v>0</v>
      </c>
      <c r="AB5" s="299">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50"/>
    </row>
    <row r="6" spans="1:37">
      <c r="A6">
        <v>2</v>
      </c>
      <c r="B6" s="347">
        <v>324</v>
      </c>
      <c r="C6" s="58" t="s">
        <v>352</v>
      </c>
      <c r="D6" s="83" t="s">
        <v>467</v>
      </c>
      <c r="E6" s="82" t="s">
        <v>472</v>
      </c>
      <c r="F6" s="322">
        <v>4</v>
      </c>
      <c r="G6" s="323">
        <v>8</v>
      </c>
      <c r="H6" s="305">
        <f>COUNTIFS(缺陷明细!$A$2:$A$50000,$B$4,缺陷明细!$G$2:$G$50000,$C6,缺陷明细!$J$2:$J$50000,"评审",缺陷明细!$AA$2:$AA$50000,"&lt;&gt;丢弃",缺陷明细!$AA$2:$AA$50000,"&lt;&gt;设计如此",缺陷明细!$AA$2:$AA$50000,"&lt;&gt;重复Bug")</f>
        <v>0</v>
      </c>
      <c r="I6" s="161">
        <f>COUNTIFS(缺陷明细!$A$2:$A$50000,$B$4,缺陷明细!$G$2:$G$50000,$C6,缺陷明细!$Q$2:$Q$50000,"已关闭",缺陷明细!$J$2:$J$50000,"评审")</f>
        <v>0</v>
      </c>
      <c r="J6" s="161">
        <f>COUNTIFS(缺陷明细!$A$2:$A$50000,$B$4,缺陷明细!$G$2:$G$50000,$C6,缺陷明细!$J$2:$J$50000,"单元测试",缺陷明细!$AA$2:$AA$50000,"&lt;&gt;丢弃",缺陷明细!$AA$2:$AA$50000,"&lt;&gt;设计如此",缺陷明细!$AA$2:$AA$50000,"&lt;&gt;重复Bug")</f>
        <v>0</v>
      </c>
      <c r="K6" s="162">
        <f>COUNTIFS(缺陷明细!$A$2:$A$50000,$B$4,缺陷明细!$G$2:$G$50000,$C6,缺陷明细!$Q$2:$Q$50000,"已关闭",缺陷明细!$J$2:$J$50000,"单元测试")</f>
        <v>0</v>
      </c>
      <c r="L6" s="163"/>
      <c r="M6" s="164"/>
      <c r="N6" s="72">
        <f>COUNTIFS(缺陷明细!$A$2:$A$50000,$B$4,缺陷明细!$G$2:$G$50000,$C6,缺陷明细!$J$2:$J$50000,"系统测试案例评审",缺陷明细!$AA$2:$AA$50000,"&lt;&gt;丢弃",缺陷明细!$AA$2:$AA$50000,"&lt;&gt;设计如此",缺陷明细!$AA$2:$AA$50000,"&lt;&gt;重复Bug")</f>
        <v>0</v>
      </c>
      <c r="O6" s="72">
        <f>COUNTIFS(缺陷明细!$A$2:$A$50000,$B$4,缺陷明细!$G$2:$G$50000,$C6,缺陷明细!$Q$2:$Q$50000,"已关闭",缺陷明细!$J$2:$J$50000,"系统测试案例评审")</f>
        <v>0</v>
      </c>
      <c r="P6" s="72">
        <f>COUNTIFS(缺陷明细!$A$2:$A$50000,$B$4,缺陷明细!$G$2:$G$50000,$C6,缺陷明细!$J$2:$J$50000,"系统测试",缺陷明细!$AA$2:$AA$50000,"&lt;&gt;丢弃",缺陷明细!$AA$2:$AA$50000,"&lt;&gt;设计如此",缺陷明细!$AA$2:$AA$50000,"&lt;&gt;重复Bug")</f>
        <v>0</v>
      </c>
      <c r="Q6" s="72">
        <f>COUNTIFS(缺陷明细!$A$2:$A$50000,$B$4,缺陷明细!$G$2:$G$50000,$C6,缺陷明细!$Q$2:$Q$50000,"已关闭",缺陷明细!$J$2:$J$50000,"系统测试")</f>
        <v>0</v>
      </c>
      <c r="R6" s="354">
        <f>COUNTIFS(缺陷明细!$A$2:$A$50000,$B$4,缺陷明细!$G$2:$G$50000,$C6,缺陷明细!$AA$2:$AA$50000,"丢弃",缺陷明细!$J$2:$J$50000,"系统测试")+COUNTIFS(缺陷明细!$A$2:$A$50000,$B$4,缺陷明细!$G$2:$G$50000,$C6,缺陷明细!$AA$2:$AA$50000,"设计如此",缺陷明细!$J$2:$J$50000,"系统测试")+COUNTIFS(缺陷明细!$A$2:$A$50000,$B$4,缺陷明细!$G$2:$G$50000,$C6,缺陷明细!$AA$2:$AA$50000,"重复Bug",缺陷明细!$J$2:$J$50000,"系统测试")</f>
        <v>0</v>
      </c>
      <c r="S6" s="72">
        <f>COUNTIFS(缺陷明细!$A$2:$A$50000,$B$4,缺陷明细!$G$2:$G$50000,$C6,缺陷明细!$J$2:$J$50000,"系统测试",缺陷明细!$K$2:$K$50000,"致命",缺陷明细!$AA$2:$AA$50000,"&lt;&gt;丢弃",缺陷明细!$AA$2:$AA$50000,"&lt;&gt;设计如此",缺陷明细!$AA$2:$AA$50000,"&lt;&gt;重复Bug")+COUNTIFS(缺陷明细!$A$2:$A$50000,$B$4,缺陷明细!$G$2:$G$50000,$C6,缺陷明细!$J$2:$J$50000,"系统测试",缺陷明细!$K$2:$K$50000,"严重",缺陷明细!$AA$2:$AA$50000,"&lt;&gt;丢弃",缺陷明细!$AA$2:$AA$50000,"&lt;&gt;设计如此",缺陷明细!$AA$2:$AA$50000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COUNTIFS(缺陷明细!$A$2:$A$50000,$B$4,缺陷明细!$G$2:$G$50000,$C6,缺陷明细!$J$2:$J$50000,"验收测试",缺陷明细!$AA$2:$AA$50000,"&lt;&gt;丢弃",缺陷明细!$AA$2:$AA$50000,"&lt;&gt;设计如此",缺陷明细!$AA$2:$AA$50000,"&lt;&gt;重复Bug")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A$2:$AA$50000,"&lt;&gt;丢弃",缺陷明细!$AA$2:$AA$50000,"&lt;&gt;设计如此",缺陷明细!$AA$2:$AA$50000,"&lt;&gt;重复Bug")+COUNTIFS(缺陷明细!$A$2:$A$50000,$B$4,缺陷明细!$G$2:$G$50000,$C6,缺陷明细!$J$2:$J$50000,"验收测试",缺陷明细!$K$2:$K$50000,"严重",缺陷明细!$AA$2:$AA$50000,"&lt;&gt;丢弃",缺陷明细!$AA$2:$AA$50000,"&lt;&gt;设计如此",缺陷明细!$AA$2:$AA$50000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COUNTIFS(缺陷明细!$A$2:$A$50000,$B$4,缺陷明细!$G$2:$G$50000,$C6,缺陷明细!$J$2:$J$50000,"运维测试",缺陷明细!$AA$2:$AA$50000,"&lt;&gt;丢弃",缺陷明细!$AA$2:$AA$50000,"&lt;&gt;设计如此",缺陷明细!$AA$2:$AA$50000,"&lt;&gt;重复Bug")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A$2:$AA$50000,"&lt;&gt;丢弃",缺陷明细!$AA$2:$AA$50000,"&lt;&gt;设计如此",缺陷明细!$AA$2:$AA$50000,"&lt;&gt;重复Bug")+COUNTIFS(缺陷明细!$A$2:$A$50000,$B$4,缺陷明细!$G$2:$G$50000,$C6,缺陷明细!$J$2:$J$50000,"运维测试",缺陷明细!$K$2:$K$50000,"严重",缺陷明细!$AA$2:$AA$50000,"&lt;&gt;丢弃",缺陷明细!$AA$2:$AA$50000,"&lt;&gt;设计如此",缺陷明细!$AA$2:$AA$50000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122" si="0">H6</f>
        <v>0</v>
      </c>
      <c r="AD6" s="60">
        <f t="shared" si="0"/>
        <v>0</v>
      </c>
      <c r="AE6" s="60">
        <f t="shared" ref="AE6:AF122" si="1">H6+J6</f>
        <v>0</v>
      </c>
      <c r="AF6" s="60">
        <f t="shared" si="1"/>
        <v>0</v>
      </c>
      <c r="AG6" s="60">
        <f t="shared" ref="AG6:AH122" si="2">H6+J6+P6</f>
        <v>0</v>
      </c>
      <c r="AH6" s="60">
        <f t="shared" si="2"/>
        <v>0</v>
      </c>
      <c r="AI6" s="60">
        <f t="shared" ref="AI6:AJ122" si="3">Y6</f>
        <v>0</v>
      </c>
      <c r="AJ6" s="61">
        <f t="shared" si="3"/>
        <v>0</v>
      </c>
      <c r="AK6" s="151"/>
    </row>
    <row r="7" spans="1:37" ht="39.6">
      <c r="A7">
        <v>3</v>
      </c>
      <c r="B7" s="347">
        <v>415</v>
      </c>
      <c r="C7" s="58" t="s">
        <v>353</v>
      </c>
      <c r="D7" s="83" t="s">
        <v>467</v>
      </c>
      <c r="E7" s="82" t="s">
        <v>472</v>
      </c>
      <c r="F7" s="322">
        <v>4</v>
      </c>
      <c r="G7" s="323">
        <v>4</v>
      </c>
      <c r="H7" s="305">
        <f>COUNTIFS(缺陷明细!$A$2:$A$50000,$B$4,缺陷明细!$G$2:$G$50000,$C7,缺陷明细!$J$2:$J$50000,"评审",缺陷明细!$AA$2:$AA$50000,"&lt;&gt;丢弃",缺陷明细!$AA$2:$AA$50000,"&lt;&gt;设计如此",缺陷明细!$AA$2:$AA$50000,"&lt;&gt;重复Bug")</f>
        <v>0</v>
      </c>
      <c r="I7" s="161">
        <f>COUNTIFS(缺陷明细!$A$2:$A$50000,$B$4,缺陷明细!$G$2:$G$50000,$C7,缺陷明细!$Q$2:$Q$50000,"已关闭",缺陷明细!$J$2:$J$50000,"评审")</f>
        <v>0</v>
      </c>
      <c r="J7" s="161">
        <f>COUNTIFS(缺陷明细!$A$2:$A$50000,$B$4,缺陷明细!$G$2:$G$50000,$C7,缺陷明细!$J$2:$J$50000,"单元测试",缺陷明细!$AA$2:$AA$50000,"&lt;&gt;丢弃",缺陷明细!$AA$2:$AA$50000,"&lt;&gt;设计如此",缺陷明细!$AA$2:$AA$50000,"&lt;&gt;重复Bug")</f>
        <v>0</v>
      </c>
      <c r="K7" s="162">
        <f>COUNTIFS(缺陷明细!$A$2:$A$50000,$B$4,缺陷明细!$G$2:$G$50000,$C7,缺陷明细!$Q$2:$Q$50000,"已关闭",缺陷明细!$J$2:$J$50000,"单元测试")</f>
        <v>0</v>
      </c>
      <c r="L7" s="163"/>
      <c r="M7" s="164"/>
      <c r="N7" s="72">
        <f>COUNTIFS(缺陷明细!$A$2:$A$50000,$B$4,缺陷明细!$G$2:$G$50000,$C7,缺陷明细!$J$2:$J$50000,"系统测试案例评审",缺陷明细!$AA$2:$AA$50000,"&lt;&gt;丢弃",缺陷明细!$AA$2:$AA$50000,"&lt;&gt;设计如此",缺陷明细!$AA$2:$AA$50000,"&lt;&gt;重复Bug")</f>
        <v>0</v>
      </c>
      <c r="O7" s="72">
        <f>COUNTIFS(缺陷明细!$A$2:$A$50000,$B$4,缺陷明细!$G$2:$G$50000,$C7,缺陷明细!$Q$2:$Q$50000,"已关闭",缺陷明细!$J$2:$J$50000,"系统测试案例评审")</f>
        <v>0</v>
      </c>
      <c r="P7" s="72">
        <f>COUNTIFS(缺陷明细!$A$2:$A$50000,$B$4,缺陷明细!$G$2:$G$50000,$C7,缺陷明细!$J$2:$J$50000,"系统测试",缺陷明细!$AA$2:$AA$50000,"&lt;&gt;丢弃",缺陷明细!$AA$2:$AA$50000,"&lt;&gt;设计如此",缺陷明细!$AA$2:$AA$50000,"&lt;&gt;重复Bug")</f>
        <v>0</v>
      </c>
      <c r="Q7" s="72">
        <f>COUNTIFS(缺陷明细!$A$2:$A$50000,$B$4,缺陷明细!$G$2:$G$50000,$C7,缺陷明细!$Q$2:$Q$50000,"已关闭",缺陷明细!$J$2:$J$50000,"系统测试")</f>
        <v>0</v>
      </c>
      <c r="R7" s="354">
        <f>COUNTIFS(缺陷明细!$A$2:$A$50000,$B$4,缺陷明细!$G$2:$G$50000,$C7,缺陷明细!$AA$2:$AA$50000,"丢弃",缺陷明细!$J$2:$J$50000,"系统测试")+COUNTIFS(缺陷明细!$A$2:$A$50000,$B$4,缺陷明细!$G$2:$G$50000,$C7,缺陷明细!$AA$2:$AA$50000,"设计如此",缺陷明细!$J$2:$J$50000,"系统测试")+COUNTIFS(缺陷明细!$A$2:$A$50000,$B$4,缺陷明细!$G$2:$G$50000,$C7,缺陷明细!$AA$2:$AA$50000,"重复Bug",缺陷明细!$J$2:$J$50000,"系统测试")</f>
        <v>0</v>
      </c>
      <c r="S7" s="72">
        <f>COUNTIFS(缺陷明细!$A$2:$A$50000,$B$4,缺陷明细!$G$2:$G$50000,$C7,缺陷明细!$J$2:$J$50000,"系统测试",缺陷明细!$K$2:$K$50000,"致命",缺陷明细!$AA$2:$AA$50000,"&lt;&gt;丢弃",缺陷明细!$AA$2:$AA$50000,"&lt;&gt;设计如此",缺陷明细!$AA$2:$AA$50000,"&lt;&gt;重复Bug")+COUNTIFS(缺陷明细!$A$2:$A$50000,$B$4,缺陷明细!$G$2:$G$50000,$C7,缺陷明细!$J$2:$J$50000,"系统测试",缺陷明细!$K$2:$K$50000,"严重",缺陷明细!$AA$2:$AA$50000,"&lt;&gt;丢弃",缺陷明细!$AA$2:$AA$50000,"&lt;&gt;设计如此",缺陷明细!$AA$2:$AA$50000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COUNTIFS(缺陷明细!$A$2:$A$50000,$B$4,缺陷明细!$G$2:$G$50000,$C7,缺陷明细!$J$2:$J$50000,"验收测试",缺陷明细!$AA$2:$AA$50000,"&lt;&gt;丢弃",缺陷明细!$AA$2:$AA$50000,"&lt;&gt;设计如此",缺陷明细!$AA$2:$AA$50000,"&lt;&gt;重复Bug")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A$2:$AA$50000,"&lt;&gt;丢弃",缺陷明细!$AA$2:$AA$50000,"&lt;&gt;设计如此",缺陷明细!$AA$2:$AA$50000,"&lt;&gt;重复Bug")+COUNTIFS(缺陷明细!$A$2:$A$50000,$B$4,缺陷明细!$G$2:$G$50000,$C7,缺陷明细!$J$2:$J$50000,"验收测试",缺陷明细!$K$2:$K$50000,"严重",缺陷明细!$AA$2:$AA$50000,"&lt;&gt;丢弃",缺陷明细!$AA$2:$AA$50000,"&lt;&gt;设计如此",缺陷明细!$AA$2:$AA$50000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COUNTIFS(缺陷明细!$A$2:$A$50000,$B$4,缺陷明细!$G$2:$G$50000,$C7,缺陷明细!$J$2:$J$50000,"运维测试",缺陷明细!$AA$2:$AA$50000,"&lt;&gt;丢弃",缺陷明细!$AA$2:$AA$50000,"&lt;&gt;设计如此",缺陷明细!$AA$2:$AA$50000,"&lt;&gt;重复Bug")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A$2:$AA$50000,"&lt;&gt;丢弃",缺陷明细!$AA$2:$AA$50000,"&lt;&gt;设计如此",缺陷明细!$AA$2:$AA$50000,"&lt;&gt;重复Bug")+COUNTIFS(缺陷明细!$A$2:$A$50000,$B$4,缺陷明细!$G$2:$G$50000,$C7,缺陷明细!$J$2:$J$50000,"运维测试",缺陷明细!$K$2:$K$50000,"严重",缺陷明细!$AA$2:$AA$50000,"&lt;&gt;丢弃",缺陷明细!$AA$2:$AA$50000,"&lt;&gt;设计如此",缺陷明细!$AA$2:$AA$50000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51"/>
    </row>
    <row r="8" spans="1:37" ht="39.6">
      <c r="A8">
        <v>4</v>
      </c>
      <c r="B8" s="347">
        <v>417</v>
      </c>
      <c r="C8" s="58" t="s">
        <v>354</v>
      </c>
      <c r="D8" s="83" t="s">
        <v>467</v>
      </c>
      <c r="E8" s="82" t="s">
        <v>472</v>
      </c>
      <c r="F8" s="322">
        <v>4</v>
      </c>
      <c r="G8" s="323">
        <v>4</v>
      </c>
      <c r="H8" s="305">
        <f>COUNTIFS(缺陷明细!$A$2:$A$50000,$B$4,缺陷明细!$G$2:$G$50000,$C8,缺陷明细!$J$2:$J$50000,"评审",缺陷明细!$AA$2:$AA$50000,"&lt;&gt;丢弃",缺陷明细!$AA$2:$AA$50000,"&lt;&gt;设计如此",缺陷明细!$AA$2:$AA$50000,"&lt;&gt;重复Bug")</f>
        <v>0</v>
      </c>
      <c r="I8" s="161">
        <f>COUNTIFS(缺陷明细!$A$2:$A$50000,$B$4,缺陷明细!$G$2:$G$50000,$C8,缺陷明细!$Q$2:$Q$50000,"已关闭",缺陷明细!$J$2:$J$50000,"评审")</f>
        <v>0</v>
      </c>
      <c r="J8" s="161">
        <f>COUNTIFS(缺陷明细!$A$2:$A$50000,$B$4,缺陷明细!$G$2:$G$50000,$C8,缺陷明细!$J$2:$J$50000,"单元测试",缺陷明细!$AA$2:$AA$50000,"&lt;&gt;丢弃",缺陷明细!$AA$2:$AA$50000,"&lt;&gt;设计如此",缺陷明细!$AA$2:$AA$50000,"&lt;&gt;重复Bug")</f>
        <v>0</v>
      </c>
      <c r="K8" s="162">
        <f>COUNTIFS(缺陷明细!$A$2:$A$50000,$B$4,缺陷明细!$G$2:$G$50000,$C8,缺陷明细!$Q$2:$Q$50000,"已关闭",缺陷明细!$J$2:$J$50000,"单元测试")</f>
        <v>0</v>
      </c>
      <c r="L8" s="163"/>
      <c r="M8" s="164"/>
      <c r="N8" s="72">
        <f>COUNTIFS(缺陷明细!$A$2:$A$50000,$B$4,缺陷明细!$G$2:$G$50000,$C8,缺陷明细!$J$2:$J$50000,"系统测试案例评审",缺陷明细!$AA$2:$AA$50000,"&lt;&gt;丢弃",缺陷明细!$AA$2:$AA$50000,"&lt;&gt;设计如此",缺陷明细!$AA$2:$AA$50000,"&lt;&gt;重复Bug")</f>
        <v>0</v>
      </c>
      <c r="O8" s="72">
        <f>COUNTIFS(缺陷明细!$A$2:$A$50000,$B$4,缺陷明细!$G$2:$G$50000,$C8,缺陷明细!$Q$2:$Q$50000,"已关闭",缺陷明细!$J$2:$J$50000,"系统测试案例评审")</f>
        <v>0</v>
      </c>
      <c r="P8" s="72">
        <f>COUNTIFS(缺陷明细!$A$2:$A$50000,$B$4,缺陷明细!$G$2:$G$50000,$C8,缺陷明细!$J$2:$J$50000,"系统测试",缺陷明细!$AA$2:$AA$50000,"&lt;&gt;丢弃",缺陷明细!$AA$2:$AA$50000,"&lt;&gt;设计如此",缺陷明细!$AA$2:$AA$50000,"&lt;&gt;重复Bug")</f>
        <v>0</v>
      </c>
      <c r="Q8" s="72">
        <f>COUNTIFS(缺陷明细!$A$2:$A$50000,$B$4,缺陷明细!$G$2:$G$50000,$C8,缺陷明细!$Q$2:$Q$50000,"已关闭",缺陷明细!$J$2:$J$50000,"系统测试")</f>
        <v>0</v>
      </c>
      <c r="R8" s="354">
        <f>COUNTIFS(缺陷明细!$A$2:$A$50000,$B$4,缺陷明细!$G$2:$G$50000,$C8,缺陷明细!$AA$2:$AA$50000,"丢弃",缺陷明细!$J$2:$J$50000,"系统测试")+COUNTIFS(缺陷明细!$A$2:$A$50000,$B$4,缺陷明细!$G$2:$G$50000,$C8,缺陷明细!$AA$2:$AA$50000,"设计如此",缺陷明细!$J$2:$J$50000,"系统测试")+COUNTIFS(缺陷明细!$A$2:$A$50000,$B$4,缺陷明细!$G$2:$G$50000,$C8,缺陷明细!$AA$2:$AA$50000,"重复Bug",缺陷明细!$J$2:$J$50000,"系统测试")</f>
        <v>0</v>
      </c>
      <c r="S8" s="72">
        <f>COUNTIFS(缺陷明细!$A$2:$A$50000,$B$4,缺陷明细!$G$2:$G$50000,$C8,缺陷明细!$J$2:$J$50000,"系统测试",缺陷明细!$K$2:$K$50000,"致命",缺陷明细!$AA$2:$AA$50000,"&lt;&gt;丢弃",缺陷明细!$AA$2:$AA$50000,"&lt;&gt;设计如此",缺陷明细!$AA$2:$AA$50000,"&lt;&gt;重复Bug")+COUNTIFS(缺陷明细!$A$2:$A$50000,$B$4,缺陷明细!$G$2:$G$50000,$C8,缺陷明细!$J$2:$J$50000,"系统测试",缺陷明细!$K$2:$K$50000,"严重",缺陷明细!$AA$2:$AA$50000,"&lt;&gt;丢弃",缺陷明细!$AA$2:$AA$50000,"&lt;&gt;设计如此",缺陷明细!$AA$2:$AA$50000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COUNTIFS(缺陷明细!$A$2:$A$50000,$B$4,缺陷明细!$G$2:$G$50000,$C8,缺陷明细!$J$2:$J$50000,"验收测试",缺陷明细!$AA$2:$AA$50000,"&lt;&gt;丢弃",缺陷明细!$AA$2:$AA$50000,"&lt;&gt;设计如此",缺陷明细!$AA$2:$AA$50000,"&lt;&gt;重复Bug")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A$2:$AA$50000,"&lt;&gt;丢弃",缺陷明细!$AA$2:$AA$50000,"&lt;&gt;设计如此",缺陷明细!$AA$2:$AA$50000,"&lt;&gt;重复Bug")+COUNTIFS(缺陷明细!$A$2:$A$50000,$B$4,缺陷明细!$G$2:$G$50000,$C8,缺陷明细!$J$2:$J$50000,"验收测试",缺陷明细!$K$2:$K$50000,"严重",缺陷明细!$AA$2:$AA$50000,"&lt;&gt;丢弃",缺陷明细!$AA$2:$AA$50000,"&lt;&gt;设计如此",缺陷明细!$AA$2:$AA$50000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COUNTIFS(缺陷明细!$A$2:$A$50000,$B$4,缺陷明细!$G$2:$G$50000,$C8,缺陷明细!$J$2:$J$50000,"运维测试",缺陷明细!$AA$2:$AA$50000,"&lt;&gt;丢弃",缺陷明细!$AA$2:$AA$50000,"&lt;&gt;设计如此",缺陷明细!$AA$2:$AA$50000,"&lt;&gt;重复Bug")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A$2:$AA$50000,"&lt;&gt;丢弃",缺陷明细!$AA$2:$AA$50000,"&lt;&gt;设计如此",缺陷明细!$AA$2:$AA$50000,"&lt;&gt;重复Bug")+COUNTIFS(缺陷明细!$A$2:$A$50000,$B$4,缺陷明细!$G$2:$G$50000,$C8,缺陷明细!$J$2:$J$50000,"运维测试",缺陷明细!$K$2:$K$50000,"严重",缺陷明细!$AA$2:$AA$50000,"&lt;&gt;丢弃",缺陷明细!$AA$2:$AA$50000,"&lt;&gt;设计如此",缺陷明细!$AA$2:$AA$50000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51"/>
    </row>
    <row r="9" spans="1:37" ht="39.6">
      <c r="A9">
        <v>5</v>
      </c>
      <c r="B9" s="347">
        <v>418</v>
      </c>
      <c r="C9" s="59" t="s">
        <v>355</v>
      </c>
      <c r="D9" s="84" t="s">
        <v>467</v>
      </c>
      <c r="E9" s="82" t="s">
        <v>472</v>
      </c>
      <c r="F9" s="322">
        <v>0.25</v>
      </c>
      <c r="G9" s="323">
        <v>0.5</v>
      </c>
      <c r="H9" s="305">
        <f>COUNTIFS(缺陷明细!$A$2:$A$50000,$B$4,缺陷明细!$G$2:$G$50000,$C9,缺陷明细!$J$2:$J$50000,"评审",缺陷明细!$AA$2:$AA$50000,"&lt;&gt;丢弃",缺陷明细!$AA$2:$AA$50000,"&lt;&gt;设计如此",缺陷明细!$AA$2:$AA$50000,"&lt;&gt;重复Bug")</f>
        <v>0</v>
      </c>
      <c r="I9" s="161">
        <f>COUNTIFS(缺陷明细!$A$2:$A$50000,$B$4,缺陷明细!$G$2:$G$50000,$C9,缺陷明细!$Q$2:$Q$50000,"已关闭",缺陷明细!$J$2:$J$50000,"评审")</f>
        <v>0</v>
      </c>
      <c r="J9" s="161">
        <f>COUNTIFS(缺陷明细!$A$2:$A$50000,$B$4,缺陷明细!$G$2:$G$50000,$C9,缺陷明细!$J$2:$J$50000,"单元测试",缺陷明细!$AA$2:$AA$50000,"&lt;&gt;丢弃",缺陷明细!$AA$2:$AA$50000,"&lt;&gt;设计如此",缺陷明细!$AA$2:$AA$50000,"&lt;&gt;重复Bug")</f>
        <v>0</v>
      </c>
      <c r="K9" s="162">
        <f>COUNTIFS(缺陷明细!$A$2:$A$50000,$B$4,缺陷明细!$G$2:$G$50000,$C9,缺陷明细!$Q$2:$Q$50000,"已关闭",缺陷明细!$J$2:$J$50000,"单元测试")</f>
        <v>0</v>
      </c>
      <c r="L9" s="163"/>
      <c r="M9" s="164"/>
      <c r="N9" s="72">
        <f>COUNTIFS(缺陷明细!$A$2:$A$50000,$B$4,缺陷明细!$G$2:$G$50000,$C9,缺陷明细!$J$2:$J$50000,"系统测试案例评审",缺陷明细!$AA$2:$AA$50000,"&lt;&gt;丢弃",缺陷明细!$AA$2:$AA$50000,"&lt;&gt;设计如此",缺陷明细!$AA$2:$AA$50000,"&lt;&gt;重复Bug")</f>
        <v>0</v>
      </c>
      <c r="O9" s="72">
        <f>COUNTIFS(缺陷明细!$A$2:$A$50000,$B$4,缺陷明细!$G$2:$G$50000,$C9,缺陷明细!$Q$2:$Q$50000,"已关闭",缺陷明细!$J$2:$J$50000,"系统测试案例评审")</f>
        <v>0</v>
      </c>
      <c r="P9" s="72">
        <f>COUNTIFS(缺陷明细!$A$2:$A$50000,$B$4,缺陷明细!$G$2:$G$50000,$C9,缺陷明细!$J$2:$J$50000,"系统测试",缺陷明细!$AA$2:$AA$50000,"&lt;&gt;丢弃",缺陷明细!$AA$2:$AA$50000,"&lt;&gt;设计如此",缺陷明细!$AA$2:$AA$50000,"&lt;&gt;重复Bug")</f>
        <v>0</v>
      </c>
      <c r="Q9" s="72">
        <f>COUNTIFS(缺陷明细!$A$2:$A$50000,$B$4,缺陷明细!$G$2:$G$50000,$C9,缺陷明细!$Q$2:$Q$50000,"已关闭",缺陷明细!$J$2:$J$50000,"系统测试")</f>
        <v>0</v>
      </c>
      <c r="R9" s="354">
        <f>COUNTIFS(缺陷明细!$A$2:$A$50000,$B$4,缺陷明细!$G$2:$G$50000,$C9,缺陷明细!$AA$2:$AA$50000,"丢弃",缺陷明细!$J$2:$J$50000,"系统测试")+COUNTIFS(缺陷明细!$A$2:$A$50000,$B$4,缺陷明细!$G$2:$G$50000,$C9,缺陷明细!$AA$2:$AA$50000,"设计如此",缺陷明细!$J$2:$J$50000,"系统测试")+COUNTIFS(缺陷明细!$A$2:$A$50000,$B$4,缺陷明细!$G$2:$G$50000,$C9,缺陷明细!$AA$2:$AA$50000,"重复Bug",缺陷明细!$J$2:$J$50000,"系统测试")</f>
        <v>0</v>
      </c>
      <c r="S9" s="72">
        <f>COUNTIFS(缺陷明细!$A$2:$A$50000,$B$4,缺陷明细!$G$2:$G$50000,$C9,缺陷明细!$J$2:$J$50000,"系统测试",缺陷明细!$K$2:$K$50000,"致命",缺陷明细!$AA$2:$AA$50000,"&lt;&gt;丢弃",缺陷明细!$AA$2:$AA$50000,"&lt;&gt;设计如此",缺陷明细!$AA$2:$AA$50000,"&lt;&gt;重复Bug")+COUNTIFS(缺陷明细!$A$2:$A$50000,$B$4,缺陷明细!$G$2:$G$50000,$C9,缺陷明细!$J$2:$J$50000,"系统测试",缺陷明细!$K$2:$K$50000,"严重",缺陷明细!$AA$2:$AA$50000,"&lt;&gt;丢弃",缺陷明细!$AA$2:$AA$50000,"&lt;&gt;设计如此",缺陷明细!$AA$2:$AA$50000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COUNTIFS(缺陷明细!$A$2:$A$50000,$B$4,缺陷明细!$G$2:$G$50000,$C9,缺陷明细!$J$2:$J$50000,"验收测试",缺陷明细!$AA$2:$AA$50000,"&lt;&gt;丢弃",缺陷明细!$AA$2:$AA$50000,"&lt;&gt;设计如此",缺陷明细!$AA$2:$AA$50000,"&lt;&gt;重复Bug")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A$2:$AA$50000,"&lt;&gt;丢弃",缺陷明细!$AA$2:$AA$50000,"&lt;&gt;设计如此",缺陷明细!$AA$2:$AA$50000,"&lt;&gt;重复Bug")+COUNTIFS(缺陷明细!$A$2:$A$50000,$B$4,缺陷明细!$G$2:$G$50000,$C9,缺陷明细!$J$2:$J$50000,"验收测试",缺陷明细!$K$2:$K$50000,"严重",缺陷明细!$AA$2:$AA$50000,"&lt;&gt;丢弃",缺陷明细!$AA$2:$AA$50000,"&lt;&gt;设计如此",缺陷明细!$AA$2:$AA$50000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COUNTIFS(缺陷明细!$A$2:$A$50000,$B$4,缺陷明细!$G$2:$G$50000,$C9,缺陷明细!$J$2:$J$50000,"运维测试",缺陷明细!$AA$2:$AA$50000,"&lt;&gt;丢弃",缺陷明细!$AA$2:$AA$50000,"&lt;&gt;设计如此",缺陷明细!$AA$2:$AA$50000,"&lt;&gt;重复Bug")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A$2:$AA$50000,"&lt;&gt;丢弃",缺陷明细!$AA$2:$AA$50000,"&lt;&gt;设计如此",缺陷明细!$AA$2:$AA$50000,"&lt;&gt;重复Bug")+COUNTIFS(缺陷明细!$A$2:$A$50000,$B$4,缺陷明细!$G$2:$G$50000,$C9,缺陷明细!$J$2:$J$50000,"运维测试",缺陷明细!$K$2:$K$50000,"严重",缺陷明细!$AA$2:$AA$50000,"&lt;&gt;丢弃",缺陷明细!$AA$2:$AA$50000,"&lt;&gt;设计如此",缺陷明细!$AA$2:$AA$50000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51"/>
    </row>
    <row r="10" spans="1:37">
      <c r="A10">
        <v>6</v>
      </c>
      <c r="B10" s="347">
        <v>419</v>
      </c>
      <c r="C10" s="58" t="s">
        <v>356</v>
      </c>
      <c r="D10" s="84" t="s">
        <v>467</v>
      </c>
      <c r="E10" s="82" t="s">
        <v>472</v>
      </c>
      <c r="F10" s="322">
        <v>0.5</v>
      </c>
      <c r="G10" s="323">
        <v>1</v>
      </c>
      <c r="H10" s="305">
        <f>COUNTIFS(缺陷明细!$A$2:$A$50000,$B$4,缺陷明细!$G$2:$G$50000,$C10,缺陷明细!$J$2:$J$50000,"评审",缺陷明细!$AA$2:$AA$50000,"&lt;&gt;丢弃",缺陷明细!$AA$2:$AA$50000,"&lt;&gt;设计如此",缺陷明细!$AA$2:$AA$50000,"&lt;&gt;重复Bug")</f>
        <v>0</v>
      </c>
      <c r="I10" s="161">
        <f>COUNTIFS(缺陷明细!$A$2:$A$50000,$B$4,缺陷明细!$G$2:$G$50000,$C10,缺陷明细!$Q$2:$Q$50000,"已关闭",缺陷明细!$J$2:$J$50000,"评审")</f>
        <v>0</v>
      </c>
      <c r="J10" s="161">
        <f>COUNTIFS(缺陷明细!$A$2:$A$50000,$B$4,缺陷明细!$G$2:$G$50000,$C10,缺陷明细!$J$2:$J$50000,"单元测试",缺陷明细!$AA$2:$AA$50000,"&lt;&gt;丢弃",缺陷明细!$AA$2:$AA$50000,"&lt;&gt;设计如此",缺陷明细!$AA$2:$AA$50000,"&lt;&gt;重复Bug")</f>
        <v>0</v>
      </c>
      <c r="K10" s="162">
        <f>COUNTIFS(缺陷明细!$A$2:$A$50000,$B$4,缺陷明细!$G$2:$G$50000,$C10,缺陷明细!$Q$2:$Q$50000,"已关闭",缺陷明细!$J$2:$J$50000,"单元测试")</f>
        <v>0</v>
      </c>
      <c r="L10" s="163"/>
      <c r="M10" s="164"/>
      <c r="N10" s="72">
        <f>COUNTIFS(缺陷明细!$A$2:$A$50000,$B$4,缺陷明细!$G$2:$G$50000,$C10,缺陷明细!$J$2:$J$50000,"系统测试案例评审",缺陷明细!$AA$2:$AA$50000,"&lt;&gt;丢弃",缺陷明细!$AA$2:$AA$50000,"&lt;&gt;设计如此",缺陷明细!$AA$2:$AA$50000,"&lt;&gt;重复Bug")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COUNTIFS(缺陷明细!$A$2:$A$50000,$B$4,缺陷明细!$G$2:$G$50000,$C10,缺陷明细!$J$2:$J$50000,"系统测试",缺陷明细!$AA$2:$AA$50000,"&lt;&gt;丢弃",缺陷明细!$AA$2:$AA$50000,"&lt;&gt;设计如此",缺陷明细!$AA$2:$AA$50000,"&lt;&gt;重复Bug")</f>
        <v>0</v>
      </c>
      <c r="Q10" s="72">
        <f>COUNTIFS(缺陷明细!$A$2:$A$50000,$B$4,缺陷明细!$G$2:$G$50000,$C10,缺陷明细!$Q$2:$Q$50000,"已关闭",缺陷明细!$J$2:$J$50000,"系统测试")</f>
        <v>0</v>
      </c>
      <c r="R10" s="354">
        <f>COUNTIFS(缺陷明细!$A$2:$A$50000,$B$4,缺陷明细!$G$2:$G$50000,$C10,缺陷明细!$AA$2:$AA$50000,"丢弃",缺陷明细!$J$2:$J$50000,"系统测试")+COUNTIFS(缺陷明细!$A$2:$A$50000,$B$4,缺陷明细!$G$2:$G$50000,$C10,缺陷明细!$AA$2:$AA$50000,"设计如此",缺陷明细!$J$2:$J$50000,"系统测试")+COUNTIFS(缺陷明细!$A$2:$A$50000,$B$4,缺陷明细!$G$2:$G$50000,$C10,缺陷明细!$AA$2:$AA$50000,"重复Bug",缺陷明细!$J$2:$J$50000,"系统测试")</f>
        <v>0</v>
      </c>
      <c r="S10" s="72">
        <f>COUNTIFS(缺陷明细!$A$2:$A$50000,$B$4,缺陷明细!$G$2:$G$50000,$C10,缺陷明细!$J$2:$J$50000,"系统测试",缺陷明细!$K$2:$K$50000,"致命",缺陷明细!$AA$2:$AA$50000,"&lt;&gt;丢弃",缺陷明细!$AA$2:$AA$50000,"&lt;&gt;设计如此",缺陷明细!$AA$2:$AA$50000,"&lt;&gt;重复Bug")+COUNTIFS(缺陷明细!$A$2:$A$50000,$B$4,缺陷明细!$G$2:$G$50000,$C10,缺陷明细!$J$2:$J$50000,"系统测试",缺陷明细!$K$2:$K$50000,"严重",缺陷明细!$AA$2:$AA$50000,"&lt;&gt;丢弃",缺陷明细!$AA$2:$AA$50000,"&lt;&gt;设计如此",缺陷明细!$AA$2:$AA$50000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COUNTIFS(缺陷明细!$A$2:$A$50000,$B$4,缺陷明细!$G$2:$G$50000,$C10,缺陷明细!$J$2:$J$50000,"验收测试",缺陷明细!$AA$2:$AA$50000,"&lt;&gt;丢弃",缺陷明细!$AA$2:$AA$50000,"&lt;&gt;设计如此",缺陷明细!$AA$2:$AA$50000,"&lt;&gt;重复Bug")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A$2:$AA$50000,"&lt;&gt;丢弃",缺陷明细!$AA$2:$AA$50000,"&lt;&gt;设计如此",缺陷明细!$AA$2:$AA$50000,"&lt;&gt;重复Bug")+COUNTIFS(缺陷明细!$A$2:$A$50000,$B$4,缺陷明细!$G$2:$G$50000,$C10,缺陷明细!$J$2:$J$50000,"验收测试",缺陷明细!$K$2:$K$50000,"严重",缺陷明细!$AA$2:$AA$50000,"&lt;&gt;丢弃",缺陷明细!$AA$2:$AA$50000,"&lt;&gt;设计如此",缺陷明细!$AA$2:$AA$50000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COUNTIFS(缺陷明细!$A$2:$A$50000,$B$4,缺陷明细!$G$2:$G$50000,$C10,缺陷明细!$J$2:$J$50000,"运维测试",缺陷明细!$AA$2:$AA$50000,"&lt;&gt;丢弃",缺陷明细!$AA$2:$AA$50000,"&lt;&gt;设计如此",缺陷明细!$AA$2:$AA$50000,"&lt;&gt;重复Bug")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A$2:$AA$50000,"&lt;&gt;丢弃",缺陷明细!$AA$2:$AA$50000,"&lt;&gt;设计如此",缺陷明细!$AA$2:$AA$50000,"&lt;&gt;重复Bug")+COUNTIFS(缺陷明细!$A$2:$A$50000,$B$4,缺陷明细!$G$2:$G$50000,$C10,缺陷明细!$J$2:$J$50000,"运维测试",缺陷明细!$K$2:$K$50000,"严重",缺陷明细!$AA$2:$AA$50000,"&lt;&gt;丢弃",缺陷明细!$AA$2:$AA$50000,"&lt;&gt;设计如此",缺陷明细!$AA$2:$AA$50000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51"/>
    </row>
    <row r="11" spans="1:37" ht="26.4">
      <c r="A11">
        <v>7</v>
      </c>
      <c r="B11" s="347">
        <v>420</v>
      </c>
      <c r="C11" s="58" t="s">
        <v>357</v>
      </c>
      <c r="D11" s="84" t="s">
        <v>467</v>
      </c>
      <c r="E11" s="82" t="s">
        <v>472</v>
      </c>
      <c r="F11" s="322">
        <v>4</v>
      </c>
      <c r="G11" s="323">
        <v>4</v>
      </c>
      <c r="H11" s="305">
        <f>COUNTIFS(缺陷明细!$A$2:$A$50000,$B$4,缺陷明细!$G$2:$G$50000,$C11,缺陷明细!$J$2:$J$50000,"评审",缺陷明细!$AA$2:$AA$50000,"&lt;&gt;丢弃",缺陷明细!$AA$2:$AA$50000,"&lt;&gt;设计如此",缺陷明细!$AA$2:$AA$50000,"&lt;&gt;重复Bug")</f>
        <v>0</v>
      </c>
      <c r="I11" s="161">
        <f>COUNTIFS(缺陷明细!$A$2:$A$50000,$B$4,缺陷明细!$G$2:$G$50000,$C11,缺陷明细!$Q$2:$Q$50000,"已关闭",缺陷明细!$J$2:$J$50000,"评审")</f>
        <v>0</v>
      </c>
      <c r="J11" s="161">
        <f>COUNTIFS(缺陷明细!$A$2:$A$50000,$B$4,缺陷明细!$G$2:$G$50000,$C11,缺陷明细!$J$2:$J$50000,"单元测试",缺陷明细!$AA$2:$AA$50000,"&lt;&gt;丢弃",缺陷明细!$AA$2:$AA$50000,"&lt;&gt;设计如此",缺陷明细!$AA$2:$AA$50000,"&lt;&gt;重复Bug")</f>
        <v>0</v>
      </c>
      <c r="K11" s="162">
        <f>COUNTIFS(缺陷明细!$A$2:$A$50000,$B$4,缺陷明细!$G$2:$G$50000,$C11,缺陷明细!$Q$2:$Q$50000,"已关闭",缺陷明细!$J$2:$J$50000,"单元测试")</f>
        <v>0</v>
      </c>
      <c r="L11" s="163"/>
      <c r="M11" s="164"/>
      <c r="N11" s="72">
        <f>COUNTIFS(缺陷明细!$A$2:$A$50000,$B$4,缺陷明细!$G$2:$G$50000,$C11,缺陷明细!$J$2:$J$50000,"系统测试案例评审",缺陷明细!$AA$2:$AA$50000,"&lt;&gt;丢弃",缺陷明细!$AA$2:$AA$50000,"&lt;&gt;设计如此",缺陷明细!$AA$2:$AA$50000,"&lt;&gt;重复Bug")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COUNTIFS(缺陷明细!$A$2:$A$50000,$B$4,缺陷明细!$G$2:$G$50000,$C11,缺陷明细!$J$2:$J$50000,"系统测试",缺陷明细!$AA$2:$AA$50000,"&lt;&gt;丢弃",缺陷明细!$AA$2:$AA$50000,"&lt;&gt;设计如此",缺陷明细!$AA$2:$AA$50000,"&lt;&gt;重复Bug")</f>
        <v>0</v>
      </c>
      <c r="Q11" s="72">
        <f>COUNTIFS(缺陷明细!$A$2:$A$50000,$B$4,缺陷明细!$G$2:$G$50000,$C11,缺陷明细!$Q$2:$Q$50000,"已关闭",缺陷明细!$J$2:$J$50000,"系统测试")</f>
        <v>0</v>
      </c>
      <c r="R11" s="354">
        <f>COUNTIFS(缺陷明细!$A$2:$A$50000,$B$4,缺陷明细!$G$2:$G$50000,$C11,缺陷明细!$AA$2:$AA$50000,"丢弃",缺陷明细!$J$2:$J$50000,"系统测试")+COUNTIFS(缺陷明细!$A$2:$A$50000,$B$4,缺陷明细!$G$2:$G$50000,$C11,缺陷明细!$AA$2:$AA$50000,"设计如此",缺陷明细!$J$2:$J$50000,"系统测试")+COUNTIFS(缺陷明细!$A$2:$A$50000,$B$4,缺陷明细!$G$2:$G$50000,$C11,缺陷明细!$AA$2:$AA$50000,"重复Bug",缺陷明细!$J$2:$J$50000,"系统测试")</f>
        <v>0</v>
      </c>
      <c r="S11" s="72">
        <f>COUNTIFS(缺陷明细!$A$2:$A$50000,$B$4,缺陷明细!$G$2:$G$50000,$C11,缺陷明细!$J$2:$J$50000,"系统测试",缺陷明细!$K$2:$K$50000,"致命",缺陷明细!$AA$2:$AA$50000,"&lt;&gt;丢弃",缺陷明细!$AA$2:$AA$50000,"&lt;&gt;设计如此",缺陷明细!$AA$2:$AA$50000,"&lt;&gt;重复Bug")+COUNTIFS(缺陷明细!$A$2:$A$50000,$B$4,缺陷明细!$G$2:$G$50000,$C11,缺陷明细!$J$2:$J$50000,"系统测试",缺陷明细!$K$2:$K$50000,"严重",缺陷明细!$AA$2:$AA$50000,"&lt;&gt;丢弃",缺陷明细!$AA$2:$AA$50000,"&lt;&gt;设计如此",缺陷明细!$AA$2:$AA$50000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COUNTIFS(缺陷明细!$A$2:$A$50000,$B$4,缺陷明细!$G$2:$G$50000,$C11,缺陷明细!$J$2:$J$50000,"验收测试",缺陷明细!$AA$2:$AA$50000,"&lt;&gt;丢弃",缺陷明细!$AA$2:$AA$50000,"&lt;&gt;设计如此",缺陷明细!$AA$2:$AA$50000,"&lt;&gt;重复Bug")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A$2:$AA$50000,"&lt;&gt;丢弃",缺陷明细!$AA$2:$AA$50000,"&lt;&gt;设计如此",缺陷明细!$AA$2:$AA$50000,"&lt;&gt;重复Bug")+COUNTIFS(缺陷明细!$A$2:$A$50000,$B$4,缺陷明细!$G$2:$G$50000,$C11,缺陷明细!$J$2:$J$50000,"验收测试",缺陷明细!$K$2:$K$50000,"严重",缺陷明细!$AA$2:$AA$50000,"&lt;&gt;丢弃",缺陷明细!$AA$2:$AA$50000,"&lt;&gt;设计如此",缺陷明细!$AA$2:$AA$50000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COUNTIFS(缺陷明细!$A$2:$A$50000,$B$4,缺陷明细!$G$2:$G$50000,$C11,缺陷明细!$J$2:$J$50000,"运维测试",缺陷明细!$AA$2:$AA$50000,"&lt;&gt;丢弃",缺陷明细!$AA$2:$AA$50000,"&lt;&gt;设计如此",缺陷明细!$AA$2:$AA$50000,"&lt;&gt;重复Bug")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A$2:$AA$50000,"&lt;&gt;丢弃",缺陷明细!$AA$2:$AA$50000,"&lt;&gt;设计如此",缺陷明细!$AA$2:$AA$50000,"&lt;&gt;重复Bug")+COUNTIFS(缺陷明细!$A$2:$A$50000,$B$4,缺陷明细!$G$2:$G$50000,$C11,缺陷明细!$J$2:$J$50000,"运维测试",缺陷明细!$K$2:$K$50000,"严重",缺陷明细!$AA$2:$AA$50000,"&lt;&gt;丢弃",缺陷明细!$AA$2:$AA$50000,"&lt;&gt;设计如此",缺陷明细!$AA$2:$AA$50000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51"/>
    </row>
    <row r="12" spans="1:37" ht="26.4">
      <c r="A12">
        <v>8</v>
      </c>
      <c r="B12" s="347">
        <v>421</v>
      </c>
      <c r="C12" s="58" t="s">
        <v>358</v>
      </c>
      <c r="D12" s="84" t="s">
        <v>467</v>
      </c>
      <c r="E12" s="82" t="s">
        <v>472</v>
      </c>
      <c r="F12" s="322">
        <v>0.25</v>
      </c>
      <c r="G12" s="323">
        <v>0.1</v>
      </c>
      <c r="H12" s="305">
        <f>COUNTIFS(缺陷明细!$A$2:$A$50000,$B$4,缺陷明细!$G$2:$G$50000,$C12,缺陷明细!$J$2:$J$50000,"评审",缺陷明细!$AA$2:$AA$50000,"&lt;&gt;丢弃",缺陷明细!$AA$2:$AA$50000,"&lt;&gt;设计如此",缺陷明细!$AA$2:$AA$50000,"&lt;&gt;重复Bug")</f>
        <v>0</v>
      </c>
      <c r="I12" s="161">
        <f>COUNTIFS(缺陷明细!$A$2:$A$50000,$B$4,缺陷明细!$G$2:$G$50000,$C12,缺陷明细!$Q$2:$Q$50000,"已关闭",缺陷明细!$J$2:$J$50000,"评审")</f>
        <v>0</v>
      </c>
      <c r="J12" s="161">
        <f>COUNTIFS(缺陷明细!$A$2:$A$50000,$B$4,缺陷明细!$G$2:$G$50000,$C12,缺陷明细!$J$2:$J$50000,"单元测试",缺陷明细!$AA$2:$AA$50000,"&lt;&gt;丢弃",缺陷明细!$AA$2:$AA$50000,"&lt;&gt;设计如此",缺陷明细!$AA$2:$AA$50000,"&lt;&gt;重复Bug")</f>
        <v>0</v>
      </c>
      <c r="K12" s="162">
        <f>COUNTIFS(缺陷明细!$A$2:$A$50000,$B$4,缺陷明细!$G$2:$G$50000,$C12,缺陷明细!$Q$2:$Q$50000,"已关闭",缺陷明细!$J$2:$J$50000,"单元测试")</f>
        <v>0</v>
      </c>
      <c r="L12" s="163"/>
      <c r="M12" s="164"/>
      <c r="N12" s="72">
        <f>COUNTIFS(缺陷明细!$A$2:$A$50000,$B$4,缺陷明细!$G$2:$G$50000,$C12,缺陷明细!$J$2:$J$50000,"系统测试案例评审",缺陷明细!$AA$2:$AA$50000,"&lt;&gt;丢弃",缺陷明细!$AA$2:$AA$50000,"&lt;&gt;设计如此",缺陷明细!$AA$2:$AA$50000,"&lt;&gt;重复Bug")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COUNTIFS(缺陷明细!$A$2:$A$50000,$B$4,缺陷明细!$G$2:$G$50000,$C12,缺陷明细!$J$2:$J$50000,"系统测试",缺陷明细!$AA$2:$AA$50000,"&lt;&gt;丢弃",缺陷明细!$AA$2:$AA$50000,"&lt;&gt;设计如此",缺陷明细!$AA$2:$AA$50000,"&lt;&gt;重复Bug")</f>
        <v>0</v>
      </c>
      <c r="Q12" s="72">
        <f>COUNTIFS(缺陷明细!$A$2:$A$50000,$B$4,缺陷明细!$G$2:$G$50000,$C12,缺陷明细!$Q$2:$Q$50000,"已关闭",缺陷明细!$J$2:$J$50000,"系统测试")</f>
        <v>0</v>
      </c>
      <c r="R12" s="354">
        <f>COUNTIFS(缺陷明细!$A$2:$A$50000,$B$4,缺陷明细!$G$2:$G$50000,$C12,缺陷明细!$AA$2:$AA$50000,"丢弃",缺陷明细!$J$2:$J$50000,"系统测试")+COUNTIFS(缺陷明细!$A$2:$A$50000,$B$4,缺陷明细!$G$2:$G$50000,$C12,缺陷明细!$AA$2:$AA$50000,"设计如此",缺陷明细!$J$2:$J$50000,"系统测试")+COUNTIFS(缺陷明细!$A$2:$A$50000,$B$4,缺陷明细!$G$2:$G$50000,$C12,缺陷明细!$AA$2:$AA$50000,"重复Bug",缺陷明细!$J$2:$J$50000,"系统测试")</f>
        <v>0</v>
      </c>
      <c r="S12" s="72">
        <f>COUNTIFS(缺陷明细!$A$2:$A$50000,$B$4,缺陷明细!$G$2:$G$50000,$C12,缺陷明细!$J$2:$J$50000,"系统测试",缺陷明细!$K$2:$K$50000,"致命",缺陷明细!$AA$2:$AA$50000,"&lt;&gt;丢弃",缺陷明细!$AA$2:$AA$50000,"&lt;&gt;设计如此",缺陷明细!$AA$2:$AA$50000,"&lt;&gt;重复Bug")+COUNTIFS(缺陷明细!$A$2:$A$50000,$B$4,缺陷明细!$G$2:$G$50000,$C12,缺陷明细!$J$2:$J$50000,"系统测试",缺陷明细!$K$2:$K$50000,"严重",缺陷明细!$AA$2:$AA$50000,"&lt;&gt;丢弃",缺陷明细!$AA$2:$AA$50000,"&lt;&gt;设计如此",缺陷明细!$AA$2:$AA$50000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COUNTIFS(缺陷明细!$A$2:$A$50000,$B$4,缺陷明细!$G$2:$G$50000,$C12,缺陷明细!$J$2:$J$50000,"验收测试",缺陷明细!$AA$2:$AA$50000,"&lt;&gt;丢弃",缺陷明细!$AA$2:$AA$50000,"&lt;&gt;设计如此",缺陷明细!$AA$2:$AA$50000,"&lt;&gt;重复Bug")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A$2:$AA$50000,"&lt;&gt;丢弃",缺陷明细!$AA$2:$AA$50000,"&lt;&gt;设计如此",缺陷明细!$AA$2:$AA$50000,"&lt;&gt;重复Bug")+COUNTIFS(缺陷明细!$A$2:$A$50000,$B$4,缺陷明细!$G$2:$G$50000,$C12,缺陷明细!$J$2:$J$50000,"验收测试",缺陷明细!$K$2:$K$50000,"严重",缺陷明细!$AA$2:$AA$50000,"&lt;&gt;丢弃",缺陷明细!$AA$2:$AA$50000,"&lt;&gt;设计如此",缺陷明细!$AA$2:$AA$50000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COUNTIFS(缺陷明细!$A$2:$A$50000,$B$4,缺陷明细!$G$2:$G$50000,$C12,缺陷明细!$J$2:$J$50000,"运维测试",缺陷明细!$AA$2:$AA$50000,"&lt;&gt;丢弃",缺陷明细!$AA$2:$AA$50000,"&lt;&gt;设计如此",缺陷明细!$AA$2:$AA$50000,"&lt;&gt;重复Bug")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A$2:$AA$50000,"&lt;&gt;丢弃",缺陷明细!$AA$2:$AA$50000,"&lt;&gt;设计如此",缺陷明细!$AA$2:$AA$50000,"&lt;&gt;重复Bug")+COUNTIFS(缺陷明细!$A$2:$A$50000,$B$4,缺陷明细!$G$2:$G$50000,$C12,缺陷明细!$J$2:$J$50000,"运维测试",缺陷明细!$K$2:$K$50000,"严重",缺陷明细!$AA$2:$AA$50000,"&lt;&gt;丢弃",缺陷明细!$AA$2:$AA$50000,"&lt;&gt;设计如此",缺陷明细!$AA$2:$AA$50000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51"/>
    </row>
    <row r="13" spans="1:37" ht="39.6">
      <c r="A13">
        <v>9</v>
      </c>
      <c r="B13" s="347">
        <v>422</v>
      </c>
      <c r="C13" s="58" t="s">
        <v>359</v>
      </c>
      <c r="D13" s="84" t="s">
        <v>467</v>
      </c>
      <c r="E13" s="82" t="s">
        <v>472</v>
      </c>
      <c r="F13" s="322">
        <v>2</v>
      </c>
      <c r="G13" s="323">
        <v>1</v>
      </c>
      <c r="H13" s="305">
        <f>COUNTIFS(缺陷明细!$A$2:$A$50000,$B$4,缺陷明细!$G$2:$G$50000,$C13,缺陷明细!$J$2:$J$50000,"评审",缺陷明细!$AA$2:$AA$50000,"&lt;&gt;丢弃",缺陷明细!$AA$2:$AA$50000,"&lt;&gt;设计如此",缺陷明细!$AA$2:$AA$50000,"&lt;&gt;重复Bug")</f>
        <v>0</v>
      </c>
      <c r="I13" s="161">
        <f>COUNTIFS(缺陷明细!$A$2:$A$50000,$B$4,缺陷明细!$G$2:$G$50000,$C13,缺陷明细!$Q$2:$Q$50000,"已关闭",缺陷明细!$J$2:$J$50000,"评审")</f>
        <v>0</v>
      </c>
      <c r="J13" s="161">
        <f>COUNTIFS(缺陷明细!$A$2:$A$50000,$B$4,缺陷明细!$G$2:$G$50000,$C13,缺陷明细!$J$2:$J$50000,"单元测试",缺陷明细!$AA$2:$AA$50000,"&lt;&gt;丢弃",缺陷明细!$AA$2:$AA$50000,"&lt;&gt;设计如此",缺陷明细!$AA$2:$AA$50000,"&lt;&gt;重复Bug")</f>
        <v>0</v>
      </c>
      <c r="K13" s="162">
        <f>COUNTIFS(缺陷明细!$A$2:$A$50000,$B$4,缺陷明细!$G$2:$G$50000,$C13,缺陷明细!$Q$2:$Q$50000,"已关闭",缺陷明细!$J$2:$J$50000,"单元测试")</f>
        <v>0</v>
      </c>
      <c r="L13" s="163"/>
      <c r="M13" s="164"/>
      <c r="N13" s="72">
        <f>COUNTIFS(缺陷明细!$A$2:$A$50000,$B$4,缺陷明细!$G$2:$G$50000,$C13,缺陷明细!$J$2:$J$50000,"系统测试案例评审",缺陷明细!$AA$2:$AA$50000,"&lt;&gt;丢弃",缺陷明细!$AA$2:$AA$50000,"&lt;&gt;设计如此",缺陷明细!$AA$2:$AA$50000,"&lt;&gt;重复Bug")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COUNTIFS(缺陷明细!$A$2:$A$50000,$B$4,缺陷明细!$G$2:$G$50000,$C13,缺陷明细!$J$2:$J$50000,"系统测试",缺陷明细!$AA$2:$AA$50000,"&lt;&gt;丢弃",缺陷明细!$AA$2:$AA$50000,"&lt;&gt;设计如此",缺陷明细!$AA$2:$AA$50000,"&lt;&gt;重复Bug")</f>
        <v>0</v>
      </c>
      <c r="Q13" s="72">
        <f>COUNTIFS(缺陷明细!$A$2:$A$50000,$B$4,缺陷明细!$G$2:$G$50000,$C13,缺陷明细!$Q$2:$Q$50000,"已关闭",缺陷明细!$J$2:$J$50000,"系统测试")</f>
        <v>0</v>
      </c>
      <c r="R13" s="354">
        <f>COUNTIFS(缺陷明细!$A$2:$A$50000,$B$4,缺陷明细!$G$2:$G$50000,$C13,缺陷明细!$AA$2:$AA$50000,"丢弃",缺陷明细!$J$2:$J$50000,"系统测试")+COUNTIFS(缺陷明细!$A$2:$A$50000,$B$4,缺陷明细!$G$2:$G$50000,$C13,缺陷明细!$AA$2:$AA$50000,"设计如此",缺陷明细!$J$2:$J$50000,"系统测试")+COUNTIFS(缺陷明细!$A$2:$A$50000,$B$4,缺陷明细!$G$2:$G$50000,$C13,缺陷明细!$AA$2:$AA$50000,"重复Bug",缺陷明细!$J$2:$J$50000,"系统测试")</f>
        <v>0</v>
      </c>
      <c r="S13" s="72">
        <f>COUNTIFS(缺陷明细!$A$2:$A$50000,$B$4,缺陷明细!$G$2:$G$50000,$C13,缺陷明细!$J$2:$J$50000,"系统测试",缺陷明细!$K$2:$K$50000,"致命",缺陷明细!$AA$2:$AA$50000,"&lt;&gt;丢弃",缺陷明细!$AA$2:$AA$50000,"&lt;&gt;设计如此",缺陷明细!$AA$2:$AA$50000,"&lt;&gt;重复Bug")+COUNTIFS(缺陷明细!$A$2:$A$50000,$B$4,缺陷明细!$G$2:$G$50000,$C13,缺陷明细!$J$2:$J$50000,"系统测试",缺陷明细!$K$2:$K$50000,"严重",缺陷明细!$AA$2:$AA$50000,"&lt;&gt;丢弃",缺陷明细!$AA$2:$AA$50000,"&lt;&gt;设计如此",缺陷明细!$AA$2:$AA$50000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COUNTIFS(缺陷明细!$A$2:$A$50000,$B$4,缺陷明细!$G$2:$G$50000,$C13,缺陷明细!$J$2:$J$50000,"验收测试",缺陷明细!$AA$2:$AA$50000,"&lt;&gt;丢弃",缺陷明细!$AA$2:$AA$50000,"&lt;&gt;设计如此",缺陷明细!$AA$2:$AA$50000,"&lt;&gt;重复Bug")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A$2:$AA$50000,"&lt;&gt;丢弃",缺陷明细!$AA$2:$AA$50000,"&lt;&gt;设计如此",缺陷明细!$AA$2:$AA$50000,"&lt;&gt;重复Bug")+COUNTIFS(缺陷明细!$A$2:$A$50000,$B$4,缺陷明细!$G$2:$G$50000,$C13,缺陷明细!$J$2:$J$50000,"验收测试",缺陷明细!$K$2:$K$50000,"严重",缺陷明细!$AA$2:$AA$50000,"&lt;&gt;丢弃",缺陷明细!$AA$2:$AA$50000,"&lt;&gt;设计如此",缺陷明细!$AA$2:$AA$50000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COUNTIFS(缺陷明细!$A$2:$A$50000,$B$4,缺陷明细!$G$2:$G$50000,$C13,缺陷明细!$J$2:$J$50000,"运维测试",缺陷明细!$AA$2:$AA$50000,"&lt;&gt;丢弃",缺陷明细!$AA$2:$AA$50000,"&lt;&gt;设计如此",缺陷明细!$AA$2:$AA$50000,"&lt;&gt;重复Bug")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A$2:$AA$50000,"&lt;&gt;丢弃",缺陷明细!$AA$2:$AA$50000,"&lt;&gt;设计如此",缺陷明细!$AA$2:$AA$50000,"&lt;&gt;重复Bug")+COUNTIFS(缺陷明细!$A$2:$A$50000,$B$4,缺陷明细!$G$2:$G$50000,$C13,缺陷明细!$J$2:$J$50000,"运维测试",缺陷明细!$K$2:$K$50000,"严重",缺陷明细!$AA$2:$AA$50000,"&lt;&gt;丢弃",缺陷明细!$AA$2:$AA$50000,"&lt;&gt;设计如此",缺陷明细!$AA$2:$AA$50000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51"/>
    </row>
    <row r="14" spans="1:37" ht="26.4">
      <c r="A14">
        <v>10</v>
      </c>
      <c r="B14" s="347">
        <v>423</v>
      </c>
      <c r="C14" s="58" t="s">
        <v>360</v>
      </c>
      <c r="D14" s="84" t="s">
        <v>467</v>
      </c>
      <c r="E14" s="82" t="s">
        <v>472</v>
      </c>
      <c r="F14" s="322">
        <v>0.5</v>
      </c>
      <c r="G14" s="323">
        <v>0.5</v>
      </c>
      <c r="H14" s="305">
        <f>COUNTIFS(缺陷明细!$A$2:$A$50000,$B$4,缺陷明细!$G$2:$G$50000,$C14,缺陷明细!$J$2:$J$50000,"评审",缺陷明细!$AA$2:$AA$50000,"&lt;&gt;丢弃",缺陷明细!$AA$2:$AA$50000,"&lt;&gt;设计如此",缺陷明细!$AA$2:$AA$50000,"&lt;&gt;重复Bug")</f>
        <v>0</v>
      </c>
      <c r="I14" s="161">
        <f>COUNTIFS(缺陷明细!$A$2:$A$50000,$B$4,缺陷明细!$G$2:$G$50000,$C14,缺陷明细!$Q$2:$Q$50000,"已关闭",缺陷明细!$J$2:$J$50000,"评审")</f>
        <v>0</v>
      </c>
      <c r="J14" s="161">
        <f>COUNTIFS(缺陷明细!$A$2:$A$50000,$B$4,缺陷明细!$G$2:$G$50000,$C14,缺陷明细!$J$2:$J$50000,"单元测试",缺陷明细!$AA$2:$AA$50000,"&lt;&gt;丢弃",缺陷明细!$AA$2:$AA$50000,"&lt;&gt;设计如此",缺陷明细!$AA$2:$AA$50000,"&lt;&gt;重复Bug")</f>
        <v>0</v>
      </c>
      <c r="K14" s="162">
        <f>COUNTIFS(缺陷明细!$A$2:$A$50000,$B$4,缺陷明细!$G$2:$G$50000,$C14,缺陷明细!$Q$2:$Q$50000,"已关闭",缺陷明细!$J$2:$J$50000,"单元测试")</f>
        <v>0</v>
      </c>
      <c r="L14" s="163"/>
      <c r="M14" s="164"/>
      <c r="N14" s="72">
        <f>COUNTIFS(缺陷明细!$A$2:$A$50000,$B$4,缺陷明细!$G$2:$G$50000,$C14,缺陷明细!$J$2:$J$50000,"系统测试案例评审",缺陷明细!$AA$2:$AA$50000,"&lt;&gt;丢弃",缺陷明细!$AA$2:$AA$50000,"&lt;&gt;设计如此",缺陷明细!$AA$2:$AA$50000,"&lt;&gt;重复Bug")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COUNTIFS(缺陷明细!$A$2:$A$50000,$B$4,缺陷明细!$G$2:$G$50000,$C14,缺陷明细!$J$2:$J$50000,"系统测试",缺陷明细!$AA$2:$AA$50000,"&lt;&gt;丢弃",缺陷明细!$AA$2:$AA$50000,"&lt;&gt;设计如此",缺陷明细!$AA$2:$AA$50000,"&lt;&gt;重复Bug")</f>
        <v>0</v>
      </c>
      <c r="Q14" s="72">
        <f>COUNTIFS(缺陷明细!$A$2:$A$50000,$B$4,缺陷明细!$G$2:$G$50000,$C14,缺陷明细!$Q$2:$Q$50000,"已关闭",缺陷明细!$J$2:$J$50000,"系统测试")</f>
        <v>0</v>
      </c>
      <c r="R14" s="354">
        <f>COUNTIFS(缺陷明细!$A$2:$A$50000,$B$4,缺陷明细!$G$2:$G$50000,$C14,缺陷明细!$AA$2:$AA$50000,"丢弃",缺陷明细!$J$2:$J$50000,"系统测试")+COUNTIFS(缺陷明细!$A$2:$A$50000,$B$4,缺陷明细!$G$2:$G$50000,$C14,缺陷明细!$AA$2:$AA$50000,"设计如此",缺陷明细!$J$2:$J$50000,"系统测试")+COUNTIFS(缺陷明细!$A$2:$A$50000,$B$4,缺陷明细!$G$2:$G$50000,$C14,缺陷明细!$AA$2:$AA$50000,"重复Bug",缺陷明细!$J$2:$J$50000,"系统测试")</f>
        <v>0</v>
      </c>
      <c r="S14" s="72">
        <f>COUNTIFS(缺陷明细!$A$2:$A$50000,$B$4,缺陷明细!$G$2:$G$50000,$C14,缺陷明细!$J$2:$J$50000,"系统测试",缺陷明细!$K$2:$K$50000,"致命",缺陷明细!$AA$2:$AA$50000,"&lt;&gt;丢弃",缺陷明细!$AA$2:$AA$50000,"&lt;&gt;设计如此",缺陷明细!$AA$2:$AA$50000,"&lt;&gt;重复Bug")+COUNTIFS(缺陷明细!$A$2:$A$50000,$B$4,缺陷明细!$G$2:$G$50000,$C14,缺陷明细!$J$2:$J$50000,"系统测试",缺陷明细!$K$2:$K$50000,"严重",缺陷明细!$AA$2:$AA$50000,"&lt;&gt;丢弃",缺陷明细!$AA$2:$AA$50000,"&lt;&gt;设计如此",缺陷明细!$AA$2:$AA$50000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COUNTIFS(缺陷明细!$A$2:$A$50000,$B$4,缺陷明细!$G$2:$G$50000,$C14,缺陷明细!$J$2:$J$50000,"验收测试",缺陷明细!$AA$2:$AA$50000,"&lt;&gt;丢弃",缺陷明细!$AA$2:$AA$50000,"&lt;&gt;设计如此",缺陷明细!$AA$2:$AA$50000,"&lt;&gt;重复Bug")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A$2:$AA$50000,"&lt;&gt;丢弃",缺陷明细!$AA$2:$AA$50000,"&lt;&gt;设计如此",缺陷明细!$AA$2:$AA$50000,"&lt;&gt;重复Bug")+COUNTIFS(缺陷明细!$A$2:$A$50000,$B$4,缺陷明细!$G$2:$G$50000,$C14,缺陷明细!$J$2:$J$50000,"验收测试",缺陷明细!$K$2:$K$50000,"严重",缺陷明细!$AA$2:$AA$50000,"&lt;&gt;丢弃",缺陷明细!$AA$2:$AA$50000,"&lt;&gt;设计如此",缺陷明细!$AA$2:$AA$50000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COUNTIFS(缺陷明细!$A$2:$A$50000,$B$4,缺陷明细!$G$2:$G$50000,$C14,缺陷明细!$J$2:$J$50000,"运维测试",缺陷明细!$AA$2:$AA$50000,"&lt;&gt;丢弃",缺陷明细!$AA$2:$AA$50000,"&lt;&gt;设计如此",缺陷明细!$AA$2:$AA$50000,"&lt;&gt;重复Bug")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A$2:$AA$50000,"&lt;&gt;丢弃",缺陷明细!$AA$2:$AA$50000,"&lt;&gt;设计如此",缺陷明细!$AA$2:$AA$50000,"&lt;&gt;重复Bug")+COUNTIFS(缺陷明细!$A$2:$A$50000,$B$4,缺陷明细!$G$2:$G$50000,$C14,缺陷明细!$J$2:$J$50000,"运维测试",缺陷明细!$K$2:$K$50000,"严重",缺陷明细!$AA$2:$AA$50000,"&lt;&gt;丢弃",缺陷明细!$AA$2:$AA$50000,"&lt;&gt;设计如此",缺陷明细!$AA$2:$AA$50000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51"/>
    </row>
    <row r="15" spans="1:37" ht="39.6">
      <c r="A15">
        <v>11</v>
      </c>
      <c r="B15" s="347">
        <v>424</v>
      </c>
      <c r="C15" s="58" t="s">
        <v>361</v>
      </c>
      <c r="D15" s="84" t="s">
        <v>467</v>
      </c>
      <c r="E15" s="82" t="s">
        <v>472</v>
      </c>
      <c r="F15" s="322">
        <v>1</v>
      </c>
      <c r="G15" s="323">
        <v>2</v>
      </c>
      <c r="H15" s="305">
        <f>COUNTIFS(缺陷明细!$A$2:$A$50000,$B$4,缺陷明细!$G$2:$G$50000,$C15,缺陷明细!$J$2:$J$50000,"评审",缺陷明细!$AA$2:$AA$50000,"&lt;&gt;丢弃",缺陷明细!$AA$2:$AA$50000,"&lt;&gt;设计如此",缺陷明细!$AA$2:$AA$50000,"&lt;&gt;重复Bug")</f>
        <v>0</v>
      </c>
      <c r="I15" s="161">
        <f>COUNTIFS(缺陷明细!$A$2:$A$50000,$B$4,缺陷明细!$G$2:$G$50000,$C15,缺陷明细!$Q$2:$Q$50000,"已关闭",缺陷明细!$J$2:$J$50000,"评审")</f>
        <v>0</v>
      </c>
      <c r="J15" s="161">
        <f>COUNTIFS(缺陷明细!$A$2:$A$50000,$B$4,缺陷明细!$G$2:$G$50000,$C15,缺陷明细!$J$2:$J$50000,"单元测试",缺陷明细!$AA$2:$AA$50000,"&lt;&gt;丢弃",缺陷明细!$AA$2:$AA$50000,"&lt;&gt;设计如此",缺陷明细!$AA$2:$AA$50000,"&lt;&gt;重复Bug")</f>
        <v>0</v>
      </c>
      <c r="K15" s="162">
        <f>COUNTIFS(缺陷明细!$A$2:$A$50000,$B$4,缺陷明细!$G$2:$G$50000,$C15,缺陷明细!$Q$2:$Q$50000,"已关闭",缺陷明细!$J$2:$J$50000,"单元测试")</f>
        <v>0</v>
      </c>
      <c r="L15" s="163"/>
      <c r="M15" s="164"/>
      <c r="N15" s="72">
        <f>COUNTIFS(缺陷明细!$A$2:$A$50000,$B$4,缺陷明细!$G$2:$G$50000,$C15,缺陷明细!$J$2:$J$50000,"系统测试案例评审",缺陷明细!$AA$2:$AA$50000,"&lt;&gt;丢弃",缺陷明细!$AA$2:$AA$50000,"&lt;&gt;设计如此",缺陷明细!$AA$2:$AA$50000,"&lt;&gt;重复Bug")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COUNTIFS(缺陷明细!$A$2:$A$50000,$B$4,缺陷明细!$G$2:$G$50000,$C15,缺陷明细!$J$2:$J$50000,"系统测试",缺陷明细!$AA$2:$AA$50000,"&lt;&gt;丢弃",缺陷明细!$AA$2:$AA$50000,"&lt;&gt;设计如此",缺陷明细!$AA$2:$AA$50000,"&lt;&gt;重复Bug")</f>
        <v>0</v>
      </c>
      <c r="Q15" s="72">
        <f>COUNTIFS(缺陷明细!$A$2:$A$50000,$B$4,缺陷明细!$G$2:$G$50000,$C15,缺陷明细!$Q$2:$Q$50000,"已关闭",缺陷明细!$J$2:$J$50000,"系统测试")</f>
        <v>0</v>
      </c>
      <c r="R15" s="354">
        <f>COUNTIFS(缺陷明细!$A$2:$A$50000,$B$4,缺陷明细!$G$2:$G$50000,$C15,缺陷明细!$AA$2:$AA$50000,"丢弃",缺陷明细!$J$2:$J$50000,"系统测试")+COUNTIFS(缺陷明细!$A$2:$A$50000,$B$4,缺陷明细!$G$2:$G$50000,$C15,缺陷明细!$AA$2:$AA$50000,"设计如此",缺陷明细!$J$2:$J$50000,"系统测试")+COUNTIFS(缺陷明细!$A$2:$A$50000,$B$4,缺陷明细!$G$2:$G$50000,$C15,缺陷明细!$AA$2:$AA$50000,"重复Bug",缺陷明细!$J$2:$J$50000,"系统测试")</f>
        <v>0</v>
      </c>
      <c r="S15" s="72">
        <f>COUNTIFS(缺陷明细!$A$2:$A$50000,$B$4,缺陷明细!$G$2:$G$50000,$C15,缺陷明细!$J$2:$J$50000,"系统测试",缺陷明细!$K$2:$K$50000,"致命",缺陷明细!$AA$2:$AA$50000,"&lt;&gt;丢弃",缺陷明细!$AA$2:$AA$50000,"&lt;&gt;设计如此",缺陷明细!$AA$2:$AA$50000,"&lt;&gt;重复Bug")+COUNTIFS(缺陷明细!$A$2:$A$50000,$B$4,缺陷明细!$G$2:$G$50000,$C15,缺陷明细!$J$2:$J$50000,"系统测试",缺陷明细!$K$2:$K$50000,"严重",缺陷明细!$AA$2:$AA$50000,"&lt;&gt;丢弃",缺陷明细!$AA$2:$AA$50000,"&lt;&gt;设计如此",缺陷明细!$AA$2:$AA$50000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COUNTIFS(缺陷明细!$A$2:$A$50000,$B$4,缺陷明细!$G$2:$G$50000,$C15,缺陷明细!$J$2:$J$50000,"验收测试",缺陷明细!$AA$2:$AA$50000,"&lt;&gt;丢弃",缺陷明细!$AA$2:$AA$50000,"&lt;&gt;设计如此",缺陷明细!$AA$2:$AA$50000,"&lt;&gt;重复Bug")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A$2:$AA$50000,"&lt;&gt;丢弃",缺陷明细!$AA$2:$AA$50000,"&lt;&gt;设计如此",缺陷明细!$AA$2:$AA$50000,"&lt;&gt;重复Bug")+COUNTIFS(缺陷明细!$A$2:$A$50000,$B$4,缺陷明细!$G$2:$G$50000,$C15,缺陷明细!$J$2:$J$50000,"验收测试",缺陷明细!$K$2:$K$50000,"严重",缺陷明细!$AA$2:$AA$50000,"&lt;&gt;丢弃",缺陷明细!$AA$2:$AA$50000,"&lt;&gt;设计如此",缺陷明细!$AA$2:$AA$50000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COUNTIFS(缺陷明细!$A$2:$A$50000,$B$4,缺陷明细!$G$2:$G$50000,$C15,缺陷明细!$J$2:$J$50000,"运维测试",缺陷明细!$AA$2:$AA$50000,"&lt;&gt;丢弃",缺陷明细!$AA$2:$AA$50000,"&lt;&gt;设计如此",缺陷明细!$AA$2:$AA$50000,"&lt;&gt;重复Bug")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A$2:$AA$50000,"&lt;&gt;丢弃",缺陷明细!$AA$2:$AA$50000,"&lt;&gt;设计如此",缺陷明细!$AA$2:$AA$50000,"&lt;&gt;重复Bug")+COUNTIFS(缺陷明细!$A$2:$A$50000,$B$4,缺陷明细!$G$2:$G$50000,$C15,缺陷明细!$J$2:$J$50000,"运维测试",缺陷明细!$K$2:$K$50000,"严重",缺陷明细!$AA$2:$AA$50000,"&lt;&gt;丢弃",缺陷明细!$AA$2:$AA$50000,"&lt;&gt;设计如此",缺陷明细!$AA$2:$AA$50000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51"/>
    </row>
    <row r="16" spans="1:37" ht="26.4">
      <c r="A16">
        <v>12</v>
      </c>
      <c r="B16" s="347">
        <v>425</v>
      </c>
      <c r="C16" s="58" t="s">
        <v>362</v>
      </c>
      <c r="D16" s="84" t="s">
        <v>467</v>
      </c>
      <c r="E16" s="82" t="s">
        <v>472</v>
      </c>
      <c r="F16" s="322">
        <v>4</v>
      </c>
      <c r="G16" s="323">
        <v>4</v>
      </c>
      <c r="H16" s="305">
        <f>COUNTIFS(缺陷明细!$A$2:$A$50000,$B$4,缺陷明细!$G$2:$G$50000,$C16,缺陷明细!$J$2:$J$50000,"评审",缺陷明细!$AA$2:$AA$50000,"&lt;&gt;丢弃",缺陷明细!$AA$2:$AA$50000,"&lt;&gt;设计如此",缺陷明细!$AA$2:$AA$50000,"&lt;&gt;重复Bug")</f>
        <v>0</v>
      </c>
      <c r="I16" s="161">
        <f>COUNTIFS(缺陷明细!$A$2:$A$50000,$B$4,缺陷明细!$G$2:$G$50000,$C16,缺陷明细!$Q$2:$Q$50000,"已关闭",缺陷明细!$J$2:$J$50000,"评审")</f>
        <v>0</v>
      </c>
      <c r="J16" s="161">
        <f>COUNTIFS(缺陷明细!$A$2:$A$50000,$B$4,缺陷明细!$G$2:$G$50000,$C16,缺陷明细!$J$2:$J$50000,"单元测试",缺陷明细!$AA$2:$AA$50000,"&lt;&gt;丢弃",缺陷明细!$AA$2:$AA$50000,"&lt;&gt;设计如此",缺陷明细!$AA$2:$AA$50000,"&lt;&gt;重复Bug")</f>
        <v>0</v>
      </c>
      <c r="K16" s="162">
        <f>COUNTIFS(缺陷明细!$A$2:$A$50000,$B$4,缺陷明细!$G$2:$G$50000,$C16,缺陷明细!$Q$2:$Q$50000,"已关闭",缺陷明细!$J$2:$J$50000,"单元测试")</f>
        <v>0</v>
      </c>
      <c r="L16" s="163"/>
      <c r="M16" s="164"/>
      <c r="N16" s="72">
        <f>COUNTIFS(缺陷明细!$A$2:$A$50000,$B$4,缺陷明细!$G$2:$G$50000,$C16,缺陷明细!$J$2:$J$50000,"系统测试案例评审",缺陷明细!$AA$2:$AA$50000,"&lt;&gt;丢弃",缺陷明细!$AA$2:$AA$50000,"&lt;&gt;设计如此",缺陷明细!$AA$2:$AA$50000,"&lt;&gt;重复Bug")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COUNTIFS(缺陷明细!$A$2:$A$50000,$B$4,缺陷明细!$G$2:$G$50000,$C16,缺陷明细!$J$2:$J$50000,"系统测试",缺陷明细!$AA$2:$AA$50000,"&lt;&gt;丢弃",缺陷明细!$AA$2:$AA$50000,"&lt;&gt;设计如此",缺陷明细!$AA$2:$AA$50000,"&lt;&gt;重复Bug")</f>
        <v>0</v>
      </c>
      <c r="Q16" s="72">
        <f>COUNTIFS(缺陷明细!$A$2:$A$50000,$B$4,缺陷明细!$G$2:$G$50000,$C16,缺陷明细!$Q$2:$Q$50000,"已关闭",缺陷明细!$J$2:$J$50000,"系统测试")</f>
        <v>0</v>
      </c>
      <c r="R16" s="354">
        <f>COUNTIFS(缺陷明细!$A$2:$A$50000,$B$4,缺陷明细!$G$2:$G$50000,$C16,缺陷明细!$AA$2:$AA$50000,"丢弃",缺陷明细!$J$2:$J$50000,"系统测试")+COUNTIFS(缺陷明细!$A$2:$A$50000,$B$4,缺陷明细!$G$2:$G$50000,$C16,缺陷明细!$AA$2:$AA$50000,"设计如此",缺陷明细!$J$2:$J$50000,"系统测试")+COUNTIFS(缺陷明细!$A$2:$A$50000,$B$4,缺陷明细!$G$2:$G$50000,$C16,缺陷明细!$AA$2:$AA$50000,"重复Bug",缺陷明细!$J$2:$J$50000,"系统测试")</f>
        <v>0</v>
      </c>
      <c r="S16" s="72">
        <f>COUNTIFS(缺陷明细!$A$2:$A$50000,$B$4,缺陷明细!$G$2:$G$50000,$C16,缺陷明细!$J$2:$J$50000,"系统测试",缺陷明细!$K$2:$K$50000,"致命",缺陷明细!$AA$2:$AA$50000,"&lt;&gt;丢弃",缺陷明细!$AA$2:$AA$50000,"&lt;&gt;设计如此",缺陷明细!$AA$2:$AA$50000,"&lt;&gt;重复Bug")+COUNTIFS(缺陷明细!$A$2:$A$50000,$B$4,缺陷明细!$G$2:$G$50000,$C16,缺陷明细!$J$2:$J$50000,"系统测试",缺陷明细!$K$2:$K$50000,"严重",缺陷明细!$AA$2:$AA$50000,"&lt;&gt;丢弃",缺陷明细!$AA$2:$AA$50000,"&lt;&gt;设计如此",缺陷明细!$AA$2:$AA$50000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COUNTIFS(缺陷明细!$A$2:$A$50000,$B$4,缺陷明细!$G$2:$G$50000,$C16,缺陷明细!$J$2:$J$50000,"验收测试",缺陷明细!$AA$2:$AA$50000,"&lt;&gt;丢弃",缺陷明细!$AA$2:$AA$50000,"&lt;&gt;设计如此",缺陷明细!$AA$2:$AA$50000,"&lt;&gt;重复Bug")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A$2:$AA$50000,"&lt;&gt;丢弃",缺陷明细!$AA$2:$AA$50000,"&lt;&gt;设计如此",缺陷明细!$AA$2:$AA$50000,"&lt;&gt;重复Bug")+COUNTIFS(缺陷明细!$A$2:$A$50000,$B$4,缺陷明细!$G$2:$G$50000,$C16,缺陷明细!$J$2:$J$50000,"验收测试",缺陷明细!$K$2:$K$50000,"严重",缺陷明细!$AA$2:$AA$50000,"&lt;&gt;丢弃",缺陷明细!$AA$2:$AA$50000,"&lt;&gt;设计如此",缺陷明细!$AA$2:$AA$50000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COUNTIFS(缺陷明细!$A$2:$A$50000,$B$4,缺陷明细!$G$2:$G$50000,$C16,缺陷明细!$J$2:$J$50000,"运维测试",缺陷明细!$AA$2:$AA$50000,"&lt;&gt;丢弃",缺陷明细!$AA$2:$AA$50000,"&lt;&gt;设计如此",缺陷明细!$AA$2:$AA$50000,"&lt;&gt;重复Bug")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A$2:$AA$50000,"&lt;&gt;丢弃",缺陷明细!$AA$2:$AA$50000,"&lt;&gt;设计如此",缺陷明细!$AA$2:$AA$50000,"&lt;&gt;重复Bug")+COUNTIFS(缺陷明细!$A$2:$A$50000,$B$4,缺陷明细!$G$2:$G$50000,$C16,缺陷明细!$J$2:$J$50000,"运维测试",缺陷明细!$K$2:$K$50000,"严重",缺陷明细!$AA$2:$AA$50000,"&lt;&gt;丢弃",缺陷明细!$AA$2:$AA$50000,"&lt;&gt;设计如此",缺陷明细!$AA$2:$AA$50000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51"/>
    </row>
    <row r="17" spans="1:37" ht="26.4">
      <c r="A17">
        <v>13</v>
      </c>
      <c r="B17" s="347">
        <v>426</v>
      </c>
      <c r="C17" s="58" t="s">
        <v>363</v>
      </c>
      <c r="D17" s="84" t="s">
        <v>467</v>
      </c>
      <c r="E17" s="82" t="s">
        <v>472</v>
      </c>
      <c r="F17" s="322">
        <v>4</v>
      </c>
      <c r="G17" s="323">
        <v>2</v>
      </c>
      <c r="H17" s="305">
        <f>COUNTIFS(缺陷明细!$A$2:$A$50000,$B$4,缺陷明细!$G$2:$G$50000,$C17,缺陷明细!$J$2:$J$50000,"评审",缺陷明细!$AA$2:$AA$50000,"&lt;&gt;丢弃",缺陷明细!$AA$2:$AA$50000,"&lt;&gt;设计如此",缺陷明细!$AA$2:$AA$50000,"&lt;&gt;重复Bug")</f>
        <v>0</v>
      </c>
      <c r="I17" s="161">
        <f>COUNTIFS(缺陷明细!$A$2:$A$50000,$B$4,缺陷明细!$G$2:$G$50000,$C17,缺陷明细!$Q$2:$Q$50000,"已关闭",缺陷明细!$J$2:$J$50000,"评审")</f>
        <v>0</v>
      </c>
      <c r="J17" s="161">
        <f>COUNTIFS(缺陷明细!$A$2:$A$50000,$B$4,缺陷明细!$G$2:$G$50000,$C17,缺陷明细!$J$2:$J$50000,"单元测试",缺陷明细!$AA$2:$AA$50000,"&lt;&gt;丢弃",缺陷明细!$AA$2:$AA$50000,"&lt;&gt;设计如此",缺陷明细!$AA$2:$AA$50000,"&lt;&gt;重复Bug")</f>
        <v>0</v>
      </c>
      <c r="K17" s="162">
        <f>COUNTIFS(缺陷明细!$A$2:$A$50000,$B$4,缺陷明细!$G$2:$G$50000,$C17,缺陷明细!$Q$2:$Q$50000,"已关闭",缺陷明细!$J$2:$J$50000,"单元测试")</f>
        <v>0</v>
      </c>
      <c r="L17" s="163"/>
      <c r="M17" s="164"/>
      <c r="N17" s="72">
        <f>COUNTIFS(缺陷明细!$A$2:$A$50000,$B$4,缺陷明细!$G$2:$G$50000,$C17,缺陷明细!$J$2:$J$50000,"系统测试案例评审",缺陷明细!$AA$2:$AA$50000,"&lt;&gt;丢弃",缺陷明细!$AA$2:$AA$50000,"&lt;&gt;设计如此",缺陷明细!$AA$2:$AA$50000,"&lt;&gt;重复Bug")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COUNTIFS(缺陷明细!$A$2:$A$50000,$B$4,缺陷明细!$G$2:$G$50000,$C17,缺陷明细!$J$2:$J$50000,"系统测试",缺陷明细!$AA$2:$AA$50000,"&lt;&gt;丢弃",缺陷明细!$AA$2:$AA$50000,"&lt;&gt;设计如此",缺陷明细!$AA$2:$AA$50000,"&lt;&gt;重复Bug")</f>
        <v>0</v>
      </c>
      <c r="Q17" s="72">
        <f>COUNTIFS(缺陷明细!$A$2:$A$50000,$B$4,缺陷明细!$G$2:$G$50000,$C17,缺陷明细!$Q$2:$Q$50000,"已关闭",缺陷明细!$J$2:$J$50000,"系统测试")</f>
        <v>0</v>
      </c>
      <c r="R17" s="354">
        <f>COUNTIFS(缺陷明细!$A$2:$A$50000,$B$4,缺陷明细!$G$2:$G$50000,$C17,缺陷明细!$AA$2:$AA$50000,"丢弃",缺陷明细!$J$2:$J$50000,"系统测试")+COUNTIFS(缺陷明细!$A$2:$A$50000,$B$4,缺陷明细!$G$2:$G$50000,$C17,缺陷明细!$AA$2:$AA$50000,"设计如此",缺陷明细!$J$2:$J$50000,"系统测试")+COUNTIFS(缺陷明细!$A$2:$A$50000,$B$4,缺陷明细!$G$2:$G$50000,$C17,缺陷明细!$AA$2:$AA$50000,"重复Bug",缺陷明细!$J$2:$J$50000,"系统测试")</f>
        <v>0</v>
      </c>
      <c r="S17" s="72">
        <f>COUNTIFS(缺陷明细!$A$2:$A$50000,$B$4,缺陷明细!$G$2:$G$50000,$C17,缺陷明细!$J$2:$J$50000,"系统测试",缺陷明细!$K$2:$K$50000,"致命",缺陷明细!$AA$2:$AA$50000,"&lt;&gt;丢弃",缺陷明细!$AA$2:$AA$50000,"&lt;&gt;设计如此",缺陷明细!$AA$2:$AA$50000,"&lt;&gt;重复Bug")+COUNTIFS(缺陷明细!$A$2:$A$50000,$B$4,缺陷明细!$G$2:$G$50000,$C17,缺陷明细!$J$2:$J$50000,"系统测试",缺陷明细!$K$2:$K$50000,"严重",缺陷明细!$AA$2:$AA$50000,"&lt;&gt;丢弃",缺陷明细!$AA$2:$AA$50000,"&lt;&gt;设计如此",缺陷明细!$AA$2:$AA$50000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COUNTIFS(缺陷明细!$A$2:$A$50000,$B$4,缺陷明细!$G$2:$G$50000,$C17,缺陷明细!$J$2:$J$50000,"验收测试",缺陷明细!$AA$2:$AA$50000,"&lt;&gt;丢弃",缺陷明细!$AA$2:$AA$50000,"&lt;&gt;设计如此",缺陷明细!$AA$2:$AA$50000,"&lt;&gt;重复Bug")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A$2:$AA$50000,"&lt;&gt;丢弃",缺陷明细!$AA$2:$AA$50000,"&lt;&gt;设计如此",缺陷明细!$AA$2:$AA$50000,"&lt;&gt;重复Bug")+COUNTIFS(缺陷明细!$A$2:$A$50000,$B$4,缺陷明细!$G$2:$G$50000,$C17,缺陷明细!$J$2:$J$50000,"验收测试",缺陷明细!$K$2:$K$50000,"严重",缺陷明细!$AA$2:$AA$50000,"&lt;&gt;丢弃",缺陷明细!$AA$2:$AA$50000,"&lt;&gt;设计如此",缺陷明细!$AA$2:$AA$50000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COUNTIFS(缺陷明细!$A$2:$A$50000,$B$4,缺陷明细!$G$2:$G$50000,$C17,缺陷明细!$J$2:$J$50000,"运维测试",缺陷明细!$AA$2:$AA$50000,"&lt;&gt;丢弃",缺陷明细!$AA$2:$AA$50000,"&lt;&gt;设计如此",缺陷明细!$AA$2:$AA$50000,"&lt;&gt;重复Bug")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A$2:$AA$50000,"&lt;&gt;丢弃",缺陷明细!$AA$2:$AA$50000,"&lt;&gt;设计如此",缺陷明细!$AA$2:$AA$50000,"&lt;&gt;重复Bug")+COUNTIFS(缺陷明细!$A$2:$A$50000,$B$4,缺陷明细!$G$2:$G$50000,$C17,缺陷明细!$J$2:$J$50000,"运维测试",缺陷明细!$K$2:$K$50000,"严重",缺陷明细!$AA$2:$AA$50000,"&lt;&gt;丢弃",缺陷明细!$AA$2:$AA$50000,"&lt;&gt;设计如此",缺陷明细!$AA$2:$AA$50000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51"/>
    </row>
    <row r="18" spans="1:37" ht="26.4">
      <c r="A18">
        <v>14</v>
      </c>
      <c r="B18" s="347">
        <v>427</v>
      </c>
      <c r="C18" s="58" t="s">
        <v>364</v>
      </c>
      <c r="D18" s="84" t="s">
        <v>467</v>
      </c>
      <c r="E18" s="82" t="s">
        <v>472</v>
      </c>
      <c r="F18" s="322">
        <v>1</v>
      </c>
      <c r="G18" s="323">
        <v>1</v>
      </c>
      <c r="H18" s="305">
        <f>COUNTIFS(缺陷明细!$A$2:$A$50000,$B$4,缺陷明细!$G$2:$G$50000,$C18,缺陷明细!$J$2:$J$50000,"评审",缺陷明细!$AA$2:$AA$50000,"&lt;&gt;丢弃",缺陷明细!$AA$2:$AA$50000,"&lt;&gt;设计如此",缺陷明细!$AA$2:$AA$50000,"&lt;&gt;重复Bug")</f>
        <v>0</v>
      </c>
      <c r="I18" s="161">
        <f>COUNTIFS(缺陷明细!$A$2:$A$50000,$B$4,缺陷明细!$G$2:$G$50000,$C18,缺陷明细!$Q$2:$Q$50000,"已关闭",缺陷明细!$J$2:$J$50000,"评审")</f>
        <v>0</v>
      </c>
      <c r="J18" s="161">
        <f>COUNTIFS(缺陷明细!$A$2:$A$50000,$B$4,缺陷明细!$G$2:$G$50000,$C18,缺陷明细!$J$2:$J$50000,"单元测试",缺陷明细!$AA$2:$AA$50000,"&lt;&gt;丢弃",缺陷明细!$AA$2:$AA$50000,"&lt;&gt;设计如此",缺陷明细!$AA$2:$AA$50000,"&lt;&gt;重复Bug")</f>
        <v>0</v>
      </c>
      <c r="K18" s="162">
        <f>COUNTIFS(缺陷明细!$A$2:$A$50000,$B$4,缺陷明细!$G$2:$G$50000,$C18,缺陷明细!$Q$2:$Q$50000,"已关闭",缺陷明细!$J$2:$J$50000,"单元测试")</f>
        <v>0</v>
      </c>
      <c r="L18" s="163"/>
      <c r="M18" s="164"/>
      <c r="N18" s="72">
        <f>COUNTIFS(缺陷明细!$A$2:$A$50000,$B$4,缺陷明细!$G$2:$G$50000,$C18,缺陷明细!$J$2:$J$50000,"系统测试案例评审",缺陷明细!$AA$2:$AA$50000,"&lt;&gt;丢弃",缺陷明细!$AA$2:$AA$50000,"&lt;&gt;设计如此",缺陷明细!$AA$2:$AA$50000,"&lt;&gt;重复Bug")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COUNTIFS(缺陷明细!$A$2:$A$50000,$B$4,缺陷明细!$G$2:$G$50000,$C18,缺陷明细!$J$2:$J$50000,"系统测试",缺陷明细!$AA$2:$AA$50000,"&lt;&gt;丢弃",缺陷明细!$AA$2:$AA$50000,"&lt;&gt;设计如此",缺陷明细!$AA$2:$AA$50000,"&lt;&gt;重复Bug")</f>
        <v>0</v>
      </c>
      <c r="Q18" s="72">
        <f>COUNTIFS(缺陷明细!$A$2:$A$50000,$B$4,缺陷明细!$G$2:$G$50000,$C18,缺陷明细!$Q$2:$Q$50000,"已关闭",缺陷明细!$J$2:$J$50000,"系统测试")</f>
        <v>0</v>
      </c>
      <c r="R18" s="354">
        <f>COUNTIFS(缺陷明细!$A$2:$A$50000,$B$4,缺陷明细!$G$2:$G$50000,$C18,缺陷明细!$AA$2:$AA$50000,"丢弃",缺陷明细!$J$2:$J$50000,"系统测试")+COUNTIFS(缺陷明细!$A$2:$A$50000,$B$4,缺陷明细!$G$2:$G$50000,$C18,缺陷明细!$AA$2:$AA$50000,"设计如此",缺陷明细!$J$2:$J$50000,"系统测试")+COUNTIFS(缺陷明细!$A$2:$A$50000,$B$4,缺陷明细!$G$2:$G$50000,$C18,缺陷明细!$AA$2:$AA$50000,"重复Bug",缺陷明细!$J$2:$J$50000,"系统测试")</f>
        <v>0</v>
      </c>
      <c r="S18" s="72">
        <f>COUNTIFS(缺陷明细!$A$2:$A$50000,$B$4,缺陷明细!$G$2:$G$50000,$C18,缺陷明细!$J$2:$J$50000,"系统测试",缺陷明细!$K$2:$K$50000,"致命",缺陷明细!$AA$2:$AA$50000,"&lt;&gt;丢弃",缺陷明细!$AA$2:$AA$50000,"&lt;&gt;设计如此",缺陷明细!$AA$2:$AA$50000,"&lt;&gt;重复Bug")+COUNTIFS(缺陷明细!$A$2:$A$50000,$B$4,缺陷明细!$G$2:$G$50000,$C18,缺陷明细!$J$2:$J$50000,"系统测试",缺陷明细!$K$2:$K$50000,"严重",缺陷明细!$AA$2:$AA$50000,"&lt;&gt;丢弃",缺陷明细!$AA$2:$AA$50000,"&lt;&gt;设计如此",缺陷明细!$AA$2:$AA$50000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COUNTIFS(缺陷明细!$A$2:$A$50000,$B$4,缺陷明细!$G$2:$G$50000,$C18,缺陷明细!$J$2:$J$50000,"验收测试",缺陷明细!$AA$2:$AA$50000,"&lt;&gt;丢弃",缺陷明细!$AA$2:$AA$50000,"&lt;&gt;设计如此",缺陷明细!$AA$2:$AA$50000,"&lt;&gt;重复Bug")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A$2:$AA$50000,"&lt;&gt;丢弃",缺陷明细!$AA$2:$AA$50000,"&lt;&gt;设计如此",缺陷明细!$AA$2:$AA$50000,"&lt;&gt;重复Bug")+COUNTIFS(缺陷明细!$A$2:$A$50000,$B$4,缺陷明细!$G$2:$G$50000,$C18,缺陷明细!$J$2:$J$50000,"验收测试",缺陷明细!$K$2:$K$50000,"严重",缺陷明细!$AA$2:$AA$50000,"&lt;&gt;丢弃",缺陷明细!$AA$2:$AA$50000,"&lt;&gt;设计如此",缺陷明细!$AA$2:$AA$50000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COUNTIFS(缺陷明细!$A$2:$A$50000,$B$4,缺陷明细!$G$2:$G$50000,$C18,缺陷明细!$J$2:$J$50000,"运维测试",缺陷明细!$AA$2:$AA$50000,"&lt;&gt;丢弃",缺陷明细!$AA$2:$AA$50000,"&lt;&gt;设计如此",缺陷明细!$AA$2:$AA$50000,"&lt;&gt;重复Bug")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A$2:$AA$50000,"&lt;&gt;丢弃",缺陷明细!$AA$2:$AA$50000,"&lt;&gt;设计如此",缺陷明细!$AA$2:$AA$50000,"&lt;&gt;重复Bug")+COUNTIFS(缺陷明细!$A$2:$A$50000,$B$4,缺陷明细!$G$2:$G$50000,$C18,缺陷明细!$J$2:$J$50000,"运维测试",缺陷明细!$K$2:$K$50000,"严重",缺陷明细!$AA$2:$AA$50000,"&lt;&gt;丢弃",缺陷明细!$AA$2:$AA$50000,"&lt;&gt;设计如此",缺陷明细!$AA$2:$AA$50000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51"/>
    </row>
    <row r="19" spans="1:37" ht="52.8">
      <c r="A19">
        <v>15</v>
      </c>
      <c r="B19" s="347">
        <v>428</v>
      </c>
      <c r="C19" s="58" t="s">
        <v>365</v>
      </c>
      <c r="D19" s="84" t="s">
        <v>467</v>
      </c>
      <c r="E19" s="82" t="s">
        <v>472</v>
      </c>
      <c r="F19" s="322">
        <v>4</v>
      </c>
      <c r="G19" s="323">
        <v>4</v>
      </c>
      <c r="H19" s="305">
        <f>COUNTIFS(缺陷明细!$A$2:$A$50000,$B$4,缺陷明细!$G$2:$G$50000,$C19,缺陷明细!$J$2:$J$50000,"评审",缺陷明细!$AA$2:$AA$50000,"&lt;&gt;丢弃",缺陷明细!$AA$2:$AA$50000,"&lt;&gt;设计如此",缺陷明细!$AA$2:$AA$50000,"&lt;&gt;重复Bug")</f>
        <v>0</v>
      </c>
      <c r="I19" s="161">
        <f>COUNTIFS(缺陷明细!$A$2:$A$50000,$B$4,缺陷明细!$G$2:$G$50000,$C19,缺陷明细!$Q$2:$Q$50000,"已关闭",缺陷明细!$J$2:$J$50000,"评审")</f>
        <v>0</v>
      </c>
      <c r="J19" s="161">
        <f>COUNTIFS(缺陷明细!$A$2:$A$50000,$B$4,缺陷明细!$G$2:$G$50000,$C19,缺陷明细!$J$2:$J$50000,"单元测试",缺陷明细!$AA$2:$AA$50000,"&lt;&gt;丢弃",缺陷明细!$AA$2:$AA$50000,"&lt;&gt;设计如此",缺陷明细!$AA$2:$AA$50000,"&lt;&gt;重复Bug")</f>
        <v>0</v>
      </c>
      <c r="K19" s="162">
        <f>COUNTIFS(缺陷明细!$A$2:$A$50000,$B$4,缺陷明细!$G$2:$G$50000,$C19,缺陷明细!$Q$2:$Q$50000,"已关闭",缺陷明细!$J$2:$J$50000,"单元测试")</f>
        <v>0</v>
      </c>
      <c r="L19" s="163"/>
      <c r="M19" s="164"/>
      <c r="N19" s="72">
        <f>COUNTIFS(缺陷明细!$A$2:$A$50000,$B$4,缺陷明细!$G$2:$G$50000,$C19,缺陷明细!$J$2:$J$50000,"系统测试案例评审",缺陷明细!$AA$2:$AA$50000,"&lt;&gt;丢弃",缺陷明细!$AA$2:$AA$50000,"&lt;&gt;设计如此",缺陷明细!$AA$2:$AA$50000,"&lt;&gt;重复Bug")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COUNTIFS(缺陷明细!$A$2:$A$50000,$B$4,缺陷明细!$G$2:$G$50000,$C19,缺陷明细!$J$2:$J$50000,"系统测试",缺陷明细!$AA$2:$AA$50000,"&lt;&gt;丢弃",缺陷明细!$AA$2:$AA$50000,"&lt;&gt;设计如此",缺陷明细!$AA$2:$AA$50000,"&lt;&gt;重复Bug")</f>
        <v>0</v>
      </c>
      <c r="Q19" s="72">
        <f>COUNTIFS(缺陷明细!$A$2:$A$50000,$B$4,缺陷明细!$G$2:$G$50000,$C19,缺陷明细!$Q$2:$Q$50000,"已关闭",缺陷明细!$J$2:$J$50000,"系统测试")</f>
        <v>0</v>
      </c>
      <c r="R19" s="354">
        <f>COUNTIFS(缺陷明细!$A$2:$A$50000,$B$4,缺陷明细!$G$2:$G$50000,$C19,缺陷明细!$AA$2:$AA$50000,"丢弃",缺陷明细!$J$2:$J$50000,"系统测试")+COUNTIFS(缺陷明细!$A$2:$A$50000,$B$4,缺陷明细!$G$2:$G$50000,$C19,缺陷明细!$AA$2:$AA$50000,"设计如此",缺陷明细!$J$2:$J$50000,"系统测试")+COUNTIFS(缺陷明细!$A$2:$A$50000,$B$4,缺陷明细!$G$2:$G$50000,$C19,缺陷明细!$AA$2:$AA$50000,"重复Bug",缺陷明细!$J$2:$J$50000,"系统测试")</f>
        <v>0</v>
      </c>
      <c r="S19" s="72">
        <f>COUNTIFS(缺陷明细!$A$2:$A$50000,$B$4,缺陷明细!$G$2:$G$50000,$C19,缺陷明细!$J$2:$J$50000,"系统测试",缺陷明细!$K$2:$K$50000,"致命",缺陷明细!$AA$2:$AA$50000,"&lt;&gt;丢弃",缺陷明细!$AA$2:$AA$50000,"&lt;&gt;设计如此",缺陷明细!$AA$2:$AA$50000,"&lt;&gt;重复Bug")+COUNTIFS(缺陷明细!$A$2:$A$50000,$B$4,缺陷明细!$G$2:$G$50000,$C19,缺陷明细!$J$2:$J$50000,"系统测试",缺陷明细!$K$2:$K$50000,"严重",缺陷明细!$AA$2:$AA$50000,"&lt;&gt;丢弃",缺陷明细!$AA$2:$AA$50000,"&lt;&gt;设计如此",缺陷明细!$AA$2:$AA$50000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COUNTIFS(缺陷明细!$A$2:$A$50000,$B$4,缺陷明细!$G$2:$G$50000,$C19,缺陷明细!$J$2:$J$50000,"验收测试",缺陷明细!$AA$2:$AA$50000,"&lt;&gt;丢弃",缺陷明细!$AA$2:$AA$50000,"&lt;&gt;设计如此",缺陷明细!$AA$2:$AA$50000,"&lt;&gt;重复Bug")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A$2:$AA$50000,"&lt;&gt;丢弃",缺陷明细!$AA$2:$AA$50000,"&lt;&gt;设计如此",缺陷明细!$AA$2:$AA$50000,"&lt;&gt;重复Bug")+COUNTIFS(缺陷明细!$A$2:$A$50000,$B$4,缺陷明细!$G$2:$G$50000,$C19,缺陷明细!$J$2:$J$50000,"验收测试",缺陷明细!$K$2:$K$50000,"严重",缺陷明细!$AA$2:$AA$50000,"&lt;&gt;丢弃",缺陷明细!$AA$2:$AA$50000,"&lt;&gt;设计如此",缺陷明细!$AA$2:$AA$50000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COUNTIFS(缺陷明细!$A$2:$A$50000,$B$4,缺陷明细!$G$2:$G$50000,$C19,缺陷明细!$J$2:$J$50000,"运维测试",缺陷明细!$AA$2:$AA$50000,"&lt;&gt;丢弃",缺陷明细!$AA$2:$AA$50000,"&lt;&gt;设计如此",缺陷明细!$AA$2:$AA$50000,"&lt;&gt;重复Bug")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A$2:$AA$50000,"&lt;&gt;丢弃",缺陷明细!$AA$2:$AA$50000,"&lt;&gt;设计如此",缺陷明细!$AA$2:$AA$50000,"&lt;&gt;重复Bug")+COUNTIFS(缺陷明细!$A$2:$A$50000,$B$4,缺陷明细!$G$2:$G$50000,$C19,缺陷明细!$J$2:$J$50000,"运维测试",缺陷明细!$K$2:$K$50000,"严重",缺陷明细!$AA$2:$AA$50000,"&lt;&gt;丢弃",缺陷明细!$AA$2:$AA$50000,"&lt;&gt;设计如此",缺陷明细!$AA$2:$AA$50000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51"/>
    </row>
    <row r="20" spans="1:37" ht="26.4">
      <c r="A20">
        <v>16</v>
      </c>
      <c r="B20" s="347">
        <v>429</v>
      </c>
      <c r="C20" s="58" t="s">
        <v>366</v>
      </c>
      <c r="D20" s="84" t="s">
        <v>467</v>
      </c>
      <c r="E20" s="82" t="s">
        <v>472</v>
      </c>
      <c r="F20" s="322">
        <v>0.5</v>
      </c>
      <c r="G20" s="323">
        <v>2</v>
      </c>
      <c r="H20" s="305">
        <f>COUNTIFS(缺陷明细!$A$2:$A$50000,$B$4,缺陷明细!$G$2:$G$50000,$C20,缺陷明细!$J$2:$J$50000,"评审",缺陷明细!$AA$2:$AA$50000,"&lt;&gt;丢弃",缺陷明细!$AA$2:$AA$50000,"&lt;&gt;设计如此",缺陷明细!$AA$2:$AA$50000,"&lt;&gt;重复Bug")</f>
        <v>0</v>
      </c>
      <c r="I20" s="161">
        <f>COUNTIFS(缺陷明细!$A$2:$A$50000,$B$4,缺陷明细!$G$2:$G$50000,$C20,缺陷明细!$Q$2:$Q$50000,"已关闭",缺陷明细!$J$2:$J$50000,"评审")</f>
        <v>0</v>
      </c>
      <c r="J20" s="161">
        <f>COUNTIFS(缺陷明细!$A$2:$A$50000,$B$4,缺陷明细!$G$2:$G$50000,$C20,缺陷明细!$J$2:$J$50000,"单元测试",缺陷明细!$AA$2:$AA$50000,"&lt;&gt;丢弃",缺陷明细!$AA$2:$AA$50000,"&lt;&gt;设计如此",缺陷明细!$AA$2:$AA$50000,"&lt;&gt;重复Bug")</f>
        <v>0</v>
      </c>
      <c r="K20" s="162">
        <f>COUNTIFS(缺陷明细!$A$2:$A$50000,$B$4,缺陷明细!$G$2:$G$50000,$C20,缺陷明细!$Q$2:$Q$50000,"已关闭",缺陷明细!$J$2:$J$50000,"单元测试")</f>
        <v>0</v>
      </c>
      <c r="L20" s="163"/>
      <c r="M20" s="164"/>
      <c r="N20" s="72">
        <f>COUNTIFS(缺陷明细!$A$2:$A$50000,$B$4,缺陷明细!$G$2:$G$50000,$C20,缺陷明细!$J$2:$J$50000,"系统测试案例评审",缺陷明细!$AA$2:$AA$50000,"&lt;&gt;丢弃",缺陷明细!$AA$2:$AA$50000,"&lt;&gt;设计如此",缺陷明细!$AA$2:$AA$50000,"&lt;&gt;重复Bug")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COUNTIFS(缺陷明细!$A$2:$A$50000,$B$4,缺陷明细!$G$2:$G$50000,$C20,缺陷明细!$J$2:$J$50000,"系统测试",缺陷明细!$AA$2:$AA$50000,"&lt;&gt;丢弃",缺陷明细!$AA$2:$AA$50000,"&lt;&gt;设计如此",缺陷明细!$AA$2:$AA$50000,"&lt;&gt;重复Bug")</f>
        <v>0</v>
      </c>
      <c r="Q20" s="72">
        <f>COUNTIFS(缺陷明细!$A$2:$A$50000,$B$4,缺陷明细!$G$2:$G$50000,$C20,缺陷明细!$Q$2:$Q$50000,"已关闭",缺陷明细!$J$2:$J$50000,"系统测试")</f>
        <v>0</v>
      </c>
      <c r="R20" s="354">
        <f>COUNTIFS(缺陷明细!$A$2:$A$50000,$B$4,缺陷明细!$G$2:$G$50000,$C20,缺陷明细!$AA$2:$AA$50000,"丢弃",缺陷明细!$J$2:$J$50000,"系统测试")+COUNTIFS(缺陷明细!$A$2:$A$50000,$B$4,缺陷明细!$G$2:$G$50000,$C20,缺陷明细!$AA$2:$AA$50000,"设计如此",缺陷明细!$J$2:$J$50000,"系统测试")+COUNTIFS(缺陷明细!$A$2:$A$50000,$B$4,缺陷明细!$G$2:$G$50000,$C20,缺陷明细!$AA$2:$AA$50000,"重复Bug",缺陷明细!$J$2:$J$50000,"系统测试")</f>
        <v>0</v>
      </c>
      <c r="S20" s="72">
        <f>COUNTIFS(缺陷明细!$A$2:$A$50000,$B$4,缺陷明细!$G$2:$G$50000,$C20,缺陷明细!$J$2:$J$50000,"系统测试",缺陷明细!$K$2:$K$50000,"致命",缺陷明细!$AA$2:$AA$50000,"&lt;&gt;丢弃",缺陷明细!$AA$2:$AA$50000,"&lt;&gt;设计如此",缺陷明细!$AA$2:$AA$50000,"&lt;&gt;重复Bug")+COUNTIFS(缺陷明细!$A$2:$A$50000,$B$4,缺陷明细!$G$2:$G$50000,$C20,缺陷明细!$J$2:$J$50000,"系统测试",缺陷明细!$K$2:$K$50000,"严重",缺陷明细!$AA$2:$AA$50000,"&lt;&gt;丢弃",缺陷明细!$AA$2:$AA$50000,"&lt;&gt;设计如此",缺陷明细!$AA$2:$AA$50000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COUNTIFS(缺陷明细!$A$2:$A$50000,$B$4,缺陷明细!$G$2:$G$50000,$C20,缺陷明细!$J$2:$J$50000,"验收测试",缺陷明细!$AA$2:$AA$50000,"&lt;&gt;丢弃",缺陷明细!$AA$2:$AA$50000,"&lt;&gt;设计如此",缺陷明细!$AA$2:$AA$50000,"&lt;&gt;重复Bug")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A$2:$AA$50000,"&lt;&gt;丢弃",缺陷明细!$AA$2:$AA$50000,"&lt;&gt;设计如此",缺陷明细!$AA$2:$AA$50000,"&lt;&gt;重复Bug")+COUNTIFS(缺陷明细!$A$2:$A$50000,$B$4,缺陷明细!$G$2:$G$50000,$C20,缺陷明细!$J$2:$J$50000,"验收测试",缺陷明细!$K$2:$K$50000,"严重",缺陷明细!$AA$2:$AA$50000,"&lt;&gt;丢弃",缺陷明细!$AA$2:$AA$50000,"&lt;&gt;设计如此",缺陷明细!$AA$2:$AA$50000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COUNTIFS(缺陷明细!$A$2:$A$50000,$B$4,缺陷明细!$G$2:$G$50000,$C20,缺陷明细!$J$2:$J$50000,"运维测试",缺陷明细!$AA$2:$AA$50000,"&lt;&gt;丢弃",缺陷明细!$AA$2:$AA$50000,"&lt;&gt;设计如此",缺陷明细!$AA$2:$AA$50000,"&lt;&gt;重复Bug")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A$2:$AA$50000,"&lt;&gt;丢弃",缺陷明细!$AA$2:$AA$50000,"&lt;&gt;设计如此",缺陷明细!$AA$2:$AA$50000,"&lt;&gt;重复Bug")+COUNTIFS(缺陷明细!$A$2:$A$50000,$B$4,缺陷明细!$G$2:$G$50000,$C20,缺陷明细!$J$2:$J$50000,"运维测试",缺陷明细!$K$2:$K$50000,"严重",缺陷明细!$AA$2:$AA$50000,"&lt;&gt;丢弃",缺陷明细!$AA$2:$AA$50000,"&lt;&gt;设计如此",缺陷明细!$AA$2:$AA$50000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51"/>
    </row>
    <row r="21" spans="1:37" ht="39.6">
      <c r="A21">
        <v>17</v>
      </c>
      <c r="B21" s="347">
        <v>430</v>
      </c>
      <c r="C21" s="58" t="s">
        <v>367</v>
      </c>
      <c r="D21" s="84" t="s">
        <v>467</v>
      </c>
      <c r="E21" s="82" t="s">
        <v>472</v>
      </c>
      <c r="F21" s="322">
        <v>1</v>
      </c>
      <c r="G21" s="323">
        <v>1</v>
      </c>
      <c r="H21" s="305">
        <f>COUNTIFS(缺陷明细!$A$2:$A$50000,$B$4,缺陷明细!$G$2:$G$50000,$C21,缺陷明细!$J$2:$J$50000,"评审",缺陷明细!$AA$2:$AA$50000,"&lt;&gt;丢弃",缺陷明细!$AA$2:$AA$50000,"&lt;&gt;设计如此",缺陷明细!$AA$2:$AA$50000,"&lt;&gt;重复Bug")</f>
        <v>0</v>
      </c>
      <c r="I21" s="161">
        <f>COUNTIFS(缺陷明细!$A$2:$A$50000,$B$4,缺陷明细!$G$2:$G$50000,$C21,缺陷明细!$Q$2:$Q$50000,"已关闭",缺陷明细!$J$2:$J$50000,"评审")</f>
        <v>0</v>
      </c>
      <c r="J21" s="161">
        <f>COUNTIFS(缺陷明细!$A$2:$A$50000,$B$4,缺陷明细!$G$2:$G$50000,$C21,缺陷明细!$J$2:$J$50000,"单元测试",缺陷明细!$AA$2:$AA$50000,"&lt;&gt;丢弃",缺陷明细!$AA$2:$AA$50000,"&lt;&gt;设计如此",缺陷明细!$AA$2:$AA$50000,"&lt;&gt;重复Bug")</f>
        <v>0</v>
      </c>
      <c r="K21" s="162">
        <f>COUNTIFS(缺陷明细!$A$2:$A$50000,$B$4,缺陷明细!$G$2:$G$50000,$C21,缺陷明细!$Q$2:$Q$50000,"已关闭",缺陷明细!$J$2:$J$50000,"单元测试")</f>
        <v>0</v>
      </c>
      <c r="L21" s="163"/>
      <c r="M21" s="164"/>
      <c r="N21" s="72">
        <f>COUNTIFS(缺陷明细!$A$2:$A$50000,$B$4,缺陷明细!$G$2:$G$50000,$C21,缺陷明细!$J$2:$J$50000,"系统测试案例评审",缺陷明细!$AA$2:$AA$50000,"&lt;&gt;丢弃",缺陷明细!$AA$2:$AA$50000,"&lt;&gt;设计如此",缺陷明细!$AA$2:$AA$50000,"&lt;&gt;重复Bug")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COUNTIFS(缺陷明细!$A$2:$A$50000,$B$4,缺陷明细!$G$2:$G$50000,$C21,缺陷明细!$J$2:$J$50000,"系统测试",缺陷明细!$AA$2:$AA$50000,"&lt;&gt;丢弃",缺陷明细!$AA$2:$AA$50000,"&lt;&gt;设计如此",缺陷明细!$AA$2:$AA$50000,"&lt;&gt;重复Bug")</f>
        <v>0</v>
      </c>
      <c r="Q21" s="72">
        <f>COUNTIFS(缺陷明细!$A$2:$A$50000,$B$4,缺陷明细!$G$2:$G$50000,$C21,缺陷明细!$Q$2:$Q$50000,"已关闭",缺陷明细!$J$2:$J$50000,"系统测试")</f>
        <v>0</v>
      </c>
      <c r="R21" s="354">
        <f>COUNTIFS(缺陷明细!$A$2:$A$50000,$B$4,缺陷明细!$G$2:$G$50000,$C21,缺陷明细!$AA$2:$AA$50000,"丢弃",缺陷明细!$J$2:$J$50000,"系统测试")+COUNTIFS(缺陷明细!$A$2:$A$50000,$B$4,缺陷明细!$G$2:$G$50000,$C21,缺陷明细!$AA$2:$AA$50000,"设计如此",缺陷明细!$J$2:$J$50000,"系统测试")+COUNTIFS(缺陷明细!$A$2:$A$50000,$B$4,缺陷明细!$G$2:$G$50000,$C21,缺陷明细!$AA$2:$AA$50000,"重复Bug",缺陷明细!$J$2:$J$50000,"系统测试")</f>
        <v>0</v>
      </c>
      <c r="S21" s="72">
        <f>COUNTIFS(缺陷明细!$A$2:$A$50000,$B$4,缺陷明细!$G$2:$G$50000,$C21,缺陷明细!$J$2:$J$50000,"系统测试",缺陷明细!$K$2:$K$50000,"致命",缺陷明细!$AA$2:$AA$50000,"&lt;&gt;丢弃",缺陷明细!$AA$2:$AA$50000,"&lt;&gt;设计如此",缺陷明细!$AA$2:$AA$50000,"&lt;&gt;重复Bug")+COUNTIFS(缺陷明细!$A$2:$A$50000,$B$4,缺陷明细!$G$2:$G$50000,$C21,缺陷明细!$J$2:$J$50000,"系统测试",缺陷明细!$K$2:$K$50000,"严重",缺陷明细!$AA$2:$AA$50000,"&lt;&gt;丢弃",缺陷明细!$AA$2:$AA$50000,"&lt;&gt;设计如此",缺陷明细!$AA$2:$AA$50000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COUNTIFS(缺陷明细!$A$2:$A$50000,$B$4,缺陷明细!$G$2:$G$50000,$C21,缺陷明细!$J$2:$J$50000,"验收测试",缺陷明细!$AA$2:$AA$50000,"&lt;&gt;丢弃",缺陷明细!$AA$2:$AA$50000,"&lt;&gt;设计如此",缺陷明细!$AA$2:$AA$50000,"&lt;&gt;重复Bug")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A$2:$AA$50000,"&lt;&gt;丢弃",缺陷明细!$AA$2:$AA$50000,"&lt;&gt;设计如此",缺陷明细!$AA$2:$AA$50000,"&lt;&gt;重复Bug")+COUNTIFS(缺陷明细!$A$2:$A$50000,$B$4,缺陷明细!$G$2:$G$50000,$C21,缺陷明细!$J$2:$J$50000,"验收测试",缺陷明细!$K$2:$K$50000,"严重",缺陷明细!$AA$2:$AA$50000,"&lt;&gt;丢弃",缺陷明细!$AA$2:$AA$50000,"&lt;&gt;设计如此",缺陷明细!$AA$2:$AA$50000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COUNTIFS(缺陷明细!$A$2:$A$50000,$B$4,缺陷明细!$G$2:$G$50000,$C21,缺陷明细!$J$2:$J$50000,"运维测试",缺陷明细!$AA$2:$AA$50000,"&lt;&gt;丢弃",缺陷明细!$AA$2:$AA$50000,"&lt;&gt;设计如此",缺陷明细!$AA$2:$AA$50000,"&lt;&gt;重复Bug")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A$2:$AA$50000,"&lt;&gt;丢弃",缺陷明细!$AA$2:$AA$50000,"&lt;&gt;设计如此",缺陷明细!$AA$2:$AA$50000,"&lt;&gt;重复Bug")+COUNTIFS(缺陷明细!$A$2:$A$50000,$B$4,缺陷明细!$G$2:$G$50000,$C21,缺陷明细!$J$2:$J$50000,"运维测试",缺陷明细!$K$2:$K$50000,"严重",缺陷明细!$AA$2:$AA$50000,"&lt;&gt;丢弃",缺陷明细!$AA$2:$AA$50000,"&lt;&gt;设计如此",缺陷明细!$AA$2:$AA$50000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51"/>
    </row>
    <row r="22" spans="1:37" ht="26.4">
      <c r="A22">
        <v>18</v>
      </c>
      <c r="B22" s="347">
        <v>431</v>
      </c>
      <c r="C22" s="58" t="s">
        <v>368</v>
      </c>
      <c r="D22" s="84" t="s">
        <v>467</v>
      </c>
      <c r="E22" s="82" t="s">
        <v>472</v>
      </c>
      <c r="F22" s="322">
        <v>8</v>
      </c>
      <c r="G22" s="323">
        <v>8</v>
      </c>
      <c r="H22" s="305">
        <f>COUNTIFS(缺陷明细!$A$2:$A$50000,$B$4,缺陷明细!$G$2:$G$50000,$C22,缺陷明细!$J$2:$J$50000,"评审",缺陷明细!$AA$2:$AA$50000,"&lt;&gt;丢弃",缺陷明细!$AA$2:$AA$50000,"&lt;&gt;设计如此",缺陷明细!$AA$2:$AA$50000,"&lt;&gt;重复Bug")</f>
        <v>0</v>
      </c>
      <c r="I22" s="161">
        <f>COUNTIFS(缺陷明细!$A$2:$A$50000,$B$4,缺陷明细!$G$2:$G$50000,$C22,缺陷明细!$Q$2:$Q$50000,"已关闭",缺陷明细!$J$2:$J$50000,"评审")</f>
        <v>0</v>
      </c>
      <c r="J22" s="161">
        <f>COUNTIFS(缺陷明细!$A$2:$A$50000,$B$4,缺陷明细!$G$2:$G$50000,$C22,缺陷明细!$J$2:$J$50000,"单元测试",缺陷明细!$AA$2:$AA$50000,"&lt;&gt;丢弃",缺陷明细!$AA$2:$AA$50000,"&lt;&gt;设计如此",缺陷明细!$AA$2:$AA$50000,"&lt;&gt;重复Bug")</f>
        <v>0</v>
      </c>
      <c r="K22" s="162">
        <f>COUNTIFS(缺陷明细!$A$2:$A$50000,$B$4,缺陷明细!$G$2:$G$50000,$C22,缺陷明细!$Q$2:$Q$50000,"已关闭",缺陷明细!$J$2:$J$50000,"单元测试")</f>
        <v>0</v>
      </c>
      <c r="L22" s="163"/>
      <c r="M22" s="164"/>
      <c r="N22" s="72">
        <f>COUNTIFS(缺陷明细!$A$2:$A$50000,$B$4,缺陷明细!$G$2:$G$50000,$C22,缺陷明细!$J$2:$J$50000,"系统测试案例评审",缺陷明细!$AA$2:$AA$50000,"&lt;&gt;丢弃",缺陷明细!$AA$2:$AA$50000,"&lt;&gt;设计如此",缺陷明细!$AA$2:$AA$50000,"&lt;&gt;重复Bug")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COUNTIFS(缺陷明细!$A$2:$A$50000,$B$4,缺陷明细!$G$2:$G$50000,$C22,缺陷明细!$J$2:$J$50000,"系统测试",缺陷明细!$AA$2:$AA$50000,"&lt;&gt;丢弃",缺陷明细!$AA$2:$AA$50000,"&lt;&gt;设计如此",缺陷明细!$AA$2:$AA$50000,"&lt;&gt;重复Bug")</f>
        <v>0</v>
      </c>
      <c r="Q22" s="72">
        <f>COUNTIFS(缺陷明细!$A$2:$A$50000,$B$4,缺陷明细!$G$2:$G$50000,$C22,缺陷明细!$Q$2:$Q$50000,"已关闭",缺陷明细!$J$2:$J$50000,"系统测试")</f>
        <v>0</v>
      </c>
      <c r="R22" s="354">
        <f>COUNTIFS(缺陷明细!$A$2:$A$50000,$B$4,缺陷明细!$G$2:$G$50000,$C22,缺陷明细!$AA$2:$AA$50000,"丢弃",缺陷明细!$J$2:$J$50000,"系统测试")+COUNTIFS(缺陷明细!$A$2:$A$50000,$B$4,缺陷明细!$G$2:$G$50000,$C22,缺陷明细!$AA$2:$AA$50000,"设计如此",缺陷明细!$J$2:$J$50000,"系统测试")+COUNTIFS(缺陷明细!$A$2:$A$50000,$B$4,缺陷明细!$G$2:$G$50000,$C22,缺陷明细!$AA$2:$AA$50000,"重复Bug",缺陷明细!$J$2:$J$50000,"系统测试")</f>
        <v>0</v>
      </c>
      <c r="S22" s="72">
        <f>COUNTIFS(缺陷明细!$A$2:$A$50000,$B$4,缺陷明细!$G$2:$G$50000,$C22,缺陷明细!$J$2:$J$50000,"系统测试",缺陷明细!$K$2:$K$50000,"致命",缺陷明细!$AA$2:$AA$50000,"&lt;&gt;丢弃",缺陷明细!$AA$2:$AA$50000,"&lt;&gt;设计如此",缺陷明细!$AA$2:$AA$50000,"&lt;&gt;重复Bug")+COUNTIFS(缺陷明细!$A$2:$A$50000,$B$4,缺陷明细!$G$2:$G$50000,$C22,缺陷明细!$J$2:$J$50000,"系统测试",缺陷明细!$K$2:$K$50000,"严重",缺陷明细!$AA$2:$AA$50000,"&lt;&gt;丢弃",缺陷明细!$AA$2:$AA$50000,"&lt;&gt;设计如此",缺陷明细!$AA$2:$AA$50000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COUNTIFS(缺陷明细!$A$2:$A$50000,$B$4,缺陷明细!$G$2:$G$50000,$C22,缺陷明细!$J$2:$J$50000,"验收测试",缺陷明细!$AA$2:$AA$50000,"&lt;&gt;丢弃",缺陷明细!$AA$2:$AA$50000,"&lt;&gt;设计如此",缺陷明细!$AA$2:$AA$50000,"&lt;&gt;重复Bug")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A$2:$AA$50000,"&lt;&gt;丢弃",缺陷明细!$AA$2:$AA$50000,"&lt;&gt;设计如此",缺陷明细!$AA$2:$AA$50000,"&lt;&gt;重复Bug")+COUNTIFS(缺陷明细!$A$2:$A$50000,$B$4,缺陷明细!$G$2:$G$50000,$C22,缺陷明细!$J$2:$J$50000,"验收测试",缺陷明细!$K$2:$K$50000,"严重",缺陷明细!$AA$2:$AA$50000,"&lt;&gt;丢弃",缺陷明细!$AA$2:$AA$50000,"&lt;&gt;设计如此",缺陷明细!$AA$2:$AA$50000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COUNTIFS(缺陷明细!$A$2:$A$50000,$B$4,缺陷明细!$G$2:$G$50000,$C22,缺陷明细!$J$2:$J$50000,"运维测试",缺陷明细!$AA$2:$AA$50000,"&lt;&gt;丢弃",缺陷明细!$AA$2:$AA$50000,"&lt;&gt;设计如此",缺陷明细!$AA$2:$AA$50000,"&lt;&gt;重复Bug")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A$2:$AA$50000,"&lt;&gt;丢弃",缺陷明细!$AA$2:$AA$50000,"&lt;&gt;设计如此",缺陷明细!$AA$2:$AA$50000,"&lt;&gt;重复Bug")+COUNTIFS(缺陷明细!$A$2:$A$50000,$B$4,缺陷明细!$G$2:$G$50000,$C22,缺陷明细!$J$2:$J$50000,"运维测试",缺陷明细!$K$2:$K$50000,"严重",缺陷明细!$AA$2:$AA$50000,"&lt;&gt;丢弃",缺陷明细!$AA$2:$AA$50000,"&lt;&gt;设计如此",缺陷明细!$AA$2:$AA$50000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51"/>
    </row>
    <row r="23" spans="1:37" ht="26.4">
      <c r="A23">
        <v>19</v>
      </c>
      <c r="B23" s="347">
        <v>432</v>
      </c>
      <c r="C23" s="58" t="s">
        <v>369</v>
      </c>
      <c r="D23" s="84" t="s">
        <v>467</v>
      </c>
      <c r="E23" s="82" t="s">
        <v>472</v>
      </c>
      <c r="F23" s="322">
        <v>8</v>
      </c>
      <c r="G23" s="323">
        <v>4</v>
      </c>
      <c r="H23" s="305">
        <f>COUNTIFS(缺陷明细!$A$2:$A$50000,$B$4,缺陷明细!$G$2:$G$50000,$C23,缺陷明细!$J$2:$J$50000,"评审",缺陷明细!$AA$2:$AA$50000,"&lt;&gt;丢弃",缺陷明细!$AA$2:$AA$50000,"&lt;&gt;设计如此",缺陷明细!$AA$2:$AA$50000,"&lt;&gt;重复Bug")</f>
        <v>0</v>
      </c>
      <c r="I23" s="161">
        <f>COUNTIFS(缺陷明细!$A$2:$A$50000,$B$4,缺陷明细!$G$2:$G$50000,$C23,缺陷明细!$Q$2:$Q$50000,"已关闭",缺陷明细!$J$2:$J$50000,"评审")</f>
        <v>0</v>
      </c>
      <c r="J23" s="161">
        <f>COUNTIFS(缺陷明细!$A$2:$A$50000,$B$4,缺陷明细!$G$2:$G$50000,$C23,缺陷明细!$J$2:$J$50000,"单元测试",缺陷明细!$AA$2:$AA$50000,"&lt;&gt;丢弃",缺陷明细!$AA$2:$AA$50000,"&lt;&gt;设计如此",缺陷明细!$AA$2:$AA$50000,"&lt;&gt;重复Bug")</f>
        <v>0</v>
      </c>
      <c r="K23" s="162">
        <f>COUNTIFS(缺陷明细!$A$2:$A$50000,$B$4,缺陷明细!$G$2:$G$50000,$C23,缺陷明细!$Q$2:$Q$50000,"已关闭",缺陷明细!$J$2:$J$50000,"单元测试")</f>
        <v>0</v>
      </c>
      <c r="L23" s="163"/>
      <c r="M23" s="164"/>
      <c r="N23" s="72">
        <f>COUNTIFS(缺陷明细!$A$2:$A$50000,$B$4,缺陷明细!$G$2:$G$50000,$C23,缺陷明细!$J$2:$J$50000,"系统测试案例评审",缺陷明细!$AA$2:$AA$50000,"&lt;&gt;丢弃",缺陷明细!$AA$2:$AA$50000,"&lt;&gt;设计如此",缺陷明细!$AA$2:$AA$50000,"&lt;&gt;重复Bug")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COUNTIFS(缺陷明细!$A$2:$A$50000,$B$4,缺陷明细!$G$2:$G$50000,$C23,缺陷明细!$J$2:$J$50000,"系统测试",缺陷明细!$AA$2:$AA$50000,"&lt;&gt;丢弃",缺陷明细!$AA$2:$AA$50000,"&lt;&gt;设计如此",缺陷明细!$AA$2:$AA$50000,"&lt;&gt;重复Bug")</f>
        <v>0</v>
      </c>
      <c r="Q23" s="72">
        <f>COUNTIFS(缺陷明细!$A$2:$A$50000,$B$4,缺陷明细!$G$2:$G$50000,$C23,缺陷明细!$Q$2:$Q$50000,"已关闭",缺陷明细!$J$2:$J$50000,"系统测试")</f>
        <v>0</v>
      </c>
      <c r="R23" s="354">
        <f>COUNTIFS(缺陷明细!$A$2:$A$50000,$B$4,缺陷明细!$G$2:$G$50000,$C23,缺陷明细!$AA$2:$AA$50000,"丢弃",缺陷明细!$J$2:$J$50000,"系统测试")+COUNTIFS(缺陷明细!$A$2:$A$50000,$B$4,缺陷明细!$G$2:$G$50000,$C23,缺陷明细!$AA$2:$AA$50000,"设计如此",缺陷明细!$J$2:$J$50000,"系统测试")+COUNTIFS(缺陷明细!$A$2:$A$50000,$B$4,缺陷明细!$G$2:$G$50000,$C23,缺陷明细!$AA$2:$AA$50000,"重复Bug",缺陷明细!$J$2:$J$50000,"系统测试")</f>
        <v>0</v>
      </c>
      <c r="S23" s="72">
        <f>COUNTIFS(缺陷明细!$A$2:$A$50000,$B$4,缺陷明细!$G$2:$G$50000,$C23,缺陷明细!$J$2:$J$50000,"系统测试",缺陷明细!$K$2:$K$50000,"致命",缺陷明细!$AA$2:$AA$50000,"&lt;&gt;丢弃",缺陷明细!$AA$2:$AA$50000,"&lt;&gt;设计如此",缺陷明细!$AA$2:$AA$50000,"&lt;&gt;重复Bug")+COUNTIFS(缺陷明细!$A$2:$A$50000,$B$4,缺陷明细!$G$2:$G$50000,$C23,缺陷明细!$J$2:$J$50000,"系统测试",缺陷明细!$K$2:$K$50000,"严重",缺陷明细!$AA$2:$AA$50000,"&lt;&gt;丢弃",缺陷明细!$AA$2:$AA$50000,"&lt;&gt;设计如此",缺陷明细!$AA$2:$AA$50000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COUNTIFS(缺陷明细!$A$2:$A$50000,$B$4,缺陷明细!$G$2:$G$50000,$C23,缺陷明细!$J$2:$J$50000,"验收测试",缺陷明细!$AA$2:$AA$50000,"&lt;&gt;丢弃",缺陷明细!$AA$2:$AA$50000,"&lt;&gt;设计如此",缺陷明细!$AA$2:$AA$50000,"&lt;&gt;重复Bug")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A$2:$AA$50000,"&lt;&gt;丢弃",缺陷明细!$AA$2:$AA$50000,"&lt;&gt;设计如此",缺陷明细!$AA$2:$AA$50000,"&lt;&gt;重复Bug")+COUNTIFS(缺陷明细!$A$2:$A$50000,$B$4,缺陷明细!$G$2:$G$50000,$C23,缺陷明细!$J$2:$J$50000,"验收测试",缺陷明细!$K$2:$K$50000,"严重",缺陷明细!$AA$2:$AA$50000,"&lt;&gt;丢弃",缺陷明细!$AA$2:$AA$50000,"&lt;&gt;设计如此",缺陷明细!$AA$2:$AA$50000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COUNTIFS(缺陷明细!$A$2:$A$50000,$B$4,缺陷明细!$G$2:$G$50000,$C23,缺陷明细!$J$2:$J$50000,"运维测试",缺陷明细!$AA$2:$AA$50000,"&lt;&gt;丢弃",缺陷明细!$AA$2:$AA$50000,"&lt;&gt;设计如此",缺陷明细!$AA$2:$AA$50000,"&lt;&gt;重复Bug")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A$2:$AA$50000,"&lt;&gt;丢弃",缺陷明细!$AA$2:$AA$50000,"&lt;&gt;设计如此",缺陷明细!$AA$2:$AA$50000,"&lt;&gt;重复Bug")+COUNTIFS(缺陷明细!$A$2:$A$50000,$B$4,缺陷明细!$G$2:$G$50000,$C23,缺陷明细!$J$2:$J$50000,"运维测试",缺陷明细!$K$2:$K$50000,"严重",缺陷明细!$AA$2:$AA$50000,"&lt;&gt;丢弃",缺陷明细!$AA$2:$AA$50000,"&lt;&gt;设计如此",缺陷明细!$AA$2:$AA$50000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51"/>
    </row>
    <row r="24" spans="1:37" ht="26.4">
      <c r="A24">
        <v>20</v>
      </c>
      <c r="B24" s="347">
        <v>434</v>
      </c>
      <c r="C24" s="58" t="s">
        <v>370</v>
      </c>
      <c r="D24" s="84" t="s">
        <v>467</v>
      </c>
      <c r="E24" s="82" t="s">
        <v>472</v>
      </c>
      <c r="F24" s="322">
        <v>1</v>
      </c>
      <c r="G24" s="323">
        <v>1.5</v>
      </c>
      <c r="H24" s="305">
        <f>COUNTIFS(缺陷明细!$A$2:$A$50000,$B$4,缺陷明细!$G$2:$G$50000,$C24,缺陷明细!$J$2:$J$50000,"评审",缺陷明细!$AA$2:$AA$50000,"&lt;&gt;丢弃",缺陷明细!$AA$2:$AA$50000,"&lt;&gt;设计如此",缺陷明细!$AA$2:$AA$50000,"&lt;&gt;重复Bug")</f>
        <v>0</v>
      </c>
      <c r="I24" s="161">
        <f>COUNTIFS(缺陷明细!$A$2:$A$50000,$B$4,缺陷明细!$G$2:$G$50000,$C24,缺陷明细!$Q$2:$Q$50000,"已关闭",缺陷明细!$J$2:$J$50000,"评审")</f>
        <v>0</v>
      </c>
      <c r="J24" s="161">
        <f>COUNTIFS(缺陷明细!$A$2:$A$50000,$B$4,缺陷明细!$G$2:$G$50000,$C24,缺陷明细!$J$2:$J$50000,"单元测试",缺陷明细!$AA$2:$AA$50000,"&lt;&gt;丢弃",缺陷明细!$AA$2:$AA$50000,"&lt;&gt;设计如此",缺陷明细!$AA$2:$AA$50000,"&lt;&gt;重复Bug")</f>
        <v>0</v>
      </c>
      <c r="K24" s="162">
        <f>COUNTIFS(缺陷明细!$A$2:$A$50000,$B$4,缺陷明细!$G$2:$G$50000,$C24,缺陷明细!$Q$2:$Q$50000,"已关闭",缺陷明细!$J$2:$J$50000,"单元测试")</f>
        <v>0</v>
      </c>
      <c r="L24" s="163"/>
      <c r="M24" s="164"/>
      <c r="N24" s="72">
        <f>COUNTIFS(缺陷明细!$A$2:$A$50000,$B$4,缺陷明细!$G$2:$G$50000,$C24,缺陷明细!$J$2:$J$50000,"系统测试案例评审",缺陷明细!$AA$2:$AA$50000,"&lt;&gt;丢弃",缺陷明细!$AA$2:$AA$50000,"&lt;&gt;设计如此",缺陷明细!$AA$2:$AA$50000,"&lt;&gt;重复Bug")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COUNTIFS(缺陷明细!$A$2:$A$50000,$B$4,缺陷明细!$G$2:$G$50000,$C24,缺陷明细!$J$2:$J$50000,"系统测试",缺陷明细!$AA$2:$AA$50000,"&lt;&gt;丢弃",缺陷明细!$AA$2:$AA$50000,"&lt;&gt;设计如此",缺陷明细!$AA$2:$AA$50000,"&lt;&gt;重复Bug")</f>
        <v>0</v>
      </c>
      <c r="Q24" s="72">
        <f>COUNTIFS(缺陷明细!$A$2:$A$50000,$B$4,缺陷明细!$G$2:$G$50000,$C24,缺陷明细!$Q$2:$Q$50000,"已关闭",缺陷明细!$J$2:$J$50000,"系统测试")</f>
        <v>0</v>
      </c>
      <c r="R24" s="354">
        <f>COUNTIFS(缺陷明细!$A$2:$A$50000,$B$4,缺陷明细!$G$2:$G$50000,$C24,缺陷明细!$AA$2:$AA$50000,"丢弃",缺陷明细!$J$2:$J$50000,"系统测试")+COUNTIFS(缺陷明细!$A$2:$A$50000,$B$4,缺陷明细!$G$2:$G$50000,$C24,缺陷明细!$AA$2:$AA$50000,"设计如此",缺陷明细!$J$2:$J$50000,"系统测试")+COUNTIFS(缺陷明细!$A$2:$A$50000,$B$4,缺陷明细!$G$2:$G$50000,$C24,缺陷明细!$AA$2:$AA$50000,"重复Bug",缺陷明细!$J$2:$J$50000,"系统测试")</f>
        <v>0</v>
      </c>
      <c r="S24" s="72">
        <f>COUNTIFS(缺陷明细!$A$2:$A$50000,$B$4,缺陷明细!$G$2:$G$50000,$C24,缺陷明细!$J$2:$J$50000,"系统测试",缺陷明细!$K$2:$K$50000,"致命",缺陷明细!$AA$2:$AA$50000,"&lt;&gt;丢弃",缺陷明细!$AA$2:$AA$50000,"&lt;&gt;设计如此",缺陷明细!$AA$2:$AA$50000,"&lt;&gt;重复Bug")+COUNTIFS(缺陷明细!$A$2:$A$50000,$B$4,缺陷明细!$G$2:$G$50000,$C24,缺陷明细!$J$2:$J$50000,"系统测试",缺陷明细!$K$2:$K$50000,"严重",缺陷明细!$AA$2:$AA$50000,"&lt;&gt;丢弃",缺陷明细!$AA$2:$AA$50000,"&lt;&gt;设计如此",缺陷明细!$AA$2:$AA$50000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COUNTIFS(缺陷明细!$A$2:$A$50000,$B$4,缺陷明细!$G$2:$G$50000,$C24,缺陷明细!$J$2:$J$50000,"验收测试",缺陷明细!$AA$2:$AA$50000,"&lt;&gt;丢弃",缺陷明细!$AA$2:$AA$50000,"&lt;&gt;设计如此",缺陷明细!$AA$2:$AA$50000,"&lt;&gt;重复Bug")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A$2:$AA$50000,"&lt;&gt;丢弃",缺陷明细!$AA$2:$AA$50000,"&lt;&gt;设计如此",缺陷明细!$AA$2:$AA$50000,"&lt;&gt;重复Bug")+COUNTIFS(缺陷明细!$A$2:$A$50000,$B$4,缺陷明细!$G$2:$G$50000,$C24,缺陷明细!$J$2:$J$50000,"验收测试",缺陷明细!$K$2:$K$50000,"严重",缺陷明细!$AA$2:$AA$50000,"&lt;&gt;丢弃",缺陷明细!$AA$2:$AA$50000,"&lt;&gt;设计如此",缺陷明细!$AA$2:$AA$50000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COUNTIFS(缺陷明细!$A$2:$A$50000,$B$4,缺陷明细!$G$2:$G$50000,$C24,缺陷明细!$J$2:$J$50000,"运维测试",缺陷明细!$AA$2:$AA$50000,"&lt;&gt;丢弃",缺陷明细!$AA$2:$AA$50000,"&lt;&gt;设计如此",缺陷明细!$AA$2:$AA$50000,"&lt;&gt;重复Bug")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A$2:$AA$50000,"&lt;&gt;丢弃",缺陷明细!$AA$2:$AA$50000,"&lt;&gt;设计如此",缺陷明细!$AA$2:$AA$50000,"&lt;&gt;重复Bug")+COUNTIFS(缺陷明细!$A$2:$A$50000,$B$4,缺陷明细!$G$2:$G$50000,$C24,缺陷明细!$J$2:$J$50000,"运维测试",缺陷明细!$K$2:$K$50000,"严重",缺陷明细!$AA$2:$AA$50000,"&lt;&gt;丢弃",缺陷明细!$AA$2:$AA$50000,"&lt;&gt;设计如此",缺陷明细!$AA$2:$AA$50000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51"/>
    </row>
    <row r="25" spans="1:37" ht="26.4">
      <c r="A25">
        <v>21</v>
      </c>
      <c r="B25" s="347">
        <v>435</v>
      </c>
      <c r="C25" s="58" t="s">
        <v>371</v>
      </c>
      <c r="D25" s="84" t="s">
        <v>467</v>
      </c>
      <c r="E25" s="82" t="s">
        <v>472</v>
      </c>
      <c r="F25" s="322">
        <v>8</v>
      </c>
      <c r="G25" s="323">
        <v>2</v>
      </c>
      <c r="H25" s="305">
        <f>COUNTIFS(缺陷明细!$A$2:$A$50000,$B$4,缺陷明细!$G$2:$G$50000,$C25,缺陷明细!$J$2:$J$50000,"评审",缺陷明细!$AA$2:$AA$50000,"&lt;&gt;丢弃",缺陷明细!$AA$2:$AA$50000,"&lt;&gt;设计如此",缺陷明细!$AA$2:$AA$50000,"&lt;&gt;重复Bug")</f>
        <v>0</v>
      </c>
      <c r="I25" s="161">
        <f>COUNTIFS(缺陷明细!$A$2:$A$50000,$B$4,缺陷明细!$G$2:$G$50000,$C25,缺陷明细!$Q$2:$Q$50000,"已关闭",缺陷明细!$J$2:$J$50000,"评审")</f>
        <v>0</v>
      </c>
      <c r="J25" s="161">
        <f>COUNTIFS(缺陷明细!$A$2:$A$50000,$B$4,缺陷明细!$G$2:$G$50000,$C25,缺陷明细!$J$2:$J$50000,"单元测试",缺陷明细!$AA$2:$AA$50000,"&lt;&gt;丢弃",缺陷明细!$AA$2:$AA$50000,"&lt;&gt;设计如此",缺陷明细!$AA$2:$AA$50000,"&lt;&gt;重复Bug")</f>
        <v>0</v>
      </c>
      <c r="K25" s="162">
        <f>COUNTIFS(缺陷明细!$A$2:$A$50000,$B$4,缺陷明细!$G$2:$G$50000,$C25,缺陷明细!$Q$2:$Q$50000,"已关闭",缺陷明细!$J$2:$J$50000,"单元测试")</f>
        <v>0</v>
      </c>
      <c r="L25" s="163"/>
      <c r="M25" s="164"/>
      <c r="N25" s="72">
        <f>COUNTIFS(缺陷明细!$A$2:$A$50000,$B$4,缺陷明细!$G$2:$G$50000,$C25,缺陷明细!$J$2:$J$50000,"系统测试案例评审",缺陷明细!$AA$2:$AA$50000,"&lt;&gt;丢弃",缺陷明细!$AA$2:$AA$50000,"&lt;&gt;设计如此",缺陷明细!$AA$2:$AA$50000,"&lt;&gt;重复Bug")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COUNTIFS(缺陷明细!$A$2:$A$50000,$B$4,缺陷明细!$G$2:$G$50000,$C25,缺陷明细!$J$2:$J$50000,"系统测试",缺陷明细!$AA$2:$AA$50000,"&lt;&gt;丢弃",缺陷明细!$AA$2:$AA$50000,"&lt;&gt;设计如此",缺陷明细!$AA$2:$AA$50000,"&lt;&gt;重复Bug")</f>
        <v>0</v>
      </c>
      <c r="Q25" s="72">
        <f>COUNTIFS(缺陷明细!$A$2:$A$50000,$B$4,缺陷明细!$G$2:$G$50000,$C25,缺陷明细!$Q$2:$Q$50000,"已关闭",缺陷明细!$J$2:$J$50000,"系统测试")</f>
        <v>0</v>
      </c>
      <c r="R25" s="354">
        <f>COUNTIFS(缺陷明细!$A$2:$A$50000,$B$4,缺陷明细!$G$2:$G$50000,$C25,缺陷明细!$AA$2:$AA$50000,"丢弃",缺陷明细!$J$2:$J$50000,"系统测试")+COUNTIFS(缺陷明细!$A$2:$A$50000,$B$4,缺陷明细!$G$2:$G$50000,$C25,缺陷明细!$AA$2:$AA$50000,"设计如此",缺陷明细!$J$2:$J$50000,"系统测试")+COUNTIFS(缺陷明细!$A$2:$A$50000,$B$4,缺陷明细!$G$2:$G$50000,$C25,缺陷明细!$AA$2:$AA$50000,"重复Bug",缺陷明细!$J$2:$J$50000,"系统测试")</f>
        <v>0</v>
      </c>
      <c r="S25" s="72">
        <f>COUNTIFS(缺陷明细!$A$2:$A$50000,$B$4,缺陷明细!$G$2:$G$50000,$C25,缺陷明细!$J$2:$J$50000,"系统测试",缺陷明细!$K$2:$K$50000,"致命",缺陷明细!$AA$2:$AA$50000,"&lt;&gt;丢弃",缺陷明细!$AA$2:$AA$50000,"&lt;&gt;设计如此",缺陷明细!$AA$2:$AA$50000,"&lt;&gt;重复Bug")+COUNTIFS(缺陷明细!$A$2:$A$50000,$B$4,缺陷明细!$G$2:$G$50000,$C25,缺陷明细!$J$2:$J$50000,"系统测试",缺陷明细!$K$2:$K$50000,"严重",缺陷明细!$AA$2:$AA$50000,"&lt;&gt;丢弃",缺陷明细!$AA$2:$AA$50000,"&lt;&gt;设计如此",缺陷明细!$AA$2:$AA$50000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COUNTIFS(缺陷明细!$A$2:$A$50000,$B$4,缺陷明细!$G$2:$G$50000,$C25,缺陷明细!$J$2:$J$50000,"验收测试",缺陷明细!$AA$2:$AA$50000,"&lt;&gt;丢弃",缺陷明细!$AA$2:$AA$50000,"&lt;&gt;设计如此",缺陷明细!$AA$2:$AA$50000,"&lt;&gt;重复Bug")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A$2:$AA$50000,"&lt;&gt;丢弃",缺陷明细!$AA$2:$AA$50000,"&lt;&gt;设计如此",缺陷明细!$AA$2:$AA$50000,"&lt;&gt;重复Bug")+COUNTIFS(缺陷明细!$A$2:$A$50000,$B$4,缺陷明细!$G$2:$G$50000,$C25,缺陷明细!$J$2:$J$50000,"验收测试",缺陷明细!$K$2:$K$50000,"严重",缺陷明细!$AA$2:$AA$50000,"&lt;&gt;丢弃",缺陷明细!$AA$2:$AA$50000,"&lt;&gt;设计如此",缺陷明细!$AA$2:$AA$50000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COUNTIFS(缺陷明细!$A$2:$A$50000,$B$4,缺陷明细!$G$2:$G$50000,$C25,缺陷明细!$J$2:$J$50000,"运维测试",缺陷明细!$AA$2:$AA$50000,"&lt;&gt;丢弃",缺陷明细!$AA$2:$AA$50000,"&lt;&gt;设计如此",缺陷明细!$AA$2:$AA$50000,"&lt;&gt;重复Bug")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A$2:$AA$50000,"&lt;&gt;丢弃",缺陷明细!$AA$2:$AA$50000,"&lt;&gt;设计如此",缺陷明细!$AA$2:$AA$50000,"&lt;&gt;重复Bug")+COUNTIFS(缺陷明细!$A$2:$A$50000,$B$4,缺陷明细!$G$2:$G$50000,$C25,缺陷明细!$J$2:$J$50000,"运维测试",缺陷明细!$K$2:$K$50000,"严重",缺陷明细!$AA$2:$AA$50000,"&lt;&gt;丢弃",缺陷明细!$AA$2:$AA$50000,"&lt;&gt;设计如此",缺陷明细!$AA$2:$AA$50000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51"/>
    </row>
    <row r="26" spans="1:37" ht="39.6">
      <c r="A26">
        <v>22</v>
      </c>
      <c r="B26" s="347">
        <v>437</v>
      </c>
      <c r="C26" s="58" t="s">
        <v>372</v>
      </c>
      <c r="D26" s="84" t="s">
        <v>467</v>
      </c>
      <c r="E26" s="82" t="s">
        <v>472</v>
      </c>
      <c r="F26" s="322">
        <v>1</v>
      </c>
      <c r="G26" s="323">
        <v>1.5</v>
      </c>
      <c r="H26" s="305">
        <f>COUNTIFS(缺陷明细!$A$2:$A$50000,$B$4,缺陷明细!$G$2:$G$50000,$C26,缺陷明细!$J$2:$J$50000,"评审",缺陷明细!$AA$2:$AA$50000,"&lt;&gt;丢弃",缺陷明细!$AA$2:$AA$50000,"&lt;&gt;设计如此",缺陷明细!$AA$2:$AA$50000,"&lt;&gt;重复Bug")</f>
        <v>0</v>
      </c>
      <c r="I26" s="161">
        <f>COUNTIFS(缺陷明细!$A$2:$A$50000,$B$4,缺陷明细!$G$2:$G$50000,$C26,缺陷明细!$Q$2:$Q$50000,"已关闭",缺陷明细!$J$2:$J$50000,"评审")</f>
        <v>0</v>
      </c>
      <c r="J26" s="161">
        <f>COUNTIFS(缺陷明细!$A$2:$A$50000,$B$4,缺陷明细!$G$2:$G$50000,$C26,缺陷明细!$J$2:$J$50000,"单元测试",缺陷明细!$AA$2:$AA$50000,"&lt;&gt;丢弃",缺陷明细!$AA$2:$AA$50000,"&lt;&gt;设计如此",缺陷明细!$AA$2:$AA$50000,"&lt;&gt;重复Bug")</f>
        <v>0</v>
      </c>
      <c r="K26" s="162">
        <f>COUNTIFS(缺陷明细!$A$2:$A$50000,$B$4,缺陷明细!$G$2:$G$50000,$C26,缺陷明细!$Q$2:$Q$50000,"已关闭",缺陷明细!$J$2:$J$50000,"单元测试")</f>
        <v>0</v>
      </c>
      <c r="L26" s="163"/>
      <c r="M26" s="164"/>
      <c r="N26" s="72">
        <f>COUNTIFS(缺陷明细!$A$2:$A$50000,$B$4,缺陷明细!$G$2:$G$50000,$C26,缺陷明细!$J$2:$J$50000,"系统测试案例评审",缺陷明细!$AA$2:$AA$50000,"&lt;&gt;丢弃",缺陷明细!$AA$2:$AA$50000,"&lt;&gt;设计如此",缺陷明细!$AA$2:$AA$50000,"&lt;&gt;重复Bug")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COUNTIFS(缺陷明细!$A$2:$A$50000,$B$4,缺陷明细!$G$2:$G$50000,$C26,缺陷明细!$J$2:$J$50000,"系统测试",缺陷明细!$AA$2:$AA$50000,"&lt;&gt;丢弃",缺陷明细!$AA$2:$AA$50000,"&lt;&gt;设计如此",缺陷明细!$AA$2:$AA$50000,"&lt;&gt;重复Bug")</f>
        <v>0</v>
      </c>
      <c r="Q26" s="72">
        <f>COUNTIFS(缺陷明细!$A$2:$A$50000,$B$4,缺陷明细!$G$2:$G$50000,$C26,缺陷明细!$Q$2:$Q$50000,"已关闭",缺陷明细!$J$2:$J$50000,"系统测试")</f>
        <v>0</v>
      </c>
      <c r="R26" s="354">
        <f>COUNTIFS(缺陷明细!$A$2:$A$50000,$B$4,缺陷明细!$G$2:$G$50000,$C26,缺陷明细!$AA$2:$AA$50000,"丢弃",缺陷明细!$J$2:$J$50000,"系统测试")+COUNTIFS(缺陷明细!$A$2:$A$50000,$B$4,缺陷明细!$G$2:$G$50000,$C26,缺陷明细!$AA$2:$AA$50000,"设计如此",缺陷明细!$J$2:$J$50000,"系统测试")+COUNTIFS(缺陷明细!$A$2:$A$50000,$B$4,缺陷明细!$G$2:$G$50000,$C26,缺陷明细!$AA$2:$AA$50000,"重复Bug",缺陷明细!$J$2:$J$50000,"系统测试")</f>
        <v>0</v>
      </c>
      <c r="S26" s="72">
        <f>COUNTIFS(缺陷明细!$A$2:$A$50000,$B$4,缺陷明细!$G$2:$G$50000,$C26,缺陷明细!$J$2:$J$50000,"系统测试",缺陷明细!$K$2:$K$50000,"致命",缺陷明细!$AA$2:$AA$50000,"&lt;&gt;丢弃",缺陷明细!$AA$2:$AA$50000,"&lt;&gt;设计如此",缺陷明细!$AA$2:$AA$50000,"&lt;&gt;重复Bug")+COUNTIFS(缺陷明细!$A$2:$A$50000,$B$4,缺陷明细!$G$2:$G$50000,$C26,缺陷明细!$J$2:$J$50000,"系统测试",缺陷明细!$K$2:$K$50000,"严重",缺陷明细!$AA$2:$AA$50000,"&lt;&gt;丢弃",缺陷明细!$AA$2:$AA$50000,"&lt;&gt;设计如此",缺陷明细!$AA$2:$AA$50000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COUNTIFS(缺陷明细!$A$2:$A$50000,$B$4,缺陷明细!$G$2:$G$50000,$C26,缺陷明细!$J$2:$J$50000,"验收测试",缺陷明细!$AA$2:$AA$50000,"&lt;&gt;丢弃",缺陷明细!$AA$2:$AA$50000,"&lt;&gt;设计如此",缺陷明细!$AA$2:$AA$50000,"&lt;&gt;重复Bug")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A$2:$AA$50000,"&lt;&gt;丢弃",缺陷明细!$AA$2:$AA$50000,"&lt;&gt;设计如此",缺陷明细!$AA$2:$AA$50000,"&lt;&gt;重复Bug")+COUNTIFS(缺陷明细!$A$2:$A$50000,$B$4,缺陷明细!$G$2:$G$50000,$C26,缺陷明细!$J$2:$J$50000,"验收测试",缺陷明细!$K$2:$K$50000,"严重",缺陷明细!$AA$2:$AA$50000,"&lt;&gt;丢弃",缺陷明细!$AA$2:$AA$50000,"&lt;&gt;设计如此",缺陷明细!$AA$2:$AA$50000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COUNTIFS(缺陷明细!$A$2:$A$50000,$B$4,缺陷明细!$G$2:$G$50000,$C26,缺陷明细!$J$2:$J$50000,"运维测试",缺陷明细!$AA$2:$AA$50000,"&lt;&gt;丢弃",缺陷明细!$AA$2:$AA$50000,"&lt;&gt;设计如此",缺陷明细!$AA$2:$AA$50000,"&lt;&gt;重复Bug")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A$2:$AA$50000,"&lt;&gt;丢弃",缺陷明细!$AA$2:$AA$50000,"&lt;&gt;设计如此",缺陷明细!$AA$2:$AA$50000,"&lt;&gt;重复Bug")+COUNTIFS(缺陷明细!$A$2:$A$50000,$B$4,缺陷明细!$G$2:$G$50000,$C26,缺陷明细!$J$2:$J$50000,"运维测试",缺陷明细!$K$2:$K$50000,"严重",缺陷明细!$AA$2:$AA$50000,"&lt;&gt;丢弃",缺陷明细!$AA$2:$AA$50000,"&lt;&gt;设计如此",缺陷明细!$AA$2:$AA$50000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51"/>
    </row>
    <row r="27" spans="1:37" ht="26.4">
      <c r="A27">
        <v>23</v>
      </c>
      <c r="B27" s="347">
        <v>438</v>
      </c>
      <c r="C27" s="58" t="s">
        <v>373</v>
      </c>
      <c r="D27" s="84" t="s">
        <v>467</v>
      </c>
      <c r="E27" s="82" t="s">
        <v>472</v>
      </c>
      <c r="F27" s="322">
        <v>4</v>
      </c>
      <c r="G27" s="323">
        <v>2</v>
      </c>
      <c r="H27" s="305">
        <f>COUNTIFS(缺陷明细!$A$2:$A$50000,$B$4,缺陷明细!$G$2:$G$50000,$C27,缺陷明细!$J$2:$J$50000,"评审",缺陷明细!$AA$2:$AA$50000,"&lt;&gt;丢弃",缺陷明细!$AA$2:$AA$50000,"&lt;&gt;设计如此",缺陷明细!$AA$2:$AA$50000,"&lt;&gt;重复Bug")</f>
        <v>0</v>
      </c>
      <c r="I27" s="161">
        <f>COUNTIFS(缺陷明细!$A$2:$A$50000,$B$4,缺陷明细!$G$2:$G$50000,$C27,缺陷明细!$Q$2:$Q$50000,"已关闭",缺陷明细!$J$2:$J$50000,"评审")</f>
        <v>0</v>
      </c>
      <c r="J27" s="161">
        <f>COUNTIFS(缺陷明细!$A$2:$A$50000,$B$4,缺陷明细!$G$2:$G$50000,$C27,缺陷明细!$J$2:$J$50000,"单元测试",缺陷明细!$AA$2:$AA$50000,"&lt;&gt;丢弃",缺陷明细!$AA$2:$AA$50000,"&lt;&gt;设计如此",缺陷明细!$AA$2:$AA$50000,"&lt;&gt;重复Bug")</f>
        <v>0</v>
      </c>
      <c r="K27" s="162">
        <f>COUNTIFS(缺陷明细!$A$2:$A$50000,$B$4,缺陷明细!$G$2:$G$50000,$C27,缺陷明细!$Q$2:$Q$50000,"已关闭",缺陷明细!$J$2:$J$50000,"单元测试")</f>
        <v>0</v>
      </c>
      <c r="L27" s="163"/>
      <c r="M27" s="164"/>
      <c r="N27" s="72">
        <f>COUNTIFS(缺陷明细!$A$2:$A$50000,$B$4,缺陷明细!$G$2:$G$50000,$C27,缺陷明细!$J$2:$J$50000,"系统测试案例评审",缺陷明细!$AA$2:$AA$50000,"&lt;&gt;丢弃",缺陷明细!$AA$2:$AA$50000,"&lt;&gt;设计如此",缺陷明细!$AA$2:$AA$50000,"&lt;&gt;重复Bug")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COUNTIFS(缺陷明细!$A$2:$A$50000,$B$4,缺陷明细!$G$2:$G$50000,$C27,缺陷明细!$J$2:$J$50000,"系统测试",缺陷明细!$AA$2:$AA$50000,"&lt;&gt;丢弃",缺陷明细!$AA$2:$AA$50000,"&lt;&gt;设计如此",缺陷明细!$AA$2:$AA$50000,"&lt;&gt;重复Bug")</f>
        <v>0</v>
      </c>
      <c r="Q27" s="72">
        <f>COUNTIFS(缺陷明细!$A$2:$A$50000,$B$4,缺陷明细!$G$2:$G$50000,$C27,缺陷明细!$Q$2:$Q$50000,"已关闭",缺陷明细!$J$2:$J$50000,"系统测试")</f>
        <v>0</v>
      </c>
      <c r="R27" s="354">
        <f>COUNTIFS(缺陷明细!$A$2:$A$50000,$B$4,缺陷明细!$G$2:$G$50000,$C27,缺陷明细!$AA$2:$AA$50000,"丢弃",缺陷明细!$J$2:$J$50000,"系统测试")+COUNTIFS(缺陷明细!$A$2:$A$50000,$B$4,缺陷明细!$G$2:$G$50000,$C27,缺陷明细!$AA$2:$AA$50000,"设计如此",缺陷明细!$J$2:$J$50000,"系统测试")+COUNTIFS(缺陷明细!$A$2:$A$50000,$B$4,缺陷明细!$G$2:$G$50000,$C27,缺陷明细!$AA$2:$AA$50000,"重复Bug",缺陷明细!$J$2:$J$50000,"系统测试")</f>
        <v>0</v>
      </c>
      <c r="S27" s="72">
        <f>COUNTIFS(缺陷明细!$A$2:$A$50000,$B$4,缺陷明细!$G$2:$G$50000,$C27,缺陷明细!$J$2:$J$50000,"系统测试",缺陷明细!$K$2:$K$50000,"致命",缺陷明细!$AA$2:$AA$50000,"&lt;&gt;丢弃",缺陷明细!$AA$2:$AA$50000,"&lt;&gt;设计如此",缺陷明细!$AA$2:$AA$50000,"&lt;&gt;重复Bug")+COUNTIFS(缺陷明细!$A$2:$A$50000,$B$4,缺陷明细!$G$2:$G$50000,$C27,缺陷明细!$J$2:$J$50000,"系统测试",缺陷明细!$K$2:$K$50000,"严重",缺陷明细!$AA$2:$AA$50000,"&lt;&gt;丢弃",缺陷明细!$AA$2:$AA$50000,"&lt;&gt;设计如此",缺陷明细!$AA$2:$AA$50000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COUNTIFS(缺陷明细!$A$2:$A$50000,$B$4,缺陷明细!$G$2:$G$50000,$C27,缺陷明细!$J$2:$J$50000,"验收测试",缺陷明细!$AA$2:$AA$50000,"&lt;&gt;丢弃",缺陷明细!$AA$2:$AA$50000,"&lt;&gt;设计如此",缺陷明细!$AA$2:$AA$50000,"&lt;&gt;重复Bug")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A$2:$AA$50000,"&lt;&gt;丢弃",缺陷明细!$AA$2:$AA$50000,"&lt;&gt;设计如此",缺陷明细!$AA$2:$AA$50000,"&lt;&gt;重复Bug")+COUNTIFS(缺陷明细!$A$2:$A$50000,$B$4,缺陷明细!$G$2:$G$50000,$C27,缺陷明细!$J$2:$J$50000,"验收测试",缺陷明细!$K$2:$K$50000,"严重",缺陷明细!$AA$2:$AA$50000,"&lt;&gt;丢弃",缺陷明细!$AA$2:$AA$50000,"&lt;&gt;设计如此",缺陷明细!$AA$2:$AA$50000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COUNTIFS(缺陷明细!$A$2:$A$50000,$B$4,缺陷明细!$G$2:$G$50000,$C27,缺陷明细!$J$2:$J$50000,"运维测试",缺陷明细!$AA$2:$AA$50000,"&lt;&gt;丢弃",缺陷明细!$AA$2:$AA$50000,"&lt;&gt;设计如此",缺陷明细!$AA$2:$AA$50000,"&lt;&gt;重复Bug")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A$2:$AA$50000,"&lt;&gt;丢弃",缺陷明细!$AA$2:$AA$50000,"&lt;&gt;设计如此",缺陷明细!$AA$2:$AA$50000,"&lt;&gt;重复Bug")+COUNTIFS(缺陷明细!$A$2:$A$50000,$B$4,缺陷明细!$G$2:$G$50000,$C27,缺陷明细!$J$2:$J$50000,"运维测试",缺陷明细!$K$2:$K$50000,"严重",缺陷明细!$AA$2:$AA$50000,"&lt;&gt;丢弃",缺陷明细!$AA$2:$AA$50000,"&lt;&gt;设计如此",缺陷明细!$AA$2:$AA$50000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51"/>
    </row>
    <row r="28" spans="1:37" ht="39.6">
      <c r="A28">
        <v>24</v>
      </c>
      <c r="B28" s="347">
        <v>439</v>
      </c>
      <c r="C28" s="58" t="s">
        <v>374</v>
      </c>
      <c r="D28" s="84" t="s">
        <v>467</v>
      </c>
      <c r="E28" s="82" t="s">
        <v>472</v>
      </c>
      <c r="F28" s="322">
        <v>4</v>
      </c>
      <c r="G28" s="323">
        <v>8</v>
      </c>
      <c r="H28" s="305">
        <f>COUNTIFS(缺陷明细!$A$2:$A$50000,$B$4,缺陷明细!$G$2:$G$50000,$C28,缺陷明细!$J$2:$J$50000,"评审",缺陷明细!$AA$2:$AA$50000,"&lt;&gt;丢弃",缺陷明细!$AA$2:$AA$50000,"&lt;&gt;设计如此",缺陷明细!$AA$2:$AA$50000,"&lt;&gt;重复Bug")</f>
        <v>0</v>
      </c>
      <c r="I28" s="161">
        <f>COUNTIFS(缺陷明细!$A$2:$A$50000,$B$4,缺陷明细!$G$2:$G$50000,$C28,缺陷明细!$Q$2:$Q$50000,"已关闭",缺陷明细!$J$2:$J$50000,"评审")</f>
        <v>0</v>
      </c>
      <c r="J28" s="161">
        <f>COUNTIFS(缺陷明细!$A$2:$A$50000,$B$4,缺陷明细!$G$2:$G$50000,$C28,缺陷明细!$J$2:$J$50000,"单元测试",缺陷明细!$AA$2:$AA$50000,"&lt;&gt;丢弃",缺陷明细!$AA$2:$AA$50000,"&lt;&gt;设计如此",缺陷明细!$AA$2:$AA$50000,"&lt;&gt;重复Bug")</f>
        <v>0</v>
      </c>
      <c r="K28" s="162">
        <f>COUNTIFS(缺陷明细!$A$2:$A$50000,$B$4,缺陷明细!$G$2:$G$50000,$C28,缺陷明细!$Q$2:$Q$50000,"已关闭",缺陷明细!$J$2:$J$50000,"单元测试")</f>
        <v>0</v>
      </c>
      <c r="L28" s="163"/>
      <c r="M28" s="164"/>
      <c r="N28" s="72">
        <f>COUNTIFS(缺陷明细!$A$2:$A$50000,$B$4,缺陷明细!$G$2:$G$50000,$C28,缺陷明细!$J$2:$J$50000,"系统测试案例评审",缺陷明细!$AA$2:$AA$50000,"&lt;&gt;丢弃",缺陷明细!$AA$2:$AA$50000,"&lt;&gt;设计如此",缺陷明细!$AA$2:$AA$50000,"&lt;&gt;重复Bug")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COUNTIFS(缺陷明细!$A$2:$A$50000,$B$4,缺陷明细!$G$2:$G$50000,$C28,缺陷明细!$J$2:$J$50000,"系统测试",缺陷明细!$AA$2:$AA$50000,"&lt;&gt;丢弃",缺陷明细!$AA$2:$AA$50000,"&lt;&gt;设计如此",缺陷明细!$AA$2:$AA$50000,"&lt;&gt;重复Bug")</f>
        <v>0</v>
      </c>
      <c r="Q28" s="72">
        <f>COUNTIFS(缺陷明细!$A$2:$A$50000,$B$4,缺陷明细!$G$2:$G$50000,$C28,缺陷明细!$Q$2:$Q$50000,"已关闭",缺陷明细!$J$2:$J$50000,"系统测试")</f>
        <v>0</v>
      </c>
      <c r="R28" s="354">
        <f>COUNTIFS(缺陷明细!$A$2:$A$50000,$B$4,缺陷明细!$G$2:$G$50000,$C28,缺陷明细!$AA$2:$AA$50000,"丢弃",缺陷明细!$J$2:$J$50000,"系统测试")+COUNTIFS(缺陷明细!$A$2:$A$50000,$B$4,缺陷明细!$G$2:$G$50000,$C28,缺陷明细!$AA$2:$AA$50000,"设计如此",缺陷明细!$J$2:$J$50000,"系统测试")+COUNTIFS(缺陷明细!$A$2:$A$50000,$B$4,缺陷明细!$G$2:$G$50000,$C28,缺陷明细!$AA$2:$AA$50000,"重复Bug",缺陷明细!$J$2:$J$50000,"系统测试")</f>
        <v>0</v>
      </c>
      <c r="S28" s="72">
        <f>COUNTIFS(缺陷明细!$A$2:$A$50000,$B$4,缺陷明细!$G$2:$G$50000,$C28,缺陷明细!$J$2:$J$50000,"系统测试",缺陷明细!$K$2:$K$50000,"致命",缺陷明细!$AA$2:$AA$50000,"&lt;&gt;丢弃",缺陷明细!$AA$2:$AA$50000,"&lt;&gt;设计如此",缺陷明细!$AA$2:$AA$50000,"&lt;&gt;重复Bug")+COUNTIFS(缺陷明细!$A$2:$A$50000,$B$4,缺陷明细!$G$2:$G$50000,$C28,缺陷明细!$J$2:$J$50000,"系统测试",缺陷明细!$K$2:$K$50000,"严重",缺陷明细!$AA$2:$AA$50000,"&lt;&gt;丢弃",缺陷明细!$AA$2:$AA$50000,"&lt;&gt;设计如此",缺陷明细!$AA$2:$AA$50000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COUNTIFS(缺陷明细!$A$2:$A$50000,$B$4,缺陷明细!$G$2:$G$50000,$C28,缺陷明细!$J$2:$J$50000,"验收测试",缺陷明细!$AA$2:$AA$50000,"&lt;&gt;丢弃",缺陷明细!$AA$2:$AA$50000,"&lt;&gt;设计如此",缺陷明细!$AA$2:$AA$50000,"&lt;&gt;重复Bug")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A$2:$AA$50000,"&lt;&gt;丢弃",缺陷明细!$AA$2:$AA$50000,"&lt;&gt;设计如此",缺陷明细!$AA$2:$AA$50000,"&lt;&gt;重复Bug")+COUNTIFS(缺陷明细!$A$2:$A$50000,$B$4,缺陷明细!$G$2:$G$50000,$C28,缺陷明细!$J$2:$J$50000,"验收测试",缺陷明细!$K$2:$K$50000,"严重",缺陷明细!$AA$2:$AA$50000,"&lt;&gt;丢弃",缺陷明细!$AA$2:$AA$50000,"&lt;&gt;设计如此",缺陷明细!$AA$2:$AA$50000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COUNTIFS(缺陷明细!$A$2:$A$50000,$B$4,缺陷明细!$G$2:$G$50000,$C28,缺陷明细!$J$2:$J$50000,"运维测试",缺陷明细!$AA$2:$AA$50000,"&lt;&gt;丢弃",缺陷明细!$AA$2:$AA$50000,"&lt;&gt;设计如此",缺陷明细!$AA$2:$AA$50000,"&lt;&gt;重复Bug")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A$2:$AA$50000,"&lt;&gt;丢弃",缺陷明细!$AA$2:$AA$50000,"&lt;&gt;设计如此",缺陷明细!$AA$2:$AA$50000,"&lt;&gt;重复Bug")+COUNTIFS(缺陷明细!$A$2:$A$50000,$B$4,缺陷明细!$G$2:$G$50000,$C28,缺陷明细!$J$2:$J$50000,"运维测试",缺陷明细!$K$2:$K$50000,"严重",缺陷明细!$AA$2:$AA$50000,"&lt;&gt;丢弃",缺陷明细!$AA$2:$AA$50000,"&lt;&gt;设计如此",缺陷明细!$AA$2:$AA$50000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51"/>
    </row>
    <row r="29" spans="1:37" ht="39.6">
      <c r="A29">
        <v>25</v>
      </c>
      <c r="B29" s="347">
        <v>440</v>
      </c>
      <c r="C29" s="58" t="s">
        <v>375</v>
      </c>
      <c r="D29" s="84" t="s">
        <v>467</v>
      </c>
      <c r="E29" s="82" t="s">
        <v>472</v>
      </c>
      <c r="F29" s="322">
        <v>4</v>
      </c>
      <c r="G29" s="323">
        <v>6</v>
      </c>
      <c r="H29" s="305">
        <f>COUNTIFS(缺陷明细!$A$2:$A$50000,$B$4,缺陷明细!$G$2:$G$50000,$C29,缺陷明细!$J$2:$J$50000,"评审",缺陷明细!$AA$2:$AA$50000,"&lt;&gt;丢弃",缺陷明细!$AA$2:$AA$50000,"&lt;&gt;设计如此",缺陷明细!$AA$2:$AA$50000,"&lt;&gt;重复Bug")</f>
        <v>0</v>
      </c>
      <c r="I29" s="161">
        <f>COUNTIFS(缺陷明细!$A$2:$A$50000,$B$4,缺陷明细!$G$2:$G$50000,$C29,缺陷明细!$Q$2:$Q$50000,"已关闭",缺陷明细!$J$2:$J$50000,"评审")</f>
        <v>0</v>
      </c>
      <c r="J29" s="161">
        <f>COUNTIFS(缺陷明细!$A$2:$A$50000,$B$4,缺陷明细!$G$2:$G$50000,$C29,缺陷明细!$J$2:$J$50000,"单元测试",缺陷明细!$AA$2:$AA$50000,"&lt;&gt;丢弃",缺陷明细!$AA$2:$AA$50000,"&lt;&gt;设计如此",缺陷明细!$AA$2:$AA$50000,"&lt;&gt;重复Bug")</f>
        <v>0</v>
      </c>
      <c r="K29" s="162">
        <f>COUNTIFS(缺陷明细!$A$2:$A$50000,$B$4,缺陷明细!$G$2:$G$50000,$C29,缺陷明细!$Q$2:$Q$50000,"已关闭",缺陷明细!$J$2:$J$50000,"单元测试")</f>
        <v>0</v>
      </c>
      <c r="L29" s="163"/>
      <c r="M29" s="164"/>
      <c r="N29" s="72">
        <f>COUNTIFS(缺陷明细!$A$2:$A$50000,$B$4,缺陷明细!$G$2:$G$50000,$C29,缺陷明细!$J$2:$J$50000,"系统测试案例评审",缺陷明细!$AA$2:$AA$50000,"&lt;&gt;丢弃",缺陷明细!$AA$2:$AA$50000,"&lt;&gt;设计如此",缺陷明细!$AA$2:$AA$50000,"&lt;&gt;重复Bug")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COUNTIFS(缺陷明细!$A$2:$A$50000,$B$4,缺陷明细!$G$2:$G$50000,$C29,缺陷明细!$J$2:$J$50000,"系统测试",缺陷明细!$AA$2:$AA$50000,"&lt;&gt;丢弃",缺陷明细!$AA$2:$AA$50000,"&lt;&gt;设计如此",缺陷明细!$AA$2:$AA$50000,"&lt;&gt;重复Bug")</f>
        <v>0</v>
      </c>
      <c r="Q29" s="72">
        <f>COUNTIFS(缺陷明细!$A$2:$A$50000,$B$4,缺陷明细!$G$2:$G$50000,$C29,缺陷明细!$Q$2:$Q$50000,"已关闭",缺陷明细!$J$2:$J$50000,"系统测试")</f>
        <v>0</v>
      </c>
      <c r="R29" s="354">
        <f>COUNTIFS(缺陷明细!$A$2:$A$50000,$B$4,缺陷明细!$G$2:$G$50000,$C29,缺陷明细!$AA$2:$AA$50000,"丢弃",缺陷明细!$J$2:$J$50000,"系统测试")+COUNTIFS(缺陷明细!$A$2:$A$50000,$B$4,缺陷明细!$G$2:$G$50000,$C29,缺陷明细!$AA$2:$AA$50000,"设计如此",缺陷明细!$J$2:$J$50000,"系统测试")+COUNTIFS(缺陷明细!$A$2:$A$50000,$B$4,缺陷明细!$G$2:$G$50000,$C29,缺陷明细!$AA$2:$AA$50000,"重复Bug",缺陷明细!$J$2:$J$50000,"系统测试")</f>
        <v>0</v>
      </c>
      <c r="S29" s="72">
        <f>COUNTIFS(缺陷明细!$A$2:$A$50000,$B$4,缺陷明细!$G$2:$G$50000,$C29,缺陷明细!$J$2:$J$50000,"系统测试",缺陷明细!$K$2:$K$50000,"致命",缺陷明细!$AA$2:$AA$50000,"&lt;&gt;丢弃",缺陷明细!$AA$2:$AA$50000,"&lt;&gt;设计如此",缺陷明细!$AA$2:$AA$50000,"&lt;&gt;重复Bug")+COUNTIFS(缺陷明细!$A$2:$A$50000,$B$4,缺陷明细!$G$2:$G$50000,$C29,缺陷明细!$J$2:$J$50000,"系统测试",缺陷明细!$K$2:$K$50000,"严重",缺陷明细!$AA$2:$AA$50000,"&lt;&gt;丢弃",缺陷明细!$AA$2:$AA$50000,"&lt;&gt;设计如此",缺陷明细!$AA$2:$AA$50000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COUNTIFS(缺陷明细!$A$2:$A$50000,$B$4,缺陷明细!$G$2:$G$50000,$C29,缺陷明细!$J$2:$J$50000,"验收测试",缺陷明细!$AA$2:$AA$50000,"&lt;&gt;丢弃",缺陷明细!$AA$2:$AA$50000,"&lt;&gt;设计如此",缺陷明细!$AA$2:$AA$50000,"&lt;&gt;重复Bug")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A$2:$AA$50000,"&lt;&gt;丢弃",缺陷明细!$AA$2:$AA$50000,"&lt;&gt;设计如此",缺陷明细!$AA$2:$AA$50000,"&lt;&gt;重复Bug")+COUNTIFS(缺陷明细!$A$2:$A$50000,$B$4,缺陷明细!$G$2:$G$50000,$C29,缺陷明细!$J$2:$J$50000,"验收测试",缺陷明细!$K$2:$K$50000,"严重",缺陷明细!$AA$2:$AA$50000,"&lt;&gt;丢弃",缺陷明细!$AA$2:$AA$50000,"&lt;&gt;设计如此",缺陷明细!$AA$2:$AA$50000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COUNTIFS(缺陷明细!$A$2:$A$50000,$B$4,缺陷明细!$G$2:$G$50000,$C29,缺陷明细!$J$2:$J$50000,"运维测试",缺陷明细!$AA$2:$AA$50000,"&lt;&gt;丢弃",缺陷明细!$AA$2:$AA$50000,"&lt;&gt;设计如此",缺陷明细!$AA$2:$AA$50000,"&lt;&gt;重复Bug")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A$2:$AA$50000,"&lt;&gt;丢弃",缺陷明细!$AA$2:$AA$50000,"&lt;&gt;设计如此",缺陷明细!$AA$2:$AA$50000,"&lt;&gt;重复Bug")+COUNTIFS(缺陷明细!$A$2:$A$50000,$B$4,缺陷明细!$G$2:$G$50000,$C29,缺陷明细!$J$2:$J$50000,"运维测试",缺陷明细!$K$2:$K$50000,"严重",缺陷明细!$AA$2:$AA$50000,"&lt;&gt;丢弃",缺陷明细!$AA$2:$AA$50000,"&lt;&gt;设计如此",缺陷明细!$AA$2:$AA$50000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51"/>
    </row>
    <row r="30" spans="1:37" ht="26.4">
      <c r="A30">
        <v>26</v>
      </c>
      <c r="B30" s="347">
        <v>444</v>
      </c>
      <c r="C30" s="58" t="s">
        <v>376</v>
      </c>
      <c r="D30" s="84" t="s">
        <v>467</v>
      </c>
      <c r="E30" s="82" t="s">
        <v>472</v>
      </c>
      <c r="F30" s="322">
        <v>16</v>
      </c>
      <c r="G30" s="323">
        <v>4</v>
      </c>
      <c r="H30" s="305">
        <f>COUNTIFS(缺陷明细!$A$2:$A$50000,$B$4,缺陷明细!$G$2:$G$50000,$C30,缺陷明细!$J$2:$J$50000,"评审",缺陷明细!$AA$2:$AA$50000,"&lt;&gt;丢弃",缺陷明细!$AA$2:$AA$50000,"&lt;&gt;设计如此",缺陷明细!$AA$2:$AA$50000,"&lt;&gt;重复Bug")</f>
        <v>0</v>
      </c>
      <c r="I30" s="161">
        <f>COUNTIFS(缺陷明细!$A$2:$A$50000,$B$4,缺陷明细!$G$2:$G$50000,$C30,缺陷明细!$Q$2:$Q$50000,"已关闭",缺陷明细!$J$2:$J$50000,"评审")</f>
        <v>0</v>
      </c>
      <c r="J30" s="161">
        <f>COUNTIFS(缺陷明细!$A$2:$A$50000,$B$4,缺陷明细!$G$2:$G$50000,$C30,缺陷明细!$J$2:$J$50000,"单元测试",缺陷明细!$AA$2:$AA$50000,"&lt;&gt;丢弃",缺陷明细!$AA$2:$AA$50000,"&lt;&gt;设计如此",缺陷明细!$AA$2:$AA$50000,"&lt;&gt;重复Bug")</f>
        <v>0</v>
      </c>
      <c r="K30" s="162">
        <f>COUNTIFS(缺陷明细!$A$2:$A$50000,$B$4,缺陷明细!$G$2:$G$50000,$C30,缺陷明细!$Q$2:$Q$50000,"已关闭",缺陷明细!$J$2:$J$50000,"单元测试")</f>
        <v>0</v>
      </c>
      <c r="L30" s="163"/>
      <c r="M30" s="164"/>
      <c r="N30" s="72">
        <f>COUNTIFS(缺陷明细!$A$2:$A$50000,$B$4,缺陷明细!$G$2:$G$50000,$C30,缺陷明细!$J$2:$J$50000,"系统测试案例评审",缺陷明细!$AA$2:$AA$50000,"&lt;&gt;丢弃",缺陷明细!$AA$2:$AA$50000,"&lt;&gt;设计如此",缺陷明细!$AA$2:$AA$50000,"&lt;&gt;重复Bug")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COUNTIFS(缺陷明细!$A$2:$A$50000,$B$4,缺陷明细!$G$2:$G$50000,$C30,缺陷明细!$J$2:$J$50000,"系统测试",缺陷明细!$AA$2:$AA$50000,"&lt;&gt;丢弃",缺陷明细!$AA$2:$AA$50000,"&lt;&gt;设计如此",缺陷明细!$AA$2:$AA$50000,"&lt;&gt;重复Bug")</f>
        <v>0</v>
      </c>
      <c r="Q30" s="72">
        <f>COUNTIFS(缺陷明细!$A$2:$A$50000,$B$4,缺陷明细!$G$2:$G$50000,$C30,缺陷明细!$Q$2:$Q$50000,"已关闭",缺陷明细!$J$2:$J$50000,"系统测试")</f>
        <v>0</v>
      </c>
      <c r="R30" s="354">
        <f>COUNTIFS(缺陷明细!$A$2:$A$50000,$B$4,缺陷明细!$G$2:$G$50000,$C30,缺陷明细!$AA$2:$AA$50000,"丢弃",缺陷明细!$J$2:$J$50000,"系统测试")+COUNTIFS(缺陷明细!$A$2:$A$50000,$B$4,缺陷明细!$G$2:$G$50000,$C30,缺陷明细!$AA$2:$AA$50000,"设计如此",缺陷明细!$J$2:$J$50000,"系统测试")+COUNTIFS(缺陷明细!$A$2:$A$50000,$B$4,缺陷明细!$G$2:$G$50000,$C30,缺陷明细!$AA$2:$AA$50000,"重复Bug",缺陷明细!$J$2:$J$50000,"系统测试")</f>
        <v>0</v>
      </c>
      <c r="S30" s="72">
        <f>COUNTIFS(缺陷明细!$A$2:$A$50000,$B$4,缺陷明细!$G$2:$G$50000,$C30,缺陷明细!$J$2:$J$50000,"系统测试",缺陷明细!$K$2:$K$50000,"致命",缺陷明细!$AA$2:$AA$50000,"&lt;&gt;丢弃",缺陷明细!$AA$2:$AA$50000,"&lt;&gt;设计如此",缺陷明细!$AA$2:$AA$50000,"&lt;&gt;重复Bug")+COUNTIFS(缺陷明细!$A$2:$A$50000,$B$4,缺陷明细!$G$2:$G$50000,$C30,缺陷明细!$J$2:$J$50000,"系统测试",缺陷明细!$K$2:$K$50000,"严重",缺陷明细!$AA$2:$AA$50000,"&lt;&gt;丢弃",缺陷明细!$AA$2:$AA$50000,"&lt;&gt;设计如此",缺陷明细!$AA$2:$AA$50000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COUNTIFS(缺陷明细!$A$2:$A$50000,$B$4,缺陷明细!$G$2:$G$50000,$C30,缺陷明细!$J$2:$J$50000,"验收测试",缺陷明细!$AA$2:$AA$50000,"&lt;&gt;丢弃",缺陷明细!$AA$2:$AA$50000,"&lt;&gt;设计如此",缺陷明细!$AA$2:$AA$50000,"&lt;&gt;重复Bug")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A$2:$AA$50000,"&lt;&gt;丢弃",缺陷明细!$AA$2:$AA$50000,"&lt;&gt;设计如此",缺陷明细!$AA$2:$AA$50000,"&lt;&gt;重复Bug")+COUNTIFS(缺陷明细!$A$2:$A$50000,$B$4,缺陷明细!$G$2:$G$50000,$C30,缺陷明细!$J$2:$J$50000,"验收测试",缺陷明细!$K$2:$K$50000,"严重",缺陷明细!$AA$2:$AA$50000,"&lt;&gt;丢弃",缺陷明细!$AA$2:$AA$50000,"&lt;&gt;设计如此",缺陷明细!$AA$2:$AA$50000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COUNTIFS(缺陷明细!$A$2:$A$50000,$B$4,缺陷明细!$G$2:$G$50000,$C30,缺陷明细!$J$2:$J$50000,"运维测试",缺陷明细!$AA$2:$AA$50000,"&lt;&gt;丢弃",缺陷明细!$AA$2:$AA$50000,"&lt;&gt;设计如此",缺陷明细!$AA$2:$AA$50000,"&lt;&gt;重复Bug")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A$2:$AA$50000,"&lt;&gt;丢弃",缺陷明细!$AA$2:$AA$50000,"&lt;&gt;设计如此",缺陷明细!$AA$2:$AA$50000,"&lt;&gt;重复Bug")+COUNTIFS(缺陷明细!$A$2:$A$50000,$B$4,缺陷明细!$G$2:$G$50000,$C30,缺陷明细!$J$2:$J$50000,"运维测试",缺陷明细!$K$2:$K$50000,"严重",缺陷明细!$AA$2:$AA$50000,"&lt;&gt;丢弃",缺陷明细!$AA$2:$AA$50000,"&lt;&gt;设计如此",缺陷明细!$AA$2:$AA$50000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51"/>
    </row>
    <row r="31" spans="1:37">
      <c r="A31">
        <v>27</v>
      </c>
      <c r="B31" s="347">
        <v>445</v>
      </c>
      <c r="C31" s="58" t="s">
        <v>377</v>
      </c>
      <c r="D31" s="84" t="s">
        <v>467</v>
      </c>
      <c r="E31" s="82" t="s">
        <v>472</v>
      </c>
      <c r="F31" s="322">
        <v>0.5</v>
      </c>
      <c r="G31" s="323">
        <v>0.5</v>
      </c>
      <c r="H31" s="305">
        <f>COUNTIFS(缺陷明细!$A$2:$A$50000,$B$4,缺陷明细!$G$2:$G$50000,$C31,缺陷明细!$J$2:$J$50000,"评审",缺陷明细!$AA$2:$AA$50000,"&lt;&gt;丢弃",缺陷明细!$AA$2:$AA$50000,"&lt;&gt;设计如此",缺陷明细!$AA$2:$AA$50000,"&lt;&gt;重复Bug")</f>
        <v>0</v>
      </c>
      <c r="I31" s="161">
        <f>COUNTIFS(缺陷明细!$A$2:$A$50000,$B$4,缺陷明细!$G$2:$G$50000,$C31,缺陷明细!$Q$2:$Q$50000,"已关闭",缺陷明细!$J$2:$J$50000,"评审")</f>
        <v>0</v>
      </c>
      <c r="J31" s="161">
        <f>COUNTIFS(缺陷明细!$A$2:$A$50000,$B$4,缺陷明细!$G$2:$G$50000,$C31,缺陷明细!$J$2:$J$50000,"单元测试",缺陷明细!$AA$2:$AA$50000,"&lt;&gt;丢弃",缺陷明细!$AA$2:$AA$50000,"&lt;&gt;设计如此",缺陷明细!$AA$2:$AA$50000,"&lt;&gt;重复Bug")</f>
        <v>0</v>
      </c>
      <c r="K31" s="162">
        <f>COUNTIFS(缺陷明细!$A$2:$A$50000,$B$4,缺陷明细!$G$2:$G$50000,$C31,缺陷明细!$Q$2:$Q$50000,"已关闭",缺陷明细!$J$2:$J$50000,"单元测试")</f>
        <v>0</v>
      </c>
      <c r="L31" s="163"/>
      <c r="M31" s="164"/>
      <c r="N31" s="72">
        <f>COUNTIFS(缺陷明细!$A$2:$A$50000,$B$4,缺陷明细!$G$2:$G$50000,$C31,缺陷明细!$J$2:$J$50000,"系统测试案例评审",缺陷明细!$AA$2:$AA$50000,"&lt;&gt;丢弃",缺陷明细!$AA$2:$AA$50000,"&lt;&gt;设计如此",缺陷明细!$AA$2:$AA$50000,"&lt;&gt;重复Bug")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COUNTIFS(缺陷明细!$A$2:$A$50000,$B$4,缺陷明细!$G$2:$G$50000,$C31,缺陷明细!$J$2:$J$50000,"系统测试",缺陷明细!$AA$2:$AA$50000,"&lt;&gt;丢弃",缺陷明细!$AA$2:$AA$50000,"&lt;&gt;设计如此",缺陷明细!$AA$2:$AA$50000,"&lt;&gt;重复Bug")</f>
        <v>0</v>
      </c>
      <c r="Q31" s="72">
        <f>COUNTIFS(缺陷明细!$A$2:$A$50000,$B$4,缺陷明细!$G$2:$G$50000,$C31,缺陷明细!$Q$2:$Q$50000,"已关闭",缺陷明细!$J$2:$J$50000,"系统测试")</f>
        <v>0</v>
      </c>
      <c r="R31" s="354">
        <f>COUNTIFS(缺陷明细!$A$2:$A$50000,$B$4,缺陷明细!$G$2:$G$50000,$C31,缺陷明细!$AA$2:$AA$50000,"丢弃",缺陷明细!$J$2:$J$50000,"系统测试")+COUNTIFS(缺陷明细!$A$2:$A$50000,$B$4,缺陷明细!$G$2:$G$50000,$C31,缺陷明细!$AA$2:$AA$50000,"设计如此",缺陷明细!$J$2:$J$50000,"系统测试")+COUNTIFS(缺陷明细!$A$2:$A$50000,$B$4,缺陷明细!$G$2:$G$50000,$C31,缺陷明细!$AA$2:$AA$50000,"重复Bug",缺陷明细!$J$2:$J$50000,"系统测试")</f>
        <v>0</v>
      </c>
      <c r="S31" s="72">
        <f>COUNTIFS(缺陷明细!$A$2:$A$50000,$B$4,缺陷明细!$G$2:$G$50000,$C31,缺陷明细!$J$2:$J$50000,"系统测试",缺陷明细!$K$2:$K$50000,"致命",缺陷明细!$AA$2:$AA$50000,"&lt;&gt;丢弃",缺陷明细!$AA$2:$AA$50000,"&lt;&gt;设计如此",缺陷明细!$AA$2:$AA$50000,"&lt;&gt;重复Bug")+COUNTIFS(缺陷明细!$A$2:$A$50000,$B$4,缺陷明细!$G$2:$G$50000,$C31,缺陷明细!$J$2:$J$50000,"系统测试",缺陷明细!$K$2:$K$50000,"严重",缺陷明细!$AA$2:$AA$50000,"&lt;&gt;丢弃",缺陷明细!$AA$2:$AA$50000,"&lt;&gt;设计如此",缺陷明细!$AA$2:$AA$50000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COUNTIFS(缺陷明细!$A$2:$A$50000,$B$4,缺陷明细!$G$2:$G$50000,$C31,缺陷明细!$J$2:$J$50000,"验收测试",缺陷明细!$AA$2:$AA$50000,"&lt;&gt;丢弃",缺陷明细!$AA$2:$AA$50000,"&lt;&gt;设计如此",缺陷明细!$AA$2:$AA$50000,"&lt;&gt;重复Bug")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A$2:$AA$50000,"&lt;&gt;丢弃",缺陷明细!$AA$2:$AA$50000,"&lt;&gt;设计如此",缺陷明细!$AA$2:$AA$50000,"&lt;&gt;重复Bug")+COUNTIFS(缺陷明细!$A$2:$A$50000,$B$4,缺陷明细!$G$2:$G$50000,$C31,缺陷明细!$J$2:$J$50000,"验收测试",缺陷明细!$K$2:$K$50000,"严重",缺陷明细!$AA$2:$AA$50000,"&lt;&gt;丢弃",缺陷明细!$AA$2:$AA$50000,"&lt;&gt;设计如此",缺陷明细!$AA$2:$AA$50000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COUNTIFS(缺陷明细!$A$2:$A$50000,$B$4,缺陷明细!$G$2:$G$50000,$C31,缺陷明细!$J$2:$J$50000,"运维测试",缺陷明细!$AA$2:$AA$50000,"&lt;&gt;丢弃",缺陷明细!$AA$2:$AA$50000,"&lt;&gt;设计如此",缺陷明细!$AA$2:$AA$50000,"&lt;&gt;重复Bug")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A$2:$AA$50000,"&lt;&gt;丢弃",缺陷明细!$AA$2:$AA$50000,"&lt;&gt;设计如此",缺陷明细!$AA$2:$AA$50000,"&lt;&gt;重复Bug")+COUNTIFS(缺陷明细!$A$2:$A$50000,$B$4,缺陷明细!$G$2:$G$50000,$C31,缺陷明细!$J$2:$J$50000,"运维测试",缺陷明细!$K$2:$K$50000,"严重",缺陷明细!$AA$2:$AA$50000,"&lt;&gt;丢弃",缺陷明细!$AA$2:$AA$50000,"&lt;&gt;设计如此",缺陷明细!$AA$2:$AA$50000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51"/>
    </row>
    <row r="32" spans="1:37">
      <c r="A32">
        <v>28</v>
      </c>
      <c r="B32" s="347">
        <v>446</v>
      </c>
      <c r="C32" s="58" t="s">
        <v>378</v>
      </c>
      <c r="D32" s="84" t="s">
        <v>467</v>
      </c>
      <c r="E32" s="82" t="s">
        <v>472</v>
      </c>
      <c r="F32" s="322">
        <v>4</v>
      </c>
      <c r="G32" s="323">
        <v>4</v>
      </c>
      <c r="H32" s="305">
        <f>COUNTIFS(缺陷明细!$A$2:$A$50000,$B$4,缺陷明细!$G$2:$G$50000,$C32,缺陷明细!$J$2:$J$50000,"评审",缺陷明细!$AA$2:$AA$50000,"&lt;&gt;丢弃",缺陷明细!$AA$2:$AA$50000,"&lt;&gt;设计如此",缺陷明细!$AA$2:$AA$50000,"&lt;&gt;重复Bug")</f>
        <v>0</v>
      </c>
      <c r="I32" s="161">
        <f>COUNTIFS(缺陷明细!$A$2:$A$50000,$B$4,缺陷明细!$G$2:$G$50000,$C32,缺陷明细!$Q$2:$Q$50000,"已关闭",缺陷明细!$J$2:$J$50000,"评审")</f>
        <v>0</v>
      </c>
      <c r="J32" s="161">
        <f>COUNTIFS(缺陷明细!$A$2:$A$50000,$B$4,缺陷明细!$G$2:$G$50000,$C32,缺陷明细!$J$2:$J$50000,"单元测试",缺陷明细!$AA$2:$AA$50000,"&lt;&gt;丢弃",缺陷明细!$AA$2:$AA$50000,"&lt;&gt;设计如此",缺陷明细!$AA$2:$AA$50000,"&lt;&gt;重复Bug")</f>
        <v>0</v>
      </c>
      <c r="K32" s="162">
        <f>COUNTIFS(缺陷明细!$A$2:$A$50000,$B$4,缺陷明细!$G$2:$G$50000,$C32,缺陷明细!$Q$2:$Q$50000,"已关闭",缺陷明细!$J$2:$J$50000,"单元测试")</f>
        <v>0</v>
      </c>
      <c r="L32" s="163"/>
      <c r="M32" s="164"/>
      <c r="N32" s="72">
        <f>COUNTIFS(缺陷明细!$A$2:$A$50000,$B$4,缺陷明细!$G$2:$G$50000,$C32,缺陷明细!$J$2:$J$50000,"系统测试案例评审",缺陷明细!$AA$2:$AA$50000,"&lt;&gt;丢弃",缺陷明细!$AA$2:$AA$50000,"&lt;&gt;设计如此",缺陷明细!$AA$2:$AA$50000,"&lt;&gt;重复Bug")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COUNTIFS(缺陷明细!$A$2:$A$50000,$B$4,缺陷明细!$G$2:$G$50000,$C32,缺陷明细!$J$2:$J$50000,"系统测试",缺陷明细!$AA$2:$AA$50000,"&lt;&gt;丢弃",缺陷明细!$AA$2:$AA$50000,"&lt;&gt;设计如此",缺陷明细!$AA$2:$AA$50000,"&lt;&gt;重复Bug")</f>
        <v>0</v>
      </c>
      <c r="Q32" s="72">
        <f>COUNTIFS(缺陷明细!$A$2:$A$50000,$B$4,缺陷明细!$G$2:$G$50000,$C32,缺陷明细!$Q$2:$Q$50000,"已关闭",缺陷明细!$J$2:$J$50000,"系统测试")</f>
        <v>0</v>
      </c>
      <c r="R32" s="354">
        <f>COUNTIFS(缺陷明细!$A$2:$A$50000,$B$4,缺陷明细!$G$2:$G$50000,$C32,缺陷明细!$AA$2:$AA$50000,"丢弃",缺陷明细!$J$2:$J$50000,"系统测试")+COUNTIFS(缺陷明细!$A$2:$A$50000,$B$4,缺陷明细!$G$2:$G$50000,$C32,缺陷明细!$AA$2:$AA$50000,"设计如此",缺陷明细!$J$2:$J$50000,"系统测试")+COUNTIFS(缺陷明细!$A$2:$A$50000,$B$4,缺陷明细!$G$2:$G$50000,$C32,缺陷明细!$AA$2:$AA$50000,"重复Bug",缺陷明细!$J$2:$J$50000,"系统测试")</f>
        <v>0</v>
      </c>
      <c r="S32" s="72">
        <f>COUNTIFS(缺陷明细!$A$2:$A$50000,$B$4,缺陷明细!$G$2:$G$50000,$C32,缺陷明细!$J$2:$J$50000,"系统测试",缺陷明细!$K$2:$K$50000,"致命",缺陷明细!$AA$2:$AA$50000,"&lt;&gt;丢弃",缺陷明细!$AA$2:$AA$50000,"&lt;&gt;设计如此",缺陷明细!$AA$2:$AA$50000,"&lt;&gt;重复Bug")+COUNTIFS(缺陷明细!$A$2:$A$50000,$B$4,缺陷明细!$G$2:$G$50000,$C32,缺陷明细!$J$2:$J$50000,"系统测试",缺陷明细!$K$2:$K$50000,"严重",缺陷明细!$AA$2:$AA$50000,"&lt;&gt;丢弃",缺陷明细!$AA$2:$AA$50000,"&lt;&gt;设计如此",缺陷明细!$AA$2:$AA$50000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COUNTIFS(缺陷明细!$A$2:$A$50000,$B$4,缺陷明细!$G$2:$G$50000,$C32,缺陷明细!$J$2:$J$50000,"验收测试",缺陷明细!$AA$2:$AA$50000,"&lt;&gt;丢弃",缺陷明细!$AA$2:$AA$50000,"&lt;&gt;设计如此",缺陷明细!$AA$2:$AA$50000,"&lt;&gt;重复Bug")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A$2:$AA$50000,"&lt;&gt;丢弃",缺陷明细!$AA$2:$AA$50000,"&lt;&gt;设计如此",缺陷明细!$AA$2:$AA$50000,"&lt;&gt;重复Bug")+COUNTIFS(缺陷明细!$A$2:$A$50000,$B$4,缺陷明细!$G$2:$G$50000,$C32,缺陷明细!$J$2:$J$50000,"验收测试",缺陷明细!$K$2:$K$50000,"严重",缺陷明细!$AA$2:$AA$50000,"&lt;&gt;丢弃",缺陷明细!$AA$2:$AA$50000,"&lt;&gt;设计如此",缺陷明细!$AA$2:$AA$50000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COUNTIFS(缺陷明细!$A$2:$A$50000,$B$4,缺陷明细!$G$2:$G$50000,$C32,缺陷明细!$J$2:$J$50000,"运维测试",缺陷明细!$AA$2:$AA$50000,"&lt;&gt;丢弃",缺陷明细!$AA$2:$AA$50000,"&lt;&gt;设计如此",缺陷明细!$AA$2:$AA$50000,"&lt;&gt;重复Bug")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A$2:$AA$50000,"&lt;&gt;丢弃",缺陷明细!$AA$2:$AA$50000,"&lt;&gt;设计如此",缺陷明细!$AA$2:$AA$50000,"&lt;&gt;重复Bug")+COUNTIFS(缺陷明细!$A$2:$A$50000,$B$4,缺陷明细!$G$2:$G$50000,$C32,缺陷明细!$J$2:$J$50000,"运维测试",缺陷明细!$K$2:$K$50000,"严重",缺陷明细!$AA$2:$AA$50000,"&lt;&gt;丢弃",缺陷明细!$AA$2:$AA$50000,"&lt;&gt;设计如此",缺陷明细!$AA$2:$AA$50000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51"/>
    </row>
    <row r="33" spans="1:37" ht="26.4">
      <c r="A33">
        <v>29</v>
      </c>
      <c r="B33" s="347">
        <v>490</v>
      </c>
      <c r="C33" s="58" t="s">
        <v>379</v>
      </c>
      <c r="D33" s="84" t="s">
        <v>467</v>
      </c>
      <c r="E33" s="82" t="s">
        <v>472</v>
      </c>
      <c r="F33" s="322">
        <v>16</v>
      </c>
      <c r="G33" s="323">
        <v>6</v>
      </c>
      <c r="H33" s="305">
        <f>COUNTIFS(缺陷明细!$A$2:$A$50000,$B$4,缺陷明细!$G$2:$G$50000,$C33,缺陷明细!$J$2:$J$50000,"评审",缺陷明细!$AA$2:$AA$50000,"&lt;&gt;丢弃",缺陷明细!$AA$2:$AA$50000,"&lt;&gt;设计如此",缺陷明细!$AA$2:$AA$50000,"&lt;&gt;重复Bug")</f>
        <v>0</v>
      </c>
      <c r="I33" s="161">
        <f>COUNTIFS(缺陷明细!$A$2:$A$50000,$B$4,缺陷明细!$G$2:$G$50000,$C33,缺陷明细!$Q$2:$Q$50000,"已关闭",缺陷明细!$J$2:$J$50000,"评审")</f>
        <v>0</v>
      </c>
      <c r="J33" s="161">
        <f>COUNTIFS(缺陷明细!$A$2:$A$50000,$B$4,缺陷明细!$G$2:$G$50000,$C33,缺陷明细!$J$2:$J$50000,"单元测试",缺陷明细!$AA$2:$AA$50000,"&lt;&gt;丢弃",缺陷明细!$AA$2:$AA$50000,"&lt;&gt;设计如此",缺陷明细!$AA$2:$AA$50000,"&lt;&gt;重复Bug")</f>
        <v>0</v>
      </c>
      <c r="K33" s="162">
        <f>COUNTIFS(缺陷明细!$A$2:$A$50000,$B$4,缺陷明细!$G$2:$G$50000,$C33,缺陷明细!$Q$2:$Q$50000,"已关闭",缺陷明细!$J$2:$J$50000,"单元测试")</f>
        <v>0</v>
      </c>
      <c r="L33" s="163"/>
      <c r="M33" s="164"/>
      <c r="N33" s="72">
        <f>COUNTIFS(缺陷明细!$A$2:$A$50000,$B$4,缺陷明细!$G$2:$G$50000,$C33,缺陷明细!$J$2:$J$50000,"系统测试案例评审",缺陷明细!$AA$2:$AA$50000,"&lt;&gt;丢弃",缺陷明细!$AA$2:$AA$50000,"&lt;&gt;设计如此",缺陷明细!$AA$2:$AA$50000,"&lt;&gt;重复Bug")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COUNTIFS(缺陷明细!$A$2:$A$50000,$B$4,缺陷明细!$G$2:$G$50000,$C33,缺陷明细!$J$2:$J$50000,"系统测试",缺陷明细!$AA$2:$AA$50000,"&lt;&gt;丢弃",缺陷明细!$AA$2:$AA$50000,"&lt;&gt;设计如此",缺陷明细!$AA$2:$AA$50000,"&lt;&gt;重复Bug")</f>
        <v>0</v>
      </c>
      <c r="Q33" s="72">
        <f>COUNTIFS(缺陷明细!$A$2:$A$50000,$B$4,缺陷明细!$G$2:$G$50000,$C33,缺陷明细!$Q$2:$Q$50000,"已关闭",缺陷明细!$J$2:$J$50000,"系统测试")</f>
        <v>0</v>
      </c>
      <c r="R33" s="354">
        <f>COUNTIFS(缺陷明细!$A$2:$A$50000,$B$4,缺陷明细!$G$2:$G$50000,$C33,缺陷明细!$AA$2:$AA$50000,"丢弃",缺陷明细!$J$2:$J$50000,"系统测试")+COUNTIFS(缺陷明细!$A$2:$A$50000,$B$4,缺陷明细!$G$2:$G$50000,$C33,缺陷明细!$AA$2:$AA$50000,"设计如此",缺陷明细!$J$2:$J$50000,"系统测试")+COUNTIFS(缺陷明细!$A$2:$A$50000,$B$4,缺陷明细!$G$2:$G$50000,$C33,缺陷明细!$AA$2:$AA$50000,"重复Bug",缺陷明细!$J$2:$J$50000,"系统测试")</f>
        <v>0</v>
      </c>
      <c r="S33" s="72">
        <f>COUNTIFS(缺陷明细!$A$2:$A$50000,$B$4,缺陷明细!$G$2:$G$50000,$C33,缺陷明细!$J$2:$J$50000,"系统测试",缺陷明细!$K$2:$K$50000,"致命",缺陷明细!$AA$2:$AA$50000,"&lt;&gt;丢弃",缺陷明细!$AA$2:$AA$50000,"&lt;&gt;设计如此",缺陷明细!$AA$2:$AA$50000,"&lt;&gt;重复Bug")+COUNTIFS(缺陷明细!$A$2:$A$50000,$B$4,缺陷明细!$G$2:$G$50000,$C33,缺陷明细!$J$2:$J$50000,"系统测试",缺陷明细!$K$2:$K$50000,"严重",缺陷明细!$AA$2:$AA$50000,"&lt;&gt;丢弃",缺陷明细!$AA$2:$AA$50000,"&lt;&gt;设计如此",缺陷明细!$AA$2:$AA$50000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COUNTIFS(缺陷明细!$A$2:$A$50000,$B$4,缺陷明细!$G$2:$G$50000,$C33,缺陷明细!$J$2:$J$50000,"验收测试",缺陷明细!$AA$2:$AA$50000,"&lt;&gt;丢弃",缺陷明细!$AA$2:$AA$50000,"&lt;&gt;设计如此",缺陷明细!$AA$2:$AA$50000,"&lt;&gt;重复Bug")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A$2:$AA$50000,"&lt;&gt;丢弃",缺陷明细!$AA$2:$AA$50000,"&lt;&gt;设计如此",缺陷明细!$AA$2:$AA$50000,"&lt;&gt;重复Bug")+COUNTIFS(缺陷明细!$A$2:$A$50000,$B$4,缺陷明细!$G$2:$G$50000,$C33,缺陷明细!$J$2:$J$50000,"验收测试",缺陷明细!$K$2:$K$50000,"严重",缺陷明细!$AA$2:$AA$50000,"&lt;&gt;丢弃",缺陷明细!$AA$2:$AA$50000,"&lt;&gt;设计如此",缺陷明细!$AA$2:$AA$50000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COUNTIFS(缺陷明细!$A$2:$A$50000,$B$4,缺陷明细!$G$2:$G$50000,$C33,缺陷明细!$J$2:$J$50000,"运维测试",缺陷明细!$AA$2:$AA$50000,"&lt;&gt;丢弃",缺陷明细!$AA$2:$AA$50000,"&lt;&gt;设计如此",缺陷明细!$AA$2:$AA$50000,"&lt;&gt;重复Bug")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A$2:$AA$50000,"&lt;&gt;丢弃",缺陷明细!$AA$2:$AA$50000,"&lt;&gt;设计如此",缺陷明细!$AA$2:$AA$50000,"&lt;&gt;重复Bug")+COUNTIFS(缺陷明细!$A$2:$A$50000,$B$4,缺陷明细!$G$2:$G$50000,$C33,缺陷明细!$J$2:$J$50000,"运维测试",缺陷明细!$K$2:$K$50000,"严重",缺陷明细!$AA$2:$AA$50000,"&lt;&gt;丢弃",缺陷明细!$AA$2:$AA$50000,"&lt;&gt;设计如此",缺陷明细!$AA$2:$AA$50000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51"/>
    </row>
    <row r="34" spans="1:37" ht="26.4">
      <c r="A34">
        <v>30</v>
      </c>
      <c r="B34" s="347">
        <v>491</v>
      </c>
      <c r="C34" s="58" t="s">
        <v>380</v>
      </c>
      <c r="D34" s="84" t="s">
        <v>468</v>
      </c>
      <c r="E34" s="82" t="s">
        <v>472</v>
      </c>
      <c r="F34" s="322">
        <v>16</v>
      </c>
      <c r="G34" s="323">
        <v>16</v>
      </c>
      <c r="H34" s="305">
        <f>COUNTIFS(缺陷明细!$A$2:$A$50000,$B$4,缺陷明细!$G$2:$G$50000,$C34,缺陷明细!$J$2:$J$50000,"评审",缺陷明细!$AA$2:$AA$50000,"&lt;&gt;丢弃",缺陷明细!$AA$2:$AA$50000,"&lt;&gt;设计如此",缺陷明细!$AA$2:$AA$50000,"&lt;&gt;重复Bug")</f>
        <v>0</v>
      </c>
      <c r="I34" s="161">
        <f>COUNTIFS(缺陷明细!$A$2:$A$50000,$B$4,缺陷明细!$G$2:$G$50000,$C34,缺陷明细!$Q$2:$Q$50000,"已关闭",缺陷明细!$J$2:$J$50000,"评审")</f>
        <v>0</v>
      </c>
      <c r="J34" s="161">
        <f>COUNTIFS(缺陷明细!$A$2:$A$50000,$B$4,缺陷明细!$G$2:$G$50000,$C34,缺陷明细!$J$2:$J$50000,"单元测试",缺陷明细!$AA$2:$AA$50000,"&lt;&gt;丢弃",缺陷明细!$AA$2:$AA$50000,"&lt;&gt;设计如此",缺陷明细!$AA$2:$AA$50000,"&lt;&gt;重复Bug")</f>
        <v>0</v>
      </c>
      <c r="K34" s="162">
        <f>COUNTIFS(缺陷明细!$A$2:$A$50000,$B$4,缺陷明细!$G$2:$G$50000,$C34,缺陷明细!$Q$2:$Q$50000,"已关闭",缺陷明细!$J$2:$J$50000,"单元测试")</f>
        <v>0</v>
      </c>
      <c r="L34" s="163"/>
      <c r="M34" s="164"/>
      <c r="N34" s="72">
        <f>COUNTIFS(缺陷明细!$A$2:$A$50000,$B$4,缺陷明细!$G$2:$G$50000,$C34,缺陷明细!$J$2:$J$50000,"系统测试案例评审",缺陷明细!$AA$2:$AA$50000,"&lt;&gt;丢弃",缺陷明细!$AA$2:$AA$50000,"&lt;&gt;设计如此",缺陷明细!$AA$2:$AA$50000,"&lt;&gt;重复Bug")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COUNTIFS(缺陷明细!$A$2:$A$50000,$B$4,缺陷明细!$G$2:$G$50000,$C34,缺陷明细!$J$2:$J$50000,"系统测试",缺陷明细!$AA$2:$AA$50000,"&lt;&gt;丢弃",缺陷明细!$AA$2:$AA$50000,"&lt;&gt;设计如此",缺陷明细!$AA$2:$AA$50000,"&lt;&gt;重复Bug")</f>
        <v>0</v>
      </c>
      <c r="Q34" s="72">
        <f>COUNTIFS(缺陷明细!$A$2:$A$50000,$B$4,缺陷明细!$G$2:$G$50000,$C34,缺陷明细!$Q$2:$Q$50000,"已关闭",缺陷明细!$J$2:$J$50000,"系统测试")</f>
        <v>0</v>
      </c>
      <c r="R34" s="354">
        <f>COUNTIFS(缺陷明细!$A$2:$A$50000,$B$4,缺陷明细!$G$2:$G$50000,$C34,缺陷明细!$AA$2:$AA$50000,"丢弃",缺陷明细!$J$2:$J$50000,"系统测试")+COUNTIFS(缺陷明细!$A$2:$A$50000,$B$4,缺陷明细!$G$2:$G$50000,$C34,缺陷明细!$AA$2:$AA$50000,"设计如此",缺陷明细!$J$2:$J$50000,"系统测试")+COUNTIFS(缺陷明细!$A$2:$A$50000,$B$4,缺陷明细!$G$2:$G$50000,$C34,缺陷明细!$AA$2:$AA$50000,"重复Bug",缺陷明细!$J$2:$J$50000,"系统测试")</f>
        <v>0</v>
      </c>
      <c r="S34" s="72">
        <f>COUNTIFS(缺陷明细!$A$2:$A$50000,$B$4,缺陷明细!$G$2:$G$50000,$C34,缺陷明细!$J$2:$J$50000,"系统测试",缺陷明细!$K$2:$K$50000,"致命",缺陷明细!$AA$2:$AA$50000,"&lt;&gt;丢弃",缺陷明细!$AA$2:$AA$50000,"&lt;&gt;设计如此",缺陷明细!$AA$2:$AA$50000,"&lt;&gt;重复Bug")+COUNTIFS(缺陷明细!$A$2:$A$50000,$B$4,缺陷明细!$G$2:$G$50000,$C34,缺陷明细!$J$2:$J$50000,"系统测试",缺陷明细!$K$2:$K$50000,"严重",缺陷明细!$AA$2:$AA$50000,"&lt;&gt;丢弃",缺陷明细!$AA$2:$AA$50000,"&lt;&gt;设计如此",缺陷明细!$AA$2:$AA$50000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COUNTIFS(缺陷明细!$A$2:$A$50000,$B$4,缺陷明细!$G$2:$G$50000,$C34,缺陷明细!$J$2:$J$50000,"验收测试",缺陷明细!$AA$2:$AA$50000,"&lt;&gt;丢弃",缺陷明细!$AA$2:$AA$50000,"&lt;&gt;设计如此",缺陷明细!$AA$2:$AA$50000,"&lt;&gt;重复Bug")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A$2:$AA$50000,"&lt;&gt;丢弃",缺陷明细!$AA$2:$AA$50000,"&lt;&gt;设计如此",缺陷明细!$AA$2:$AA$50000,"&lt;&gt;重复Bug")+COUNTIFS(缺陷明细!$A$2:$A$50000,$B$4,缺陷明细!$G$2:$G$50000,$C34,缺陷明细!$J$2:$J$50000,"验收测试",缺陷明细!$K$2:$K$50000,"严重",缺陷明细!$AA$2:$AA$50000,"&lt;&gt;丢弃",缺陷明细!$AA$2:$AA$50000,"&lt;&gt;设计如此",缺陷明细!$AA$2:$AA$50000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COUNTIFS(缺陷明细!$A$2:$A$50000,$B$4,缺陷明细!$G$2:$G$50000,$C34,缺陷明细!$J$2:$J$50000,"运维测试",缺陷明细!$AA$2:$AA$50000,"&lt;&gt;丢弃",缺陷明细!$AA$2:$AA$50000,"&lt;&gt;设计如此",缺陷明细!$AA$2:$AA$50000,"&lt;&gt;重复Bug")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A$2:$AA$50000,"&lt;&gt;丢弃",缺陷明细!$AA$2:$AA$50000,"&lt;&gt;设计如此",缺陷明细!$AA$2:$AA$50000,"&lt;&gt;重复Bug")+COUNTIFS(缺陷明细!$A$2:$A$50000,$B$4,缺陷明细!$G$2:$G$50000,$C34,缺陷明细!$J$2:$J$50000,"运维测试",缺陷明细!$K$2:$K$50000,"严重",缺陷明细!$AA$2:$AA$50000,"&lt;&gt;丢弃",缺陷明细!$AA$2:$AA$50000,"&lt;&gt;设计如此",缺陷明细!$AA$2:$AA$50000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51"/>
    </row>
    <row r="35" spans="1:37" ht="26.4">
      <c r="A35">
        <v>31</v>
      </c>
      <c r="B35" s="347">
        <v>492</v>
      </c>
      <c r="C35" s="58" t="s">
        <v>381</v>
      </c>
      <c r="D35" s="84" t="s">
        <v>467</v>
      </c>
      <c r="E35" s="82" t="s">
        <v>472</v>
      </c>
      <c r="F35" s="322">
        <v>16</v>
      </c>
      <c r="G35" s="323">
        <v>16</v>
      </c>
      <c r="H35" s="305">
        <f>COUNTIFS(缺陷明细!$A$2:$A$50000,$B$4,缺陷明细!$G$2:$G$50000,$C35,缺陷明细!$J$2:$J$50000,"评审",缺陷明细!$AA$2:$AA$50000,"&lt;&gt;丢弃",缺陷明细!$AA$2:$AA$50000,"&lt;&gt;设计如此",缺陷明细!$AA$2:$AA$50000,"&lt;&gt;重复Bug")</f>
        <v>0</v>
      </c>
      <c r="I35" s="161">
        <f>COUNTIFS(缺陷明细!$A$2:$A$50000,$B$4,缺陷明细!$G$2:$G$50000,$C35,缺陷明细!$Q$2:$Q$50000,"已关闭",缺陷明细!$J$2:$J$50000,"评审")</f>
        <v>0</v>
      </c>
      <c r="J35" s="161">
        <f>COUNTIFS(缺陷明细!$A$2:$A$50000,$B$4,缺陷明细!$G$2:$G$50000,$C35,缺陷明细!$J$2:$J$50000,"单元测试",缺陷明细!$AA$2:$AA$50000,"&lt;&gt;丢弃",缺陷明细!$AA$2:$AA$50000,"&lt;&gt;设计如此",缺陷明细!$AA$2:$AA$50000,"&lt;&gt;重复Bug")</f>
        <v>0</v>
      </c>
      <c r="K35" s="162">
        <f>COUNTIFS(缺陷明细!$A$2:$A$50000,$B$4,缺陷明细!$G$2:$G$50000,$C35,缺陷明细!$Q$2:$Q$50000,"已关闭",缺陷明细!$J$2:$J$50000,"单元测试")</f>
        <v>0</v>
      </c>
      <c r="L35" s="163"/>
      <c r="M35" s="164"/>
      <c r="N35" s="72">
        <f>COUNTIFS(缺陷明细!$A$2:$A$50000,$B$4,缺陷明细!$G$2:$G$50000,$C35,缺陷明细!$J$2:$J$50000,"系统测试案例评审",缺陷明细!$AA$2:$AA$50000,"&lt;&gt;丢弃",缺陷明细!$AA$2:$AA$50000,"&lt;&gt;设计如此",缺陷明细!$AA$2:$AA$50000,"&lt;&gt;重复Bug")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COUNTIFS(缺陷明细!$A$2:$A$50000,$B$4,缺陷明细!$G$2:$G$50000,$C35,缺陷明细!$J$2:$J$50000,"系统测试",缺陷明细!$AA$2:$AA$50000,"&lt;&gt;丢弃",缺陷明细!$AA$2:$AA$50000,"&lt;&gt;设计如此",缺陷明细!$AA$2:$AA$50000,"&lt;&gt;重复Bug")</f>
        <v>0</v>
      </c>
      <c r="Q35" s="72">
        <f>COUNTIFS(缺陷明细!$A$2:$A$50000,$B$4,缺陷明细!$G$2:$G$50000,$C35,缺陷明细!$Q$2:$Q$50000,"已关闭",缺陷明细!$J$2:$J$50000,"系统测试")</f>
        <v>0</v>
      </c>
      <c r="R35" s="354">
        <f>COUNTIFS(缺陷明细!$A$2:$A$50000,$B$4,缺陷明细!$G$2:$G$50000,$C35,缺陷明细!$AA$2:$AA$50000,"丢弃",缺陷明细!$J$2:$J$50000,"系统测试")+COUNTIFS(缺陷明细!$A$2:$A$50000,$B$4,缺陷明细!$G$2:$G$50000,$C35,缺陷明细!$AA$2:$AA$50000,"设计如此",缺陷明细!$J$2:$J$50000,"系统测试")+COUNTIFS(缺陷明细!$A$2:$A$50000,$B$4,缺陷明细!$G$2:$G$50000,$C35,缺陷明细!$AA$2:$AA$50000,"重复Bug",缺陷明细!$J$2:$J$50000,"系统测试")</f>
        <v>0</v>
      </c>
      <c r="S35" s="72">
        <f>COUNTIFS(缺陷明细!$A$2:$A$50000,$B$4,缺陷明细!$G$2:$G$50000,$C35,缺陷明细!$J$2:$J$50000,"系统测试",缺陷明细!$K$2:$K$50000,"致命",缺陷明细!$AA$2:$AA$50000,"&lt;&gt;丢弃",缺陷明细!$AA$2:$AA$50000,"&lt;&gt;设计如此",缺陷明细!$AA$2:$AA$50000,"&lt;&gt;重复Bug")+COUNTIFS(缺陷明细!$A$2:$A$50000,$B$4,缺陷明细!$G$2:$G$50000,$C35,缺陷明细!$J$2:$J$50000,"系统测试",缺陷明细!$K$2:$K$50000,"严重",缺陷明细!$AA$2:$AA$50000,"&lt;&gt;丢弃",缺陷明细!$AA$2:$AA$50000,"&lt;&gt;设计如此",缺陷明细!$AA$2:$AA$50000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COUNTIFS(缺陷明细!$A$2:$A$50000,$B$4,缺陷明细!$G$2:$G$50000,$C35,缺陷明细!$J$2:$J$50000,"验收测试",缺陷明细!$AA$2:$AA$50000,"&lt;&gt;丢弃",缺陷明细!$AA$2:$AA$50000,"&lt;&gt;设计如此",缺陷明细!$AA$2:$AA$50000,"&lt;&gt;重复Bug")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A$2:$AA$50000,"&lt;&gt;丢弃",缺陷明细!$AA$2:$AA$50000,"&lt;&gt;设计如此",缺陷明细!$AA$2:$AA$50000,"&lt;&gt;重复Bug")+COUNTIFS(缺陷明细!$A$2:$A$50000,$B$4,缺陷明细!$G$2:$G$50000,$C35,缺陷明细!$J$2:$J$50000,"验收测试",缺陷明细!$K$2:$K$50000,"严重",缺陷明细!$AA$2:$AA$50000,"&lt;&gt;丢弃",缺陷明细!$AA$2:$AA$50000,"&lt;&gt;设计如此",缺陷明细!$AA$2:$AA$50000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COUNTIFS(缺陷明细!$A$2:$A$50000,$B$4,缺陷明细!$G$2:$G$50000,$C35,缺陷明细!$J$2:$J$50000,"运维测试",缺陷明细!$AA$2:$AA$50000,"&lt;&gt;丢弃",缺陷明细!$AA$2:$AA$50000,"&lt;&gt;设计如此",缺陷明细!$AA$2:$AA$50000,"&lt;&gt;重复Bug")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A$2:$AA$50000,"&lt;&gt;丢弃",缺陷明细!$AA$2:$AA$50000,"&lt;&gt;设计如此",缺陷明细!$AA$2:$AA$50000,"&lt;&gt;重复Bug")+COUNTIFS(缺陷明细!$A$2:$A$50000,$B$4,缺陷明细!$G$2:$G$50000,$C35,缺陷明细!$J$2:$J$50000,"运维测试",缺陷明细!$K$2:$K$50000,"严重",缺陷明细!$AA$2:$AA$50000,"&lt;&gt;丢弃",缺陷明细!$AA$2:$AA$50000,"&lt;&gt;设计如此",缺陷明细!$AA$2:$AA$50000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51"/>
    </row>
    <row r="36" spans="1:37" ht="26.4">
      <c r="A36">
        <v>32</v>
      </c>
      <c r="B36" s="347">
        <v>493</v>
      </c>
      <c r="C36" s="58" t="s">
        <v>382</v>
      </c>
      <c r="D36" s="84" t="s">
        <v>468</v>
      </c>
      <c r="E36" s="82" t="s">
        <v>472</v>
      </c>
      <c r="F36" s="322">
        <v>8</v>
      </c>
      <c r="G36" s="323">
        <v>8</v>
      </c>
      <c r="H36" s="305">
        <f>COUNTIFS(缺陷明细!$A$2:$A$50000,$B$4,缺陷明细!$G$2:$G$50000,$C36,缺陷明细!$J$2:$J$50000,"评审",缺陷明细!$AA$2:$AA$50000,"&lt;&gt;丢弃",缺陷明细!$AA$2:$AA$50000,"&lt;&gt;设计如此",缺陷明细!$AA$2:$AA$50000,"&lt;&gt;重复Bug")</f>
        <v>0</v>
      </c>
      <c r="I36" s="161">
        <f>COUNTIFS(缺陷明细!$A$2:$A$50000,$B$4,缺陷明细!$G$2:$G$50000,$C36,缺陷明细!$Q$2:$Q$50000,"已关闭",缺陷明细!$J$2:$J$50000,"评审")</f>
        <v>0</v>
      </c>
      <c r="J36" s="161">
        <f>COUNTIFS(缺陷明细!$A$2:$A$50000,$B$4,缺陷明细!$G$2:$G$50000,$C36,缺陷明细!$J$2:$J$50000,"单元测试",缺陷明细!$AA$2:$AA$50000,"&lt;&gt;丢弃",缺陷明细!$AA$2:$AA$50000,"&lt;&gt;设计如此",缺陷明细!$AA$2:$AA$50000,"&lt;&gt;重复Bug")</f>
        <v>0</v>
      </c>
      <c r="K36" s="162">
        <f>COUNTIFS(缺陷明细!$A$2:$A$50000,$B$4,缺陷明细!$G$2:$G$50000,$C36,缺陷明细!$Q$2:$Q$50000,"已关闭",缺陷明细!$J$2:$J$50000,"单元测试")</f>
        <v>0</v>
      </c>
      <c r="L36" s="163"/>
      <c r="M36" s="164"/>
      <c r="N36" s="72">
        <f>COUNTIFS(缺陷明细!$A$2:$A$50000,$B$4,缺陷明细!$G$2:$G$50000,$C36,缺陷明细!$J$2:$J$50000,"系统测试案例评审",缺陷明细!$AA$2:$AA$50000,"&lt;&gt;丢弃",缺陷明细!$AA$2:$AA$50000,"&lt;&gt;设计如此",缺陷明细!$AA$2:$AA$50000,"&lt;&gt;重复Bug")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COUNTIFS(缺陷明细!$A$2:$A$50000,$B$4,缺陷明细!$G$2:$G$50000,$C36,缺陷明细!$J$2:$J$50000,"系统测试",缺陷明细!$AA$2:$AA$50000,"&lt;&gt;丢弃",缺陷明细!$AA$2:$AA$50000,"&lt;&gt;设计如此",缺陷明细!$AA$2:$AA$50000,"&lt;&gt;重复Bug")</f>
        <v>0</v>
      </c>
      <c r="Q36" s="72">
        <f>COUNTIFS(缺陷明细!$A$2:$A$50000,$B$4,缺陷明细!$G$2:$G$50000,$C36,缺陷明细!$Q$2:$Q$50000,"已关闭",缺陷明细!$J$2:$J$50000,"系统测试")</f>
        <v>0</v>
      </c>
      <c r="R36" s="354">
        <f>COUNTIFS(缺陷明细!$A$2:$A$50000,$B$4,缺陷明细!$G$2:$G$50000,$C36,缺陷明细!$AA$2:$AA$50000,"丢弃",缺陷明细!$J$2:$J$50000,"系统测试")+COUNTIFS(缺陷明细!$A$2:$A$50000,$B$4,缺陷明细!$G$2:$G$50000,$C36,缺陷明细!$AA$2:$AA$50000,"设计如此",缺陷明细!$J$2:$J$50000,"系统测试")+COUNTIFS(缺陷明细!$A$2:$A$50000,$B$4,缺陷明细!$G$2:$G$50000,$C36,缺陷明细!$AA$2:$AA$50000,"重复Bug",缺陷明细!$J$2:$J$50000,"系统测试")</f>
        <v>0</v>
      </c>
      <c r="S36" s="72">
        <f>COUNTIFS(缺陷明细!$A$2:$A$50000,$B$4,缺陷明细!$G$2:$G$50000,$C36,缺陷明细!$J$2:$J$50000,"系统测试",缺陷明细!$K$2:$K$50000,"致命",缺陷明细!$AA$2:$AA$50000,"&lt;&gt;丢弃",缺陷明细!$AA$2:$AA$50000,"&lt;&gt;设计如此",缺陷明细!$AA$2:$AA$50000,"&lt;&gt;重复Bug")+COUNTIFS(缺陷明细!$A$2:$A$50000,$B$4,缺陷明细!$G$2:$G$50000,$C36,缺陷明细!$J$2:$J$50000,"系统测试",缺陷明细!$K$2:$K$50000,"严重",缺陷明细!$AA$2:$AA$50000,"&lt;&gt;丢弃",缺陷明细!$AA$2:$AA$50000,"&lt;&gt;设计如此",缺陷明细!$AA$2:$AA$50000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COUNTIFS(缺陷明细!$A$2:$A$50000,$B$4,缺陷明细!$G$2:$G$50000,$C36,缺陷明细!$J$2:$J$50000,"验收测试",缺陷明细!$AA$2:$AA$50000,"&lt;&gt;丢弃",缺陷明细!$AA$2:$AA$50000,"&lt;&gt;设计如此",缺陷明细!$AA$2:$AA$50000,"&lt;&gt;重复Bug")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A$2:$AA$50000,"&lt;&gt;丢弃",缺陷明细!$AA$2:$AA$50000,"&lt;&gt;设计如此",缺陷明细!$AA$2:$AA$50000,"&lt;&gt;重复Bug")+COUNTIFS(缺陷明细!$A$2:$A$50000,$B$4,缺陷明细!$G$2:$G$50000,$C36,缺陷明细!$J$2:$J$50000,"验收测试",缺陷明细!$K$2:$K$50000,"严重",缺陷明细!$AA$2:$AA$50000,"&lt;&gt;丢弃",缺陷明细!$AA$2:$AA$50000,"&lt;&gt;设计如此",缺陷明细!$AA$2:$AA$50000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COUNTIFS(缺陷明细!$A$2:$A$50000,$B$4,缺陷明细!$G$2:$G$50000,$C36,缺陷明细!$J$2:$J$50000,"运维测试",缺陷明细!$AA$2:$AA$50000,"&lt;&gt;丢弃",缺陷明细!$AA$2:$AA$50000,"&lt;&gt;设计如此",缺陷明细!$AA$2:$AA$50000,"&lt;&gt;重复Bug")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A$2:$AA$50000,"&lt;&gt;丢弃",缺陷明细!$AA$2:$AA$50000,"&lt;&gt;设计如此",缺陷明细!$AA$2:$AA$50000,"&lt;&gt;重复Bug")+COUNTIFS(缺陷明细!$A$2:$A$50000,$B$4,缺陷明细!$G$2:$G$50000,$C36,缺陷明细!$J$2:$J$50000,"运维测试",缺陷明细!$K$2:$K$50000,"严重",缺陷明细!$AA$2:$AA$50000,"&lt;&gt;丢弃",缺陷明细!$AA$2:$AA$50000,"&lt;&gt;设计如此",缺陷明细!$AA$2:$AA$50000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51"/>
    </row>
    <row r="37" spans="1:37" ht="26.4">
      <c r="A37">
        <v>33</v>
      </c>
      <c r="B37" s="347">
        <v>494</v>
      </c>
      <c r="C37" s="58" t="s">
        <v>383</v>
      </c>
      <c r="D37" s="84" t="s">
        <v>467</v>
      </c>
      <c r="E37" s="82" t="s">
        <v>472</v>
      </c>
      <c r="F37" s="322">
        <v>4</v>
      </c>
      <c r="G37" s="323">
        <v>4</v>
      </c>
      <c r="H37" s="305">
        <f>COUNTIFS(缺陷明细!$A$2:$A$50000,$B$4,缺陷明细!$G$2:$G$50000,$C37,缺陷明细!$J$2:$J$50000,"评审",缺陷明细!$AA$2:$AA$50000,"&lt;&gt;丢弃",缺陷明细!$AA$2:$AA$50000,"&lt;&gt;设计如此",缺陷明细!$AA$2:$AA$50000,"&lt;&gt;重复Bug")</f>
        <v>0</v>
      </c>
      <c r="I37" s="161">
        <f>COUNTIFS(缺陷明细!$A$2:$A$50000,$B$4,缺陷明细!$G$2:$G$50000,$C37,缺陷明细!$Q$2:$Q$50000,"已关闭",缺陷明细!$J$2:$J$50000,"评审")</f>
        <v>0</v>
      </c>
      <c r="J37" s="161">
        <f>COUNTIFS(缺陷明细!$A$2:$A$50000,$B$4,缺陷明细!$G$2:$G$50000,$C37,缺陷明细!$J$2:$J$50000,"单元测试",缺陷明细!$AA$2:$AA$50000,"&lt;&gt;丢弃",缺陷明细!$AA$2:$AA$50000,"&lt;&gt;设计如此",缺陷明细!$AA$2:$AA$50000,"&lt;&gt;重复Bug")</f>
        <v>0</v>
      </c>
      <c r="K37" s="162">
        <f>COUNTIFS(缺陷明细!$A$2:$A$50000,$B$4,缺陷明细!$G$2:$G$50000,$C37,缺陷明细!$Q$2:$Q$50000,"已关闭",缺陷明细!$J$2:$J$50000,"单元测试")</f>
        <v>0</v>
      </c>
      <c r="L37" s="163"/>
      <c r="M37" s="164"/>
      <c r="N37" s="72">
        <f>COUNTIFS(缺陷明细!$A$2:$A$50000,$B$4,缺陷明细!$G$2:$G$50000,$C37,缺陷明细!$J$2:$J$50000,"系统测试案例评审",缺陷明细!$AA$2:$AA$50000,"&lt;&gt;丢弃",缺陷明细!$AA$2:$AA$50000,"&lt;&gt;设计如此",缺陷明细!$AA$2:$AA$50000,"&lt;&gt;重复Bug")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COUNTIFS(缺陷明细!$A$2:$A$50000,$B$4,缺陷明细!$G$2:$G$50000,$C37,缺陷明细!$J$2:$J$50000,"系统测试",缺陷明细!$AA$2:$AA$50000,"&lt;&gt;丢弃",缺陷明细!$AA$2:$AA$50000,"&lt;&gt;设计如此",缺陷明细!$AA$2:$AA$50000,"&lt;&gt;重复Bug")</f>
        <v>0</v>
      </c>
      <c r="Q37" s="72">
        <f>COUNTIFS(缺陷明细!$A$2:$A$50000,$B$4,缺陷明细!$G$2:$G$50000,$C37,缺陷明细!$Q$2:$Q$50000,"已关闭",缺陷明细!$J$2:$J$50000,"系统测试")</f>
        <v>0</v>
      </c>
      <c r="R37" s="354">
        <f>COUNTIFS(缺陷明细!$A$2:$A$50000,$B$4,缺陷明细!$G$2:$G$50000,$C37,缺陷明细!$AA$2:$AA$50000,"丢弃",缺陷明细!$J$2:$J$50000,"系统测试")+COUNTIFS(缺陷明细!$A$2:$A$50000,$B$4,缺陷明细!$G$2:$G$50000,$C37,缺陷明细!$AA$2:$AA$50000,"设计如此",缺陷明细!$J$2:$J$50000,"系统测试")+COUNTIFS(缺陷明细!$A$2:$A$50000,$B$4,缺陷明细!$G$2:$G$50000,$C37,缺陷明细!$AA$2:$AA$50000,"重复Bug",缺陷明细!$J$2:$J$50000,"系统测试")</f>
        <v>0</v>
      </c>
      <c r="S37" s="72">
        <f>COUNTIFS(缺陷明细!$A$2:$A$50000,$B$4,缺陷明细!$G$2:$G$50000,$C37,缺陷明细!$J$2:$J$50000,"系统测试",缺陷明细!$K$2:$K$50000,"致命",缺陷明细!$AA$2:$AA$50000,"&lt;&gt;丢弃",缺陷明细!$AA$2:$AA$50000,"&lt;&gt;设计如此",缺陷明细!$AA$2:$AA$50000,"&lt;&gt;重复Bug")+COUNTIFS(缺陷明细!$A$2:$A$50000,$B$4,缺陷明细!$G$2:$G$50000,$C37,缺陷明细!$J$2:$J$50000,"系统测试",缺陷明细!$K$2:$K$50000,"严重",缺陷明细!$AA$2:$AA$50000,"&lt;&gt;丢弃",缺陷明细!$AA$2:$AA$50000,"&lt;&gt;设计如此",缺陷明细!$AA$2:$AA$50000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COUNTIFS(缺陷明细!$A$2:$A$50000,$B$4,缺陷明细!$G$2:$G$50000,$C37,缺陷明细!$J$2:$J$50000,"验收测试",缺陷明细!$AA$2:$AA$50000,"&lt;&gt;丢弃",缺陷明细!$AA$2:$AA$50000,"&lt;&gt;设计如此",缺陷明细!$AA$2:$AA$50000,"&lt;&gt;重复Bug")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A$2:$AA$50000,"&lt;&gt;丢弃",缺陷明细!$AA$2:$AA$50000,"&lt;&gt;设计如此",缺陷明细!$AA$2:$AA$50000,"&lt;&gt;重复Bug")+COUNTIFS(缺陷明细!$A$2:$A$50000,$B$4,缺陷明细!$G$2:$G$50000,$C37,缺陷明细!$J$2:$J$50000,"验收测试",缺陷明细!$K$2:$K$50000,"严重",缺陷明细!$AA$2:$AA$50000,"&lt;&gt;丢弃",缺陷明细!$AA$2:$AA$50000,"&lt;&gt;设计如此",缺陷明细!$AA$2:$AA$50000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COUNTIFS(缺陷明细!$A$2:$A$50000,$B$4,缺陷明细!$G$2:$G$50000,$C37,缺陷明细!$J$2:$J$50000,"运维测试",缺陷明细!$AA$2:$AA$50000,"&lt;&gt;丢弃",缺陷明细!$AA$2:$AA$50000,"&lt;&gt;设计如此",缺陷明细!$AA$2:$AA$50000,"&lt;&gt;重复Bug")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A$2:$AA$50000,"&lt;&gt;丢弃",缺陷明细!$AA$2:$AA$50000,"&lt;&gt;设计如此",缺陷明细!$AA$2:$AA$50000,"&lt;&gt;重复Bug")+COUNTIFS(缺陷明细!$A$2:$A$50000,$B$4,缺陷明细!$G$2:$G$50000,$C37,缺陷明细!$J$2:$J$50000,"运维测试",缺陷明细!$K$2:$K$50000,"严重",缺陷明细!$AA$2:$AA$50000,"&lt;&gt;丢弃",缺陷明细!$AA$2:$AA$50000,"&lt;&gt;设计如此",缺陷明细!$AA$2:$AA$50000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51"/>
    </row>
    <row r="38" spans="1:37" ht="26.4">
      <c r="A38">
        <v>34</v>
      </c>
      <c r="B38" s="347">
        <v>495</v>
      </c>
      <c r="C38" s="58" t="s">
        <v>384</v>
      </c>
      <c r="D38" s="84" t="s">
        <v>467</v>
      </c>
      <c r="E38" s="82" t="s">
        <v>472</v>
      </c>
      <c r="F38" s="322">
        <v>12</v>
      </c>
      <c r="G38" s="323">
        <v>10</v>
      </c>
      <c r="H38" s="305">
        <f>COUNTIFS(缺陷明细!$A$2:$A$50000,$B$4,缺陷明细!$G$2:$G$50000,$C38,缺陷明细!$J$2:$J$50000,"评审",缺陷明细!$AA$2:$AA$50000,"&lt;&gt;丢弃",缺陷明细!$AA$2:$AA$50000,"&lt;&gt;设计如此",缺陷明细!$AA$2:$AA$50000,"&lt;&gt;重复Bug")</f>
        <v>0</v>
      </c>
      <c r="I38" s="161">
        <f>COUNTIFS(缺陷明细!$A$2:$A$50000,$B$4,缺陷明细!$G$2:$G$50000,$C38,缺陷明细!$Q$2:$Q$50000,"已关闭",缺陷明细!$J$2:$J$50000,"评审")</f>
        <v>0</v>
      </c>
      <c r="J38" s="161">
        <f>COUNTIFS(缺陷明细!$A$2:$A$50000,$B$4,缺陷明细!$G$2:$G$50000,$C38,缺陷明细!$J$2:$J$50000,"单元测试",缺陷明细!$AA$2:$AA$50000,"&lt;&gt;丢弃",缺陷明细!$AA$2:$AA$50000,"&lt;&gt;设计如此",缺陷明细!$AA$2:$AA$50000,"&lt;&gt;重复Bug")</f>
        <v>0</v>
      </c>
      <c r="K38" s="162">
        <f>COUNTIFS(缺陷明细!$A$2:$A$50000,$B$4,缺陷明细!$G$2:$G$50000,$C38,缺陷明细!$Q$2:$Q$50000,"已关闭",缺陷明细!$J$2:$J$50000,"单元测试")</f>
        <v>0</v>
      </c>
      <c r="L38" s="163"/>
      <c r="M38" s="164"/>
      <c r="N38" s="72">
        <f>COUNTIFS(缺陷明细!$A$2:$A$50000,$B$4,缺陷明细!$G$2:$G$50000,$C38,缺陷明细!$J$2:$J$50000,"系统测试案例评审",缺陷明细!$AA$2:$AA$50000,"&lt;&gt;丢弃",缺陷明细!$AA$2:$AA$50000,"&lt;&gt;设计如此",缺陷明细!$AA$2:$AA$50000,"&lt;&gt;重复Bug")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COUNTIFS(缺陷明细!$A$2:$A$50000,$B$4,缺陷明细!$G$2:$G$50000,$C38,缺陷明细!$J$2:$J$50000,"系统测试",缺陷明细!$AA$2:$AA$50000,"&lt;&gt;丢弃",缺陷明细!$AA$2:$AA$50000,"&lt;&gt;设计如此",缺陷明细!$AA$2:$AA$50000,"&lt;&gt;重复Bug")</f>
        <v>0</v>
      </c>
      <c r="Q38" s="72">
        <f>COUNTIFS(缺陷明细!$A$2:$A$50000,$B$4,缺陷明细!$G$2:$G$50000,$C38,缺陷明细!$Q$2:$Q$50000,"已关闭",缺陷明细!$J$2:$J$50000,"系统测试")</f>
        <v>0</v>
      </c>
      <c r="R38" s="354">
        <f>COUNTIFS(缺陷明细!$A$2:$A$50000,$B$4,缺陷明细!$G$2:$G$50000,$C38,缺陷明细!$AA$2:$AA$50000,"丢弃",缺陷明细!$J$2:$J$50000,"系统测试")+COUNTIFS(缺陷明细!$A$2:$A$50000,$B$4,缺陷明细!$G$2:$G$50000,$C38,缺陷明细!$AA$2:$AA$50000,"设计如此",缺陷明细!$J$2:$J$50000,"系统测试")+COUNTIFS(缺陷明细!$A$2:$A$50000,$B$4,缺陷明细!$G$2:$G$50000,$C38,缺陷明细!$AA$2:$AA$50000,"重复Bug",缺陷明细!$J$2:$J$50000,"系统测试")</f>
        <v>0</v>
      </c>
      <c r="S38" s="72">
        <f>COUNTIFS(缺陷明细!$A$2:$A$50000,$B$4,缺陷明细!$G$2:$G$50000,$C38,缺陷明细!$J$2:$J$50000,"系统测试",缺陷明细!$K$2:$K$50000,"致命",缺陷明细!$AA$2:$AA$50000,"&lt;&gt;丢弃",缺陷明细!$AA$2:$AA$50000,"&lt;&gt;设计如此",缺陷明细!$AA$2:$AA$50000,"&lt;&gt;重复Bug")+COUNTIFS(缺陷明细!$A$2:$A$50000,$B$4,缺陷明细!$G$2:$G$50000,$C38,缺陷明细!$J$2:$J$50000,"系统测试",缺陷明细!$K$2:$K$50000,"严重",缺陷明细!$AA$2:$AA$50000,"&lt;&gt;丢弃",缺陷明细!$AA$2:$AA$50000,"&lt;&gt;设计如此",缺陷明细!$AA$2:$AA$50000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COUNTIFS(缺陷明细!$A$2:$A$50000,$B$4,缺陷明细!$G$2:$G$50000,$C38,缺陷明细!$J$2:$J$50000,"验收测试",缺陷明细!$AA$2:$AA$50000,"&lt;&gt;丢弃",缺陷明细!$AA$2:$AA$50000,"&lt;&gt;设计如此",缺陷明细!$AA$2:$AA$50000,"&lt;&gt;重复Bug")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A$2:$AA$50000,"&lt;&gt;丢弃",缺陷明细!$AA$2:$AA$50000,"&lt;&gt;设计如此",缺陷明细!$AA$2:$AA$50000,"&lt;&gt;重复Bug")+COUNTIFS(缺陷明细!$A$2:$A$50000,$B$4,缺陷明细!$G$2:$G$50000,$C38,缺陷明细!$J$2:$J$50000,"验收测试",缺陷明细!$K$2:$K$50000,"严重",缺陷明细!$AA$2:$AA$50000,"&lt;&gt;丢弃",缺陷明细!$AA$2:$AA$50000,"&lt;&gt;设计如此",缺陷明细!$AA$2:$AA$50000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COUNTIFS(缺陷明细!$A$2:$A$50000,$B$4,缺陷明细!$G$2:$G$50000,$C38,缺陷明细!$J$2:$J$50000,"运维测试",缺陷明细!$AA$2:$AA$50000,"&lt;&gt;丢弃",缺陷明细!$AA$2:$AA$50000,"&lt;&gt;设计如此",缺陷明细!$AA$2:$AA$50000,"&lt;&gt;重复Bug")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A$2:$AA$50000,"&lt;&gt;丢弃",缺陷明细!$AA$2:$AA$50000,"&lt;&gt;设计如此",缺陷明细!$AA$2:$AA$50000,"&lt;&gt;重复Bug")+COUNTIFS(缺陷明细!$A$2:$A$50000,$B$4,缺陷明细!$G$2:$G$50000,$C38,缺陷明细!$J$2:$J$50000,"运维测试",缺陷明细!$K$2:$K$50000,"严重",缺陷明细!$AA$2:$AA$50000,"&lt;&gt;丢弃",缺陷明细!$AA$2:$AA$50000,"&lt;&gt;设计如此",缺陷明细!$AA$2:$AA$50000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51"/>
    </row>
    <row r="39" spans="1:37">
      <c r="A39">
        <v>35</v>
      </c>
      <c r="B39" s="347">
        <v>497</v>
      </c>
      <c r="C39" s="58" t="s">
        <v>385</v>
      </c>
      <c r="D39" s="84" t="s">
        <v>468</v>
      </c>
      <c r="E39" s="82" t="s">
        <v>472</v>
      </c>
      <c r="F39" s="322">
        <v>12</v>
      </c>
      <c r="G39" s="323">
        <v>4</v>
      </c>
      <c r="H39" s="305">
        <f>COUNTIFS(缺陷明细!$A$2:$A$50000,$B$4,缺陷明细!$G$2:$G$50000,$C39,缺陷明细!$J$2:$J$50000,"评审",缺陷明细!$AA$2:$AA$50000,"&lt;&gt;丢弃",缺陷明细!$AA$2:$AA$50000,"&lt;&gt;设计如此",缺陷明细!$AA$2:$AA$50000,"&lt;&gt;重复Bug")</f>
        <v>0</v>
      </c>
      <c r="I39" s="161">
        <f>COUNTIFS(缺陷明细!$A$2:$A$50000,$B$4,缺陷明细!$G$2:$G$50000,$C39,缺陷明细!$Q$2:$Q$50000,"已关闭",缺陷明细!$J$2:$J$50000,"评审")</f>
        <v>0</v>
      </c>
      <c r="J39" s="161">
        <f>COUNTIFS(缺陷明细!$A$2:$A$50000,$B$4,缺陷明细!$G$2:$G$50000,$C39,缺陷明细!$J$2:$J$50000,"单元测试",缺陷明细!$AA$2:$AA$50000,"&lt;&gt;丢弃",缺陷明细!$AA$2:$AA$50000,"&lt;&gt;设计如此",缺陷明细!$AA$2:$AA$50000,"&lt;&gt;重复Bug")</f>
        <v>0</v>
      </c>
      <c r="K39" s="162">
        <f>COUNTIFS(缺陷明细!$A$2:$A$50000,$B$4,缺陷明细!$G$2:$G$50000,$C39,缺陷明细!$Q$2:$Q$50000,"已关闭",缺陷明细!$J$2:$J$50000,"单元测试")</f>
        <v>0</v>
      </c>
      <c r="L39" s="163"/>
      <c r="M39" s="164"/>
      <c r="N39" s="72">
        <f>COUNTIFS(缺陷明细!$A$2:$A$50000,$B$4,缺陷明细!$G$2:$G$50000,$C39,缺陷明细!$J$2:$J$50000,"系统测试案例评审",缺陷明细!$AA$2:$AA$50000,"&lt;&gt;丢弃",缺陷明细!$AA$2:$AA$50000,"&lt;&gt;设计如此",缺陷明细!$AA$2:$AA$50000,"&lt;&gt;重复Bug")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COUNTIFS(缺陷明细!$A$2:$A$50000,$B$4,缺陷明细!$G$2:$G$50000,$C39,缺陷明细!$J$2:$J$50000,"系统测试",缺陷明细!$AA$2:$AA$50000,"&lt;&gt;丢弃",缺陷明细!$AA$2:$AA$50000,"&lt;&gt;设计如此",缺陷明细!$AA$2:$AA$50000,"&lt;&gt;重复Bug")</f>
        <v>0</v>
      </c>
      <c r="Q39" s="72">
        <f>COUNTIFS(缺陷明细!$A$2:$A$50000,$B$4,缺陷明细!$G$2:$G$50000,$C39,缺陷明细!$Q$2:$Q$50000,"已关闭",缺陷明细!$J$2:$J$50000,"系统测试")</f>
        <v>0</v>
      </c>
      <c r="R39" s="354">
        <f>COUNTIFS(缺陷明细!$A$2:$A$50000,$B$4,缺陷明细!$G$2:$G$50000,$C39,缺陷明细!$AA$2:$AA$50000,"丢弃",缺陷明细!$J$2:$J$50000,"系统测试")+COUNTIFS(缺陷明细!$A$2:$A$50000,$B$4,缺陷明细!$G$2:$G$50000,$C39,缺陷明细!$AA$2:$AA$50000,"设计如此",缺陷明细!$J$2:$J$50000,"系统测试")+COUNTIFS(缺陷明细!$A$2:$A$50000,$B$4,缺陷明细!$G$2:$G$50000,$C39,缺陷明细!$AA$2:$AA$50000,"重复Bug",缺陷明细!$J$2:$J$50000,"系统测试")</f>
        <v>0</v>
      </c>
      <c r="S39" s="72">
        <f>COUNTIFS(缺陷明细!$A$2:$A$50000,$B$4,缺陷明细!$G$2:$G$50000,$C39,缺陷明细!$J$2:$J$50000,"系统测试",缺陷明细!$K$2:$K$50000,"致命",缺陷明细!$AA$2:$AA$50000,"&lt;&gt;丢弃",缺陷明细!$AA$2:$AA$50000,"&lt;&gt;设计如此",缺陷明细!$AA$2:$AA$50000,"&lt;&gt;重复Bug")+COUNTIFS(缺陷明细!$A$2:$A$50000,$B$4,缺陷明细!$G$2:$G$50000,$C39,缺陷明细!$J$2:$J$50000,"系统测试",缺陷明细!$K$2:$K$50000,"严重",缺陷明细!$AA$2:$AA$50000,"&lt;&gt;丢弃",缺陷明细!$AA$2:$AA$50000,"&lt;&gt;设计如此",缺陷明细!$AA$2:$AA$50000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COUNTIFS(缺陷明细!$A$2:$A$50000,$B$4,缺陷明细!$G$2:$G$50000,$C39,缺陷明细!$J$2:$J$50000,"验收测试",缺陷明细!$AA$2:$AA$50000,"&lt;&gt;丢弃",缺陷明细!$AA$2:$AA$50000,"&lt;&gt;设计如此",缺陷明细!$AA$2:$AA$50000,"&lt;&gt;重复Bug")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A$2:$AA$50000,"&lt;&gt;丢弃",缺陷明细!$AA$2:$AA$50000,"&lt;&gt;设计如此",缺陷明细!$AA$2:$AA$50000,"&lt;&gt;重复Bug")+COUNTIFS(缺陷明细!$A$2:$A$50000,$B$4,缺陷明细!$G$2:$G$50000,$C39,缺陷明细!$J$2:$J$50000,"验收测试",缺陷明细!$K$2:$K$50000,"严重",缺陷明细!$AA$2:$AA$50000,"&lt;&gt;丢弃",缺陷明细!$AA$2:$AA$50000,"&lt;&gt;设计如此",缺陷明细!$AA$2:$AA$50000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COUNTIFS(缺陷明细!$A$2:$A$50000,$B$4,缺陷明细!$G$2:$G$50000,$C39,缺陷明细!$J$2:$J$50000,"运维测试",缺陷明细!$AA$2:$AA$50000,"&lt;&gt;丢弃",缺陷明细!$AA$2:$AA$50000,"&lt;&gt;设计如此",缺陷明细!$AA$2:$AA$50000,"&lt;&gt;重复Bug")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A$2:$AA$50000,"&lt;&gt;丢弃",缺陷明细!$AA$2:$AA$50000,"&lt;&gt;设计如此",缺陷明细!$AA$2:$AA$50000,"&lt;&gt;重复Bug")+COUNTIFS(缺陷明细!$A$2:$A$50000,$B$4,缺陷明细!$G$2:$G$50000,$C39,缺陷明细!$J$2:$J$50000,"运维测试",缺陷明细!$K$2:$K$50000,"严重",缺陷明细!$AA$2:$AA$50000,"&lt;&gt;丢弃",缺陷明细!$AA$2:$AA$50000,"&lt;&gt;设计如此",缺陷明细!$AA$2:$AA$50000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51"/>
    </row>
    <row r="40" spans="1:37">
      <c r="A40">
        <v>36</v>
      </c>
      <c r="B40" s="347">
        <v>499</v>
      </c>
      <c r="C40" s="58" t="s">
        <v>386</v>
      </c>
      <c r="D40" s="84" t="s">
        <v>467</v>
      </c>
      <c r="E40" s="82" t="s">
        <v>472</v>
      </c>
      <c r="F40" s="322">
        <v>24</v>
      </c>
      <c r="G40" s="323">
        <v>24</v>
      </c>
      <c r="H40" s="305">
        <f>COUNTIFS(缺陷明细!$A$2:$A$50000,$B$4,缺陷明细!$G$2:$G$50000,$C40,缺陷明细!$J$2:$J$50000,"评审",缺陷明细!$AA$2:$AA$50000,"&lt;&gt;丢弃",缺陷明细!$AA$2:$AA$50000,"&lt;&gt;设计如此",缺陷明细!$AA$2:$AA$50000,"&lt;&gt;重复Bug")</f>
        <v>0</v>
      </c>
      <c r="I40" s="161">
        <f>COUNTIFS(缺陷明细!$A$2:$A$50000,$B$4,缺陷明细!$G$2:$G$50000,$C40,缺陷明细!$Q$2:$Q$50000,"已关闭",缺陷明细!$J$2:$J$50000,"评审")</f>
        <v>0</v>
      </c>
      <c r="J40" s="161">
        <f>COUNTIFS(缺陷明细!$A$2:$A$50000,$B$4,缺陷明细!$G$2:$G$50000,$C40,缺陷明细!$J$2:$J$50000,"单元测试",缺陷明细!$AA$2:$AA$50000,"&lt;&gt;丢弃",缺陷明细!$AA$2:$AA$50000,"&lt;&gt;设计如此",缺陷明细!$AA$2:$AA$50000,"&lt;&gt;重复Bug")</f>
        <v>0</v>
      </c>
      <c r="K40" s="162">
        <f>COUNTIFS(缺陷明细!$A$2:$A$50000,$B$4,缺陷明细!$G$2:$G$50000,$C40,缺陷明细!$Q$2:$Q$50000,"已关闭",缺陷明细!$J$2:$J$50000,"单元测试")</f>
        <v>0</v>
      </c>
      <c r="L40" s="163"/>
      <c r="M40" s="164"/>
      <c r="N40" s="72">
        <f>COUNTIFS(缺陷明细!$A$2:$A$50000,$B$4,缺陷明细!$G$2:$G$50000,$C40,缺陷明细!$J$2:$J$50000,"系统测试案例评审",缺陷明细!$AA$2:$AA$50000,"&lt;&gt;丢弃",缺陷明细!$AA$2:$AA$50000,"&lt;&gt;设计如此",缺陷明细!$AA$2:$AA$50000,"&lt;&gt;重复Bug")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COUNTIFS(缺陷明细!$A$2:$A$50000,$B$4,缺陷明细!$G$2:$G$50000,$C40,缺陷明细!$J$2:$J$50000,"系统测试",缺陷明细!$AA$2:$AA$50000,"&lt;&gt;丢弃",缺陷明细!$AA$2:$AA$50000,"&lt;&gt;设计如此",缺陷明细!$AA$2:$AA$50000,"&lt;&gt;重复Bug")</f>
        <v>0</v>
      </c>
      <c r="Q40" s="72">
        <f>COUNTIFS(缺陷明细!$A$2:$A$50000,$B$4,缺陷明细!$G$2:$G$50000,$C40,缺陷明细!$Q$2:$Q$50000,"已关闭",缺陷明细!$J$2:$J$50000,"系统测试")</f>
        <v>0</v>
      </c>
      <c r="R40" s="354">
        <f>COUNTIFS(缺陷明细!$A$2:$A$50000,$B$4,缺陷明细!$G$2:$G$50000,$C40,缺陷明细!$AA$2:$AA$50000,"丢弃",缺陷明细!$J$2:$J$50000,"系统测试")+COUNTIFS(缺陷明细!$A$2:$A$50000,$B$4,缺陷明细!$G$2:$G$50000,$C40,缺陷明细!$AA$2:$AA$50000,"设计如此",缺陷明细!$J$2:$J$50000,"系统测试")+COUNTIFS(缺陷明细!$A$2:$A$50000,$B$4,缺陷明细!$G$2:$G$50000,$C40,缺陷明细!$AA$2:$AA$50000,"重复Bug",缺陷明细!$J$2:$J$50000,"系统测试")</f>
        <v>0</v>
      </c>
      <c r="S40" s="72">
        <f>COUNTIFS(缺陷明细!$A$2:$A$50000,$B$4,缺陷明细!$G$2:$G$50000,$C40,缺陷明细!$J$2:$J$50000,"系统测试",缺陷明细!$K$2:$K$50000,"致命",缺陷明细!$AA$2:$AA$50000,"&lt;&gt;丢弃",缺陷明细!$AA$2:$AA$50000,"&lt;&gt;设计如此",缺陷明细!$AA$2:$AA$50000,"&lt;&gt;重复Bug")+COUNTIFS(缺陷明细!$A$2:$A$50000,$B$4,缺陷明细!$G$2:$G$50000,$C40,缺陷明细!$J$2:$J$50000,"系统测试",缺陷明细!$K$2:$K$50000,"严重",缺陷明细!$AA$2:$AA$50000,"&lt;&gt;丢弃",缺陷明细!$AA$2:$AA$50000,"&lt;&gt;设计如此",缺陷明细!$AA$2:$AA$50000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COUNTIFS(缺陷明细!$A$2:$A$50000,$B$4,缺陷明细!$G$2:$G$50000,$C40,缺陷明细!$J$2:$J$50000,"验收测试",缺陷明细!$AA$2:$AA$50000,"&lt;&gt;丢弃",缺陷明细!$AA$2:$AA$50000,"&lt;&gt;设计如此",缺陷明细!$AA$2:$AA$50000,"&lt;&gt;重复Bug")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A$2:$AA$50000,"&lt;&gt;丢弃",缺陷明细!$AA$2:$AA$50000,"&lt;&gt;设计如此",缺陷明细!$AA$2:$AA$50000,"&lt;&gt;重复Bug")+COUNTIFS(缺陷明细!$A$2:$A$50000,$B$4,缺陷明细!$G$2:$G$50000,$C40,缺陷明细!$J$2:$J$50000,"验收测试",缺陷明细!$K$2:$K$50000,"严重",缺陷明细!$AA$2:$AA$50000,"&lt;&gt;丢弃",缺陷明细!$AA$2:$AA$50000,"&lt;&gt;设计如此",缺陷明细!$AA$2:$AA$50000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COUNTIFS(缺陷明细!$A$2:$A$50000,$B$4,缺陷明细!$G$2:$G$50000,$C40,缺陷明细!$J$2:$J$50000,"运维测试",缺陷明细!$AA$2:$AA$50000,"&lt;&gt;丢弃",缺陷明细!$AA$2:$AA$50000,"&lt;&gt;设计如此",缺陷明细!$AA$2:$AA$50000,"&lt;&gt;重复Bug")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A$2:$AA$50000,"&lt;&gt;丢弃",缺陷明细!$AA$2:$AA$50000,"&lt;&gt;设计如此",缺陷明细!$AA$2:$AA$50000,"&lt;&gt;重复Bug")+COUNTIFS(缺陷明细!$A$2:$A$50000,$B$4,缺陷明细!$G$2:$G$50000,$C40,缺陷明细!$J$2:$J$50000,"运维测试",缺陷明细!$K$2:$K$50000,"严重",缺陷明细!$AA$2:$AA$50000,"&lt;&gt;丢弃",缺陷明细!$AA$2:$AA$50000,"&lt;&gt;设计如此",缺陷明细!$AA$2:$AA$50000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51"/>
    </row>
    <row r="41" spans="1:37">
      <c r="A41">
        <v>37</v>
      </c>
      <c r="B41" s="347">
        <v>500</v>
      </c>
      <c r="C41" s="58" t="s">
        <v>387</v>
      </c>
      <c r="D41" s="84" t="s">
        <v>468</v>
      </c>
      <c r="E41" s="82" t="s">
        <v>472</v>
      </c>
      <c r="F41" s="322">
        <v>16</v>
      </c>
      <c r="G41" s="323">
        <v>10</v>
      </c>
      <c r="H41" s="305">
        <f>COUNTIFS(缺陷明细!$A$2:$A$50000,$B$4,缺陷明细!$G$2:$G$50000,$C41,缺陷明细!$J$2:$J$50000,"评审",缺陷明细!$AA$2:$AA$50000,"&lt;&gt;丢弃",缺陷明细!$AA$2:$AA$50000,"&lt;&gt;设计如此",缺陷明细!$AA$2:$AA$50000,"&lt;&gt;重复Bug")</f>
        <v>0</v>
      </c>
      <c r="I41" s="161">
        <f>COUNTIFS(缺陷明细!$A$2:$A$50000,$B$4,缺陷明细!$G$2:$G$50000,$C41,缺陷明细!$Q$2:$Q$50000,"已关闭",缺陷明细!$J$2:$J$50000,"评审")</f>
        <v>0</v>
      </c>
      <c r="J41" s="161">
        <f>COUNTIFS(缺陷明细!$A$2:$A$50000,$B$4,缺陷明细!$G$2:$G$50000,$C41,缺陷明细!$J$2:$J$50000,"单元测试",缺陷明细!$AA$2:$AA$50000,"&lt;&gt;丢弃",缺陷明细!$AA$2:$AA$50000,"&lt;&gt;设计如此",缺陷明细!$AA$2:$AA$50000,"&lt;&gt;重复Bug")</f>
        <v>0</v>
      </c>
      <c r="K41" s="162">
        <f>COUNTIFS(缺陷明细!$A$2:$A$50000,$B$4,缺陷明细!$G$2:$G$50000,$C41,缺陷明细!$Q$2:$Q$50000,"已关闭",缺陷明细!$J$2:$J$50000,"单元测试")</f>
        <v>0</v>
      </c>
      <c r="L41" s="163"/>
      <c r="M41" s="164"/>
      <c r="N41" s="72">
        <f>COUNTIFS(缺陷明细!$A$2:$A$50000,$B$4,缺陷明细!$G$2:$G$50000,$C41,缺陷明细!$J$2:$J$50000,"系统测试案例评审",缺陷明细!$AA$2:$AA$50000,"&lt;&gt;丢弃",缺陷明细!$AA$2:$AA$50000,"&lt;&gt;设计如此",缺陷明细!$AA$2:$AA$50000,"&lt;&gt;重复Bug")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COUNTIFS(缺陷明细!$A$2:$A$50000,$B$4,缺陷明细!$G$2:$G$50000,$C41,缺陷明细!$J$2:$J$50000,"系统测试",缺陷明细!$AA$2:$AA$50000,"&lt;&gt;丢弃",缺陷明细!$AA$2:$AA$50000,"&lt;&gt;设计如此",缺陷明细!$AA$2:$AA$50000,"&lt;&gt;重复Bug")</f>
        <v>0</v>
      </c>
      <c r="Q41" s="72">
        <f>COUNTIFS(缺陷明细!$A$2:$A$50000,$B$4,缺陷明细!$G$2:$G$50000,$C41,缺陷明细!$Q$2:$Q$50000,"已关闭",缺陷明细!$J$2:$J$50000,"系统测试")</f>
        <v>0</v>
      </c>
      <c r="R41" s="354">
        <f>COUNTIFS(缺陷明细!$A$2:$A$50000,$B$4,缺陷明细!$G$2:$G$50000,$C41,缺陷明细!$AA$2:$AA$50000,"丢弃",缺陷明细!$J$2:$J$50000,"系统测试")+COUNTIFS(缺陷明细!$A$2:$A$50000,$B$4,缺陷明细!$G$2:$G$50000,$C41,缺陷明细!$AA$2:$AA$50000,"设计如此",缺陷明细!$J$2:$J$50000,"系统测试")+COUNTIFS(缺陷明细!$A$2:$A$50000,$B$4,缺陷明细!$G$2:$G$50000,$C41,缺陷明细!$AA$2:$AA$50000,"重复Bug",缺陷明细!$J$2:$J$50000,"系统测试")</f>
        <v>0</v>
      </c>
      <c r="S41" s="72">
        <f>COUNTIFS(缺陷明细!$A$2:$A$50000,$B$4,缺陷明细!$G$2:$G$50000,$C41,缺陷明细!$J$2:$J$50000,"系统测试",缺陷明细!$K$2:$K$50000,"致命",缺陷明细!$AA$2:$AA$50000,"&lt;&gt;丢弃",缺陷明细!$AA$2:$AA$50000,"&lt;&gt;设计如此",缺陷明细!$AA$2:$AA$50000,"&lt;&gt;重复Bug")+COUNTIFS(缺陷明细!$A$2:$A$50000,$B$4,缺陷明细!$G$2:$G$50000,$C41,缺陷明细!$J$2:$J$50000,"系统测试",缺陷明细!$K$2:$K$50000,"严重",缺陷明细!$AA$2:$AA$50000,"&lt;&gt;丢弃",缺陷明细!$AA$2:$AA$50000,"&lt;&gt;设计如此",缺陷明细!$AA$2:$AA$50000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COUNTIFS(缺陷明细!$A$2:$A$50000,$B$4,缺陷明细!$G$2:$G$50000,$C41,缺陷明细!$J$2:$J$50000,"验收测试",缺陷明细!$AA$2:$AA$50000,"&lt;&gt;丢弃",缺陷明细!$AA$2:$AA$50000,"&lt;&gt;设计如此",缺陷明细!$AA$2:$AA$50000,"&lt;&gt;重复Bug")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A$2:$AA$50000,"&lt;&gt;丢弃",缺陷明细!$AA$2:$AA$50000,"&lt;&gt;设计如此",缺陷明细!$AA$2:$AA$50000,"&lt;&gt;重复Bug")+COUNTIFS(缺陷明细!$A$2:$A$50000,$B$4,缺陷明细!$G$2:$G$50000,$C41,缺陷明细!$J$2:$J$50000,"验收测试",缺陷明细!$K$2:$K$50000,"严重",缺陷明细!$AA$2:$AA$50000,"&lt;&gt;丢弃",缺陷明细!$AA$2:$AA$50000,"&lt;&gt;设计如此",缺陷明细!$AA$2:$AA$50000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COUNTIFS(缺陷明细!$A$2:$A$50000,$B$4,缺陷明细!$G$2:$G$50000,$C41,缺陷明细!$J$2:$J$50000,"运维测试",缺陷明细!$AA$2:$AA$50000,"&lt;&gt;丢弃",缺陷明细!$AA$2:$AA$50000,"&lt;&gt;设计如此",缺陷明细!$AA$2:$AA$50000,"&lt;&gt;重复Bug")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A$2:$AA$50000,"&lt;&gt;丢弃",缺陷明细!$AA$2:$AA$50000,"&lt;&gt;设计如此",缺陷明细!$AA$2:$AA$50000,"&lt;&gt;重复Bug")+COUNTIFS(缺陷明细!$A$2:$A$50000,$B$4,缺陷明细!$G$2:$G$50000,$C41,缺陷明细!$J$2:$J$50000,"运维测试",缺陷明细!$K$2:$K$50000,"严重",缺陷明细!$AA$2:$AA$50000,"&lt;&gt;丢弃",缺陷明细!$AA$2:$AA$50000,"&lt;&gt;设计如此",缺陷明细!$AA$2:$AA$50000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51"/>
    </row>
    <row r="42" spans="1:37" ht="26.4">
      <c r="A42">
        <v>38</v>
      </c>
      <c r="B42" s="347">
        <v>501</v>
      </c>
      <c r="C42" s="58" t="s">
        <v>388</v>
      </c>
      <c r="D42" s="84"/>
      <c r="E42" s="82" t="s">
        <v>472</v>
      </c>
      <c r="F42" s="322">
        <v>4</v>
      </c>
      <c r="G42" s="323">
        <v>3</v>
      </c>
      <c r="H42" s="305">
        <f>COUNTIFS(缺陷明细!$A$2:$A$50000,$B$4,缺陷明细!$G$2:$G$50000,$C42,缺陷明细!$J$2:$J$50000,"评审",缺陷明细!$AA$2:$AA$50000,"&lt;&gt;丢弃",缺陷明细!$AA$2:$AA$50000,"&lt;&gt;设计如此",缺陷明细!$AA$2:$AA$50000,"&lt;&gt;重复Bug")</f>
        <v>0</v>
      </c>
      <c r="I42" s="161">
        <f>COUNTIFS(缺陷明细!$A$2:$A$50000,$B$4,缺陷明细!$G$2:$G$50000,$C42,缺陷明细!$Q$2:$Q$50000,"已关闭",缺陷明细!$J$2:$J$50000,"评审")</f>
        <v>0</v>
      </c>
      <c r="J42" s="161">
        <f>COUNTIFS(缺陷明细!$A$2:$A$50000,$B$4,缺陷明细!$G$2:$G$50000,$C42,缺陷明细!$J$2:$J$50000,"单元测试",缺陷明细!$AA$2:$AA$50000,"&lt;&gt;丢弃",缺陷明细!$AA$2:$AA$50000,"&lt;&gt;设计如此",缺陷明细!$AA$2:$AA$50000,"&lt;&gt;重复Bug")</f>
        <v>0</v>
      </c>
      <c r="K42" s="162">
        <f>COUNTIFS(缺陷明细!$A$2:$A$50000,$B$4,缺陷明细!$G$2:$G$50000,$C42,缺陷明细!$Q$2:$Q$50000,"已关闭",缺陷明细!$J$2:$J$50000,"单元测试")</f>
        <v>0</v>
      </c>
      <c r="L42" s="163"/>
      <c r="M42" s="164"/>
      <c r="N42" s="72">
        <f>COUNTIFS(缺陷明细!$A$2:$A$50000,$B$4,缺陷明细!$G$2:$G$50000,$C42,缺陷明细!$J$2:$J$50000,"系统测试案例评审",缺陷明细!$AA$2:$AA$50000,"&lt;&gt;丢弃",缺陷明细!$AA$2:$AA$50000,"&lt;&gt;设计如此",缺陷明细!$AA$2:$AA$50000,"&lt;&gt;重复Bug")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COUNTIFS(缺陷明细!$A$2:$A$50000,$B$4,缺陷明细!$G$2:$G$50000,$C42,缺陷明细!$J$2:$J$50000,"系统测试",缺陷明细!$AA$2:$AA$50000,"&lt;&gt;丢弃",缺陷明细!$AA$2:$AA$50000,"&lt;&gt;设计如此",缺陷明细!$AA$2:$AA$50000,"&lt;&gt;重复Bug")</f>
        <v>0</v>
      </c>
      <c r="Q42" s="72">
        <f>COUNTIFS(缺陷明细!$A$2:$A$50000,$B$4,缺陷明细!$G$2:$G$50000,$C42,缺陷明细!$Q$2:$Q$50000,"已关闭",缺陷明细!$J$2:$J$50000,"系统测试")</f>
        <v>0</v>
      </c>
      <c r="R42" s="354">
        <f>COUNTIFS(缺陷明细!$A$2:$A$50000,$B$4,缺陷明细!$G$2:$G$50000,$C42,缺陷明细!$AA$2:$AA$50000,"丢弃",缺陷明细!$J$2:$J$50000,"系统测试")+COUNTIFS(缺陷明细!$A$2:$A$50000,$B$4,缺陷明细!$G$2:$G$50000,$C42,缺陷明细!$AA$2:$AA$50000,"设计如此",缺陷明细!$J$2:$J$50000,"系统测试")+COUNTIFS(缺陷明细!$A$2:$A$50000,$B$4,缺陷明细!$G$2:$G$50000,$C42,缺陷明细!$AA$2:$AA$50000,"重复Bug",缺陷明细!$J$2:$J$50000,"系统测试")</f>
        <v>0</v>
      </c>
      <c r="S42" s="72">
        <f>COUNTIFS(缺陷明细!$A$2:$A$50000,$B$4,缺陷明细!$G$2:$G$50000,$C42,缺陷明细!$J$2:$J$50000,"系统测试",缺陷明细!$K$2:$K$50000,"致命",缺陷明细!$AA$2:$AA$50000,"&lt;&gt;丢弃",缺陷明细!$AA$2:$AA$50000,"&lt;&gt;设计如此",缺陷明细!$AA$2:$AA$50000,"&lt;&gt;重复Bug")+COUNTIFS(缺陷明细!$A$2:$A$50000,$B$4,缺陷明细!$G$2:$G$50000,$C42,缺陷明细!$J$2:$J$50000,"系统测试",缺陷明细!$K$2:$K$50000,"严重",缺陷明细!$AA$2:$AA$50000,"&lt;&gt;丢弃",缺陷明细!$AA$2:$AA$50000,"&lt;&gt;设计如此",缺陷明细!$AA$2:$AA$50000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COUNTIFS(缺陷明细!$A$2:$A$50000,$B$4,缺陷明细!$G$2:$G$50000,$C42,缺陷明细!$J$2:$J$50000,"验收测试",缺陷明细!$AA$2:$AA$50000,"&lt;&gt;丢弃",缺陷明细!$AA$2:$AA$50000,"&lt;&gt;设计如此",缺陷明细!$AA$2:$AA$50000,"&lt;&gt;重复Bug")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A$2:$AA$50000,"&lt;&gt;丢弃",缺陷明细!$AA$2:$AA$50000,"&lt;&gt;设计如此",缺陷明细!$AA$2:$AA$50000,"&lt;&gt;重复Bug")+COUNTIFS(缺陷明细!$A$2:$A$50000,$B$4,缺陷明细!$G$2:$G$50000,$C42,缺陷明细!$J$2:$J$50000,"验收测试",缺陷明细!$K$2:$K$50000,"严重",缺陷明细!$AA$2:$AA$50000,"&lt;&gt;丢弃",缺陷明细!$AA$2:$AA$50000,"&lt;&gt;设计如此",缺陷明细!$AA$2:$AA$50000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COUNTIFS(缺陷明细!$A$2:$A$50000,$B$4,缺陷明细!$G$2:$G$50000,$C42,缺陷明细!$J$2:$J$50000,"运维测试",缺陷明细!$AA$2:$AA$50000,"&lt;&gt;丢弃",缺陷明细!$AA$2:$AA$50000,"&lt;&gt;设计如此",缺陷明细!$AA$2:$AA$50000,"&lt;&gt;重复Bug")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A$2:$AA$50000,"&lt;&gt;丢弃",缺陷明细!$AA$2:$AA$50000,"&lt;&gt;设计如此",缺陷明细!$AA$2:$AA$50000,"&lt;&gt;重复Bug")+COUNTIFS(缺陷明细!$A$2:$A$50000,$B$4,缺陷明细!$G$2:$G$50000,$C42,缺陷明细!$J$2:$J$50000,"运维测试",缺陷明细!$K$2:$K$50000,"严重",缺陷明细!$AA$2:$AA$50000,"&lt;&gt;丢弃",缺陷明细!$AA$2:$AA$50000,"&lt;&gt;设计如此",缺陷明细!$AA$2:$AA$50000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51"/>
    </row>
    <row r="43" spans="1:37">
      <c r="A43">
        <v>39</v>
      </c>
      <c r="B43" s="347">
        <v>502</v>
      </c>
      <c r="C43" s="58" t="s">
        <v>389</v>
      </c>
      <c r="D43" s="84" t="s">
        <v>467</v>
      </c>
      <c r="E43" s="82" t="s">
        <v>472</v>
      </c>
      <c r="F43" s="322">
        <v>16</v>
      </c>
      <c r="G43" s="323">
        <v>12</v>
      </c>
      <c r="H43" s="305">
        <f>COUNTIFS(缺陷明细!$A$2:$A$50000,$B$4,缺陷明细!$G$2:$G$50000,$C43,缺陷明细!$J$2:$J$50000,"评审",缺陷明细!$AA$2:$AA$50000,"&lt;&gt;丢弃",缺陷明细!$AA$2:$AA$50000,"&lt;&gt;设计如此",缺陷明细!$AA$2:$AA$50000,"&lt;&gt;重复Bug")</f>
        <v>0</v>
      </c>
      <c r="I43" s="161">
        <f>COUNTIFS(缺陷明细!$A$2:$A$50000,$B$4,缺陷明细!$G$2:$G$50000,$C43,缺陷明细!$Q$2:$Q$50000,"已关闭",缺陷明细!$J$2:$J$50000,"评审")</f>
        <v>0</v>
      </c>
      <c r="J43" s="161">
        <f>COUNTIFS(缺陷明细!$A$2:$A$50000,$B$4,缺陷明细!$G$2:$G$50000,$C43,缺陷明细!$J$2:$J$50000,"单元测试",缺陷明细!$AA$2:$AA$50000,"&lt;&gt;丢弃",缺陷明细!$AA$2:$AA$50000,"&lt;&gt;设计如此",缺陷明细!$AA$2:$AA$50000,"&lt;&gt;重复Bug")</f>
        <v>0</v>
      </c>
      <c r="K43" s="162">
        <f>COUNTIFS(缺陷明细!$A$2:$A$50000,$B$4,缺陷明细!$G$2:$G$50000,$C43,缺陷明细!$Q$2:$Q$50000,"已关闭",缺陷明细!$J$2:$J$50000,"单元测试")</f>
        <v>0</v>
      </c>
      <c r="L43" s="163"/>
      <c r="M43" s="164"/>
      <c r="N43" s="72">
        <f>COUNTIFS(缺陷明细!$A$2:$A$50000,$B$4,缺陷明细!$G$2:$G$50000,$C43,缺陷明细!$J$2:$J$50000,"系统测试案例评审",缺陷明细!$AA$2:$AA$50000,"&lt;&gt;丢弃",缺陷明细!$AA$2:$AA$50000,"&lt;&gt;设计如此",缺陷明细!$AA$2:$AA$50000,"&lt;&gt;重复Bug")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COUNTIFS(缺陷明细!$A$2:$A$50000,$B$4,缺陷明细!$G$2:$G$50000,$C43,缺陷明细!$J$2:$J$50000,"系统测试",缺陷明细!$AA$2:$AA$50000,"&lt;&gt;丢弃",缺陷明细!$AA$2:$AA$50000,"&lt;&gt;设计如此",缺陷明细!$AA$2:$AA$50000,"&lt;&gt;重复Bug")</f>
        <v>0</v>
      </c>
      <c r="Q43" s="72">
        <f>COUNTIFS(缺陷明细!$A$2:$A$50000,$B$4,缺陷明细!$G$2:$G$50000,$C43,缺陷明细!$Q$2:$Q$50000,"已关闭",缺陷明细!$J$2:$J$50000,"系统测试")</f>
        <v>0</v>
      </c>
      <c r="R43" s="354">
        <f>COUNTIFS(缺陷明细!$A$2:$A$50000,$B$4,缺陷明细!$G$2:$G$50000,$C43,缺陷明细!$AA$2:$AA$50000,"丢弃",缺陷明细!$J$2:$J$50000,"系统测试")+COUNTIFS(缺陷明细!$A$2:$A$50000,$B$4,缺陷明细!$G$2:$G$50000,$C43,缺陷明细!$AA$2:$AA$50000,"设计如此",缺陷明细!$J$2:$J$50000,"系统测试")+COUNTIFS(缺陷明细!$A$2:$A$50000,$B$4,缺陷明细!$G$2:$G$50000,$C43,缺陷明细!$AA$2:$AA$50000,"重复Bug",缺陷明细!$J$2:$J$50000,"系统测试")</f>
        <v>0</v>
      </c>
      <c r="S43" s="72">
        <f>COUNTIFS(缺陷明细!$A$2:$A$50000,$B$4,缺陷明细!$G$2:$G$50000,$C43,缺陷明细!$J$2:$J$50000,"系统测试",缺陷明细!$K$2:$K$50000,"致命",缺陷明细!$AA$2:$AA$50000,"&lt;&gt;丢弃",缺陷明细!$AA$2:$AA$50000,"&lt;&gt;设计如此",缺陷明细!$AA$2:$AA$50000,"&lt;&gt;重复Bug")+COUNTIFS(缺陷明细!$A$2:$A$50000,$B$4,缺陷明细!$G$2:$G$50000,$C43,缺陷明细!$J$2:$J$50000,"系统测试",缺陷明细!$K$2:$K$50000,"严重",缺陷明细!$AA$2:$AA$50000,"&lt;&gt;丢弃",缺陷明细!$AA$2:$AA$50000,"&lt;&gt;设计如此",缺陷明细!$AA$2:$AA$50000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COUNTIFS(缺陷明细!$A$2:$A$50000,$B$4,缺陷明细!$G$2:$G$50000,$C43,缺陷明细!$J$2:$J$50000,"验收测试",缺陷明细!$AA$2:$AA$50000,"&lt;&gt;丢弃",缺陷明细!$AA$2:$AA$50000,"&lt;&gt;设计如此",缺陷明细!$AA$2:$AA$50000,"&lt;&gt;重复Bug")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A$2:$AA$50000,"&lt;&gt;丢弃",缺陷明细!$AA$2:$AA$50000,"&lt;&gt;设计如此",缺陷明细!$AA$2:$AA$50000,"&lt;&gt;重复Bug")+COUNTIFS(缺陷明细!$A$2:$A$50000,$B$4,缺陷明细!$G$2:$G$50000,$C43,缺陷明细!$J$2:$J$50000,"验收测试",缺陷明细!$K$2:$K$50000,"严重",缺陷明细!$AA$2:$AA$50000,"&lt;&gt;丢弃",缺陷明细!$AA$2:$AA$50000,"&lt;&gt;设计如此",缺陷明细!$AA$2:$AA$50000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COUNTIFS(缺陷明细!$A$2:$A$50000,$B$4,缺陷明细!$G$2:$G$50000,$C43,缺陷明细!$J$2:$J$50000,"运维测试",缺陷明细!$AA$2:$AA$50000,"&lt;&gt;丢弃",缺陷明细!$AA$2:$AA$50000,"&lt;&gt;设计如此",缺陷明细!$AA$2:$AA$50000,"&lt;&gt;重复Bug")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A$2:$AA$50000,"&lt;&gt;丢弃",缺陷明细!$AA$2:$AA$50000,"&lt;&gt;设计如此",缺陷明细!$AA$2:$AA$50000,"&lt;&gt;重复Bug")+COUNTIFS(缺陷明细!$A$2:$A$50000,$B$4,缺陷明细!$G$2:$G$50000,$C43,缺陷明细!$J$2:$J$50000,"运维测试",缺陷明细!$K$2:$K$50000,"严重",缺陷明细!$AA$2:$AA$50000,"&lt;&gt;丢弃",缺陷明细!$AA$2:$AA$50000,"&lt;&gt;设计如此",缺陷明细!$AA$2:$AA$50000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51"/>
    </row>
    <row r="44" spans="1:37">
      <c r="A44">
        <v>40</v>
      </c>
      <c r="B44" s="347">
        <v>503</v>
      </c>
      <c r="C44" s="58" t="s">
        <v>390</v>
      </c>
      <c r="D44" s="84" t="s">
        <v>468</v>
      </c>
      <c r="E44" s="82" t="s">
        <v>472</v>
      </c>
      <c r="F44" s="322">
        <v>24</v>
      </c>
      <c r="G44" s="323">
        <v>0</v>
      </c>
      <c r="H44" s="305">
        <f>COUNTIFS(缺陷明细!$A$2:$A$50000,$B$4,缺陷明细!$G$2:$G$50000,$C44,缺陷明细!$J$2:$J$50000,"评审",缺陷明细!$AA$2:$AA$50000,"&lt;&gt;丢弃",缺陷明细!$AA$2:$AA$50000,"&lt;&gt;设计如此",缺陷明细!$AA$2:$AA$50000,"&lt;&gt;重复Bug")</f>
        <v>0</v>
      </c>
      <c r="I44" s="161">
        <f>COUNTIFS(缺陷明细!$A$2:$A$50000,$B$4,缺陷明细!$G$2:$G$50000,$C44,缺陷明细!$Q$2:$Q$50000,"已关闭",缺陷明细!$J$2:$J$50000,"评审")</f>
        <v>0</v>
      </c>
      <c r="J44" s="161">
        <f>COUNTIFS(缺陷明细!$A$2:$A$50000,$B$4,缺陷明细!$G$2:$G$50000,$C44,缺陷明细!$J$2:$J$50000,"单元测试",缺陷明细!$AA$2:$AA$50000,"&lt;&gt;丢弃",缺陷明细!$AA$2:$AA$50000,"&lt;&gt;设计如此",缺陷明细!$AA$2:$AA$50000,"&lt;&gt;重复Bug")</f>
        <v>0</v>
      </c>
      <c r="K44" s="162">
        <f>COUNTIFS(缺陷明细!$A$2:$A$50000,$B$4,缺陷明细!$G$2:$G$50000,$C44,缺陷明细!$Q$2:$Q$50000,"已关闭",缺陷明细!$J$2:$J$50000,"单元测试")</f>
        <v>0</v>
      </c>
      <c r="L44" s="163"/>
      <c r="M44" s="164"/>
      <c r="N44" s="72">
        <f>COUNTIFS(缺陷明细!$A$2:$A$50000,$B$4,缺陷明细!$G$2:$G$50000,$C44,缺陷明细!$J$2:$J$50000,"系统测试案例评审",缺陷明细!$AA$2:$AA$50000,"&lt;&gt;丢弃",缺陷明细!$AA$2:$AA$50000,"&lt;&gt;设计如此",缺陷明细!$AA$2:$AA$50000,"&lt;&gt;重复Bug")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COUNTIFS(缺陷明细!$A$2:$A$50000,$B$4,缺陷明细!$G$2:$G$50000,$C44,缺陷明细!$J$2:$J$50000,"系统测试",缺陷明细!$AA$2:$AA$50000,"&lt;&gt;丢弃",缺陷明细!$AA$2:$AA$50000,"&lt;&gt;设计如此",缺陷明细!$AA$2:$AA$50000,"&lt;&gt;重复Bug")</f>
        <v>0</v>
      </c>
      <c r="Q44" s="72">
        <f>COUNTIFS(缺陷明细!$A$2:$A$50000,$B$4,缺陷明细!$G$2:$G$50000,$C44,缺陷明细!$Q$2:$Q$50000,"已关闭",缺陷明细!$J$2:$J$50000,"系统测试")</f>
        <v>0</v>
      </c>
      <c r="R44" s="354">
        <f>COUNTIFS(缺陷明细!$A$2:$A$50000,$B$4,缺陷明细!$G$2:$G$50000,$C44,缺陷明细!$AA$2:$AA$50000,"丢弃",缺陷明细!$J$2:$J$50000,"系统测试")+COUNTIFS(缺陷明细!$A$2:$A$50000,$B$4,缺陷明细!$G$2:$G$50000,$C44,缺陷明细!$AA$2:$AA$50000,"设计如此",缺陷明细!$J$2:$J$50000,"系统测试")+COUNTIFS(缺陷明细!$A$2:$A$50000,$B$4,缺陷明细!$G$2:$G$50000,$C44,缺陷明细!$AA$2:$AA$50000,"重复Bug",缺陷明细!$J$2:$J$50000,"系统测试")</f>
        <v>0</v>
      </c>
      <c r="S44" s="72">
        <f>COUNTIFS(缺陷明细!$A$2:$A$50000,$B$4,缺陷明细!$G$2:$G$50000,$C44,缺陷明细!$J$2:$J$50000,"系统测试",缺陷明细!$K$2:$K$50000,"致命",缺陷明细!$AA$2:$AA$50000,"&lt;&gt;丢弃",缺陷明细!$AA$2:$AA$50000,"&lt;&gt;设计如此",缺陷明细!$AA$2:$AA$50000,"&lt;&gt;重复Bug")+COUNTIFS(缺陷明细!$A$2:$A$50000,$B$4,缺陷明细!$G$2:$G$50000,$C44,缺陷明细!$J$2:$J$50000,"系统测试",缺陷明细!$K$2:$K$50000,"严重",缺陷明细!$AA$2:$AA$50000,"&lt;&gt;丢弃",缺陷明细!$AA$2:$AA$50000,"&lt;&gt;设计如此",缺陷明细!$AA$2:$AA$50000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COUNTIFS(缺陷明细!$A$2:$A$50000,$B$4,缺陷明细!$G$2:$G$50000,$C44,缺陷明细!$J$2:$J$50000,"验收测试",缺陷明细!$AA$2:$AA$50000,"&lt;&gt;丢弃",缺陷明细!$AA$2:$AA$50000,"&lt;&gt;设计如此",缺陷明细!$AA$2:$AA$50000,"&lt;&gt;重复Bug")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A$2:$AA$50000,"&lt;&gt;丢弃",缺陷明细!$AA$2:$AA$50000,"&lt;&gt;设计如此",缺陷明细!$AA$2:$AA$50000,"&lt;&gt;重复Bug")+COUNTIFS(缺陷明细!$A$2:$A$50000,$B$4,缺陷明细!$G$2:$G$50000,$C44,缺陷明细!$J$2:$J$50000,"验收测试",缺陷明细!$K$2:$K$50000,"严重",缺陷明细!$AA$2:$AA$50000,"&lt;&gt;丢弃",缺陷明细!$AA$2:$AA$50000,"&lt;&gt;设计如此",缺陷明细!$AA$2:$AA$50000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COUNTIFS(缺陷明细!$A$2:$A$50000,$B$4,缺陷明细!$G$2:$G$50000,$C44,缺陷明细!$J$2:$J$50000,"运维测试",缺陷明细!$AA$2:$AA$50000,"&lt;&gt;丢弃",缺陷明细!$AA$2:$AA$50000,"&lt;&gt;设计如此",缺陷明细!$AA$2:$AA$50000,"&lt;&gt;重复Bug")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A$2:$AA$50000,"&lt;&gt;丢弃",缺陷明细!$AA$2:$AA$50000,"&lt;&gt;设计如此",缺陷明细!$AA$2:$AA$50000,"&lt;&gt;重复Bug")+COUNTIFS(缺陷明细!$A$2:$A$50000,$B$4,缺陷明细!$G$2:$G$50000,$C44,缺陷明细!$J$2:$J$50000,"运维测试",缺陷明细!$K$2:$K$50000,"严重",缺陷明细!$AA$2:$AA$50000,"&lt;&gt;丢弃",缺陷明细!$AA$2:$AA$50000,"&lt;&gt;设计如此",缺陷明细!$AA$2:$AA$50000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51"/>
    </row>
    <row r="45" spans="1:37">
      <c r="A45">
        <v>41</v>
      </c>
      <c r="B45" s="347">
        <v>504</v>
      </c>
      <c r="C45" s="58" t="s">
        <v>391</v>
      </c>
      <c r="D45" s="84" t="s">
        <v>467</v>
      </c>
      <c r="E45" s="82" t="s">
        <v>472</v>
      </c>
      <c r="F45" s="322">
        <v>8</v>
      </c>
      <c r="G45" s="323">
        <v>8</v>
      </c>
      <c r="H45" s="305">
        <f>COUNTIFS(缺陷明细!$A$2:$A$50000,$B$4,缺陷明细!$G$2:$G$50000,$C45,缺陷明细!$J$2:$J$50000,"评审",缺陷明细!$AA$2:$AA$50000,"&lt;&gt;丢弃",缺陷明细!$AA$2:$AA$50000,"&lt;&gt;设计如此",缺陷明细!$AA$2:$AA$50000,"&lt;&gt;重复Bug")</f>
        <v>0</v>
      </c>
      <c r="I45" s="161">
        <f>COUNTIFS(缺陷明细!$A$2:$A$50000,$B$4,缺陷明细!$G$2:$G$50000,$C45,缺陷明细!$Q$2:$Q$50000,"已关闭",缺陷明细!$J$2:$J$50000,"评审")</f>
        <v>0</v>
      </c>
      <c r="J45" s="161">
        <f>COUNTIFS(缺陷明细!$A$2:$A$50000,$B$4,缺陷明细!$G$2:$G$50000,$C45,缺陷明细!$J$2:$J$50000,"单元测试",缺陷明细!$AA$2:$AA$50000,"&lt;&gt;丢弃",缺陷明细!$AA$2:$AA$50000,"&lt;&gt;设计如此",缺陷明细!$AA$2:$AA$50000,"&lt;&gt;重复Bug")</f>
        <v>0</v>
      </c>
      <c r="K45" s="162">
        <f>COUNTIFS(缺陷明细!$A$2:$A$50000,$B$4,缺陷明细!$G$2:$G$50000,$C45,缺陷明细!$Q$2:$Q$50000,"已关闭",缺陷明细!$J$2:$J$50000,"单元测试")</f>
        <v>0</v>
      </c>
      <c r="L45" s="163"/>
      <c r="M45" s="164"/>
      <c r="N45" s="72">
        <f>COUNTIFS(缺陷明细!$A$2:$A$50000,$B$4,缺陷明细!$G$2:$G$50000,$C45,缺陷明细!$J$2:$J$50000,"系统测试案例评审",缺陷明细!$AA$2:$AA$50000,"&lt;&gt;丢弃",缺陷明细!$AA$2:$AA$50000,"&lt;&gt;设计如此",缺陷明细!$AA$2:$AA$50000,"&lt;&gt;重复Bug")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COUNTIFS(缺陷明细!$A$2:$A$50000,$B$4,缺陷明细!$G$2:$G$50000,$C45,缺陷明细!$J$2:$J$50000,"系统测试",缺陷明细!$AA$2:$AA$50000,"&lt;&gt;丢弃",缺陷明细!$AA$2:$AA$50000,"&lt;&gt;设计如此",缺陷明细!$AA$2:$AA$50000,"&lt;&gt;重复Bug")</f>
        <v>0</v>
      </c>
      <c r="Q45" s="72">
        <f>COUNTIFS(缺陷明细!$A$2:$A$50000,$B$4,缺陷明细!$G$2:$G$50000,$C45,缺陷明细!$Q$2:$Q$50000,"已关闭",缺陷明细!$J$2:$J$50000,"系统测试")</f>
        <v>0</v>
      </c>
      <c r="R45" s="354">
        <f>COUNTIFS(缺陷明细!$A$2:$A$50000,$B$4,缺陷明细!$G$2:$G$50000,$C45,缺陷明细!$AA$2:$AA$50000,"丢弃",缺陷明细!$J$2:$J$50000,"系统测试")+COUNTIFS(缺陷明细!$A$2:$A$50000,$B$4,缺陷明细!$G$2:$G$50000,$C45,缺陷明细!$AA$2:$AA$50000,"设计如此",缺陷明细!$J$2:$J$50000,"系统测试")+COUNTIFS(缺陷明细!$A$2:$A$50000,$B$4,缺陷明细!$G$2:$G$50000,$C45,缺陷明细!$AA$2:$AA$50000,"重复Bug",缺陷明细!$J$2:$J$50000,"系统测试")</f>
        <v>0</v>
      </c>
      <c r="S45" s="72">
        <f>COUNTIFS(缺陷明细!$A$2:$A$50000,$B$4,缺陷明细!$G$2:$G$50000,$C45,缺陷明细!$J$2:$J$50000,"系统测试",缺陷明细!$K$2:$K$50000,"致命",缺陷明细!$AA$2:$AA$50000,"&lt;&gt;丢弃",缺陷明细!$AA$2:$AA$50000,"&lt;&gt;设计如此",缺陷明细!$AA$2:$AA$50000,"&lt;&gt;重复Bug")+COUNTIFS(缺陷明细!$A$2:$A$50000,$B$4,缺陷明细!$G$2:$G$50000,$C45,缺陷明细!$J$2:$J$50000,"系统测试",缺陷明细!$K$2:$K$50000,"严重",缺陷明细!$AA$2:$AA$50000,"&lt;&gt;丢弃",缺陷明细!$AA$2:$AA$50000,"&lt;&gt;设计如此",缺陷明细!$AA$2:$AA$50000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COUNTIFS(缺陷明细!$A$2:$A$50000,$B$4,缺陷明细!$G$2:$G$50000,$C45,缺陷明细!$J$2:$J$50000,"验收测试",缺陷明细!$AA$2:$AA$50000,"&lt;&gt;丢弃",缺陷明细!$AA$2:$AA$50000,"&lt;&gt;设计如此",缺陷明细!$AA$2:$AA$50000,"&lt;&gt;重复Bug")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A$2:$AA$50000,"&lt;&gt;丢弃",缺陷明细!$AA$2:$AA$50000,"&lt;&gt;设计如此",缺陷明细!$AA$2:$AA$50000,"&lt;&gt;重复Bug")+COUNTIFS(缺陷明细!$A$2:$A$50000,$B$4,缺陷明细!$G$2:$G$50000,$C45,缺陷明细!$J$2:$J$50000,"验收测试",缺陷明细!$K$2:$K$50000,"严重",缺陷明细!$AA$2:$AA$50000,"&lt;&gt;丢弃",缺陷明细!$AA$2:$AA$50000,"&lt;&gt;设计如此",缺陷明细!$AA$2:$AA$50000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COUNTIFS(缺陷明细!$A$2:$A$50000,$B$4,缺陷明细!$G$2:$G$50000,$C45,缺陷明细!$J$2:$J$50000,"运维测试",缺陷明细!$AA$2:$AA$50000,"&lt;&gt;丢弃",缺陷明细!$AA$2:$AA$50000,"&lt;&gt;设计如此",缺陷明细!$AA$2:$AA$50000,"&lt;&gt;重复Bug")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A$2:$AA$50000,"&lt;&gt;丢弃",缺陷明细!$AA$2:$AA$50000,"&lt;&gt;设计如此",缺陷明细!$AA$2:$AA$50000,"&lt;&gt;重复Bug")+COUNTIFS(缺陷明细!$A$2:$A$50000,$B$4,缺陷明细!$G$2:$G$50000,$C45,缺陷明细!$J$2:$J$50000,"运维测试",缺陷明细!$K$2:$K$50000,"严重",缺陷明细!$AA$2:$AA$50000,"&lt;&gt;丢弃",缺陷明细!$AA$2:$AA$50000,"&lt;&gt;设计如此",缺陷明细!$AA$2:$AA$50000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51"/>
    </row>
    <row r="46" spans="1:37">
      <c r="A46">
        <v>42</v>
      </c>
      <c r="B46" s="347">
        <v>505</v>
      </c>
      <c r="C46" s="58" t="s">
        <v>392</v>
      </c>
      <c r="D46" s="84" t="s">
        <v>468</v>
      </c>
      <c r="E46" s="82" t="s">
        <v>472</v>
      </c>
      <c r="F46" s="322">
        <v>8</v>
      </c>
      <c r="G46" s="323">
        <v>8</v>
      </c>
      <c r="H46" s="305">
        <f>COUNTIFS(缺陷明细!$A$2:$A$50000,$B$4,缺陷明细!$G$2:$G$50000,$C46,缺陷明细!$J$2:$J$50000,"评审",缺陷明细!$AA$2:$AA$50000,"&lt;&gt;丢弃",缺陷明细!$AA$2:$AA$50000,"&lt;&gt;设计如此",缺陷明细!$AA$2:$AA$50000,"&lt;&gt;重复Bug")</f>
        <v>0</v>
      </c>
      <c r="I46" s="161">
        <f>COUNTIFS(缺陷明细!$A$2:$A$50000,$B$4,缺陷明细!$G$2:$G$50000,$C46,缺陷明细!$Q$2:$Q$50000,"已关闭",缺陷明细!$J$2:$J$50000,"评审")</f>
        <v>0</v>
      </c>
      <c r="J46" s="161">
        <f>COUNTIFS(缺陷明细!$A$2:$A$50000,$B$4,缺陷明细!$G$2:$G$50000,$C46,缺陷明细!$J$2:$J$50000,"单元测试",缺陷明细!$AA$2:$AA$50000,"&lt;&gt;丢弃",缺陷明细!$AA$2:$AA$50000,"&lt;&gt;设计如此",缺陷明细!$AA$2:$AA$50000,"&lt;&gt;重复Bug")</f>
        <v>0</v>
      </c>
      <c r="K46" s="162">
        <f>COUNTIFS(缺陷明细!$A$2:$A$50000,$B$4,缺陷明细!$G$2:$G$50000,$C46,缺陷明细!$Q$2:$Q$50000,"已关闭",缺陷明细!$J$2:$J$50000,"单元测试")</f>
        <v>0</v>
      </c>
      <c r="L46" s="163"/>
      <c r="M46" s="164"/>
      <c r="N46" s="72">
        <f>COUNTIFS(缺陷明细!$A$2:$A$50000,$B$4,缺陷明细!$G$2:$G$50000,$C46,缺陷明细!$J$2:$J$50000,"系统测试案例评审",缺陷明细!$AA$2:$AA$50000,"&lt;&gt;丢弃",缺陷明细!$AA$2:$AA$50000,"&lt;&gt;设计如此",缺陷明细!$AA$2:$AA$50000,"&lt;&gt;重复Bug")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COUNTIFS(缺陷明细!$A$2:$A$50000,$B$4,缺陷明细!$G$2:$G$50000,$C46,缺陷明细!$J$2:$J$50000,"系统测试",缺陷明细!$AA$2:$AA$50000,"&lt;&gt;丢弃",缺陷明细!$AA$2:$AA$50000,"&lt;&gt;设计如此",缺陷明细!$AA$2:$AA$50000,"&lt;&gt;重复Bug")</f>
        <v>0</v>
      </c>
      <c r="Q46" s="72">
        <f>COUNTIFS(缺陷明细!$A$2:$A$50000,$B$4,缺陷明细!$G$2:$G$50000,$C46,缺陷明细!$Q$2:$Q$50000,"已关闭",缺陷明细!$J$2:$J$50000,"系统测试")</f>
        <v>0</v>
      </c>
      <c r="R46" s="354">
        <f>COUNTIFS(缺陷明细!$A$2:$A$50000,$B$4,缺陷明细!$G$2:$G$50000,$C46,缺陷明细!$AA$2:$AA$50000,"丢弃",缺陷明细!$J$2:$J$50000,"系统测试")+COUNTIFS(缺陷明细!$A$2:$A$50000,$B$4,缺陷明细!$G$2:$G$50000,$C46,缺陷明细!$AA$2:$AA$50000,"设计如此",缺陷明细!$J$2:$J$50000,"系统测试")+COUNTIFS(缺陷明细!$A$2:$A$50000,$B$4,缺陷明细!$G$2:$G$50000,$C46,缺陷明细!$AA$2:$AA$50000,"重复Bug",缺陷明细!$J$2:$J$50000,"系统测试")</f>
        <v>0</v>
      </c>
      <c r="S46" s="72">
        <f>COUNTIFS(缺陷明细!$A$2:$A$50000,$B$4,缺陷明细!$G$2:$G$50000,$C46,缺陷明细!$J$2:$J$50000,"系统测试",缺陷明细!$K$2:$K$50000,"致命",缺陷明细!$AA$2:$AA$50000,"&lt;&gt;丢弃",缺陷明细!$AA$2:$AA$50000,"&lt;&gt;设计如此",缺陷明细!$AA$2:$AA$50000,"&lt;&gt;重复Bug")+COUNTIFS(缺陷明细!$A$2:$A$50000,$B$4,缺陷明细!$G$2:$G$50000,$C46,缺陷明细!$J$2:$J$50000,"系统测试",缺陷明细!$K$2:$K$50000,"严重",缺陷明细!$AA$2:$AA$50000,"&lt;&gt;丢弃",缺陷明细!$AA$2:$AA$50000,"&lt;&gt;设计如此",缺陷明细!$AA$2:$AA$50000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COUNTIFS(缺陷明细!$A$2:$A$50000,$B$4,缺陷明细!$G$2:$G$50000,$C46,缺陷明细!$J$2:$J$50000,"验收测试",缺陷明细!$AA$2:$AA$50000,"&lt;&gt;丢弃",缺陷明细!$AA$2:$AA$50000,"&lt;&gt;设计如此",缺陷明细!$AA$2:$AA$50000,"&lt;&gt;重复Bug")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A$2:$AA$50000,"&lt;&gt;丢弃",缺陷明细!$AA$2:$AA$50000,"&lt;&gt;设计如此",缺陷明细!$AA$2:$AA$50000,"&lt;&gt;重复Bug")+COUNTIFS(缺陷明细!$A$2:$A$50000,$B$4,缺陷明细!$G$2:$G$50000,$C46,缺陷明细!$J$2:$J$50000,"验收测试",缺陷明细!$K$2:$K$50000,"严重",缺陷明细!$AA$2:$AA$50000,"&lt;&gt;丢弃",缺陷明细!$AA$2:$AA$50000,"&lt;&gt;设计如此",缺陷明细!$AA$2:$AA$50000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COUNTIFS(缺陷明细!$A$2:$A$50000,$B$4,缺陷明细!$G$2:$G$50000,$C46,缺陷明细!$J$2:$J$50000,"运维测试",缺陷明细!$AA$2:$AA$50000,"&lt;&gt;丢弃",缺陷明细!$AA$2:$AA$50000,"&lt;&gt;设计如此",缺陷明细!$AA$2:$AA$50000,"&lt;&gt;重复Bug")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A$2:$AA$50000,"&lt;&gt;丢弃",缺陷明细!$AA$2:$AA$50000,"&lt;&gt;设计如此",缺陷明细!$AA$2:$AA$50000,"&lt;&gt;重复Bug")+COUNTIFS(缺陷明细!$A$2:$A$50000,$B$4,缺陷明细!$G$2:$G$50000,$C46,缺陷明细!$J$2:$J$50000,"运维测试",缺陷明细!$K$2:$K$50000,"严重",缺陷明细!$AA$2:$AA$50000,"&lt;&gt;丢弃",缺陷明细!$AA$2:$AA$50000,"&lt;&gt;设计如此",缺陷明细!$AA$2:$AA$50000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51"/>
    </row>
    <row r="47" spans="1:37">
      <c r="A47">
        <v>43</v>
      </c>
      <c r="B47" s="347">
        <v>506</v>
      </c>
      <c r="C47" s="58" t="s">
        <v>393</v>
      </c>
      <c r="D47" s="84" t="s">
        <v>467</v>
      </c>
      <c r="E47" s="82" t="s">
        <v>471</v>
      </c>
      <c r="F47" s="322">
        <v>24</v>
      </c>
      <c r="G47" s="323">
        <v>0</v>
      </c>
      <c r="H47" s="305">
        <f>COUNTIFS(缺陷明细!$A$2:$A$50000,$B$4,缺陷明细!$G$2:$G$50000,$C47,缺陷明细!$J$2:$J$50000,"评审",缺陷明细!$AA$2:$AA$50000,"&lt;&gt;丢弃",缺陷明细!$AA$2:$AA$50000,"&lt;&gt;设计如此",缺陷明细!$AA$2:$AA$50000,"&lt;&gt;重复Bug")</f>
        <v>0</v>
      </c>
      <c r="I47" s="161">
        <f>COUNTIFS(缺陷明细!$A$2:$A$50000,$B$4,缺陷明细!$G$2:$G$50000,$C47,缺陷明细!$Q$2:$Q$50000,"已关闭",缺陷明细!$J$2:$J$50000,"评审")</f>
        <v>0</v>
      </c>
      <c r="J47" s="161">
        <f>COUNTIFS(缺陷明细!$A$2:$A$50000,$B$4,缺陷明细!$G$2:$G$50000,$C47,缺陷明细!$J$2:$J$50000,"单元测试",缺陷明细!$AA$2:$AA$50000,"&lt;&gt;丢弃",缺陷明细!$AA$2:$AA$50000,"&lt;&gt;设计如此",缺陷明细!$AA$2:$AA$50000,"&lt;&gt;重复Bug")</f>
        <v>0</v>
      </c>
      <c r="K47" s="162">
        <f>COUNTIFS(缺陷明细!$A$2:$A$50000,$B$4,缺陷明细!$G$2:$G$50000,$C47,缺陷明细!$Q$2:$Q$50000,"已关闭",缺陷明细!$J$2:$J$50000,"单元测试")</f>
        <v>0</v>
      </c>
      <c r="L47" s="163"/>
      <c r="M47" s="164"/>
      <c r="N47" s="72">
        <f>COUNTIFS(缺陷明细!$A$2:$A$50000,$B$4,缺陷明细!$G$2:$G$50000,$C47,缺陷明细!$J$2:$J$50000,"系统测试案例评审",缺陷明细!$AA$2:$AA$50000,"&lt;&gt;丢弃",缺陷明细!$AA$2:$AA$50000,"&lt;&gt;设计如此",缺陷明细!$AA$2:$AA$50000,"&lt;&gt;重复Bug")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COUNTIFS(缺陷明细!$A$2:$A$50000,$B$4,缺陷明细!$G$2:$G$50000,$C47,缺陷明细!$J$2:$J$50000,"系统测试",缺陷明细!$AA$2:$AA$50000,"&lt;&gt;丢弃",缺陷明细!$AA$2:$AA$50000,"&lt;&gt;设计如此",缺陷明细!$AA$2:$AA$50000,"&lt;&gt;重复Bug")</f>
        <v>0</v>
      </c>
      <c r="Q47" s="72">
        <f>COUNTIFS(缺陷明细!$A$2:$A$50000,$B$4,缺陷明细!$G$2:$G$50000,$C47,缺陷明细!$Q$2:$Q$50000,"已关闭",缺陷明细!$J$2:$J$50000,"系统测试")</f>
        <v>0</v>
      </c>
      <c r="R47" s="354">
        <f>COUNTIFS(缺陷明细!$A$2:$A$50000,$B$4,缺陷明细!$G$2:$G$50000,$C47,缺陷明细!$AA$2:$AA$50000,"丢弃",缺陷明细!$J$2:$J$50000,"系统测试")+COUNTIFS(缺陷明细!$A$2:$A$50000,$B$4,缺陷明细!$G$2:$G$50000,$C47,缺陷明细!$AA$2:$AA$50000,"设计如此",缺陷明细!$J$2:$J$50000,"系统测试")+COUNTIFS(缺陷明细!$A$2:$A$50000,$B$4,缺陷明细!$G$2:$G$50000,$C47,缺陷明细!$AA$2:$AA$50000,"重复Bug",缺陷明细!$J$2:$J$50000,"系统测试")</f>
        <v>0</v>
      </c>
      <c r="S47" s="72">
        <f>COUNTIFS(缺陷明细!$A$2:$A$50000,$B$4,缺陷明细!$G$2:$G$50000,$C47,缺陷明细!$J$2:$J$50000,"系统测试",缺陷明细!$K$2:$K$50000,"致命",缺陷明细!$AA$2:$AA$50000,"&lt;&gt;丢弃",缺陷明细!$AA$2:$AA$50000,"&lt;&gt;设计如此",缺陷明细!$AA$2:$AA$50000,"&lt;&gt;重复Bug")+COUNTIFS(缺陷明细!$A$2:$A$50000,$B$4,缺陷明细!$G$2:$G$50000,$C47,缺陷明细!$J$2:$J$50000,"系统测试",缺陷明细!$K$2:$K$50000,"严重",缺陷明细!$AA$2:$AA$50000,"&lt;&gt;丢弃",缺陷明细!$AA$2:$AA$50000,"&lt;&gt;设计如此",缺陷明细!$AA$2:$AA$50000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COUNTIFS(缺陷明细!$A$2:$A$50000,$B$4,缺陷明细!$G$2:$G$50000,$C47,缺陷明细!$J$2:$J$50000,"验收测试",缺陷明细!$AA$2:$AA$50000,"&lt;&gt;丢弃",缺陷明细!$AA$2:$AA$50000,"&lt;&gt;设计如此",缺陷明细!$AA$2:$AA$50000,"&lt;&gt;重复Bug")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A$2:$AA$50000,"&lt;&gt;丢弃",缺陷明细!$AA$2:$AA$50000,"&lt;&gt;设计如此",缺陷明细!$AA$2:$AA$50000,"&lt;&gt;重复Bug")+COUNTIFS(缺陷明细!$A$2:$A$50000,$B$4,缺陷明细!$G$2:$G$50000,$C47,缺陷明细!$J$2:$J$50000,"验收测试",缺陷明细!$K$2:$K$50000,"严重",缺陷明细!$AA$2:$AA$50000,"&lt;&gt;丢弃",缺陷明细!$AA$2:$AA$50000,"&lt;&gt;设计如此",缺陷明细!$AA$2:$AA$50000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COUNTIFS(缺陷明细!$A$2:$A$50000,$B$4,缺陷明细!$G$2:$G$50000,$C47,缺陷明细!$J$2:$J$50000,"运维测试",缺陷明细!$AA$2:$AA$50000,"&lt;&gt;丢弃",缺陷明细!$AA$2:$AA$50000,"&lt;&gt;设计如此",缺陷明细!$AA$2:$AA$50000,"&lt;&gt;重复Bug")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A$2:$AA$50000,"&lt;&gt;丢弃",缺陷明细!$AA$2:$AA$50000,"&lt;&gt;设计如此",缺陷明细!$AA$2:$AA$50000,"&lt;&gt;重复Bug")+COUNTIFS(缺陷明细!$A$2:$A$50000,$B$4,缺陷明细!$G$2:$G$50000,$C47,缺陷明细!$J$2:$J$50000,"运维测试",缺陷明细!$K$2:$K$50000,"严重",缺陷明细!$AA$2:$AA$50000,"&lt;&gt;丢弃",缺陷明细!$AA$2:$AA$50000,"&lt;&gt;设计如此",缺陷明细!$AA$2:$AA$50000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51"/>
    </row>
    <row r="48" spans="1:37" ht="26.4">
      <c r="A48">
        <v>44</v>
      </c>
      <c r="B48" s="347">
        <v>507</v>
      </c>
      <c r="C48" s="58" t="s">
        <v>394</v>
      </c>
      <c r="D48" s="84"/>
      <c r="E48" s="82" t="s">
        <v>472</v>
      </c>
      <c r="F48" s="322">
        <v>8</v>
      </c>
      <c r="G48" s="323">
        <v>8</v>
      </c>
      <c r="H48" s="305">
        <f>COUNTIFS(缺陷明细!$A$2:$A$50000,$B$4,缺陷明细!$G$2:$G$50000,$C48,缺陷明细!$J$2:$J$50000,"评审",缺陷明细!$AA$2:$AA$50000,"&lt;&gt;丢弃",缺陷明细!$AA$2:$AA$50000,"&lt;&gt;设计如此",缺陷明细!$AA$2:$AA$50000,"&lt;&gt;重复Bug")</f>
        <v>0</v>
      </c>
      <c r="I48" s="161">
        <f>COUNTIFS(缺陷明细!$A$2:$A$50000,$B$4,缺陷明细!$G$2:$G$50000,$C48,缺陷明细!$Q$2:$Q$50000,"已关闭",缺陷明细!$J$2:$J$50000,"评审")</f>
        <v>0</v>
      </c>
      <c r="J48" s="161">
        <f>COUNTIFS(缺陷明细!$A$2:$A$50000,$B$4,缺陷明细!$G$2:$G$50000,$C48,缺陷明细!$J$2:$J$50000,"单元测试",缺陷明细!$AA$2:$AA$50000,"&lt;&gt;丢弃",缺陷明细!$AA$2:$AA$50000,"&lt;&gt;设计如此",缺陷明细!$AA$2:$AA$50000,"&lt;&gt;重复Bug")</f>
        <v>0</v>
      </c>
      <c r="K48" s="162">
        <f>COUNTIFS(缺陷明细!$A$2:$A$50000,$B$4,缺陷明细!$G$2:$G$50000,$C48,缺陷明细!$Q$2:$Q$50000,"已关闭",缺陷明细!$J$2:$J$50000,"单元测试")</f>
        <v>0</v>
      </c>
      <c r="L48" s="163"/>
      <c r="M48" s="164"/>
      <c r="N48" s="72">
        <f>COUNTIFS(缺陷明细!$A$2:$A$50000,$B$4,缺陷明细!$G$2:$G$50000,$C48,缺陷明细!$J$2:$J$50000,"系统测试案例评审",缺陷明细!$AA$2:$AA$50000,"&lt;&gt;丢弃",缺陷明细!$AA$2:$AA$50000,"&lt;&gt;设计如此",缺陷明细!$AA$2:$AA$50000,"&lt;&gt;重复Bug")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COUNTIFS(缺陷明细!$A$2:$A$50000,$B$4,缺陷明细!$G$2:$G$50000,$C48,缺陷明细!$J$2:$J$50000,"系统测试",缺陷明细!$AA$2:$AA$50000,"&lt;&gt;丢弃",缺陷明细!$AA$2:$AA$50000,"&lt;&gt;设计如此",缺陷明细!$AA$2:$AA$50000,"&lt;&gt;重复Bug")</f>
        <v>0</v>
      </c>
      <c r="Q48" s="72">
        <f>COUNTIFS(缺陷明细!$A$2:$A$50000,$B$4,缺陷明细!$G$2:$G$50000,$C48,缺陷明细!$Q$2:$Q$50000,"已关闭",缺陷明细!$J$2:$J$50000,"系统测试")</f>
        <v>0</v>
      </c>
      <c r="R48" s="354">
        <f>COUNTIFS(缺陷明细!$A$2:$A$50000,$B$4,缺陷明细!$G$2:$G$50000,$C48,缺陷明细!$AA$2:$AA$50000,"丢弃",缺陷明细!$J$2:$J$50000,"系统测试")+COUNTIFS(缺陷明细!$A$2:$A$50000,$B$4,缺陷明细!$G$2:$G$50000,$C48,缺陷明细!$AA$2:$AA$50000,"设计如此",缺陷明细!$J$2:$J$50000,"系统测试")+COUNTIFS(缺陷明细!$A$2:$A$50000,$B$4,缺陷明细!$G$2:$G$50000,$C48,缺陷明细!$AA$2:$AA$50000,"重复Bug",缺陷明细!$J$2:$J$50000,"系统测试")</f>
        <v>0</v>
      </c>
      <c r="S48" s="72">
        <f>COUNTIFS(缺陷明细!$A$2:$A$50000,$B$4,缺陷明细!$G$2:$G$50000,$C48,缺陷明细!$J$2:$J$50000,"系统测试",缺陷明细!$K$2:$K$50000,"致命",缺陷明细!$AA$2:$AA$50000,"&lt;&gt;丢弃",缺陷明细!$AA$2:$AA$50000,"&lt;&gt;设计如此",缺陷明细!$AA$2:$AA$50000,"&lt;&gt;重复Bug")+COUNTIFS(缺陷明细!$A$2:$A$50000,$B$4,缺陷明细!$G$2:$G$50000,$C48,缺陷明细!$J$2:$J$50000,"系统测试",缺陷明细!$K$2:$K$50000,"严重",缺陷明细!$AA$2:$AA$50000,"&lt;&gt;丢弃",缺陷明细!$AA$2:$AA$50000,"&lt;&gt;设计如此",缺陷明细!$AA$2:$AA$50000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COUNTIFS(缺陷明细!$A$2:$A$50000,$B$4,缺陷明细!$G$2:$G$50000,$C48,缺陷明细!$J$2:$J$50000,"验收测试",缺陷明细!$AA$2:$AA$50000,"&lt;&gt;丢弃",缺陷明细!$AA$2:$AA$50000,"&lt;&gt;设计如此",缺陷明细!$AA$2:$AA$50000,"&lt;&gt;重复Bug")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A$2:$AA$50000,"&lt;&gt;丢弃",缺陷明细!$AA$2:$AA$50000,"&lt;&gt;设计如此",缺陷明细!$AA$2:$AA$50000,"&lt;&gt;重复Bug")+COUNTIFS(缺陷明细!$A$2:$A$50000,$B$4,缺陷明细!$G$2:$G$50000,$C48,缺陷明细!$J$2:$J$50000,"验收测试",缺陷明细!$K$2:$K$50000,"严重",缺陷明细!$AA$2:$AA$50000,"&lt;&gt;丢弃",缺陷明细!$AA$2:$AA$50000,"&lt;&gt;设计如此",缺陷明细!$AA$2:$AA$50000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COUNTIFS(缺陷明细!$A$2:$A$50000,$B$4,缺陷明细!$G$2:$G$50000,$C48,缺陷明细!$J$2:$J$50000,"运维测试",缺陷明细!$AA$2:$AA$50000,"&lt;&gt;丢弃",缺陷明细!$AA$2:$AA$50000,"&lt;&gt;设计如此",缺陷明细!$AA$2:$AA$50000,"&lt;&gt;重复Bug")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A$2:$AA$50000,"&lt;&gt;丢弃",缺陷明细!$AA$2:$AA$50000,"&lt;&gt;设计如此",缺陷明细!$AA$2:$AA$50000,"&lt;&gt;重复Bug")+COUNTIFS(缺陷明细!$A$2:$A$50000,$B$4,缺陷明细!$G$2:$G$50000,$C48,缺陷明细!$J$2:$J$50000,"运维测试",缺陷明细!$K$2:$K$50000,"严重",缺陷明细!$AA$2:$AA$50000,"&lt;&gt;丢弃",缺陷明细!$AA$2:$AA$50000,"&lt;&gt;设计如此",缺陷明细!$AA$2:$AA$50000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51"/>
    </row>
    <row r="49" spans="1:37" ht="26.4">
      <c r="A49">
        <v>45</v>
      </c>
      <c r="B49" s="347">
        <v>508</v>
      </c>
      <c r="C49" s="58" t="s">
        <v>395</v>
      </c>
      <c r="D49" s="84"/>
      <c r="E49" s="82" t="s">
        <v>472</v>
      </c>
      <c r="F49" s="322">
        <v>8</v>
      </c>
      <c r="G49" s="323">
        <v>8</v>
      </c>
      <c r="H49" s="305">
        <f>COUNTIFS(缺陷明细!$A$2:$A$50000,$B$4,缺陷明细!$G$2:$G$50000,$C49,缺陷明细!$J$2:$J$50000,"评审",缺陷明细!$AA$2:$AA$50000,"&lt;&gt;丢弃",缺陷明细!$AA$2:$AA$50000,"&lt;&gt;设计如此",缺陷明细!$AA$2:$AA$50000,"&lt;&gt;重复Bug")</f>
        <v>0</v>
      </c>
      <c r="I49" s="161">
        <f>COUNTIFS(缺陷明细!$A$2:$A$50000,$B$4,缺陷明细!$G$2:$G$50000,$C49,缺陷明细!$Q$2:$Q$50000,"已关闭",缺陷明细!$J$2:$J$50000,"评审")</f>
        <v>0</v>
      </c>
      <c r="J49" s="161">
        <f>COUNTIFS(缺陷明细!$A$2:$A$50000,$B$4,缺陷明细!$G$2:$G$50000,$C49,缺陷明细!$J$2:$J$50000,"单元测试",缺陷明细!$AA$2:$AA$50000,"&lt;&gt;丢弃",缺陷明细!$AA$2:$AA$50000,"&lt;&gt;设计如此",缺陷明细!$AA$2:$AA$50000,"&lt;&gt;重复Bug")</f>
        <v>0</v>
      </c>
      <c r="K49" s="162">
        <f>COUNTIFS(缺陷明细!$A$2:$A$50000,$B$4,缺陷明细!$G$2:$G$50000,$C49,缺陷明细!$Q$2:$Q$50000,"已关闭",缺陷明细!$J$2:$J$50000,"单元测试")</f>
        <v>0</v>
      </c>
      <c r="L49" s="163"/>
      <c r="M49" s="164"/>
      <c r="N49" s="72">
        <f>COUNTIFS(缺陷明细!$A$2:$A$50000,$B$4,缺陷明细!$G$2:$G$50000,$C49,缺陷明细!$J$2:$J$50000,"系统测试案例评审",缺陷明细!$AA$2:$AA$50000,"&lt;&gt;丢弃",缺陷明细!$AA$2:$AA$50000,"&lt;&gt;设计如此",缺陷明细!$AA$2:$AA$50000,"&lt;&gt;重复Bug")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COUNTIFS(缺陷明细!$A$2:$A$50000,$B$4,缺陷明细!$G$2:$G$50000,$C49,缺陷明细!$J$2:$J$50000,"系统测试",缺陷明细!$AA$2:$AA$50000,"&lt;&gt;丢弃",缺陷明细!$AA$2:$AA$50000,"&lt;&gt;设计如此",缺陷明细!$AA$2:$AA$50000,"&lt;&gt;重复Bug")</f>
        <v>0</v>
      </c>
      <c r="Q49" s="72">
        <f>COUNTIFS(缺陷明细!$A$2:$A$50000,$B$4,缺陷明细!$G$2:$G$50000,$C49,缺陷明细!$Q$2:$Q$50000,"已关闭",缺陷明细!$J$2:$J$50000,"系统测试")</f>
        <v>0</v>
      </c>
      <c r="R49" s="354">
        <f>COUNTIFS(缺陷明细!$A$2:$A$50000,$B$4,缺陷明细!$G$2:$G$50000,$C49,缺陷明细!$AA$2:$AA$50000,"丢弃",缺陷明细!$J$2:$J$50000,"系统测试")+COUNTIFS(缺陷明细!$A$2:$A$50000,$B$4,缺陷明细!$G$2:$G$50000,$C49,缺陷明细!$AA$2:$AA$50000,"设计如此",缺陷明细!$J$2:$J$50000,"系统测试")+COUNTIFS(缺陷明细!$A$2:$A$50000,$B$4,缺陷明细!$G$2:$G$50000,$C49,缺陷明细!$AA$2:$AA$50000,"重复Bug",缺陷明细!$J$2:$J$50000,"系统测试")</f>
        <v>0</v>
      </c>
      <c r="S49" s="72">
        <f>COUNTIFS(缺陷明细!$A$2:$A$50000,$B$4,缺陷明细!$G$2:$G$50000,$C49,缺陷明细!$J$2:$J$50000,"系统测试",缺陷明细!$K$2:$K$50000,"致命",缺陷明细!$AA$2:$AA$50000,"&lt;&gt;丢弃",缺陷明细!$AA$2:$AA$50000,"&lt;&gt;设计如此",缺陷明细!$AA$2:$AA$50000,"&lt;&gt;重复Bug")+COUNTIFS(缺陷明细!$A$2:$A$50000,$B$4,缺陷明细!$G$2:$G$50000,$C49,缺陷明细!$J$2:$J$50000,"系统测试",缺陷明细!$K$2:$K$50000,"严重",缺陷明细!$AA$2:$AA$50000,"&lt;&gt;丢弃",缺陷明细!$AA$2:$AA$50000,"&lt;&gt;设计如此",缺陷明细!$AA$2:$AA$50000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COUNTIFS(缺陷明细!$A$2:$A$50000,$B$4,缺陷明细!$G$2:$G$50000,$C49,缺陷明细!$J$2:$J$50000,"验收测试",缺陷明细!$AA$2:$AA$50000,"&lt;&gt;丢弃",缺陷明细!$AA$2:$AA$50000,"&lt;&gt;设计如此",缺陷明细!$AA$2:$AA$50000,"&lt;&gt;重复Bug")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A$2:$AA$50000,"&lt;&gt;丢弃",缺陷明细!$AA$2:$AA$50000,"&lt;&gt;设计如此",缺陷明细!$AA$2:$AA$50000,"&lt;&gt;重复Bug")+COUNTIFS(缺陷明细!$A$2:$A$50000,$B$4,缺陷明细!$G$2:$G$50000,$C49,缺陷明细!$J$2:$J$50000,"验收测试",缺陷明细!$K$2:$K$50000,"严重",缺陷明细!$AA$2:$AA$50000,"&lt;&gt;丢弃",缺陷明细!$AA$2:$AA$50000,"&lt;&gt;设计如此",缺陷明细!$AA$2:$AA$50000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COUNTIFS(缺陷明细!$A$2:$A$50000,$B$4,缺陷明细!$G$2:$G$50000,$C49,缺陷明细!$J$2:$J$50000,"运维测试",缺陷明细!$AA$2:$AA$50000,"&lt;&gt;丢弃",缺陷明细!$AA$2:$AA$50000,"&lt;&gt;设计如此",缺陷明细!$AA$2:$AA$50000,"&lt;&gt;重复Bug")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A$2:$AA$50000,"&lt;&gt;丢弃",缺陷明细!$AA$2:$AA$50000,"&lt;&gt;设计如此",缺陷明细!$AA$2:$AA$50000,"&lt;&gt;重复Bug")+COUNTIFS(缺陷明细!$A$2:$A$50000,$B$4,缺陷明细!$G$2:$G$50000,$C49,缺陷明细!$J$2:$J$50000,"运维测试",缺陷明细!$K$2:$K$50000,"严重",缺陷明细!$AA$2:$AA$50000,"&lt;&gt;丢弃",缺陷明细!$AA$2:$AA$50000,"&lt;&gt;设计如此",缺陷明细!$AA$2:$AA$50000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51"/>
    </row>
    <row r="50" spans="1:37">
      <c r="A50">
        <v>46</v>
      </c>
      <c r="B50" s="347">
        <v>509</v>
      </c>
      <c r="C50" s="58" t="s">
        <v>396</v>
      </c>
      <c r="D50" s="84" t="s">
        <v>467</v>
      </c>
      <c r="E50" s="82" t="s">
        <v>472</v>
      </c>
      <c r="F50" s="322">
        <v>8</v>
      </c>
      <c r="G50" s="323">
        <v>12</v>
      </c>
      <c r="H50" s="305">
        <f>COUNTIFS(缺陷明细!$A$2:$A$50000,$B$4,缺陷明细!$G$2:$G$50000,$C50,缺陷明细!$J$2:$J$50000,"评审",缺陷明细!$AA$2:$AA$50000,"&lt;&gt;丢弃",缺陷明细!$AA$2:$AA$50000,"&lt;&gt;设计如此",缺陷明细!$AA$2:$AA$50000,"&lt;&gt;重复Bug")</f>
        <v>0</v>
      </c>
      <c r="I50" s="161">
        <f>COUNTIFS(缺陷明细!$A$2:$A$50000,$B$4,缺陷明细!$G$2:$G$50000,$C50,缺陷明细!$Q$2:$Q$50000,"已关闭",缺陷明细!$J$2:$J$50000,"评审")</f>
        <v>0</v>
      </c>
      <c r="J50" s="161">
        <f>COUNTIFS(缺陷明细!$A$2:$A$50000,$B$4,缺陷明细!$G$2:$G$50000,$C50,缺陷明细!$J$2:$J$50000,"单元测试",缺陷明细!$AA$2:$AA$50000,"&lt;&gt;丢弃",缺陷明细!$AA$2:$AA$50000,"&lt;&gt;设计如此",缺陷明细!$AA$2:$AA$50000,"&lt;&gt;重复Bug")</f>
        <v>0</v>
      </c>
      <c r="K50" s="162">
        <f>COUNTIFS(缺陷明细!$A$2:$A$50000,$B$4,缺陷明细!$G$2:$G$50000,$C50,缺陷明细!$Q$2:$Q$50000,"已关闭",缺陷明细!$J$2:$J$50000,"单元测试")</f>
        <v>0</v>
      </c>
      <c r="L50" s="163"/>
      <c r="M50" s="164"/>
      <c r="N50" s="72">
        <f>COUNTIFS(缺陷明细!$A$2:$A$50000,$B$4,缺陷明细!$G$2:$G$50000,$C50,缺陷明细!$J$2:$J$50000,"系统测试案例评审",缺陷明细!$AA$2:$AA$50000,"&lt;&gt;丢弃",缺陷明细!$AA$2:$AA$50000,"&lt;&gt;设计如此",缺陷明细!$AA$2:$AA$50000,"&lt;&gt;重复Bug")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COUNTIFS(缺陷明细!$A$2:$A$50000,$B$4,缺陷明细!$G$2:$G$50000,$C50,缺陷明细!$J$2:$J$50000,"系统测试",缺陷明细!$AA$2:$AA$50000,"&lt;&gt;丢弃",缺陷明细!$AA$2:$AA$50000,"&lt;&gt;设计如此",缺陷明细!$AA$2:$AA$50000,"&lt;&gt;重复Bug")</f>
        <v>0</v>
      </c>
      <c r="Q50" s="72">
        <f>COUNTIFS(缺陷明细!$A$2:$A$50000,$B$4,缺陷明细!$G$2:$G$50000,$C50,缺陷明细!$Q$2:$Q$50000,"已关闭",缺陷明细!$J$2:$J$50000,"系统测试")</f>
        <v>0</v>
      </c>
      <c r="R50" s="354">
        <f>COUNTIFS(缺陷明细!$A$2:$A$50000,$B$4,缺陷明细!$G$2:$G$50000,$C50,缺陷明细!$AA$2:$AA$50000,"丢弃",缺陷明细!$J$2:$J$50000,"系统测试")+COUNTIFS(缺陷明细!$A$2:$A$50000,$B$4,缺陷明细!$G$2:$G$50000,$C50,缺陷明细!$AA$2:$AA$50000,"设计如此",缺陷明细!$J$2:$J$50000,"系统测试")+COUNTIFS(缺陷明细!$A$2:$A$50000,$B$4,缺陷明细!$G$2:$G$50000,$C50,缺陷明细!$AA$2:$AA$50000,"重复Bug",缺陷明细!$J$2:$J$50000,"系统测试")</f>
        <v>0</v>
      </c>
      <c r="S50" s="72">
        <f>COUNTIFS(缺陷明细!$A$2:$A$50000,$B$4,缺陷明细!$G$2:$G$50000,$C50,缺陷明细!$J$2:$J$50000,"系统测试",缺陷明细!$K$2:$K$50000,"致命",缺陷明细!$AA$2:$AA$50000,"&lt;&gt;丢弃",缺陷明细!$AA$2:$AA$50000,"&lt;&gt;设计如此",缺陷明细!$AA$2:$AA$50000,"&lt;&gt;重复Bug")+COUNTIFS(缺陷明细!$A$2:$A$50000,$B$4,缺陷明细!$G$2:$G$50000,$C50,缺陷明细!$J$2:$J$50000,"系统测试",缺陷明细!$K$2:$K$50000,"严重",缺陷明细!$AA$2:$AA$50000,"&lt;&gt;丢弃",缺陷明细!$AA$2:$AA$50000,"&lt;&gt;设计如此",缺陷明细!$AA$2:$AA$50000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COUNTIFS(缺陷明细!$A$2:$A$50000,$B$4,缺陷明细!$G$2:$G$50000,$C50,缺陷明细!$J$2:$J$50000,"验收测试",缺陷明细!$AA$2:$AA$50000,"&lt;&gt;丢弃",缺陷明细!$AA$2:$AA$50000,"&lt;&gt;设计如此",缺陷明细!$AA$2:$AA$50000,"&lt;&gt;重复Bug")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A$2:$AA$50000,"&lt;&gt;丢弃",缺陷明细!$AA$2:$AA$50000,"&lt;&gt;设计如此",缺陷明细!$AA$2:$AA$50000,"&lt;&gt;重复Bug")+COUNTIFS(缺陷明细!$A$2:$A$50000,$B$4,缺陷明细!$G$2:$G$50000,$C50,缺陷明细!$J$2:$J$50000,"验收测试",缺陷明细!$K$2:$K$50000,"严重",缺陷明细!$AA$2:$AA$50000,"&lt;&gt;丢弃",缺陷明细!$AA$2:$AA$50000,"&lt;&gt;设计如此",缺陷明细!$AA$2:$AA$50000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COUNTIFS(缺陷明细!$A$2:$A$50000,$B$4,缺陷明细!$G$2:$G$50000,$C50,缺陷明细!$J$2:$J$50000,"运维测试",缺陷明细!$AA$2:$AA$50000,"&lt;&gt;丢弃",缺陷明细!$AA$2:$AA$50000,"&lt;&gt;设计如此",缺陷明细!$AA$2:$AA$50000,"&lt;&gt;重复Bug")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A$2:$AA$50000,"&lt;&gt;丢弃",缺陷明细!$AA$2:$AA$50000,"&lt;&gt;设计如此",缺陷明细!$AA$2:$AA$50000,"&lt;&gt;重复Bug")+COUNTIFS(缺陷明细!$A$2:$A$50000,$B$4,缺陷明细!$G$2:$G$50000,$C50,缺陷明细!$J$2:$J$50000,"运维测试",缺陷明细!$K$2:$K$50000,"严重",缺陷明细!$AA$2:$AA$50000,"&lt;&gt;丢弃",缺陷明细!$AA$2:$AA$50000,"&lt;&gt;设计如此",缺陷明细!$AA$2:$AA$50000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51"/>
    </row>
    <row r="51" spans="1:37" ht="26.4">
      <c r="A51">
        <v>47</v>
      </c>
      <c r="B51" s="347">
        <v>510</v>
      </c>
      <c r="C51" s="58" t="s">
        <v>397</v>
      </c>
      <c r="D51" s="84"/>
      <c r="E51" s="82" t="s">
        <v>472</v>
      </c>
      <c r="F51" s="322">
        <v>8</v>
      </c>
      <c r="G51" s="323">
        <v>8</v>
      </c>
      <c r="H51" s="305">
        <f>COUNTIFS(缺陷明细!$A$2:$A$50000,$B$4,缺陷明细!$G$2:$G$50000,$C51,缺陷明细!$J$2:$J$50000,"评审",缺陷明细!$AA$2:$AA$50000,"&lt;&gt;丢弃",缺陷明细!$AA$2:$AA$50000,"&lt;&gt;设计如此",缺陷明细!$AA$2:$AA$50000,"&lt;&gt;重复Bug")</f>
        <v>0</v>
      </c>
      <c r="I51" s="161">
        <f>COUNTIFS(缺陷明细!$A$2:$A$50000,$B$4,缺陷明细!$G$2:$G$50000,$C51,缺陷明细!$Q$2:$Q$50000,"已关闭",缺陷明细!$J$2:$J$50000,"评审")</f>
        <v>0</v>
      </c>
      <c r="J51" s="161">
        <f>COUNTIFS(缺陷明细!$A$2:$A$50000,$B$4,缺陷明细!$G$2:$G$50000,$C51,缺陷明细!$J$2:$J$50000,"单元测试",缺陷明细!$AA$2:$AA$50000,"&lt;&gt;丢弃",缺陷明细!$AA$2:$AA$50000,"&lt;&gt;设计如此",缺陷明细!$AA$2:$AA$50000,"&lt;&gt;重复Bug")</f>
        <v>0</v>
      </c>
      <c r="K51" s="162">
        <f>COUNTIFS(缺陷明细!$A$2:$A$50000,$B$4,缺陷明细!$G$2:$G$50000,$C51,缺陷明细!$Q$2:$Q$50000,"已关闭",缺陷明细!$J$2:$J$50000,"单元测试")</f>
        <v>0</v>
      </c>
      <c r="L51" s="163"/>
      <c r="M51" s="164"/>
      <c r="N51" s="72">
        <f>COUNTIFS(缺陷明细!$A$2:$A$50000,$B$4,缺陷明细!$G$2:$G$50000,$C51,缺陷明细!$J$2:$J$50000,"系统测试案例评审",缺陷明细!$AA$2:$AA$50000,"&lt;&gt;丢弃",缺陷明细!$AA$2:$AA$50000,"&lt;&gt;设计如此",缺陷明细!$AA$2:$AA$50000,"&lt;&gt;重复Bug")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COUNTIFS(缺陷明细!$A$2:$A$50000,$B$4,缺陷明细!$G$2:$G$50000,$C51,缺陷明细!$J$2:$J$50000,"系统测试",缺陷明细!$AA$2:$AA$50000,"&lt;&gt;丢弃",缺陷明细!$AA$2:$AA$50000,"&lt;&gt;设计如此",缺陷明细!$AA$2:$AA$50000,"&lt;&gt;重复Bug")</f>
        <v>0</v>
      </c>
      <c r="Q51" s="72">
        <f>COUNTIFS(缺陷明细!$A$2:$A$50000,$B$4,缺陷明细!$G$2:$G$50000,$C51,缺陷明细!$Q$2:$Q$50000,"已关闭",缺陷明细!$J$2:$J$50000,"系统测试")</f>
        <v>0</v>
      </c>
      <c r="R51" s="354">
        <f>COUNTIFS(缺陷明细!$A$2:$A$50000,$B$4,缺陷明细!$G$2:$G$50000,$C51,缺陷明细!$AA$2:$AA$50000,"丢弃",缺陷明细!$J$2:$J$50000,"系统测试")+COUNTIFS(缺陷明细!$A$2:$A$50000,$B$4,缺陷明细!$G$2:$G$50000,$C51,缺陷明细!$AA$2:$AA$50000,"设计如此",缺陷明细!$J$2:$J$50000,"系统测试")+COUNTIFS(缺陷明细!$A$2:$A$50000,$B$4,缺陷明细!$G$2:$G$50000,$C51,缺陷明细!$AA$2:$AA$50000,"重复Bug",缺陷明细!$J$2:$J$50000,"系统测试")</f>
        <v>0</v>
      </c>
      <c r="S51" s="72">
        <f>COUNTIFS(缺陷明细!$A$2:$A$50000,$B$4,缺陷明细!$G$2:$G$50000,$C51,缺陷明细!$J$2:$J$50000,"系统测试",缺陷明细!$K$2:$K$50000,"致命",缺陷明细!$AA$2:$AA$50000,"&lt;&gt;丢弃",缺陷明细!$AA$2:$AA$50000,"&lt;&gt;设计如此",缺陷明细!$AA$2:$AA$50000,"&lt;&gt;重复Bug")+COUNTIFS(缺陷明细!$A$2:$A$50000,$B$4,缺陷明细!$G$2:$G$50000,$C51,缺陷明细!$J$2:$J$50000,"系统测试",缺陷明细!$K$2:$K$50000,"严重",缺陷明细!$AA$2:$AA$50000,"&lt;&gt;丢弃",缺陷明细!$AA$2:$AA$50000,"&lt;&gt;设计如此",缺陷明细!$AA$2:$AA$50000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COUNTIFS(缺陷明细!$A$2:$A$50000,$B$4,缺陷明细!$G$2:$G$50000,$C51,缺陷明细!$J$2:$J$50000,"验收测试",缺陷明细!$AA$2:$AA$50000,"&lt;&gt;丢弃",缺陷明细!$AA$2:$AA$50000,"&lt;&gt;设计如此",缺陷明细!$AA$2:$AA$50000,"&lt;&gt;重复Bug")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A$2:$AA$50000,"&lt;&gt;丢弃",缺陷明细!$AA$2:$AA$50000,"&lt;&gt;设计如此",缺陷明细!$AA$2:$AA$50000,"&lt;&gt;重复Bug")+COUNTIFS(缺陷明细!$A$2:$A$50000,$B$4,缺陷明细!$G$2:$G$50000,$C51,缺陷明细!$J$2:$J$50000,"验收测试",缺陷明细!$K$2:$K$50000,"严重",缺陷明细!$AA$2:$AA$50000,"&lt;&gt;丢弃",缺陷明细!$AA$2:$AA$50000,"&lt;&gt;设计如此",缺陷明细!$AA$2:$AA$50000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COUNTIFS(缺陷明细!$A$2:$A$50000,$B$4,缺陷明细!$G$2:$G$50000,$C51,缺陷明细!$J$2:$J$50000,"运维测试",缺陷明细!$AA$2:$AA$50000,"&lt;&gt;丢弃",缺陷明细!$AA$2:$AA$50000,"&lt;&gt;设计如此",缺陷明细!$AA$2:$AA$50000,"&lt;&gt;重复Bug")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A$2:$AA$50000,"&lt;&gt;丢弃",缺陷明细!$AA$2:$AA$50000,"&lt;&gt;设计如此",缺陷明细!$AA$2:$AA$50000,"&lt;&gt;重复Bug")+COUNTIFS(缺陷明细!$A$2:$A$50000,$B$4,缺陷明细!$G$2:$G$50000,$C51,缺陷明细!$J$2:$J$50000,"运维测试",缺陷明细!$K$2:$K$50000,"严重",缺陷明细!$AA$2:$AA$50000,"&lt;&gt;丢弃",缺陷明细!$AA$2:$AA$50000,"&lt;&gt;设计如此",缺陷明细!$AA$2:$AA$50000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51"/>
    </row>
    <row r="52" spans="1:37" ht="26.4">
      <c r="A52">
        <v>48</v>
      </c>
      <c r="B52" s="347">
        <v>511</v>
      </c>
      <c r="C52" s="58" t="s">
        <v>398</v>
      </c>
      <c r="D52" s="84"/>
      <c r="E52" s="82" t="s">
        <v>472</v>
      </c>
      <c r="F52" s="322">
        <v>10</v>
      </c>
      <c r="G52" s="323">
        <v>5</v>
      </c>
      <c r="H52" s="305">
        <f>COUNTIFS(缺陷明细!$A$2:$A$50000,$B$4,缺陷明细!$G$2:$G$50000,$C52,缺陷明细!$J$2:$J$50000,"评审",缺陷明细!$AA$2:$AA$50000,"&lt;&gt;丢弃",缺陷明细!$AA$2:$AA$50000,"&lt;&gt;设计如此",缺陷明细!$AA$2:$AA$50000,"&lt;&gt;重复Bug")</f>
        <v>0</v>
      </c>
      <c r="I52" s="161">
        <f>COUNTIFS(缺陷明细!$A$2:$A$50000,$B$4,缺陷明细!$G$2:$G$50000,$C52,缺陷明细!$Q$2:$Q$50000,"已关闭",缺陷明细!$J$2:$J$50000,"评审")</f>
        <v>0</v>
      </c>
      <c r="J52" s="161">
        <f>COUNTIFS(缺陷明细!$A$2:$A$50000,$B$4,缺陷明细!$G$2:$G$50000,$C52,缺陷明细!$J$2:$J$50000,"单元测试",缺陷明细!$AA$2:$AA$50000,"&lt;&gt;丢弃",缺陷明细!$AA$2:$AA$50000,"&lt;&gt;设计如此",缺陷明细!$AA$2:$AA$50000,"&lt;&gt;重复Bug")</f>
        <v>0</v>
      </c>
      <c r="K52" s="162">
        <f>COUNTIFS(缺陷明细!$A$2:$A$50000,$B$4,缺陷明细!$G$2:$G$50000,$C52,缺陷明细!$Q$2:$Q$50000,"已关闭",缺陷明细!$J$2:$J$50000,"单元测试")</f>
        <v>0</v>
      </c>
      <c r="L52" s="163"/>
      <c r="M52" s="164"/>
      <c r="N52" s="72">
        <f>COUNTIFS(缺陷明细!$A$2:$A$50000,$B$4,缺陷明细!$G$2:$G$50000,$C52,缺陷明细!$J$2:$J$50000,"系统测试案例评审",缺陷明细!$AA$2:$AA$50000,"&lt;&gt;丢弃",缺陷明细!$AA$2:$AA$50000,"&lt;&gt;设计如此",缺陷明细!$AA$2:$AA$50000,"&lt;&gt;重复Bug")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COUNTIFS(缺陷明细!$A$2:$A$50000,$B$4,缺陷明细!$G$2:$G$50000,$C52,缺陷明细!$J$2:$J$50000,"系统测试",缺陷明细!$AA$2:$AA$50000,"&lt;&gt;丢弃",缺陷明细!$AA$2:$AA$50000,"&lt;&gt;设计如此",缺陷明细!$AA$2:$AA$50000,"&lt;&gt;重复Bug")</f>
        <v>0</v>
      </c>
      <c r="Q52" s="72">
        <f>COUNTIFS(缺陷明细!$A$2:$A$50000,$B$4,缺陷明细!$G$2:$G$50000,$C52,缺陷明细!$Q$2:$Q$50000,"已关闭",缺陷明细!$J$2:$J$50000,"系统测试")</f>
        <v>0</v>
      </c>
      <c r="R52" s="354">
        <f>COUNTIFS(缺陷明细!$A$2:$A$50000,$B$4,缺陷明细!$G$2:$G$50000,$C52,缺陷明细!$AA$2:$AA$50000,"丢弃",缺陷明细!$J$2:$J$50000,"系统测试")+COUNTIFS(缺陷明细!$A$2:$A$50000,$B$4,缺陷明细!$G$2:$G$50000,$C52,缺陷明细!$AA$2:$AA$50000,"设计如此",缺陷明细!$J$2:$J$50000,"系统测试")+COUNTIFS(缺陷明细!$A$2:$A$50000,$B$4,缺陷明细!$G$2:$G$50000,$C52,缺陷明细!$AA$2:$AA$50000,"重复Bug",缺陷明细!$J$2:$J$50000,"系统测试")</f>
        <v>0</v>
      </c>
      <c r="S52" s="72">
        <f>COUNTIFS(缺陷明细!$A$2:$A$50000,$B$4,缺陷明细!$G$2:$G$50000,$C52,缺陷明细!$J$2:$J$50000,"系统测试",缺陷明细!$K$2:$K$50000,"致命",缺陷明细!$AA$2:$AA$50000,"&lt;&gt;丢弃",缺陷明细!$AA$2:$AA$50000,"&lt;&gt;设计如此",缺陷明细!$AA$2:$AA$50000,"&lt;&gt;重复Bug")+COUNTIFS(缺陷明细!$A$2:$A$50000,$B$4,缺陷明细!$G$2:$G$50000,$C52,缺陷明细!$J$2:$J$50000,"系统测试",缺陷明细!$K$2:$K$50000,"严重",缺陷明细!$AA$2:$AA$50000,"&lt;&gt;丢弃",缺陷明细!$AA$2:$AA$50000,"&lt;&gt;设计如此",缺陷明细!$AA$2:$AA$50000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COUNTIFS(缺陷明细!$A$2:$A$50000,$B$4,缺陷明细!$G$2:$G$50000,$C52,缺陷明细!$J$2:$J$50000,"验收测试",缺陷明细!$AA$2:$AA$50000,"&lt;&gt;丢弃",缺陷明细!$AA$2:$AA$50000,"&lt;&gt;设计如此",缺陷明细!$AA$2:$AA$50000,"&lt;&gt;重复Bug")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A$2:$AA$50000,"&lt;&gt;丢弃",缺陷明细!$AA$2:$AA$50000,"&lt;&gt;设计如此",缺陷明细!$AA$2:$AA$50000,"&lt;&gt;重复Bug")+COUNTIFS(缺陷明细!$A$2:$A$50000,$B$4,缺陷明细!$G$2:$G$50000,$C52,缺陷明细!$J$2:$J$50000,"验收测试",缺陷明细!$K$2:$K$50000,"严重",缺陷明细!$AA$2:$AA$50000,"&lt;&gt;丢弃",缺陷明细!$AA$2:$AA$50000,"&lt;&gt;设计如此",缺陷明细!$AA$2:$AA$50000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COUNTIFS(缺陷明细!$A$2:$A$50000,$B$4,缺陷明细!$G$2:$G$50000,$C52,缺陷明细!$J$2:$J$50000,"运维测试",缺陷明细!$AA$2:$AA$50000,"&lt;&gt;丢弃",缺陷明细!$AA$2:$AA$50000,"&lt;&gt;设计如此",缺陷明细!$AA$2:$AA$50000,"&lt;&gt;重复Bug")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A$2:$AA$50000,"&lt;&gt;丢弃",缺陷明细!$AA$2:$AA$50000,"&lt;&gt;设计如此",缺陷明细!$AA$2:$AA$50000,"&lt;&gt;重复Bug")+COUNTIFS(缺陷明细!$A$2:$A$50000,$B$4,缺陷明细!$G$2:$G$50000,$C52,缺陷明细!$J$2:$J$50000,"运维测试",缺陷明细!$K$2:$K$50000,"严重",缺陷明细!$AA$2:$AA$50000,"&lt;&gt;丢弃",缺陷明细!$AA$2:$AA$50000,"&lt;&gt;设计如此",缺陷明细!$AA$2:$AA$50000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51"/>
    </row>
    <row r="53" spans="1:37">
      <c r="A53">
        <v>49</v>
      </c>
      <c r="B53" s="347">
        <v>512</v>
      </c>
      <c r="C53" s="58" t="s">
        <v>399</v>
      </c>
      <c r="D53" s="84" t="s">
        <v>468</v>
      </c>
      <c r="E53" s="82" t="s">
        <v>472</v>
      </c>
      <c r="F53" s="322">
        <v>8</v>
      </c>
      <c r="G53" s="323">
        <v>0</v>
      </c>
      <c r="H53" s="305">
        <f>COUNTIFS(缺陷明细!$A$2:$A$50000,$B$4,缺陷明细!$G$2:$G$50000,$C53,缺陷明细!$J$2:$J$50000,"评审",缺陷明细!$AA$2:$AA$50000,"&lt;&gt;丢弃",缺陷明细!$AA$2:$AA$50000,"&lt;&gt;设计如此",缺陷明细!$AA$2:$AA$50000,"&lt;&gt;重复Bug")</f>
        <v>0</v>
      </c>
      <c r="I53" s="161">
        <f>COUNTIFS(缺陷明细!$A$2:$A$50000,$B$4,缺陷明细!$G$2:$G$50000,$C53,缺陷明细!$Q$2:$Q$50000,"已关闭",缺陷明细!$J$2:$J$50000,"评审")</f>
        <v>0</v>
      </c>
      <c r="J53" s="161">
        <f>COUNTIFS(缺陷明细!$A$2:$A$50000,$B$4,缺陷明细!$G$2:$G$50000,$C53,缺陷明细!$J$2:$J$50000,"单元测试",缺陷明细!$AA$2:$AA$50000,"&lt;&gt;丢弃",缺陷明细!$AA$2:$AA$50000,"&lt;&gt;设计如此",缺陷明细!$AA$2:$AA$50000,"&lt;&gt;重复Bug")</f>
        <v>0</v>
      </c>
      <c r="K53" s="162">
        <f>COUNTIFS(缺陷明细!$A$2:$A$50000,$B$4,缺陷明细!$G$2:$G$50000,$C53,缺陷明细!$Q$2:$Q$50000,"已关闭",缺陷明细!$J$2:$J$50000,"单元测试")</f>
        <v>0</v>
      </c>
      <c r="L53" s="163"/>
      <c r="M53" s="164"/>
      <c r="N53" s="72">
        <f>COUNTIFS(缺陷明细!$A$2:$A$50000,$B$4,缺陷明细!$G$2:$G$50000,$C53,缺陷明细!$J$2:$J$50000,"系统测试案例评审",缺陷明细!$AA$2:$AA$50000,"&lt;&gt;丢弃",缺陷明细!$AA$2:$AA$50000,"&lt;&gt;设计如此",缺陷明细!$AA$2:$AA$50000,"&lt;&gt;重复Bug")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COUNTIFS(缺陷明细!$A$2:$A$50000,$B$4,缺陷明细!$G$2:$G$50000,$C53,缺陷明细!$J$2:$J$50000,"系统测试",缺陷明细!$AA$2:$AA$50000,"&lt;&gt;丢弃",缺陷明细!$AA$2:$AA$50000,"&lt;&gt;设计如此",缺陷明细!$AA$2:$AA$50000,"&lt;&gt;重复Bug")</f>
        <v>0</v>
      </c>
      <c r="Q53" s="72">
        <f>COUNTIFS(缺陷明细!$A$2:$A$50000,$B$4,缺陷明细!$G$2:$G$50000,$C53,缺陷明细!$Q$2:$Q$50000,"已关闭",缺陷明细!$J$2:$J$50000,"系统测试")</f>
        <v>0</v>
      </c>
      <c r="R53" s="354">
        <f>COUNTIFS(缺陷明细!$A$2:$A$50000,$B$4,缺陷明细!$G$2:$G$50000,$C53,缺陷明细!$AA$2:$AA$50000,"丢弃",缺陷明细!$J$2:$J$50000,"系统测试")+COUNTIFS(缺陷明细!$A$2:$A$50000,$B$4,缺陷明细!$G$2:$G$50000,$C53,缺陷明细!$AA$2:$AA$50000,"设计如此",缺陷明细!$J$2:$J$50000,"系统测试")+COUNTIFS(缺陷明细!$A$2:$A$50000,$B$4,缺陷明细!$G$2:$G$50000,$C53,缺陷明细!$AA$2:$AA$50000,"重复Bug",缺陷明细!$J$2:$J$50000,"系统测试")</f>
        <v>0</v>
      </c>
      <c r="S53" s="72">
        <f>COUNTIFS(缺陷明细!$A$2:$A$50000,$B$4,缺陷明细!$G$2:$G$50000,$C53,缺陷明细!$J$2:$J$50000,"系统测试",缺陷明细!$K$2:$K$50000,"致命",缺陷明细!$AA$2:$AA$50000,"&lt;&gt;丢弃",缺陷明细!$AA$2:$AA$50000,"&lt;&gt;设计如此",缺陷明细!$AA$2:$AA$50000,"&lt;&gt;重复Bug")+COUNTIFS(缺陷明细!$A$2:$A$50000,$B$4,缺陷明细!$G$2:$G$50000,$C53,缺陷明细!$J$2:$J$50000,"系统测试",缺陷明细!$K$2:$K$50000,"严重",缺陷明细!$AA$2:$AA$50000,"&lt;&gt;丢弃",缺陷明细!$AA$2:$AA$50000,"&lt;&gt;设计如此",缺陷明细!$AA$2:$AA$50000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COUNTIFS(缺陷明细!$A$2:$A$50000,$B$4,缺陷明细!$G$2:$G$50000,$C53,缺陷明细!$J$2:$J$50000,"验收测试",缺陷明细!$AA$2:$AA$50000,"&lt;&gt;丢弃",缺陷明细!$AA$2:$AA$50000,"&lt;&gt;设计如此",缺陷明细!$AA$2:$AA$50000,"&lt;&gt;重复Bug")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A$2:$AA$50000,"&lt;&gt;丢弃",缺陷明细!$AA$2:$AA$50000,"&lt;&gt;设计如此",缺陷明细!$AA$2:$AA$50000,"&lt;&gt;重复Bug")+COUNTIFS(缺陷明细!$A$2:$A$50000,$B$4,缺陷明细!$G$2:$G$50000,$C53,缺陷明细!$J$2:$J$50000,"验收测试",缺陷明细!$K$2:$K$50000,"严重",缺陷明细!$AA$2:$AA$50000,"&lt;&gt;丢弃",缺陷明细!$AA$2:$AA$50000,"&lt;&gt;设计如此",缺陷明细!$AA$2:$AA$50000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COUNTIFS(缺陷明细!$A$2:$A$50000,$B$4,缺陷明细!$G$2:$G$50000,$C53,缺陷明细!$J$2:$J$50000,"运维测试",缺陷明细!$AA$2:$AA$50000,"&lt;&gt;丢弃",缺陷明细!$AA$2:$AA$50000,"&lt;&gt;设计如此",缺陷明细!$AA$2:$AA$50000,"&lt;&gt;重复Bug")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A$2:$AA$50000,"&lt;&gt;丢弃",缺陷明细!$AA$2:$AA$50000,"&lt;&gt;设计如此",缺陷明细!$AA$2:$AA$50000,"&lt;&gt;重复Bug")+COUNTIFS(缺陷明细!$A$2:$A$50000,$B$4,缺陷明细!$G$2:$G$50000,$C53,缺陷明细!$J$2:$J$50000,"运维测试",缺陷明细!$K$2:$K$50000,"严重",缺陷明细!$AA$2:$AA$50000,"&lt;&gt;丢弃",缺陷明细!$AA$2:$AA$50000,"&lt;&gt;设计如此",缺陷明细!$AA$2:$AA$50000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51"/>
    </row>
    <row r="54" spans="1:37" ht="26.4">
      <c r="A54">
        <v>50</v>
      </c>
      <c r="B54" s="347">
        <v>513</v>
      </c>
      <c r="C54" s="58" t="s">
        <v>400</v>
      </c>
      <c r="D54" s="84"/>
      <c r="E54" s="82" t="s">
        <v>472</v>
      </c>
      <c r="F54" s="322">
        <v>6</v>
      </c>
      <c r="G54" s="323">
        <v>8</v>
      </c>
      <c r="H54" s="305">
        <f>COUNTIFS(缺陷明细!$A$2:$A$50000,$B$4,缺陷明细!$G$2:$G$50000,$C54,缺陷明细!$J$2:$J$50000,"评审",缺陷明细!$AA$2:$AA$50000,"&lt;&gt;丢弃",缺陷明细!$AA$2:$AA$50000,"&lt;&gt;设计如此",缺陷明细!$AA$2:$AA$50000,"&lt;&gt;重复Bug")</f>
        <v>0</v>
      </c>
      <c r="I54" s="161">
        <f>COUNTIFS(缺陷明细!$A$2:$A$50000,$B$4,缺陷明细!$G$2:$G$50000,$C54,缺陷明细!$Q$2:$Q$50000,"已关闭",缺陷明细!$J$2:$J$50000,"评审")</f>
        <v>0</v>
      </c>
      <c r="J54" s="161">
        <f>COUNTIFS(缺陷明细!$A$2:$A$50000,$B$4,缺陷明细!$G$2:$G$50000,$C54,缺陷明细!$J$2:$J$50000,"单元测试",缺陷明细!$AA$2:$AA$50000,"&lt;&gt;丢弃",缺陷明细!$AA$2:$AA$50000,"&lt;&gt;设计如此",缺陷明细!$AA$2:$AA$50000,"&lt;&gt;重复Bug")</f>
        <v>0</v>
      </c>
      <c r="K54" s="162">
        <f>COUNTIFS(缺陷明细!$A$2:$A$50000,$B$4,缺陷明细!$G$2:$G$50000,$C54,缺陷明细!$Q$2:$Q$50000,"已关闭",缺陷明细!$J$2:$J$50000,"单元测试")</f>
        <v>0</v>
      </c>
      <c r="L54" s="163"/>
      <c r="M54" s="164"/>
      <c r="N54" s="72">
        <f>COUNTIFS(缺陷明细!$A$2:$A$50000,$B$4,缺陷明细!$G$2:$G$50000,$C54,缺陷明细!$J$2:$J$50000,"系统测试案例评审",缺陷明细!$AA$2:$AA$50000,"&lt;&gt;丢弃",缺陷明细!$AA$2:$AA$50000,"&lt;&gt;设计如此",缺陷明细!$AA$2:$AA$50000,"&lt;&gt;重复Bug")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COUNTIFS(缺陷明细!$A$2:$A$50000,$B$4,缺陷明细!$G$2:$G$50000,$C54,缺陷明细!$J$2:$J$50000,"系统测试",缺陷明细!$AA$2:$AA$50000,"&lt;&gt;丢弃",缺陷明细!$AA$2:$AA$50000,"&lt;&gt;设计如此",缺陷明细!$AA$2:$AA$50000,"&lt;&gt;重复Bug")</f>
        <v>0</v>
      </c>
      <c r="Q54" s="72">
        <f>COUNTIFS(缺陷明细!$A$2:$A$50000,$B$4,缺陷明细!$G$2:$G$50000,$C54,缺陷明细!$Q$2:$Q$50000,"已关闭",缺陷明细!$J$2:$J$50000,"系统测试")</f>
        <v>0</v>
      </c>
      <c r="R54" s="354">
        <f>COUNTIFS(缺陷明细!$A$2:$A$50000,$B$4,缺陷明细!$G$2:$G$50000,$C54,缺陷明细!$AA$2:$AA$50000,"丢弃",缺陷明细!$J$2:$J$50000,"系统测试")+COUNTIFS(缺陷明细!$A$2:$A$50000,$B$4,缺陷明细!$G$2:$G$50000,$C54,缺陷明细!$AA$2:$AA$50000,"设计如此",缺陷明细!$J$2:$J$50000,"系统测试")+COUNTIFS(缺陷明细!$A$2:$A$50000,$B$4,缺陷明细!$G$2:$G$50000,$C54,缺陷明细!$AA$2:$AA$50000,"重复Bug",缺陷明细!$J$2:$J$50000,"系统测试")</f>
        <v>0</v>
      </c>
      <c r="S54" s="72">
        <f>COUNTIFS(缺陷明细!$A$2:$A$50000,$B$4,缺陷明细!$G$2:$G$50000,$C54,缺陷明细!$J$2:$J$50000,"系统测试",缺陷明细!$K$2:$K$50000,"致命",缺陷明细!$AA$2:$AA$50000,"&lt;&gt;丢弃",缺陷明细!$AA$2:$AA$50000,"&lt;&gt;设计如此",缺陷明细!$AA$2:$AA$50000,"&lt;&gt;重复Bug")+COUNTIFS(缺陷明细!$A$2:$A$50000,$B$4,缺陷明细!$G$2:$G$50000,$C54,缺陷明细!$J$2:$J$50000,"系统测试",缺陷明细!$K$2:$K$50000,"严重",缺陷明细!$AA$2:$AA$50000,"&lt;&gt;丢弃",缺陷明细!$AA$2:$AA$50000,"&lt;&gt;设计如此",缺陷明细!$AA$2:$AA$50000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COUNTIFS(缺陷明细!$A$2:$A$50000,$B$4,缺陷明细!$G$2:$G$50000,$C54,缺陷明细!$J$2:$J$50000,"验收测试",缺陷明细!$AA$2:$AA$50000,"&lt;&gt;丢弃",缺陷明细!$AA$2:$AA$50000,"&lt;&gt;设计如此",缺陷明细!$AA$2:$AA$50000,"&lt;&gt;重复Bug")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A$2:$AA$50000,"&lt;&gt;丢弃",缺陷明细!$AA$2:$AA$50000,"&lt;&gt;设计如此",缺陷明细!$AA$2:$AA$50000,"&lt;&gt;重复Bug")+COUNTIFS(缺陷明细!$A$2:$A$50000,$B$4,缺陷明细!$G$2:$G$50000,$C54,缺陷明细!$J$2:$J$50000,"验收测试",缺陷明细!$K$2:$K$50000,"严重",缺陷明细!$AA$2:$AA$50000,"&lt;&gt;丢弃",缺陷明细!$AA$2:$AA$50000,"&lt;&gt;设计如此",缺陷明细!$AA$2:$AA$50000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COUNTIFS(缺陷明细!$A$2:$A$50000,$B$4,缺陷明细!$G$2:$G$50000,$C54,缺陷明细!$J$2:$J$50000,"运维测试",缺陷明细!$AA$2:$AA$50000,"&lt;&gt;丢弃",缺陷明细!$AA$2:$AA$50000,"&lt;&gt;设计如此",缺陷明细!$AA$2:$AA$50000,"&lt;&gt;重复Bug")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A$2:$AA$50000,"&lt;&gt;丢弃",缺陷明细!$AA$2:$AA$50000,"&lt;&gt;设计如此",缺陷明细!$AA$2:$AA$50000,"&lt;&gt;重复Bug")+COUNTIFS(缺陷明细!$A$2:$A$50000,$B$4,缺陷明细!$G$2:$G$50000,$C54,缺陷明细!$J$2:$J$50000,"运维测试",缺陷明细!$K$2:$K$50000,"严重",缺陷明细!$AA$2:$AA$50000,"&lt;&gt;丢弃",缺陷明细!$AA$2:$AA$50000,"&lt;&gt;设计如此",缺陷明细!$AA$2:$AA$50000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51"/>
    </row>
    <row r="55" spans="1:37" ht="26.4">
      <c r="A55">
        <v>51</v>
      </c>
      <c r="B55" s="346">
        <v>514</v>
      </c>
      <c r="C55" s="79" t="s">
        <v>401</v>
      </c>
      <c r="D55" s="82" t="s">
        <v>467</v>
      </c>
      <c r="E55" s="82" t="s">
        <v>472</v>
      </c>
      <c r="F55" s="319">
        <v>0</v>
      </c>
      <c r="G55" s="320">
        <v>0</v>
      </c>
      <c r="H55" s="305">
        <f>COUNTIFS(缺陷明细!$A$2:$A$50000,$B$4,缺陷明细!$G$2:$G$50000,$C55,缺陷明细!$J$2:$J$50000,"评审",缺陷明细!$AA$2:$AA$50000,"&lt;&gt;丢弃",缺陷明细!$AA$2:$AA$50000,"&lt;&gt;设计如此",缺陷明细!$AA$2:$AA$50000,"&lt;&gt;重复Bug")</f>
        <v>0</v>
      </c>
      <c r="I55" s="161">
        <f>COUNTIFS(缺陷明细!$A$2:$A$50000,$B$4,缺陷明细!$G$2:$G$50000,$C55,缺陷明细!$Q$2:$Q$50000,"已关闭",缺陷明细!$J$2:$J$50000,"评审")</f>
        <v>0</v>
      </c>
      <c r="J55" s="161">
        <f>COUNTIFS(缺陷明细!$A$2:$A$50000,$B$4,缺陷明细!$G$2:$G$50000,$C55,缺陷明细!$J$2:$J$50000,"单元测试",缺陷明细!$AA$2:$AA$50000,"&lt;&gt;丢弃",缺陷明细!$AA$2:$AA$50000,"&lt;&gt;设计如此",缺陷明细!$AA$2:$AA$50000,"&lt;&gt;重复Bug")</f>
        <v>0</v>
      </c>
      <c r="K55" s="162">
        <f>COUNTIFS(缺陷明细!$A$2:$A$50000,$B$4,缺陷明细!$G$2:$G$50000,$C55,缺陷明细!$Q$2:$Q$50000,"已关闭",缺陷明细!$J$2:$J$50000,"单元测试")</f>
        <v>0</v>
      </c>
      <c r="L55" s="163"/>
      <c r="M55" s="164"/>
      <c r="N55" s="72">
        <f>COUNTIFS(缺陷明细!$A$2:$A$50000,$B$4,缺陷明细!$G$2:$G$50000,$C55,缺陷明细!$J$2:$J$50000,"系统测试案例评审",缺陷明细!$AA$2:$AA$50000,"&lt;&gt;丢弃",缺陷明细!$AA$2:$AA$50000,"&lt;&gt;设计如此",缺陷明细!$AA$2:$AA$50000,"&lt;&gt;重复Bug")</f>
        <v>0</v>
      </c>
      <c r="O55" s="72">
        <f>COUNTIFS(缺陷明细!$A$2:$A$50000,$B$4,缺陷明细!$G$2:$G$50000,$C55,缺陷明细!$Q$2:$Q$50000,"已关闭",缺陷明细!$J$2:$J$50000,"系统测试案例评审")</f>
        <v>0</v>
      </c>
      <c r="P55" s="72">
        <f>COUNTIFS(缺陷明细!$A$2:$A$50000,$B$4,缺陷明细!$G$2:$G$50000,$C55,缺陷明细!$J$2:$J$50000,"系统测试",缺陷明细!$AA$2:$AA$50000,"&lt;&gt;丢弃",缺陷明细!$AA$2:$AA$50000,"&lt;&gt;设计如此",缺陷明细!$AA$2:$AA$50000,"&lt;&gt;重复Bug")</f>
        <v>0</v>
      </c>
      <c r="Q55" s="72">
        <f>COUNTIFS(缺陷明细!$A$2:$A$50000,$B$4,缺陷明细!$G$2:$G$50000,$C55,缺陷明细!$Q$2:$Q$50000,"已关闭",缺陷明细!$J$2:$J$50000,"系统测试")</f>
        <v>0</v>
      </c>
      <c r="R55" s="354">
        <f>COUNTIFS(缺陷明细!$A$2:$A$50000,$B$4,缺陷明细!$G$2:$G$50000,$C55,缺陷明细!$AA$2:$AA$50000,"丢弃",缺陷明细!$J$2:$J$50000,"系统测试")+COUNTIFS(缺陷明细!$A$2:$A$50000,$B$4,缺陷明细!$G$2:$G$50000,$C55,缺陷明细!$AA$2:$AA$50000,"设计如此",缺陷明细!$J$2:$J$50000,"系统测试")+COUNTIFS(缺陷明细!$A$2:$A$50000,$B$4,缺陷明细!$G$2:$G$50000,$C55,缺陷明细!$AA$2:$AA$50000,"重复Bug",缺陷明细!$J$2:$J$50000,"系统测试")</f>
        <v>0</v>
      </c>
      <c r="S55" s="72">
        <f>COUNTIFS(缺陷明细!$A$2:$A$50000,$B$4,缺陷明细!$G$2:$G$50000,$C55,缺陷明细!$J$2:$J$50000,"系统测试",缺陷明细!$K$2:$K$50000,"致命",缺陷明细!$AA$2:$AA$50000,"&lt;&gt;丢弃",缺陷明细!$AA$2:$AA$50000,"&lt;&gt;设计如此",缺陷明细!$AA$2:$AA$50000,"&lt;&gt;重复Bug")+COUNTIFS(缺陷明细!$A$2:$A$50000,$B$4,缺陷明细!$G$2:$G$50000,$C55,缺陷明细!$J$2:$J$50000,"系统测试",缺陷明细!$K$2:$K$50000,"严重",缺陷明细!$AA$2:$AA$50000,"&lt;&gt;丢弃",缺陷明细!$AA$2:$AA$50000,"&lt;&gt;设计如此",缺陷明细!$AA$2:$AA$50000,"&lt;&gt;重复Bug")</f>
        <v>0</v>
      </c>
      <c r="T55" s="73">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74">
        <f>COUNTIFS(缺陷明细!$A$2:$A$50000,$B$4,缺陷明细!$G$2:$G$50000,$C55,缺陷明细!$J$2:$J$50000,"验收测试",缺陷明细!$AA$2:$AA$50000,"&lt;&gt;丢弃",缺陷明细!$AA$2:$AA$50000,"&lt;&gt;设计如此",缺陷明细!$AA$2:$AA$50000,"&lt;&gt;重复Bug")</f>
        <v>0</v>
      </c>
      <c r="V55" s="75">
        <f>COUNTIFS(缺陷明细!$A$2:$A$50000,$B$4,缺陷明细!$G$2:$G$50000,$C55,缺陷明细!$Q$2:$Q$50000,"已关闭",缺陷明细!$J$2:$J$50000,"验收测试")</f>
        <v>0</v>
      </c>
      <c r="W55" s="75">
        <f>COUNTIFS(缺陷明细!$A$2:$A$50000,$B$4,缺陷明细!$G$2:$G$50000,$C55,缺陷明细!$J$2:$J$50000,"验收测试",缺陷明细!$K$2:$K$50000,"致命",缺陷明细!$AA$2:$AA$50000,"&lt;&gt;丢弃",缺陷明细!$AA$2:$AA$50000,"&lt;&gt;设计如此",缺陷明细!$AA$2:$AA$50000,"&lt;&gt;重复Bug")+COUNTIFS(缺陷明细!$A$2:$A$50000,$B$4,缺陷明细!$G$2:$G$50000,$C55,缺陷明细!$J$2:$J$50000,"验收测试",缺陷明细!$K$2:$K$50000,"严重",缺陷明细!$AA$2:$AA$50000,"&lt;&gt;丢弃",缺陷明细!$AA$2:$AA$50000,"&lt;&gt;设计如此",缺陷明细!$AA$2:$AA$50000,"&lt;&gt;重复Bug")</f>
        <v>0</v>
      </c>
      <c r="X55" s="76">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70">
        <f>COUNTIFS(缺陷明细!$A$2:$A$50000,$B$4,缺陷明细!$G$2:$G$50000,$C55,缺陷明细!$J$2:$J$50000,"运维测试",缺陷明细!$AA$2:$AA$50000,"&lt;&gt;丢弃",缺陷明细!$AA$2:$AA$50000,"&lt;&gt;设计如此",缺陷明细!$AA$2:$AA$50000,"&lt;&gt;重复Bug")</f>
        <v>0</v>
      </c>
      <c r="Z55" s="71">
        <f>COUNTIFS(缺陷明细!$A$2:$A$50000,$B$4,缺陷明细!$G$2:$G$50000,$C55,缺陷明细!$Q$2:$Q$50000,"已关闭",缺陷明细!$J$2:$J$50000,"运维测试")</f>
        <v>0</v>
      </c>
      <c r="AA55" s="72">
        <f>COUNTIFS(缺陷明细!$A$2:$A$50000,$B$4,缺陷明细!$G$2:$G$50000,$C55,缺陷明细!$J$2:$J$50000,"运维测试",缺陷明细!$K$2:$K$50000,"致命",缺陷明细!$AA$2:$AA$50000,"&lt;&gt;丢弃",缺陷明细!$AA$2:$AA$50000,"&lt;&gt;设计如此",缺陷明细!$AA$2:$AA$50000,"&lt;&gt;重复Bug")+COUNTIFS(缺陷明细!$A$2:$A$50000,$B$4,缺陷明细!$G$2:$G$50000,$C55,缺陷明细!$J$2:$J$50000,"运维测试",缺陷明细!$K$2:$K$50000,"严重",缺陷明细!$AA$2:$AA$50000,"&lt;&gt;丢弃",缺陷明细!$AA$2:$AA$50000,"&lt;&gt;设计如此",缺陷明细!$AA$2:$AA$50000,"&lt;&gt;重复Bug")</f>
        <v>0</v>
      </c>
      <c r="AB55" s="73">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68">
        <f>H55</f>
        <v>0</v>
      </c>
      <c r="AD55" s="60">
        <f>I55</f>
        <v>0</v>
      </c>
      <c r="AE55" s="60">
        <f>H55+J55</f>
        <v>0</v>
      </c>
      <c r="AF55" s="60">
        <f>I55+K55</f>
        <v>0</v>
      </c>
      <c r="AG55" s="60">
        <f>H55+J55+P55</f>
        <v>0</v>
      </c>
      <c r="AH55" s="60">
        <f>I55+K55+Q55</f>
        <v>0</v>
      </c>
      <c r="AI55" s="60">
        <f>Y55</f>
        <v>0</v>
      </c>
      <c r="AJ55" s="61">
        <f>Z55</f>
        <v>0</v>
      </c>
      <c r="AK55" s="151"/>
    </row>
    <row r="56" spans="1:37" ht="26.4">
      <c r="A56">
        <v>52</v>
      </c>
      <c r="B56" s="347">
        <v>515</v>
      </c>
      <c r="C56" s="58" t="s">
        <v>402</v>
      </c>
      <c r="D56" s="83" t="s">
        <v>467</v>
      </c>
      <c r="E56" s="82" t="s">
        <v>472</v>
      </c>
      <c r="F56" s="322">
        <v>8</v>
      </c>
      <c r="G56" s="323">
        <v>16</v>
      </c>
      <c r="H56" s="305">
        <f>COUNTIFS(缺陷明细!$A$2:$A$50000,$B$4,缺陷明细!$G$2:$G$50000,$C56,缺陷明细!$J$2:$J$50000,"评审",缺陷明细!$AA$2:$AA$50000,"&lt;&gt;丢弃",缺陷明细!$AA$2:$AA$50000,"&lt;&gt;设计如此",缺陷明细!$AA$2:$AA$50000,"&lt;&gt;重复Bug")</f>
        <v>0</v>
      </c>
      <c r="I56" s="161">
        <f>COUNTIFS(缺陷明细!$A$2:$A$50000,$B$4,缺陷明细!$G$2:$G$50000,$C56,缺陷明细!$Q$2:$Q$50000,"已关闭",缺陷明细!$J$2:$J$50000,"评审")</f>
        <v>0</v>
      </c>
      <c r="J56" s="161">
        <f>COUNTIFS(缺陷明细!$A$2:$A$50000,$B$4,缺陷明细!$G$2:$G$50000,$C56,缺陷明细!$J$2:$J$50000,"单元测试",缺陷明细!$AA$2:$AA$50000,"&lt;&gt;丢弃",缺陷明细!$AA$2:$AA$50000,"&lt;&gt;设计如此",缺陷明细!$AA$2:$AA$50000,"&lt;&gt;重复Bug")</f>
        <v>0</v>
      </c>
      <c r="K56" s="162">
        <f>COUNTIFS(缺陷明细!$A$2:$A$50000,$B$4,缺陷明细!$G$2:$G$50000,$C56,缺陷明细!$Q$2:$Q$50000,"已关闭",缺陷明细!$J$2:$J$50000,"单元测试")</f>
        <v>0</v>
      </c>
      <c r="L56" s="163"/>
      <c r="M56" s="164"/>
      <c r="N56" s="72">
        <f>COUNTIFS(缺陷明细!$A$2:$A$50000,$B$4,缺陷明细!$G$2:$G$50000,$C56,缺陷明细!$J$2:$J$50000,"系统测试案例评审",缺陷明细!$AA$2:$AA$50000,"&lt;&gt;丢弃",缺陷明细!$AA$2:$AA$50000,"&lt;&gt;设计如此",缺陷明细!$AA$2:$AA$50000,"&lt;&gt;重复Bug")</f>
        <v>0</v>
      </c>
      <c r="O56" s="72">
        <f>COUNTIFS(缺陷明细!$A$2:$A$50000,$B$4,缺陷明细!$G$2:$G$50000,$C56,缺陷明细!$Q$2:$Q$50000,"已关闭",缺陷明细!$J$2:$J$50000,"系统测试案例评审")</f>
        <v>0</v>
      </c>
      <c r="P56" s="72">
        <f>COUNTIFS(缺陷明细!$A$2:$A$50000,$B$4,缺陷明细!$G$2:$G$50000,$C56,缺陷明细!$J$2:$J$50000,"系统测试",缺陷明细!$AA$2:$AA$50000,"&lt;&gt;丢弃",缺陷明细!$AA$2:$AA$50000,"&lt;&gt;设计如此",缺陷明细!$AA$2:$AA$50000,"&lt;&gt;重复Bug")</f>
        <v>0</v>
      </c>
      <c r="Q56" s="72">
        <f>COUNTIFS(缺陷明细!$A$2:$A$50000,$B$4,缺陷明细!$G$2:$G$50000,$C56,缺陷明细!$Q$2:$Q$50000,"已关闭",缺陷明细!$J$2:$J$50000,"系统测试")</f>
        <v>0</v>
      </c>
      <c r="R56" s="354">
        <f>COUNTIFS(缺陷明细!$A$2:$A$50000,$B$4,缺陷明细!$G$2:$G$50000,$C56,缺陷明细!$AA$2:$AA$50000,"丢弃",缺陷明细!$J$2:$J$50000,"系统测试")+COUNTIFS(缺陷明细!$A$2:$A$50000,$B$4,缺陷明细!$G$2:$G$50000,$C56,缺陷明细!$AA$2:$AA$50000,"设计如此",缺陷明细!$J$2:$J$50000,"系统测试")+COUNTIFS(缺陷明细!$A$2:$A$50000,$B$4,缺陷明细!$G$2:$G$50000,$C56,缺陷明细!$AA$2:$AA$50000,"重复Bug",缺陷明细!$J$2:$J$50000,"系统测试")</f>
        <v>0</v>
      </c>
      <c r="S56" s="72">
        <f>COUNTIFS(缺陷明细!$A$2:$A$50000,$B$4,缺陷明细!$G$2:$G$50000,$C56,缺陷明细!$J$2:$J$50000,"系统测试",缺陷明细!$K$2:$K$50000,"致命",缺陷明细!$AA$2:$AA$50000,"&lt;&gt;丢弃",缺陷明细!$AA$2:$AA$50000,"&lt;&gt;设计如此",缺陷明细!$AA$2:$AA$50000,"&lt;&gt;重复Bug")+COUNTIFS(缺陷明细!$A$2:$A$50000,$B$4,缺陷明细!$G$2:$G$50000,$C56,缺陷明细!$J$2:$J$50000,"系统测试",缺陷明细!$K$2:$K$50000,"严重",缺陷明细!$AA$2:$AA$50000,"&lt;&gt;丢弃",缺陷明细!$AA$2:$AA$50000,"&lt;&gt;设计如此",缺陷明细!$AA$2:$AA$50000,"&lt;&gt;重复Bug")</f>
        <v>0</v>
      </c>
      <c r="T56" s="73">
        <f>COUNTIFS(缺陷明细!$A$2:$A$50000,$B$4,缺陷明细!$G$2:$G$50000,$C56,缺陷明细!$Q$2:$Q$50000,"已关闭",缺陷明细!$J$2:$J$50000,"系统测试",缺陷明细!$K$2:$K$50000,"致命")+COUNTIFS(缺陷明细!$A$2:$A$50000,$B$4,缺陷明细!$G$2:$G$50000,$C56,缺陷明细!$Q$2:$Q$50000,"已关闭",缺陷明细!$J$2:$J$50000,"系统测试",缺陷明细!$K$2:$K$50000,"严重")</f>
        <v>0</v>
      </c>
      <c r="U56" s="74">
        <f>COUNTIFS(缺陷明细!$A$2:$A$50000,$B$4,缺陷明细!$G$2:$G$50000,$C56,缺陷明细!$J$2:$J$50000,"验收测试",缺陷明细!$AA$2:$AA$50000,"&lt;&gt;丢弃",缺陷明细!$AA$2:$AA$50000,"&lt;&gt;设计如此",缺陷明细!$AA$2:$AA$50000,"&lt;&gt;重复Bug")</f>
        <v>0</v>
      </c>
      <c r="V56" s="75">
        <f>COUNTIFS(缺陷明细!$A$2:$A$50000,$B$4,缺陷明细!$G$2:$G$50000,$C56,缺陷明细!$Q$2:$Q$50000,"已关闭",缺陷明细!$J$2:$J$50000,"验收测试")</f>
        <v>0</v>
      </c>
      <c r="W56" s="75">
        <f>COUNTIFS(缺陷明细!$A$2:$A$50000,$B$4,缺陷明细!$G$2:$G$50000,$C56,缺陷明细!$J$2:$J$50000,"验收测试",缺陷明细!$K$2:$K$50000,"致命",缺陷明细!$AA$2:$AA$50000,"&lt;&gt;丢弃",缺陷明细!$AA$2:$AA$50000,"&lt;&gt;设计如此",缺陷明细!$AA$2:$AA$50000,"&lt;&gt;重复Bug")+COUNTIFS(缺陷明细!$A$2:$A$50000,$B$4,缺陷明细!$G$2:$G$50000,$C56,缺陷明细!$J$2:$J$50000,"验收测试",缺陷明细!$K$2:$K$50000,"严重",缺陷明细!$AA$2:$AA$50000,"&lt;&gt;丢弃",缺陷明细!$AA$2:$AA$50000,"&lt;&gt;设计如此",缺陷明细!$AA$2:$AA$50000,"&lt;&gt;重复Bug")</f>
        <v>0</v>
      </c>
      <c r="X56" s="76">
        <f>COUNTIFS(缺陷明细!$A$2:$A$50000,$B$4,缺陷明细!$G$2:$G$50000,$C56,缺陷明细!$Q$2:$Q$50000,"已关闭",缺陷明细!$J$2:$J$50000,"验收测试",缺陷明细!$K$2:$K$50000,"致命")+COUNTIFS(缺陷明细!$A$2:$A$50000,$B$4,缺陷明细!$G$2:$G$50000,$C56,缺陷明细!$Q$2:$Q$50000,"已关闭",缺陷明细!$J$2:$J$50000,"验收测试",缺陷明细!$K$2:$K$50000,"严重")</f>
        <v>0</v>
      </c>
      <c r="Y56" s="70">
        <f>COUNTIFS(缺陷明细!$A$2:$A$50000,$B$4,缺陷明细!$G$2:$G$50000,$C56,缺陷明细!$J$2:$J$50000,"运维测试",缺陷明细!$AA$2:$AA$50000,"&lt;&gt;丢弃",缺陷明细!$AA$2:$AA$50000,"&lt;&gt;设计如此",缺陷明细!$AA$2:$AA$50000,"&lt;&gt;重复Bug")</f>
        <v>0</v>
      </c>
      <c r="Z56" s="71">
        <f>COUNTIFS(缺陷明细!$A$2:$A$50000,$B$4,缺陷明细!$G$2:$G$50000,$C56,缺陷明细!$Q$2:$Q$50000,"已关闭",缺陷明细!$J$2:$J$50000,"运维测试")</f>
        <v>0</v>
      </c>
      <c r="AA56" s="72">
        <f>COUNTIFS(缺陷明细!$A$2:$A$50000,$B$4,缺陷明细!$G$2:$G$50000,$C56,缺陷明细!$J$2:$J$50000,"运维测试",缺陷明细!$K$2:$K$50000,"致命",缺陷明细!$AA$2:$AA$50000,"&lt;&gt;丢弃",缺陷明细!$AA$2:$AA$50000,"&lt;&gt;设计如此",缺陷明细!$AA$2:$AA$50000,"&lt;&gt;重复Bug")+COUNTIFS(缺陷明细!$A$2:$A$50000,$B$4,缺陷明细!$G$2:$G$50000,$C56,缺陷明细!$J$2:$J$50000,"运维测试",缺陷明细!$K$2:$K$50000,"严重",缺陷明细!$AA$2:$AA$50000,"&lt;&gt;丢弃",缺陷明细!$AA$2:$AA$50000,"&lt;&gt;设计如此",缺陷明细!$AA$2:$AA$50000,"&lt;&gt;重复Bug")</f>
        <v>0</v>
      </c>
      <c r="AB56" s="73">
        <f>COUNTIFS(缺陷明细!$A$2:$A$50000,$B$4,缺陷明细!$G$2:$G$50000,$C56,缺陷明细!$Q$2:$Q$50000,"已关闭",缺陷明细!$J$2:$J$50000,"运维测试",缺陷明细!$K$2:$K$50000,"致命")+COUNTIFS(缺陷明细!$A$2:$A$50000,$B$4,缺陷明细!$G$2:$G$50000,$C56,缺陷明细!$Q$2:$Q$50000,"已关闭",缺陷明细!$J$2:$J$50000,"运维测试",缺陷明细!$K$2:$K$50000,"严重")</f>
        <v>0</v>
      </c>
      <c r="AC56" s="68">
        <f t="shared" ref="AC56:AC104" si="4">H56</f>
        <v>0</v>
      </c>
      <c r="AD56" s="60">
        <f t="shared" ref="AD56:AD104" si="5">I56</f>
        <v>0</v>
      </c>
      <c r="AE56" s="60">
        <f t="shared" ref="AE56:AE104" si="6">H56+J56</f>
        <v>0</v>
      </c>
      <c r="AF56" s="60">
        <f t="shared" ref="AF56:AF104" si="7">I56+K56</f>
        <v>0</v>
      </c>
      <c r="AG56" s="60">
        <f t="shared" ref="AG56:AG104" si="8">H56+J56+P56</f>
        <v>0</v>
      </c>
      <c r="AH56" s="60">
        <f t="shared" ref="AH56:AH104" si="9">I56+K56+Q56</f>
        <v>0</v>
      </c>
      <c r="AI56" s="60">
        <f t="shared" ref="AI56:AI104" si="10">Y56</f>
        <v>0</v>
      </c>
      <c r="AJ56" s="61">
        <f t="shared" ref="AJ56:AJ104" si="11">Z56</f>
        <v>0</v>
      </c>
      <c r="AK56" s="151"/>
    </row>
    <row r="57" spans="1:37" ht="26.4">
      <c r="A57">
        <v>53</v>
      </c>
      <c r="B57" s="347">
        <v>516</v>
      </c>
      <c r="C57" s="58" t="s">
        <v>403</v>
      </c>
      <c r="D57" s="83" t="s">
        <v>467</v>
      </c>
      <c r="E57" s="82" t="s">
        <v>472</v>
      </c>
      <c r="F57" s="322">
        <v>0</v>
      </c>
      <c r="G57" s="323">
        <v>0</v>
      </c>
      <c r="H57" s="305">
        <f>COUNTIFS(缺陷明细!$A$2:$A$50000,$B$4,缺陷明细!$G$2:$G$50000,$C57,缺陷明细!$J$2:$J$50000,"评审",缺陷明细!$AA$2:$AA$50000,"&lt;&gt;丢弃",缺陷明细!$AA$2:$AA$50000,"&lt;&gt;设计如此",缺陷明细!$AA$2:$AA$50000,"&lt;&gt;重复Bug")</f>
        <v>0</v>
      </c>
      <c r="I57" s="161">
        <f>COUNTIFS(缺陷明细!$A$2:$A$50000,$B$4,缺陷明细!$G$2:$G$50000,$C57,缺陷明细!$Q$2:$Q$50000,"已关闭",缺陷明细!$J$2:$J$50000,"评审")</f>
        <v>0</v>
      </c>
      <c r="J57" s="161">
        <f>COUNTIFS(缺陷明细!$A$2:$A$50000,$B$4,缺陷明细!$G$2:$G$50000,$C57,缺陷明细!$J$2:$J$50000,"单元测试",缺陷明细!$AA$2:$AA$50000,"&lt;&gt;丢弃",缺陷明细!$AA$2:$AA$50000,"&lt;&gt;设计如此",缺陷明细!$AA$2:$AA$50000,"&lt;&gt;重复Bug")</f>
        <v>0</v>
      </c>
      <c r="K57" s="162">
        <f>COUNTIFS(缺陷明细!$A$2:$A$50000,$B$4,缺陷明细!$G$2:$G$50000,$C57,缺陷明细!$Q$2:$Q$50000,"已关闭",缺陷明细!$J$2:$J$50000,"单元测试")</f>
        <v>0</v>
      </c>
      <c r="L57" s="163"/>
      <c r="M57" s="164"/>
      <c r="N57" s="72">
        <f>COUNTIFS(缺陷明细!$A$2:$A$50000,$B$4,缺陷明细!$G$2:$G$50000,$C57,缺陷明细!$J$2:$J$50000,"系统测试案例评审",缺陷明细!$AA$2:$AA$50000,"&lt;&gt;丢弃",缺陷明细!$AA$2:$AA$50000,"&lt;&gt;设计如此",缺陷明细!$AA$2:$AA$50000,"&lt;&gt;重复Bug")</f>
        <v>0</v>
      </c>
      <c r="O57" s="72">
        <f>COUNTIFS(缺陷明细!$A$2:$A$50000,$B$4,缺陷明细!$G$2:$G$50000,$C57,缺陷明细!$Q$2:$Q$50000,"已关闭",缺陷明细!$J$2:$J$50000,"系统测试案例评审")</f>
        <v>0</v>
      </c>
      <c r="P57" s="72">
        <f>COUNTIFS(缺陷明细!$A$2:$A$50000,$B$4,缺陷明细!$G$2:$G$50000,$C57,缺陷明细!$J$2:$J$50000,"系统测试",缺陷明细!$AA$2:$AA$50000,"&lt;&gt;丢弃",缺陷明细!$AA$2:$AA$50000,"&lt;&gt;设计如此",缺陷明细!$AA$2:$AA$50000,"&lt;&gt;重复Bug")</f>
        <v>0</v>
      </c>
      <c r="Q57" s="72">
        <f>COUNTIFS(缺陷明细!$A$2:$A$50000,$B$4,缺陷明细!$G$2:$G$50000,$C57,缺陷明细!$Q$2:$Q$50000,"已关闭",缺陷明细!$J$2:$J$50000,"系统测试")</f>
        <v>0</v>
      </c>
      <c r="R57" s="354">
        <f>COUNTIFS(缺陷明细!$A$2:$A$50000,$B$4,缺陷明细!$G$2:$G$50000,$C57,缺陷明细!$AA$2:$AA$50000,"丢弃",缺陷明细!$J$2:$J$50000,"系统测试")+COUNTIFS(缺陷明细!$A$2:$A$50000,$B$4,缺陷明细!$G$2:$G$50000,$C57,缺陷明细!$AA$2:$AA$50000,"设计如此",缺陷明细!$J$2:$J$50000,"系统测试")+COUNTIFS(缺陷明细!$A$2:$A$50000,$B$4,缺陷明细!$G$2:$G$50000,$C57,缺陷明细!$AA$2:$AA$50000,"重复Bug",缺陷明细!$J$2:$J$50000,"系统测试")</f>
        <v>0</v>
      </c>
      <c r="S57" s="72">
        <f>COUNTIFS(缺陷明细!$A$2:$A$50000,$B$4,缺陷明细!$G$2:$G$50000,$C57,缺陷明细!$J$2:$J$50000,"系统测试",缺陷明细!$K$2:$K$50000,"致命",缺陷明细!$AA$2:$AA$50000,"&lt;&gt;丢弃",缺陷明细!$AA$2:$AA$50000,"&lt;&gt;设计如此",缺陷明细!$AA$2:$AA$50000,"&lt;&gt;重复Bug")+COUNTIFS(缺陷明细!$A$2:$A$50000,$B$4,缺陷明细!$G$2:$G$50000,$C57,缺陷明细!$J$2:$J$50000,"系统测试",缺陷明细!$K$2:$K$50000,"严重",缺陷明细!$AA$2:$AA$50000,"&lt;&gt;丢弃",缺陷明细!$AA$2:$AA$50000,"&lt;&gt;设计如此",缺陷明细!$AA$2:$AA$50000,"&lt;&gt;重复Bug")</f>
        <v>0</v>
      </c>
      <c r="T57" s="73">
        <f>COUNTIFS(缺陷明细!$A$2:$A$50000,$B$4,缺陷明细!$G$2:$G$50000,$C57,缺陷明细!$Q$2:$Q$50000,"已关闭",缺陷明细!$J$2:$J$50000,"系统测试",缺陷明细!$K$2:$K$50000,"致命")+COUNTIFS(缺陷明细!$A$2:$A$50000,$B$4,缺陷明细!$G$2:$G$50000,$C57,缺陷明细!$Q$2:$Q$50000,"已关闭",缺陷明细!$J$2:$J$50000,"系统测试",缺陷明细!$K$2:$K$50000,"严重")</f>
        <v>0</v>
      </c>
      <c r="U57" s="74">
        <f>COUNTIFS(缺陷明细!$A$2:$A$50000,$B$4,缺陷明细!$G$2:$G$50000,$C57,缺陷明细!$J$2:$J$50000,"验收测试",缺陷明细!$AA$2:$AA$50000,"&lt;&gt;丢弃",缺陷明细!$AA$2:$AA$50000,"&lt;&gt;设计如此",缺陷明细!$AA$2:$AA$50000,"&lt;&gt;重复Bug")</f>
        <v>0</v>
      </c>
      <c r="V57" s="75">
        <f>COUNTIFS(缺陷明细!$A$2:$A$50000,$B$4,缺陷明细!$G$2:$G$50000,$C57,缺陷明细!$Q$2:$Q$50000,"已关闭",缺陷明细!$J$2:$J$50000,"验收测试")</f>
        <v>0</v>
      </c>
      <c r="W57" s="75">
        <f>COUNTIFS(缺陷明细!$A$2:$A$50000,$B$4,缺陷明细!$G$2:$G$50000,$C57,缺陷明细!$J$2:$J$50000,"验收测试",缺陷明细!$K$2:$K$50000,"致命",缺陷明细!$AA$2:$AA$50000,"&lt;&gt;丢弃",缺陷明细!$AA$2:$AA$50000,"&lt;&gt;设计如此",缺陷明细!$AA$2:$AA$50000,"&lt;&gt;重复Bug")+COUNTIFS(缺陷明细!$A$2:$A$50000,$B$4,缺陷明细!$G$2:$G$50000,$C57,缺陷明细!$J$2:$J$50000,"验收测试",缺陷明细!$K$2:$K$50000,"严重",缺陷明细!$AA$2:$AA$50000,"&lt;&gt;丢弃",缺陷明细!$AA$2:$AA$50000,"&lt;&gt;设计如此",缺陷明细!$AA$2:$AA$50000,"&lt;&gt;重复Bug")</f>
        <v>0</v>
      </c>
      <c r="X57" s="76">
        <f>COUNTIFS(缺陷明细!$A$2:$A$50000,$B$4,缺陷明细!$G$2:$G$50000,$C57,缺陷明细!$Q$2:$Q$50000,"已关闭",缺陷明细!$J$2:$J$50000,"验收测试",缺陷明细!$K$2:$K$50000,"致命")+COUNTIFS(缺陷明细!$A$2:$A$50000,$B$4,缺陷明细!$G$2:$G$50000,$C57,缺陷明细!$Q$2:$Q$50000,"已关闭",缺陷明细!$J$2:$J$50000,"验收测试",缺陷明细!$K$2:$K$50000,"严重")</f>
        <v>0</v>
      </c>
      <c r="Y57" s="70">
        <f>COUNTIFS(缺陷明细!$A$2:$A$50000,$B$4,缺陷明细!$G$2:$G$50000,$C57,缺陷明细!$J$2:$J$50000,"运维测试",缺陷明细!$AA$2:$AA$50000,"&lt;&gt;丢弃",缺陷明细!$AA$2:$AA$50000,"&lt;&gt;设计如此",缺陷明细!$AA$2:$AA$50000,"&lt;&gt;重复Bug")</f>
        <v>0</v>
      </c>
      <c r="Z57" s="71">
        <f>COUNTIFS(缺陷明细!$A$2:$A$50000,$B$4,缺陷明细!$G$2:$G$50000,$C57,缺陷明细!$Q$2:$Q$50000,"已关闭",缺陷明细!$J$2:$J$50000,"运维测试")</f>
        <v>0</v>
      </c>
      <c r="AA57" s="72">
        <f>COUNTIFS(缺陷明细!$A$2:$A$50000,$B$4,缺陷明细!$G$2:$G$50000,$C57,缺陷明细!$J$2:$J$50000,"运维测试",缺陷明细!$K$2:$K$50000,"致命",缺陷明细!$AA$2:$AA$50000,"&lt;&gt;丢弃",缺陷明细!$AA$2:$AA$50000,"&lt;&gt;设计如此",缺陷明细!$AA$2:$AA$50000,"&lt;&gt;重复Bug")+COUNTIFS(缺陷明细!$A$2:$A$50000,$B$4,缺陷明细!$G$2:$G$50000,$C57,缺陷明细!$J$2:$J$50000,"运维测试",缺陷明细!$K$2:$K$50000,"严重",缺陷明细!$AA$2:$AA$50000,"&lt;&gt;丢弃",缺陷明细!$AA$2:$AA$50000,"&lt;&gt;设计如此",缺陷明细!$AA$2:$AA$50000,"&lt;&gt;重复Bug")</f>
        <v>0</v>
      </c>
      <c r="AB57" s="73">
        <f>COUNTIFS(缺陷明细!$A$2:$A$50000,$B$4,缺陷明细!$G$2:$G$50000,$C57,缺陷明细!$Q$2:$Q$50000,"已关闭",缺陷明细!$J$2:$J$50000,"运维测试",缺陷明细!$K$2:$K$50000,"致命")+COUNTIFS(缺陷明细!$A$2:$A$50000,$B$4,缺陷明细!$G$2:$G$50000,$C57,缺陷明细!$Q$2:$Q$50000,"已关闭",缺陷明细!$J$2:$J$50000,"运维测试",缺陷明细!$K$2:$K$50000,"严重")</f>
        <v>0</v>
      </c>
      <c r="AC57" s="68">
        <f t="shared" si="4"/>
        <v>0</v>
      </c>
      <c r="AD57" s="60">
        <f t="shared" si="5"/>
        <v>0</v>
      </c>
      <c r="AE57" s="60">
        <f t="shared" si="6"/>
        <v>0</v>
      </c>
      <c r="AF57" s="60">
        <f t="shared" si="7"/>
        <v>0</v>
      </c>
      <c r="AG57" s="60">
        <f t="shared" si="8"/>
        <v>0</v>
      </c>
      <c r="AH57" s="60">
        <f t="shared" si="9"/>
        <v>0</v>
      </c>
      <c r="AI57" s="60">
        <f t="shared" si="10"/>
        <v>0</v>
      </c>
      <c r="AJ57" s="61">
        <f t="shared" si="11"/>
        <v>0</v>
      </c>
      <c r="AK57" s="151"/>
    </row>
    <row r="58" spans="1:37">
      <c r="A58">
        <v>54</v>
      </c>
      <c r="B58" s="347">
        <v>518</v>
      </c>
      <c r="C58" s="58" t="s">
        <v>404</v>
      </c>
      <c r="D58" s="83" t="s">
        <v>467</v>
      </c>
      <c r="E58" s="82" t="s">
        <v>472</v>
      </c>
      <c r="F58" s="322">
        <v>8</v>
      </c>
      <c r="G58" s="323">
        <v>4</v>
      </c>
      <c r="H58" s="305">
        <f>COUNTIFS(缺陷明细!$A$2:$A$50000,$B$4,缺陷明细!$G$2:$G$50000,$C58,缺陷明细!$J$2:$J$50000,"评审",缺陷明细!$AA$2:$AA$50000,"&lt;&gt;丢弃",缺陷明细!$AA$2:$AA$50000,"&lt;&gt;设计如此",缺陷明细!$AA$2:$AA$50000,"&lt;&gt;重复Bug")</f>
        <v>0</v>
      </c>
      <c r="I58" s="161">
        <f>COUNTIFS(缺陷明细!$A$2:$A$50000,$B$4,缺陷明细!$G$2:$G$50000,$C58,缺陷明细!$Q$2:$Q$50000,"已关闭",缺陷明细!$J$2:$J$50000,"评审")</f>
        <v>0</v>
      </c>
      <c r="J58" s="161">
        <f>COUNTIFS(缺陷明细!$A$2:$A$50000,$B$4,缺陷明细!$G$2:$G$50000,$C58,缺陷明细!$J$2:$J$50000,"单元测试",缺陷明细!$AA$2:$AA$50000,"&lt;&gt;丢弃",缺陷明细!$AA$2:$AA$50000,"&lt;&gt;设计如此",缺陷明细!$AA$2:$AA$50000,"&lt;&gt;重复Bug")</f>
        <v>0</v>
      </c>
      <c r="K58" s="162">
        <f>COUNTIFS(缺陷明细!$A$2:$A$50000,$B$4,缺陷明细!$G$2:$G$50000,$C58,缺陷明细!$Q$2:$Q$50000,"已关闭",缺陷明细!$J$2:$J$50000,"单元测试")</f>
        <v>0</v>
      </c>
      <c r="L58" s="163"/>
      <c r="M58" s="164"/>
      <c r="N58" s="72">
        <f>COUNTIFS(缺陷明细!$A$2:$A$50000,$B$4,缺陷明细!$G$2:$G$50000,$C58,缺陷明细!$J$2:$J$50000,"系统测试案例评审",缺陷明细!$AA$2:$AA$50000,"&lt;&gt;丢弃",缺陷明细!$AA$2:$AA$50000,"&lt;&gt;设计如此",缺陷明细!$AA$2:$AA$50000,"&lt;&gt;重复Bug")</f>
        <v>0</v>
      </c>
      <c r="O58" s="72">
        <f>COUNTIFS(缺陷明细!$A$2:$A$50000,$B$4,缺陷明细!$G$2:$G$50000,$C58,缺陷明细!$Q$2:$Q$50000,"已关闭",缺陷明细!$J$2:$J$50000,"系统测试案例评审")</f>
        <v>0</v>
      </c>
      <c r="P58" s="72">
        <f>COUNTIFS(缺陷明细!$A$2:$A$50000,$B$4,缺陷明细!$G$2:$G$50000,$C58,缺陷明细!$J$2:$J$50000,"系统测试",缺陷明细!$AA$2:$AA$50000,"&lt;&gt;丢弃",缺陷明细!$AA$2:$AA$50000,"&lt;&gt;设计如此",缺陷明细!$AA$2:$AA$50000,"&lt;&gt;重复Bug")</f>
        <v>0</v>
      </c>
      <c r="Q58" s="72">
        <f>COUNTIFS(缺陷明细!$A$2:$A$50000,$B$4,缺陷明细!$G$2:$G$50000,$C58,缺陷明细!$Q$2:$Q$50000,"已关闭",缺陷明细!$J$2:$J$50000,"系统测试")</f>
        <v>0</v>
      </c>
      <c r="R58" s="354">
        <f>COUNTIFS(缺陷明细!$A$2:$A$50000,$B$4,缺陷明细!$G$2:$G$50000,$C58,缺陷明细!$AA$2:$AA$50000,"丢弃",缺陷明细!$J$2:$J$50000,"系统测试")+COUNTIFS(缺陷明细!$A$2:$A$50000,$B$4,缺陷明细!$G$2:$G$50000,$C58,缺陷明细!$AA$2:$AA$50000,"设计如此",缺陷明细!$J$2:$J$50000,"系统测试")+COUNTIFS(缺陷明细!$A$2:$A$50000,$B$4,缺陷明细!$G$2:$G$50000,$C58,缺陷明细!$AA$2:$AA$50000,"重复Bug",缺陷明细!$J$2:$J$50000,"系统测试")</f>
        <v>0</v>
      </c>
      <c r="S58" s="72">
        <f>COUNTIFS(缺陷明细!$A$2:$A$50000,$B$4,缺陷明细!$G$2:$G$50000,$C58,缺陷明细!$J$2:$J$50000,"系统测试",缺陷明细!$K$2:$K$50000,"致命",缺陷明细!$AA$2:$AA$50000,"&lt;&gt;丢弃",缺陷明细!$AA$2:$AA$50000,"&lt;&gt;设计如此",缺陷明细!$AA$2:$AA$50000,"&lt;&gt;重复Bug")+COUNTIFS(缺陷明细!$A$2:$A$50000,$B$4,缺陷明细!$G$2:$G$50000,$C58,缺陷明细!$J$2:$J$50000,"系统测试",缺陷明细!$K$2:$K$50000,"严重",缺陷明细!$AA$2:$AA$50000,"&lt;&gt;丢弃",缺陷明细!$AA$2:$AA$50000,"&lt;&gt;设计如此",缺陷明细!$AA$2:$AA$50000,"&lt;&gt;重复Bug")</f>
        <v>0</v>
      </c>
      <c r="T58" s="73">
        <f>COUNTIFS(缺陷明细!$A$2:$A$50000,$B$4,缺陷明细!$G$2:$G$50000,$C58,缺陷明细!$Q$2:$Q$50000,"已关闭",缺陷明细!$J$2:$J$50000,"系统测试",缺陷明细!$K$2:$K$50000,"致命")+COUNTIFS(缺陷明细!$A$2:$A$50000,$B$4,缺陷明细!$G$2:$G$50000,$C58,缺陷明细!$Q$2:$Q$50000,"已关闭",缺陷明细!$J$2:$J$50000,"系统测试",缺陷明细!$K$2:$K$50000,"严重")</f>
        <v>0</v>
      </c>
      <c r="U58" s="74">
        <f>COUNTIFS(缺陷明细!$A$2:$A$50000,$B$4,缺陷明细!$G$2:$G$50000,$C58,缺陷明细!$J$2:$J$50000,"验收测试",缺陷明细!$AA$2:$AA$50000,"&lt;&gt;丢弃",缺陷明细!$AA$2:$AA$50000,"&lt;&gt;设计如此",缺陷明细!$AA$2:$AA$50000,"&lt;&gt;重复Bug")</f>
        <v>0</v>
      </c>
      <c r="V58" s="75">
        <f>COUNTIFS(缺陷明细!$A$2:$A$50000,$B$4,缺陷明细!$G$2:$G$50000,$C58,缺陷明细!$Q$2:$Q$50000,"已关闭",缺陷明细!$J$2:$J$50000,"验收测试")</f>
        <v>0</v>
      </c>
      <c r="W58" s="75">
        <f>COUNTIFS(缺陷明细!$A$2:$A$50000,$B$4,缺陷明细!$G$2:$G$50000,$C58,缺陷明细!$J$2:$J$50000,"验收测试",缺陷明细!$K$2:$K$50000,"致命",缺陷明细!$AA$2:$AA$50000,"&lt;&gt;丢弃",缺陷明细!$AA$2:$AA$50000,"&lt;&gt;设计如此",缺陷明细!$AA$2:$AA$50000,"&lt;&gt;重复Bug")+COUNTIFS(缺陷明细!$A$2:$A$50000,$B$4,缺陷明细!$G$2:$G$50000,$C58,缺陷明细!$J$2:$J$50000,"验收测试",缺陷明细!$K$2:$K$50000,"严重",缺陷明细!$AA$2:$AA$50000,"&lt;&gt;丢弃",缺陷明细!$AA$2:$AA$50000,"&lt;&gt;设计如此",缺陷明细!$AA$2:$AA$50000,"&lt;&gt;重复Bug")</f>
        <v>0</v>
      </c>
      <c r="X58" s="76">
        <f>COUNTIFS(缺陷明细!$A$2:$A$50000,$B$4,缺陷明细!$G$2:$G$50000,$C58,缺陷明细!$Q$2:$Q$50000,"已关闭",缺陷明细!$J$2:$J$50000,"验收测试",缺陷明细!$K$2:$K$50000,"致命")+COUNTIFS(缺陷明细!$A$2:$A$50000,$B$4,缺陷明细!$G$2:$G$50000,$C58,缺陷明细!$Q$2:$Q$50000,"已关闭",缺陷明细!$J$2:$J$50000,"验收测试",缺陷明细!$K$2:$K$50000,"严重")</f>
        <v>0</v>
      </c>
      <c r="Y58" s="70">
        <f>COUNTIFS(缺陷明细!$A$2:$A$50000,$B$4,缺陷明细!$G$2:$G$50000,$C58,缺陷明细!$J$2:$J$50000,"运维测试",缺陷明细!$AA$2:$AA$50000,"&lt;&gt;丢弃",缺陷明细!$AA$2:$AA$50000,"&lt;&gt;设计如此",缺陷明细!$AA$2:$AA$50000,"&lt;&gt;重复Bug")</f>
        <v>0</v>
      </c>
      <c r="Z58" s="71">
        <f>COUNTIFS(缺陷明细!$A$2:$A$50000,$B$4,缺陷明细!$G$2:$G$50000,$C58,缺陷明细!$Q$2:$Q$50000,"已关闭",缺陷明细!$J$2:$J$50000,"运维测试")</f>
        <v>0</v>
      </c>
      <c r="AA58" s="72">
        <f>COUNTIFS(缺陷明细!$A$2:$A$50000,$B$4,缺陷明细!$G$2:$G$50000,$C58,缺陷明细!$J$2:$J$50000,"运维测试",缺陷明细!$K$2:$K$50000,"致命",缺陷明细!$AA$2:$AA$50000,"&lt;&gt;丢弃",缺陷明细!$AA$2:$AA$50000,"&lt;&gt;设计如此",缺陷明细!$AA$2:$AA$50000,"&lt;&gt;重复Bug")+COUNTIFS(缺陷明细!$A$2:$A$50000,$B$4,缺陷明细!$G$2:$G$50000,$C58,缺陷明细!$J$2:$J$50000,"运维测试",缺陷明细!$K$2:$K$50000,"严重",缺陷明细!$AA$2:$AA$50000,"&lt;&gt;丢弃",缺陷明细!$AA$2:$AA$50000,"&lt;&gt;设计如此",缺陷明细!$AA$2:$AA$50000,"&lt;&gt;重复Bug")</f>
        <v>0</v>
      </c>
      <c r="AB58" s="73">
        <f>COUNTIFS(缺陷明细!$A$2:$A$50000,$B$4,缺陷明细!$G$2:$G$50000,$C58,缺陷明细!$Q$2:$Q$50000,"已关闭",缺陷明细!$J$2:$J$50000,"运维测试",缺陷明细!$K$2:$K$50000,"致命")+COUNTIFS(缺陷明细!$A$2:$A$50000,$B$4,缺陷明细!$G$2:$G$50000,$C58,缺陷明细!$Q$2:$Q$50000,"已关闭",缺陷明细!$J$2:$J$50000,"运维测试",缺陷明细!$K$2:$K$50000,"严重")</f>
        <v>0</v>
      </c>
      <c r="AC58" s="68">
        <f t="shared" si="4"/>
        <v>0</v>
      </c>
      <c r="AD58" s="60">
        <f t="shared" si="5"/>
        <v>0</v>
      </c>
      <c r="AE58" s="60">
        <f t="shared" si="6"/>
        <v>0</v>
      </c>
      <c r="AF58" s="60">
        <f t="shared" si="7"/>
        <v>0</v>
      </c>
      <c r="AG58" s="60">
        <f t="shared" si="8"/>
        <v>0</v>
      </c>
      <c r="AH58" s="60">
        <f t="shared" si="9"/>
        <v>0</v>
      </c>
      <c r="AI58" s="60">
        <f t="shared" si="10"/>
        <v>0</v>
      </c>
      <c r="AJ58" s="61">
        <f t="shared" si="11"/>
        <v>0</v>
      </c>
      <c r="AK58" s="151"/>
    </row>
    <row r="59" spans="1:37" ht="26.4">
      <c r="A59">
        <v>55</v>
      </c>
      <c r="B59" s="347">
        <v>519</v>
      </c>
      <c r="C59" s="59" t="s">
        <v>405</v>
      </c>
      <c r="D59" s="84" t="s">
        <v>467</v>
      </c>
      <c r="E59" s="82" t="s">
        <v>472</v>
      </c>
      <c r="F59" s="322">
        <v>16</v>
      </c>
      <c r="G59" s="323">
        <v>8</v>
      </c>
      <c r="H59" s="305">
        <f>COUNTIFS(缺陷明细!$A$2:$A$50000,$B$4,缺陷明细!$G$2:$G$50000,$C59,缺陷明细!$J$2:$J$50000,"评审",缺陷明细!$AA$2:$AA$50000,"&lt;&gt;丢弃",缺陷明细!$AA$2:$AA$50000,"&lt;&gt;设计如此",缺陷明细!$AA$2:$AA$50000,"&lt;&gt;重复Bug")</f>
        <v>0</v>
      </c>
      <c r="I59" s="161">
        <f>COUNTIFS(缺陷明细!$A$2:$A$50000,$B$4,缺陷明细!$G$2:$G$50000,$C59,缺陷明细!$Q$2:$Q$50000,"已关闭",缺陷明细!$J$2:$J$50000,"评审")</f>
        <v>0</v>
      </c>
      <c r="J59" s="161">
        <f>COUNTIFS(缺陷明细!$A$2:$A$50000,$B$4,缺陷明细!$G$2:$G$50000,$C59,缺陷明细!$J$2:$J$50000,"单元测试",缺陷明细!$AA$2:$AA$50000,"&lt;&gt;丢弃",缺陷明细!$AA$2:$AA$50000,"&lt;&gt;设计如此",缺陷明细!$AA$2:$AA$50000,"&lt;&gt;重复Bug")</f>
        <v>0</v>
      </c>
      <c r="K59" s="162">
        <f>COUNTIFS(缺陷明细!$A$2:$A$50000,$B$4,缺陷明细!$G$2:$G$50000,$C59,缺陷明细!$Q$2:$Q$50000,"已关闭",缺陷明细!$J$2:$J$50000,"单元测试")</f>
        <v>0</v>
      </c>
      <c r="L59" s="163"/>
      <c r="M59" s="164"/>
      <c r="N59" s="72">
        <f>COUNTIFS(缺陷明细!$A$2:$A$50000,$B$4,缺陷明细!$G$2:$G$50000,$C59,缺陷明细!$J$2:$J$50000,"系统测试案例评审",缺陷明细!$AA$2:$AA$50000,"&lt;&gt;丢弃",缺陷明细!$AA$2:$AA$50000,"&lt;&gt;设计如此",缺陷明细!$AA$2:$AA$50000,"&lt;&gt;重复Bug")</f>
        <v>0</v>
      </c>
      <c r="O59" s="72">
        <f>COUNTIFS(缺陷明细!$A$2:$A$50000,$B$4,缺陷明细!$G$2:$G$50000,$C59,缺陷明细!$Q$2:$Q$50000,"已关闭",缺陷明细!$J$2:$J$50000,"系统测试案例评审")</f>
        <v>0</v>
      </c>
      <c r="P59" s="72">
        <f>COUNTIFS(缺陷明细!$A$2:$A$50000,$B$4,缺陷明细!$G$2:$G$50000,$C59,缺陷明细!$J$2:$J$50000,"系统测试",缺陷明细!$AA$2:$AA$50000,"&lt;&gt;丢弃",缺陷明细!$AA$2:$AA$50000,"&lt;&gt;设计如此",缺陷明细!$AA$2:$AA$50000,"&lt;&gt;重复Bug")</f>
        <v>0</v>
      </c>
      <c r="Q59" s="72">
        <f>COUNTIFS(缺陷明细!$A$2:$A$50000,$B$4,缺陷明细!$G$2:$G$50000,$C59,缺陷明细!$Q$2:$Q$50000,"已关闭",缺陷明细!$J$2:$J$50000,"系统测试")</f>
        <v>0</v>
      </c>
      <c r="R59" s="354">
        <f>COUNTIFS(缺陷明细!$A$2:$A$50000,$B$4,缺陷明细!$G$2:$G$50000,$C59,缺陷明细!$AA$2:$AA$50000,"丢弃",缺陷明细!$J$2:$J$50000,"系统测试")+COUNTIFS(缺陷明细!$A$2:$A$50000,$B$4,缺陷明细!$G$2:$G$50000,$C59,缺陷明细!$AA$2:$AA$50000,"设计如此",缺陷明细!$J$2:$J$50000,"系统测试")+COUNTIFS(缺陷明细!$A$2:$A$50000,$B$4,缺陷明细!$G$2:$G$50000,$C59,缺陷明细!$AA$2:$AA$50000,"重复Bug",缺陷明细!$J$2:$J$50000,"系统测试")</f>
        <v>0</v>
      </c>
      <c r="S59" s="72">
        <f>COUNTIFS(缺陷明细!$A$2:$A$50000,$B$4,缺陷明细!$G$2:$G$50000,$C59,缺陷明细!$J$2:$J$50000,"系统测试",缺陷明细!$K$2:$K$50000,"致命",缺陷明细!$AA$2:$AA$50000,"&lt;&gt;丢弃",缺陷明细!$AA$2:$AA$50000,"&lt;&gt;设计如此",缺陷明细!$AA$2:$AA$50000,"&lt;&gt;重复Bug")+COUNTIFS(缺陷明细!$A$2:$A$50000,$B$4,缺陷明细!$G$2:$G$50000,$C59,缺陷明细!$J$2:$J$50000,"系统测试",缺陷明细!$K$2:$K$50000,"严重",缺陷明细!$AA$2:$AA$50000,"&lt;&gt;丢弃",缺陷明细!$AA$2:$AA$50000,"&lt;&gt;设计如此",缺陷明细!$AA$2:$AA$50000,"&lt;&gt;重复Bug")</f>
        <v>0</v>
      </c>
      <c r="T59" s="73">
        <f>COUNTIFS(缺陷明细!$A$2:$A$50000,$B$4,缺陷明细!$G$2:$G$50000,$C59,缺陷明细!$Q$2:$Q$50000,"已关闭",缺陷明细!$J$2:$J$50000,"系统测试",缺陷明细!$K$2:$K$50000,"致命")+COUNTIFS(缺陷明细!$A$2:$A$50000,$B$4,缺陷明细!$G$2:$G$50000,$C59,缺陷明细!$Q$2:$Q$50000,"已关闭",缺陷明细!$J$2:$J$50000,"系统测试",缺陷明细!$K$2:$K$50000,"严重")</f>
        <v>0</v>
      </c>
      <c r="U59" s="74">
        <f>COUNTIFS(缺陷明细!$A$2:$A$50000,$B$4,缺陷明细!$G$2:$G$50000,$C59,缺陷明细!$J$2:$J$50000,"验收测试",缺陷明细!$AA$2:$AA$50000,"&lt;&gt;丢弃",缺陷明细!$AA$2:$AA$50000,"&lt;&gt;设计如此",缺陷明细!$AA$2:$AA$50000,"&lt;&gt;重复Bug")</f>
        <v>0</v>
      </c>
      <c r="V59" s="75">
        <f>COUNTIFS(缺陷明细!$A$2:$A$50000,$B$4,缺陷明细!$G$2:$G$50000,$C59,缺陷明细!$Q$2:$Q$50000,"已关闭",缺陷明细!$J$2:$J$50000,"验收测试")</f>
        <v>0</v>
      </c>
      <c r="W59" s="75">
        <f>COUNTIFS(缺陷明细!$A$2:$A$50000,$B$4,缺陷明细!$G$2:$G$50000,$C59,缺陷明细!$J$2:$J$50000,"验收测试",缺陷明细!$K$2:$K$50000,"致命",缺陷明细!$AA$2:$AA$50000,"&lt;&gt;丢弃",缺陷明细!$AA$2:$AA$50000,"&lt;&gt;设计如此",缺陷明细!$AA$2:$AA$50000,"&lt;&gt;重复Bug")+COUNTIFS(缺陷明细!$A$2:$A$50000,$B$4,缺陷明细!$G$2:$G$50000,$C59,缺陷明细!$J$2:$J$50000,"验收测试",缺陷明细!$K$2:$K$50000,"严重",缺陷明细!$AA$2:$AA$50000,"&lt;&gt;丢弃",缺陷明细!$AA$2:$AA$50000,"&lt;&gt;设计如此",缺陷明细!$AA$2:$AA$50000,"&lt;&gt;重复Bug")</f>
        <v>0</v>
      </c>
      <c r="X59" s="76">
        <f>COUNTIFS(缺陷明细!$A$2:$A$50000,$B$4,缺陷明细!$G$2:$G$50000,$C59,缺陷明细!$Q$2:$Q$50000,"已关闭",缺陷明细!$J$2:$J$50000,"验收测试",缺陷明细!$K$2:$K$50000,"致命")+COUNTIFS(缺陷明细!$A$2:$A$50000,$B$4,缺陷明细!$G$2:$G$50000,$C59,缺陷明细!$Q$2:$Q$50000,"已关闭",缺陷明细!$J$2:$J$50000,"验收测试",缺陷明细!$K$2:$K$50000,"严重")</f>
        <v>0</v>
      </c>
      <c r="Y59" s="70">
        <f>COUNTIFS(缺陷明细!$A$2:$A$50000,$B$4,缺陷明细!$G$2:$G$50000,$C59,缺陷明细!$J$2:$J$50000,"运维测试",缺陷明细!$AA$2:$AA$50000,"&lt;&gt;丢弃",缺陷明细!$AA$2:$AA$50000,"&lt;&gt;设计如此",缺陷明细!$AA$2:$AA$50000,"&lt;&gt;重复Bug")</f>
        <v>0</v>
      </c>
      <c r="Z59" s="71">
        <f>COUNTIFS(缺陷明细!$A$2:$A$50000,$B$4,缺陷明细!$G$2:$G$50000,$C59,缺陷明细!$Q$2:$Q$50000,"已关闭",缺陷明细!$J$2:$J$50000,"运维测试")</f>
        <v>0</v>
      </c>
      <c r="AA59" s="72">
        <f>COUNTIFS(缺陷明细!$A$2:$A$50000,$B$4,缺陷明细!$G$2:$G$50000,$C59,缺陷明细!$J$2:$J$50000,"运维测试",缺陷明细!$K$2:$K$50000,"致命",缺陷明细!$AA$2:$AA$50000,"&lt;&gt;丢弃",缺陷明细!$AA$2:$AA$50000,"&lt;&gt;设计如此",缺陷明细!$AA$2:$AA$50000,"&lt;&gt;重复Bug")+COUNTIFS(缺陷明细!$A$2:$A$50000,$B$4,缺陷明细!$G$2:$G$50000,$C59,缺陷明细!$J$2:$J$50000,"运维测试",缺陷明细!$K$2:$K$50000,"严重",缺陷明细!$AA$2:$AA$50000,"&lt;&gt;丢弃",缺陷明细!$AA$2:$AA$50000,"&lt;&gt;设计如此",缺陷明细!$AA$2:$AA$50000,"&lt;&gt;重复Bug")</f>
        <v>0</v>
      </c>
      <c r="AB59" s="73">
        <f>COUNTIFS(缺陷明细!$A$2:$A$50000,$B$4,缺陷明细!$G$2:$G$50000,$C59,缺陷明细!$Q$2:$Q$50000,"已关闭",缺陷明细!$J$2:$J$50000,"运维测试",缺陷明细!$K$2:$K$50000,"致命")+COUNTIFS(缺陷明细!$A$2:$A$50000,$B$4,缺陷明细!$G$2:$G$50000,$C59,缺陷明细!$Q$2:$Q$50000,"已关闭",缺陷明细!$J$2:$J$50000,"运维测试",缺陷明细!$K$2:$K$50000,"严重")</f>
        <v>0</v>
      </c>
      <c r="AC59" s="68">
        <f t="shared" si="4"/>
        <v>0</v>
      </c>
      <c r="AD59" s="60">
        <f t="shared" si="5"/>
        <v>0</v>
      </c>
      <c r="AE59" s="60">
        <f t="shared" si="6"/>
        <v>0</v>
      </c>
      <c r="AF59" s="60">
        <f t="shared" si="7"/>
        <v>0</v>
      </c>
      <c r="AG59" s="60">
        <f t="shared" si="8"/>
        <v>0</v>
      </c>
      <c r="AH59" s="60">
        <f t="shared" si="9"/>
        <v>0</v>
      </c>
      <c r="AI59" s="60">
        <f t="shared" si="10"/>
        <v>0</v>
      </c>
      <c r="AJ59" s="61">
        <f t="shared" si="11"/>
        <v>0</v>
      </c>
      <c r="AK59" s="151"/>
    </row>
    <row r="60" spans="1:37">
      <c r="A60">
        <v>56</v>
      </c>
      <c r="B60" s="347">
        <v>521</v>
      </c>
      <c r="C60" s="58" t="s">
        <v>406</v>
      </c>
      <c r="D60" s="84" t="s">
        <v>467</v>
      </c>
      <c r="E60" s="82" t="s">
        <v>472</v>
      </c>
      <c r="F60" s="322">
        <v>2</v>
      </c>
      <c r="G60" s="323">
        <v>2</v>
      </c>
      <c r="H60" s="305">
        <f>COUNTIFS(缺陷明细!$A$2:$A$50000,$B$4,缺陷明细!$G$2:$G$50000,$C60,缺陷明细!$J$2:$J$50000,"评审",缺陷明细!$AA$2:$AA$50000,"&lt;&gt;丢弃",缺陷明细!$AA$2:$AA$50000,"&lt;&gt;设计如此",缺陷明细!$AA$2:$AA$50000,"&lt;&gt;重复Bug")</f>
        <v>0</v>
      </c>
      <c r="I60" s="161">
        <f>COUNTIFS(缺陷明细!$A$2:$A$50000,$B$4,缺陷明细!$G$2:$G$50000,$C60,缺陷明细!$Q$2:$Q$50000,"已关闭",缺陷明细!$J$2:$J$50000,"评审")</f>
        <v>0</v>
      </c>
      <c r="J60" s="161">
        <f>COUNTIFS(缺陷明细!$A$2:$A$50000,$B$4,缺陷明细!$G$2:$G$50000,$C60,缺陷明细!$J$2:$J$50000,"单元测试",缺陷明细!$AA$2:$AA$50000,"&lt;&gt;丢弃",缺陷明细!$AA$2:$AA$50000,"&lt;&gt;设计如此",缺陷明细!$AA$2:$AA$50000,"&lt;&gt;重复Bug")</f>
        <v>0</v>
      </c>
      <c r="K60" s="162">
        <f>COUNTIFS(缺陷明细!$A$2:$A$50000,$B$4,缺陷明细!$G$2:$G$50000,$C60,缺陷明细!$Q$2:$Q$50000,"已关闭",缺陷明细!$J$2:$J$50000,"单元测试")</f>
        <v>0</v>
      </c>
      <c r="L60" s="163"/>
      <c r="M60" s="164"/>
      <c r="N60" s="72">
        <f>COUNTIFS(缺陷明细!$A$2:$A$50000,$B$4,缺陷明细!$G$2:$G$50000,$C60,缺陷明细!$J$2:$J$50000,"系统测试案例评审",缺陷明细!$AA$2:$AA$50000,"&lt;&gt;丢弃",缺陷明细!$AA$2:$AA$50000,"&lt;&gt;设计如此",缺陷明细!$AA$2:$AA$50000,"&lt;&gt;重复Bug")</f>
        <v>0</v>
      </c>
      <c r="O60" s="72">
        <f>COUNTIFS(缺陷明细!$A$2:$A$50000,$B$4,缺陷明细!$G$2:$G$50000,$C60,缺陷明细!$Q$2:$Q$50000,"已关闭",缺陷明细!$J$2:$J$50000,"系统测试案例评审")</f>
        <v>0</v>
      </c>
      <c r="P60" s="72">
        <f>COUNTIFS(缺陷明细!$A$2:$A$50000,$B$4,缺陷明细!$G$2:$G$50000,$C60,缺陷明细!$J$2:$J$50000,"系统测试",缺陷明细!$AA$2:$AA$50000,"&lt;&gt;丢弃",缺陷明细!$AA$2:$AA$50000,"&lt;&gt;设计如此",缺陷明细!$AA$2:$AA$50000,"&lt;&gt;重复Bug")</f>
        <v>0</v>
      </c>
      <c r="Q60" s="72">
        <f>COUNTIFS(缺陷明细!$A$2:$A$50000,$B$4,缺陷明细!$G$2:$G$50000,$C60,缺陷明细!$Q$2:$Q$50000,"已关闭",缺陷明细!$J$2:$J$50000,"系统测试")</f>
        <v>0</v>
      </c>
      <c r="R60" s="354">
        <f>COUNTIFS(缺陷明细!$A$2:$A$50000,$B$4,缺陷明细!$G$2:$G$50000,$C60,缺陷明细!$AA$2:$AA$50000,"丢弃",缺陷明细!$J$2:$J$50000,"系统测试")+COUNTIFS(缺陷明细!$A$2:$A$50000,$B$4,缺陷明细!$G$2:$G$50000,$C60,缺陷明细!$AA$2:$AA$50000,"设计如此",缺陷明细!$J$2:$J$50000,"系统测试")+COUNTIFS(缺陷明细!$A$2:$A$50000,$B$4,缺陷明细!$G$2:$G$50000,$C60,缺陷明细!$AA$2:$AA$50000,"重复Bug",缺陷明细!$J$2:$J$50000,"系统测试")</f>
        <v>0</v>
      </c>
      <c r="S60" s="72">
        <f>COUNTIFS(缺陷明细!$A$2:$A$50000,$B$4,缺陷明细!$G$2:$G$50000,$C60,缺陷明细!$J$2:$J$50000,"系统测试",缺陷明细!$K$2:$K$50000,"致命",缺陷明细!$AA$2:$AA$50000,"&lt;&gt;丢弃",缺陷明细!$AA$2:$AA$50000,"&lt;&gt;设计如此",缺陷明细!$AA$2:$AA$50000,"&lt;&gt;重复Bug")+COUNTIFS(缺陷明细!$A$2:$A$50000,$B$4,缺陷明细!$G$2:$G$50000,$C60,缺陷明细!$J$2:$J$50000,"系统测试",缺陷明细!$K$2:$K$50000,"严重",缺陷明细!$AA$2:$AA$50000,"&lt;&gt;丢弃",缺陷明细!$AA$2:$AA$50000,"&lt;&gt;设计如此",缺陷明细!$AA$2:$AA$50000,"&lt;&gt;重复Bug")</f>
        <v>0</v>
      </c>
      <c r="T60" s="73">
        <f>COUNTIFS(缺陷明细!$A$2:$A$50000,$B$4,缺陷明细!$G$2:$G$50000,$C60,缺陷明细!$Q$2:$Q$50000,"已关闭",缺陷明细!$J$2:$J$50000,"系统测试",缺陷明细!$K$2:$K$50000,"致命")+COUNTIFS(缺陷明细!$A$2:$A$50000,$B$4,缺陷明细!$G$2:$G$50000,$C60,缺陷明细!$Q$2:$Q$50000,"已关闭",缺陷明细!$J$2:$J$50000,"系统测试",缺陷明细!$K$2:$K$50000,"严重")</f>
        <v>0</v>
      </c>
      <c r="U60" s="74">
        <f>COUNTIFS(缺陷明细!$A$2:$A$50000,$B$4,缺陷明细!$G$2:$G$50000,$C60,缺陷明细!$J$2:$J$50000,"验收测试",缺陷明细!$AA$2:$AA$50000,"&lt;&gt;丢弃",缺陷明细!$AA$2:$AA$50000,"&lt;&gt;设计如此",缺陷明细!$AA$2:$AA$50000,"&lt;&gt;重复Bug")</f>
        <v>0</v>
      </c>
      <c r="V60" s="75">
        <f>COUNTIFS(缺陷明细!$A$2:$A$50000,$B$4,缺陷明细!$G$2:$G$50000,$C60,缺陷明细!$Q$2:$Q$50000,"已关闭",缺陷明细!$J$2:$J$50000,"验收测试")</f>
        <v>0</v>
      </c>
      <c r="W60" s="75">
        <f>COUNTIFS(缺陷明细!$A$2:$A$50000,$B$4,缺陷明细!$G$2:$G$50000,$C60,缺陷明细!$J$2:$J$50000,"验收测试",缺陷明细!$K$2:$K$50000,"致命",缺陷明细!$AA$2:$AA$50000,"&lt;&gt;丢弃",缺陷明细!$AA$2:$AA$50000,"&lt;&gt;设计如此",缺陷明细!$AA$2:$AA$50000,"&lt;&gt;重复Bug")+COUNTIFS(缺陷明细!$A$2:$A$50000,$B$4,缺陷明细!$G$2:$G$50000,$C60,缺陷明细!$J$2:$J$50000,"验收测试",缺陷明细!$K$2:$K$50000,"严重",缺陷明细!$AA$2:$AA$50000,"&lt;&gt;丢弃",缺陷明细!$AA$2:$AA$50000,"&lt;&gt;设计如此",缺陷明细!$AA$2:$AA$50000,"&lt;&gt;重复Bug")</f>
        <v>0</v>
      </c>
      <c r="X60" s="76">
        <f>COUNTIFS(缺陷明细!$A$2:$A$50000,$B$4,缺陷明细!$G$2:$G$50000,$C60,缺陷明细!$Q$2:$Q$50000,"已关闭",缺陷明细!$J$2:$J$50000,"验收测试",缺陷明细!$K$2:$K$50000,"致命")+COUNTIFS(缺陷明细!$A$2:$A$50000,$B$4,缺陷明细!$G$2:$G$50000,$C60,缺陷明细!$Q$2:$Q$50000,"已关闭",缺陷明细!$J$2:$J$50000,"验收测试",缺陷明细!$K$2:$K$50000,"严重")</f>
        <v>0</v>
      </c>
      <c r="Y60" s="70">
        <f>COUNTIFS(缺陷明细!$A$2:$A$50000,$B$4,缺陷明细!$G$2:$G$50000,$C60,缺陷明细!$J$2:$J$50000,"运维测试",缺陷明细!$AA$2:$AA$50000,"&lt;&gt;丢弃",缺陷明细!$AA$2:$AA$50000,"&lt;&gt;设计如此",缺陷明细!$AA$2:$AA$50000,"&lt;&gt;重复Bug")</f>
        <v>0</v>
      </c>
      <c r="Z60" s="71">
        <f>COUNTIFS(缺陷明细!$A$2:$A$50000,$B$4,缺陷明细!$G$2:$G$50000,$C60,缺陷明细!$Q$2:$Q$50000,"已关闭",缺陷明细!$J$2:$J$50000,"运维测试")</f>
        <v>0</v>
      </c>
      <c r="AA60" s="72">
        <f>COUNTIFS(缺陷明细!$A$2:$A$50000,$B$4,缺陷明细!$G$2:$G$50000,$C60,缺陷明细!$J$2:$J$50000,"运维测试",缺陷明细!$K$2:$K$50000,"致命",缺陷明细!$AA$2:$AA$50000,"&lt;&gt;丢弃",缺陷明细!$AA$2:$AA$50000,"&lt;&gt;设计如此",缺陷明细!$AA$2:$AA$50000,"&lt;&gt;重复Bug")+COUNTIFS(缺陷明细!$A$2:$A$50000,$B$4,缺陷明细!$G$2:$G$50000,$C60,缺陷明细!$J$2:$J$50000,"运维测试",缺陷明细!$K$2:$K$50000,"严重",缺陷明细!$AA$2:$AA$50000,"&lt;&gt;丢弃",缺陷明细!$AA$2:$AA$50000,"&lt;&gt;设计如此",缺陷明细!$AA$2:$AA$50000,"&lt;&gt;重复Bug")</f>
        <v>0</v>
      </c>
      <c r="AB60" s="73">
        <f>COUNTIFS(缺陷明细!$A$2:$A$50000,$B$4,缺陷明细!$G$2:$G$50000,$C60,缺陷明细!$Q$2:$Q$50000,"已关闭",缺陷明细!$J$2:$J$50000,"运维测试",缺陷明细!$K$2:$K$50000,"致命")+COUNTIFS(缺陷明细!$A$2:$A$50000,$B$4,缺陷明细!$G$2:$G$50000,$C60,缺陷明细!$Q$2:$Q$50000,"已关闭",缺陷明细!$J$2:$J$50000,"运维测试",缺陷明细!$K$2:$K$50000,"严重")</f>
        <v>0</v>
      </c>
      <c r="AC60" s="68">
        <f t="shared" si="4"/>
        <v>0</v>
      </c>
      <c r="AD60" s="60">
        <f t="shared" si="5"/>
        <v>0</v>
      </c>
      <c r="AE60" s="60">
        <f t="shared" si="6"/>
        <v>0</v>
      </c>
      <c r="AF60" s="60">
        <f t="shared" si="7"/>
        <v>0</v>
      </c>
      <c r="AG60" s="60">
        <f t="shared" si="8"/>
        <v>0</v>
      </c>
      <c r="AH60" s="60">
        <f t="shared" si="9"/>
        <v>0</v>
      </c>
      <c r="AI60" s="60">
        <f t="shared" si="10"/>
        <v>0</v>
      </c>
      <c r="AJ60" s="61">
        <f t="shared" si="11"/>
        <v>0</v>
      </c>
      <c r="AK60" s="151"/>
    </row>
    <row r="61" spans="1:37" ht="26.4">
      <c r="A61">
        <v>57</v>
      </c>
      <c r="B61" s="347">
        <v>522</v>
      </c>
      <c r="C61" s="58" t="s">
        <v>407</v>
      </c>
      <c r="D61" s="84" t="s">
        <v>467</v>
      </c>
      <c r="E61" s="82" t="s">
        <v>472</v>
      </c>
      <c r="F61" s="322">
        <v>8</v>
      </c>
      <c r="G61" s="323">
        <v>4</v>
      </c>
      <c r="H61" s="305">
        <f>COUNTIFS(缺陷明细!$A$2:$A$50000,$B$4,缺陷明细!$G$2:$G$50000,$C61,缺陷明细!$J$2:$J$50000,"评审",缺陷明细!$AA$2:$AA$50000,"&lt;&gt;丢弃",缺陷明细!$AA$2:$AA$50000,"&lt;&gt;设计如此",缺陷明细!$AA$2:$AA$50000,"&lt;&gt;重复Bug")</f>
        <v>0</v>
      </c>
      <c r="I61" s="161">
        <f>COUNTIFS(缺陷明细!$A$2:$A$50000,$B$4,缺陷明细!$G$2:$G$50000,$C61,缺陷明细!$Q$2:$Q$50000,"已关闭",缺陷明细!$J$2:$J$50000,"评审")</f>
        <v>0</v>
      </c>
      <c r="J61" s="161">
        <f>COUNTIFS(缺陷明细!$A$2:$A$50000,$B$4,缺陷明细!$G$2:$G$50000,$C61,缺陷明细!$J$2:$J$50000,"单元测试",缺陷明细!$AA$2:$AA$50000,"&lt;&gt;丢弃",缺陷明细!$AA$2:$AA$50000,"&lt;&gt;设计如此",缺陷明细!$AA$2:$AA$50000,"&lt;&gt;重复Bug")</f>
        <v>0</v>
      </c>
      <c r="K61" s="162">
        <f>COUNTIFS(缺陷明细!$A$2:$A$50000,$B$4,缺陷明细!$G$2:$G$50000,$C61,缺陷明细!$Q$2:$Q$50000,"已关闭",缺陷明细!$J$2:$J$50000,"单元测试")</f>
        <v>0</v>
      </c>
      <c r="L61" s="163"/>
      <c r="M61" s="164"/>
      <c r="N61" s="72">
        <f>COUNTIFS(缺陷明细!$A$2:$A$50000,$B$4,缺陷明细!$G$2:$G$50000,$C61,缺陷明细!$J$2:$J$50000,"系统测试案例评审",缺陷明细!$AA$2:$AA$50000,"&lt;&gt;丢弃",缺陷明细!$AA$2:$AA$50000,"&lt;&gt;设计如此",缺陷明细!$AA$2:$AA$50000,"&lt;&gt;重复Bug")</f>
        <v>0</v>
      </c>
      <c r="O61" s="72">
        <f>COUNTIFS(缺陷明细!$A$2:$A$50000,$B$4,缺陷明细!$G$2:$G$50000,$C61,缺陷明细!$Q$2:$Q$50000,"已关闭",缺陷明细!$J$2:$J$50000,"系统测试案例评审")</f>
        <v>0</v>
      </c>
      <c r="P61" s="72">
        <f>COUNTIFS(缺陷明细!$A$2:$A$50000,$B$4,缺陷明细!$G$2:$G$50000,$C61,缺陷明细!$J$2:$J$50000,"系统测试",缺陷明细!$AA$2:$AA$50000,"&lt;&gt;丢弃",缺陷明细!$AA$2:$AA$50000,"&lt;&gt;设计如此",缺陷明细!$AA$2:$AA$50000,"&lt;&gt;重复Bug")</f>
        <v>0</v>
      </c>
      <c r="Q61" s="72">
        <f>COUNTIFS(缺陷明细!$A$2:$A$50000,$B$4,缺陷明细!$G$2:$G$50000,$C61,缺陷明细!$Q$2:$Q$50000,"已关闭",缺陷明细!$J$2:$J$50000,"系统测试")</f>
        <v>0</v>
      </c>
      <c r="R61" s="354">
        <f>COUNTIFS(缺陷明细!$A$2:$A$50000,$B$4,缺陷明细!$G$2:$G$50000,$C61,缺陷明细!$AA$2:$AA$50000,"丢弃",缺陷明细!$J$2:$J$50000,"系统测试")+COUNTIFS(缺陷明细!$A$2:$A$50000,$B$4,缺陷明细!$G$2:$G$50000,$C61,缺陷明细!$AA$2:$AA$50000,"设计如此",缺陷明细!$J$2:$J$50000,"系统测试")+COUNTIFS(缺陷明细!$A$2:$A$50000,$B$4,缺陷明细!$G$2:$G$50000,$C61,缺陷明细!$AA$2:$AA$50000,"重复Bug",缺陷明细!$J$2:$J$50000,"系统测试")</f>
        <v>0</v>
      </c>
      <c r="S61" s="72">
        <f>COUNTIFS(缺陷明细!$A$2:$A$50000,$B$4,缺陷明细!$G$2:$G$50000,$C61,缺陷明细!$J$2:$J$50000,"系统测试",缺陷明细!$K$2:$K$50000,"致命",缺陷明细!$AA$2:$AA$50000,"&lt;&gt;丢弃",缺陷明细!$AA$2:$AA$50000,"&lt;&gt;设计如此",缺陷明细!$AA$2:$AA$50000,"&lt;&gt;重复Bug")+COUNTIFS(缺陷明细!$A$2:$A$50000,$B$4,缺陷明细!$G$2:$G$50000,$C61,缺陷明细!$J$2:$J$50000,"系统测试",缺陷明细!$K$2:$K$50000,"严重",缺陷明细!$AA$2:$AA$50000,"&lt;&gt;丢弃",缺陷明细!$AA$2:$AA$50000,"&lt;&gt;设计如此",缺陷明细!$AA$2:$AA$50000,"&lt;&gt;重复Bug")</f>
        <v>0</v>
      </c>
      <c r="T61" s="73">
        <f>COUNTIFS(缺陷明细!$A$2:$A$50000,$B$4,缺陷明细!$G$2:$G$50000,$C61,缺陷明细!$Q$2:$Q$50000,"已关闭",缺陷明细!$J$2:$J$50000,"系统测试",缺陷明细!$K$2:$K$50000,"致命")+COUNTIFS(缺陷明细!$A$2:$A$50000,$B$4,缺陷明细!$G$2:$G$50000,$C61,缺陷明细!$Q$2:$Q$50000,"已关闭",缺陷明细!$J$2:$J$50000,"系统测试",缺陷明细!$K$2:$K$50000,"严重")</f>
        <v>0</v>
      </c>
      <c r="U61" s="74">
        <f>COUNTIFS(缺陷明细!$A$2:$A$50000,$B$4,缺陷明细!$G$2:$G$50000,$C61,缺陷明细!$J$2:$J$50000,"验收测试",缺陷明细!$AA$2:$AA$50000,"&lt;&gt;丢弃",缺陷明细!$AA$2:$AA$50000,"&lt;&gt;设计如此",缺陷明细!$AA$2:$AA$50000,"&lt;&gt;重复Bug")</f>
        <v>0</v>
      </c>
      <c r="V61" s="75">
        <f>COUNTIFS(缺陷明细!$A$2:$A$50000,$B$4,缺陷明细!$G$2:$G$50000,$C61,缺陷明细!$Q$2:$Q$50000,"已关闭",缺陷明细!$J$2:$J$50000,"验收测试")</f>
        <v>0</v>
      </c>
      <c r="W61" s="75">
        <f>COUNTIFS(缺陷明细!$A$2:$A$50000,$B$4,缺陷明细!$G$2:$G$50000,$C61,缺陷明细!$J$2:$J$50000,"验收测试",缺陷明细!$K$2:$K$50000,"致命",缺陷明细!$AA$2:$AA$50000,"&lt;&gt;丢弃",缺陷明细!$AA$2:$AA$50000,"&lt;&gt;设计如此",缺陷明细!$AA$2:$AA$50000,"&lt;&gt;重复Bug")+COUNTIFS(缺陷明细!$A$2:$A$50000,$B$4,缺陷明细!$G$2:$G$50000,$C61,缺陷明细!$J$2:$J$50000,"验收测试",缺陷明细!$K$2:$K$50000,"严重",缺陷明细!$AA$2:$AA$50000,"&lt;&gt;丢弃",缺陷明细!$AA$2:$AA$50000,"&lt;&gt;设计如此",缺陷明细!$AA$2:$AA$50000,"&lt;&gt;重复Bug")</f>
        <v>0</v>
      </c>
      <c r="X61" s="76">
        <f>COUNTIFS(缺陷明细!$A$2:$A$50000,$B$4,缺陷明细!$G$2:$G$50000,$C61,缺陷明细!$Q$2:$Q$50000,"已关闭",缺陷明细!$J$2:$J$50000,"验收测试",缺陷明细!$K$2:$K$50000,"致命")+COUNTIFS(缺陷明细!$A$2:$A$50000,$B$4,缺陷明细!$G$2:$G$50000,$C61,缺陷明细!$Q$2:$Q$50000,"已关闭",缺陷明细!$J$2:$J$50000,"验收测试",缺陷明细!$K$2:$K$50000,"严重")</f>
        <v>0</v>
      </c>
      <c r="Y61" s="70">
        <f>COUNTIFS(缺陷明细!$A$2:$A$50000,$B$4,缺陷明细!$G$2:$G$50000,$C61,缺陷明细!$J$2:$J$50000,"运维测试",缺陷明细!$AA$2:$AA$50000,"&lt;&gt;丢弃",缺陷明细!$AA$2:$AA$50000,"&lt;&gt;设计如此",缺陷明细!$AA$2:$AA$50000,"&lt;&gt;重复Bug")</f>
        <v>0</v>
      </c>
      <c r="Z61" s="71">
        <f>COUNTIFS(缺陷明细!$A$2:$A$50000,$B$4,缺陷明细!$G$2:$G$50000,$C61,缺陷明细!$Q$2:$Q$50000,"已关闭",缺陷明细!$J$2:$J$50000,"运维测试")</f>
        <v>0</v>
      </c>
      <c r="AA61" s="72">
        <f>COUNTIFS(缺陷明细!$A$2:$A$50000,$B$4,缺陷明细!$G$2:$G$50000,$C61,缺陷明细!$J$2:$J$50000,"运维测试",缺陷明细!$K$2:$K$50000,"致命",缺陷明细!$AA$2:$AA$50000,"&lt;&gt;丢弃",缺陷明细!$AA$2:$AA$50000,"&lt;&gt;设计如此",缺陷明细!$AA$2:$AA$50000,"&lt;&gt;重复Bug")+COUNTIFS(缺陷明细!$A$2:$A$50000,$B$4,缺陷明细!$G$2:$G$50000,$C61,缺陷明细!$J$2:$J$50000,"运维测试",缺陷明细!$K$2:$K$50000,"严重",缺陷明细!$AA$2:$AA$50000,"&lt;&gt;丢弃",缺陷明细!$AA$2:$AA$50000,"&lt;&gt;设计如此",缺陷明细!$AA$2:$AA$50000,"&lt;&gt;重复Bug")</f>
        <v>0</v>
      </c>
      <c r="AB61" s="73">
        <f>COUNTIFS(缺陷明细!$A$2:$A$50000,$B$4,缺陷明细!$G$2:$G$50000,$C61,缺陷明细!$Q$2:$Q$50000,"已关闭",缺陷明细!$J$2:$J$50000,"运维测试",缺陷明细!$K$2:$K$50000,"致命")+COUNTIFS(缺陷明细!$A$2:$A$50000,$B$4,缺陷明细!$G$2:$G$50000,$C61,缺陷明细!$Q$2:$Q$50000,"已关闭",缺陷明细!$J$2:$J$50000,"运维测试",缺陷明细!$K$2:$K$50000,"严重")</f>
        <v>0</v>
      </c>
      <c r="AC61" s="68">
        <f t="shared" si="4"/>
        <v>0</v>
      </c>
      <c r="AD61" s="60">
        <f t="shared" si="5"/>
        <v>0</v>
      </c>
      <c r="AE61" s="60">
        <f t="shared" si="6"/>
        <v>0</v>
      </c>
      <c r="AF61" s="60">
        <f t="shared" si="7"/>
        <v>0</v>
      </c>
      <c r="AG61" s="60">
        <f t="shared" si="8"/>
        <v>0</v>
      </c>
      <c r="AH61" s="60">
        <f t="shared" si="9"/>
        <v>0</v>
      </c>
      <c r="AI61" s="60">
        <f t="shared" si="10"/>
        <v>0</v>
      </c>
      <c r="AJ61" s="61">
        <f t="shared" si="11"/>
        <v>0</v>
      </c>
      <c r="AK61" s="151"/>
    </row>
    <row r="62" spans="1:37" ht="26.4">
      <c r="A62">
        <v>58</v>
      </c>
      <c r="B62" s="347">
        <v>523</v>
      </c>
      <c r="C62" s="58" t="s">
        <v>408</v>
      </c>
      <c r="D62" s="84" t="s">
        <v>467</v>
      </c>
      <c r="E62" s="82" t="s">
        <v>472</v>
      </c>
      <c r="F62" s="322">
        <v>8</v>
      </c>
      <c r="G62" s="323">
        <v>2</v>
      </c>
      <c r="H62" s="305">
        <f>COUNTIFS(缺陷明细!$A$2:$A$50000,$B$4,缺陷明细!$G$2:$G$50000,$C62,缺陷明细!$J$2:$J$50000,"评审",缺陷明细!$AA$2:$AA$50000,"&lt;&gt;丢弃",缺陷明细!$AA$2:$AA$50000,"&lt;&gt;设计如此",缺陷明细!$AA$2:$AA$50000,"&lt;&gt;重复Bug")</f>
        <v>0</v>
      </c>
      <c r="I62" s="161">
        <f>COUNTIFS(缺陷明细!$A$2:$A$50000,$B$4,缺陷明细!$G$2:$G$50000,$C62,缺陷明细!$Q$2:$Q$50000,"已关闭",缺陷明细!$J$2:$J$50000,"评审")</f>
        <v>0</v>
      </c>
      <c r="J62" s="161">
        <f>COUNTIFS(缺陷明细!$A$2:$A$50000,$B$4,缺陷明细!$G$2:$G$50000,$C62,缺陷明细!$J$2:$J$50000,"单元测试",缺陷明细!$AA$2:$AA$50000,"&lt;&gt;丢弃",缺陷明细!$AA$2:$AA$50000,"&lt;&gt;设计如此",缺陷明细!$AA$2:$AA$50000,"&lt;&gt;重复Bug")</f>
        <v>0</v>
      </c>
      <c r="K62" s="162">
        <f>COUNTIFS(缺陷明细!$A$2:$A$50000,$B$4,缺陷明细!$G$2:$G$50000,$C62,缺陷明细!$Q$2:$Q$50000,"已关闭",缺陷明细!$J$2:$J$50000,"单元测试")</f>
        <v>0</v>
      </c>
      <c r="L62" s="163"/>
      <c r="M62" s="164"/>
      <c r="N62" s="72">
        <f>COUNTIFS(缺陷明细!$A$2:$A$50000,$B$4,缺陷明细!$G$2:$G$50000,$C62,缺陷明细!$J$2:$J$50000,"系统测试案例评审",缺陷明细!$AA$2:$AA$50000,"&lt;&gt;丢弃",缺陷明细!$AA$2:$AA$50000,"&lt;&gt;设计如此",缺陷明细!$AA$2:$AA$50000,"&lt;&gt;重复Bug")</f>
        <v>0</v>
      </c>
      <c r="O62" s="72">
        <f>COUNTIFS(缺陷明细!$A$2:$A$50000,$B$4,缺陷明细!$G$2:$G$50000,$C62,缺陷明细!$Q$2:$Q$50000,"已关闭",缺陷明细!$J$2:$J$50000,"系统测试案例评审")</f>
        <v>0</v>
      </c>
      <c r="P62" s="72">
        <f>COUNTIFS(缺陷明细!$A$2:$A$50000,$B$4,缺陷明细!$G$2:$G$50000,$C62,缺陷明细!$J$2:$J$50000,"系统测试",缺陷明细!$AA$2:$AA$50000,"&lt;&gt;丢弃",缺陷明细!$AA$2:$AA$50000,"&lt;&gt;设计如此",缺陷明细!$AA$2:$AA$50000,"&lt;&gt;重复Bug")</f>
        <v>0</v>
      </c>
      <c r="Q62" s="72">
        <f>COUNTIFS(缺陷明细!$A$2:$A$50000,$B$4,缺陷明细!$G$2:$G$50000,$C62,缺陷明细!$Q$2:$Q$50000,"已关闭",缺陷明细!$J$2:$J$50000,"系统测试")</f>
        <v>0</v>
      </c>
      <c r="R62" s="354">
        <f>COUNTIFS(缺陷明细!$A$2:$A$50000,$B$4,缺陷明细!$G$2:$G$50000,$C62,缺陷明细!$AA$2:$AA$50000,"丢弃",缺陷明细!$J$2:$J$50000,"系统测试")+COUNTIFS(缺陷明细!$A$2:$A$50000,$B$4,缺陷明细!$G$2:$G$50000,$C62,缺陷明细!$AA$2:$AA$50000,"设计如此",缺陷明细!$J$2:$J$50000,"系统测试")+COUNTIFS(缺陷明细!$A$2:$A$50000,$B$4,缺陷明细!$G$2:$G$50000,$C62,缺陷明细!$AA$2:$AA$50000,"重复Bug",缺陷明细!$J$2:$J$50000,"系统测试")</f>
        <v>0</v>
      </c>
      <c r="S62" s="72">
        <f>COUNTIFS(缺陷明细!$A$2:$A$50000,$B$4,缺陷明细!$G$2:$G$50000,$C62,缺陷明细!$J$2:$J$50000,"系统测试",缺陷明细!$K$2:$K$50000,"致命",缺陷明细!$AA$2:$AA$50000,"&lt;&gt;丢弃",缺陷明细!$AA$2:$AA$50000,"&lt;&gt;设计如此",缺陷明细!$AA$2:$AA$50000,"&lt;&gt;重复Bug")+COUNTIFS(缺陷明细!$A$2:$A$50000,$B$4,缺陷明细!$G$2:$G$50000,$C62,缺陷明细!$J$2:$J$50000,"系统测试",缺陷明细!$K$2:$K$50000,"严重",缺陷明细!$AA$2:$AA$50000,"&lt;&gt;丢弃",缺陷明细!$AA$2:$AA$50000,"&lt;&gt;设计如此",缺陷明细!$AA$2:$AA$50000,"&lt;&gt;重复Bug")</f>
        <v>0</v>
      </c>
      <c r="T62" s="73">
        <f>COUNTIFS(缺陷明细!$A$2:$A$50000,$B$4,缺陷明细!$G$2:$G$50000,$C62,缺陷明细!$Q$2:$Q$50000,"已关闭",缺陷明细!$J$2:$J$50000,"系统测试",缺陷明细!$K$2:$K$50000,"致命")+COUNTIFS(缺陷明细!$A$2:$A$50000,$B$4,缺陷明细!$G$2:$G$50000,$C62,缺陷明细!$Q$2:$Q$50000,"已关闭",缺陷明细!$J$2:$J$50000,"系统测试",缺陷明细!$K$2:$K$50000,"严重")</f>
        <v>0</v>
      </c>
      <c r="U62" s="74">
        <f>COUNTIFS(缺陷明细!$A$2:$A$50000,$B$4,缺陷明细!$G$2:$G$50000,$C62,缺陷明细!$J$2:$J$50000,"验收测试",缺陷明细!$AA$2:$AA$50000,"&lt;&gt;丢弃",缺陷明细!$AA$2:$AA$50000,"&lt;&gt;设计如此",缺陷明细!$AA$2:$AA$50000,"&lt;&gt;重复Bug")</f>
        <v>0</v>
      </c>
      <c r="V62" s="75">
        <f>COUNTIFS(缺陷明细!$A$2:$A$50000,$B$4,缺陷明细!$G$2:$G$50000,$C62,缺陷明细!$Q$2:$Q$50000,"已关闭",缺陷明细!$J$2:$J$50000,"验收测试")</f>
        <v>0</v>
      </c>
      <c r="W62" s="75">
        <f>COUNTIFS(缺陷明细!$A$2:$A$50000,$B$4,缺陷明细!$G$2:$G$50000,$C62,缺陷明细!$J$2:$J$50000,"验收测试",缺陷明细!$K$2:$K$50000,"致命",缺陷明细!$AA$2:$AA$50000,"&lt;&gt;丢弃",缺陷明细!$AA$2:$AA$50000,"&lt;&gt;设计如此",缺陷明细!$AA$2:$AA$50000,"&lt;&gt;重复Bug")+COUNTIFS(缺陷明细!$A$2:$A$50000,$B$4,缺陷明细!$G$2:$G$50000,$C62,缺陷明细!$J$2:$J$50000,"验收测试",缺陷明细!$K$2:$K$50000,"严重",缺陷明细!$AA$2:$AA$50000,"&lt;&gt;丢弃",缺陷明细!$AA$2:$AA$50000,"&lt;&gt;设计如此",缺陷明细!$AA$2:$AA$50000,"&lt;&gt;重复Bug")</f>
        <v>0</v>
      </c>
      <c r="X62" s="76">
        <f>COUNTIFS(缺陷明细!$A$2:$A$50000,$B$4,缺陷明细!$G$2:$G$50000,$C62,缺陷明细!$Q$2:$Q$50000,"已关闭",缺陷明细!$J$2:$J$50000,"验收测试",缺陷明细!$K$2:$K$50000,"致命")+COUNTIFS(缺陷明细!$A$2:$A$50000,$B$4,缺陷明细!$G$2:$G$50000,$C62,缺陷明细!$Q$2:$Q$50000,"已关闭",缺陷明细!$J$2:$J$50000,"验收测试",缺陷明细!$K$2:$K$50000,"严重")</f>
        <v>0</v>
      </c>
      <c r="Y62" s="70">
        <f>COUNTIFS(缺陷明细!$A$2:$A$50000,$B$4,缺陷明细!$G$2:$G$50000,$C62,缺陷明细!$J$2:$J$50000,"运维测试",缺陷明细!$AA$2:$AA$50000,"&lt;&gt;丢弃",缺陷明细!$AA$2:$AA$50000,"&lt;&gt;设计如此",缺陷明细!$AA$2:$AA$50000,"&lt;&gt;重复Bug")</f>
        <v>0</v>
      </c>
      <c r="Z62" s="71">
        <f>COUNTIFS(缺陷明细!$A$2:$A$50000,$B$4,缺陷明细!$G$2:$G$50000,$C62,缺陷明细!$Q$2:$Q$50000,"已关闭",缺陷明细!$J$2:$J$50000,"运维测试")</f>
        <v>0</v>
      </c>
      <c r="AA62" s="72">
        <f>COUNTIFS(缺陷明细!$A$2:$A$50000,$B$4,缺陷明细!$G$2:$G$50000,$C62,缺陷明细!$J$2:$J$50000,"运维测试",缺陷明细!$K$2:$K$50000,"致命",缺陷明细!$AA$2:$AA$50000,"&lt;&gt;丢弃",缺陷明细!$AA$2:$AA$50000,"&lt;&gt;设计如此",缺陷明细!$AA$2:$AA$50000,"&lt;&gt;重复Bug")+COUNTIFS(缺陷明细!$A$2:$A$50000,$B$4,缺陷明细!$G$2:$G$50000,$C62,缺陷明细!$J$2:$J$50000,"运维测试",缺陷明细!$K$2:$K$50000,"严重",缺陷明细!$AA$2:$AA$50000,"&lt;&gt;丢弃",缺陷明细!$AA$2:$AA$50000,"&lt;&gt;设计如此",缺陷明细!$AA$2:$AA$50000,"&lt;&gt;重复Bug")</f>
        <v>0</v>
      </c>
      <c r="AB62" s="73">
        <f>COUNTIFS(缺陷明细!$A$2:$A$50000,$B$4,缺陷明细!$G$2:$G$50000,$C62,缺陷明细!$Q$2:$Q$50000,"已关闭",缺陷明细!$J$2:$J$50000,"运维测试",缺陷明细!$K$2:$K$50000,"致命")+COUNTIFS(缺陷明细!$A$2:$A$50000,$B$4,缺陷明细!$G$2:$G$50000,$C62,缺陷明细!$Q$2:$Q$50000,"已关闭",缺陷明细!$J$2:$J$50000,"运维测试",缺陷明细!$K$2:$K$50000,"严重")</f>
        <v>0</v>
      </c>
      <c r="AC62" s="68">
        <f t="shared" si="4"/>
        <v>0</v>
      </c>
      <c r="AD62" s="60">
        <f t="shared" si="5"/>
        <v>0</v>
      </c>
      <c r="AE62" s="60">
        <f t="shared" si="6"/>
        <v>0</v>
      </c>
      <c r="AF62" s="60">
        <f t="shared" si="7"/>
        <v>0</v>
      </c>
      <c r="AG62" s="60">
        <f t="shared" si="8"/>
        <v>0</v>
      </c>
      <c r="AH62" s="60">
        <f t="shared" si="9"/>
        <v>0</v>
      </c>
      <c r="AI62" s="60">
        <f t="shared" si="10"/>
        <v>0</v>
      </c>
      <c r="AJ62" s="61">
        <f t="shared" si="11"/>
        <v>0</v>
      </c>
      <c r="AK62" s="151"/>
    </row>
    <row r="63" spans="1:37">
      <c r="A63">
        <v>59</v>
      </c>
      <c r="B63" s="347">
        <v>525</v>
      </c>
      <c r="C63" s="58" t="s">
        <v>409</v>
      </c>
      <c r="D63" s="84" t="s">
        <v>467</v>
      </c>
      <c r="E63" s="82" t="s">
        <v>472</v>
      </c>
      <c r="F63" s="322">
        <v>8</v>
      </c>
      <c r="G63" s="323">
        <v>5</v>
      </c>
      <c r="H63" s="305">
        <f>COUNTIFS(缺陷明细!$A$2:$A$50000,$B$4,缺陷明细!$G$2:$G$50000,$C63,缺陷明细!$J$2:$J$50000,"评审",缺陷明细!$AA$2:$AA$50000,"&lt;&gt;丢弃",缺陷明细!$AA$2:$AA$50000,"&lt;&gt;设计如此",缺陷明细!$AA$2:$AA$50000,"&lt;&gt;重复Bug")</f>
        <v>0</v>
      </c>
      <c r="I63" s="161">
        <f>COUNTIFS(缺陷明细!$A$2:$A$50000,$B$4,缺陷明细!$G$2:$G$50000,$C63,缺陷明细!$Q$2:$Q$50000,"已关闭",缺陷明细!$J$2:$J$50000,"评审")</f>
        <v>0</v>
      </c>
      <c r="J63" s="161">
        <f>COUNTIFS(缺陷明细!$A$2:$A$50000,$B$4,缺陷明细!$G$2:$G$50000,$C63,缺陷明细!$J$2:$J$50000,"单元测试",缺陷明细!$AA$2:$AA$50000,"&lt;&gt;丢弃",缺陷明细!$AA$2:$AA$50000,"&lt;&gt;设计如此",缺陷明细!$AA$2:$AA$50000,"&lt;&gt;重复Bug")</f>
        <v>0</v>
      </c>
      <c r="K63" s="162">
        <f>COUNTIFS(缺陷明细!$A$2:$A$50000,$B$4,缺陷明细!$G$2:$G$50000,$C63,缺陷明细!$Q$2:$Q$50000,"已关闭",缺陷明细!$J$2:$J$50000,"单元测试")</f>
        <v>0</v>
      </c>
      <c r="L63" s="163"/>
      <c r="M63" s="164"/>
      <c r="N63" s="72">
        <f>COUNTIFS(缺陷明细!$A$2:$A$50000,$B$4,缺陷明细!$G$2:$G$50000,$C63,缺陷明细!$J$2:$J$50000,"系统测试案例评审",缺陷明细!$AA$2:$AA$50000,"&lt;&gt;丢弃",缺陷明细!$AA$2:$AA$50000,"&lt;&gt;设计如此",缺陷明细!$AA$2:$AA$50000,"&lt;&gt;重复Bug")</f>
        <v>0</v>
      </c>
      <c r="O63" s="72">
        <f>COUNTIFS(缺陷明细!$A$2:$A$50000,$B$4,缺陷明细!$G$2:$G$50000,$C63,缺陷明细!$Q$2:$Q$50000,"已关闭",缺陷明细!$J$2:$J$50000,"系统测试案例评审")</f>
        <v>0</v>
      </c>
      <c r="P63" s="72">
        <f>COUNTIFS(缺陷明细!$A$2:$A$50000,$B$4,缺陷明细!$G$2:$G$50000,$C63,缺陷明细!$J$2:$J$50000,"系统测试",缺陷明细!$AA$2:$AA$50000,"&lt;&gt;丢弃",缺陷明细!$AA$2:$AA$50000,"&lt;&gt;设计如此",缺陷明细!$AA$2:$AA$50000,"&lt;&gt;重复Bug")</f>
        <v>0</v>
      </c>
      <c r="Q63" s="72">
        <f>COUNTIFS(缺陷明细!$A$2:$A$50000,$B$4,缺陷明细!$G$2:$G$50000,$C63,缺陷明细!$Q$2:$Q$50000,"已关闭",缺陷明细!$J$2:$J$50000,"系统测试")</f>
        <v>0</v>
      </c>
      <c r="R63" s="354">
        <f>COUNTIFS(缺陷明细!$A$2:$A$50000,$B$4,缺陷明细!$G$2:$G$50000,$C63,缺陷明细!$AA$2:$AA$50000,"丢弃",缺陷明细!$J$2:$J$50000,"系统测试")+COUNTIFS(缺陷明细!$A$2:$A$50000,$B$4,缺陷明细!$G$2:$G$50000,$C63,缺陷明细!$AA$2:$AA$50000,"设计如此",缺陷明细!$J$2:$J$50000,"系统测试")+COUNTIFS(缺陷明细!$A$2:$A$50000,$B$4,缺陷明细!$G$2:$G$50000,$C63,缺陷明细!$AA$2:$AA$50000,"重复Bug",缺陷明细!$J$2:$J$50000,"系统测试")</f>
        <v>0</v>
      </c>
      <c r="S63" s="72">
        <f>COUNTIFS(缺陷明细!$A$2:$A$50000,$B$4,缺陷明细!$G$2:$G$50000,$C63,缺陷明细!$J$2:$J$50000,"系统测试",缺陷明细!$K$2:$K$50000,"致命",缺陷明细!$AA$2:$AA$50000,"&lt;&gt;丢弃",缺陷明细!$AA$2:$AA$50000,"&lt;&gt;设计如此",缺陷明细!$AA$2:$AA$50000,"&lt;&gt;重复Bug")+COUNTIFS(缺陷明细!$A$2:$A$50000,$B$4,缺陷明细!$G$2:$G$50000,$C63,缺陷明细!$J$2:$J$50000,"系统测试",缺陷明细!$K$2:$K$50000,"严重",缺陷明细!$AA$2:$AA$50000,"&lt;&gt;丢弃",缺陷明细!$AA$2:$AA$50000,"&lt;&gt;设计如此",缺陷明细!$AA$2:$AA$50000,"&lt;&gt;重复Bug")</f>
        <v>0</v>
      </c>
      <c r="T63" s="73">
        <f>COUNTIFS(缺陷明细!$A$2:$A$50000,$B$4,缺陷明细!$G$2:$G$50000,$C63,缺陷明细!$Q$2:$Q$50000,"已关闭",缺陷明细!$J$2:$J$50000,"系统测试",缺陷明细!$K$2:$K$50000,"致命")+COUNTIFS(缺陷明细!$A$2:$A$50000,$B$4,缺陷明细!$G$2:$G$50000,$C63,缺陷明细!$Q$2:$Q$50000,"已关闭",缺陷明细!$J$2:$J$50000,"系统测试",缺陷明细!$K$2:$K$50000,"严重")</f>
        <v>0</v>
      </c>
      <c r="U63" s="74">
        <f>COUNTIFS(缺陷明细!$A$2:$A$50000,$B$4,缺陷明细!$G$2:$G$50000,$C63,缺陷明细!$J$2:$J$50000,"验收测试",缺陷明细!$AA$2:$AA$50000,"&lt;&gt;丢弃",缺陷明细!$AA$2:$AA$50000,"&lt;&gt;设计如此",缺陷明细!$AA$2:$AA$50000,"&lt;&gt;重复Bug")</f>
        <v>0</v>
      </c>
      <c r="V63" s="75">
        <f>COUNTIFS(缺陷明细!$A$2:$A$50000,$B$4,缺陷明细!$G$2:$G$50000,$C63,缺陷明细!$Q$2:$Q$50000,"已关闭",缺陷明细!$J$2:$J$50000,"验收测试")</f>
        <v>0</v>
      </c>
      <c r="W63" s="75">
        <f>COUNTIFS(缺陷明细!$A$2:$A$50000,$B$4,缺陷明细!$G$2:$G$50000,$C63,缺陷明细!$J$2:$J$50000,"验收测试",缺陷明细!$K$2:$K$50000,"致命",缺陷明细!$AA$2:$AA$50000,"&lt;&gt;丢弃",缺陷明细!$AA$2:$AA$50000,"&lt;&gt;设计如此",缺陷明细!$AA$2:$AA$50000,"&lt;&gt;重复Bug")+COUNTIFS(缺陷明细!$A$2:$A$50000,$B$4,缺陷明细!$G$2:$G$50000,$C63,缺陷明细!$J$2:$J$50000,"验收测试",缺陷明细!$K$2:$K$50000,"严重",缺陷明细!$AA$2:$AA$50000,"&lt;&gt;丢弃",缺陷明细!$AA$2:$AA$50000,"&lt;&gt;设计如此",缺陷明细!$AA$2:$AA$50000,"&lt;&gt;重复Bug")</f>
        <v>0</v>
      </c>
      <c r="X63" s="76">
        <f>COUNTIFS(缺陷明细!$A$2:$A$50000,$B$4,缺陷明细!$G$2:$G$50000,$C63,缺陷明细!$Q$2:$Q$50000,"已关闭",缺陷明细!$J$2:$J$50000,"验收测试",缺陷明细!$K$2:$K$50000,"致命")+COUNTIFS(缺陷明细!$A$2:$A$50000,$B$4,缺陷明细!$G$2:$G$50000,$C63,缺陷明细!$Q$2:$Q$50000,"已关闭",缺陷明细!$J$2:$J$50000,"验收测试",缺陷明细!$K$2:$K$50000,"严重")</f>
        <v>0</v>
      </c>
      <c r="Y63" s="70">
        <f>COUNTIFS(缺陷明细!$A$2:$A$50000,$B$4,缺陷明细!$G$2:$G$50000,$C63,缺陷明细!$J$2:$J$50000,"运维测试",缺陷明细!$AA$2:$AA$50000,"&lt;&gt;丢弃",缺陷明细!$AA$2:$AA$50000,"&lt;&gt;设计如此",缺陷明细!$AA$2:$AA$50000,"&lt;&gt;重复Bug")</f>
        <v>0</v>
      </c>
      <c r="Z63" s="71">
        <f>COUNTIFS(缺陷明细!$A$2:$A$50000,$B$4,缺陷明细!$G$2:$G$50000,$C63,缺陷明细!$Q$2:$Q$50000,"已关闭",缺陷明细!$J$2:$J$50000,"运维测试")</f>
        <v>0</v>
      </c>
      <c r="AA63" s="72">
        <f>COUNTIFS(缺陷明细!$A$2:$A$50000,$B$4,缺陷明细!$G$2:$G$50000,$C63,缺陷明细!$J$2:$J$50000,"运维测试",缺陷明细!$K$2:$K$50000,"致命",缺陷明细!$AA$2:$AA$50000,"&lt;&gt;丢弃",缺陷明细!$AA$2:$AA$50000,"&lt;&gt;设计如此",缺陷明细!$AA$2:$AA$50000,"&lt;&gt;重复Bug")+COUNTIFS(缺陷明细!$A$2:$A$50000,$B$4,缺陷明细!$G$2:$G$50000,$C63,缺陷明细!$J$2:$J$50000,"运维测试",缺陷明细!$K$2:$K$50000,"严重",缺陷明细!$AA$2:$AA$50000,"&lt;&gt;丢弃",缺陷明细!$AA$2:$AA$50000,"&lt;&gt;设计如此",缺陷明细!$AA$2:$AA$50000,"&lt;&gt;重复Bug")</f>
        <v>0</v>
      </c>
      <c r="AB63" s="73">
        <f>COUNTIFS(缺陷明细!$A$2:$A$50000,$B$4,缺陷明细!$G$2:$G$50000,$C63,缺陷明细!$Q$2:$Q$50000,"已关闭",缺陷明细!$J$2:$J$50000,"运维测试",缺陷明细!$K$2:$K$50000,"致命")+COUNTIFS(缺陷明细!$A$2:$A$50000,$B$4,缺陷明细!$G$2:$G$50000,$C63,缺陷明细!$Q$2:$Q$50000,"已关闭",缺陷明细!$J$2:$J$50000,"运维测试",缺陷明细!$K$2:$K$50000,"严重")</f>
        <v>0</v>
      </c>
      <c r="AC63" s="68">
        <f t="shared" si="4"/>
        <v>0</v>
      </c>
      <c r="AD63" s="60">
        <f t="shared" si="5"/>
        <v>0</v>
      </c>
      <c r="AE63" s="60">
        <f t="shared" si="6"/>
        <v>0</v>
      </c>
      <c r="AF63" s="60">
        <f t="shared" si="7"/>
        <v>0</v>
      </c>
      <c r="AG63" s="60">
        <f t="shared" si="8"/>
        <v>0</v>
      </c>
      <c r="AH63" s="60">
        <f t="shared" si="9"/>
        <v>0</v>
      </c>
      <c r="AI63" s="60">
        <f t="shared" si="10"/>
        <v>0</v>
      </c>
      <c r="AJ63" s="61">
        <f t="shared" si="11"/>
        <v>0</v>
      </c>
      <c r="AK63" s="151"/>
    </row>
    <row r="64" spans="1:37">
      <c r="A64">
        <v>60</v>
      </c>
      <c r="B64" s="347">
        <v>526</v>
      </c>
      <c r="C64" s="58" t="s">
        <v>410</v>
      </c>
      <c r="D64" s="84" t="s">
        <v>467</v>
      </c>
      <c r="E64" s="82" t="s">
        <v>472</v>
      </c>
      <c r="F64" s="322">
        <v>8</v>
      </c>
      <c r="G64" s="323">
        <v>0</v>
      </c>
      <c r="H64" s="305">
        <f>COUNTIFS(缺陷明细!$A$2:$A$50000,$B$4,缺陷明细!$G$2:$G$50000,$C64,缺陷明细!$J$2:$J$50000,"评审",缺陷明细!$AA$2:$AA$50000,"&lt;&gt;丢弃",缺陷明细!$AA$2:$AA$50000,"&lt;&gt;设计如此",缺陷明细!$AA$2:$AA$50000,"&lt;&gt;重复Bug")</f>
        <v>0</v>
      </c>
      <c r="I64" s="161">
        <f>COUNTIFS(缺陷明细!$A$2:$A$50000,$B$4,缺陷明细!$G$2:$G$50000,$C64,缺陷明细!$Q$2:$Q$50000,"已关闭",缺陷明细!$J$2:$J$50000,"评审")</f>
        <v>0</v>
      </c>
      <c r="J64" s="161">
        <f>COUNTIFS(缺陷明细!$A$2:$A$50000,$B$4,缺陷明细!$G$2:$G$50000,$C64,缺陷明细!$J$2:$J$50000,"单元测试",缺陷明细!$AA$2:$AA$50000,"&lt;&gt;丢弃",缺陷明细!$AA$2:$AA$50000,"&lt;&gt;设计如此",缺陷明细!$AA$2:$AA$50000,"&lt;&gt;重复Bug")</f>
        <v>0</v>
      </c>
      <c r="K64" s="162">
        <f>COUNTIFS(缺陷明细!$A$2:$A$50000,$B$4,缺陷明细!$G$2:$G$50000,$C64,缺陷明细!$Q$2:$Q$50000,"已关闭",缺陷明细!$J$2:$J$50000,"单元测试")</f>
        <v>0</v>
      </c>
      <c r="L64" s="163"/>
      <c r="M64" s="164"/>
      <c r="N64" s="72">
        <f>COUNTIFS(缺陷明细!$A$2:$A$50000,$B$4,缺陷明细!$G$2:$G$50000,$C64,缺陷明细!$J$2:$J$50000,"系统测试案例评审",缺陷明细!$AA$2:$AA$50000,"&lt;&gt;丢弃",缺陷明细!$AA$2:$AA$50000,"&lt;&gt;设计如此",缺陷明细!$AA$2:$AA$50000,"&lt;&gt;重复Bug")</f>
        <v>0</v>
      </c>
      <c r="O64" s="72">
        <f>COUNTIFS(缺陷明细!$A$2:$A$50000,$B$4,缺陷明细!$G$2:$G$50000,$C64,缺陷明细!$Q$2:$Q$50000,"已关闭",缺陷明细!$J$2:$J$50000,"系统测试案例评审")</f>
        <v>0</v>
      </c>
      <c r="P64" s="72">
        <f>COUNTIFS(缺陷明细!$A$2:$A$50000,$B$4,缺陷明细!$G$2:$G$50000,$C64,缺陷明细!$J$2:$J$50000,"系统测试",缺陷明细!$AA$2:$AA$50000,"&lt;&gt;丢弃",缺陷明细!$AA$2:$AA$50000,"&lt;&gt;设计如此",缺陷明细!$AA$2:$AA$50000,"&lt;&gt;重复Bug")</f>
        <v>0</v>
      </c>
      <c r="Q64" s="72">
        <f>COUNTIFS(缺陷明细!$A$2:$A$50000,$B$4,缺陷明细!$G$2:$G$50000,$C64,缺陷明细!$Q$2:$Q$50000,"已关闭",缺陷明细!$J$2:$J$50000,"系统测试")</f>
        <v>0</v>
      </c>
      <c r="R64" s="354">
        <f>COUNTIFS(缺陷明细!$A$2:$A$50000,$B$4,缺陷明细!$G$2:$G$50000,$C64,缺陷明细!$AA$2:$AA$50000,"丢弃",缺陷明细!$J$2:$J$50000,"系统测试")+COUNTIFS(缺陷明细!$A$2:$A$50000,$B$4,缺陷明细!$G$2:$G$50000,$C64,缺陷明细!$AA$2:$AA$50000,"设计如此",缺陷明细!$J$2:$J$50000,"系统测试")+COUNTIFS(缺陷明细!$A$2:$A$50000,$B$4,缺陷明细!$G$2:$G$50000,$C64,缺陷明细!$AA$2:$AA$50000,"重复Bug",缺陷明细!$J$2:$J$50000,"系统测试")</f>
        <v>0</v>
      </c>
      <c r="S64" s="72">
        <f>COUNTIFS(缺陷明细!$A$2:$A$50000,$B$4,缺陷明细!$G$2:$G$50000,$C64,缺陷明细!$J$2:$J$50000,"系统测试",缺陷明细!$K$2:$K$50000,"致命",缺陷明细!$AA$2:$AA$50000,"&lt;&gt;丢弃",缺陷明细!$AA$2:$AA$50000,"&lt;&gt;设计如此",缺陷明细!$AA$2:$AA$50000,"&lt;&gt;重复Bug")+COUNTIFS(缺陷明细!$A$2:$A$50000,$B$4,缺陷明细!$G$2:$G$50000,$C64,缺陷明细!$J$2:$J$50000,"系统测试",缺陷明细!$K$2:$K$50000,"严重",缺陷明细!$AA$2:$AA$50000,"&lt;&gt;丢弃",缺陷明细!$AA$2:$AA$50000,"&lt;&gt;设计如此",缺陷明细!$AA$2:$AA$50000,"&lt;&gt;重复Bug")</f>
        <v>0</v>
      </c>
      <c r="T64" s="73">
        <f>COUNTIFS(缺陷明细!$A$2:$A$50000,$B$4,缺陷明细!$G$2:$G$50000,$C64,缺陷明细!$Q$2:$Q$50000,"已关闭",缺陷明细!$J$2:$J$50000,"系统测试",缺陷明细!$K$2:$K$50000,"致命")+COUNTIFS(缺陷明细!$A$2:$A$50000,$B$4,缺陷明细!$G$2:$G$50000,$C64,缺陷明细!$Q$2:$Q$50000,"已关闭",缺陷明细!$J$2:$J$50000,"系统测试",缺陷明细!$K$2:$K$50000,"严重")</f>
        <v>0</v>
      </c>
      <c r="U64" s="74">
        <f>COUNTIFS(缺陷明细!$A$2:$A$50000,$B$4,缺陷明细!$G$2:$G$50000,$C64,缺陷明细!$J$2:$J$50000,"验收测试",缺陷明细!$AA$2:$AA$50000,"&lt;&gt;丢弃",缺陷明细!$AA$2:$AA$50000,"&lt;&gt;设计如此",缺陷明细!$AA$2:$AA$50000,"&lt;&gt;重复Bug")</f>
        <v>0</v>
      </c>
      <c r="V64" s="75">
        <f>COUNTIFS(缺陷明细!$A$2:$A$50000,$B$4,缺陷明细!$G$2:$G$50000,$C64,缺陷明细!$Q$2:$Q$50000,"已关闭",缺陷明细!$J$2:$J$50000,"验收测试")</f>
        <v>0</v>
      </c>
      <c r="W64" s="75">
        <f>COUNTIFS(缺陷明细!$A$2:$A$50000,$B$4,缺陷明细!$G$2:$G$50000,$C64,缺陷明细!$J$2:$J$50000,"验收测试",缺陷明细!$K$2:$K$50000,"致命",缺陷明细!$AA$2:$AA$50000,"&lt;&gt;丢弃",缺陷明细!$AA$2:$AA$50000,"&lt;&gt;设计如此",缺陷明细!$AA$2:$AA$50000,"&lt;&gt;重复Bug")+COUNTIFS(缺陷明细!$A$2:$A$50000,$B$4,缺陷明细!$G$2:$G$50000,$C64,缺陷明细!$J$2:$J$50000,"验收测试",缺陷明细!$K$2:$K$50000,"严重",缺陷明细!$AA$2:$AA$50000,"&lt;&gt;丢弃",缺陷明细!$AA$2:$AA$50000,"&lt;&gt;设计如此",缺陷明细!$AA$2:$AA$50000,"&lt;&gt;重复Bug")</f>
        <v>0</v>
      </c>
      <c r="X64" s="76">
        <f>COUNTIFS(缺陷明细!$A$2:$A$50000,$B$4,缺陷明细!$G$2:$G$50000,$C64,缺陷明细!$Q$2:$Q$50000,"已关闭",缺陷明细!$J$2:$J$50000,"验收测试",缺陷明细!$K$2:$K$50000,"致命")+COUNTIFS(缺陷明细!$A$2:$A$50000,$B$4,缺陷明细!$G$2:$G$50000,$C64,缺陷明细!$Q$2:$Q$50000,"已关闭",缺陷明细!$J$2:$J$50000,"验收测试",缺陷明细!$K$2:$K$50000,"严重")</f>
        <v>0</v>
      </c>
      <c r="Y64" s="70">
        <f>COUNTIFS(缺陷明细!$A$2:$A$50000,$B$4,缺陷明细!$G$2:$G$50000,$C64,缺陷明细!$J$2:$J$50000,"运维测试",缺陷明细!$AA$2:$AA$50000,"&lt;&gt;丢弃",缺陷明细!$AA$2:$AA$50000,"&lt;&gt;设计如此",缺陷明细!$AA$2:$AA$50000,"&lt;&gt;重复Bug")</f>
        <v>0</v>
      </c>
      <c r="Z64" s="71">
        <f>COUNTIFS(缺陷明细!$A$2:$A$50000,$B$4,缺陷明细!$G$2:$G$50000,$C64,缺陷明细!$Q$2:$Q$50000,"已关闭",缺陷明细!$J$2:$J$50000,"运维测试")</f>
        <v>0</v>
      </c>
      <c r="AA64" s="72">
        <f>COUNTIFS(缺陷明细!$A$2:$A$50000,$B$4,缺陷明细!$G$2:$G$50000,$C64,缺陷明细!$J$2:$J$50000,"运维测试",缺陷明细!$K$2:$K$50000,"致命",缺陷明细!$AA$2:$AA$50000,"&lt;&gt;丢弃",缺陷明细!$AA$2:$AA$50000,"&lt;&gt;设计如此",缺陷明细!$AA$2:$AA$50000,"&lt;&gt;重复Bug")+COUNTIFS(缺陷明细!$A$2:$A$50000,$B$4,缺陷明细!$G$2:$G$50000,$C64,缺陷明细!$J$2:$J$50000,"运维测试",缺陷明细!$K$2:$K$50000,"严重",缺陷明细!$AA$2:$AA$50000,"&lt;&gt;丢弃",缺陷明细!$AA$2:$AA$50000,"&lt;&gt;设计如此",缺陷明细!$AA$2:$AA$50000,"&lt;&gt;重复Bug")</f>
        <v>0</v>
      </c>
      <c r="AB64" s="73">
        <f>COUNTIFS(缺陷明细!$A$2:$A$50000,$B$4,缺陷明细!$G$2:$G$50000,$C64,缺陷明细!$Q$2:$Q$50000,"已关闭",缺陷明细!$J$2:$J$50000,"运维测试",缺陷明细!$K$2:$K$50000,"致命")+COUNTIFS(缺陷明细!$A$2:$A$50000,$B$4,缺陷明细!$G$2:$G$50000,$C64,缺陷明细!$Q$2:$Q$50000,"已关闭",缺陷明细!$J$2:$J$50000,"运维测试",缺陷明细!$K$2:$K$50000,"严重")</f>
        <v>0</v>
      </c>
      <c r="AC64" s="68">
        <f t="shared" si="4"/>
        <v>0</v>
      </c>
      <c r="AD64" s="60">
        <f t="shared" si="5"/>
        <v>0</v>
      </c>
      <c r="AE64" s="60">
        <f t="shared" si="6"/>
        <v>0</v>
      </c>
      <c r="AF64" s="60">
        <f t="shared" si="7"/>
        <v>0</v>
      </c>
      <c r="AG64" s="60">
        <f t="shared" si="8"/>
        <v>0</v>
      </c>
      <c r="AH64" s="60">
        <f t="shared" si="9"/>
        <v>0</v>
      </c>
      <c r="AI64" s="60">
        <f t="shared" si="10"/>
        <v>0</v>
      </c>
      <c r="AJ64" s="61">
        <f t="shared" si="11"/>
        <v>0</v>
      </c>
      <c r="AK64" s="151"/>
    </row>
    <row r="65" spans="1:37">
      <c r="A65">
        <v>61</v>
      </c>
      <c r="B65" s="347">
        <v>527</v>
      </c>
      <c r="C65" s="58" t="s">
        <v>411</v>
      </c>
      <c r="D65" s="84" t="s">
        <v>467</v>
      </c>
      <c r="E65" s="82" t="s">
        <v>472</v>
      </c>
      <c r="F65" s="322">
        <v>8</v>
      </c>
      <c r="G65" s="323">
        <v>5</v>
      </c>
      <c r="H65" s="305">
        <f>COUNTIFS(缺陷明细!$A$2:$A$50000,$B$4,缺陷明细!$G$2:$G$50000,$C65,缺陷明细!$J$2:$J$50000,"评审",缺陷明细!$AA$2:$AA$50000,"&lt;&gt;丢弃",缺陷明细!$AA$2:$AA$50000,"&lt;&gt;设计如此",缺陷明细!$AA$2:$AA$50000,"&lt;&gt;重复Bug")</f>
        <v>0</v>
      </c>
      <c r="I65" s="161">
        <f>COUNTIFS(缺陷明细!$A$2:$A$50000,$B$4,缺陷明细!$G$2:$G$50000,$C65,缺陷明细!$Q$2:$Q$50000,"已关闭",缺陷明细!$J$2:$J$50000,"评审")</f>
        <v>0</v>
      </c>
      <c r="J65" s="161">
        <f>COUNTIFS(缺陷明细!$A$2:$A$50000,$B$4,缺陷明细!$G$2:$G$50000,$C65,缺陷明细!$J$2:$J$50000,"单元测试",缺陷明细!$AA$2:$AA$50000,"&lt;&gt;丢弃",缺陷明细!$AA$2:$AA$50000,"&lt;&gt;设计如此",缺陷明细!$AA$2:$AA$50000,"&lt;&gt;重复Bug")</f>
        <v>0</v>
      </c>
      <c r="K65" s="162">
        <f>COUNTIFS(缺陷明细!$A$2:$A$50000,$B$4,缺陷明细!$G$2:$G$50000,$C65,缺陷明细!$Q$2:$Q$50000,"已关闭",缺陷明细!$J$2:$J$50000,"单元测试")</f>
        <v>0</v>
      </c>
      <c r="L65" s="163"/>
      <c r="M65" s="164"/>
      <c r="N65" s="72">
        <f>COUNTIFS(缺陷明细!$A$2:$A$50000,$B$4,缺陷明细!$G$2:$G$50000,$C65,缺陷明细!$J$2:$J$50000,"系统测试案例评审",缺陷明细!$AA$2:$AA$50000,"&lt;&gt;丢弃",缺陷明细!$AA$2:$AA$50000,"&lt;&gt;设计如此",缺陷明细!$AA$2:$AA$50000,"&lt;&gt;重复Bug")</f>
        <v>0</v>
      </c>
      <c r="O65" s="72">
        <f>COUNTIFS(缺陷明细!$A$2:$A$50000,$B$4,缺陷明细!$G$2:$G$50000,$C65,缺陷明细!$Q$2:$Q$50000,"已关闭",缺陷明细!$J$2:$J$50000,"系统测试案例评审")</f>
        <v>0</v>
      </c>
      <c r="P65" s="72">
        <f>COUNTIFS(缺陷明细!$A$2:$A$50000,$B$4,缺陷明细!$G$2:$G$50000,$C65,缺陷明细!$J$2:$J$50000,"系统测试",缺陷明细!$AA$2:$AA$50000,"&lt;&gt;丢弃",缺陷明细!$AA$2:$AA$50000,"&lt;&gt;设计如此",缺陷明细!$AA$2:$AA$50000,"&lt;&gt;重复Bug")</f>
        <v>0</v>
      </c>
      <c r="Q65" s="72">
        <f>COUNTIFS(缺陷明细!$A$2:$A$50000,$B$4,缺陷明细!$G$2:$G$50000,$C65,缺陷明细!$Q$2:$Q$50000,"已关闭",缺陷明细!$J$2:$J$50000,"系统测试")</f>
        <v>0</v>
      </c>
      <c r="R65" s="354">
        <f>COUNTIFS(缺陷明细!$A$2:$A$50000,$B$4,缺陷明细!$G$2:$G$50000,$C65,缺陷明细!$AA$2:$AA$50000,"丢弃",缺陷明细!$J$2:$J$50000,"系统测试")+COUNTIFS(缺陷明细!$A$2:$A$50000,$B$4,缺陷明细!$G$2:$G$50000,$C65,缺陷明细!$AA$2:$AA$50000,"设计如此",缺陷明细!$J$2:$J$50000,"系统测试")+COUNTIFS(缺陷明细!$A$2:$A$50000,$B$4,缺陷明细!$G$2:$G$50000,$C65,缺陷明细!$AA$2:$AA$50000,"重复Bug",缺陷明细!$J$2:$J$50000,"系统测试")</f>
        <v>0</v>
      </c>
      <c r="S65" s="72">
        <f>COUNTIFS(缺陷明细!$A$2:$A$50000,$B$4,缺陷明细!$G$2:$G$50000,$C65,缺陷明细!$J$2:$J$50000,"系统测试",缺陷明细!$K$2:$K$50000,"致命",缺陷明细!$AA$2:$AA$50000,"&lt;&gt;丢弃",缺陷明细!$AA$2:$AA$50000,"&lt;&gt;设计如此",缺陷明细!$AA$2:$AA$50000,"&lt;&gt;重复Bug")+COUNTIFS(缺陷明细!$A$2:$A$50000,$B$4,缺陷明细!$G$2:$G$50000,$C65,缺陷明细!$J$2:$J$50000,"系统测试",缺陷明细!$K$2:$K$50000,"严重",缺陷明细!$AA$2:$AA$50000,"&lt;&gt;丢弃",缺陷明细!$AA$2:$AA$50000,"&lt;&gt;设计如此",缺陷明细!$AA$2:$AA$50000,"&lt;&gt;重复Bug")</f>
        <v>0</v>
      </c>
      <c r="T65" s="73">
        <f>COUNTIFS(缺陷明细!$A$2:$A$50000,$B$4,缺陷明细!$G$2:$G$50000,$C65,缺陷明细!$Q$2:$Q$50000,"已关闭",缺陷明细!$J$2:$J$50000,"系统测试",缺陷明细!$K$2:$K$50000,"致命")+COUNTIFS(缺陷明细!$A$2:$A$50000,$B$4,缺陷明细!$G$2:$G$50000,$C65,缺陷明细!$Q$2:$Q$50000,"已关闭",缺陷明细!$J$2:$J$50000,"系统测试",缺陷明细!$K$2:$K$50000,"严重")</f>
        <v>0</v>
      </c>
      <c r="U65" s="74">
        <f>COUNTIFS(缺陷明细!$A$2:$A$50000,$B$4,缺陷明细!$G$2:$G$50000,$C65,缺陷明细!$J$2:$J$50000,"验收测试",缺陷明细!$AA$2:$AA$50000,"&lt;&gt;丢弃",缺陷明细!$AA$2:$AA$50000,"&lt;&gt;设计如此",缺陷明细!$AA$2:$AA$50000,"&lt;&gt;重复Bug")</f>
        <v>0</v>
      </c>
      <c r="V65" s="75">
        <f>COUNTIFS(缺陷明细!$A$2:$A$50000,$B$4,缺陷明细!$G$2:$G$50000,$C65,缺陷明细!$Q$2:$Q$50000,"已关闭",缺陷明细!$J$2:$J$50000,"验收测试")</f>
        <v>0</v>
      </c>
      <c r="W65" s="75">
        <f>COUNTIFS(缺陷明细!$A$2:$A$50000,$B$4,缺陷明细!$G$2:$G$50000,$C65,缺陷明细!$J$2:$J$50000,"验收测试",缺陷明细!$K$2:$K$50000,"致命",缺陷明细!$AA$2:$AA$50000,"&lt;&gt;丢弃",缺陷明细!$AA$2:$AA$50000,"&lt;&gt;设计如此",缺陷明细!$AA$2:$AA$50000,"&lt;&gt;重复Bug")+COUNTIFS(缺陷明细!$A$2:$A$50000,$B$4,缺陷明细!$G$2:$G$50000,$C65,缺陷明细!$J$2:$J$50000,"验收测试",缺陷明细!$K$2:$K$50000,"严重",缺陷明细!$AA$2:$AA$50000,"&lt;&gt;丢弃",缺陷明细!$AA$2:$AA$50000,"&lt;&gt;设计如此",缺陷明细!$AA$2:$AA$50000,"&lt;&gt;重复Bug")</f>
        <v>0</v>
      </c>
      <c r="X65" s="76">
        <f>COUNTIFS(缺陷明细!$A$2:$A$50000,$B$4,缺陷明细!$G$2:$G$50000,$C65,缺陷明细!$Q$2:$Q$50000,"已关闭",缺陷明细!$J$2:$J$50000,"验收测试",缺陷明细!$K$2:$K$50000,"致命")+COUNTIFS(缺陷明细!$A$2:$A$50000,$B$4,缺陷明细!$G$2:$G$50000,$C65,缺陷明细!$Q$2:$Q$50000,"已关闭",缺陷明细!$J$2:$J$50000,"验收测试",缺陷明细!$K$2:$K$50000,"严重")</f>
        <v>0</v>
      </c>
      <c r="Y65" s="70">
        <f>COUNTIFS(缺陷明细!$A$2:$A$50000,$B$4,缺陷明细!$G$2:$G$50000,$C65,缺陷明细!$J$2:$J$50000,"运维测试",缺陷明细!$AA$2:$AA$50000,"&lt;&gt;丢弃",缺陷明细!$AA$2:$AA$50000,"&lt;&gt;设计如此",缺陷明细!$AA$2:$AA$50000,"&lt;&gt;重复Bug")</f>
        <v>0</v>
      </c>
      <c r="Z65" s="71">
        <f>COUNTIFS(缺陷明细!$A$2:$A$50000,$B$4,缺陷明细!$G$2:$G$50000,$C65,缺陷明细!$Q$2:$Q$50000,"已关闭",缺陷明细!$J$2:$J$50000,"运维测试")</f>
        <v>0</v>
      </c>
      <c r="AA65" s="72">
        <f>COUNTIFS(缺陷明细!$A$2:$A$50000,$B$4,缺陷明细!$G$2:$G$50000,$C65,缺陷明细!$J$2:$J$50000,"运维测试",缺陷明细!$K$2:$K$50000,"致命",缺陷明细!$AA$2:$AA$50000,"&lt;&gt;丢弃",缺陷明细!$AA$2:$AA$50000,"&lt;&gt;设计如此",缺陷明细!$AA$2:$AA$50000,"&lt;&gt;重复Bug")+COUNTIFS(缺陷明细!$A$2:$A$50000,$B$4,缺陷明细!$G$2:$G$50000,$C65,缺陷明细!$J$2:$J$50000,"运维测试",缺陷明细!$K$2:$K$50000,"严重",缺陷明细!$AA$2:$AA$50000,"&lt;&gt;丢弃",缺陷明细!$AA$2:$AA$50000,"&lt;&gt;设计如此",缺陷明细!$AA$2:$AA$50000,"&lt;&gt;重复Bug")</f>
        <v>0</v>
      </c>
      <c r="AB65" s="73">
        <f>COUNTIFS(缺陷明细!$A$2:$A$50000,$B$4,缺陷明细!$G$2:$G$50000,$C65,缺陷明细!$Q$2:$Q$50000,"已关闭",缺陷明细!$J$2:$J$50000,"运维测试",缺陷明细!$K$2:$K$50000,"致命")+COUNTIFS(缺陷明细!$A$2:$A$50000,$B$4,缺陷明细!$G$2:$G$50000,$C65,缺陷明细!$Q$2:$Q$50000,"已关闭",缺陷明细!$J$2:$J$50000,"运维测试",缺陷明细!$K$2:$K$50000,"严重")</f>
        <v>0</v>
      </c>
      <c r="AC65" s="68">
        <f t="shared" si="4"/>
        <v>0</v>
      </c>
      <c r="AD65" s="60">
        <f t="shared" si="5"/>
        <v>0</v>
      </c>
      <c r="AE65" s="60">
        <f t="shared" si="6"/>
        <v>0</v>
      </c>
      <c r="AF65" s="60">
        <f t="shared" si="7"/>
        <v>0</v>
      </c>
      <c r="AG65" s="60">
        <f t="shared" si="8"/>
        <v>0</v>
      </c>
      <c r="AH65" s="60">
        <f t="shared" si="9"/>
        <v>0</v>
      </c>
      <c r="AI65" s="60">
        <f t="shared" si="10"/>
        <v>0</v>
      </c>
      <c r="AJ65" s="61">
        <f t="shared" si="11"/>
        <v>0</v>
      </c>
      <c r="AK65" s="151"/>
    </row>
    <row r="66" spans="1:37">
      <c r="A66">
        <v>62</v>
      </c>
      <c r="B66" s="347">
        <v>529</v>
      </c>
      <c r="C66" s="58" t="s">
        <v>412</v>
      </c>
      <c r="D66" s="84" t="s">
        <v>467</v>
      </c>
      <c r="E66" s="82" t="s">
        <v>472</v>
      </c>
      <c r="F66" s="322">
        <v>8</v>
      </c>
      <c r="G66" s="323">
        <v>6</v>
      </c>
      <c r="H66" s="305">
        <f>COUNTIFS(缺陷明细!$A$2:$A$50000,$B$4,缺陷明细!$G$2:$G$50000,$C66,缺陷明细!$J$2:$J$50000,"评审",缺陷明细!$AA$2:$AA$50000,"&lt;&gt;丢弃",缺陷明细!$AA$2:$AA$50000,"&lt;&gt;设计如此",缺陷明细!$AA$2:$AA$50000,"&lt;&gt;重复Bug")</f>
        <v>0</v>
      </c>
      <c r="I66" s="161">
        <f>COUNTIFS(缺陷明细!$A$2:$A$50000,$B$4,缺陷明细!$G$2:$G$50000,$C66,缺陷明细!$Q$2:$Q$50000,"已关闭",缺陷明细!$J$2:$J$50000,"评审")</f>
        <v>0</v>
      </c>
      <c r="J66" s="161">
        <f>COUNTIFS(缺陷明细!$A$2:$A$50000,$B$4,缺陷明细!$G$2:$G$50000,$C66,缺陷明细!$J$2:$J$50000,"单元测试",缺陷明细!$AA$2:$AA$50000,"&lt;&gt;丢弃",缺陷明细!$AA$2:$AA$50000,"&lt;&gt;设计如此",缺陷明细!$AA$2:$AA$50000,"&lt;&gt;重复Bug")</f>
        <v>0</v>
      </c>
      <c r="K66" s="162">
        <f>COUNTIFS(缺陷明细!$A$2:$A$50000,$B$4,缺陷明细!$G$2:$G$50000,$C66,缺陷明细!$Q$2:$Q$50000,"已关闭",缺陷明细!$J$2:$J$50000,"单元测试")</f>
        <v>0</v>
      </c>
      <c r="L66" s="163"/>
      <c r="M66" s="164"/>
      <c r="N66" s="72">
        <f>COUNTIFS(缺陷明细!$A$2:$A$50000,$B$4,缺陷明细!$G$2:$G$50000,$C66,缺陷明细!$J$2:$J$50000,"系统测试案例评审",缺陷明细!$AA$2:$AA$50000,"&lt;&gt;丢弃",缺陷明细!$AA$2:$AA$50000,"&lt;&gt;设计如此",缺陷明细!$AA$2:$AA$50000,"&lt;&gt;重复Bug")</f>
        <v>0</v>
      </c>
      <c r="O66" s="72">
        <f>COUNTIFS(缺陷明细!$A$2:$A$50000,$B$4,缺陷明细!$G$2:$G$50000,$C66,缺陷明细!$Q$2:$Q$50000,"已关闭",缺陷明细!$J$2:$J$50000,"系统测试案例评审")</f>
        <v>0</v>
      </c>
      <c r="P66" s="72">
        <f>COUNTIFS(缺陷明细!$A$2:$A$50000,$B$4,缺陷明细!$G$2:$G$50000,$C66,缺陷明细!$J$2:$J$50000,"系统测试",缺陷明细!$AA$2:$AA$50000,"&lt;&gt;丢弃",缺陷明细!$AA$2:$AA$50000,"&lt;&gt;设计如此",缺陷明细!$AA$2:$AA$50000,"&lt;&gt;重复Bug")</f>
        <v>0</v>
      </c>
      <c r="Q66" s="72">
        <f>COUNTIFS(缺陷明细!$A$2:$A$50000,$B$4,缺陷明细!$G$2:$G$50000,$C66,缺陷明细!$Q$2:$Q$50000,"已关闭",缺陷明细!$J$2:$J$50000,"系统测试")</f>
        <v>0</v>
      </c>
      <c r="R66" s="354">
        <f>COUNTIFS(缺陷明细!$A$2:$A$50000,$B$4,缺陷明细!$G$2:$G$50000,$C66,缺陷明细!$AA$2:$AA$50000,"丢弃",缺陷明细!$J$2:$J$50000,"系统测试")+COUNTIFS(缺陷明细!$A$2:$A$50000,$B$4,缺陷明细!$G$2:$G$50000,$C66,缺陷明细!$AA$2:$AA$50000,"设计如此",缺陷明细!$J$2:$J$50000,"系统测试")+COUNTIFS(缺陷明细!$A$2:$A$50000,$B$4,缺陷明细!$G$2:$G$50000,$C66,缺陷明细!$AA$2:$AA$50000,"重复Bug",缺陷明细!$J$2:$J$50000,"系统测试")</f>
        <v>0</v>
      </c>
      <c r="S66" s="72">
        <f>COUNTIFS(缺陷明细!$A$2:$A$50000,$B$4,缺陷明细!$G$2:$G$50000,$C66,缺陷明细!$J$2:$J$50000,"系统测试",缺陷明细!$K$2:$K$50000,"致命",缺陷明细!$AA$2:$AA$50000,"&lt;&gt;丢弃",缺陷明细!$AA$2:$AA$50000,"&lt;&gt;设计如此",缺陷明细!$AA$2:$AA$50000,"&lt;&gt;重复Bug")+COUNTIFS(缺陷明细!$A$2:$A$50000,$B$4,缺陷明细!$G$2:$G$50000,$C66,缺陷明细!$J$2:$J$50000,"系统测试",缺陷明细!$K$2:$K$50000,"严重",缺陷明细!$AA$2:$AA$50000,"&lt;&gt;丢弃",缺陷明细!$AA$2:$AA$50000,"&lt;&gt;设计如此",缺陷明细!$AA$2:$AA$50000,"&lt;&gt;重复Bug")</f>
        <v>0</v>
      </c>
      <c r="T66" s="73">
        <f>COUNTIFS(缺陷明细!$A$2:$A$50000,$B$4,缺陷明细!$G$2:$G$50000,$C66,缺陷明细!$Q$2:$Q$50000,"已关闭",缺陷明细!$J$2:$J$50000,"系统测试",缺陷明细!$K$2:$K$50000,"致命")+COUNTIFS(缺陷明细!$A$2:$A$50000,$B$4,缺陷明细!$G$2:$G$50000,$C66,缺陷明细!$Q$2:$Q$50000,"已关闭",缺陷明细!$J$2:$J$50000,"系统测试",缺陷明细!$K$2:$K$50000,"严重")</f>
        <v>0</v>
      </c>
      <c r="U66" s="74">
        <f>COUNTIFS(缺陷明细!$A$2:$A$50000,$B$4,缺陷明细!$G$2:$G$50000,$C66,缺陷明细!$J$2:$J$50000,"验收测试",缺陷明细!$AA$2:$AA$50000,"&lt;&gt;丢弃",缺陷明细!$AA$2:$AA$50000,"&lt;&gt;设计如此",缺陷明细!$AA$2:$AA$50000,"&lt;&gt;重复Bug")</f>
        <v>0</v>
      </c>
      <c r="V66" s="75">
        <f>COUNTIFS(缺陷明细!$A$2:$A$50000,$B$4,缺陷明细!$G$2:$G$50000,$C66,缺陷明细!$Q$2:$Q$50000,"已关闭",缺陷明细!$J$2:$J$50000,"验收测试")</f>
        <v>0</v>
      </c>
      <c r="W66" s="75">
        <f>COUNTIFS(缺陷明细!$A$2:$A$50000,$B$4,缺陷明细!$G$2:$G$50000,$C66,缺陷明细!$J$2:$J$50000,"验收测试",缺陷明细!$K$2:$K$50000,"致命",缺陷明细!$AA$2:$AA$50000,"&lt;&gt;丢弃",缺陷明细!$AA$2:$AA$50000,"&lt;&gt;设计如此",缺陷明细!$AA$2:$AA$50000,"&lt;&gt;重复Bug")+COUNTIFS(缺陷明细!$A$2:$A$50000,$B$4,缺陷明细!$G$2:$G$50000,$C66,缺陷明细!$J$2:$J$50000,"验收测试",缺陷明细!$K$2:$K$50000,"严重",缺陷明细!$AA$2:$AA$50000,"&lt;&gt;丢弃",缺陷明细!$AA$2:$AA$50000,"&lt;&gt;设计如此",缺陷明细!$AA$2:$AA$50000,"&lt;&gt;重复Bug")</f>
        <v>0</v>
      </c>
      <c r="X66" s="76">
        <f>COUNTIFS(缺陷明细!$A$2:$A$50000,$B$4,缺陷明细!$G$2:$G$50000,$C66,缺陷明细!$Q$2:$Q$50000,"已关闭",缺陷明细!$J$2:$J$50000,"验收测试",缺陷明细!$K$2:$K$50000,"致命")+COUNTIFS(缺陷明细!$A$2:$A$50000,$B$4,缺陷明细!$G$2:$G$50000,$C66,缺陷明细!$Q$2:$Q$50000,"已关闭",缺陷明细!$J$2:$J$50000,"验收测试",缺陷明细!$K$2:$K$50000,"严重")</f>
        <v>0</v>
      </c>
      <c r="Y66" s="70">
        <f>COUNTIFS(缺陷明细!$A$2:$A$50000,$B$4,缺陷明细!$G$2:$G$50000,$C66,缺陷明细!$J$2:$J$50000,"运维测试",缺陷明细!$AA$2:$AA$50000,"&lt;&gt;丢弃",缺陷明细!$AA$2:$AA$50000,"&lt;&gt;设计如此",缺陷明细!$AA$2:$AA$50000,"&lt;&gt;重复Bug")</f>
        <v>0</v>
      </c>
      <c r="Z66" s="71">
        <f>COUNTIFS(缺陷明细!$A$2:$A$50000,$B$4,缺陷明细!$G$2:$G$50000,$C66,缺陷明细!$Q$2:$Q$50000,"已关闭",缺陷明细!$J$2:$J$50000,"运维测试")</f>
        <v>0</v>
      </c>
      <c r="AA66" s="72">
        <f>COUNTIFS(缺陷明细!$A$2:$A$50000,$B$4,缺陷明细!$G$2:$G$50000,$C66,缺陷明细!$J$2:$J$50000,"运维测试",缺陷明细!$K$2:$K$50000,"致命",缺陷明细!$AA$2:$AA$50000,"&lt;&gt;丢弃",缺陷明细!$AA$2:$AA$50000,"&lt;&gt;设计如此",缺陷明细!$AA$2:$AA$50000,"&lt;&gt;重复Bug")+COUNTIFS(缺陷明细!$A$2:$A$50000,$B$4,缺陷明细!$G$2:$G$50000,$C66,缺陷明细!$J$2:$J$50000,"运维测试",缺陷明细!$K$2:$K$50000,"严重",缺陷明细!$AA$2:$AA$50000,"&lt;&gt;丢弃",缺陷明细!$AA$2:$AA$50000,"&lt;&gt;设计如此",缺陷明细!$AA$2:$AA$50000,"&lt;&gt;重复Bug")</f>
        <v>0</v>
      </c>
      <c r="AB66" s="73">
        <f>COUNTIFS(缺陷明细!$A$2:$A$50000,$B$4,缺陷明细!$G$2:$G$50000,$C66,缺陷明细!$Q$2:$Q$50000,"已关闭",缺陷明细!$J$2:$J$50000,"运维测试",缺陷明细!$K$2:$K$50000,"致命")+COUNTIFS(缺陷明细!$A$2:$A$50000,$B$4,缺陷明细!$G$2:$G$50000,$C66,缺陷明细!$Q$2:$Q$50000,"已关闭",缺陷明细!$J$2:$J$50000,"运维测试",缺陷明细!$K$2:$K$50000,"严重")</f>
        <v>0</v>
      </c>
      <c r="AC66" s="68">
        <f t="shared" si="4"/>
        <v>0</v>
      </c>
      <c r="AD66" s="60">
        <f t="shared" si="5"/>
        <v>0</v>
      </c>
      <c r="AE66" s="60">
        <f t="shared" si="6"/>
        <v>0</v>
      </c>
      <c r="AF66" s="60">
        <f t="shared" si="7"/>
        <v>0</v>
      </c>
      <c r="AG66" s="60">
        <f t="shared" si="8"/>
        <v>0</v>
      </c>
      <c r="AH66" s="60">
        <f t="shared" si="9"/>
        <v>0</v>
      </c>
      <c r="AI66" s="60">
        <f t="shared" si="10"/>
        <v>0</v>
      </c>
      <c r="AJ66" s="61">
        <f t="shared" si="11"/>
        <v>0</v>
      </c>
      <c r="AK66" s="151"/>
    </row>
    <row r="67" spans="1:37" ht="26.4">
      <c r="A67">
        <v>63</v>
      </c>
      <c r="B67" s="347">
        <v>530</v>
      </c>
      <c r="C67" s="58" t="s">
        <v>413</v>
      </c>
      <c r="D67" s="84" t="s">
        <v>467</v>
      </c>
      <c r="E67" s="82" t="s">
        <v>471</v>
      </c>
      <c r="F67" s="322">
        <v>8</v>
      </c>
      <c r="G67" s="323">
        <v>0</v>
      </c>
      <c r="H67" s="305">
        <f>COUNTIFS(缺陷明细!$A$2:$A$50000,$B$4,缺陷明细!$G$2:$G$50000,$C67,缺陷明细!$J$2:$J$50000,"评审",缺陷明细!$AA$2:$AA$50000,"&lt;&gt;丢弃",缺陷明细!$AA$2:$AA$50000,"&lt;&gt;设计如此",缺陷明细!$AA$2:$AA$50000,"&lt;&gt;重复Bug")</f>
        <v>0</v>
      </c>
      <c r="I67" s="161">
        <f>COUNTIFS(缺陷明细!$A$2:$A$50000,$B$4,缺陷明细!$G$2:$G$50000,$C67,缺陷明细!$Q$2:$Q$50000,"已关闭",缺陷明细!$J$2:$J$50000,"评审")</f>
        <v>0</v>
      </c>
      <c r="J67" s="161">
        <f>COUNTIFS(缺陷明细!$A$2:$A$50000,$B$4,缺陷明细!$G$2:$G$50000,$C67,缺陷明细!$J$2:$J$50000,"单元测试",缺陷明细!$AA$2:$AA$50000,"&lt;&gt;丢弃",缺陷明细!$AA$2:$AA$50000,"&lt;&gt;设计如此",缺陷明细!$AA$2:$AA$50000,"&lt;&gt;重复Bug")</f>
        <v>0</v>
      </c>
      <c r="K67" s="162">
        <f>COUNTIFS(缺陷明细!$A$2:$A$50000,$B$4,缺陷明细!$G$2:$G$50000,$C67,缺陷明细!$Q$2:$Q$50000,"已关闭",缺陷明细!$J$2:$J$50000,"单元测试")</f>
        <v>0</v>
      </c>
      <c r="L67" s="163"/>
      <c r="M67" s="164"/>
      <c r="N67" s="72">
        <f>COUNTIFS(缺陷明细!$A$2:$A$50000,$B$4,缺陷明细!$G$2:$G$50000,$C67,缺陷明细!$J$2:$J$50000,"系统测试案例评审",缺陷明细!$AA$2:$AA$50000,"&lt;&gt;丢弃",缺陷明细!$AA$2:$AA$50000,"&lt;&gt;设计如此",缺陷明细!$AA$2:$AA$50000,"&lt;&gt;重复Bug")</f>
        <v>0</v>
      </c>
      <c r="O67" s="72">
        <f>COUNTIFS(缺陷明细!$A$2:$A$50000,$B$4,缺陷明细!$G$2:$G$50000,$C67,缺陷明细!$Q$2:$Q$50000,"已关闭",缺陷明细!$J$2:$J$50000,"系统测试案例评审")</f>
        <v>0</v>
      </c>
      <c r="P67" s="72">
        <f>COUNTIFS(缺陷明细!$A$2:$A$50000,$B$4,缺陷明细!$G$2:$G$50000,$C67,缺陷明细!$J$2:$J$50000,"系统测试",缺陷明细!$AA$2:$AA$50000,"&lt;&gt;丢弃",缺陷明细!$AA$2:$AA$50000,"&lt;&gt;设计如此",缺陷明细!$AA$2:$AA$50000,"&lt;&gt;重复Bug")</f>
        <v>0</v>
      </c>
      <c r="Q67" s="72">
        <f>COUNTIFS(缺陷明细!$A$2:$A$50000,$B$4,缺陷明细!$G$2:$G$50000,$C67,缺陷明细!$Q$2:$Q$50000,"已关闭",缺陷明细!$J$2:$J$50000,"系统测试")</f>
        <v>0</v>
      </c>
      <c r="R67" s="354">
        <f>COUNTIFS(缺陷明细!$A$2:$A$50000,$B$4,缺陷明细!$G$2:$G$50000,$C67,缺陷明细!$AA$2:$AA$50000,"丢弃",缺陷明细!$J$2:$J$50000,"系统测试")+COUNTIFS(缺陷明细!$A$2:$A$50000,$B$4,缺陷明细!$G$2:$G$50000,$C67,缺陷明细!$AA$2:$AA$50000,"设计如此",缺陷明细!$J$2:$J$50000,"系统测试")+COUNTIFS(缺陷明细!$A$2:$A$50000,$B$4,缺陷明细!$G$2:$G$50000,$C67,缺陷明细!$AA$2:$AA$50000,"重复Bug",缺陷明细!$J$2:$J$50000,"系统测试")</f>
        <v>0</v>
      </c>
      <c r="S67" s="72">
        <f>COUNTIFS(缺陷明细!$A$2:$A$50000,$B$4,缺陷明细!$G$2:$G$50000,$C67,缺陷明细!$J$2:$J$50000,"系统测试",缺陷明细!$K$2:$K$50000,"致命",缺陷明细!$AA$2:$AA$50000,"&lt;&gt;丢弃",缺陷明细!$AA$2:$AA$50000,"&lt;&gt;设计如此",缺陷明细!$AA$2:$AA$50000,"&lt;&gt;重复Bug")+COUNTIFS(缺陷明细!$A$2:$A$50000,$B$4,缺陷明细!$G$2:$G$50000,$C67,缺陷明细!$J$2:$J$50000,"系统测试",缺陷明细!$K$2:$K$50000,"严重",缺陷明细!$AA$2:$AA$50000,"&lt;&gt;丢弃",缺陷明细!$AA$2:$AA$50000,"&lt;&gt;设计如此",缺陷明细!$AA$2:$AA$50000,"&lt;&gt;重复Bug")</f>
        <v>0</v>
      </c>
      <c r="T67" s="73">
        <f>COUNTIFS(缺陷明细!$A$2:$A$50000,$B$4,缺陷明细!$G$2:$G$50000,$C67,缺陷明细!$Q$2:$Q$50000,"已关闭",缺陷明细!$J$2:$J$50000,"系统测试",缺陷明细!$K$2:$K$50000,"致命")+COUNTIFS(缺陷明细!$A$2:$A$50000,$B$4,缺陷明细!$G$2:$G$50000,$C67,缺陷明细!$Q$2:$Q$50000,"已关闭",缺陷明细!$J$2:$J$50000,"系统测试",缺陷明细!$K$2:$K$50000,"严重")</f>
        <v>0</v>
      </c>
      <c r="U67" s="74">
        <f>COUNTIFS(缺陷明细!$A$2:$A$50000,$B$4,缺陷明细!$G$2:$G$50000,$C67,缺陷明细!$J$2:$J$50000,"验收测试",缺陷明细!$AA$2:$AA$50000,"&lt;&gt;丢弃",缺陷明细!$AA$2:$AA$50000,"&lt;&gt;设计如此",缺陷明细!$AA$2:$AA$50000,"&lt;&gt;重复Bug")</f>
        <v>0</v>
      </c>
      <c r="V67" s="75">
        <f>COUNTIFS(缺陷明细!$A$2:$A$50000,$B$4,缺陷明细!$G$2:$G$50000,$C67,缺陷明细!$Q$2:$Q$50000,"已关闭",缺陷明细!$J$2:$J$50000,"验收测试")</f>
        <v>0</v>
      </c>
      <c r="W67" s="75">
        <f>COUNTIFS(缺陷明细!$A$2:$A$50000,$B$4,缺陷明细!$G$2:$G$50000,$C67,缺陷明细!$J$2:$J$50000,"验收测试",缺陷明细!$K$2:$K$50000,"致命",缺陷明细!$AA$2:$AA$50000,"&lt;&gt;丢弃",缺陷明细!$AA$2:$AA$50000,"&lt;&gt;设计如此",缺陷明细!$AA$2:$AA$50000,"&lt;&gt;重复Bug")+COUNTIFS(缺陷明细!$A$2:$A$50000,$B$4,缺陷明细!$G$2:$G$50000,$C67,缺陷明细!$J$2:$J$50000,"验收测试",缺陷明细!$K$2:$K$50000,"严重",缺陷明细!$AA$2:$AA$50000,"&lt;&gt;丢弃",缺陷明细!$AA$2:$AA$50000,"&lt;&gt;设计如此",缺陷明细!$AA$2:$AA$50000,"&lt;&gt;重复Bug")</f>
        <v>0</v>
      </c>
      <c r="X67" s="76">
        <f>COUNTIFS(缺陷明细!$A$2:$A$50000,$B$4,缺陷明细!$G$2:$G$50000,$C67,缺陷明细!$Q$2:$Q$50000,"已关闭",缺陷明细!$J$2:$J$50000,"验收测试",缺陷明细!$K$2:$K$50000,"致命")+COUNTIFS(缺陷明细!$A$2:$A$50000,$B$4,缺陷明细!$G$2:$G$50000,$C67,缺陷明细!$Q$2:$Q$50000,"已关闭",缺陷明细!$J$2:$J$50000,"验收测试",缺陷明细!$K$2:$K$50000,"严重")</f>
        <v>0</v>
      </c>
      <c r="Y67" s="70">
        <f>COUNTIFS(缺陷明细!$A$2:$A$50000,$B$4,缺陷明细!$G$2:$G$50000,$C67,缺陷明细!$J$2:$J$50000,"运维测试",缺陷明细!$AA$2:$AA$50000,"&lt;&gt;丢弃",缺陷明细!$AA$2:$AA$50000,"&lt;&gt;设计如此",缺陷明细!$AA$2:$AA$50000,"&lt;&gt;重复Bug")</f>
        <v>0</v>
      </c>
      <c r="Z67" s="71">
        <f>COUNTIFS(缺陷明细!$A$2:$A$50000,$B$4,缺陷明细!$G$2:$G$50000,$C67,缺陷明细!$Q$2:$Q$50000,"已关闭",缺陷明细!$J$2:$J$50000,"运维测试")</f>
        <v>0</v>
      </c>
      <c r="AA67" s="72">
        <f>COUNTIFS(缺陷明细!$A$2:$A$50000,$B$4,缺陷明细!$G$2:$G$50000,$C67,缺陷明细!$J$2:$J$50000,"运维测试",缺陷明细!$K$2:$K$50000,"致命",缺陷明细!$AA$2:$AA$50000,"&lt;&gt;丢弃",缺陷明细!$AA$2:$AA$50000,"&lt;&gt;设计如此",缺陷明细!$AA$2:$AA$50000,"&lt;&gt;重复Bug")+COUNTIFS(缺陷明细!$A$2:$A$50000,$B$4,缺陷明细!$G$2:$G$50000,$C67,缺陷明细!$J$2:$J$50000,"运维测试",缺陷明细!$K$2:$K$50000,"严重",缺陷明细!$AA$2:$AA$50000,"&lt;&gt;丢弃",缺陷明细!$AA$2:$AA$50000,"&lt;&gt;设计如此",缺陷明细!$AA$2:$AA$50000,"&lt;&gt;重复Bug")</f>
        <v>0</v>
      </c>
      <c r="AB67" s="73">
        <f>COUNTIFS(缺陷明细!$A$2:$A$50000,$B$4,缺陷明细!$G$2:$G$50000,$C67,缺陷明细!$Q$2:$Q$50000,"已关闭",缺陷明细!$J$2:$J$50000,"运维测试",缺陷明细!$K$2:$K$50000,"致命")+COUNTIFS(缺陷明细!$A$2:$A$50000,$B$4,缺陷明细!$G$2:$G$50000,$C67,缺陷明细!$Q$2:$Q$50000,"已关闭",缺陷明细!$J$2:$J$50000,"运维测试",缺陷明细!$K$2:$K$50000,"严重")</f>
        <v>0</v>
      </c>
      <c r="AC67" s="68">
        <f t="shared" si="4"/>
        <v>0</v>
      </c>
      <c r="AD67" s="60">
        <f t="shared" si="5"/>
        <v>0</v>
      </c>
      <c r="AE67" s="60">
        <f t="shared" si="6"/>
        <v>0</v>
      </c>
      <c r="AF67" s="60">
        <f t="shared" si="7"/>
        <v>0</v>
      </c>
      <c r="AG67" s="60">
        <f t="shared" si="8"/>
        <v>0</v>
      </c>
      <c r="AH67" s="60">
        <f t="shared" si="9"/>
        <v>0</v>
      </c>
      <c r="AI67" s="60">
        <f t="shared" si="10"/>
        <v>0</v>
      </c>
      <c r="AJ67" s="61">
        <f t="shared" si="11"/>
        <v>0</v>
      </c>
      <c r="AK67" s="151"/>
    </row>
    <row r="68" spans="1:37">
      <c r="A68">
        <v>64</v>
      </c>
      <c r="B68" s="347">
        <v>531</v>
      </c>
      <c r="C68" s="58" t="s">
        <v>414</v>
      </c>
      <c r="D68" s="84" t="s">
        <v>467</v>
      </c>
      <c r="E68" s="82" t="s">
        <v>472</v>
      </c>
      <c r="F68" s="322">
        <v>8</v>
      </c>
      <c r="G68" s="323">
        <v>4</v>
      </c>
      <c r="H68" s="305">
        <f>COUNTIFS(缺陷明细!$A$2:$A$50000,$B$4,缺陷明细!$G$2:$G$50000,$C68,缺陷明细!$J$2:$J$50000,"评审",缺陷明细!$AA$2:$AA$50000,"&lt;&gt;丢弃",缺陷明细!$AA$2:$AA$50000,"&lt;&gt;设计如此",缺陷明细!$AA$2:$AA$50000,"&lt;&gt;重复Bug")</f>
        <v>0</v>
      </c>
      <c r="I68" s="161">
        <f>COUNTIFS(缺陷明细!$A$2:$A$50000,$B$4,缺陷明细!$G$2:$G$50000,$C68,缺陷明细!$Q$2:$Q$50000,"已关闭",缺陷明细!$J$2:$J$50000,"评审")</f>
        <v>0</v>
      </c>
      <c r="J68" s="161">
        <f>COUNTIFS(缺陷明细!$A$2:$A$50000,$B$4,缺陷明细!$G$2:$G$50000,$C68,缺陷明细!$J$2:$J$50000,"单元测试",缺陷明细!$AA$2:$AA$50000,"&lt;&gt;丢弃",缺陷明细!$AA$2:$AA$50000,"&lt;&gt;设计如此",缺陷明细!$AA$2:$AA$50000,"&lt;&gt;重复Bug")</f>
        <v>0</v>
      </c>
      <c r="K68" s="162">
        <f>COUNTIFS(缺陷明细!$A$2:$A$50000,$B$4,缺陷明细!$G$2:$G$50000,$C68,缺陷明细!$Q$2:$Q$50000,"已关闭",缺陷明细!$J$2:$J$50000,"单元测试")</f>
        <v>0</v>
      </c>
      <c r="L68" s="163"/>
      <c r="M68" s="164"/>
      <c r="N68" s="72">
        <f>COUNTIFS(缺陷明细!$A$2:$A$50000,$B$4,缺陷明细!$G$2:$G$50000,$C68,缺陷明细!$J$2:$J$50000,"系统测试案例评审",缺陷明细!$AA$2:$AA$50000,"&lt;&gt;丢弃",缺陷明细!$AA$2:$AA$50000,"&lt;&gt;设计如此",缺陷明细!$AA$2:$AA$50000,"&lt;&gt;重复Bug")</f>
        <v>0</v>
      </c>
      <c r="O68" s="72">
        <f>COUNTIFS(缺陷明细!$A$2:$A$50000,$B$4,缺陷明细!$G$2:$G$50000,$C68,缺陷明细!$Q$2:$Q$50000,"已关闭",缺陷明细!$J$2:$J$50000,"系统测试案例评审")</f>
        <v>0</v>
      </c>
      <c r="P68" s="72">
        <f>COUNTIFS(缺陷明细!$A$2:$A$50000,$B$4,缺陷明细!$G$2:$G$50000,$C68,缺陷明细!$J$2:$J$50000,"系统测试",缺陷明细!$AA$2:$AA$50000,"&lt;&gt;丢弃",缺陷明细!$AA$2:$AA$50000,"&lt;&gt;设计如此",缺陷明细!$AA$2:$AA$50000,"&lt;&gt;重复Bug")</f>
        <v>0</v>
      </c>
      <c r="Q68" s="72">
        <f>COUNTIFS(缺陷明细!$A$2:$A$50000,$B$4,缺陷明细!$G$2:$G$50000,$C68,缺陷明细!$Q$2:$Q$50000,"已关闭",缺陷明细!$J$2:$J$50000,"系统测试")</f>
        <v>0</v>
      </c>
      <c r="R68" s="354">
        <f>COUNTIFS(缺陷明细!$A$2:$A$50000,$B$4,缺陷明细!$G$2:$G$50000,$C68,缺陷明细!$AA$2:$AA$50000,"丢弃",缺陷明细!$J$2:$J$50000,"系统测试")+COUNTIFS(缺陷明细!$A$2:$A$50000,$B$4,缺陷明细!$G$2:$G$50000,$C68,缺陷明细!$AA$2:$AA$50000,"设计如此",缺陷明细!$J$2:$J$50000,"系统测试")+COUNTIFS(缺陷明细!$A$2:$A$50000,$B$4,缺陷明细!$G$2:$G$50000,$C68,缺陷明细!$AA$2:$AA$50000,"重复Bug",缺陷明细!$J$2:$J$50000,"系统测试")</f>
        <v>0</v>
      </c>
      <c r="S68" s="72">
        <f>COUNTIFS(缺陷明细!$A$2:$A$50000,$B$4,缺陷明细!$G$2:$G$50000,$C68,缺陷明细!$J$2:$J$50000,"系统测试",缺陷明细!$K$2:$K$50000,"致命",缺陷明细!$AA$2:$AA$50000,"&lt;&gt;丢弃",缺陷明细!$AA$2:$AA$50000,"&lt;&gt;设计如此",缺陷明细!$AA$2:$AA$50000,"&lt;&gt;重复Bug")+COUNTIFS(缺陷明细!$A$2:$A$50000,$B$4,缺陷明细!$G$2:$G$50000,$C68,缺陷明细!$J$2:$J$50000,"系统测试",缺陷明细!$K$2:$K$50000,"严重",缺陷明细!$AA$2:$AA$50000,"&lt;&gt;丢弃",缺陷明细!$AA$2:$AA$50000,"&lt;&gt;设计如此",缺陷明细!$AA$2:$AA$50000,"&lt;&gt;重复Bug")</f>
        <v>0</v>
      </c>
      <c r="T68" s="73">
        <f>COUNTIFS(缺陷明细!$A$2:$A$50000,$B$4,缺陷明细!$G$2:$G$50000,$C68,缺陷明细!$Q$2:$Q$50000,"已关闭",缺陷明细!$J$2:$J$50000,"系统测试",缺陷明细!$K$2:$K$50000,"致命")+COUNTIFS(缺陷明细!$A$2:$A$50000,$B$4,缺陷明细!$G$2:$G$50000,$C68,缺陷明细!$Q$2:$Q$50000,"已关闭",缺陷明细!$J$2:$J$50000,"系统测试",缺陷明细!$K$2:$K$50000,"严重")</f>
        <v>0</v>
      </c>
      <c r="U68" s="74">
        <f>COUNTIFS(缺陷明细!$A$2:$A$50000,$B$4,缺陷明细!$G$2:$G$50000,$C68,缺陷明细!$J$2:$J$50000,"验收测试",缺陷明细!$AA$2:$AA$50000,"&lt;&gt;丢弃",缺陷明细!$AA$2:$AA$50000,"&lt;&gt;设计如此",缺陷明细!$AA$2:$AA$50000,"&lt;&gt;重复Bug")</f>
        <v>0</v>
      </c>
      <c r="V68" s="75">
        <f>COUNTIFS(缺陷明细!$A$2:$A$50000,$B$4,缺陷明细!$G$2:$G$50000,$C68,缺陷明细!$Q$2:$Q$50000,"已关闭",缺陷明细!$J$2:$J$50000,"验收测试")</f>
        <v>0</v>
      </c>
      <c r="W68" s="75">
        <f>COUNTIFS(缺陷明细!$A$2:$A$50000,$B$4,缺陷明细!$G$2:$G$50000,$C68,缺陷明细!$J$2:$J$50000,"验收测试",缺陷明细!$K$2:$K$50000,"致命",缺陷明细!$AA$2:$AA$50000,"&lt;&gt;丢弃",缺陷明细!$AA$2:$AA$50000,"&lt;&gt;设计如此",缺陷明细!$AA$2:$AA$50000,"&lt;&gt;重复Bug")+COUNTIFS(缺陷明细!$A$2:$A$50000,$B$4,缺陷明细!$G$2:$G$50000,$C68,缺陷明细!$J$2:$J$50000,"验收测试",缺陷明细!$K$2:$K$50000,"严重",缺陷明细!$AA$2:$AA$50000,"&lt;&gt;丢弃",缺陷明细!$AA$2:$AA$50000,"&lt;&gt;设计如此",缺陷明细!$AA$2:$AA$50000,"&lt;&gt;重复Bug")</f>
        <v>0</v>
      </c>
      <c r="X68" s="76">
        <f>COUNTIFS(缺陷明细!$A$2:$A$50000,$B$4,缺陷明细!$G$2:$G$50000,$C68,缺陷明细!$Q$2:$Q$50000,"已关闭",缺陷明细!$J$2:$J$50000,"验收测试",缺陷明细!$K$2:$K$50000,"致命")+COUNTIFS(缺陷明细!$A$2:$A$50000,$B$4,缺陷明细!$G$2:$G$50000,$C68,缺陷明细!$Q$2:$Q$50000,"已关闭",缺陷明细!$J$2:$J$50000,"验收测试",缺陷明细!$K$2:$K$50000,"严重")</f>
        <v>0</v>
      </c>
      <c r="Y68" s="70">
        <f>COUNTIFS(缺陷明细!$A$2:$A$50000,$B$4,缺陷明细!$G$2:$G$50000,$C68,缺陷明细!$J$2:$J$50000,"运维测试",缺陷明细!$AA$2:$AA$50000,"&lt;&gt;丢弃",缺陷明细!$AA$2:$AA$50000,"&lt;&gt;设计如此",缺陷明细!$AA$2:$AA$50000,"&lt;&gt;重复Bug")</f>
        <v>0</v>
      </c>
      <c r="Z68" s="71">
        <f>COUNTIFS(缺陷明细!$A$2:$A$50000,$B$4,缺陷明细!$G$2:$G$50000,$C68,缺陷明细!$Q$2:$Q$50000,"已关闭",缺陷明细!$J$2:$J$50000,"运维测试")</f>
        <v>0</v>
      </c>
      <c r="AA68" s="72">
        <f>COUNTIFS(缺陷明细!$A$2:$A$50000,$B$4,缺陷明细!$G$2:$G$50000,$C68,缺陷明细!$J$2:$J$50000,"运维测试",缺陷明细!$K$2:$K$50000,"致命",缺陷明细!$AA$2:$AA$50000,"&lt;&gt;丢弃",缺陷明细!$AA$2:$AA$50000,"&lt;&gt;设计如此",缺陷明细!$AA$2:$AA$50000,"&lt;&gt;重复Bug")+COUNTIFS(缺陷明细!$A$2:$A$50000,$B$4,缺陷明细!$G$2:$G$50000,$C68,缺陷明细!$J$2:$J$50000,"运维测试",缺陷明细!$K$2:$K$50000,"严重",缺陷明细!$AA$2:$AA$50000,"&lt;&gt;丢弃",缺陷明细!$AA$2:$AA$50000,"&lt;&gt;设计如此",缺陷明细!$AA$2:$AA$50000,"&lt;&gt;重复Bug")</f>
        <v>0</v>
      </c>
      <c r="AB68" s="73">
        <f>COUNTIFS(缺陷明细!$A$2:$A$50000,$B$4,缺陷明细!$G$2:$G$50000,$C68,缺陷明细!$Q$2:$Q$50000,"已关闭",缺陷明细!$J$2:$J$50000,"运维测试",缺陷明细!$K$2:$K$50000,"致命")+COUNTIFS(缺陷明细!$A$2:$A$50000,$B$4,缺陷明细!$G$2:$G$50000,$C68,缺陷明细!$Q$2:$Q$50000,"已关闭",缺陷明细!$J$2:$J$50000,"运维测试",缺陷明细!$K$2:$K$50000,"严重")</f>
        <v>0</v>
      </c>
      <c r="AC68" s="68">
        <f t="shared" si="4"/>
        <v>0</v>
      </c>
      <c r="AD68" s="60">
        <f t="shared" si="5"/>
        <v>0</v>
      </c>
      <c r="AE68" s="60">
        <f t="shared" si="6"/>
        <v>0</v>
      </c>
      <c r="AF68" s="60">
        <f t="shared" si="7"/>
        <v>0</v>
      </c>
      <c r="AG68" s="60">
        <f t="shared" si="8"/>
        <v>0</v>
      </c>
      <c r="AH68" s="60">
        <f t="shared" si="9"/>
        <v>0</v>
      </c>
      <c r="AI68" s="60">
        <f t="shared" si="10"/>
        <v>0</v>
      </c>
      <c r="AJ68" s="61">
        <f t="shared" si="11"/>
        <v>0</v>
      </c>
      <c r="AK68" s="151"/>
    </row>
    <row r="69" spans="1:37">
      <c r="A69">
        <v>65</v>
      </c>
      <c r="B69" s="347">
        <v>532</v>
      </c>
      <c r="C69" s="58" t="s">
        <v>415</v>
      </c>
      <c r="D69" s="84" t="s">
        <v>467</v>
      </c>
      <c r="E69" s="82" t="s">
        <v>471</v>
      </c>
      <c r="F69" s="322">
        <v>16</v>
      </c>
      <c r="G69" s="323">
        <v>0</v>
      </c>
      <c r="H69" s="305">
        <f>COUNTIFS(缺陷明细!$A$2:$A$50000,$B$4,缺陷明细!$G$2:$G$50000,$C69,缺陷明细!$J$2:$J$50000,"评审",缺陷明细!$AA$2:$AA$50000,"&lt;&gt;丢弃",缺陷明细!$AA$2:$AA$50000,"&lt;&gt;设计如此",缺陷明细!$AA$2:$AA$50000,"&lt;&gt;重复Bug")</f>
        <v>0</v>
      </c>
      <c r="I69" s="161">
        <f>COUNTIFS(缺陷明细!$A$2:$A$50000,$B$4,缺陷明细!$G$2:$G$50000,$C69,缺陷明细!$Q$2:$Q$50000,"已关闭",缺陷明细!$J$2:$J$50000,"评审")</f>
        <v>0</v>
      </c>
      <c r="J69" s="161">
        <f>COUNTIFS(缺陷明细!$A$2:$A$50000,$B$4,缺陷明细!$G$2:$G$50000,$C69,缺陷明细!$J$2:$J$50000,"单元测试",缺陷明细!$AA$2:$AA$50000,"&lt;&gt;丢弃",缺陷明细!$AA$2:$AA$50000,"&lt;&gt;设计如此",缺陷明细!$AA$2:$AA$50000,"&lt;&gt;重复Bug")</f>
        <v>0</v>
      </c>
      <c r="K69" s="162">
        <f>COUNTIFS(缺陷明细!$A$2:$A$50000,$B$4,缺陷明细!$G$2:$G$50000,$C69,缺陷明细!$Q$2:$Q$50000,"已关闭",缺陷明细!$J$2:$J$50000,"单元测试")</f>
        <v>0</v>
      </c>
      <c r="L69" s="163"/>
      <c r="M69" s="164"/>
      <c r="N69" s="72">
        <f>COUNTIFS(缺陷明细!$A$2:$A$50000,$B$4,缺陷明细!$G$2:$G$50000,$C69,缺陷明细!$J$2:$J$50000,"系统测试案例评审",缺陷明细!$AA$2:$AA$50000,"&lt;&gt;丢弃",缺陷明细!$AA$2:$AA$50000,"&lt;&gt;设计如此",缺陷明细!$AA$2:$AA$50000,"&lt;&gt;重复Bug")</f>
        <v>0</v>
      </c>
      <c r="O69" s="72">
        <f>COUNTIFS(缺陷明细!$A$2:$A$50000,$B$4,缺陷明细!$G$2:$G$50000,$C69,缺陷明细!$Q$2:$Q$50000,"已关闭",缺陷明细!$J$2:$J$50000,"系统测试案例评审")</f>
        <v>0</v>
      </c>
      <c r="P69" s="72">
        <f>COUNTIFS(缺陷明细!$A$2:$A$50000,$B$4,缺陷明细!$G$2:$G$50000,$C69,缺陷明细!$J$2:$J$50000,"系统测试",缺陷明细!$AA$2:$AA$50000,"&lt;&gt;丢弃",缺陷明细!$AA$2:$AA$50000,"&lt;&gt;设计如此",缺陷明细!$AA$2:$AA$50000,"&lt;&gt;重复Bug")</f>
        <v>0</v>
      </c>
      <c r="Q69" s="72">
        <f>COUNTIFS(缺陷明细!$A$2:$A$50000,$B$4,缺陷明细!$G$2:$G$50000,$C69,缺陷明细!$Q$2:$Q$50000,"已关闭",缺陷明细!$J$2:$J$50000,"系统测试")</f>
        <v>0</v>
      </c>
      <c r="R69" s="354">
        <f>COUNTIFS(缺陷明细!$A$2:$A$50000,$B$4,缺陷明细!$G$2:$G$50000,$C69,缺陷明细!$AA$2:$AA$50000,"丢弃",缺陷明细!$J$2:$J$50000,"系统测试")+COUNTIFS(缺陷明细!$A$2:$A$50000,$B$4,缺陷明细!$G$2:$G$50000,$C69,缺陷明细!$AA$2:$AA$50000,"设计如此",缺陷明细!$J$2:$J$50000,"系统测试")+COUNTIFS(缺陷明细!$A$2:$A$50000,$B$4,缺陷明细!$G$2:$G$50000,$C69,缺陷明细!$AA$2:$AA$50000,"重复Bug",缺陷明细!$J$2:$J$50000,"系统测试")</f>
        <v>0</v>
      </c>
      <c r="S69" s="72">
        <f>COUNTIFS(缺陷明细!$A$2:$A$50000,$B$4,缺陷明细!$G$2:$G$50000,$C69,缺陷明细!$J$2:$J$50000,"系统测试",缺陷明细!$K$2:$K$50000,"致命",缺陷明细!$AA$2:$AA$50000,"&lt;&gt;丢弃",缺陷明细!$AA$2:$AA$50000,"&lt;&gt;设计如此",缺陷明细!$AA$2:$AA$50000,"&lt;&gt;重复Bug")+COUNTIFS(缺陷明细!$A$2:$A$50000,$B$4,缺陷明细!$G$2:$G$50000,$C69,缺陷明细!$J$2:$J$50000,"系统测试",缺陷明细!$K$2:$K$50000,"严重",缺陷明细!$AA$2:$AA$50000,"&lt;&gt;丢弃",缺陷明细!$AA$2:$AA$50000,"&lt;&gt;设计如此",缺陷明细!$AA$2:$AA$50000,"&lt;&gt;重复Bug")</f>
        <v>0</v>
      </c>
      <c r="T69" s="73">
        <f>COUNTIFS(缺陷明细!$A$2:$A$50000,$B$4,缺陷明细!$G$2:$G$50000,$C69,缺陷明细!$Q$2:$Q$50000,"已关闭",缺陷明细!$J$2:$J$50000,"系统测试",缺陷明细!$K$2:$K$50000,"致命")+COUNTIFS(缺陷明细!$A$2:$A$50000,$B$4,缺陷明细!$G$2:$G$50000,$C69,缺陷明细!$Q$2:$Q$50000,"已关闭",缺陷明细!$J$2:$J$50000,"系统测试",缺陷明细!$K$2:$K$50000,"严重")</f>
        <v>0</v>
      </c>
      <c r="U69" s="74">
        <f>COUNTIFS(缺陷明细!$A$2:$A$50000,$B$4,缺陷明细!$G$2:$G$50000,$C69,缺陷明细!$J$2:$J$50000,"验收测试",缺陷明细!$AA$2:$AA$50000,"&lt;&gt;丢弃",缺陷明细!$AA$2:$AA$50000,"&lt;&gt;设计如此",缺陷明细!$AA$2:$AA$50000,"&lt;&gt;重复Bug")</f>
        <v>0</v>
      </c>
      <c r="V69" s="75">
        <f>COUNTIFS(缺陷明细!$A$2:$A$50000,$B$4,缺陷明细!$G$2:$G$50000,$C69,缺陷明细!$Q$2:$Q$50000,"已关闭",缺陷明细!$J$2:$J$50000,"验收测试")</f>
        <v>0</v>
      </c>
      <c r="W69" s="75">
        <f>COUNTIFS(缺陷明细!$A$2:$A$50000,$B$4,缺陷明细!$G$2:$G$50000,$C69,缺陷明细!$J$2:$J$50000,"验收测试",缺陷明细!$K$2:$K$50000,"致命",缺陷明细!$AA$2:$AA$50000,"&lt;&gt;丢弃",缺陷明细!$AA$2:$AA$50000,"&lt;&gt;设计如此",缺陷明细!$AA$2:$AA$50000,"&lt;&gt;重复Bug")+COUNTIFS(缺陷明细!$A$2:$A$50000,$B$4,缺陷明细!$G$2:$G$50000,$C69,缺陷明细!$J$2:$J$50000,"验收测试",缺陷明细!$K$2:$K$50000,"严重",缺陷明细!$AA$2:$AA$50000,"&lt;&gt;丢弃",缺陷明细!$AA$2:$AA$50000,"&lt;&gt;设计如此",缺陷明细!$AA$2:$AA$50000,"&lt;&gt;重复Bug")</f>
        <v>0</v>
      </c>
      <c r="X69" s="76">
        <f>COUNTIFS(缺陷明细!$A$2:$A$50000,$B$4,缺陷明细!$G$2:$G$50000,$C69,缺陷明细!$Q$2:$Q$50000,"已关闭",缺陷明细!$J$2:$J$50000,"验收测试",缺陷明细!$K$2:$K$50000,"致命")+COUNTIFS(缺陷明细!$A$2:$A$50000,$B$4,缺陷明细!$G$2:$G$50000,$C69,缺陷明细!$Q$2:$Q$50000,"已关闭",缺陷明细!$J$2:$J$50000,"验收测试",缺陷明细!$K$2:$K$50000,"严重")</f>
        <v>0</v>
      </c>
      <c r="Y69" s="70">
        <f>COUNTIFS(缺陷明细!$A$2:$A$50000,$B$4,缺陷明细!$G$2:$G$50000,$C69,缺陷明细!$J$2:$J$50000,"运维测试",缺陷明细!$AA$2:$AA$50000,"&lt;&gt;丢弃",缺陷明细!$AA$2:$AA$50000,"&lt;&gt;设计如此",缺陷明细!$AA$2:$AA$50000,"&lt;&gt;重复Bug")</f>
        <v>0</v>
      </c>
      <c r="Z69" s="71">
        <f>COUNTIFS(缺陷明细!$A$2:$A$50000,$B$4,缺陷明细!$G$2:$G$50000,$C69,缺陷明细!$Q$2:$Q$50000,"已关闭",缺陷明细!$J$2:$J$50000,"运维测试")</f>
        <v>0</v>
      </c>
      <c r="AA69" s="72">
        <f>COUNTIFS(缺陷明细!$A$2:$A$50000,$B$4,缺陷明细!$G$2:$G$50000,$C69,缺陷明细!$J$2:$J$50000,"运维测试",缺陷明细!$K$2:$K$50000,"致命",缺陷明细!$AA$2:$AA$50000,"&lt;&gt;丢弃",缺陷明细!$AA$2:$AA$50000,"&lt;&gt;设计如此",缺陷明细!$AA$2:$AA$50000,"&lt;&gt;重复Bug")+COUNTIFS(缺陷明细!$A$2:$A$50000,$B$4,缺陷明细!$G$2:$G$50000,$C69,缺陷明细!$J$2:$J$50000,"运维测试",缺陷明细!$K$2:$K$50000,"严重",缺陷明细!$AA$2:$AA$50000,"&lt;&gt;丢弃",缺陷明细!$AA$2:$AA$50000,"&lt;&gt;设计如此",缺陷明细!$AA$2:$AA$50000,"&lt;&gt;重复Bug")</f>
        <v>0</v>
      </c>
      <c r="AB69" s="73">
        <f>COUNTIFS(缺陷明细!$A$2:$A$50000,$B$4,缺陷明细!$G$2:$G$50000,$C69,缺陷明细!$Q$2:$Q$50000,"已关闭",缺陷明细!$J$2:$J$50000,"运维测试",缺陷明细!$K$2:$K$50000,"致命")+COUNTIFS(缺陷明细!$A$2:$A$50000,$B$4,缺陷明细!$G$2:$G$50000,$C69,缺陷明细!$Q$2:$Q$50000,"已关闭",缺陷明细!$J$2:$J$50000,"运维测试",缺陷明细!$K$2:$K$50000,"严重")</f>
        <v>0</v>
      </c>
      <c r="AC69" s="68">
        <f t="shared" si="4"/>
        <v>0</v>
      </c>
      <c r="AD69" s="60">
        <f t="shared" si="5"/>
        <v>0</v>
      </c>
      <c r="AE69" s="60">
        <f t="shared" si="6"/>
        <v>0</v>
      </c>
      <c r="AF69" s="60">
        <f t="shared" si="7"/>
        <v>0</v>
      </c>
      <c r="AG69" s="60">
        <f t="shared" si="8"/>
        <v>0</v>
      </c>
      <c r="AH69" s="60">
        <f t="shared" si="9"/>
        <v>0</v>
      </c>
      <c r="AI69" s="60">
        <f t="shared" si="10"/>
        <v>0</v>
      </c>
      <c r="AJ69" s="61">
        <f t="shared" si="11"/>
        <v>0</v>
      </c>
      <c r="AK69" s="151"/>
    </row>
    <row r="70" spans="1:37" ht="26.4">
      <c r="A70">
        <v>66</v>
      </c>
      <c r="B70" s="347">
        <v>533</v>
      </c>
      <c r="C70" s="58" t="s">
        <v>416</v>
      </c>
      <c r="D70" s="84" t="s">
        <v>467</v>
      </c>
      <c r="E70" s="82" t="s">
        <v>471</v>
      </c>
      <c r="F70" s="322">
        <v>32</v>
      </c>
      <c r="G70" s="323">
        <v>0</v>
      </c>
      <c r="H70" s="305">
        <f>COUNTIFS(缺陷明细!$A$2:$A$50000,$B$4,缺陷明细!$G$2:$G$50000,$C70,缺陷明细!$J$2:$J$50000,"评审",缺陷明细!$AA$2:$AA$50000,"&lt;&gt;丢弃",缺陷明细!$AA$2:$AA$50000,"&lt;&gt;设计如此",缺陷明细!$AA$2:$AA$50000,"&lt;&gt;重复Bug")</f>
        <v>0</v>
      </c>
      <c r="I70" s="161">
        <f>COUNTIFS(缺陷明细!$A$2:$A$50000,$B$4,缺陷明细!$G$2:$G$50000,$C70,缺陷明细!$Q$2:$Q$50000,"已关闭",缺陷明细!$J$2:$J$50000,"评审")</f>
        <v>0</v>
      </c>
      <c r="J70" s="161">
        <f>COUNTIFS(缺陷明细!$A$2:$A$50000,$B$4,缺陷明细!$G$2:$G$50000,$C70,缺陷明细!$J$2:$J$50000,"单元测试",缺陷明细!$AA$2:$AA$50000,"&lt;&gt;丢弃",缺陷明细!$AA$2:$AA$50000,"&lt;&gt;设计如此",缺陷明细!$AA$2:$AA$50000,"&lt;&gt;重复Bug")</f>
        <v>0</v>
      </c>
      <c r="K70" s="162">
        <f>COUNTIFS(缺陷明细!$A$2:$A$50000,$B$4,缺陷明细!$G$2:$G$50000,$C70,缺陷明细!$Q$2:$Q$50000,"已关闭",缺陷明细!$J$2:$J$50000,"单元测试")</f>
        <v>0</v>
      </c>
      <c r="L70" s="163"/>
      <c r="M70" s="164"/>
      <c r="N70" s="72">
        <f>COUNTIFS(缺陷明细!$A$2:$A$50000,$B$4,缺陷明细!$G$2:$G$50000,$C70,缺陷明细!$J$2:$J$50000,"系统测试案例评审",缺陷明细!$AA$2:$AA$50000,"&lt;&gt;丢弃",缺陷明细!$AA$2:$AA$50000,"&lt;&gt;设计如此",缺陷明细!$AA$2:$AA$50000,"&lt;&gt;重复Bug")</f>
        <v>0</v>
      </c>
      <c r="O70" s="72">
        <f>COUNTIFS(缺陷明细!$A$2:$A$50000,$B$4,缺陷明细!$G$2:$G$50000,$C70,缺陷明细!$Q$2:$Q$50000,"已关闭",缺陷明细!$J$2:$J$50000,"系统测试案例评审")</f>
        <v>0</v>
      </c>
      <c r="P70" s="72">
        <f>COUNTIFS(缺陷明细!$A$2:$A$50000,$B$4,缺陷明细!$G$2:$G$50000,$C70,缺陷明细!$J$2:$J$50000,"系统测试",缺陷明细!$AA$2:$AA$50000,"&lt;&gt;丢弃",缺陷明细!$AA$2:$AA$50000,"&lt;&gt;设计如此",缺陷明细!$AA$2:$AA$50000,"&lt;&gt;重复Bug")</f>
        <v>0</v>
      </c>
      <c r="Q70" s="72">
        <f>COUNTIFS(缺陷明细!$A$2:$A$50000,$B$4,缺陷明细!$G$2:$G$50000,$C70,缺陷明细!$Q$2:$Q$50000,"已关闭",缺陷明细!$J$2:$J$50000,"系统测试")</f>
        <v>0</v>
      </c>
      <c r="R70" s="354">
        <f>COUNTIFS(缺陷明细!$A$2:$A$50000,$B$4,缺陷明细!$G$2:$G$50000,$C70,缺陷明细!$AA$2:$AA$50000,"丢弃",缺陷明细!$J$2:$J$50000,"系统测试")+COUNTIFS(缺陷明细!$A$2:$A$50000,$B$4,缺陷明细!$G$2:$G$50000,$C70,缺陷明细!$AA$2:$AA$50000,"设计如此",缺陷明细!$J$2:$J$50000,"系统测试")+COUNTIFS(缺陷明细!$A$2:$A$50000,$B$4,缺陷明细!$G$2:$G$50000,$C70,缺陷明细!$AA$2:$AA$50000,"重复Bug",缺陷明细!$J$2:$J$50000,"系统测试")</f>
        <v>0</v>
      </c>
      <c r="S70" s="72">
        <f>COUNTIFS(缺陷明细!$A$2:$A$50000,$B$4,缺陷明细!$G$2:$G$50000,$C70,缺陷明细!$J$2:$J$50000,"系统测试",缺陷明细!$K$2:$K$50000,"致命",缺陷明细!$AA$2:$AA$50000,"&lt;&gt;丢弃",缺陷明细!$AA$2:$AA$50000,"&lt;&gt;设计如此",缺陷明细!$AA$2:$AA$50000,"&lt;&gt;重复Bug")+COUNTIFS(缺陷明细!$A$2:$A$50000,$B$4,缺陷明细!$G$2:$G$50000,$C70,缺陷明细!$J$2:$J$50000,"系统测试",缺陷明细!$K$2:$K$50000,"严重",缺陷明细!$AA$2:$AA$50000,"&lt;&gt;丢弃",缺陷明细!$AA$2:$AA$50000,"&lt;&gt;设计如此",缺陷明细!$AA$2:$AA$50000,"&lt;&gt;重复Bug")</f>
        <v>0</v>
      </c>
      <c r="T70" s="73">
        <f>COUNTIFS(缺陷明细!$A$2:$A$50000,$B$4,缺陷明细!$G$2:$G$50000,$C70,缺陷明细!$Q$2:$Q$50000,"已关闭",缺陷明细!$J$2:$J$50000,"系统测试",缺陷明细!$K$2:$K$50000,"致命")+COUNTIFS(缺陷明细!$A$2:$A$50000,$B$4,缺陷明细!$G$2:$G$50000,$C70,缺陷明细!$Q$2:$Q$50000,"已关闭",缺陷明细!$J$2:$J$50000,"系统测试",缺陷明细!$K$2:$K$50000,"严重")</f>
        <v>0</v>
      </c>
      <c r="U70" s="74">
        <f>COUNTIFS(缺陷明细!$A$2:$A$50000,$B$4,缺陷明细!$G$2:$G$50000,$C70,缺陷明细!$J$2:$J$50000,"验收测试",缺陷明细!$AA$2:$AA$50000,"&lt;&gt;丢弃",缺陷明细!$AA$2:$AA$50000,"&lt;&gt;设计如此",缺陷明细!$AA$2:$AA$50000,"&lt;&gt;重复Bug")</f>
        <v>0</v>
      </c>
      <c r="V70" s="75">
        <f>COUNTIFS(缺陷明细!$A$2:$A$50000,$B$4,缺陷明细!$G$2:$G$50000,$C70,缺陷明细!$Q$2:$Q$50000,"已关闭",缺陷明细!$J$2:$J$50000,"验收测试")</f>
        <v>0</v>
      </c>
      <c r="W70" s="75">
        <f>COUNTIFS(缺陷明细!$A$2:$A$50000,$B$4,缺陷明细!$G$2:$G$50000,$C70,缺陷明细!$J$2:$J$50000,"验收测试",缺陷明细!$K$2:$K$50000,"致命",缺陷明细!$AA$2:$AA$50000,"&lt;&gt;丢弃",缺陷明细!$AA$2:$AA$50000,"&lt;&gt;设计如此",缺陷明细!$AA$2:$AA$50000,"&lt;&gt;重复Bug")+COUNTIFS(缺陷明细!$A$2:$A$50000,$B$4,缺陷明细!$G$2:$G$50000,$C70,缺陷明细!$J$2:$J$50000,"验收测试",缺陷明细!$K$2:$K$50000,"严重",缺陷明细!$AA$2:$AA$50000,"&lt;&gt;丢弃",缺陷明细!$AA$2:$AA$50000,"&lt;&gt;设计如此",缺陷明细!$AA$2:$AA$50000,"&lt;&gt;重复Bug")</f>
        <v>0</v>
      </c>
      <c r="X70" s="76">
        <f>COUNTIFS(缺陷明细!$A$2:$A$50000,$B$4,缺陷明细!$G$2:$G$50000,$C70,缺陷明细!$Q$2:$Q$50000,"已关闭",缺陷明细!$J$2:$J$50000,"验收测试",缺陷明细!$K$2:$K$50000,"致命")+COUNTIFS(缺陷明细!$A$2:$A$50000,$B$4,缺陷明细!$G$2:$G$50000,$C70,缺陷明细!$Q$2:$Q$50000,"已关闭",缺陷明细!$J$2:$J$50000,"验收测试",缺陷明细!$K$2:$K$50000,"严重")</f>
        <v>0</v>
      </c>
      <c r="Y70" s="70">
        <f>COUNTIFS(缺陷明细!$A$2:$A$50000,$B$4,缺陷明细!$G$2:$G$50000,$C70,缺陷明细!$J$2:$J$50000,"运维测试",缺陷明细!$AA$2:$AA$50000,"&lt;&gt;丢弃",缺陷明细!$AA$2:$AA$50000,"&lt;&gt;设计如此",缺陷明细!$AA$2:$AA$50000,"&lt;&gt;重复Bug")</f>
        <v>0</v>
      </c>
      <c r="Z70" s="71">
        <f>COUNTIFS(缺陷明细!$A$2:$A$50000,$B$4,缺陷明细!$G$2:$G$50000,$C70,缺陷明细!$Q$2:$Q$50000,"已关闭",缺陷明细!$J$2:$J$50000,"运维测试")</f>
        <v>0</v>
      </c>
      <c r="AA70" s="72">
        <f>COUNTIFS(缺陷明细!$A$2:$A$50000,$B$4,缺陷明细!$G$2:$G$50000,$C70,缺陷明细!$J$2:$J$50000,"运维测试",缺陷明细!$K$2:$K$50000,"致命",缺陷明细!$AA$2:$AA$50000,"&lt;&gt;丢弃",缺陷明细!$AA$2:$AA$50000,"&lt;&gt;设计如此",缺陷明细!$AA$2:$AA$50000,"&lt;&gt;重复Bug")+COUNTIFS(缺陷明细!$A$2:$A$50000,$B$4,缺陷明细!$G$2:$G$50000,$C70,缺陷明细!$J$2:$J$50000,"运维测试",缺陷明细!$K$2:$K$50000,"严重",缺陷明细!$AA$2:$AA$50000,"&lt;&gt;丢弃",缺陷明细!$AA$2:$AA$50000,"&lt;&gt;设计如此",缺陷明细!$AA$2:$AA$50000,"&lt;&gt;重复Bug")</f>
        <v>0</v>
      </c>
      <c r="AB70" s="73">
        <f>COUNTIFS(缺陷明细!$A$2:$A$50000,$B$4,缺陷明细!$G$2:$G$50000,$C70,缺陷明细!$Q$2:$Q$50000,"已关闭",缺陷明细!$J$2:$J$50000,"运维测试",缺陷明细!$K$2:$K$50000,"致命")+COUNTIFS(缺陷明细!$A$2:$A$50000,$B$4,缺陷明细!$G$2:$G$50000,$C70,缺陷明细!$Q$2:$Q$50000,"已关闭",缺陷明细!$J$2:$J$50000,"运维测试",缺陷明细!$K$2:$K$50000,"严重")</f>
        <v>0</v>
      </c>
      <c r="AC70" s="68">
        <f t="shared" si="4"/>
        <v>0</v>
      </c>
      <c r="AD70" s="60">
        <f t="shared" si="5"/>
        <v>0</v>
      </c>
      <c r="AE70" s="60">
        <f t="shared" si="6"/>
        <v>0</v>
      </c>
      <c r="AF70" s="60">
        <f t="shared" si="7"/>
        <v>0</v>
      </c>
      <c r="AG70" s="60">
        <f t="shared" si="8"/>
        <v>0</v>
      </c>
      <c r="AH70" s="60">
        <f t="shared" si="9"/>
        <v>0</v>
      </c>
      <c r="AI70" s="60">
        <f t="shared" si="10"/>
        <v>0</v>
      </c>
      <c r="AJ70" s="61">
        <f t="shared" si="11"/>
        <v>0</v>
      </c>
      <c r="AK70" s="151"/>
    </row>
    <row r="71" spans="1:37" ht="52.8">
      <c r="A71">
        <v>67</v>
      </c>
      <c r="B71" s="347">
        <v>534</v>
      </c>
      <c r="C71" s="58" t="s">
        <v>417</v>
      </c>
      <c r="D71" s="84" t="s">
        <v>467</v>
      </c>
      <c r="E71" s="82" t="s">
        <v>472</v>
      </c>
      <c r="F71" s="322">
        <v>0.5</v>
      </c>
      <c r="G71" s="323">
        <v>0.5</v>
      </c>
      <c r="H71" s="305">
        <f>COUNTIFS(缺陷明细!$A$2:$A$50000,$B$4,缺陷明细!$G$2:$G$50000,$C71,缺陷明细!$J$2:$J$50000,"评审",缺陷明细!$AA$2:$AA$50000,"&lt;&gt;丢弃",缺陷明细!$AA$2:$AA$50000,"&lt;&gt;设计如此",缺陷明细!$AA$2:$AA$50000,"&lt;&gt;重复Bug")</f>
        <v>0</v>
      </c>
      <c r="I71" s="161">
        <f>COUNTIFS(缺陷明细!$A$2:$A$50000,$B$4,缺陷明细!$G$2:$G$50000,$C71,缺陷明细!$Q$2:$Q$50000,"已关闭",缺陷明细!$J$2:$J$50000,"评审")</f>
        <v>0</v>
      </c>
      <c r="J71" s="161">
        <f>COUNTIFS(缺陷明细!$A$2:$A$50000,$B$4,缺陷明细!$G$2:$G$50000,$C71,缺陷明细!$J$2:$J$50000,"单元测试",缺陷明细!$AA$2:$AA$50000,"&lt;&gt;丢弃",缺陷明细!$AA$2:$AA$50000,"&lt;&gt;设计如此",缺陷明细!$AA$2:$AA$50000,"&lt;&gt;重复Bug")</f>
        <v>0</v>
      </c>
      <c r="K71" s="162">
        <f>COUNTIFS(缺陷明细!$A$2:$A$50000,$B$4,缺陷明细!$G$2:$G$50000,$C71,缺陷明细!$Q$2:$Q$50000,"已关闭",缺陷明细!$J$2:$J$50000,"单元测试")</f>
        <v>0</v>
      </c>
      <c r="L71" s="163"/>
      <c r="M71" s="164"/>
      <c r="N71" s="72">
        <f>COUNTIFS(缺陷明细!$A$2:$A$50000,$B$4,缺陷明细!$G$2:$G$50000,$C71,缺陷明细!$J$2:$J$50000,"系统测试案例评审",缺陷明细!$AA$2:$AA$50000,"&lt;&gt;丢弃",缺陷明细!$AA$2:$AA$50000,"&lt;&gt;设计如此",缺陷明细!$AA$2:$AA$50000,"&lt;&gt;重复Bug")</f>
        <v>0</v>
      </c>
      <c r="O71" s="72">
        <f>COUNTIFS(缺陷明细!$A$2:$A$50000,$B$4,缺陷明细!$G$2:$G$50000,$C71,缺陷明细!$Q$2:$Q$50000,"已关闭",缺陷明细!$J$2:$J$50000,"系统测试案例评审")</f>
        <v>0</v>
      </c>
      <c r="P71" s="72">
        <f>COUNTIFS(缺陷明细!$A$2:$A$50000,$B$4,缺陷明细!$G$2:$G$50000,$C71,缺陷明细!$J$2:$J$50000,"系统测试",缺陷明细!$AA$2:$AA$50000,"&lt;&gt;丢弃",缺陷明细!$AA$2:$AA$50000,"&lt;&gt;设计如此",缺陷明细!$AA$2:$AA$50000,"&lt;&gt;重复Bug")</f>
        <v>0</v>
      </c>
      <c r="Q71" s="72">
        <f>COUNTIFS(缺陷明细!$A$2:$A$50000,$B$4,缺陷明细!$G$2:$G$50000,$C71,缺陷明细!$Q$2:$Q$50000,"已关闭",缺陷明细!$J$2:$J$50000,"系统测试")</f>
        <v>0</v>
      </c>
      <c r="R71" s="354">
        <f>COUNTIFS(缺陷明细!$A$2:$A$50000,$B$4,缺陷明细!$G$2:$G$50000,$C71,缺陷明细!$AA$2:$AA$50000,"丢弃",缺陷明细!$J$2:$J$50000,"系统测试")+COUNTIFS(缺陷明细!$A$2:$A$50000,$B$4,缺陷明细!$G$2:$G$50000,$C71,缺陷明细!$AA$2:$AA$50000,"设计如此",缺陷明细!$J$2:$J$50000,"系统测试")+COUNTIFS(缺陷明细!$A$2:$A$50000,$B$4,缺陷明细!$G$2:$G$50000,$C71,缺陷明细!$AA$2:$AA$50000,"重复Bug",缺陷明细!$J$2:$J$50000,"系统测试")</f>
        <v>0</v>
      </c>
      <c r="S71" s="72">
        <f>COUNTIFS(缺陷明细!$A$2:$A$50000,$B$4,缺陷明细!$G$2:$G$50000,$C71,缺陷明细!$J$2:$J$50000,"系统测试",缺陷明细!$K$2:$K$50000,"致命",缺陷明细!$AA$2:$AA$50000,"&lt;&gt;丢弃",缺陷明细!$AA$2:$AA$50000,"&lt;&gt;设计如此",缺陷明细!$AA$2:$AA$50000,"&lt;&gt;重复Bug")+COUNTIFS(缺陷明细!$A$2:$A$50000,$B$4,缺陷明细!$G$2:$G$50000,$C71,缺陷明细!$J$2:$J$50000,"系统测试",缺陷明细!$K$2:$K$50000,"严重",缺陷明细!$AA$2:$AA$50000,"&lt;&gt;丢弃",缺陷明细!$AA$2:$AA$50000,"&lt;&gt;设计如此",缺陷明细!$AA$2:$AA$50000,"&lt;&gt;重复Bug")</f>
        <v>0</v>
      </c>
      <c r="T71" s="73">
        <f>COUNTIFS(缺陷明细!$A$2:$A$50000,$B$4,缺陷明细!$G$2:$G$50000,$C71,缺陷明细!$Q$2:$Q$50000,"已关闭",缺陷明细!$J$2:$J$50000,"系统测试",缺陷明细!$K$2:$K$50000,"致命")+COUNTIFS(缺陷明细!$A$2:$A$50000,$B$4,缺陷明细!$G$2:$G$50000,$C71,缺陷明细!$Q$2:$Q$50000,"已关闭",缺陷明细!$J$2:$J$50000,"系统测试",缺陷明细!$K$2:$K$50000,"严重")</f>
        <v>0</v>
      </c>
      <c r="U71" s="74">
        <f>COUNTIFS(缺陷明细!$A$2:$A$50000,$B$4,缺陷明细!$G$2:$G$50000,$C71,缺陷明细!$J$2:$J$50000,"验收测试",缺陷明细!$AA$2:$AA$50000,"&lt;&gt;丢弃",缺陷明细!$AA$2:$AA$50000,"&lt;&gt;设计如此",缺陷明细!$AA$2:$AA$50000,"&lt;&gt;重复Bug")</f>
        <v>0</v>
      </c>
      <c r="V71" s="75">
        <f>COUNTIFS(缺陷明细!$A$2:$A$50000,$B$4,缺陷明细!$G$2:$G$50000,$C71,缺陷明细!$Q$2:$Q$50000,"已关闭",缺陷明细!$J$2:$J$50000,"验收测试")</f>
        <v>0</v>
      </c>
      <c r="W71" s="75">
        <f>COUNTIFS(缺陷明细!$A$2:$A$50000,$B$4,缺陷明细!$G$2:$G$50000,$C71,缺陷明细!$J$2:$J$50000,"验收测试",缺陷明细!$K$2:$K$50000,"致命",缺陷明细!$AA$2:$AA$50000,"&lt;&gt;丢弃",缺陷明细!$AA$2:$AA$50000,"&lt;&gt;设计如此",缺陷明细!$AA$2:$AA$50000,"&lt;&gt;重复Bug")+COUNTIFS(缺陷明细!$A$2:$A$50000,$B$4,缺陷明细!$G$2:$G$50000,$C71,缺陷明细!$J$2:$J$50000,"验收测试",缺陷明细!$K$2:$K$50000,"严重",缺陷明细!$AA$2:$AA$50000,"&lt;&gt;丢弃",缺陷明细!$AA$2:$AA$50000,"&lt;&gt;设计如此",缺陷明细!$AA$2:$AA$50000,"&lt;&gt;重复Bug")</f>
        <v>0</v>
      </c>
      <c r="X71" s="76">
        <f>COUNTIFS(缺陷明细!$A$2:$A$50000,$B$4,缺陷明细!$G$2:$G$50000,$C71,缺陷明细!$Q$2:$Q$50000,"已关闭",缺陷明细!$J$2:$J$50000,"验收测试",缺陷明细!$K$2:$K$50000,"致命")+COUNTIFS(缺陷明细!$A$2:$A$50000,$B$4,缺陷明细!$G$2:$G$50000,$C71,缺陷明细!$Q$2:$Q$50000,"已关闭",缺陷明细!$J$2:$J$50000,"验收测试",缺陷明细!$K$2:$K$50000,"严重")</f>
        <v>0</v>
      </c>
      <c r="Y71" s="70">
        <f>COUNTIFS(缺陷明细!$A$2:$A$50000,$B$4,缺陷明细!$G$2:$G$50000,$C71,缺陷明细!$J$2:$J$50000,"运维测试",缺陷明细!$AA$2:$AA$50000,"&lt;&gt;丢弃",缺陷明细!$AA$2:$AA$50000,"&lt;&gt;设计如此",缺陷明细!$AA$2:$AA$50000,"&lt;&gt;重复Bug")</f>
        <v>0</v>
      </c>
      <c r="Z71" s="71">
        <f>COUNTIFS(缺陷明细!$A$2:$A$50000,$B$4,缺陷明细!$G$2:$G$50000,$C71,缺陷明细!$Q$2:$Q$50000,"已关闭",缺陷明细!$J$2:$J$50000,"运维测试")</f>
        <v>0</v>
      </c>
      <c r="AA71" s="72">
        <f>COUNTIFS(缺陷明细!$A$2:$A$50000,$B$4,缺陷明细!$G$2:$G$50000,$C71,缺陷明细!$J$2:$J$50000,"运维测试",缺陷明细!$K$2:$K$50000,"致命",缺陷明细!$AA$2:$AA$50000,"&lt;&gt;丢弃",缺陷明细!$AA$2:$AA$50000,"&lt;&gt;设计如此",缺陷明细!$AA$2:$AA$50000,"&lt;&gt;重复Bug")+COUNTIFS(缺陷明细!$A$2:$A$50000,$B$4,缺陷明细!$G$2:$G$50000,$C71,缺陷明细!$J$2:$J$50000,"运维测试",缺陷明细!$K$2:$K$50000,"严重",缺陷明细!$AA$2:$AA$50000,"&lt;&gt;丢弃",缺陷明细!$AA$2:$AA$50000,"&lt;&gt;设计如此",缺陷明细!$AA$2:$AA$50000,"&lt;&gt;重复Bug")</f>
        <v>0</v>
      </c>
      <c r="AB71" s="73">
        <f>COUNTIFS(缺陷明细!$A$2:$A$50000,$B$4,缺陷明细!$G$2:$G$50000,$C71,缺陷明细!$Q$2:$Q$50000,"已关闭",缺陷明细!$J$2:$J$50000,"运维测试",缺陷明细!$K$2:$K$50000,"致命")+COUNTIFS(缺陷明细!$A$2:$A$50000,$B$4,缺陷明细!$G$2:$G$50000,$C71,缺陷明细!$Q$2:$Q$50000,"已关闭",缺陷明细!$J$2:$J$50000,"运维测试",缺陷明细!$K$2:$K$50000,"严重")</f>
        <v>0</v>
      </c>
      <c r="AC71" s="68">
        <f t="shared" si="4"/>
        <v>0</v>
      </c>
      <c r="AD71" s="60">
        <f t="shared" si="5"/>
        <v>0</v>
      </c>
      <c r="AE71" s="60">
        <f t="shared" si="6"/>
        <v>0</v>
      </c>
      <c r="AF71" s="60">
        <f t="shared" si="7"/>
        <v>0</v>
      </c>
      <c r="AG71" s="60">
        <f t="shared" si="8"/>
        <v>0</v>
      </c>
      <c r="AH71" s="60">
        <f t="shared" si="9"/>
        <v>0</v>
      </c>
      <c r="AI71" s="60">
        <f t="shared" si="10"/>
        <v>0</v>
      </c>
      <c r="AJ71" s="61">
        <f t="shared" si="11"/>
        <v>0</v>
      </c>
      <c r="AK71" s="151"/>
    </row>
    <row r="72" spans="1:37" ht="26.4">
      <c r="A72">
        <v>68</v>
      </c>
      <c r="B72" s="347">
        <v>535</v>
      </c>
      <c r="C72" s="58" t="s">
        <v>418</v>
      </c>
      <c r="D72" s="84" t="s">
        <v>467</v>
      </c>
      <c r="E72" s="82" t="s">
        <v>472</v>
      </c>
      <c r="F72" s="322">
        <v>0.25</v>
      </c>
      <c r="G72" s="323">
        <v>0.25</v>
      </c>
      <c r="H72" s="305">
        <f>COUNTIFS(缺陷明细!$A$2:$A$50000,$B$4,缺陷明细!$G$2:$G$50000,$C72,缺陷明细!$J$2:$J$50000,"评审",缺陷明细!$AA$2:$AA$50000,"&lt;&gt;丢弃",缺陷明细!$AA$2:$AA$50000,"&lt;&gt;设计如此",缺陷明细!$AA$2:$AA$50000,"&lt;&gt;重复Bug")</f>
        <v>0</v>
      </c>
      <c r="I72" s="161">
        <f>COUNTIFS(缺陷明细!$A$2:$A$50000,$B$4,缺陷明细!$G$2:$G$50000,$C72,缺陷明细!$Q$2:$Q$50000,"已关闭",缺陷明细!$J$2:$J$50000,"评审")</f>
        <v>0</v>
      </c>
      <c r="J72" s="161">
        <f>COUNTIFS(缺陷明细!$A$2:$A$50000,$B$4,缺陷明细!$G$2:$G$50000,$C72,缺陷明细!$J$2:$J$50000,"单元测试",缺陷明细!$AA$2:$AA$50000,"&lt;&gt;丢弃",缺陷明细!$AA$2:$AA$50000,"&lt;&gt;设计如此",缺陷明细!$AA$2:$AA$50000,"&lt;&gt;重复Bug")</f>
        <v>0</v>
      </c>
      <c r="K72" s="162">
        <f>COUNTIFS(缺陷明细!$A$2:$A$50000,$B$4,缺陷明细!$G$2:$G$50000,$C72,缺陷明细!$Q$2:$Q$50000,"已关闭",缺陷明细!$J$2:$J$50000,"单元测试")</f>
        <v>0</v>
      </c>
      <c r="L72" s="163"/>
      <c r="M72" s="164"/>
      <c r="N72" s="72">
        <f>COUNTIFS(缺陷明细!$A$2:$A$50000,$B$4,缺陷明细!$G$2:$G$50000,$C72,缺陷明细!$J$2:$J$50000,"系统测试案例评审",缺陷明细!$AA$2:$AA$50000,"&lt;&gt;丢弃",缺陷明细!$AA$2:$AA$50000,"&lt;&gt;设计如此",缺陷明细!$AA$2:$AA$50000,"&lt;&gt;重复Bug")</f>
        <v>0</v>
      </c>
      <c r="O72" s="72">
        <f>COUNTIFS(缺陷明细!$A$2:$A$50000,$B$4,缺陷明细!$G$2:$G$50000,$C72,缺陷明细!$Q$2:$Q$50000,"已关闭",缺陷明细!$J$2:$J$50000,"系统测试案例评审")</f>
        <v>0</v>
      </c>
      <c r="P72" s="72">
        <f>COUNTIFS(缺陷明细!$A$2:$A$50000,$B$4,缺陷明细!$G$2:$G$50000,$C72,缺陷明细!$J$2:$J$50000,"系统测试",缺陷明细!$AA$2:$AA$50000,"&lt;&gt;丢弃",缺陷明细!$AA$2:$AA$50000,"&lt;&gt;设计如此",缺陷明细!$AA$2:$AA$50000,"&lt;&gt;重复Bug")</f>
        <v>0</v>
      </c>
      <c r="Q72" s="72">
        <f>COUNTIFS(缺陷明细!$A$2:$A$50000,$B$4,缺陷明细!$G$2:$G$50000,$C72,缺陷明细!$Q$2:$Q$50000,"已关闭",缺陷明细!$J$2:$J$50000,"系统测试")</f>
        <v>0</v>
      </c>
      <c r="R72" s="354">
        <f>COUNTIFS(缺陷明细!$A$2:$A$50000,$B$4,缺陷明细!$G$2:$G$50000,$C72,缺陷明细!$AA$2:$AA$50000,"丢弃",缺陷明细!$J$2:$J$50000,"系统测试")+COUNTIFS(缺陷明细!$A$2:$A$50000,$B$4,缺陷明细!$G$2:$G$50000,$C72,缺陷明细!$AA$2:$AA$50000,"设计如此",缺陷明细!$J$2:$J$50000,"系统测试")+COUNTIFS(缺陷明细!$A$2:$A$50000,$B$4,缺陷明细!$G$2:$G$50000,$C72,缺陷明细!$AA$2:$AA$50000,"重复Bug",缺陷明细!$J$2:$J$50000,"系统测试")</f>
        <v>0</v>
      </c>
      <c r="S72" s="72">
        <f>COUNTIFS(缺陷明细!$A$2:$A$50000,$B$4,缺陷明细!$G$2:$G$50000,$C72,缺陷明细!$J$2:$J$50000,"系统测试",缺陷明细!$K$2:$K$50000,"致命",缺陷明细!$AA$2:$AA$50000,"&lt;&gt;丢弃",缺陷明细!$AA$2:$AA$50000,"&lt;&gt;设计如此",缺陷明细!$AA$2:$AA$50000,"&lt;&gt;重复Bug")+COUNTIFS(缺陷明细!$A$2:$A$50000,$B$4,缺陷明细!$G$2:$G$50000,$C72,缺陷明细!$J$2:$J$50000,"系统测试",缺陷明细!$K$2:$K$50000,"严重",缺陷明细!$AA$2:$AA$50000,"&lt;&gt;丢弃",缺陷明细!$AA$2:$AA$50000,"&lt;&gt;设计如此",缺陷明细!$AA$2:$AA$50000,"&lt;&gt;重复Bug")</f>
        <v>0</v>
      </c>
      <c r="T72" s="73">
        <f>COUNTIFS(缺陷明细!$A$2:$A$50000,$B$4,缺陷明细!$G$2:$G$50000,$C72,缺陷明细!$Q$2:$Q$50000,"已关闭",缺陷明细!$J$2:$J$50000,"系统测试",缺陷明细!$K$2:$K$50000,"致命")+COUNTIFS(缺陷明细!$A$2:$A$50000,$B$4,缺陷明细!$G$2:$G$50000,$C72,缺陷明细!$Q$2:$Q$50000,"已关闭",缺陷明细!$J$2:$J$50000,"系统测试",缺陷明细!$K$2:$K$50000,"严重")</f>
        <v>0</v>
      </c>
      <c r="U72" s="74">
        <f>COUNTIFS(缺陷明细!$A$2:$A$50000,$B$4,缺陷明细!$G$2:$G$50000,$C72,缺陷明细!$J$2:$J$50000,"验收测试",缺陷明细!$AA$2:$AA$50000,"&lt;&gt;丢弃",缺陷明细!$AA$2:$AA$50000,"&lt;&gt;设计如此",缺陷明细!$AA$2:$AA$50000,"&lt;&gt;重复Bug")</f>
        <v>0</v>
      </c>
      <c r="V72" s="75">
        <f>COUNTIFS(缺陷明细!$A$2:$A$50000,$B$4,缺陷明细!$G$2:$G$50000,$C72,缺陷明细!$Q$2:$Q$50000,"已关闭",缺陷明细!$J$2:$J$50000,"验收测试")</f>
        <v>0</v>
      </c>
      <c r="W72" s="75">
        <f>COUNTIFS(缺陷明细!$A$2:$A$50000,$B$4,缺陷明细!$G$2:$G$50000,$C72,缺陷明细!$J$2:$J$50000,"验收测试",缺陷明细!$K$2:$K$50000,"致命",缺陷明细!$AA$2:$AA$50000,"&lt;&gt;丢弃",缺陷明细!$AA$2:$AA$50000,"&lt;&gt;设计如此",缺陷明细!$AA$2:$AA$50000,"&lt;&gt;重复Bug")+COUNTIFS(缺陷明细!$A$2:$A$50000,$B$4,缺陷明细!$G$2:$G$50000,$C72,缺陷明细!$J$2:$J$50000,"验收测试",缺陷明细!$K$2:$K$50000,"严重",缺陷明细!$AA$2:$AA$50000,"&lt;&gt;丢弃",缺陷明细!$AA$2:$AA$50000,"&lt;&gt;设计如此",缺陷明细!$AA$2:$AA$50000,"&lt;&gt;重复Bug")</f>
        <v>0</v>
      </c>
      <c r="X72" s="76">
        <f>COUNTIFS(缺陷明细!$A$2:$A$50000,$B$4,缺陷明细!$G$2:$G$50000,$C72,缺陷明细!$Q$2:$Q$50000,"已关闭",缺陷明细!$J$2:$J$50000,"验收测试",缺陷明细!$K$2:$K$50000,"致命")+COUNTIFS(缺陷明细!$A$2:$A$50000,$B$4,缺陷明细!$G$2:$G$50000,$C72,缺陷明细!$Q$2:$Q$50000,"已关闭",缺陷明细!$J$2:$J$50000,"验收测试",缺陷明细!$K$2:$K$50000,"严重")</f>
        <v>0</v>
      </c>
      <c r="Y72" s="70">
        <f>COUNTIFS(缺陷明细!$A$2:$A$50000,$B$4,缺陷明细!$G$2:$G$50000,$C72,缺陷明细!$J$2:$J$50000,"运维测试",缺陷明细!$AA$2:$AA$50000,"&lt;&gt;丢弃",缺陷明细!$AA$2:$AA$50000,"&lt;&gt;设计如此",缺陷明细!$AA$2:$AA$50000,"&lt;&gt;重复Bug")</f>
        <v>0</v>
      </c>
      <c r="Z72" s="71">
        <f>COUNTIFS(缺陷明细!$A$2:$A$50000,$B$4,缺陷明细!$G$2:$G$50000,$C72,缺陷明细!$Q$2:$Q$50000,"已关闭",缺陷明细!$J$2:$J$50000,"运维测试")</f>
        <v>0</v>
      </c>
      <c r="AA72" s="72">
        <f>COUNTIFS(缺陷明细!$A$2:$A$50000,$B$4,缺陷明细!$G$2:$G$50000,$C72,缺陷明细!$J$2:$J$50000,"运维测试",缺陷明细!$K$2:$K$50000,"致命",缺陷明细!$AA$2:$AA$50000,"&lt;&gt;丢弃",缺陷明细!$AA$2:$AA$50000,"&lt;&gt;设计如此",缺陷明细!$AA$2:$AA$50000,"&lt;&gt;重复Bug")+COUNTIFS(缺陷明细!$A$2:$A$50000,$B$4,缺陷明细!$G$2:$G$50000,$C72,缺陷明细!$J$2:$J$50000,"运维测试",缺陷明细!$K$2:$K$50000,"严重",缺陷明细!$AA$2:$AA$50000,"&lt;&gt;丢弃",缺陷明细!$AA$2:$AA$50000,"&lt;&gt;设计如此",缺陷明细!$AA$2:$AA$50000,"&lt;&gt;重复Bug")</f>
        <v>0</v>
      </c>
      <c r="AB72" s="73">
        <f>COUNTIFS(缺陷明细!$A$2:$A$50000,$B$4,缺陷明细!$G$2:$G$50000,$C72,缺陷明细!$Q$2:$Q$50000,"已关闭",缺陷明细!$J$2:$J$50000,"运维测试",缺陷明细!$K$2:$K$50000,"致命")+COUNTIFS(缺陷明细!$A$2:$A$50000,$B$4,缺陷明细!$G$2:$G$50000,$C72,缺陷明细!$Q$2:$Q$50000,"已关闭",缺陷明细!$J$2:$J$50000,"运维测试",缺陷明细!$K$2:$K$50000,"严重")</f>
        <v>0</v>
      </c>
      <c r="AC72" s="68">
        <f t="shared" si="4"/>
        <v>0</v>
      </c>
      <c r="AD72" s="60">
        <f t="shared" si="5"/>
        <v>0</v>
      </c>
      <c r="AE72" s="60">
        <f t="shared" si="6"/>
        <v>0</v>
      </c>
      <c r="AF72" s="60">
        <f t="shared" si="7"/>
        <v>0</v>
      </c>
      <c r="AG72" s="60">
        <f t="shared" si="8"/>
        <v>0</v>
      </c>
      <c r="AH72" s="60">
        <f t="shared" si="9"/>
        <v>0</v>
      </c>
      <c r="AI72" s="60">
        <f t="shared" si="10"/>
        <v>0</v>
      </c>
      <c r="AJ72" s="61">
        <f t="shared" si="11"/>
        <v>0</v>
      </c>
      <c r="AK72" s="151"/>
    </row>
    <row r="73" spans="1:37" ht="39.6">
      <c r="A73">
        <v>69</v>
      </c>
      <c r="B73" s="347">
        <v>536</v>
      </c>
      <c r="C73" s="58" t="s">
        <v>419</v>
      </c>
      <c r="D73" s="84" t="s">
        <v>467</v>
      </c>
      <c r="E73" s="82" t="s">
        <v>472</v>
      </c>
      <c r="F73" s="322">
        <v>1</v>
      </c>
      <c r="G73" s="323">
        <v>1</v>
      </c>
      <c r="H73" s="305">
        <f>COUNTIFS(缺陷明细!$A$2:$A$50000,$B$4,缺陷明细!$G$2:$G$50000,$C73,缺陷明细!$J$2:$J$50000,"评审",缺陷明细!$AA$2:$AA$50000,"&lt;&gt;丢弃",缺陷明细!$AA$2:$AA$50000,"&lt;&gt;设计如此",缺陷明细!$AA$2:$AA$50000,"&lt;&gt;重复Bug")</f>
        <v>0</v>
      </c>
      <c r="I73" s="161">
        <f>COUNTIFS(缺陷明细!$A$2:$A$50000,$B$4,缺陷明细!$G$2:$G$50000,$C73,缺陷明细!$Q$2:$Q$50000,"已关闭",缺陷明细!$J$2:$J$50000,"评审")</f>
        <v>0</v>
      </c>
      <c r="J73" s="161">
        <f>COUNTIFS(缺陷明细!$A$2:$A$50000,$B$4,缺陷明细!$G$2:$G$50000,$C73,缺陷明细!$J$2:$J$50000,"单元测试",缺陷明细!$AA$2:$AA$50000,"&lt;&gt;丢弃",缺陷明细!$AA$2:$AA$50000,"&lt;&gt;设计如此",缺陷明细!$AA$2:$AA$50000,"&lt;&gt;重复Bug")</f>
        <v>0</v>
      </c>
      <c r="K73" s="162">
        <f>COUNTIFS(缺陷明细!$A$2:$A$50000,$B$4,缺陷明细!$G$2:$G$50000,$C73,缺陷明细!$Q$2:$Q$50000,"已关闭",缺陷明细!$J$2:$J$50000,"单元测试")</f>
        <v>0</v>
      </c>
      <c r="L73" s="163"/>
      <c r="M73" s="164"/>
      <c r="N73" s="72">
        <f>COUNTIFS(缺陷明细!$A$2:$A$50000,$B$4,缺陷明细!$G$2:$G$50000,$C73,缺陷明细!$J$2:$J$50000,"系统测试案例评审",缺陷明细!$AA$2:$AA$50000,"&lt;&gt;丢弃",缺陷明细!$AA$2:$AA$50000,"&lt;&gt;设计如此",缺陷明细!$AA$2:$AA$50000,"&lt;&gt;重复Bug")</f>
        <v>0</v>
      </c>
      <c r="O73" s="72">
        <f>COUNTIFS(缺陷明细!$A$2:$A$50000,$B$4,缺陷明细!$G$2:$G$50000,$C73,缺陷明细!$Q$2:$Q$50000,"已关闭",缺陷明细!$J$2:$J$50000,"系统测试案例评审")</f>
        <v>0</v>
      </c>
      <c r="P73" s="72">
        <f>COUNTIFS(缺陷明细!$A$2:$A$50000,$B$4,缺陷明细!$G$2:$G$50000,$C73,缺陷明细!$J$2:$J$50000,"系统测试",缺陷明细!$AA$2:$AA$50000,"&lt;&gt;丢弃",缺陷明细!$AA$2:$AA$50000,"&lt;&gt;设计如此",缺陷明细!$AA$2:$AA$50000,"&lt;&gt;重复Bug")</f>
        <v>0</v>
      </c>
      <c r="Q73" s="72">
        <f>COUNTIFS(缺陷明细!$A$2:$A$50000,$B$4,缺陷明细!$G$2:$G$50000,$C73,缺陷明细!$Q$2:$Q$50000,"已关闭",缺陷明细!$J$2:$J$50000,"系统测试")</f>
        <v>0</v>
      </c>
      <c r="R73" s="354">
        <f>COUNTIFS(缺陷明细!$A$2:$A$50000,$B$4,缺陷明细!$G$2:$G$50000,$C73,缺陷明细!$AA$2:$AA$50000,"丢弃",缺陷明细!$J$2:$J$50000,"系统测试")+COUNTIFS(缺陷明细!$A$2:$A$50000,$B$4,缺陷明细!$G$2:$G$50000,$C73,缺陷明细!$AA$2:$AA$50000,"设计如此",缺陷明细!$J$2:$J$50000,"系统测试")+COUNTIFS(缺陷明细!$A$2:$A$50000,$B$4,缺陷明细!$G$2:$G$50000,$C73,缺陷明细!$AA$2:$AA$50000,"重复Bug",缺陷明细!$J$2:$J$50000,"系统测试")</f>
        <v>0</v>
      </c>
      <c r="S73" s="72">
        <f>COUNTIFS(缺陷明细!$A$2:$A$50000,$B$4,缺陷明细!$G$2:$G$50000,$C73,缺陷明细!$J$2:$J$50000,"系统测试",缺陷明细!$K$2:$K$50000,"致命",缺陷明细!$AA$2:$AA$50000,"&lt;&gt;丢弃",缺陷明细!$AA$2:$AA$50000,"&lt;&gt;设计如此",缺陷明细!$AA$2:$AA$50000,"&lt;&gt;重复Bug")+COUNTIFS(缺陷明细!$A$2:$A$50000,$B$4,缺陷明细!$G$2:$G$50000,$C73,缺陷明细!$J$2:$J$50000,"系统测试",缺陷明细!$K$2:$K$50000,"严重",缺陷明细!$AA$2:$AA$50000,"&lt;&gt;丢弃",缺陷明细!$AA$2:$AA$50000,"&lt;&gt;设计如此",缺陷明细!$AA$2:$AA$50000,"&lt;&gt;重复Bug")</f>
        <v>0</v>
      </c>
      <c r="T73" s="73">
        <f>COUNTIFS(缺陷明细!$A$2:$A$50000,$B$4,缺陷明细!$G$2:$G$50000,$C73,缺陷明细!$Q$2:$Q$50000,"已关闭",缺陷明细!$J$2:$J$50000,"系统测试",缺陷明细!$K$2:$K$50000,"致命")+COUNTIFS(缺陷明细!$A$2:$A$50000,$B$4,缺陷明细!$G$2:$G$50000,$C73,缺陷明细!$Q$2:$Q$50000,"已关闭",缺陷明细!$J$2:$J$50000,"系统测试",缺陷明细!$K$2:$K$50000,"严重")</f>
        <v>0</v>
      </c>
      <c r="U73" s="74">
        <f>COUNTIFS(缺陷明细!$A$2:$A$50000,$B$4,缺陷明细!$G$2:$G$50000,$C73,缺陷明细!$J$2:$J$50000,"验收测试",缺陷明细!$AA$2:$AA$50000,"&lt;&gt;丢弃",缺陷明细!$AA$2:$AA$50000,"&lt;&gt;设计如此",缺陷明细!$AA$2:$AA$50000,"&lt;&gt;重复Bug")</f>
        <v>0</v>
      </c>
      <c r="V73" s="75">
        <f>COUNTIFS(缺陷明细!$A$2:$A$50000,$B$4,缺陷明细!$G$2:$G$50000,$C73,缺陷明细!$Q$2:$Q$50000,"已关闭",缺陷明细!$J$2:$J$50000,"验收测试")</f>
        <v>0</v>
      </c>
      <c r="W73" s="75">
        <f>COUNTIFS(缺陷明细!$A$2:$A$50000,$B$4,缺陷明细!$G$2:$G$50000,$C73,缺陷明细!$J$2:$J$50000,"验收测试",缺陷明细!$K$2:$K$50000,"致命",缺陷明细!$AA$2:$AA$50000,"&lt;&gt;丢弃",缺陷明细!$AA$2:$AA$50000,"&lt;&gt;设计如此",缺陷明细!$AA$2:$AA$50000,"&lt;&gt;重复Bug")+COUNTIFS(缺陷明细!$A$2:$A$50000,$B$4,缺陷明细!$G$2:$G$50000,$C73,缺陷明细!$J$2:$J$50000,"验收测试",缺陷明细!$K$2:$K$50000,"严重",缺陷明细!$AA$2:$AA$50000,"&lt;&gt;丢弃",缺陷明细!$AA$2:$AA$50000,"&lt;&gt;设计如此",缺陷明细!$AA$2:$AA$50000,"&lt;&gt;重复Bug")</f>
        <v>0</v>
      </c>
      <c r="X73" s="76">
        <f>COUNTIFS(缺陷明细!$A$2:$A$50000,$B$4,缺陷明细!$G$2:$G$50000,$C73,缺陷明细!$Q$2:$Q$50000,"已关闭",缺陷明细!$J$2:$J$50000,"验收测试",缺陷明细!$K$2:$K$50000,"致命")+COUNTIFS(缺陷明细!$A$2:$A$50000,$B$4,缺陷明细!$G$2:$G$50000,$C73,缺陷明细!$Q$2:$Q$50000,"已关闭",缺陷明细!$J$2:$J$50000,"验收测试",缺陷明细!$K$2:$K$50000,"严重")</f>
        <v>0</v>
      </c>
      <c r="Y73" s="70">
        <f>COUNTIFS(缺陷明细!$A$2:$A$50000,$B$4,缺陷明细!$G$2:$G$50000,$C73,缺陷明细!$J$2:$J$50000,"运维测试",缺陷明细!$AA$2:$AA$50000,"&lt;&gt;丢弃",缺陷明细!$AA$2:$AA$50000,"&lt;&gt;设计如此",缺陷明细!$AA$2:$AA$50000,"&lt;&gt;重复Bug")</f>
        <v>0</v>
      </c>
      <c r="Z73" s="71">
        <f>COUNTIFS(缺陷明细!$A$2:$A$50000,$B$4,缺陷明细!$G$2:$G$50000,$C73,缺陷明细!$Q$2:$Q$50000,"已关闭",缺陷明细!$J$2:$J$50000,"运维测试")</f>
        <v>0</v>
      </c>
      <c r="AA73" s="72">
        <f>COUNTIFS(缺陷明细!$A$2:$A$50000,$B$4,缺陷明细!$G$2:$G$50000,$C73,缺陷明细!$J$2:$J$50000,"运维测试",缺陷明细!$K$2:$K$50000,"致命",缺陷明细!$AA$2:$AA$50000,"&lt;&gt;丢弃",缺陷明细!$AA$2:$AA$50000,"&lt;&gt;设计如此",缺陷明细!$AA$2:$AA$50000,"&lt;&gt;重复Bug")+COUNTIFS(缺陷明细!$A$2:$A$50000,$B$4,缺陷明细!$G$2:$G$50000,$C73,缺陷明细!$J$2:$J$50000,"运维测试",缺陷明细!$K$2:$K$50000,"严重",缺陷明细!$AA$2:$AA$50000,"&lt;&gt;丢弃",缺陷明细!$AA$2:$AA$50000,"&lt;&gt;设计如此",缺陷明细!$AA$2:$AA$50000,"&lt;&gt;重复Bug")</f>
        <v>0</v>
      </c>
      <c r="AB73" s="73">
        <f>COUNTIFS(缺陷明细!$A$2:$A$50000,$B$4,缺陷明细!$G$2:$G$50000,$C73,缺陷明细!$Q$2:$Q$50000,"已关闭",缺陷明细!$J$2:$J$50000,"运维测试",缺陷明细!$K$2:$K$50000,"致命")+COUNTIFS(缺陷明细!$A$2:$A$50000,$B$4,缺陷明细!$G$2:$G$50000,$C73,缺陷明细!$Q$2:$Q$50000,"已关闭",缺陷明细!$J$2:$J$50000,"运维测试",缺陷明细!$K$2:$K$50000,"严重")</f>
        <v>0</v>
      </c>
      <c r="AC73" s="68">
        <f t="shared" si="4"/>
        <v>0</v>
      </c>
      <c r="AD73" s="60">
        <f t="shared" si="5"/>
        <v>0</v>
      </c>
      <c r="AE73" s="60">
        <f t="shared" si="6"/>
        <v>0</v>
      </c>
      <c r="AF73" s="60">
        <f t="shared" si="7"/>
        <v>0</v>
      </c>
      <c r="AG73" s="60">
        <f t="shared" si="8"/>
        <v>0</v>
      </c>
      <c r="AH73" s="60">
        <f t="shared" si="9"/>
        <v>0</v>
      </c>
      <c r="AI73" s="60">
        <f t="shared" si="10"/>
        <v>0</v>
      </c>
      <c r="AJ73" s="61">
        <f t="shared" si="11"/>
        <v>0</v>
      </c>
      <c r="AK73" s="151"/>
    </row>
    <row r="74" spans="1:37" ht="26.4">
      <c r="A74">
        <v>70</v>
      </c>
      <c r="B74" s="347">
        <v>537</v>
      </c>
      <c r="C74" s="58" t="s">
        <v>420</v>
      </c>
      <c r="D74" s="84" t="s">
        <v>467</v>
      </c>
      <c r="E74" s="82" t="s">
        <v>472</v>
      </c>
      <c r="F74" s="322">
        <v>0.5</v>
      </c>
      <c r="G74" s="323">
        <v>0.2</v>
      </c>
      <c r="H74" s="305">
        <f>COUNTIFS(缺陷明细!$A$2:$A$50000,$B$4,缺陷明细!$G$2:$G$50000,$C74,缺陷明细!$J$2:$J$50000,"评审",缺陷明细!$AA$2:$AA$50000,"&lt;&gt;丢弃",缺陷明细!$AA$2:$AA$50000,"&lt;&gt;设计如此",缺陷明细!$AA$2:$AA$50000,"&lt;&gt;重复Bug")</f>
        <v>0</v>
      </c>
      <c r="I74" s="161">
        <f>COUNTIFS(缺陷明细!$A$2:$A$50000,$B$4,缺陷明细!$G$2:$G$50000,$C74,缺陷明细!$Q$2:$Q$50000,"已关闭",缺陷明细!$J$2:$J$50000,"评审")</f>
        <v>0</v>
      </c>
      <c r="J74" s="161">
        <f>COUNTIFS(缺陷明细!$A$2:$A$50000,$B$4,缺陷明细!$G$2:$G$50000,$C74,缺陷明细!$J$2:$J$50000,"单元测试",缺陷明细!$AA$2:$AA$50000,"&lt;&gt;丢弃",缺陷明细!$AA$2:$AA$50000,"&lt;&gt;设计如此",缺陷明细!$AA$2:$AA$50000,"&lt;&gt;重复Bug")</f>
        <v>0</v>
      </c>
      <c r="K74" s="162">
        <f>COUNTIFS(缺陷明细!$A$2:$A$50000,$B$4,缺陷明细!$G$2:$G$50000,$C74,缺陷明细!$Q$2:$Q$50000,"已关闭",缺陷明细!$J$2:$J$50000,"单元测试")</f>
        <v>0</v>
      </c>
      <c r="L74" s="163"/>
      <c r="M74" s="164"/>
      <c r="N74" s="72">
        <f>COUNTIFS(缺陷明细!$A$2:$A$50000,$B$4,缺陷明细!$G$2:$G$50000,$C74,缺陷明细!$J$2:$J$50000,"系统测试案例评审",缺陷明细!$AA$2:$AA$50000,"&lt;&gt;丢弃",缺陷明细!$AA$2:$AA$50000,"&lt;&gt;设计如此",缺陷明细!$AA$2:$AA$50000,"&lt;&gt;重复Bug")</f>
        <v>0</v>
      </c>
      <c r="O74" s="72">
        <f>COUNTIFS(缺陷明细!$A$2:$A$50000,$B$4,缺陷明细!$G$2:$G$50000,$C74,缺陷明细!$Q$2:$Q$50000,"已关闭",缺陷明细!$J$2:$J$50000,"系统测试案例评审")</f>
        <v>0</v>
      </c>
      <c r="P74" s="72">
        <f>COUNTIFS(缺陷明细!$A$2:$A$50000,$B$4,缺陷明细!$G$2:$G$50000,$C74,缺陷明细!$J$2:$J$50000,"系统测试",缺陷明细!$AA$2:$AA$50000,"&lt;&gt;丢弃",缺陷明细!$AA$2:$AA$50000,"&lt;&gt;设计如此",缺陷明细!$AA$2:$AA$50000,"&lt;&gt;重复Bug")</f>
        <v>0</v>
      </c>
      <c r="Q74" s="72">
        <f>COUNTIFS(缺陷明细!$A$2:$A$50000,$B$4,缺陷明细!$G$2:$G$50000,$C74,缺陷明细!$Q$2:$Q$50000,"已关闭",缺陷明细!$J$2:$J$50000,"系统测试")</f>
        <v>0</v>
      </c>
      <c r="R74" s="354">
        <f>COUNTIFS(缺陷明细!$A$2:$A$50000,$B$4,缺陷明细!$G$2:$G$50000,$C74,缺陷明细!$AA$2:$AA$50000,"丢弃",缺陷明细!$J$2:$J$50000,"系统测试")+COUNTIFS(缺陷明细!$A$2:$A$50000,$B$4,缺陷明细!$G$2:$G$50000,$C74,缺陷明细!$AA$2:$AA$50000,"设计如此",缺陷明细!$J$2:$J$50000,"系统测试")+COUNTIFS(缺陷明细!$A$2:$A$50000,$B$4,缺陷明细!$G$2:$G$50000,$C74,缺陷明细!$AA$2:$AA$50000,"重复Bug",缺陷明细!$J$2:$J$50000,"系统测试")</f>
        <v>0</v>
      </c>
      <c r="S74" s="72">
        <f>COUNTIFS(缺陷明细!$A$2:$A$50000,$B$4,缺陷明细!$G$2:$G$50000,$C74,缺陷明细!$J$2:$J$50000,"系统测试",缺陷明细!$K$2:$K$50000,"致命",缺陷明细!$AA$2:$AA$50000,"&lt;&gt;丢弃",缺陷明细!$AA$2:$AA$50000,"&lt;&gt;设计如此",缺陷明细!$AA$2:$AA$50000,"&lt;&gt;重复Bug")+COUNTIFS(缺陷明细!$A$2:$A$50000,$B$4,缺陷明细!$G$2:$G$50000,$C74,缺陷明细!$J$2:$J$50000,"系统测试",缺陷明细!$K$2:$K$50000,"严重",缺陷明细!$AA$2:$AA$50000,"&lt;&gt;丢弃",缺陷明细!$AA$2:$AA$50000,"&lt;&gt;设计如此",缺陷明细!$AA$2:$AA$50000,"&lt;&gt;重复Bug")</f>
        <v>0</v>
      </c>
      <c r="T74" s="73">
        <f>COUNTIFS(缺陷明细!$A$2:$A$50000,$B$4,缺陷明细!$G$2:$G$50000,$C74,缺陷明细!$Q$2:$Q$50000,"已关闭",缺陷明细!$J$2:$J$50000,"系统测试",缺陷明细!$K$2:$K$50000,"致命")+COUNTIFS(缺陷明细!$A$2:$A$50000,$B$4,缺陷明细!$G$2:$G$50000,$C74,缺陷明细!$Q$2:$Q$50000,"已关闭",缺陷明细!$J$2:$J$50000,"系统测试",缺陷明细!$K$2:$K$50000,"严重")</f>
        <v>0</v>
      </c>
      <c r="U74" s="74">
        <f>COUNTIFS(缺陷明细!$A$2:$A$50000,$B$4,缺陷明细!$G$2:$G$50000,$C74,缺陷明细!$J$2:$J$50000,"验收测试",缺陷明细!$AA$2:$AA$50000,"&lt;&gt;丢弃",缺陷明细!$AA$2:$AA$50000,"&lt;&gt;设计如此",缺陷明细!$AA$2:$AA$50000,"&lt;&gt;重复Bug")</f>
        <v>0</v>
      </c>
      <c r="V74" s="75">
        <f>COUNTIFS(缺陷明细!$A$2:$A$50000,$B$4,缺陷明细!$G$2:$G$50000,$C74,缺陷明细!$Q$2:$Q$50000,"已关闭",缺陷明细!$J$2:$J$50000,"验收测试")</f>
        <v>0</v>
      </c>
      <c r="W74" s="75">
        <f>COUNTIFS(缺陷明细!$A$2:$A$50000,$B$4,缺陷明细!$G$2:$G$50000,$C74,缺陷明细!$J$2:$J$50000,"验收测试",缺陷明细!$K$2:$K$50000,"致命",缺陷明细!$AA$2:$AA$50000,"&lt;&gt;丢弃",缺陷明细!$AA$2:$AA$50000,"&lt;&gt;设计如此",缺陷明细!$AA$2:$AA$50000,"&lt;&gt;重复Bug")+COUNTIFS(缺陷明细!$A$2:$A$50000,$B$4,缺陷明细!$G$2:$G$50000,$C74,缺陷明细!$J$2:$J$50000,"验收测试",缺陷明细!$K$2:$K$50000,"严重",缺陷明细!$AA$2:$AA$50000,"&lt;&gt;丢弃",缺陷明细!$AA$2:$AA$50000,"&lt;&gt;设计如此",缺陷明细!$AA$2:$AA$50000,"&lt;&gt;重复Bug")</f>
        <v>0</v>
      </c>
      <c r="X74" s="76">
        <f>COUNTIFS(缺陷明细!$A$2:$A$50000,$B$4,缺陷明细!$G$2:$G$50000,$C74,缺陷明细!$Q$2:$Q$50000,"已关闭",缺陷明细!$J$2:$J$50000,"验收测试",缺陷明细!$K$2:$K$50000,"致命")+COUNTIFS(缺陷明细!$A$2:$A$50000,$B$4,缺陷明细!$G$2:$G$50000,$C74,缺陷明细!$Q$2:$Q$50000,"已关闭",缺陷明细!$J$2:$J$50000,"验收测试",缺陷明细!$K$2:$K$50000,"严重")</f>
        <v>0</v>
      </c>
      <c r="Y74" s="70">
        <f>COUNTIFS(缺陷明细!$A$2:$A$50000,$B$4,缺陷明细!$G$2:$G$50000,$C74,缺陷明细!$J$2:$J$50000,"运维测试",缺陷明细!$AA$2:$AA$50000,"&lt;&gt;丢弃",缺陷明细!$AA$2:$AA$50000,"&lt;&gt;设计如此",缺陷明细!$AA$2:$AA$50000,"&lt;&gt;重复Bug")</f>
        <v>0</v>
      </c>
      <c r="Z74" s="71">
        <f>COUNTIFS(缺陷明细!$A$2:$A$50000,$B$4,缺陷明细!$G$2:$G$50000,$C74,缺陷明细!$Q$2:$Q$50000,"已关闭",缺陷明细!$J$2:$J$50000,"运维测试")</f>
        <v>0</v>
      </c>
      <c r="AA74" s="72">
        <f>COUNTIFS(缺陷明细!$A$2:$A$50000,$B$4,缺陷明细!$G$2:$G$50000,$C74,缺陷明细!$J$2:$J$50000,"运维测试",缺陷明细!$K$2:$K$50000,"致命",缺陷明细!$AA$2:$AA$50000,"&lt;&gt;丢弃",缺陷明细!$AA$2:$AA$50000,"&lt;&gt;设计如此",缺陷明细!$AA$2:$AA$50000,"&lt;&gt;重复Bug")+COUNTIFS(缺陷明细!$A$2:$A$50000,$B$4,缺陷明细!$G$2:$G$50000,$C74,缺陷明细!$J$2:$J$50000,"运维测试",缺陷明细!$K$2:$K$50000,"严重",缺陷明细!$AA$2:$AA$50000,"&lt;&gt;丢弃",缺陷明细!$AA$2:$AA$50000,"&lt;&gt;设计如此",缺陷明细!$AA$2:$AA$50000,"&lt;&gt;重复Bug")</f>
        <v>0</v>
      </c>
      <c r="AB74" s="73">
        <f>COUNTIFS(缺陷明细!$A$2:$A$50000,$B$4,缺陷明细!$G$2:$G$50000,$C74,缺陷明细!$Q$2:$Q$50000,"已关闭",缺陷明细!$J$2:$J$50000,"运维测试",缺陷明细!$K$2:$K$50000,"致命")+COUNTIFS(缺陷明细!$A$2:$A$50000,$B$4,缺陷明细!$G$2:$G$50000,$C74,缺陷明细!$Q$2:$Q$50000,"已关闭",缺陷明细!$J$2:$J$50000,"运维测试",缺陷明细!$K$2:$K$50000,"严重")</f>
        <v>0</v>
      </c>
      <c r="AC74" s="68">
        <f t="shared" si="4"/>
        <v>0</v>
      </c>
      <c r="AD74" s="60">
        <f t="shared" si="5"/>
        <v>0</v>
      </c>
      <c r="AE74" s="60">
        <f t="shared" si="6"/>
        <v>0</v>
      </c>
      <c r="AF74" s="60">
        <f t="shared" si="7"/>
        <v>0</v>
      </c>
      <c r="AG74" s="60">
        <f t="shared" si="8"/>
        <v>0</v>
      </c>
      <c r="AH74" s="60">
        <f t="shared" si="9"/>
        <v>0</v>
      </c>
      <c r="AI74" s="60">
        <f t="shared" si="10"/>
        <v>0</v>
      </c>
      <c r="AJ74" s="61">
        <f t="shared" si="11"/>
        <v>0</v>
      </c>
      <c r="AK74" s="151"/>
    </row>
    <row r="75" spans="1:37" ht="39.6">
      <c r="A75">
        <v>71</v>
      </c>
      <c r="B75" s="347">
        <v>538</v>
      </c>
      <c r="C75" s="58" t="s">
        <v>421</v>
      </c>
      <c r="D75" s="84" t="s">
        <v>467</v>
      </c>
      <c r="E75" s="82" t="s">
        <v>472</v>
      </c>
      <c r="F75" s="322">
        <v>4</v>
      </c>
      <c r="G75" s="323">
        <v>2.5</v>
      </c>
      <c r="H75" s="305">
        <f>COUNTIFS(缺陷明细!$A$2:$A$50000,$B$4,缺陷明细!$G$2:$G$50000,$C75,缺陷明细!$J$2:$J$50000,"评审",缺陷明细!$AA$2:$AA$50000,"&lt;&gt;丢弃",缺陷明细!$AA$2:$AA$50000,"&lt;&gt;设计如此",缺陷明细!$AA$2:$AA$50000,"&lt;&gt;重复Bug")</f>
        <v>0</v>
      </c>
      <c r="I75" s="161">
        <f>COUNTIFS(缺陷明细!$A$2:$A$50000,$B$4,缺陷明细!$G$2:$G$50000,$C75,缺陷明细!$Q$2:$Q$50000,"已关闭",缺陷明细!$J$2:$J$50000,"评审")</f>
        <v>0</v>
      </c>
      <c r="J75" s="161">
        <f>COUNTIFS(缺陷明细!$A$2:$A$50000,$B$4,缺陷明细!$G$2:$G$50000,$C75,缺陷明细!$J$2:$J$50000,"单元测试",缺陷明细!$AA$2:$AA$50000,"&lt;&gt;丢弃",缺陷明细!$AA$2:$AA$50000,"&lt;&gt;设计如此",缺陷明细!$AA$2:$AA$50000,"&lt;&gt;重复Bug")</f>
        <v>0</v>
      </c>
      <c r="K75" s="162">
        <f>COUNTIFS(缺陷明细!$A$2:$A$50000,$B$4,缺陷明细!$G$2:$G$50000,$C75,缺陷明细!$Q$2:$Q$50000,"已关闭",缺陷明细!$J$2:$J$50000,"单元测试")</f>
        <v>0</v>
      </c>
      <c r="L75" s="163"/>
      <c r="M75" s="164"/>
      <c r="N75" s="72">
        <f>COUNTIFS(缺陷明细!$A$2:$A$50000,$B$4,缺陷明细!$G$2:$G$50000,$C75,缺陷明细!$J$2:$J$50000,"系统测试案例评审",缺陷明细!$AA$2:$AA$50000,"&lt;&gt;丢弃",缺陷明细!$AA$2:$AA$50000,"&lt;&gt;设计如此",缺陷明细!$AA$2:$AA$50000,"&lt;&gt;重复Bug")</f>
        <v>0</v>
      </c>
      <c r="O75" s="72">
        <f>COUNTIFS(缺陷明细!$A$2:$A$50000,$B$4,缺陷明细!$G$2:$G$50000,$C75,缺陷明细!$Q$2:$Q$50000,"已关闭",缺陷明细!$J$2:$J$50000,"系统测试案例评审")</f>
        <v>0</v>
      </c>
      <c r="P75" s="72">
        <f>COUNTIFS(缺陷明细!$A$2:$A$50000,$B$4,缺陷明细!$G$2:$G$50000,$C75,缺陷明细!$J$2:$J$50000,"系统测试",缺陷明细!$AA$2:$AA$50000,"&lt;&gt;丢弃",缺陷明细!$AA$2:$AA$50000,"&lt;&gt;设计如此",缺陷明细!$AA$2:$AA$50000,"&lt;&gt;重复Bug")</f>
        <v>0</v>
      </c>
      <c r="Q75" s="72">
        <f>COUNTIFS(缺陷明细!$A$2:$A$50000,$B$4,缺陷明细!$G$2:$G$50000,$C75,缺陷明细!$Q$2:$Q$50000,"已关闭",缺陷明细!$J$2:$J$50000,"系统测试")</f>
        <v>0</v>
      </c>
      <c r="R75" s="354">
        <f>COUNTIFS(缺陷明细!$A$2:$A$50000,$B$4,缺陷明细!$G$2:$G$50000,$C75,缺陷明细!$AA$2:$AA$50000,"丢弃",缺陷明细!$J$2:$J$50000,"系统测试")+COUNTIFS(缺陷明细!$A$2:$A$50000,$B$4,缺陷明细!$G$2:$G$50000,$C75,缺陷明细!$AA$2:$AA$50000,"设计如此",缺陷明细!$J$2:$J$50000,"系统测试")+COUNTIFS(缺陷明细!$A$2:$A$50000,$B$4,缺陷明细!$G$2:$G$50000,$C75,缺陷明细!$AA$2:$AA$50000,"重复Bug",缺陷明细!$J$2:$J$50000,"系统测试")</f>
        <v>0</v>
      </c>
      <c r="S75" s="72">
        <f>COUNTIFS(缺陷明细!$A$2:$A$50000,$B$4,缺陷明细!$G$2:$G$50000,$C75,缺陷明细!$J$2:$J$50000,"系统测试",缺陷明细!$K$2:$K$50000,"致命",缺陷明细!$AA$2:$AA$50000,"&lt;&gt;丢弃",缺陷明细!$AA$2:$AA$50000,"&lt;&gt;设计如此",缺陷明细!$AA$2:$AA$50000,"&lt;&gt;重复Bug")+COUNTIFS(缺陷明细!$A$2:$A$50000,$B$4,缺陷明细!$G$2:$G$50000,$C75,缺陷明细!$J$2:$J$50000,"系统测试",缺陷明细!$K$2:$K$50000,"严重",缺陷明细!$AA$2:$AA$50000,"&lt;&gt;丢弃",缺陷明细!$AA$2:$AA$50000,"&lt;&gt;设计如此",缺陷明细!$AA$2:$AA$50000,"&lt;&gt;重复Bug")</f>
        <v>0</v>
      </c>
      <c r="T75" s="73">
        <f>COUNTIFS(缺陷明细!$A$2:$A$50000,$B$4,缺陷明细!$G$2:$G$50000,$C75,缺陷明细!$Q$2:$Q$50000,"已关闭",缺陷明细!$J$2:$J$50000,"系统测试",缺陷明细!$K$2:$K$50000,"致命")+COUNTIFS(缺陷明细!$A$2:$A$50000,$B$4,缺陷明细!$G$2:$G$50000,$C75,缺陷明细!$Q$2:$Q$50000,"已关闭",缺陷明细!$J$2:$J$50000,"系统测试",缺陷明细!$K$2:$K$50000,"严重")</f>
        <v>0</v>
      </c>
      <c r="U75" s="74">
        <f>COUNTIFS(缺陷明细!$A$2:$A$50000,$B$4,缺陷明细!$G$2:$G$50000,$C75,缺陷明细!$J$2:$J$50000,"验收测试",缺陷明细!$AA$2:$AA$50000,"&lt;&gt;丢弃",缺陷明细!$AA$2:$AA$50000,"&lt;&gt;设计如此",缺陷明细!$AA$2:$AA$50000,"&lt;&gt;重复Bug")</f>
        <v>0</v>
      </c>
      <c r="V75" s="75">
        <f>COUNTIFS(缺陷明细!$A$2:$A$50000,$B$4,缺陷明细!$G$2:$G$50000,$C75,缺陷明细!$Q$2:$Q$50000,"已关闭",缺陷明细!$J$2:$J$50000,"验收测试")</f>
        <v>0</v>
      </c>
      <c r="W75" s="75">
        <f>COUNTIFS(缺陷明细!$A$2:$A$50000,$B$4,缺陷明细!$G$2:$G$50000,$C75,缺陷明细!$J$2:$J$50000,"验收测试",缺陷明细!$K$2:$K$50000,"致命",缺陷明细!$AA$2:$AA$50000,"&lt;&gt;丢弃",缺陷明细!$AA$2:$AA$50000,"&lt;&gt;设计如此",缺陷明细!$AA$2:$AA$50000,"&lt;&gt;重复Bug")+COUNTIFS(缺陷明细!$A$2:$A$50000,$B$4,缺陷明细!$G$2:$G$50000,$C75,缺陷明细!$J$2:$J$50000,"验收测试",缺陷明细!$K$2:$K$50000,"严重",缺陷明细!$AA$2:$AA$50000,"&lt;&gt;丢弃",缺陷明细!$AA$2:$AA$50000,"&lt;&gt;设计如此",缺陷明细!$AA$2:$AA$50000,"&lt;&gt;重复Bug")</f>
        <v>0</v>
      </c>
      <c r="X75" s="76">
        <f>COUNTIFS(缺陷明细!$A$2:$A$50000,$B$4,缺陷明细!$G$2:$G$50000,$C75,缺陷明细!$Q$2:$Q$50000,"已关闭",缺陷明细!$J$2:$J$50000,"验收测试",缺陷明细!$K$2:$K$50000,"致命")+COUNTIFS(缺陷明细!$A$2:$A$50000,$B$4,缺陷明细!$G$2:$G$50000,$C75,缺陷明细!$Q$2:$Q$50000,"已关闭",缺陷明细!$J$2:$J$50000,"验收测试",缺陷明细!$K$2:$K$50000,"严重")</f>
        <v>0</v>
      </c>
      <c r="Y75" s="70">
        <f>COUNTIFS(缺陷明细!$A$2:$A$50000,$B$4,缺陷明细!$G$2:$G$50000,$C75,缺陷明细!$J$2:$J$50000,"运维测试",缺陷明细!$AA$2:$AA$50000,"&lt;&gt;丢弃",缺陷明细!$AA$2:$AA$50000,"&lt;&gt;设计如此",缺陷明细!$AA$2:$AA$50000,"&lt;&gt;重复Bug")</f>
        <v>0</v>
      </c>
      <c r="Z75" s="71">
        <f>COUNTIFS(缺陷明细!$A$2:$A$50000,$B$4,缺陷明细!$G$2:$G$50000,$C75,缺陷明细!$Q$2:$Q$50000,"已关闭",缺陷明细!$J$2:$J$50000,"运维测试")</f>
        <v>0</v>
      </c>
      <c r="AA75" s="72">
        <f>COUNTIFS(缺陷明细!$A$2:$A$50000,$B$4,缺陷明细!$G$2:$G$50000,$C75,缺陷明细!$J$2:$J$50000,"运维测试",缺陷明细!$K$2:$K$50000,"致命",缺陷明细!$AA$2:$AA$50000,"&lt;&gt;丢弃",缺陷明细!$AA$2:$AA$50000,"&lt;&gt;设计如此",缺陷明细!$AA$2:$AA$50000,"&lt;&gt;重复Bug")+COUNTIFS(缺陷明细!$A$2:$A$50000,$B$4,缺陷明细!$G$2:$G$50000,$C75,缺陷明细!$J$2:$J$50000,"运维测试",缺陷明细!$K$2:$K$50000,"严重",缺陷明细!$AA$2:$AA$50000,"&lt;&gt;丢弃",缺陷明细!$AA$2:$AA$50000,"&lt;&gt;设计如此",缺陷明细!$AA$2:$AA$50000,"&lt;&gt;重复Bug")</f>
        <v>0</v>
      </c>
      <c r="AB75" s="73">
        <f>COUNTIFS(缺陷明细!$A$2:$A$50000,$B$4,缺陷明细!$G$2:$G$50000,$C75,缺陷明细!$Q$2:$Q$50000,"已关闭",缺陷明细!$J$2:$J$50000,"运维测试",缺陷明细!$K$2:$K$50000,"致命")+COUNTIFS(缺陷明细!$A$2:$A$50000,$B$4,缺陷明细!$G$2:$G$50000,$C75,缺陷明细!$Q$2:$Q$50000,"已关闭",缺陷明细!$J$2:$J$50000,"运维测试",缺陷明细!$K$2:$K$50000,"严重")</f>
        <v>0</v>
      </c>
      <c r="AC75" s="68">
        <f t="shared" si="4"/>
        <v>0</v>
      </c>
      <c r="AD75" s="60">
        <f t="shared" si="5"/>
        <v>0</v>
      </c>
      <c r="AE75" s="60">
        <f t="shared" si="6"/>
        <v>0</v>
      </c>
      <c r="AF75" s="60">
        <f t="shared" si="7"/>
        <v>0</v>
      </c>
      <c r="AG75" s="60">
        <f t="shared" si="8"/>
        <v>0</v>
      </c>
      <c r="AH75" s="60">
        <f t="shared" si="9"/>
        <v>0</v>
      </c>
      <c r="AI75" s="60">
        <f t="shared" si="10"/>
        <v>0</v>
      </c>
      <c r="AJ75" s="61">
        <f t="shared" si="11"/>
        <v>0</v>
      </c>
      <c r="AK75" s="151"/>
    </row>
    <row r="76" spans="1:37" ht="39.6">
      <c r="A76">
        <v>72</v>
      </c>
      <c r="B76" s="347">
        <v>551</v>
      </c>
      <c r="C76" s="58" t="s">
        <v>422</v>
      </c>
      <c r="D76" s="84" t="s">
        <v>467</v>
      </c>
      <c r="E76" s="82" t="s">
        <v>472</v>
      </c>
      <c r="F76" s="322">
        <v>0.5</v>
      </c>
      <c r="G76" s="323">
        <v>0.5</v>
      </c>
      <c r="H76" s="305">
        <f>COUNTIFS(缺陷明细!$A$2:$A$50000,$B$4,缺陷明细!$G$2:$G$50000,$C76,缺陷明细!$J$2:$J$50000,"评审",缺陷明细!$AA$2:$AA$50000,"&lt;&gt;丢弃",缺陷明细!$AA$2:$AA$50000,"&lt;&gt;设计如此",缺陷明细!$AA$2:$AA$50000,"&lt;&gt;重复Bug")</f>
        <v>0</v>
      </c>
      <c r="I76" s="161">
        <f>COUNTIFS(缺陷明细!$A$2:$A$50000,$B$4,缺陷明细!$G$2:$G$50000,$C76,缺陷明细!$Q$2:$Q$50000,"已关闭",缺陷明细!$J$2:$J$50000,"评审")</f>
        <v>0</v>
      </c>
      <c r="J76" s="161">
        <f>COUNTIFS(缺陷明细!$A$2:$A$50000,$B$4,缺陷明细!$G$2:$G$50000,$C76,缺陷明细!$J$2:$J$50000,"单元测试",缺陷明细!$AA$2:$AA$50000,"&lt;&gt;丢弃",缺陷明细!$AA$2:$AA$50000,"&lt;&gt;设计如此",缺陷明细!$AA$2:$AA$50000,"&lt;&gt;重复Bug")</f>
        <v>0</v>
      </c>
      <c r="K76" s="162">
        <f>COUNTIFS(缺陷明细!$A$2:$A$50000,$B$4,缺陷明细!$G$2:$G$50000,$C76,缺陷明细!$Q$2:$Q$50000,"已关闭",缺陷明细!$J$2:$J$50000,"单元测试")</f>
        <v>0</v>
      </c>
      <c r="L76" s="163"/>
      <c r="M76" s="164"/>
      <c r="N76" s="72">
        <f>COUNTIFS(缺陷明细!$A$2:$A$50000,$B$4,缺陷明细!$G$2:$G$50000,$C76,缺陷明细!$J$2:$J$50000,"系统测试案例评审",缺陷明细!$AA$2:$AA$50000,"&lt;&gt;丢弃",缺陷明细!$AA$2:$AA$50000,"&lt;&gt;设计如此",缺陷明细!$AA$2:$AA$50000,"&lt;&gt;重复Bug")</f>
        <v>0</v>
      </c>
      <c r="O76" s="72">
        <f>COUNTIFS(缺陷明细!$A$2:$A$50000,$B$4,缺陷明细!$G$2:$G$50000,$C76,缺陷明细!$Q$2:$Q$50000,"已关闭",缺陷明细!$J$2:$J$50000,"系统测试案例评审")</f>
        <v>0</v>
      </c>
      <c r="P76" s="72">
        <f>COUNTIFS(缺陷明细!$A$2:$A$50000,$B$4,缺陷明细!$G$2:$G$50000,$C76,缺陷明细!$J$2:$J$50000,"系统测试",缺陷明细!$AA$2:$AA$50000,"&lt;&gt;丢弃",缺陷明细!$AA$2:$AA$50000,"&lt;&gt;设计如此",缺陷明细!$AA$2:$AA$50000,"&lt;&gt;重复Bug")</f>
        <v>0</v>
      </c>
      <c r="Q76" s="72">
        <f>COUNTIFS(缺陷明细!$A$2:$A$50000,$B$4,缺陷明细!$G$2:$G$50000,$C76,缺陷明细!$Q$2:$Q$50000,"已关闭",缺陷明细!$J$2:$J$50000,"系统测试")</f>
        <v>0</v>
      </c>
      <c r="R76" s="354">
        <f>COUNTIFS(缺陷明细!$A$2:$A$50000,$B$4,缺陷明细!$G$2:$G$50000,$C76,缺陷明细!$AA$2:$AA$50000,"丢弃",缺陷明细!$J$2:$J$50000,"系统测试")+COUNTIFS(缺陷明细!$A$2:$A$50000,$B$4,缺陷明细!$G$2:$G$50000,$C76,缺陷明细!$AA$2:$AA$50000,"设计如此",缺陷明细!$J$2:$J$50000,"系统测试")+COUNTIFS(缺陷明细!$A$2:$A$50000,$B$4,缺陷明细!$G$2:$G$50000,$C76,缺陷明细!$AA$2:$AA$50000,"重复Bug",缺陷明细!$J$2:$J$50000,"系统测试")</f>
        <v>0</v>
      </c>
      <c r="S76" s="72">
        <f>COUNTIFS(缺陷明细!$A$2:$A$50000,$B$4,缺陷明细!$G$2:$G$50000,$C76,缺陷明细!$J$2:$J$50000,"系统测试",缺陷明细!$K$2:$K$50000,"致命",缺陷明细!$AA$2:$AA$50000,"&lt;&gt;丢弃",缺陷明细!$AA$2:$AA$50000,"&lt;&gt;设计如此",缺陷明细!$AA$2:$AA$50000,"&lt;&gt;重复Bug")+COUNTIFS(缺陷明细!$A$2:$A$50000,$B$4,缺陷明细!$G$2:$G$50000,$C76,缺陷明细!$J$2:$J$50000,"系统测试",缺陷明细!$K$2:$K$50000,"严重",缺陷明细!$AA$2:$AA$50000,"&lt;&gt;丢弃",缺陷明细!$AA$2:$AA$50000,"&lt;&gt;设计如此",缺陷明细!$AA$2:$AA$50000,"&lt;&gt;重复Bug")</f>
        <v>0</v>
      </c>
      <c r="T76" s="73">
        <f>COUNTIFS(缺陷明细!$A$2:$A$50000,$B$4,缺陷明细!$G$2:$G$50000,$C76,缺陷明细!$Q$2:$Q$50000,"已关闭",缺陷明细!$J$2:$J$50000,"系统测试",缺陷明细!$K$2:$K$50000,"致命")+COUNTIFS(缺陷明细!$A$2:$A$50000,$B$4,缺陷明细!$G$2:$G$50000,$C76,缺陷明细!$Q$2:$Q$50000,"已关闭",缺陷明细!$J$2:$J$50000,"系统测试",缺陷明细!$K$2:$K$50000,"严重")</f>
        <v>0</v>
      </c>
      <c r="U76" s="74">
        <f>COUNTIFS(缺陷明细!$A$2:$A$50000,$B$4,缺陷明细!$G$2:$G$50000,$C76,缺陷明细!$J$2:$J$50000,"验收测试",缺陷明细!$AA$2:$AA$50000,"&lt;&gt;丢弃",缺陷明细!$AA$2:$AA$50000,"&lt;&gt;设计如此",缺陷明细!$AA$2:$AA$50000,"&lt;&gt;重复Bug")</f>
        <v>0</v>
      </c>
      <c r="V76" s="75">
        <f>COUNTIFS(缺陷明细!$A$2:$A$50000,$B$4,缺陷明细!$G$2:$G$50000,$C76,缺陷明细!$Q$2:$Q$50000,"已关闭",缺陷明细!$J$2:$J$50000,"验收测试")</f>
        <v>0</v>
      </c>
      <c r="W76" s="75">
        <f>COUNTIFS(缺陷明细!$A$2:$A$50000,$B$4,缺陷明细!$G$2:$G$50000,$C76,缺陷明细!$J$2:$J$50000,"验收测试",缺陷明细!$K$2:$K$50000,"致命",缺陷明细!$AA$2:$AA$50000,"&lt;&gt;丢弃",缺陷明细!$AA$2:$AA$50000,"&lt;&gt;设计如此",缺陷明细!$AA$2:$AA$50000,"&lt;&gt;重复Bug")+COUNTIFS(缺陷明细!$A$2:$A$50000,$B$4,缺陷明细!$G$2:$G$50000,$C76,缺陷明细!$J$2:$J$50000,"验收测试",缺陷明细!$K$2:$K$50000,"严重",缺陷明细!$AA$2:$AA$50000,"&lt;&gt;丢弃",缺陷明细!$AA$2:$AA$50000,"&lt;&gt;设计如此",缺陷明细!$AA$2:$AA$50000,"&lt;&gt;重复Bug")</f>
        <v>0</v>
      </c>
      <c r="X76" s="76">
        <f>COUNTIFS(缺陷明细!$A$2:$A$50000,$B$4,缺陷明细!$G$2:$G$50000,$C76,缺陷明细!$Q$2:$Q$50000,"已关闭",缺陷明细!$J$2:$J$50000,"验收测试",缺陷明细!$K$2:$K$50000,"致命")+COUNTIFS(缺陷明细!$A$2:$A$50000,$B$4,缺陷明细!$G$2:$G$50000,$C76,缺陷明细!$Q$2:$Q$50000,"已关闭",缺陷明细!$J$2:$J$50000,"验收测试",缺陷明细!$K$2:$K$50000,"严重")</f>
        <v>0</v>
      </c>
      <c r="Y76" s="70">
        <f>COUNTIFS(缺陷明细!$A$2:$A$50000,$B$4,缺陷明细!$G$2:$G$50000,$C76,缺陷明细!$J$2:$J$50000,"运维测试",缺陷明细!$AA$2:$AA$50000,"&lt;&gt;丢弃",缺陷明细!$AA$2:$AA$50000,"&lt;&gt;设计如此",缺陷明细!$AA$2:$AA$50000,"&lt;&gt;重复Bug")</f>
        <v>0</v>
      </c>
      <c r="Z76" s="71">
        <f>COUNTIFS(缺陷明细!$A$2:$A$50000,$B$4,缺陷明细!$G$2:$G$50000,$C76,缺陷明细!$Q$2:$Q$50000,"已关闭",缺陷明细!$J$2:$J$50000,"运维测试")</f>
        <v>0</v>
      </c>
      <c r="AA76" s="72">
        <f>COUNTIFS(缺陷明细!$A$2:$A$50000,$B$4,缺陷明细!$G$2:$G$50000,$C76,缺陷明细!$J$2:$J$50000,"运维测试",缺陷明细!$K$2:$K$50000,"致命",缺陷明细!$AA$2:$AA$50000,"&lt;&gt;丢弃",缺陷明细!$AA$2:$AA$50000,"&lt;&gt;设计如此",缺陷明细!$AA$2:$AA$50000,"&lt;&gt;重复Bug")+COUNTIFS(缺陷明细!$A$2:$A$50000,$B$4,缺陷明细!$G$2:$G$50000,$C76,缺陷明细!$J$2:$J$50000,"运维测试",缺陷明细!$K$2:$K$50000,"严重",缺陷明细!$AA$2:$AA$50000,"&lt;&gt;丢弃",缺陷明细!$AA$2:$AA$50000,"&lt;&gt;设计如此",缺陷明细!$AA$2:$AA$50000,"&lt;&gt;重复Bug")</f>
        <v>0</v>
      </c>
      <c r="AB76" s="73">
        <f>COUNTIFS(缺陷明细!$A$2:$A$50000,$B$4,缺陷明细!$G$2:$G$50000,$C76,缺陷明细!$Q$2:$Q$50000,"已关闭",缺陷明细!$J$2:$J$50000,"运维测试",缺陷明细!$K$2:$K$50000,"致命")+COUNTIFS(缺陷明细!$A$2:$A$50000,$B$4,缺陷明细!$G$2:$G$50000,$C76,缺陷明细!$Q$2:$Q$50000,"已关闭",缺陷明细!$J$2:$J$50000,"运维测试",缺陷明细!$K$2:$K$50000,"严重")</f>
        <v>0</v>
      </c>
      <c r="AC76" s="68">
        <f t="shared" si="4"/>
        <v>0</v>
      </c>
      <c r="AD76" s="60">
        <f t="shared" si="5"/>
        <v>0</v>
      </c>
      <c r="AE76" s="60">
        <f t="shared" si="6"/>
        <v>0</v>
      </c>
      <c r="AF76" s="60">
        <f t="shared" si="7"/>
        <v>0</v>
      </c>
      <c r="AG76" s="60">
        <f t="shared" si="8"/>
        <v>0</v>
      </c>
      <c r="AH76" s="60">
        <f t="shared" si="9"/>
        <v>0</v>
      </c>
      <c r="AI76" s="60">
        <f t="shared" si="10"/>
        <v>0</v>
      </c>
      <c r="AJ76" s="61">
        <f t="shared" si="11"/>
        <v>0</v>
      </c>
      <c r="AK76" s="151"/>
    </row>
    <row r="77" spans="1:37" ht="26.4">
      <c r="A77">
        <v>73</v>
      </c>
      <c r="B77" s="347">
        <v>552</v>
      </c>
      <c r="C77" s="58" t="s">
        <v>423</v>
      </c>
      <c r="D77" s="84" t="s">
        <v>467</v>
      </c>
      <c r="E77" s="82" t="s">
        <v>472</v>
      </c>
      <c r="F77" s="322">
        <v>0.5</v>
      </c>
      <c r="G77" s="323">
        <v>0.5</v>
      </c>
      <c r="H77" s="305">
        <f>COUNTIFS(缺陷明细!$A$2:$A$50000,$B$4,缺陷明细!$G$2:$G$50000,$C77,缺陷明细!$J$2:$J$50000,"评审",缺陷明细!$AA$2:$AA$50000,"&lt;&gt;丢弃",缺陷明细!$AA$2:$AA$50000,"&lt;&gt;设计如此",缺陷明细!$AA$2:$AA$50000,"&lt;&gt;重复Bug")</f>
        <v>0</v>
      </c>
      <c r="I77" s="161">
        <f>COUNTIFS(缺陷明细!$A$2:$A$50000,$B$4,缺陷明细!$G$2:$G$50000,$C77,缺陷明细!$Q$2:$Q$50000,"已关闭",缺陷明细!$J$2:$J$50000,"评审")</f>
        <v>0</v>
      </c>
      <c r="J77" s="161">
        <f>COUNTIFS(缺陷明细!$A$2:$A$50000,$B$4,缺陷明细!$G$2:$G$50000,$C77,缺陷明细!$J$2:$J$50000,"单元测试",缺陷明细!$AA$2:$AA$50000,"&lt;&gt;丢弃",缺陷明细!$AA$2:$AA$50000,"&lt;&gt;设计如此",缺陷明细!$AA$2:$AA$50000,"&lt;&gt;重复Bug")</f>
        <v>0</v>
      </c>
      <c r="K77" s="162">
        <f>COUNTIFS(缺陷明细!$A$2:$A$50000,$B$4,缺陷明细!$G$2:$G$50000,$C77,缺陷明细!$Q$2:$Q$50000,"已关闭",缺陷明细!$J$2:$J$50000,"单元测试")</f>
        <v>0</v>
      </c>
      <c r="L77" s="163"/>
      <c r="M77" s="164"/>
      <c r="N77" s="72">
        <f>COUNTIFS(缺陷明细!$A$2:$A$50000,$B$4,缺陷明细!$G$2:$G$50000,$C77,缺陷明细!$J$2:$J$50000,"系统测试案例评审",缺陷明细!$AA$2:$AA$50000,"&lt;&gt;丢弃",缺陷明细!$AA$2:$AA$50000,"&lt;&gt;设计如此",缺陷明细!$AA$2:$AA$50000,"&lt;&gt;重复Bug")</f>
        <v>0</v>
      </c>
      <c r="O77" s="72">
        <f>COUNTIFS(缺陷明细!$A$2:$A$50000,$B$4,缺陷明细!$G$2:$G$50000,$C77,缺陷明细!$Q$2:$Q$50000,"已关闭",缺陷明细!$J$2:$J$50000,"系统测试案例评审")</f>
        <v>0</v>
      </c>
      <c r="P77" s="72">
        <f>COUNTIFS(缺陷明细!$A$2:$A$50000,$B$4,缺陷明细!$G$2:$G$50000,$C77,缺陷明细!$J$2:$J$50000,"系统测试",缺陷明细!$AA$2:$AA$50000,"&lt;&gt;丢弃",缺陷明细!$AA$2:$AA$50000,"&lt;&gt;设计如此",缺陷明细!$AA$2:$AA$50000,"&lt;&gt;重复Bug")</f>
        <v>0</v>
      </c>
      <c r="Q77" s="72">
        <f>COUNTIFS(缺陷明细!$A$2:$A$50000,$B$4,缺陷明细!$G$2:$G$50000,$C77,缺陷明细!$Q$2:$Q$50000,"已关闭",缺陷明细!$J$2:$J$50000,"系统测试")</f>
        <v>0</v>
      </c>
      <c r="R77" s="354">
        <f>COUNTIFS(缺陷明细!$A$2:$A$50000,$B$4,缺陷明细!$G$2:$G$50000,$C77,缺陷明细!$AA$2:$AA$50000,"丢弃",缺陷明细!$J$2:$J$50000,"系统测试")+COUNTIFS(缺陷明细!$A$2:$A$50000,$B$4,缺陷明细!$G$2:$G$50000,$C77,缺陷明细!$AA$2:$AA$50000,"设计如此",缺陷明细!$J$2:$J$50000,"系统测试")+COUNTIFS(缺陷明细!$A$2:$A$50000,$B$4,缺陷明细!$G$2:$G$50000,$C77,缺陷明细!$AA$2:$AA$50000,"重复Bug",缺陷明细!$J$2:$J$50000,"系统测试")</f>
        <v>0</v>
      </c>
      <c r="S77" s="72">
        <f>COUNTIFS(缺陷明细!$A$2:$A$50000,$B$4,缺陷明细!$G$2:$G$50000,$C77,缺陷明细!$J$2:$J$50000,"系统测试",缺陷明细!$K$2:$K$50000,"致命",缺陷明细!$AA$2:$AA$50000,"&lt;&gt;丢弃",缺陷明细!$AA$2:$AA$50000,"&lt;&gt;设计如此",缺陷明细!$AA$2:$AA$50000,"&lt;&gt;重复Bug")+COUNTIFS(缺陷明细!$A$2:$A$50000,$B$4,缺陷明细!$G$2:$G$50000,$C77,缺陷明细!$J$2:$J$50000,"系统测试",缺陷明细!$K$2:$K$50000,"严重",缺陷明细!$AA$2:$AA$50000,"&lt;&gt;丢弃",缺陷明细!$AA$2:$AA$50000,"&lt;&gt;设计如此",缺陷明细!$AA$2:$AA$50000,"&lt;&gt;重复Bug")</f>
        <v>0</v>
      </c>
      <c r="T77" s="73">
        <f>COUNTIFS(缺陷明细!$A$2:$A$50000,$B$4,缺陷明细!$G$2:$G$50000,$C77,缺陷明细!$Q$2:$Q$50000,"已关闭",缺陷明细!$J$2:$J$50000,"系统测试",缺陷明细!$K$2:$K$50000,"致命")+COUNTIFS(缺陷明细!$A$2:$A$50000,$B$4,缺陷明细!$G$2:$G$50000,$C77,缺陷明细!$Q$2:$Q$50000,"已关闭",缺陷明细!$J$2:$J$50000,"系统测试",缺陷明细!$K$2:$K$50000,"严重")</f>
        <v>0</v>
      </c>
      <c r="U77" s="74">
        <f>COUNTIFS(缺陷明细!$A$2:$A$50000,$B$4,缺陷明细!$G$2:$G$50000,$C77,缺陷明细!$J$2:$J$50000,"验收测试",缺陷明细!$AA$2:$AA$50000,"&lt;&gt;丢弃",缺陷明细!$AA$2:$AA$50000,"&lt;&gt;设计如此",缺陷明细!$AA$2:$AA$50000,"&lt;&gt;重复Bug")</f>
        <v>0</v>
      </c>
      <c r="V77" s="75">
        <f>COUNTIFS(缺陷明细!$A$2:$A$50000,$B$4,缺陷明细!$G$2:$G$50000,$C77,缺陷明细!$Q$2:$Q$50000,"已关闭",缺陷明细!$J$2:$J$50000,"验收测试")</f>
        <v>0</v>
      </c>
      <c r="W77" s="75">
        <f>COUNTIFS(缺陷明细!$A$2:$A$50000,$B$4,缺陷明细!$G$2:$G$50000,$C77,缺陷明细!$J$2:$J$50000,"验收测试",缺陷明细!$K$2:$K$50000,"致命",缺陷明细!$AA$2:$AA$50000,"&lt;&gt;丢弃",缺陷明细!$AA$2:$AA$50000,"&lt;&gt;设计如此",缺陷明细!$AA$2:$AA$50000,"&lt;&gt;重复Bug")+COUNTIFS(缺陷明细!$A$2:$A$50000,$B$4,缺陷明细!$G$2:$G$50000,$C77,缺陷明细!$J$2:$J$50000,"验收测试",缺陷明细!$K$2:$K$50000,"严重",缺陷明细!$AA$2:$AA$50000,"&lt;&gt;丢弃",缺陷明细!$AA$2:$AA$50000,"&lt;&gt;设计如此",缺陷明细!$AA$2:$AA$50000,"&lt;&gt;重复Bug")</f>
        <v>0</v>
      </c>
      <c r="X77" s="76">
        <f>COUNTIFS(缺陷明细!$A$2:$A$50000,$B$4,缺陷明细!$G$2:$G$50000,$C77,缺陷明细!$Q$2:$Q$50000,"已关闭",缺陷明细!$J$2:$J$50000,"验收测试",缺陷明细!$K$2:$K$50000,"致命")+COUNTIFS(缺陷明细!$A$2:$A$50000,$B$4,缺陷明细!$G$2:$G$50000,$C77,缺陷明细!$Q$2:$Q$50000,"已关闭",缺陷明细!$J$2:$J$50000,"验收测试",缺陷明细!$K$2:$K$50000,"严重")</f>
        <v>0</v>
      </c>
      <c r="Y77" s="70">
        <f>COUNTIFS(缺陷明细!$A$2:$A$50000,$B$4,缺陷明细!$G$2:$G$50000,$C77,缺陷明细!$J$2:$J$50000,"运维测试",缺陷明细!$AA$2:$AA$50000,"&lt;&gt;丢弃",缺陷明细!$AA$2:$AA$50000,"&lt;&gt;设计如此",缺陷明细!$AA$2:$AA$50000,"&lt;&gt;重复Bug")</f>
        <v>0</v>
      </c>
      <c r="Z77" s="71">
        <f>COUNTIFS(缺陷明细!$A$2:$A$50000,$B$4,缺陷明细!$G$2:$G$50000,$C77,缺陷明细!$Q$2:$Q$50000,"已关闭",缺陷明细!$J$2:$J$50000,"运维测试")</f>
        <v>0</v>
      </c>
      <c r="AA77" s="72">
        <f>COUNTIFS(缺陷明细!$A$2:$A$50000,$B$4,缺陷明细!$G$2:$G$50000,$C77,缺陷明细!$J$2:$J$50000,"运维测试",缺陷明细!$K$2:$K$50000,"致命",缺陷明细!$AA$2:$AA$50000,"&lt;&gt;丢弃",缺陷明细!$AA$2:$AA$50000,"&lt;&gt;设计如此",缺陷明细!$AA$2:$AA$50000,"&lt;&gt;重复Bug")+COUNTIFS(缺陷明细!$A$2:$A$50000,$B$4,缺陷明细!$G$2:$G$50000,$C77,缺陷明细!$J$2:$J$50000,"运维测试",缺陷明细!$K$2:$K$50000,"严重",缺陷明细!$AA$2:$AA$50000,"&lt;&gt;丢弃",缺陷明细!$AA$2:$AA$50000,"&lt;&gt;设计如此",缺陷明细!$AA$2:$AA$50000,"&lt;&gt;重复Bug")</f>
        <v>0</v>
      </c>
      <c r="AB77" s="73">
        <f>COUNTIFS(缺陷明细!$A$2:$A$50000,$B$4,缺陷明细!$G$2:$G$50000,$C77,缺陷明细!$Q$2:$Q$50000,"已关闭",缺陷明细!$J$2:$J$50000,"运维测试",缺陷明细!$K$2:$K$50000,"致命")+COUNTIFS(缺陷明细!$A$2:$A$50000,$B$4,缺陷明细!$G$2:$G$50000,$C77,缺陷明细!$Q$2:$Q$50000,"已关闭",缺陷明细!$J$2:$J$50000,"运维测试",缺陷明细!$K$2:$K$50000,"严重")</f>
        <v>0</v>
      </c>
      <c r="AC77" s="68">
        <f t="shared" si="4"/>
        <v>0</v>
      </c>
      <c r="AD77" s="60">
        <f t="shared" si="5"/>
        <v>0</v>
      </c>
      <c r="AE77" s="60">
        <f t="shared" si="6"/>
        <v>0</v>
      </c>
      <c r="AF77" s="60">
        <f t="shared" si="7"/>
        <v>0</v>
      </c>
      <c r="AG77" s="60">
        <f t="shared" si="8"/>
        <v>0</v>
      </c>
      <c r="AH77" s="60">
        <f t="shared" si="9"/>
        <v>0</v>
      </c>
      <c r="AI77" s="60">
        <f t="shared" si="10"/>
        <v>0</v>
      </c>
      <c r="AJ77" s="61">
        <f t="shared" si="11"/>
        <v>0</v>
      </c>
      <c r="AK77" s="151"/>
    </row>
    <row r="78" spans="1:37" ht="26.4">
      <c r="A78">
        <v>74</v>
      </c>
      <c r="B78" s="347">
        <v>555</v>
      </c>
      <c r="C78" s="58" t="s">
        <v>424</v>
      </c>
      <c r="D78" s="84" t="s">
        <v>467</v>
      </c>
      <c r="E78" s="82" t="s">
        <v>472</v>
      </c>
      <c r="F78" s="322">
        <v>4</v>
      </c>
      <c r="G78" s="323">
        <v>0</v>
      </c>
      <c r="H78" s="305">
        <f>COUNTIFS(缺陷明细!$A$2:$A$50000,$B$4,缺陷明细!$G$2:$G$50000,$C78,缺陷明细!$J$2:$J$50000,"评审",缺陷明细!$AA$2:$AA$50000,"&lt;&gt;丢弃",缺陷明细!$AA$2:$AA$50000,"&lt;&gt;设计如此",缺陷明细!$AA$2:$AA$50000,"&lt;&gt;重复Bug")</f>
        <v>0</v>
      </c>
      <c r="I78" s="161">
        <f>COUNTIFS(缺陷明细!$A$2:$A$50000,$B$4,缺陷明细!$G$2:$G$50000,$C78,缺陷明细!$Q$2:$Q$50000,"已关闭",缺陷明细!$J$2:$J$50000,"评审")</f>
        <v>0</v>
      </c>
      <c r="J78" s="161">
        <f>COUNTIFS(缺陷明细!$A$2:$A$50000,$B$4,缺陷明细!$G$2:$G$50000,$C78,缺陷明细!$J$2:$J$50000,"单元测试",缺陷明细!$AA$2:$AA$50000,"&lt;&gt;丢弃",缺陷明细!$AA$2:$AA$50000,"&lt;&gt;设计如此",缺陷明细!$AA$2:$AA$50000,"&lt;&gt;重复Bug")</f>
        <v>0</v>
      </c>
      <c r="K78" s="162">
        <f>COUNTIFS(缺陷明细!$A$2:$A$50000,$B$4,缺陷明细!$G$2:$G$50000,$C78,缺陷明细!$Q$2:$Q$50000,"已关闭",缺陷明细!$J$2:$J$50000,"单元测试")</f>
        <v>0</v>
      </c>
      <c r="L78" s="163"/>
      <c r="M78" s="164"/>
      <c r="N78" s="72">
        <f>COUNTIFS(缺陷明细!$A$2:$A$50000,$B$4,缺陷明细!$G$2:$G$50000,$C78,缺陷明细!$J$2:$J$50000,"系统测试案例评审",缺陷明细!$AA$2:$AA$50000,"&lt;&gt;丢弃",缺陷明细!$AA$2:$AA$50000,"&lt;&gt;设计如此",缺陷明细!$AA$2:$AA$50000,"&lt;&gt;重复Bug")</f>
        <v>0</v>
      </c>
      <c r="O78" s="72">
        <f>COUNTIFS(缺陷明细!$A$2:$A$50000,$B$4,缺陷明细!$G$2:$G$50000,$C78,缺陷明细!$Q$2:$Q$50000,"已关闭",缺陷明细!$J$2:$J$50000,"系统测试案例评审")</f>
        <v>0</v>
      </c>
      <c r="P78" s="72">
        <f>COUNTIFS(缺陷明细!$A$2:$A$50000,$B$4,缺陷明细!$G$2:$G$50000,$C78,缺陷明细!$J$2:$J$50000,"系统测试",缺陷明细!$AA$2:$AA$50000,"&lt;&gt;丢弃",缺陷明细!$AA$2:$AA$50000,"&lt;&gt;设计如此",缺陷明细!$AA$2:$AA$50000,"&lt;&gt;重复Bug")</f>
        <v>0</v>
      </c>
      <c r="Q78" s="72">
        <f>COUNTIFS(缺陷明细!$A$2:$A$50000,$B$4,缺陷明细!$G$2:$G$50000,$C78,缺陷明细!$Q$2:$Q$50000,"已关闭",缺陷明细!$J$2:$J$50000,"系统测试")</f>
        <v>0</v>
      </c>
      <c r="R78" s="354">
        <f>COUNTIFS(缺陷明细!$A$2:$A$50000,$B$4,缺陷明细!$G$2:$G$50000,$C78,缺陷明细!$AA$2:$AA$50000,"丢弃",缺陷明细!$J$2:$J$50000,"系统测试")+COUNTIFS(缺陷明细!$A$2:$A$50000,$B$4,缺陷明细!$G$2:$G$50000,$C78,缺陷明细!$AA$2:$AA$50000,"设计如此",缺陷明细!$J$2:$J$50000,"系统测试")+COUNTIFS(缺陷明细!$A$2:$A$50000,$B$4,缺陷明细!$G$2:$G$50000,$C78,缺陷明细!$AA$2:$AA$50000,"重复Bug",缺陷明细!$J$2:$J$50000,"系统测试")</f>
        <v>0</v>
      </c>
      <c r="S78" s="72">
        <f>COUNTIFS(缺陷明细!$A$2:$A$50000,$B$4,缺陷明细!$G$2:$G$50000,$C78,缺陷明细!$J$2:$J$50000,"系统测试",缺陷明细!$K$2:$K$50000,"致命",缺陷明细!$AA$2:$AA$50000,"&lt;&gt;丢弃",缺陷明细!$AA$2:$AA$50000,"&lt;&gt;设计如此",缺陷明细!$AA$2:$AA$50000,"&lt;&gt;重复Bug")+COUNTIFS(缺陷明细!$A$2:$A$50000,$B$4,缺陷明细!$G$2:$G$50000,$C78,缺陷明细!$J$2:$J$50000,"系统测试",缺陷明细!$K$2:$K$50000,"严重",缺陷明细!$AA$2:$AA$50000,"&lt;&gt;丢弃",缺陷明细!$AA$2:$AA$50000,"&lt;&gt;设计如此",缺陷明细!$AA$2:$AA$50000,"&lt;&gt;重复Bug")</f>
        <v>0</v>
      </c>
      <c r="T78" s="73">
        <f>COUNTIFS(缺陷明细!$A$2:$A$50000,$B$4,缺陷明细!$G$2:$G$50000,$C78,缺陷明细!$Q$2:$Q$50000,"已关闭",缺陷明细!$J$2:$J$50000,"系统测试",缺陷明细!$K$2:$K$50000,"致命")+COUNTIFS(缺陷明细!$A$2:$A$50000,$B$4,缺陷明细!$G$2:$G$50000,$C78,缺陷明细!$Q$2:$Q$50000,"已关闭",缺陷明细!$J$2:$J$50000,"系统测试",缺陷明细!$K$2:$K$50000,"严重")</f>
        <v>0</v>
      </c>
      <c r="U78" s="74">
        <f>COUNTIFS(缺陷明细!$A$2:$A$50000,$B$4,缺陷明细!$G$2:$G$50000,$C78,缺陷明细!$J$2:$J$50000,"验收测试",缺陷明细!$AA$2:$AA$50000,"&lt;&gt;丢弃",缺陷明细!$AA$2:$AA$50000,"&lt;&gt;设计如此",缺陷明细!$AA$2:$AA$50000,"&lt;&gt;重复Bug")</f>
        <v>0</v>
      </c>
      <c r="V78" s="75">
        <f>COUNTIFS(缺陷明细!$A$2:$A$50000,$B$4,缺陷明细!$G$2:$G$50000,$C78,缺陷明细!$Q$2:$Q$50000,"已关闭",缺陷明细!$J$2:$J$50000,"验收测试")</f>
        <v>0</v>
      </c>
      <c r="W78" s="75">
        <f>COUNTIFS(缺陷明细!$A$2:$A$50000,$B$4,缺陷明细!$G$2:$G$50000,$C78,缺陷明细!$J$2:$J$50000,"验收测试",缺陷明细!$K$2:$K$50000,"致命",缺陷明细!$AA$2:$AA$50000,"&lt;&gt;丢弃",缺陷明细!$AA$2:$AA$50000,"&lt;&gt;设计如此",缺陷明细!$AA$2:$AA$50000,"&lt;&gt;重复Bug")+COUNTIFS(缺陷明细!$A$2:$A$50000,$B$4,缺陷明细!$G$2:$G$50000,$C78,缺陷明细!$J$2:$J$50000,"验收测试",缺陷明细!$K$2:$K$50000,"严重",缺陷明细!$AA$2:$AA$50000,"&lt;&gt;丢弃",缺陷明细!$AA$2:$AA$50000,"&lt;&gt;设计如此",缺陷明细!$AA$2:$AA$50000,"&lt;&gt;重复Bug")</f>
        <v>0</v>
      </c>
      <c r="X78" s="76">
        <f>COUNTIFS(缺陷明细!$A$2:$A$50000,$B$4,缺陷明细!$G$2:$G$50000,$C78,缺陷明细!$Q$2:$Q$50000,"已关闭",缺陷明细!$J$2:$J$50000,"验收测试",缺陷明细!$K$2:$K$50000,"致命")+COUNTIFS(缺陷明细!$A$2:$A$50000,$B$4,缺陷明细!$G$2:$G$50000,$C78,缺陷明细!$Q$2:$Q$50000,"已关闭",缺陷明细!$J$2:$J$50000,"验收测试",缺陷明细!$K$2:$K$50000,"严重")</f>
        <v>0</v>
      </c>
      <c r="Y78" s="70">
        <f>COUNTIFS(缺陷明细!$A$2:$A$50000,$B$4,缺陷明细!$G$2:$G$50000,$C78,缺陷明细!$J$2:$J$50000,"运维测试",缺陷明细!$AA$2:$AA$50000,"&lt;&gt;丢弃",缺陷明细!$AA$2:$AA$50000,"&lt;&gt;设计如此",缺陷明细!$AA$2:$AA$50000,"&lt;&gt;重复Bug")</f>
        <v>0</v>
      </c>
      <c r="Z78" s="71">
        <f>COUNTIFS(缺陷明细!$A$2:$A$50000,$B$4,缺陷明细!$G$2:$G$50000,$C78,缺陷明细!$Q$2:$Q$50000,"已关闭",缺陷明细!$J$2:$J$50000,"运维测试")</f>
        <v>0</v>
      </c>
      <c r="AA78" s="72">
        <f>COUNTIFS(缺陷明细!$A$2:$A$50000,$B$4,缺陷明细!$G$2:$G$50000,$C78,缺陷明细!$J$2:$J$50000,"运维测试",缺陷明细!$K$2:$K$50000,"致命",缺陷明细!$AA$2:$AA$50000,"&lt;&gt;丢弃",缺陷明细!$AA$2:$AA$50000,"&lt;&gt;设计如此",缺陷明细!$AA$2:$AA$50000,"&lt;&gt;重复Bug")+COUNTIFS(缺陷明细!$A$2:$A$50000,$B$4,缺陷明细!$G$2:$G$50000,$C78,缺陷明细!$J$2:$J$50000,"运维测试",缺陷明细!$K$2:$K$50000,"严重",缺陷明细!$AA$2:$AA$50000,"&lt;&gt;丢弃",缺陷明细!$AA$2:$AA$50000,"&lt;&gt;设计如此",缺陷明细!$AA$2:$AA$50000,"&lt;&gt;重复Bug")</f>
        <v>0</v>
      </c>
      <c r="AB78" s="73">
        <f>COUNTIFS(缺陷明细!$A$2:$A$50000,$B$4,缺陷明细!$G$2:$G$50000,$C78,缺陷明细!$Q$2:$Q$50000,"已关闭",缺陷明细!$J$2:$J$50000,"运维测试",缺陷明细!$K$2:$K$50000,"致命")+COUNTIFS(缺陷明细!$A$2:$A$50000,$B$4,缺陷明细!$G$2:$G$50000,$C78,缺陷明细!$Q$2:$Q$50000,"已关闭",缺陷明细!$J$2:$J$50000,"运维测试",缺陷明细!$K$2:$K$50000,"严重")</f>
        <v>0</v>
      </c>
      <c r="AC78" s="68">
        <f t="shared" si="4"/>
        <v>0</v>
      </c>
      <c r="AD78" s="60">
        <f t="shared" si="5"/>
        <v>0</v>
      </c>
      <c r="AE78" s="60">
        <f t="shared" si="6"/>
        <v>0</v>
      </c>
      <c r="AF78" s="60">
        <f t="shared" si="7"/>
        <v>0</v>
      </c>
      <c r="AG78" s="60">
        <f t="shared" si="8"/>
        <v>0</v>
      </c>
      <c r="AH78" s="60">
        <f t="shared" si="9"/>
        <v>0</v>
      </c>
      <c r="AI78" s="60">
        <f t="shared" si="10"/>
        <v>0</v>
      </c>
      <c r="AJ78" s="61">
        <f t="shared" si="11"/>
        <v>0</v>
      </c>
      <c r="AK78" s="151"/>
    </row>
    <row r="79" spans="1:37">
      <c r="A79">
        <v>75</v>
      </c>
      <c r="B79" s="347">
        <v>556</v>
      </c>
      <c r="C79" s="58" t="s">
        <v>425</v>
      </c>
      <c r="D79" s="84" t="s">
        <v>467</v>
      </c>
      <c r="E79" s="82" t="s">
        <v>472</v>
      </c>
      <c r="F79" s="322">
        <v>2</v>
      </c>
      <c r="G79" s="323">
        <v>1</v>
      </c>
      <c r="H79" s="305">
        <f>COUNTIFS(缺陷明细!$A$2:$A$50000,$B$4,缺陷明细!$G$2:$G$50000,$C79,缺陷明细!$J$2:$J$50000,"评审",缺陷明细!$AA$2:$AA$50000,"&lt;&gt;丢弃",缺陷明细!$AA$2:$AA$50000,"&lt;&gt;设计如此",缺陷明细!$AA$2:$AA$50000,"&lt;&gt;重复Bug")</f>
        <v>0</v>
      </c>
      <c r="I79" s="161">
        <f>COUNTIFS(缺陷明细!$A$2:$A$50000,$B$4,缺陷明细!$G$2:$G$50000,$C79,缺陷明细!$Q$2:$Q$50000,"已关闭",缺陷明细!$J$2:$J$50000,"评审")</f>
        <v>0</v>
      </c>
      <c r="J79" s="161">
        <f>COUNTIFS(缺陷明细!$A$2:$A$50000,$B$4,缺陷明细!$G$2:$G$50000,$C79,缺陷明细!$J$2:$J$50000,"单元测试",缺陷明细!$AA$2:$AA$50000,"&lt;&gt;丢弃",缺陷明细!$AA$2:$AA$50000,"&lt;&gt;设计如此",缺陷明细!$AA$2:$AA$50000,"&lt;&gt;重复Bug")</f>
        <v>0</v>
      </c>
      <c r="K79" s="162">
        <f>COUNTIFS(缺陷明细!$A$2:$A$50000,$B$4,缺陷明细!$G$2:$G$50000,$C79,缺陷明细!$Q$2:$Q$50000,"已关闭",缺陷明细!$J$2:$J$50000,"单元测试")</f>
        <v>0</v>
      </c>
      <c r="L79" s="163"/>
      <c r="M79" s="164"/>
      <c r="N79" s="72">
        <f>COUNTIFS(缺陷明细!$A$2:$A$50000,$B$4,缺陷明细!$G$2:$G$50000,$C79,缺陷明细!$J$2:$J$50000,"系统测试案例评审",缺陷明细!$AA$2:$AA$50000,"&lt;&gt;丢弃",缺陷明细!$AA$2:$AA$50000,"&lt;&gt;设计如此",缺陷明细!$AA$2:$AA$50000,"&lt;&gt;重复Bug")</f>
        <v>0</v>
      </c>
      <c r="O79" s="72">
        <f>COUNTIFS(缺陷明细!$A$2:$A$50000,$B$4,缺陷明细!$G$2:$G$50000,$C79,缺陷明细!$Q$2:$Q$50000,"已关闭",缺陷明细!$J$2:$J$50000,"系统测试案例评审")</f>
        <v>0</v>
      </c>
      <c r="P79" s="72">
        <f>COUNTIFS(缺陷明细!$A$2:$A$50000,$B$4,缺陷明细!$G$2:$G$50000,$C79,缺陷明细!$J$2:$J$50000,"系统测试",缺陷明细!$AA$2:$AA$50000,"&lt;&gt;丢弃",缺陷明细!$AA$2:$AA$50000,"&lt;&gt;设计如此",缺陷明细!$AA$2:$AA$50000,"&lt;&gt;重复Bug")</f>
        <v>0</v>
      </c>
      <c r="Q79" s="72">
        <f>COUNTIFS(缺陷明细!$A$2:$A$50000,$B$4,缺陷明细!$G$2:$G$50000,$C79,缺陷明细!$Q$2:$Q$50000,"已关闭",缺陷明细!$J$2:$J$50000,"系统测试")</f>
        <v>0</v>
      </c>
      <c r="R79" s="354">
        <f>COUNTIFS(缺陷明细!$A$2:$A$50000,$B$4,缺陷明细!$G$2:$G$50000,$C79,缺陷明细!$AA$2:$AA$50000,"丢弃",缺陷明细!$J$2:$J$50000,"系统测试")+COUNTIFS(缺陷明细!$A$2:$A$50000,$B$4,缺陷明细!$G$2:$G$50000,$C79,缺陷明细!$AA$2:$AA$50000,"设计如此",缺陷明细!$J$2:$J$50000,"系统测试")+COUNTIFS(缺陷明细!$A$2:$A$50000,$B$4,缺陷明细!$G$2:$G$50000,$C79,缺陷明细!$AA$2:$AA$50000,"重复Bug",缺陷明细!$J$2:$J$50000,"系统测试")</f>
        <v>0</v>
      </c>
      <c r="S79" s="72">
        <f>COUNTIFS(缺陷明细!$A$2:$A$50000,$B$4,缺陷明细!$G$2:$G$50000,$C79,缺陷明细!$J$2:$J$50000,"系统测试",缺陷明细!$K$2:$K$50000,"致命",缺陷明细!$AA$2:$AA$50000,"&lt;&gt;丢弃",缺陷明细!$AA$2:$AA$50000,"&lt;&gt;设计如此",缺陷明细!$AA$2:$AA$50000,"&lt;&gt;重复Bug")+COUNTIFS(缺陷明细!$A$2:$A$50000,$B$4,缺陷明细!$G$2:$G$50000,$C79,缺陷明细!$J$2:$J$50000,"系统测试",缺陷明细!$K$2:$K$50000,"严重",缺陷明细!$AA$2:$AA$50000,"&lt;&gt;丢弃",缺陷明细!$AA$2:$AA$50000,"&lt;&gt;设计如此",缺陷明细!$AA$2:$AA$50000,"&lt;&gt;重复Bug")</f>
        <v>0</v>
      </c>
      <c r="T79" s="73">
        <f>COUNTIFS(缺陷明细!$A$2:$A$50000,$B$4,缺陷明细!$G$2:$G$50000,$C79,缺陷明细!$Q$2:$Q$50000,"已关闭",缺陷明细!$J$2:$J$50000,"系统测试",缺陷明细!$K$2:$K$50000,"致命")+COUNTIFS(缺陷明细!$A$2:$A$50000,$B$4,缺陷明细!$G$2:$G$50000,$C79,缺陷明细!$Q$2:$Q$50000,"已关闭",缺陷明细!$J$2:$J$50000,"系统测试",缺陷明细!$K$2:$K$50000,"严重")</f>
        <v>0</v>
      </c>
      <c r="U79" s="74">
        <f>COUNTIFS(缺陷明细!$A$2:$A$50000,$B$4,缺陷明细!$G$2:$G$50000,$C79,缺陷明细!$J$2:$J$50000,"验收测试",缺陷明细!$AA$2:$AA$50000,"&lt;&gt;丢弃",缺陷明细!$AA$2:$AA$50000,"&lt;&gt;设计如此",缺陷明细!$AA$2:$AA$50000,"&lt;&gt;重复Bug")</f>
        <v>0</v>
      </c>
      <c r="V79" s="75">
        <f>COUNTIFS(缺陷明细!$A$2:$A$50000,$B$4,缺陷明细!$G$2:$G$50000,$C79,缺陷明细!$Q$2:$Q$50000,"已关闭",缺陷明细!$J$2:$J$50000,"验收测试")</f>
        <v>0</v>
      </c>
      <c r="W79" s="75">
        <f>COUNTIFS(缺陷明细!$A$2:$A$50000,$B$4,缺陷明细!$G$2:$G$50000,$C79,缺陷明细!$J$2:$J$50000,"验收测试",缺陷明细!$K$2:$K$50000,"致命",缺陷明细!$AA$2:$AA$50000,"&lt;&gt;丢弃",缺陷明细!$AA$2:$AA$50000,"&lt;&gt;设计如此",缺陷明细!$AA$2:$AA$50000,"&lt;&gt;重复Bug")+COUNTIFS(缺陷明细!$A$2:$A$50000,$B$4,缺陷明细!$G$2:$G$50000,$C79,缺陷明细!$J$2:$J$50000,"验收测试",缺陷明细!$K$2:$K$50000,"严重",缺陷明细!$AA$2:$AA$50000,"&lt;&gt;丢弃",缺陷明细!$AA$2:$AA$50000,"&lt;&gt;设计如此",缺陷明细!$AA$2:$AA$50000,"&lt;&gt;重复Bug")</f>
        <v>0</v>
      </c>
      <c r="X79" s="76">
        <f>COUNTIFS(缺陷明细!$A$2:$A$50000,$B$4,缺陷明细!$G$2:$G$50000,$C79,缺陷明细!$Q$2:$Q$50000,"已关闭",缺陷明细!$J$2:$J$50000,"验收测试",缺陷明细!$K$2:$K$50000,"致命")+COUNTIFS(缺陷明细!$A$2:$A$50000,$B$4,缺陷明细!$G$2:$G$50000,$C79,缺陷明细!$Q$2:$Q$50000,"已关闭",缺陷明细!$J$2:$J$50000,"验收测试",缺陷明细!$K$2:$K$50000,"严重")</f>
        <v>0</v>
      </c>
      <c r="Y79" s="70">
        <f>COUNTIFS(缺陷明细!$A$2:$A$50000,$B$4,缺陷明细!$G$2:$G$50000,$C79,缺陷明细!$J$2:$J$50000,"运维测试",缺陷明细!$AA$2:$AA$50000,"&lt;&gt;丢弃",缺陷明细!$AA$2:$AA$50000,"&lt;&gt;设计如此",缺陷明细!$AA$2:$AA$50000,"&lt;&gt;重复Bug")</f>
        <v>0</v>
      </c>
      <c r="Z79" s="71">
        <f>COUNTIFS(缺陷明细!$A$2:$A$50000,$B$4,缺陷明细!$G$2:$G$50000,$C79,缺陷明细!$Q$2:$Q$50000,"已关闭",缺陷明细!$J$2:$J$50000,"运维测试")</f>
        <v>0</v>
      </c>
      <c r="AA79" s="72">
        <f>COUNTIFS(缺陷明细!$A$2:$A$50000,$B$4,缺陷明细!$G$2:$G$50000,$C79,缺陷明细!$J$2:$J$50000,"运维测试",缺陷明细!$K$2:$K$50000,"致命",缺陷明细!$AA$2:$AA$50000,"&lt;&gt;丢弃",缺陷明细!$AA$2:$AA$50000,"&lt;&gt;设计如此",缺陷明细!$AA$2:$AA$50000,"&lt;&gt;重复Bug")+COUNTIFS(缺陷明细!$A$2:$A$50000,$B$4,缺陷明细!$G$2:$G$50000,$C79,缺陷明细!$J$2:$J$50000,"运维测试",缺陷明细!$K$2:$K$50000,"严重",缺陷明细!$AA$2:$AA$50000,"&lt;&gt;丢弃",缺陷明细!$AA$2:$AA$50000,"&lt;&gt;设计如此",缺陷明细!$AA$2:$AA$50000,"&lt;&gt;重复Bug")</f>
        <v>0</v>
      </c>
      <c r="AB79" s="73">
        <f>COUNTIFS(缺陷明细!$A$2:$A$50000,$B$4,缺陷明细!$G$2:$G$50000,$C79,缺陷明细!$Q$2:$Q$50000,"已关闭",缺陷明细!$J$2:$J$50000,"运维测试",缺陷明细!$K$2:$K$50000,"致命")+COUNTIFS(缺陷明细!$A$2:$A$50000,$B$4,缺陷明细!$G$2:$G$50000,$C79,缺陷明细!$Q$2:$Q$50000,"已关闭",缺陷明细!$J$2:$J$50000,"运维测试",缺陷明细!$K$2:$K$50000,"严重")</f>
        <v>0</v>
      </c>
      <c r="AC79" s="68">
        <f t="shared" si="4"/>
        <v>0</v>
      </c>
      <c r="AD79" s="60">
        <f t="shared" si="5"/>
        <v>0</v>
      </c>
      <c r="AE79" s="60">
        <f t="shared" si="6"/>
        <v>0</v>
      </c>
      <c r="AF79" s="60">
        <f t="shared" si="7"/>
        <v>0</v>
      </c>
      <c r="AG79" s="60">
        <f t="shared" si="8"/>
        <v>0</v>
      </c>
      <c r="AH79" s="60">
        <f t="shared" si="9"/>
        <v>0</v>
      </c>
      <c r="AI79" s="60">
        <f t="shared" si="10"/>
        <v>0</v>
      </c>
      <c r="AJ79" s="61">
        <f t="shared" si="11"/>
        <v>0</v>
      </c>
      <c r="AK79" s="151"/>
    </row>
    <row r="80" spans="1:37" ht="26.4">
      <c r="A80">
        <v>76</v>
      </c>
      <c r="B80" s="347">
        <v>557</v>
      </c>
      <c r="C80" s="58" t="s">
        <v>426</v>
      </c>
      <c r="D80" s="84" t="s">
        <v>467</v>
      </c>
      <c r="E80" s="82" t="s">
        <v>472</v>
      </c>
      <c r="F80" s="322">
        <v>8</v>
      </c>
      <c r="G80" s="323">
        <v>6</v>
      </c>
      <c r="H80" s="305">
        <f>COUNTIFS(缺陷明细!$A$2:$A$50000,$B$4,缺陷明细!$G$2:$G$50000,$C80,缺陷明细!$J$2:$J$50000,"评审",缺陷明细!$AA$2:$AA$50000,"&lt;&gt;丢弃",缺陷明细!$AA$2:$AA$50000,"&lt;&gt;设计如此",缺陷明细!$AA$2:$AA$50000,"&lt;&gt;重复Bug")</f>
        <v>0</v>
      </c>
      <c r="I80" s="161">
        <f>COUNTIFS(缺陷明细!$A$2:$A$50000,$B$4,缺陷明细!$G$2:$G$50000,$C80,缺陷明细!$Q$2:$Q$50000,"已关闭",缺陷明细!$J$2:$J$50000,"评审")</f>
        <v>0</v>
      </c>
      <c r="J80" s="161">
        <f>COUNTIFS(缺陷明细!$A$2:$A$50000,$B$4,缺陷明细!$G$2:$G$50000,$C80,缺陷明细!$J$2:$J$50000,"单元测试",缺陷明细!$AA$2:$AA$50000,"&lt;&gt;丢弃",缺陷明细!$AA$2:$AA$50000,"&lt;&gt;设计如此",缺陷明细!$AA$2:$AA$50000,"&lt;&gt;重复Bug")</f>
        <v>0</v>
      </c>
      <c r="K80" s="162">
        <f>COUNTIFS(缺陷明细!$A$2:$A$50000,$B$4,缺陷明细!$G$2:$G$50000,$C80,缺陷明细!$Q$2:$Q$50000,"已关闭",缺陷明细!$J$2:$J$50000,"单元测试")</f>
        <v>0</v>
      </c>
      <c r="L80" s="163"/>
      <c r="M80" s="164"/>
      <c r="N80" s="72">
        <f>COUNTIFS(缺陷明细!$A$2:$A$50000,$B$4,缺陷明细!$G$2:$G$50000,$C80,缺陷明细!$J$2:$J$50000,"系统测试案例评审",缺陷明细!$AA$2:$AA$50000,"&lt;&gt;丢弃",缺陷明细!$AA$2:$AA$50000,"&lt;&gt;设计如此",缺陷明细!$AA$2:$AA$50000,"&lt;&gt;重复Bug")</f>
        <v>0</v>
      </c>
      <c r="O80" s="72">
        <f>COUNTIFS(缺陷明细!$A$2:$A$50000,$B$4,缺陷明细!$G$2:$G$50000,$C80,缺陷明细!$Q$2:$Q$50000,"已关闭",缺陷明细!$J$2:$J$50000,"系统测试案例评审")</f>
        <v>0</v>
      </c>
      <c r="P80" s="72">
        <f>COUNTIFS(缺陷明细!$A$2:$A$50000,$B$4,缺陷明细!$G$2:$G$50000,$C80,缺陷明细!$J$2:$J$50000,"系统测试",缺陷明细!$AA$2:$AA$50000,"&lt;&gt;丢弃",缺陷明细!$AA$2:$AA$50000,"&lt;&gt;设计如此",缺陷明细!$AA$2:$AA$50000,"&lt;&gt;重复Bug")</f>
        <v>0</v>
      </c>
      <c r="Q80" s="72">
        <f>COUNTIFS(缺陷明细!$A$2:$A$50000,$B$4,缺陷明细!$G$2:$G$50000,$C80,缺陷明细!$Q$2:$Q$50000,"已关闭",缺陷明细!$J$2:$J$50000,"系统测试")</f>
        <v>0</v>
      </c>
      <c r="R80" s="354">
        <f>COUNTIFS(缺陷明细!$A$2:$A$50000,$B$4,缺陷明细!$G$2:$G$50000,$C80,缺陷明细!$AA$2:$AA$50000,"丢弃",缺陷明细!$J$2:$J$50000,"系统测试")+COUNTIFS(缺陷明细!$A$2:$A$50000,$B$4,缺陷明细!$G$2:$G$50000,$C80,缺陷明细!$AA$2:$AA$50000,"设计如此",缺陷明细!$J$2:$J$50000,"系统测试")+COUNTIFS(缺陷明细!$A$2:$A$50000,$B$4,缺陷明细!$G$2:$G$50000,$C80,缺陷明细!$AA$2:$AA$50000,"重复Bug",缺陷明细!$J$2:$J$50000,"系统测试")</f>
        <v>0</v>
      </c>
      <c r="S80" s="72">
        <f>COUNTIFS(缺陷明细!$A$2:$A$50000,$B$4,缺陷明细!$G$2:$G$50000,$C80,缺陷明细!$J$2:$J$50000,"系统测试",缺陷明细!$K$2:$K$50000,"致命",缺陷明细!$AA$2:$AA$50000,"&lt;&gt;丢弃",缺陷明细!$AA$2:$AA$50000,"&lt;&gt;设计如此",缺陷明细!$AA$2:$AA$50000,"&lt;&gt;重复Bug")+COUNTIFS(缺陷明细!$A$2:$A$50000,$B$4,缺陷明细!$G$2:$G$50000,$C80,缺陷明细!$J$2:$J$50000,"系统测试",缺陷明细!$K$2:$K$50000,"严重",缺陷明细!$AA$2:$AA$50000,"&lt;&gt;丢弃",缺陷明细!$AA$2:$AA$50000,"&lt;&gt;设计如此",缺陷明细!$AA$2:$AA$50000,"&lt;&gt;重复Bug")</f>
        <v>0</v>
      </c>
      <c r="T80" s="73">
        <f>COUNTIFS(缺陷明细!$A$2:$A$50000,$B$4,缺陷明细!$G$2:$G$50000,$C80,缺陷明细!$Q$2:$Q$50000,"已关闭",缺陷明细!$J$2:$J$50000,"系统测试",缺陷明细!$K$2:$K$50000,"致命")+COUNTIFS(缺陷明细!$A$2:$A$50000,$B$4,缺陷明细!$G$2:$G$50000,$C80,缺陷明细!$Q$2:$Q$50000,"已关闭",缺陷明细!$J$2:$J$50000,"系统测试",缺陷明细!$K$2:$K$50000,"严重")</f>
        <v>0</v>
      </c>
      <c r="U80" s="74">
        <f>COUNTIFS(缺陷明细!$A$2:$A$50000,$B$4,缺陷明细!$G$2:$G$50000,$C80,缺陷明细!$J$2:$J$50000,"验收测试",缺陷明细!$AA$2:$AA$50000,"&lt;&gt;丢弃",缺陷明细!$AA$2:$AA$50000,"&lt;&gt;设计如此",缺陷明细!$AA$2:$AA$50000,"&lt;&gt;重复Bug")</f>
        <v>0</v>
      </c>
      <c r="V80" s="75">
        <f>COUNTIFS(缺陷明细!$A$2:$A$50000,$B$4,缺陷明细!$G$2:$G$50000,$C80,缺陷明细!$Q$2:$Q$50000,"已关闭",缺陷明细!$J$2:$J$50000,"验收测试")</f>
        <v>0</v>
      </c>
      <c r="W80" s="75">
        <f>COUNTIFS(缺陷明细!$A$2:$A$50000,$B$4,缺陷明细!$G$2:$G$50000,$C80,缺陷明细!$J$2:$J$50000,"验收测试",缺陷明细!$K$2:$K$50000,"致命",缺陷明细!$AA$2:$AA$50000,"&lt;&gt;丢弃",缺陷明细!$AA$2:$AA$50000,"&lt;&gt;设计如此",缺陷明细!$AA$2:$AA$50000,"&lt;&gt;重复Bug")+COUNTIFS(缺陷明细!$A$2:$A$50000,$B$4,缺陷明细!$G$2:$G$50000,$C80,缺陷明细!$J$2:$J$50000,"验收测试",缺陷明细!$K$2:$K$50000,"严重",缺陷明细!$AA$2:$AA$50000,"&lt;&gt;丢弃",缺陷明细!$AA$2:$AA$50000,"&lt;&gt;设计如此",缺陷明细!$AA$2:$AA$50000,"&lt;&gt;重复Bug")</f>
        <v>0</v>
      </c>
      <c r="X80" s="76">
        <f>COUNTIFS(缺陷明细!$A$2:$A$50000,$B$4,缺陷明细!$G$2:$G$50000,$C80,缺陷明细!$Q$2:$Q$50000,"已关闭",缺陷明细!$J$2:$J$50000,"验收测试",缺陷明细!$K$2:$K$50000,"致命")+COUNTIFS(缺陷明细!$A$2:$A$50000,$B$4,缺陷明细!$G$2:$G$50000,$C80,缺陷明细!$Q$2:$Q$50000,"已关闭",缺陷明细!$J$2:$J$50000,"验收测试",缺陷明细!$K$2:$K$50000,"严重")</f>
        <v>0</v>
      </c>
      <c r="Y80" s="70">
        <f>COUNTIFS(缺陷明细!$A$2:$A$50000,$B$4,缺陷明细!$G$2:$G$50000,$C80,缺陷明细!$J$2:$J$50000,"运维测试",缺陷明细!$AA$2:$AA$50000,"&lt;&gt;丢弃",缺陷明细!$AA$2:$AA$50000,"&lt;&gt;设计如此",缺陷明细!$AA$2:$AA$50000,"&lt;&gt;重复Bug")</f>
        <v>0</v>
      </c>
      <c r="Z80" s="71">
        <f>COUNTIFS(缺陷明细!$A$2:$A$50000,$B$4,缺陷明细!$G$2:$G$50000,$C80,缺陷明细!$Q$2:$Q$50000,"已关闭",缺陷明细!$J$2:$J$50000,"运维测试")</f>
        <v>0</v>
      </c>
      <c r="AA80" s="72">
        <f>COUNTIFS(缺陷明细!$A$2:$A$50000,$B$4,缺陷明细!$G$2:$G$50000,$C80,缺陷明细!$J$2:$J$50000,"运维测试",缺陷明细!$K$2:$K$50000,"致命",缺陷明细!$AA$2:$AA$50000,"&lt;&gt;丢弃",缺陷明细!$AA$2:$AA$50000,"&lt;&gt;设计如此",缺陷明细!$AA$2:$AA$50000,"&lt;&gt;重复Bug")+COUNTIFS(缺陷明细!$A$2:$A$50000,$B$4,缺陷明细!$G$2:$G$50000,$C80,缺陷明细!$J$2:$J$50000,"运维测试",缺陷明细!$K$2:$K$50000,"严重",缺陷明细!$AA$2:$AA$50000,"&lt;&gt;丢弃",缺陷明细!$AA$2:$AA$50000,"&lt;&gt;设计如此",缺陷明细!$AA$2:$AA$50000,"&lt;&gt;重复Bug")</f>
        <v>0</v>
      </c>
      <c r="AB80" s="73">
        <f>COUNTIFS(缺陷明细!$A$2:$A$50000,$B$4,缺陷明细!$G$2:$G$50000,$C80,缺陷明细!$Q$2:$Q$50000,"已关闭",缺陷明细!$J$2:$J$50000,"运维测试",缺陷明细!$K$2:$K$50000,"致命")+COUNTIFS(缺陷明细!$A$2:$A$50000,$B$4,缺陷明细!$G$2:$G$50000,$C80,缺陷明细!$Q$2:$Q$50000,"已关闭",缺陷明细!$J$2:$J$50000,"运维测试",缺陷明细!$K$2:$K$50000,"严重")</f>
        <v>0</v>
      </c>
      <c r="AC80" s="68">
        <f t="shared" si="4"/>
        <v>0</v>
      </c>
      <c r="AD80" s="60">
        <f t="shared" si="5"/>
        <v>0</v>
      </c>
      <c r="AE80" s="60">
        <f t="shared" si="6"/>
        <v>0</v>
      </c>
      <c r="AF80" s="60">
        <f t="shared" si="7"/>
        <v>0</v>
      </c>
      <c r="AG80" s="60">
        <f t="shared" si="8"/>
        <v>0</v>
      </c>
      <c r="AH80" s="60">
        <f t="shared" si="9"/>
        <v>0</v>
      </c>
      <c r="AI80" s="60">
        <f t="shared" si="10"/>
        <v>0</v>
      </c>
      <c r="AJ80" s="61">
        <f t="shared" si="11"/>
        <v>0</v>
      </c>
      <c r="AK80" s="151"/>
    </row>
    <row r="81" spans="1:37" ht="26.4">
      <c r="A81">
        <v>77</v>
      </c>
      <c r="B81" s="347">
        <v>558</v>
      </c>
      <c r="C81" s="58" t="s">
        <v>427</v>
      </c>
      <c r="D81" s="84" t="s">
        <v>467</v>
      </c>
      <c r="E81" s="82" t="s">
        <v>472</v>
      </c>
      <c r="F81" s="322">
        <v>8</v>
      </c>
      <c r="G81" s="323">
        <v>8</v>
      </c>
      <c r="H81" s="305">
        <f>COUNTIFS(缺陷明细!$A$2:$A$50000,$B$4,缺陷明细!$G$2:$G$50000,$C81,缺陷明细!$J$2:$J$50000,"评审",缺陷明细!$AA$2:$AA$50000,"&lt;&gt;丢弃",缺陷明细!$AA$2:$AA$50000,"&lt;&gt;设计如此",缺陷明细!$AA$2:$AA$50000,"&lt;&gt;重复Bug")</f>
        <v>0</v>
      </c>
      <c r="I81" s="161">
        <f>COUNTIFS(缺陷明细!$A$2:$A$50000,$B$4,缺陷明细!$G$2:$G$50000,$C81,缺陷明细!$Q$2:$Q$50000,"已关闭",缺陷明细!$J$2:$J$50000,"评审")</f>
        <v>0</v>
      </c>
      <c r="J81" s="161">
        <f>COUNTIFS(缺陷明细!$A$2:$A$50000,$B$4,缺陷明细!$G$2:$G$50000,$C81,缺陷明细!$J$2:$J$50000,"单元测试",缺陷明细!$AA$2:$AA$50000,"&lt;&gt;丢弃",缺陷明细!$AA$2:$AA$50000,"&lt;&gt;设计如此",缺陷明细!$AA$2:$AA$50000,"&lt;&gt;重复Bug")</f>
        <v>0</v>
      </c>
      <c r="K81" s="162">
        <f>COUNTIFS(缺陷明细!$A$2:$A$50000,$B$4,缺陷明细!$G$2:$G$50000,$C81,缺陷明细!$Q$2:$Q$50000,"已关闭",缺陷明细!$J$2:$J$50000,"单元测试")</f>
        <v>0</v>
      </c>
      <c r="L81" s="163"/>
      <c r="M81" s="164"/>
      <c r="N81" s="72">
        <f>COUNTIFS(缺陷明细!$A$2:$A$50000,$B$4,缺陷明细!$G$2:$G$50000,$C81,缺陷明细!$J$2:$J$50000,"系统测试案例评审",缺陷明细!$AA$2:$AA$50000,"&lt;&gt;丢弃",缺陷明细!$AA$2:$AA$50000,"&lt;&gt;设计如此",缺陷明细!$AA$2:$AA$50000,"&lt;&gt;重复Bug")</f>
        <v>0</v>
      </c>
      <c r="O81" s="72">
        <f>COUNTIFS(缺陷明细!$A$2:$A$50000,$B$4,缺陷明细!$G$2:$G$50000,$C81,缺陷明细!$Q$2:$Q$50000,"已关闭",缺陷明细!$J$2:$J$50000,"系统测试案例评审")</f>
        <v>0</v>
      </c>
      <c r="P81" s="72">
        <f>COUNTIFS(缺陷明细!$A$2:$A$50000,$B$4,缺陷明细!$G$2:$G$50000,$C81,缺陷明细!$J$2:$J$50000,"系统测试",缺陷明细!$AA$2:$AA$50000,"&lt;&gt;丢弃",缺陷明细!$AA$2:$AA$50000,"&lt;&gt;设计如此",缺陷明细!$AA$2:$AA$50000,"&lt;&gt;重复Bug")</f>
        <v>0</v>
      </c>
      <c r="Q81" s="72">
        <f>COUNTIFS(缺陷明细!$A$2:$A$50000,$B$4,缺陷明细!$G$2:$G$50000,$C81,缺陷明细!$Q$2:$Q$50000,"已关闭",缺陷明细!$J$2:$J$50000,"系统测试")</f>
        <v>0</v>
      </c>
      <c r="R81" s="354">
        <f>COUNTIFS(缺陷明细!$A$2:$A$50000,$B$4,缺陷明细!$G$2:$G$50000,$C81,缺陷明细!$AA$2:$AA$50000,"丢弃",缺陷明细!$J$2:$J$50000,"系统测试")+COUNTIFS(缺陷明细!$A$2:$A$50000,$B$4,缺陷明细!$G$2:$G$50000,$C81,缺陷明细!$AA$2:$AA$50000,"设计如此",缺陷明细!$J$2:$J$50000,"系统测试")+COUNTIFS(缺陷明细!$A$2:$A$50000,$B$4,缺陷明细!$G$2:$G$50000,$C81,缺陷明细!$AA$2:$AA$50000,"重复Bug",缺陷明细!$J$2:$J$50000,"系统测试")</f>
        <v>0</v>
      </c>
      <c r="S81" s="72">
        <f>COUNTIFS(缺陷明细!$A$2:$A$50000,$B$4,缺陷明细!$G$2:$G$50000,$C81,缺陷明细!$J$2:$J$50000,"系统测试",缺陷明细!$K$2:$K$50000,"致命",缺陷明细!$AA$2:$AA$50000,"&lt;&gt;丢弃",缺陷明细!$AA$2:$AA$50000,"&lt;&gt;设计如此",缺陷明细!$AA$2:$AA$50000,"&lt;&gt;重复Bug")+COUNTIFS(缺陷明细!$A$2:$A$50000,$B$4,缺陷明细!$G$2:$G$50000,$C81,缺陷明细!$J$2:$J$50000,"系统测试",缺陷明细!$K$2:$K$50000,"严重",缺陷明细!$AA$2:$AA$50000,"&lt;&gt;丢弃",缺陷明细!$AA$2:$AA$50000,"&lt;&gt;设计如此",缺陷明细!$AA$2:$AA$50000,"&lt;&gt;重复Bug")</f>
        <v>0</v>
      </c>
      <c r="T81" s="73">
        <f>COUNTIFS(缺陷明细!$A$2:$A$50000,$B$4,缺陷明细!$G$2:$G$50000,$C81,缺陷明细!$Q$2:$Q$50000,"已关闭",缺陷明细!$J$2:$J$50000,"系统测试",缺陷明细!$K$2:$K$50000,"致命")+COUNTIFS(缺陷明细!$A$2:$A$50000,$B$4,缺陷明细!$G$2:$G$50000,$C81,缺陷明细!$Q$2:$Q$50000,"已关闭",缺陷明细!$J$2:$J$50000,"系统测试",缺陷明细!$K$2:$K$50000,"严重")</f>
        <v>0</v>
      </c>
      <c r="U81" s="74">
        <f>COUNTIFS(缺陷明细!$A$2:$A$50000,$B$4,缺陷明细!$G$2:$G$50000,$C81,缺陷明细!$J$2:$J$50000,"验收测试",缺陷明细!$AA$2:$AA$50000,"&lt;&gt;丢弃",缺陷明细!$AA$2:$AA$50000,"&lt;&gt;设计如此",缺陷明细!$AA$2:$AA$50000,"&lt;&gt;重复Bug")</f>
        <v>0</v>
      </c>
      <c r="V81" s="75">
        <f>COUNTIFS(缺陷明细!$A$2:$A$50000,$B$4,缺陷明细!$G$2:$G$50000,$C81,缺陷明细!$Q$2:$Q$50000,"已关闭",缺陷明细!$J$2:$J$50000,"验收测试")</f>
        <v>0</v>
      </c>
      <c r="W81" s="75">
        <f>COUNTIFS(缺陷明细!$A$2:$A$50000,$B$4,缺陷明细!$G$2:$G$50000,$C81,缺陷明细!$J$2:$J$50000,"验收测试",缺陷明细!$K$2:$K$50000,"致命",缺陷明细!$AA$2:$AA$50000,"&lt;&gt;丢弃",缺陷明细!$AA$2:$AA$50000,"&lt;&gt;设计如此",缺陷明细!$AA$2:$AA$50000,"&lt;&gt;重复Bug")+COUNTIFS(缺陷明细!$A$2:$A$50000,$B$4,缺陷明细!$G$2:$G$50000,$C81,缺陷明细!$J$2:$J$50000,"验收测试",缺陷明细!$K$2:$K$50000,"严重",缺陷明细!$AA$2:$AA$50000,"&lt;&gt;丢弃",缺陷明细!$AA$2:$AA$50000,"&lt;&gt;设计如此",缺陷明细!$AA$2:$AA$50000,"&lt;&gt;重复Bug")</f>
        <v>0</v>
      </c>
      <c r="X81" s="76">
        <f>COUNTIFS(缺陷明细!$A$2:$A$50000,$B$4,缺陷明细!$G$2:$G$50000,$C81,缺陷明细!$Q$2:$Q$50000,"已关闭",缺陷明细!$J$2:$J$50000,"验收测试",缺陷明细!$K$2:$K$50000,"致命")+COUNTIFS(缺陷明细!$A$2:$A$50000,$B$4,缺陷明细!$G$2:$G$50000,$C81,缺陷明细!$Q$2:$Q$50000,"已关闭",缺陷明细!$J$2:$J$50000,"验收测试",缺陷明细!$K$2:$K$50000,"严重")</f>
        <v>0</v>
      </c>
      <c r="Y81" s="70">
        <f>COUNTIFS(缺陷明细!$A$2:$A$50000,$B$4,缺陷明细!$G$2:$G$50000,$C81,缺陷明细!$J$2:$J$50000,"运维测试",缺陷明细!$AA$2:$AA$50000,"&lt;&gt;丢弃",缺陷明细!$AA$2:$AA$50000,"&lt;&gt;设计如此",缺陷明细!$AA$2:$AA$50000,"&lt;&gt;重复Bug")</f>
        <v>0</v>
      </c>
      <c r="Z81" s="71">
        <f>COUNTIFS(缺陷明细!$A$2:$A$50000,$B$4,缺陷明细!$G$2:$G$50000,$C81,缺陷明细!$Q$2:$Q$50000,"已关闭",缺陷明细!$J$2:$J$50000,"运维测试")</f>
        <v>0</v>
      </c>
      <c r="AA81" s="72">
        <f>COUNTIFS(缺陷明细!$A$2:$A$50000,$B$4,缺陷明细!$G$2:$G$50000,$C81,缺陷明细!$J$2:$J$50000,"运维测试",缺陷明细!$K$2:$K$50000,"致命",缺陷明细!$AA$2:$AA$50000,"&lt;&gt;丢弃",缺陷明细!$AA$2:$AA$50000,"&lt;&gt;设计如此",缺陷明细!$AA$2:$AA$50000,"&lt;&gt;重复Bug")+COUNTIFS(缺陷明细!$A$2:$A$50000,$B$4,缺陷明细!$G$2:$G$50000,$C81,缺陷明细!$J$2:$J$50000,"运维测试",缺陷明细!$K$2:$K$50000,"严重",缺陷明细!$AA$2:$AA$50000,"&lt;&gt;丢弃",缺陷明细!$AA$2:$AA$50000,"&lt;&gt;设计如此",缺陷明细!$AA$2:$AA$50000,"&lt;&gt;重复Bug")</f>
        <v>0</v>
      </c>
      <c r="AB81" s="73">
        <f>COUNTIFS(缺陷明细!$A$2:$A$50000,$B$4,缺陷明细!$G$2:$G$50000,$C81,缺陷明细!$Q$2:$Q$50000,"已关闭",缺陷明细!$J$2:$J$50000,"运维测试",缺陷明细!$K$2:$K$50000,"致命")+COUNTIFS(缺陷明细!$A$2:$A$50000,$B$4,缺陷明细!$G$2:$G$50000,$C81,缺陷明细!$Q$2:$Q$50000,"已关闭",缺陷明细!$J$2:$J$50000,"运维测试",缺陷明细!$K$2:$K$50000,"严重")</f>
        <v>0</v>
      </c>
      <c r="AC81" s="68">
        <f t="shared" si="4"/>
        <v>0</v>
      </c>
      <c r="AD81" s="60">
        <f t="shared" si="5"/>
        <v>0</v>
      </c>
      <c r="AE81" s="60">
        <f t="shared" si="6"/>
        <v>0</v>
      </c>
      <c r="AF81" s="60">
        <f t="shared" si="7"/>
        <v>0</v>
      </c>
      <c r="AG81" s="60">
        <f t="shared" si="8"/>
        <v>0</v>
      </c>
      <c r="AH81" s="60">
        <f t="shared" si="9"/>
        <v>0</v>
      </c>
      <c r="AI81" s="60">
        <f t="shared" si="10"/>
        <v>0</v>
      </c>
      <c r="AJ81" s="61">
        <f t="shared" si="11"/>
        <v>0</v>
      </c>
      <c r="AK81" s="151"/>
    </row>
    <row r="82" spans="1:37" ht="26.4">
      <c r="A82">
        <v>78</v>
      </c>
      <c r="B82" s="347">
        <v>560</v>
      </c>
      <c r="C82" s="58" t="s">
        <v>428</v>
      </c>
      <c r="D82" s="84" t="s">
        <v>468</v>
      </c>
      <c r="E82" s="82" t="s">
        <v>472</v>
      </c>
      <c r="F82" s="322">
        <v>1</v>
      </c>
      <c r="G82" s="323">
        <v>2</v>
      </c>
      <c r="H82" s="305">
        <f>COUNTIFS(缺陷明细!$A$2:$A$50000,$B$4,缺陷明细!$G$2:$G$50000,$C82,缺陷明细!$J$2:$J$50000,"评审",缺陷明细!$AA$2:$AA$50000,"&lt;&gt;丢弃",缺陷明细!$AA$2:$AA$50000,"&lt;&gt;设计如此",缺陷明细!$AA$2:$AA$50000,"&lt;&gt;重复Bug")</f>
        <v>0</v>
      </c>
      <c r="I82" s="161">
        <f>COUNTIFS(缺陷明细!$A$2:$A$50000,$B$4,缺陷明细!$G$2:$G$50000,$C82,缺陷明细!$Q$2:$Q$50000,"已关闭",缺陷明细!$J$2:$J$50000,"评审")</f>
        <v>0</v>
      </c>
      <c r="J82" s="161">
        <f>COUNTIFS(缺陷明细!$A$2:$A$50000,$B$4,缺陷明细!$G$2:$G$50000,$C82,缺陷明细!$J$2:$J$50000,"单元测试",缺陷明细!$AA$2:$AA$50000,"&lt;&gt;丢弃",缺陷明细!$AA$2:$AA$50000,"&lt;&gt;设计如此",缺陷明细!$AA$2:$AA$50000,"&lt;&gt;重复Bug")</f>
        <v>0</v>
      </c>
      <c r="K82" s="162">
        <f>COUNTIFS(缺陷明细!$A$2:$A$50000,$B$4,缺陷明细!$G$2:$G$50000,$C82,缺陷明细!$Q$2:$Q$50000,"已关闭",缺陷明细!$J$2:$J$50000,"单元测试")</f>
        <v>0</v>
      </c>
      <c r="L82" s="163"/>
      <c r="M82" s="164"/>
      <c r="N82" s="72">
        <f>COUNTIFS(缺陷明细!$A$2:$A$50000,$B$4,缺陷明细!$G$2:$G$50000,$C82,缺陷明细!$J$2:$J$50000,"系统测试案例评审",缺陷明细!$AA$2:$AA$50000,"&lt;&gt;丢弃",缺陷明细!$AA$2:$AA$50000,"&lt;&gt;设计如此",缺陷明细!$AA$2:$AA$50000,"&lt;&gt;重复Bug")</f>
        <v>0</v>
      </c>
      <c r="O82" s="72">
        <f>COUNTIFS(缺陷明细!$A$2:$A$50000,$B$4,缺陷明细!$G$2:$G$50000,$C82,缺陷明细!$Q$2:$Q$50000,"已关闭",缺陷明细!$J$2:$J$50000,"系统测试案例评审")</f>
        <v>0</v>
      </c>
      <c r="P82" s="72">
        <f>COUNTIFS(缺陷明细!$A$2:$A$50000,$B$4,缺陷明细!$G$2:$G$50000,$C82,缺陷明细!$J$2:$J$50000,"系统测试",缺陷明细!$AA$2:$AA$50000,"&lt;&gt;丢弃",缺陷明细!$AA$2:$AA$50000,"&lt;&gt;设计如此",缺陷明细!$AA$2:$AA$50000,"&lt;&gt;重复Bug")</f>
        <v>0</v>
      </c>
      <c r="Q82" s="72">
        <f>COUNTIFS(缺陷明细!$A$2:$A$50000,$B$4,缺陷明细!$G$2:$G$50000,$C82,缺陷明细!$Q$2:$Q$50000,"已关闭",缺陷明细!$J$2:$J$50000,"系统测试")</f>
        <v>0</v>
      </c>
      <c r="R82" s="354">
        <f>COUNTIFS(缺陷明细!$A$2:$A$50000,$B$4,缺陷明细!$G$2:$G$50000,$C82,缺陷明细!$AA$2:$AA$50000,"丢弃",缺陷明细!$J$2:$J$50000,"系统测试")+COUNTIFS(缺陷明细!$A$2:$A$50000,$B$4,缺陷明细!$G$2:$G$50000,$C82,缺陷明细!$AA$2:$AA$50000,"设计如此",缺陷明细!$J$2:$J$50000,"系统测试")+COUNTIFS(缺陷明细!$A$2:$A$50000,$B$4,缺陷明细!$G$2:$G$50000,$C82,缺陷明细!$AA$2:$AA$50000,"重复Bug",缺陷明细!$J$2:$J$50000,"系统测试")</f>
        <v>0</v>
      </c>
      <c r="S82" s="72">
        <f>COUNTIFS(缺陷明细!$A$2:$A$50000,$B$4,缺陷明细!$G$2:$G$50000,$C82,缺陷明细!$J$2:$J$50000,"系统测试",缺陷明细!$K$2:$K$50000,"致命",缺陷明细!$AA$2:$AA$50000,"&lt;&gt;丢弃",缺陷明细!$AA$2:$AA$50000,"&lt;&gt;设计如此",缺陷明细!$AA$2:$AA$50000,"&lt;&gt;重复Bug")+COUNTIFS(缺陷明细!$A$2:$A$50000,$B$4,缺陷明细!$G$2:$G$50000,$C82,缺陷明细!$J$2:$J$50000,"系统测试",缺陷明细!$K$2:$K$50000,"严重",缺陷明细!$AA$2:$AA$50000,"&lt;&gt;丢弃",缺陷明细!$AA$2:$AA$50000,"&lt;&gt;设计如此",缺陷明细!$AA$2:$AA$50000,"&lt;&gt;重复Bug")</f>
        <v>0</v>
      </c>
      <c r="T82" s="73">
        <f>COUNTIFS(缺陷明细!$A$2:$A$50000,$B$4,缺陷明细!$G$2:$G$50000,$C82,缺陷明细!$Q$2:$Q$50000,"已关闭",缺陷明细!$J$2:$J$50000,"系统测试",缺陷明细!$K$2:$K$50000,"致命")+COUNTIFS(缺陷明细!$A$2:$A$50000,$B$4,缺陷明细!$G$2:$G$50000,$C82,缺陷明细!$Q$2:$Q$50000,"已关闭",缺陷明细!$J$2:$J$50000,"系统测试",缺陷明细!$K$2:$K$50000,"严重")</f>
        <v>0</v>
      </c>
      <c r="U82" s="74">
        <f>COUNTIFS(缺陷明细!$A$2:$A$50000,$B$4,缺陷明细!$G$2:$G$50000,$C82,缺陷明细!$J$2:$J$50000,"验收测试",缺陷明细!$AA$2:$AA$50000,"&lt;&gt;丢弃",缺陷明细!$AA$2:$AA$50000,"&lt;&gt;设计如此",缺陷明细!$AA$2:$AA$50000,"&lt;&gt;重复Bug")</f>
        <v>0</v>
      </c>
      <c r="V82" s="75">
        <f>COUNTIFS(缺陷明细!$A$2:$A$50000,$B$4,缺陷明细!$G$2:$G$50000,$C82,缺陷明细!$Q$2:$Q$50000,"已关闭",缺陷明细!$J$2:$J$50000,"验收测试")</f>
        <v>0</v>
      </c>
      <c r="W82" s="75">
        <f>COUNTIFS(缺陷明细!$A$2:$A$50000,$B$4,缺陷明细!$G$2:$G$50000,$C82,缺陷明细!$J$2:$J$50000,"验收测试",缺陷明细!$K$2:$K$50000,"致命",缺陷明细!$AA$2:$AA$50000,"&lt;&gt;丢弃",缺陷明细!$AA$2:$AA$50000,"&lt;&gt;设计如此",缺陷明细!$AA$2:$AA$50000,"&lt;&gt;重复Bug")+COUNTIFS(缺陷明细!$A$2:$A$50000,$B$4,缺陷明细!$G$2:$G$50000,$C82,缺陷明细!$J$2:$J$50000,"验收测试",缺陷明细!$K$2:$K$50000,"严重",缺陷明细!$AA$2:$AA$50000,"&lt;&gt;丢弃",缺陷明细!$AA$2:$AA$50000,"&lt;&gt;设计如此",缺陷明细!$AA$2:$AA$50000,"&lt;&gt;重复Bug")</f>
        <v>0</v>
      </c>
      <c r="X82" s="76">
        <f>COUNTIFS(缺陷明细!$A$2:$A$50000,$B$4,缺陷明细!$G$2:$G$50000,$C82,缺陷明细!$Q$2:$Q$50000,"已关闭",缺陷明细!$J$2:$J$50000,"验收测试",缺陷明细!$K$2:$K$50000,"致命")+COUNTIFS(缺陷明细!$A$2:$A$50000,$B$4,缺陷明细!$G$2:$G$50000,$C82,缺陷明细!$Q$2:$Q$50000,"已关闭",缺陷明细!$J$2:$J$50000,"验收测试",缺陷明细!$K$2:$K$50000,"严重")</f>
        <v>0</v>
      </c>
      <c r="Y82" s="70">
        <f>COUNTIFS(缺陷明细!$A$2:$A$50000,$B$4,缺陷明细!$G$2:$G$50000,$C82,缺陷明细!$J$2:$J$50000,"运维测试",缺陷明细!$AA$2:$AA$50000,"&lt;&gt;丢弃",缺陷明细!$AA$2:$AA$50000,"&lt;&gt;设计如此",缺陷明细!$AA$2:$AA$50000,"&lt;&gt;重复Bug")</f>
        <v>0</v>
      </c>
      <c r="Z82" s="71">
        <f>COUNTIFS(缺陷明细!$A$2:$A$50000,$B$4,缺陷明细!$G$2:$G$50000,$C82,缺陷明细!$Q$2:$Q$50000,"已关闭",缺陷明细!$J$2:$J$50000,"运维测试")</f>
        <v>0</v>
      </c>
      <c r="AA82" s="72">
        <f>COUNTIFS(缺陷明细!$A$2:$A$50000,$B$4,缺陷明细!$G$2:$G$50000,$C82,缺陷明细!$J$2:$J$50000,"运维测试",缺陷明细!$K$2:$K$50000,"致命",缺陷明细!$AA$2:$AA$50000,"&lt;&gt;丢弃",缺陷明细!$AA$2:$AA$50000,"&lt;&gt;设计如此",缺陷明细!$AA$2:$AA$50000,"&lt;&gt;重复Bug")+COUNTIFS(缺陷明细!$A$2:$A$50000,$B$4,缺陷明细!$G$2:$G$50000,$C82,缺陷明细!$J$2:$J$50000,"运维测试",缺陷明细!$K$2:$K$50000,"严重",缺陷明细!$AA$2:$AA$50000,"&lt;&gt;丢弃",缺陷明细!$AA$2:$AA$50000,"&lt;&gt;设计如此",缺陷明细!$AA$2:$AA$50000,"&lt;&gt;重复Bug")</f>
        <v>0</v>
      </c>
      <c r="AB82" s="73">
        <f>COUNTIFS(缺陷明细!$A$2:$A$50000,$B$4,缺陷明细!$G$2:$G$50000,$C82,缺陷明细!$Q$2:$Q$50000,"已关闭",缺陷明细!$J$2:$J$50000,"运维测试",缺陷明细!$K$2:$K$50000,"致命")+COUNTIFS(缺陷明细!$A$2:$A$50000,$B$4,缺陷明细!$G$2:$G$50000,$C82,缺陷明细!$Q$2:$Q$50000,"已关闭",缺陷明细!$J$2:$J$50000,"运维测试",缺陷明细!$K$2:$K$50000,"严重")</f>
        <v>0</v>
      </c>
      <c r="AC82" s="68">
        <f t="shared" si="4"/>
        <v>0</v>
      </c>
      <c r="AD82" s="60">
        <f t="shared" si="5"/>
        <v>0</v>
      </c>
      <c r="AE82" s="60">
        <f t="shared" si="6"/>
        <v>0</v>
      </c>
      <c r="AF82" s="60">
        <f t="shared" si="7"/>
        <v>0</v>
      </c>
      <c r="AG82" s="60">
        <f t="shared" si="8"/>
        <v>0</v>
      </c>
      <c r="AH82" s="60">
        <f t="shared" si="9"/>
        <v>0</v>
      </c>
      <c r="AI82" s="60">
        <f t="shared" si="10"/>
        <v>0</v>
      </c>
      <c r="AJ82" s="61">
        <f t="shared" si="11"/>
        <v>0</v>
      </c>
      <c r="AK82" s="151"/>
    </row>
    <row r="83" spans="1:37" ht="26.4">
      <c r="A83">
        <v>79</v>
      </c>
      <c r="B83" s="347">
        <v>561</v>
      </c>
      <c r="C83" s="58" t="s">
        <v>429</v>
      </c>
      <c r="D83" s="84" t="s">
        <v>467</v>
      </c>
      <c r="E83" s="82" t="s">
        <v>472</v>
      </c>
      <c r="F83" s="322">
        <v>8</v>
      </c>
      <c r="G83" s="323">
        <v>16</v>
      </c>
      <c r="H83" s="305">
        <f>COUNTIFS(缺陷明细!$A$2:$A$50000,$B$4,缺陷明细!$G$2:$G$50000,$C83,缺陷明细!$J$2:$J$50000,"评审",缺陷明细!$AA$2:$AA$50000,"&lt;&gt;丢弃",缺陷明细!$AA$2:$AA$50000,"&lt;&gt;设计如此",缺陷明细!$AA$2:$AA$50000,"&lt;&gt;重复Bug")</f>
        <v>0</v>
      </c>
      <c r="I83" s="161">
        <f>COUNTIFS(缺陷明细!$A$2:$A$50000,$B$4,缺陷明细!$G$2:$G$50000,$C83,缺陷明细!$Q$2:$Q$50000,"已关闭",缺陷明细!$J$2:$J$50000,"评审")</f>
        <v>0</v>
      </c>
      <c r="J83" s="161">
        <f>COUNTIFS(缺陷明细!$A$2:$A$50000,$B$4,缺陷明细!$G$2:$G$50000,$C83,缺陷明细!$J$2:$J$50000,"单元测试",缺陷明细!$AA$2:$AA$50000,"&lt;&gt;丢弃",缺陷明细!$AA$2:$AA$50000,"&lt;&gt;设计如此",缺陷明细!$AA$2:$AA$50000,"&lt;&gt;重复Bug")</f>
        <v>0</v>
      </c>
      <c r="K83" s="162">
        <f>COUNTIFS(缺陷明细!$A$2:$A$50000,$B$4,缺陷明细!$G$2:$G$50000,$C83,缺陷明细!$Q$2:$Q$50000,"已关闭",缺陷明细!$J$2:$J$50000,"单元测试")</f>
        <v>0</v>
      </c>
      <c r="L83" s="163"/>
      <c r="M83" s="164"/>
      <c r="N83" s="72">
        <f>COUNTIFS(缺陷明细!$A$2:$A$50000,$B$4,缺陷明细!$G$2:$G$50000,$C83,缺陷明细!$J$2:$J$50000,"系统测试案例评审",缺陷明细!$AA$2:$AA$50000,"&lt;&gt;丢弃",缺陷明细!$AA$2:$AA$50000,"&lt;&gt;设计如此",缺陷明细!$AA$2:$AA$50000,"&lt;&gt;重复Bug")</f>
        <v>0</v>
      </c>
      <c r="O83" s="72">
        <f>COUNTIFS(缺陷明细!$A$2:$A$50000,$B$4,缺陷明细!$G$2:$G$50000,$C83,缺陷明细!$Q$2:$Q$50000,"已关闭",缺陷明细!$J$2:$J$50000,"系统测试案例评审")</f>
        <v>0</v>
      </c>
      <c r="P83" s="72">
        <f>COUNTIFS(缺陷明细!$A$2:$A$50000,$B$4,缺陷明细!$G$2:$G$50000,$C83,缺陷明细!$J$2:$J$50000,"系统测试",缺陷明细!$AA$2:$AA$50000,"&lt;&gt;丢弃",缺陷明细!$AA$2:$AA$50000,"&lt;&gt;设计如此",缺陷明细!$AA$2:$AA$50000,"&lt;&gt;重复Bug")</f>
        <v>0</v>
      </c>
      <c r="Q83" s="72">
        <f>COUNTIFS(缺陷明细!$A$2:$A$50000,$B$4,缺陷明细!$G$2:$G$50000,$C83,缺陷明细!$Q$2:$Q$50000,"已关闭",缺陷明细!$J$2:$J$50000,"系统测试")</f>
        <v>0</v>
      </c>
      <c r="R83" s="354">
        <f>COUNTIFS(缺陷明细!$A$2:$A$50000,$B$4,缺陷明细!$G$2:$G$50000,$C83,缺陷明细!$AA$2:$AA$50000,"丢弃",缺陷明细!$J$2:$J$50000,"系统测试")+COUNTIFS(缺陷明细!$A$2:$A$50000,$B$4,缺陷明细!$G$2:$G$50000,$C83,缺陷明细!$AA$2:$AA$50000,"设计如此",缺陷明细!$J$2:$J$50000,"系统测试")+COUNTIFS(缺陷明细!$A$2:$A$50000,$B$4,缺陷明细!$G$2:$G$50000,$C83,缺陷明细!$AA$2:$AA$50000,"重复Bug",缺陷明细!$J$2:$J$50000,"系统测试")</f>
        <v>0</v>
      </c>
      <c r="S83" s="72">
        <f>COUNTIFS(缺陷明细!$A$2:$A$50000,$B$4,缺陷明细!$G$2:$G$50000,$C83,缺陷明细!$J$2:$J$50000,"系统测试",缺陷明细!$K$2:$K$50000,"致命",缺陷明细!$AA$2:$AA$50000,"&lt;&gt;丢弃",缺陷明细!$AA$2:$AA$50000,"&lt;&gt;设计如此",缺陷明细!$AA$2:$AA$50000,"&lt;&gt;重复Bug")+COUNTIFS(缺陷明细!$A$2:$A$50000,$B$4,缺陷明细!$G$2:$G$50000,$C83,缺陷明细!$J$2:$J$50000,"系统测试",缺陷明细!$K$2:$K$50000,"严重",缺陷明细!$AA$2:$AA$50000,"&lt;&gt;丢弃",缺陷明细!$AA$2:$AA$50000,"&lt;&gt;设计如此",缺陷明细!$AA$2:$AA$50000,"&lt;&gt;重复Bug")</f>
        <v>0</v>
      </c>
      <c r="T83" s="73">
        <f>COUNTIFS(缺陷明细!$A$2:$A$50000,$B$4,缺陷明细!$G$2:$G$50000,$C83,缺陷明细!$Q$2:$Q$50000,"已关闭",缺陷明细!$J$2:$J$50000,"系统测试",缺陷明细!$K$2:$K$50000,"致命")+COUNTIFS(缺陷明细!$A$2:$A$50000,$B$4,缺陷明细!$G$2:$G$50000,$C83,缺陷明细!$Q$2:$Q$50000,"已关闭",缺陷明细!$J$2:$J$50000,"系统测试",缺陷明细!$K$2:$K$50000,"严重")</f>
        <v>0</v>
      </c>
      <c r="U83" s="74">
        <f>COUNTIFS(缺陷明细!$A$2:$A$50000,$B$4,缺陷明细!$G$2:$G$50000,$C83,缺陷明细!$J$2:$J$50000,"验收测试",缺陷明细!$AA$2:$AA$50000,"&lt;&gt;丢弃",缺陷明细!$AA$2:$AA$50000,"&lt;&gt;设计如此",缺陷明细!$AA$2:$AA$50000,"&lt;&gt;重复Bug")</f>
        <v>0</v>
      </c>
      <c r="V83" s="75">
        <f>COUNTIFS(缺陷明细!$A$2:$A$50000,$B$4,缺陷明细!$G$2:$G$50000,$C83,缺陷明细!$Q$2:$Q$50000,"已关闭",缺陷明细!$J$2:$J$50000,"验收测试")</f>
        <v>0</v>
      </c>
      <c r="W83" s="75">
        <f>COUNTIFS(缺陷明细!$A$2:$A$50000,$B$4,缺陷明细!$G$2:$G$50000,$C83,缺陷明细!$J$2:$J$50000,"验收测试",缺陷明细!$K$2:$K$50000,"致命",缺陷明细!$AA$2:$AA$50000,"&lt;&gt;丢弃",缺陷明细!$AA$2:$AA$50000,"&lt;&gt;设计如此",缺陷明细!$AA$2:$AA$50000,"&lt;&gt;重复Bug")+COUNTIFS(缺陷明细!$A$2:$A$50000,$B$4,缺陷明细!$G$2:$G$50000,$C83,缺陷明细!$J$2:$J$50000,"验收测试",缺陷明细!$K$2:$K$50000,"严重",缺陷明细!$AA$2:$AA$50000,"&lt;&gt;丢弃",缺陷明细!$AA$2:$AA$50000,"&lt;&gt;设计如此",缺陷明细!$AA$2:$AA$50000,"&lt;&gt;重复Bug")</f>
        <v>0</v>
      </c>
      <c r="X83" s="76">
        <f>COUNTIFS(缺陷明细!$A$2:$A$50000,$B$4,缺陷明细!$G$2:$G$50000,$C83,缺陷明细!$Q$2:$Q$50000,"已关闭",缺陷明细!$J$2:$J$50000,"验收测试",缺陷明细!$K$2:$K$50000,"致命")+COUNTIFS(缺陷明细!$A$2:$A$50000,$B$4,缺陷明细!$G$2:$G$50000,$C83,缺陷明细!$Q$2:$Q$50000,"已关闭",缺陷明细!$J$2:$J$50000,"验收测试",缺陷明细!$K$2:$K$50000,"严重")</f>
        <v>0</v>
      </c>
      <c r="Y83" s="70">
        <f>COUNTIFS(缺陷明细!$A$2:$A$50000,$B$4,缺陷明细!$G$2:$G$50000,$C83,缺陷明细!$J$2:$J$50000,"运维测试",缺陷明细!$AA$2:$AA$50000,"&lt;&gt;丢弃",缺陷明细!$AA$2:$AA$50000,"&lt;&gt;设计如此",缺陷明细!$AA$2:$AA$50000,"&lt;&gt;重复Bug")</f>
        <v>0</v>
      </c>
      <c r="Z83" s="71">
        <f>COUNTIFS(缺陷明细!$A$2:$A$50000,$B$4,缺陷明细!$G$2:$G$50000,$C83,缺陷明细!$Q$2:$Q$50000,"已关闭",缺陷明细!$J$2:$J$50000,"运维测试")</f>
        <v>0</v>
      </c>
      <c r="AA83" s="72">
        <f>COUNTIFS(缺陷明细!$A$2:$A$50000,$B$4,缺陷明细!$G$2:$G$50000,$C83,缺陷明细!$J$2:$J$50000,"运维测试",缺陷明细!$K$2:$K$50000,"致命",缺陷明细!$AA$2:$AA$50000,"&lt;&gt;丢弃",缺陷明细!$AA$2:$AA$50000,"&lt;&gt;设计如此",缺陷明细!$AA$2:$AA$50000,"&lt;&gt;重复Bug")+COUNTIFS(缺陷明细!$A$2:$A$50000,$B$4,缺陷明细!$G$2:$G$50000,$C83,缺陷明细!$J$2:$J$50000,"运维测试",缺陷明细!$K$2:$K$50000,"严重",缺陷明细!$AA$2:$AA$50000,"&lt;&gt;丢弃",缺陷明细!$AA$2:$AA$50000,"&lt;&gt;设计如此",缺陷明细!$AA$2:$AA$50000,"&lt;&gt;重复Bug")</f>
        <v>0</v>
      </c>
      <c r="AB83" s="73">
        <f>COUNTIFS(缺陷明细!$A$2:$A$50000,$B$4,缺陷明细!$G$2:$G$50000,$C83,缺陷明细!$Q$2:$Q$50000,"已关闭",缺陷明细!$J$2:$J$50000,"运维测试",缺陷明细!$K$2:$K$50000,"致命")+COUNTIFS(缺陷明细!$A$2:$A$50000,$B$4,缺陷明细!$G$2:$G$50000,$C83,缺陷明细!$Q$2:$Q$50000,"已关闭",缺陷明细!$J$2:$J$50000,"运维测试",缺陷明细!$K$2:$K$50000,"严重")</f>
        <v>0</v>
      </c>
      <c r="AC83" s="68">
        <f t="shared" si="4"/>
        <v>0</v>
      </c>
      <c r="AD83" s="60">
        <f t="shared" si="5"/>
        <v>0</v>
      </c>
      <c r="AE83" s="60">
        <f t="shared" si="6"/>
        <v>0</v>
      </c>
      <c r="AF83" s="60">
        <f t="shared" si="7"/>
        <v>0</v>
      </c>
      <c r="AG83" s="60">
        <f t="shared" si="8"/>
        <v>0</v>
      </c>
      <c r="AH83" s="60">
        <f t="shared" si="9"/>
        <v>0</v>
      </c>
      <c r="AI83" s="60">
        <f t="shared" si="10"/>
        <v>0</v>
      </c>
      <c r="AJ83" s="61">
        <f t="shared" si="11"/>
        <v>0</v>
      </c>
      <c r="AK83" s="151"/>
    </row>
    <row r="84" spans="1:37" ht="26.4">
      <c r="A84">
        <v>80</v>
      </c>
      <c r="B84" s="347">
        <v>562</v>
      </c>
      <c r="C84" s="58" t="s">
        <v>430</v>
      </c>
      <c r="D84" s="84" t="s">
        <v>467</v>
      </c>
      <c r="E84" s="82" t="s">
        <v>472</v>
      </c>
      <c r="F84" s="322">
        <v>1</v>
      </c>
      <c r="G84" s="323">
        <v>1</v>
      </c>
      <c r="H84" s="305">
        <f>COUNTIFS(缺陷明细!$A$2:$A$50000,$B$4,缺陷明细!$G$2:$G$50000,$C84,缺陷明细!$J$2:$J$50000,"评审",缺陷明细!$AA$2:$AA$50000,"&lt;&gt;丢弃",缺陷明细!$AA$2:$AA$50000,"&lt;&gt;设计如此",缺陷明细!$AA$2:$AA$50000,"&lt;&gt;重复Bug")</f>
        <v>0</v>
      </c>
      <c r="I84" s="161">
        <f>COUNTIFS(缺陷明细!$A$2:$A$50000,$B$4,缺陷明细!$G$2:$G$50000,$C84,缺陷明细!$Q$2:$Q$50000,"已关闭",缺陷明细!$J$2:$J$50000,"评审")</f>
        <v>0</v>
      </c>
      <c r="J84" s="161">
        <f>COUNTIFS(缺陷明细!$A$2:$A$50000,$B$4,缺陷明细!$G$2:$G$50000,$C84,缺陷明细!$J$2:$J$50000,"单元测试",缺陷明细!$AA$2:$AA$50000,"&lt;&gt;丢弃",缺陷明细!$AA$2:$AA$50000,"&lt;&gt;设计如此",缺陷明细!$AA$2:$AA$50000,"&lt;&gt;重复Bug")</f>
        <v>0</v>
      </c>
      <c r="K84" s="162">
        <f>COUNTIFS(缺陷明细!$A$2:$A$50000,$B$4,缺陷明细!$G$2:$G$50000,$C84,缺陷明细!$Q$2:$Q$50000,"已关闭",缺陷明细!$J$2:$J$50000,"单元测试")</f>
        <v>0</v>
      </c>
      <c r="L84" s="163"/>
      <c r="M84" s="164"/>
      <c r="N84" s="72">
        <f>COUNTIFS(缺陷明细!$A$2:$A$50000,$B$4,缺陷明细!$G$2:$G$50000,$C84,缺陷明细!$J$2:$J$50000,"系统测试案例评审",缺陷明细!$AA$2:$AA$50000,"&lt;&gt;丢弃",缺陷明细!$AA$2:$AA$50000,"&lt;&gt;设计如此",缺陷明细!$AA$2:$AA$50000,"&lt;&gt;重复Bug")</f>
        <v>0</v>
      </c>
      <c r="O84" s="72">
        <f>COUNTIFS(缺陷明细!$A$2:$A$50000,$B$4,缺陷明细!$G$2:$G$50000,$C84,缺陷明细!$Q$2:$Q$50000,"已关闭",缺陷明细!$J$2:$J$50000,"系统测试案例评审")</f>
        <v>0</v>
      </c>
      <c r="P84" s="72">
        <f>COUNTIFS(缺陷明细!$A$2:$A$50000,$B$4,缺陷明细!$G$2:$G$50000,$C84,缺陷明细!$J$2:$J$50000,"系统测试",缺陷明细!$AA$2:$AA$50000,"&lt;&gt;丢弃",缺陷明细!$AA$2:$AA$50000,"&lt;&gt;设计如此",缺陷明细!$AA$2:$AA$50000,"&lt;&gt;重复Bug")</f>
        <v>0</v>
      </c>
      <c r="Q84" s="72">
        <f>COUNTIFS(缺陷明细!$A$2:$A$50000,$B$4,缺陷明细!$G$2:$G$50000,$C84,缺陷明细!$Q$2:$Q$50000,"已关闭",缺陷明细!$J$2:$J$50000,"系统测试")</f>
        <v>0</v>
      </c>
      <c r="R84" s="354">
        <f>COUNTIFS(缺陷明细!$A$2:$A$50000,$B$4,缺陷明细!$G$2:$G$50000,$C84,缺陷明细!$AA$2:$AA$50000,"丢弃",缺陷明细!$J$2:$J$50000,"系统测试")+COUNTIFS(缺陷明细!$A$2:$A$50000,$B$4,缺陷明细!$G$2:$G$50000,$C84,缺陷明细!$AA$2:$AA$50000,"设计如此",缺陷明细!$J$2:$J$50000,"系统测试")+COUNTIFS(缺陷明细!$A$2:$A$50000,$B$4,缺陷明细!$G$2:$G$50000,$C84,缺陷明细!$AA$2:$AA$50000,"重复Bug",缺陷明细!$J$2:$J$50000,"系统测试")</f>
        <v>0</v>
      </c>
      <c r="S84" s="72">
        <f>COUNTIFS(缺陷明细!$A$2:$A$50000,$B$4,缺陷明细!$G$2:$G$50000,$C84,缺陷明细!$J$2:$J$50000,"系统测试",缺陷明细!$K$2:$K$50000,"致命",缺陷明细!$AA$2:$AA$50000,"&lt;&gt;丢弃",缺陷明细!$AA$2:$AA$50000,"&lt;&gt;设计如此",缺陷明细!$AA$2:$AA$50000,"&lt;&gt;重复Bug")+COUNTIFS(缺陷明细!$A$2:$A$50000,$B$4,缺陷明细!$G$2:$G$50000,$C84,缺陷明细!$J$2:$J$50000,"系统测试",缺陷明细!$K$2:$K$50000,"严重",缺陷明细!$AA$2:$AA$50000,"&lt;&gt;丢弃",缺陷明细!$AA$2:$AA$50000,"&lt;&gt;设计如此",缺陷明细!$AA$2:$AA$50000,"&lt;&gt;重复Bug")</f>
        <v>0</v>
      </c>
      <c r="T84" s="73">
        <f>COUNTIFS(缺陷明细!$A$2:$A$50000,$B$4,缺陷明细!$G$2:$G$50000,$C84,缺陷明细!$Q$2:$Q$50000,"已关闭",缺陷明细!$J$2:$J$50000,"系统测试",缺陷明细!$K$2:$K$50000,"致命")+COUNTIFS(缺陷明细!$A$2:$A$50000,$B$4,缺陷明细!$G$2:$G$50000,$C84,缺陷明细!$Q$2:$Q$50000,"已关闭",缺陷明细!$J$2:$J$50000,"系统测试",缺陷明细!$K$2:$K$50000,"严重")</f>
        <v>0</v>
      </c>
      <c r="U84" s="74">
        <f>COUNTIFS(缺陷明细!$A$2:$A$50000,$B$4,缺陷明细!$G$2:$G$50000,$C84,缺陷明细!$J$2:$J$50000,"验收测试",缺陷明细!$AA$2:$AA$50000,"&lt;&gt;丢弃",缺陷明细!$AA$2:$AA$50000,"&lt;&gt;设计如此",缺陷明细!$AA$2:$AA$50000,"&lt;&gt;重复Bug")</f>
        <v>0</v>
      </c>
      <c r="V84" s="75">
        <f>COUNTIFS(缺陷明细!$A$2:$A$50000,$B$4,缺陷明细!$G$2:$G$50000,$C84,缺陷明细!$Q$2:$Q$50000,"已关闭",缺陷明细!$J$2:$J$50000,"验收测试")</f>
        <v>0</v>
      </c>
      <c r="W84" s="75">
        <f>COUNTIFS(缺陷明细!$A$2:$A$50000,$B$4,缺陷明细!$G$2:$G$50000,$C84,缺陷明细!$J$2:$J$50000,"验收测试",缺陷明细!$K$2:$K$50000,"致命",缺陷明细!$AA$2:$AA$50000,"&lt;&gt;丢弃",缺陷明细!$AA$2:$AA$50000,"&lt;&gt;设计如此",缺陷明细!$AA$2:$AA$50000,"&lt;&gt;重复Bug")+COUNTIFS(缺陷明细!$A$2:$A$50000,$B$4,缺陷明细!$G$2:$G$50000,$C84,缺陷明细!$J$2:$J$50000,"验收测试",缺陷明细!$K$2:$K$50000,"严重",缺陷明细!$AA$2:$AA$50000,"&lt;&gt;丢弃",缺陷明细!$AA$2:$AA$50000,"&lt;&gt;设计如此",缺陷明细!$AA$2:$AA$50000,"&lt;&gt;重复Bug")</f>
        <v>0</v>
      </c>
      <c r="X84" s="76">
        <f>COUNTIFS(缺陷明细!$A$2:$A$50000,$B$4,缺陷明细!$G$2:$G$50000,$C84,缺陷明细!$Q$2:$Q$50000,"已关闭",缺陷明细!$J$2:$J$50000,"验收测试",缺陷明细!$K$2:$K$50000,"致命")+COUNTIFS(缺陷明细!$A$2:$A$50000,$B$4,缺陷明细!$G$2:$G$50000,$C84,缺陷明细!$Q$2:$Q$50000,"已关闭",缺陷明细!$J$2:$J$50000,"验收测试",缺陷明细!$K$2:$K$50000,"严重")</f>
        <v>0</v>
      </c>
      <c r="Y84" s="70">
        <f>COUNTIFS(缺陷明细!$A$2:$A$50000,$B$4,缺陷明细!$G$2:$G$50000,$C84,缺陷明细!$J$2:$J$50000,"运维测试",缺陷明细!$AA$2:$AA$50000,"&lt;&gt;丢弃",缺陷明细!$AA$2:$AA$50000,"&lt;&gt;设计如此",缺陷明细!$AA$2:$AA$50000,"&lt;&gt;重复Bug")</f>
        <v>0</v>
      </c>
      <c r="Z84" s="71">
        <f>COUNTIFS(缺陷明细!$A$2:$A$50000,$B$4,缺陷明细!$G$2:$G$50000,$C84,缺陷明细!$Q$2:$Q$50000,"已关闭",缺陷明细!$J$2:$J$50000,"运维测试")</f>
        <v>0</v>
      </c>
      <c r="AA84" s="72">
        <f>COUNTIFS(缺陷明细!$A$2:$A$50000,$B$4,缺陷明细!$G$2:$G$50000,$C84,缺陷明细!$J$2:$J$50000,"运维测试",缺陷明细!$K$2:$K$50000,"致命",缺陷明细!$AA$2:$AA$50000,"&lt;&gt;丢弃",缺陷明细!$AA$2:$AA$50000,"&lt;&gt;设计如此",缺陷明细!$AA$2:$AA$50000,"&lt;&gt;重复Bug")+COUNTIFS(缺陷明细!$A$2:$A$50000,$B$4,缺陷明细!$G$2:$G$50000,$C84,缺陷明细!$J$2:$J$50000,"运维测试",缺陷明细!$K$2:$K$50000,"严重",缺陷明细!$AA$2:$AA$50000,"&lt;&gt;丢弃",缺陷明细!$AA$2:$AA$50000,"&lt;&gt;设计如此",缺陷明细!$AA$2:$AA$50000,"&lt;&gt;重复Bug")</f>
        <v>0</v>
      </c>
      <c r="AB84" s="73">
        <f>COUNTIFS(缺陷明细!$A$2:$A$50000,$B$4,缺陷明细!$G$2:$G$50000,$C84,缺陷明细!$Q$2:$Q$50000,"已关闭",缺陷明细!$J$2:$J$50000,"运维测试",缺陷明细!$K$2:$K$50000,"致命")+COUNTIFS(缺陷明细!$A$2:$A$50000,$B$4,缺陷明细!$G$2:$G$50000,$C84,缺陷明细!$Q$2:$Q$50000,"已关闭",缺陷明细!$J$2:$J$50000,"运维测试",缺陷明细!$K$2:$K$50000,"严重")</f>
        <v>0</v>
      </c>
      <c r="AC84" s="68">
        <f t="shared" si="4"/>
        <v>0</v>
      </c>
      <c r="AD84" s="60">
        <f t="shared" si="5"/>
        <v>0</v>
      </c>
      <c r="AE84" s="60">
        <f t="shared" si="6"/>
        <v>0</v>
      </c>
      <c r="AF84" s="60">
        <f t="shared" si="7"/>
        <v>0</v>
      </c>
      <c r="AG84" s="60">
        <f t="shared" si="8"/>
        <v>0</v>
      </c>
      <c r="AH84" s="60">
        <f t="shared" si="9"/>
        <v>0</v>
      </c>
      <c r="AI84" s="60">
        <f t="shared" si="10"/>
        <v>0</v>
      </c>
      <c r="AJ84" s="61">
        <f t="shared" si="11"/>
        <v>0</v>
      </c>
      <c r="AK84" s="151"/>
    </row>
    <row r="85" spans="1:37" ht="26.4">
      <c r="A85">
        <v>81</v>
      </c>
      <c r="B85" s="347">
        <v>564</v>
      </c>
      <c r="C85" s="58" t="s">
        <v>431</v>
      </c>
      <c r="D85" s="84" t="s">
        <v>467</v>
      </c>
      <c r="E85" s="82" t="s">
        <v>472</v>
      </c>
      <c r="F85" s="322">
        <v>0.5</v>
      </c>
      <c r="G85" s="323">
        <v>1.5</v>
      </c>
      <c r="H85" s="305">
        <f>COUNTIFS(缺陷明细!$A$2:$A$50000,$B$4,缺陷明细!$G$2:$G$50000,$C85,缺陷明细!$J$2:$J$50000,"评审",缺陷明细!$AA$2:$AA$50000,"&lt;&gt;丢弃",缺陷明细!$AA$2:$AA$50000,"&lt;&gt;设计如此",缺陷明细!$AA$2:$AA$50000,"&lt;&gt;重复Bug")</f>
        <v>0</v>
      </c>
      <c r="I85" s="161">
        <f>COUNTIFS(缺陷明细!$A$2:$A$50000,$B$4,缺陷明细!$G$2:$G$50000,$C85,缺陷明细!$Q$2:$Q$50000,"已关闭",缺陷明细!$J$2:$J$50000,"评审")</f>
        <v>0</v>
      </c>
      <c r="J85" s="161">
        <f>COUNTIFS(缺陷明细!$A$2:$A$50000,$B$4,缺陷明细!$G$2:$G$50000,$C85,缺陷明细!$J$2:$J$50000,"单元测试",缺陷明细!$AA$2:$AA$50000,"&lt;&gt;丢弃",缺陷明细!$AA$2:$AA$50000,"&lt;&gt;设计如此",缺陷明细!$AA$2:$AA$50000,"&lt;&gt;重复Bug")</f>
        <v>0</v>
      </c>
      <c r="K85" s="162">
        <f>COUNTIFS(缺陷明细!$A$2:$A$50000,$B$4,缺陷明细!$G$2:$G$50000,$C85,缺陷明细!$Q$2:$Q$50000,"已关闭",缺陷明细!$J$2:$J$50000,"单元测试")</f>
        <v>0</v>
      </c>
      <c r="L85" s="163"/>
      <c r="M85" s="164"/>
      <c r="N85" s="72">
        <f>COUNTIFS(缺陷明细!$A$2:$A$50000,$B$4,缺陷明细!$G$2:$G$50000,$C85,缺陷明细!$J$2:$J$50000,"系统测试案例评审",缺陷明细!$AA$2:$AA$50000,"&lt;&gt;丢弃",缺陷明细!$AA$2:$AA$50000,"&lt;&gt;设计如此",缺陷明细!$AA$2:$AA$50000,"&lt;&gt;重复Bug")</f>
        <v>0</v>
      </c>
      <c r="O85" s="72">
        <f>COUNTIFS(缺陷明细!$A$2:$A$50000,$B$4,缺陷明细!$G$2:$G$50000,$C85,缺陷明细!$Q$2:$Q$50000,"已关闭",缺陷明细!$J$2:$J$50000,"系统测试案例评审")</f>
        <v>0</v>
      </c>
      <c r="P85" s="72">
        <f>COUNTIFS(缺陷明细!$A$2:$A$50000,$B$4,缺陷明细!$G$2:$G$50000,$C85,缺陷明细!$J$2:$J$50000,"系统测试",缺陷明细!$AA$2:$AA$50000,"&lt;&gt;丢弃",缺陷明细!$AA$2:$AA$50000,"&lt;&gt;设计如此",缺陷明细!$AA$2:$AA$50000,"&lt;&gt;重复Bug")</f>
        <v>0</v>
      </c>
      <c r="Q85" s="72">
        <f>COUNTIFS(缺陷明细!$A$2:$A$50000,$B$4,缺陷明细!$G$2:$G$50000,$C85,缺陷明细!$Q$2:$Q$50000,"已关闭",缺陷明细!$J$2:$J$50000,"系统测试")</f>
        <v>0</v>
      </c>
      <c r="R85" s="354">
        <f>COUNTIFS(缺陷明细!$A$2:$A$50000,$B$4,缺陷明细!$G$2:$G$50000,$C85,缺陷明细!$AA$2:$AA$50000,"丢弃",缺陷明细!$J$2:$J$50000,"系统测试")+COUNTIFS(缺陷明细!$A$2:$A$50000,$B$4,缺陷明细!$G$2:$G$50000,$C85,缺陷明细!$AA$2:$AA$50000,"设计如此",缺陷明细!$J$2:$J$50000,"系统测试")+COUNTIFS(缺陷明细!$A$2:$A$50000,$B$4,缺陷明细!$G$2:$G$50000,$C85,缺陷明细!$AA$2:$AA$50000,"重复Bug",缺陷明细!$J$2:$J$50000,"系统测试")</f>
        <v>0</v>
      </c>
      <c r="S85" s="72">
        <f>COUNTIFS(缺陷明细!$A$2:$A$50000,$B$4,缺陷明细!$G$2:$G$50000,$C85,缺陷明细!$J$2:$J$50000,"系统测试",缺陷明细!$K$2:$K$50000,"致命",缺陷明细!$AA$2:$AA$50000,"&lt;&gt;丢弃",缺陷明细!$AA$2:$AA$50000,"&lt;&gt;设计如此",缺陷明细!$AA$2:$AA$50000,"&lt;&gt;重复Bug")+COUNTIFS(缺陷明细!$A$2:$A$50000,$B$4,缺陷明细!$G$2:$G$50000,$C85,缺陷明细!$J$2:$J$50000,"系统测试",缺陷明细!$K$2:$K$50000,"严重",缺陷明细!$AA$2:$AA$50000,"&lt;&gt;丢弃",缺陷明细!$AA$2:$AA$50000,"&lt;&gt;设计如此",缺陷明细!$AA$2:$AA$50000,"&lt;&gt;重复Bug")</f>
        <v>0</v>
      </c>
      <c r="T85" s="73">
        <f>COUNTIFS(缺陷明细!$A$2:$A$50000,$B$4,缺陷明细!$G$2:$G$50000,$C85,缺陷明细!$Q$2:$Q$50000,"已关闭",缺陷明细!$J$2:$J$50000,"系统测试",缺陷明细!$K$2:$K$50000,"致命")+COUNTIFS(缺陷明细!$A$2:$A$50000,$B$4,缺陷明细!$G$2:$G$50000,$C85,缺陷明细!$Q$2:$Q$50000,"已关闭",缺陷明细!$J$2:$J$50000,"系统测试",缺陷明细!$K$2:$K$50000,"严重")</f>
        <v>0</v>
      </c>
      <c r="U85" s="74">
        <f>COUNTIFS(缺陷明细!$A$2:$A$50000,$B$4,缺陷明细!$G$2:$G$50000,$C85,缺陷明细!$J$2:$J$50000,"验收测试",缺陷明细!$AA$2:$AA$50000,"&lt;&gt;丢弃",缺陷明细!$AA$2:$AA$50000,"&lt;&gt;设计如此",缺陷明细!$AA$2:$AA$50000,"&lt;&gt;重复Bug")</f>
        <v>0</v>
      </c>
      <c r="V85" s="75">
        <f>COUNTIFS(缺陷明细!$A$2:$A$50000,$B$4,缺陷明细!$G$2:$G$50000,$C85,缺陷明细!$Q$2:$Q$50000,"已关闭",缺陷明细!$J$2:$J$50000,"验收测试")</f>
        <v>0</v>
      </c>
      <c r="W85" s="75">
        <f>COUNTIFS(缺陷明细!$A$2:$A$50000,$B$4,缺陷明细!$G$2:$G$50000,$C85,缺陷明细!$J$2:$J$50000,"验收测试",缺陷明细!$K$2:$K$50000,"致命",缺陷明细!$AA$2:$AA$50000,"&lt;&gt;丢弃",缺陷明细!$AA$2:$AA$50000,"&lt;&gt;设计如此",缺陷明细!$AA$2:$AA$50000,"&lt;&gt;重复Bug")+COUNTIFS(缺陷明细!$A$2:$A$50000,$B$4,缺陷明细!$G$2:$G$50000,$C85,缺陷明细!$J$2:$J$50000,"验收测试",缺陷明细!$K$2:$K$50000,"严重",缺陷明细!$AA$2:$AA$50000,"&lt;&gt;丢弃",缺陷明细!$AA$2:$AA$50000,"&lt;&gt;设计如此",缺陷明细!$AA$2:$AA$50000,"&lt;&gt;重复Bug")</f>
        <v>0</v>
      </c>
      <c r="X85" s="76">
        <f>COUNTIFS(缺陷明细!$A$2:$A$50000,$B$4,缺陷明细!$G$2:$G$50000,$C85,缺陷明细!$Q$2:$Q$50000,"已关闭",缺陷明细!$J$2:$J$50000,"验收测试",缺陷明细!$K$2:$K$50000,"致命")+COUNTIFS(缺陷明细!$A$2:$A$50000,$B$4,缺陷明细!$G$2:$G$50000,$C85,缺陷明细!$Q$2:$Q$50000,"已关闭",缺陷明细!$J$2:$J$50000,"验收测试",缺陷明细!$K$2:$K$50000,"严重")</f>
        <v>0</v>
      </c>
      <c r="Y85" s="70">
        <f>COUNTIFS(缺陷明细!$A$2:$A$50000,$B$4,缺陷明细!$G$2:$G$50000,$C85,缺陷明细!$J$2:$J$50000,"运维测试",缺陷明细!$AA$2:$AA$50000,"&lt;&gt;丢弃",缺陷明细!$AA$2:$AA$50000,"&lt;&gt;设计如此",缺陷明细!$AA$2:$AA$50000,"&lt;&gt;重复Bug")</f>
        <v>0</v>
      </c>
      <c r="Z85" s="71">
        <f>COUNTIFS(缺陷明细!$A$2:$A$50000,$B$4,缺陷明细!$G$2:$G$50000,$C85,缺陷明细!$Q$2:$Q$50000,"已关闭",缺陷明细!$J$2:$J$50000,"运维测试")</f>
        <v>0</v>
      </c>
      <c r="AA85" s="72">
        <f>COUNTIFS(缺陷明细!$A$2:$A$50000,$B$4,缺陷明细!$G$2:$G$50000,$C85,缺陷明细!$J$2:$J$50000,"运维测试",缺陷明细!$K$2:$K$50000,"致命",缺陷明细!$AA$2:$AA$50000,"&lt;&gt;丢弃",缺陷明细!$AA$2:$AA$50000,"&lt;&gt;设计如此",缺陷明细!$AA$2:$AA$50000,"&lt;&gt;重复Bug")+COUNTIFS(缺陷明细!$A$2:$A$50000,$B$4,缺陷明细!$G$2:$G$50000,$C85,缺陷明细!$J$2:$J$50000,"运维测试",缺陷明细!$K$2:$K$50000,"严重",缺陷明细!$AA$2:$AA$50000,"&lt;&gt;丢弃",缺陷明细!$AA$2:$AA$50000,"&lt;&gt;设计如此",缺陷明细!$AA$2:$AA$50000,"&lt;&gt;重复Bug")</f>
        <v>0</v>
      </c>
      <c r="AB85" s="73">
        <f>COUNTIFS(缺陷明细!$A$2:$A$50000,$B$4,缺陷明细!$G$2:$G$50000,$C85,缺陷明细!$Q$2:$Q$50000,"已关闭",缺陷明细!$J$2:$J$50000,"运维测试",缺陷明细!$K$2:$K$50000,"致命")+COUNTIFS(缺陷明细!$A$2:$A$50000,$B$4,缺陷明细!$G$2:$G$50000,$C85,缺陷明细!$Q$2:$Q$50000,"已关闭",缺陷明细!$J$2:$J$50000,"运维测试",缺陷明细!$K$2:$K$50000,"严重")</f>
        <v>0</v>
      </c>
      <c r="AC85" s="68">
        <f t="shared" si="4"/>
        <v>0</v>
      </c>
      <c r="AD85" s="60">
        <f t="shared" si="5"/>
        <v>0</v>
      </c>
      <c r="AE85" s="60">
        <f t="shared" si="6"/>
        <v>0</v>
      </c>
      <c r="AF85" s="60">
        <f t="shared" si="7"/>
        <v>0</v>
      </c>
      <c r="AG85" s="60">
        <f t="shared" si="8"/>
        <v>0</v>
      </c>
      <c r="AH85" s="60">
        <f t="shared" si="9"/>
        <v>0</v>
      </c>
      <c r="AI85" s="60">
        <f t="shared" si="10"/>
        <v>0</v>
      </c>
      <c r="AJ85" s="61">
        <f t="shared" si="11"/>
        <v>0</v>
      </c>
      <c r="AK85" s="151"/>
    </row>
    <row r="86" spans="1:37" ht="26.4">
      <c r="A86">
        <v>82</v>
      </c>
      <c r="B86" s="347">
        <v>565</v>
      </c>
      <c r="C86" s="58" t="s">
        <v>432</v>
      </c>
      <c r="D86" s="84" t="s">
        <v>467</v>
      </c>
      <c r="E86" s="82" t="s">
        <v>472</v>
      </c>
      <c r="F86" s="322">
        <v>2</v>
      </c>
      <c r="G86" s="323">
        <v>3</v>
      </c>
      <c r="H86" s="305">
        <f>COUNTIFS(缺陷明细!$A$2:$A$50000,$B$4,缺陷明细!$G$2:$G$50000,$C86,缺陷明细!$J$2:$J$50000,"评审",缺陷明细!$AA$2:$AA$50000,"&lt;&gt;丢弃",缺陷明细!$AA$2:$AA$50000,"&lt;&gt;设计如此",缺陷明细!$AA$2:$AA$50000,"&lt;&gt;重复Bug")</f>
        <v>0</v>
      </c>
      <c r="I86" s="161">
        <f>COUNTIFS(缺陷明细!$A$2:$A$50000,$B$4,缺陷明细!$G$2:$G$50000,$C86,缺陷明细!$Q$2:$Q$50000,"已关闭",缺陷明细!$J$2:$J$50000,"评审")</f>
        <v>0</v>
      </c>
      <c r="J86" s="161">
        <f>COUNTIFS(缺陷明细!$A$2:$A$50000,$B$4,缺陷明细!$G$2:$G$50000,$C86,缺陷明细!$J$2:$J$50000,"单元测试",缺陷明细!$AA$2:$AA$50000,"&lt;&gt;丢弃",缺陷明细!$AA$2:$AA$50000,"&lt;&gt;设计如此",缺陷明细!$AA$2:$AA$50000,"&lt;&gt;重复Bug")</f>
        <v>0</v>
      </c>
      <c r="K86" s="162">
        <f>COUNTIFS(缺陷明细!$A$2:$A$50000,$B$4,缺陷明细!$G$2:$G$50000,$C86,缺陷明细!$Q$2:$Q$50000,"已关闭",缺陷明细!$J$2:$J$50000,"单元测试")</f>
        <v>0</v>
      </c>
      <c r="L86" s="163"/>
      <c r="M86" s="164"/>
      <c r="N86" s="72">
        <f>COUNTIFS(缺陷明细!$A$2:$A$50000,$B$4,缺陷明细!$G$2:$G$50000,$C86,缺陷明细!$J$2:$J$50000,"系统测试案例评审",缺陷明细!$AA$2:$AA$50000,"&lt;&gt;丢弃",缺陷明细!$AA$2:$AA$50000,"&lt;&gt;设计如此",缺陷明细!$AA$2:$AA$50000,"&lt;&gt;重复Bug")</f>
        <v>0</v>
      </c>
      <c r="O86" s="72">
        <f>COUNTIFS(缺陷明细!$A$2:$A$50000,$B$4,缺陷明细!$G$2:$G$50000,$C86,缺陷明细!$Q$2:$Q$50000,"已关闭",缺陷明细!$J$2:$J$50000,"系统测试案例评审")</f>
        <v>0</v>
      </c>
      <c r="P86" s="72">
        <f>COUNTIFS(缺陷明细!$A$2:$A$50000,$B$4,缺陷明细!$G$2:$G$50000,$C86,缺陷明细!$J$2:$J$50000,"系统测试",缺陷明细!$AA$2:$AA$50000,"&lt;&gt;丢弃",缺陷明细!$AA$2:$AA$50000,"&lt;&gt;设计如此",缺陷明细!$AA$2:$AA$50000,"&lt;&gt;重复Bug")</f>
        <v>0</v>
      </c>
      <c r="Q86" s="72">
        <f>COUNTIFS(缺陷明细!$A$2:$A$50000,$B$4,缺陷明细!$G$2:$G$50000,$C86,缺陷明细!$Q$2:$Q$50000,"已关闭",缺陷明细!$J$2:$J$50000,"系统测试")</f>
        <v>0</v>
      </c>
      <c r="R86" s="354">
        <f>COUNTIFS(缺陷明细!$A$2:$A$50000,$B$4,缺陷明细!$G$2:$G$50000,$C86,缺陷明细!$AA$2:$AA$50000,"丢弃",缺陷明细!$J$2:$J$50000,"系统测试")+COUNTIFS(缺陷明细!$A$2:$A$50000,$B$4,缺陷明细!$G$2:$G$50000,$C86,缺陷明细!$AA$2:$AA$50000,"设计如此",缺陷明细!$J$2:$J$50000,"系统测试")+COUNTIFS(缺陷明细!$A$2:$A$50000,$B$4,缺陷明细!$G$2:$G$50000,$C86,缺陷明细!$AA$2:$AA$50000,"重复Bug",缺陷明细!$J$2:$J$50000,"系统测试")</f>
        <v>0</v>
      </c>
      <c r="S86" s="72">
        <f>COUNTIFS(缺陷明细!$A$2:$A$50000,$B$4,缺陷明细!$G$2:$G$50000,$C86,缺陷明细!$J$2:$J$50000,"系统测试",缺陷明细!$K$2:$K$50000,"致命",缺陷明细!$AA$2:$AA$50000,"&lt;&gt;丢弃",缺陷明细!$AA$2:$AA$50000,"&lt;&gt;设计如此",缺陷明细!$AA$2:$AA$50000,"&lt;&gt;重复Bug")+COUNTIFS(缺陷明细!$A$2:$A$50000,$B$4,缺陷明细!$G$2:$G$50000,$C86,缺陷明细!$J$2:$J$50000,"系统测试",缺陷明细!$K$2:$K$50000,"严重",缺陷明细!$AA$2:$AA$50000,"&lt;&gt;丢弃",缺陷明细!$AA$2:$AA$50000,"&lt;&gt;设计如此",缺陷明细!$AA$2:$AA$50000,"&lt;&gt;重复Bug")</f>
        <v>0</v>
      </c>
      <c r="T86" s="73">
        <f>COUNTIFS(缺陷明细!$A$2:$A$50000,$B$4,缺陷明细!$G$2:$G$50000,$C86,缺陷明细!$Q$2:$Q$50000,"已关闭",缺陷明细!$J$2:$J$50000,"系统测试",缺陷明细!$K$2:$K$50000,"致命")+COUNTIFS(缺陷明细!$A$2:$A$50000,$B$4,缺陷明细!$G$2:$G$50000,$C86,缺陷明细!$Q$2:$Q$50000,"已关闭",缺陷明细!$J$2:$J$50000,"系统测试",缺陷明细!$K$2:$K$50000,"严重")</f>
        <v>0</v>
      </c>
      <c r="U86" s="74">
        <f>COUNTIFS(缺陷明细!$A$2:$A$50000,$B$4,缺陷明细!$G$2:$G$50000,$C86,缺陷明细!$J$2:$J$50000,"验收测试",缺陷明细!$AA$2:$AA$50000,"&lt;&gt;丢弃",缺陷明细!$AA$2:$AA$50000,"&lt;&gt;设计如此",缺陷明细!$AA$2:$AA$50000,"&lt;&gt;重复Bug")</f>
        <v>0</v>
      </c>
      <c r="V86" s="75">
        <f>COUNTIFS(缺陷明细!$A$2:$A$50000,$B$4,缺陷明细!$G$2:$G$50000,$C86,缺陷明细!$Q$2:$Q$50000,"已关闭",缺陷明细!$J$2:$J$50000,"验收测试")</f>
        <v>0</v>
      </c>
      <c r="W86" s="75">
        <f>COUNTIFS(缺陷明细!$A$2:$A$50000,$B$4,缺陷明细!$G$2:$G$50000,$C86,缺陷明细!$J$2:$J$50000,"验收测试",缺陷明细!$K$2:$K$50000,"致命",缺陷明细!$AA$2:$AA$50000,"&lt;&gt;丢弃",缺陷明细!$AA$2:$AA$50000,"&lt;&gt;设计如此",缺陷明细!$AA$2:$AA$50000,"&lt;&gt;重复Bug")+COUNTIFS(缺陷明细!$A$2:$A$50000,$B$4,缺陷明细!$G$2:$G$50000,$C86,缺陷明细!$J$2:$J$50000,"验收测试",缺陷明细!$K$2:$K$50000,"严重",缺陷明细!$AA$2:$AA$50000,"&lt;&gt;丢弃",缺陷明细!$AA$2:$AA$50000,"&lt;&gt;设计如此",缺陷明细!$AA$2:$AA$50000,"&lt;&gt;重复Bug")</f>
        <v>0</v>
      </c>
      <c r="X86" s="76">
        <f>COUNTIFS(缺陷明细!$A$2:$A$50000,$B$4,缺陷明细!$G$2:$G$50000,$C86,缺陷明细!$Q$2:$Q$50000,"已关闭",缺陷明细!$J$2:$J$50000,"验收测试",缺陷明细!$K$2:$K$50000,"致命")+COUNTIFS(缺陷明细!$A$2:$A$50000,$B$4,缺陷明细!$G$2:$G$50000,$C86,缺陷明细!$Q$2:$Q$50000,"已关闭",缺陷明细!$J$2:$J$50000,"验收测试",缺陷明细!$K$2:$K$50000,"严重")</f>
        <v>0</v>
      </c>
      <c r="Y86" s="70">
        <f>COUNTIFS(缺陷明细!$A$2:$A$50000,$B$4,缺陷明细!$G$2:$G$50000,$C86,缺陷明细!$J$2:$J$50000,"运维测试",缺陷明细!$AA$2:$AA$50000,"&lt;&gt;丢弃",缺陷明细!$AA$2:$AA$50000,"&lt;&gt;设计如此",缺陷明细!$AA$2:$AA$50000,"&lt;&gt;重复Bug")</f>
        <v>0</v>
      </c>
      <c r="Z86" s="71">
        <f>COUNTIFS(缺陷明细!$A$2:$A$50000,$B$4,缺陷明细!$G$2:$G$50000,$C86,缺陷明细!$Q$2:$Q$50000,"已关闭",缺陷明细!$J$2:$J$50000,"运维测试")</f>
        <v>0</v>
      </c>
      <c r="AA86" s="72">
        <f>COUNTIFS(缺陷明细!$A$2:$A$50000,$B$4,缺陷明细!$G$2:$G$50000,$C86,缺陷明细!$J$2:$J$50000,"运维测试",缺陷明细!$K$2:$K$50000,"致命",缺陷明细!$AA$2:$AA$50000,"&lt;&gt;丢弃",缺陷明细!$AA$2:$AA$50000,"&lt;&gt;设计如此",缺陷明细!$AA$2:$AA$50000,"&lt;&gt;重复Bug")+COUNTIFS(缺陷明细!$A$2:$A$50000,$B$4,缺陷明细!$G$2:$G$50000,$C86,缺陷明细!$J$2:$J$50000,"运维测试",缺陷明细!$K$2:$K$50000,"严重",缺陷明细!$AA$2:$AA$50000,"&lt;&gt;丢弃",缺陷明细!$AA$2:$AA$50000,"&lt;&gt;设计如此",缺陷明细!$AA$2:$AA$50000,"&lt;&gt;重复Bug")</f>
        <v>0</v>
      </c>
      <c r="AB86" s="73">
        <f>COUNTIFS(缺陷明细!$A$2:$A$50000,$B$4,缺陷明细!$G$2:$G$50000,$C86,缺陷明细!$Q$2:$Q$50000,"已关闭",缺陷明细!$J$2:$J$50000,"运维测试",缺陷明细!$K$2:$K$50000,"致命")+COUNTIFS(缺陷明细!$A$2:$A$50000,$B$4,缺陷明细!$G$2:$G$50000,$C86,缺陷明细!$Q$2:$Q$50000,"已关闭",缺陷明细!$J$2:$J$50000,"运维测试",缺陷明细!$K$2:$K$50000,"严重")</f>
        <v>0</v>
      </c>
      <c r="AC86" s="68">
        <f t="shared" si="4"/>
        <v>0</v>
      </c>
      <c r="AD86" s="60">
        <f t="shared" si="5"/>
        <v>0</v>
      </c>
      <c r="AE86" s="60">
        <f t="shared" si="6"/>
        <v>0</v>
      </c>
      <c r="AF86" s="60">
        <f t="shared" si="7"/>
        <v>0</v>
      </c>
      <c r="AG86" s="60">
        <f t="shared" si="8"/>
        <v>0</v>
      </c>
      <c r="AH86" s="60">
        <f t="shared" si="9"/>
        <v>0</v>
      </c>
      <c r="AI86" s="60">
        <f t="shared" si="10"/>
        <v>0</v>
      </c>
      <c r="AJ86" s="61">
        <f t="shared" si="11"/>
        <v>0</v>
      </c>
      <c r="AK86" s="151"/>
    </row>
    <row r="87" spans="1:37" ht="26.4">
      <c r="A87">
        <v>83</v>
      </c>
      <c r="B87" s="347">
        <v>566</v>
      </c>
      <c r="C87" s="58" t="s">
        <v>433</v>
      </c>
      <c r="D87" s="84" t="s">
        <v>467</v>
      </c>
      <c r="E87" s="82" t="s">
        <v>472</v>
      </c>
      <c r="F87" s="322">
        <v>8</v>
      </c>
      <c r="G87" s="323">
        <v>8</v>
      </c>
      <c r="H87" s="305">
        <f>COUNTIFS(缺陷明细!$A$2:$A$50000,$B$4,缺陷明细!$G$2:$G$50000,$C87,缺陷明细!$J$2:$J$50000,"评审",缺陷明细!$AA$2:$AA$50000,"&lt;&gt;丢弃",缺陷明细!$AA$2:$AA$50000,"&lt;&gt;设计如此",缺陷明细!$AA$2:$AA$50000,"&lt;&gt;重复Bug")</f>
        <v>0</v>
      </c>
      <c r="I87" s="161">
        <f>COUNTIFS(缺陷明细!$A$2:$A$50000,$B$4,缺陷明细!$G$2:$G$50000,$C87,缺陷明细!$Q$2:$Q$50000,"已关闭",缺陷明细!$J$2:$J$50000,"评审")</f>
        <v>0</v>
      </c>
      <c r="J87" s="161">
        <f>COUNTIFS(缺陷明细!$A$2:$A$50000,$B$4,缺陷明细!$G$2:$G$50000,$C87,缺陷明细!$J$2:$J$50000,"单元测试",缺陷明细!$AA$2:$AA$50000,"&lt;&gt;丢弃",缺陷明细!$AA$2:$AA$50000,"&lt;&gt;设计如此",缺陷明细!$AA$2:$AA$50000,"&lt;&gt;重复Bug")</f>
        <v>0</v>
      </c>
      <c r="K87" s="162">
        <f>COUNTIFS(缺陷明细!$A$2:$A$50000,$B$4,缺陷明细!$G$2:$G$50000,$C87,缺陷明细!$Q$2:$Q$50000,"已关闭",缺陷明细!$J$2:$J$50000,"单元测试")</f>
        <v>0</v>
      </c>
      <c r="L87" s="163"/>
      <c r="M87" s="164"/>
      <c r="N87" s="72">
        <f>COUNTIFS(缺陷明细!$A$2:$A$50000,$B$4,缺陷明细!$G$2:$G$50000,$C87,缺陷明细!$J$2:$J$50000,"系统测试案例评审",缺陷明细!$AA$2:$AA$50000,"&lt;&gt;丢弃",缺陷明细!$AA$2:$AA$50000,"&lt;&gt;设计如此",缺陷明细!$AA$2:$AA$50000,"&lt;&gt;重复Bug")</f>
        <v>0</v>
      </c>
      <c r="O87" s="72">
        <f>COUNTIFS(缺陷明细!$A$2:$A$50000,$B$4,缺陷明细!$G$2:$G$50000,$C87,缺陷明细!$Q$2:$Q$50000,"已关闭",缺陷明细!$J$2:$J$50000,"系统测试案例评审")</f>
        <v>0</v>
      </c>
      <c r="P87" s="72">
        <f>COUNTIFS(缺陷明细!$A$2:$A$50000,$B$4,缺陷明细!$G$2:$G$50000,$C87,缺陷明细!$J$2:$J$50000,"系统测试",缺陷明细!$AA$2:$AA$50000,"&lt;&gt;丢弃",缺陷明细!$AA$2:$AA$50000,"&lt;&gt;设计如此",缺陷明细!$AA$2:$AA$50000,"&lt;&gt;重复Bug")</f>
        <v>0</v>
      </c>
      <c r="Q87" s="72">
        <f>COUNTIFS(缺陷明细!$A$2:$A$50000,$B$4,缺陷明细!$G$2:$G$50000,$C87,缺陷明细!$Q$2:$Q$50000,"已关闭",缺陷明细!$J$2:$J$50000,"系统测试")</f>
        <v>0</v>
      </c>
      <c r="R87" s="354">
        <f>COUNTIFS(缺陷明细!$A$2:$A$50000,$B$4,缺陷明细!$G$2:$G$50000,$C87,缺陷明细!$AA$2:$AA$50000,"丢弃",缺陷明细!$J$2:$J$50000,"系统测试")+COUNTIFS(缺陷明细!$A$2:$A$50000,$B$4,缺陷明细!$G$2:$G$50000,$C87,缺陷明细!$AA$2:$AA$50000,"设计如此",缺陷明细!$J$2:$J$50000,"系统测试")+COUNTIFS(缺陷明细!$A$2:$A$50000,$B$4,缺陷明细!$G$2:$G$50000,$C87,缺陷明细!$AA$2:$AA$50000,"重复Bug",缺陷明细!$J$2:$J$50000,"系统测试")</f>
        <v>0</v>
      </c>
      <c r="S87" s="72">
        <f>COUNTIFS(缺陷明细!$A$2:$A$50000,$B$4,缺陷明细!$G$2:$G$50000,$C87,缺陷明细!$J$2:$J$50000,"系统测试",缺陷明细!$K$2:$K$50000,"致命",缺陷明细!$AA$2:$AA$50000,"&lt;&gt;丢弃",缺陷明细!$AA$2:$AA$50000,"&lt;&gt;设计如此",缺陷明细!$AA$2:$AA$50000,"&lt;&gt;重复Bug")+COUNTIFS(缺陷明细!$A$2:$A$50000,$B$4,缺陷明细!$G$2:$G$50000,$C87,缺陷明细!$J$2:$J$50000,"系统测试",缺陷明细!$K$2:$K$50000,"严重",缺陷明细!$AA$2:$AA$50000,"&lt;&gt;丢弃",缺陷明细!$AA$2:$AA$50000,"&lt;&gt;设计如此",缺陷明细!$AA$2:$AA$50000,"&lt;&gt;重复Bug")</f>
        <v>0</v>
      </c>
      <c r="T87" s="73">
        <f>COUNTIFS(缺陷明细!$A$2:$A$50000,$B$4,缺陷明细!$G$2:$G$50000,$C87,缺陷明细!$Q$2:$Q$50000,"已关闭",缺陷明细!$J$2:$J$50000,"系统测试",缺陷明细!$K$2:$K$50000,"致命")+COUNTIFS(缺陷明细!$A$2:$A$50000,$B$4,缺陷明细!$G$2:$G$50000,$C87,缺陷明细!$Q$2:$Q$50000,"已关闭",缺陷明细!$J$2:$J$50000,"系统测试",缺陷明细!$K$2:$K$50000,"严重")</f>
        <v>0</v>
      </c>
      <c r="U87" s="74">
        <f>COUNTIFS(缺陷明细!$A$2:$A$50000,$B$4,缺陷明细!$G$2:$G$50000,$C87,缺陷明细!$J$2:$J$50000,"验收测试",缺陷明细!$AA$2:$AA$50000,"&lt;&gt;丢弃",缺陷明细!$AA$2:$AA$50000,"&lt;&gt;设计如此",缺陷明细!$AA$2:$AA$50000,"&lt;&gt;重复Bug")</f>
        <v>0</v>
      </c>
      <c r="V87" s="75">
        <f>COUNTIFS(缺陷明细!$A$2:$A$50000,$B$4,缺陷明细!$G$2:$G$50000,$C87,缺陷明细!$Q$2:$Q$50000,"已关闭",缺陷明细!$J$2:$J$50000,"验收测试")</f>
        <v>0</v>
      </c>
      <c r="W87" s="75">
        <f>COUNTIFS(缺陷明细!$A$2:$A$50000,$B$4,缺陷明细!$G$2:$G$50000,$C87,缺陷明细!$J$2:$J$50000,"验收测试",缺陷明细!$K$2:$K$50000,"致命",缺陷明细!$AA$2:$AA$50000,"&lt;&gt;丢弃",缺陷明细!$AA$2:$AA$50000,"&lt;&gt;设计如此",缺陷明细!$AA$2:$AA$50000,"&lt;&gt;重复Bug")+COUNTIFS(缺陷明细!$A$2:$A$50000,$B$4,缺陷明细!$G$2:$G$50000,$C87,缺陷明细!$J$2:$J$50000,"验收测试",缺陷明细!$K$2:$K$50000,"严重",缺陷明细!$AA$2:$AA$50000,"&lt;&gt;丢弃",缺陷明细!$AA$2:$AA$50000,"&lt;&gt;设计如此",缺陷明细!$AA$2:$AA$50000,"&lt;&gt;重复Bug")</f>
        <v>0</v>
      </c>
      <c r="X87" s="76">
        <f>COUNTIFS(缺陷明细!$A$2:$A$50000,$B$4,缺陷明细!$G$2:$G$50000,$C87,缺陷明细!$Q$2:$Q$50000,"已关闭",缺陷明细!$J$2:$J$50000,"验收测试",缺陷明细!$K$2:$K$50000,"致命")+COUNTIFS(缺陷明细!$A$2:$A$50000,$B$4,缺陷明细!$G$2:$G$50000,$C87,缺陷明细!$Q$2:$Q$50000,"已关闭",缺陷明细!$J$2:$J$50000,"验收测试",缺陷明细!$K$2:$K$50000,"严重")</f>
        <v>0</v>
      </c>
      <c r="Y87" s="70">
        <f>COUNTIFS(缺陷明细!$A$2:$A$50000,$B$4,缺陷明细!$G$2:$G$50000,$C87,缺陷明细!$J$2:$J$50000,"运维测试",缺陷明细!$AA$2:$AA$50000,"&lt;&gt;丢弃",缺陷明细!$AA$2:$AA$50000,"&lt;&gt;设计如此",缺陷明细!$AA$2:$AA$50000,"&lt;&gt;重复Bug")</f>
        <v>0</v>
      </c>
      <c r="Z87" s="71">
        <f>COUNTIFS(缺陷明细!$A$2:$A$50000,$B$4,缺陷明细!$G$2:$G$50000,$C87,缺陷明细!$Q$2:$Q$50000,"已关闭",缺陷明细!$J$2:$J$50000,"运维测试")</f>
        <v>0</v>
      </c>
      <c r="AA87" s="72">
        <f>COUNTIFS(缺陷明细!$A$2:$A$50000,$B$4,缺陷明细!$G$2:$G$50000,$C87,缺陷明细!$J$2:$J$50000,"运维测试",缺陷明细!$K$2:$K$50000,"致命",缺陷明细!$AA$2:$AA$50000,"&lt;&gt;丢弃",缺陷明细!$AA$2:$AA$50000,"&lt;&gt;设计如此",缺陷明细!$AA$2:$AA$50000,"&lt;&gt;重复Bug")+COUNTIFS(缺陷明细!$A$2:$A$50000,$B$4,缺陷明细!$G$2:$G$50000,$C87,缺陷明细!$J$2:$J$50000,"运维测试",缺陷明细!$K$2:$K$50000,"严重",缺陷明细!$AA$2:$AA$50000,"&lt;&gt;丢弃",缺陷明细!$AA$2:$AA$50000,"&lt;&gt;设计如此",缺陷明细!$AA$2:$AA$50000,"&lt;&gt;重复Bug")</f>
        <v>0</v>
      </c>
      <c r="AB87" s="73">
        <f>COUNTIFS(缺陷明细!$A$2:$A$50000,$B$4,缺陷明细!$G$2:$G$50000,$C87,缺陷明细!$Q$2:$Q$50000,"已关闭",缺陷明细!$J$2:$J$50000,"运维测试",缺陷明细!$K$2:$K$50000,"致命")+COUNTIFS(缺陷明细!$A$2:$A$50000,$B$4,缺陷明细!$G$2:$G$50000,$C87,缺陷明细!$Q$2:$Q$50000,"已关闭",缺陷明细!$J$2:$J$50000,"运维测试",缺陷明细!$K$2:$K$50000,"严重")</f>
        <v>0</v>
      </c>
      <c r="AC87" s="68">
        <f t="shared" si="4"/>
        <v>0</v>
      </c>
      <c r="AD87" s="60">
        <f t="shared" si="5"/>
        <v>0</v>
      </c>
      <c r="AE87" s="60">
        <f t="shared" si="6"/>
        <v>0</v>
      </c>
      <c r="AF87" s="60">
        <f t="shared" si="7"/>
        <v>0</v>
      </c>
      <c r="AG87" s="60">
        <f t="shared" si="8"/>
        <v>0</v>
      </c>
      <c r="AH87" s="60">
        <f t="shared" si="9"/>
        <v>0</v>
      </c>
      <c r="AI87" s="60">
        <f t="shared" si="10"/>
        <v>0</v>
      </c>
      <c r="AJ87" s="61">
        <f t="shared" si="11"/>
        <v>0</v>
      </c>
      <c r="AK87" s="151"/>
    </row>
    <row r="88" spans="1:37">
      <c r="A88">
        <v>84</v>
      </c>
      <c r="B88" s="347">
        <v>568</v>
      </c>
      <c r="C88" s="58" t="s">
        <v>434</v>
      </c>
      <c r="D88" s="84"/>
      <c r="E88" s="82" t="s">
        <v>472</v>
      </c>
      <c r="F88" s="322">
        <v>0</v>
      </c>
      <c r="G88" s="323">
        <v>4</v>
      </c>
      <c r="H88" s="305">
        <f>COUNTIFS(缺陷明细!$A$2:$A$50000,$B$4,缺陷明细!$G$2:$G$50000,$C88,缺陷明细!$J$2:$J$50000,"评审",缺陷明细!$AA$2:$AA$50000,"&lt;&gt;丢弃",缺陷明细!$AA$2:$AA$50000,"&lt;&gt;设计如此",缺陷明细!$AA$2:$AA$50000,"&lt;&gt;重复Bug")</f>
        <v>0</v>
      </c>
      <c r="I88" s="161">
        <f>COUNTIFS(缺陷明细!$A$2:$A$50000,$B$4,缺陷明细!$G$2:$G$50000,$C88,缺陷明细!$Q$2:$Q$50000,"已关闭",缺陷明细!$J$2:$J$50000,"评审")</f>
        <v>0</v>
      </c>
      <c r="J88" s="161">
        <f>COUNTIFS(缺陷明细!$A$2:$A$50000,$B$4,缺陷明细!$G$2:$G$50000,$C88,缺陷明细!$J$2:$J$50000,"单元测试",缺陷明细!$AA$2:$AA$50000,"&lt;&gt;丢弃",缺陷明细!$AA$2:$AA$50000,"&lt;&gt;设计如此",缺陷明细!$AA$2:$AA$50000,"&lt;&gt;重复Bug")</f>
        <v>0</v>
      </c>
      <c r="K88" s="162">
        <f>COUNTIFS(缺陷明细!$A$2:$A$50000,$B$4,缺陷明细!$G$2:$G$50000,$C88,缺陷明细!$Q$2:$Q$50000,"已关闭",缺陷明细!$J$2:$J$50000,"单元测试")</f>
        <v>0</v>
      </c>
      <c r="L88" s="163"/>
      <c r="M88" s="164"/>
      <c r="N88" s="72">
        <f>COUNTIFS(缺陷明细!$A$2:$A$50000,$B$4,缺陷明细!$G$2:$G$50000,$C88,缺陷明细!$J$2:$J$50000,"系统测试案例评审",缺陷明细!$AA$2:$AA$50000,"&lt;&gt;丢弃",缺陷明细!$AA$2:$AA$50000,"&lt;&gt;设计如此",缺陷明细!$AA$2:$AA$50000,"&lt;&gt;重复Bug")</f>
        <v>0</v>
      </c>
      <c r="O88" s="72">
        <f>COUNTIFS(缺陷明细!$A$2:$A$50000,$B$4,缺陷明细!$G$2:$G$50000,$C88,缺陷明细!$Q$2:$Q$50000,"已关闭",缺陷明细!$J$2:$J$50000,"系统测试案例评审")</f>
        <v>0</v>
      </c>
      <c r="P88" s="72">
        <f>COUNTIFS(缺陷明细!$A$2:$A$50000,$B$4,缺陷明细!$G$2:$G$50000,$C88,缺陷明细!$J$2:$J$50000,"系统测试",缺陷明细!$AA$2:$AA$50000,"&lt;&gt;丢弃",缺陷明细!$AA$2:$AA$50000,"&lt;&gt;设计如此",缺陷明细!$AA$2:$AA$50000,"&lt;&gt;重复Bug")</f>
        <v>0</v>
      </c>
      <c r="Q88" s="72">
        <f>COUNTIFS(缺陷明细!$A$2:$A$50000,$B$4,缺陷明细!$G$2:$G$50000,$C88,缺陷明细!$Q$2:$Q$50000,"已关闭",缺陷明细!$J$2:$J$50000,"系统测试")</f>
        <v>0</v>
      </c>
      <c r="R88" s="354">
        <f>COUNTIFS(缺陷明细!$A$2:$A$50000,$B$4,缺陷明细!$G$2:$G$50000,$C88,缺陷明细!$AA$2:$AA$50000,"丢弃",缺陷明细!$J$2:$J$50000,"系统测试")+COUNTIFS(缺陷明细!$A$2:$A$50000,$B$4,缺陷明细!$G$2:$G$50000,$C88,缺陷明细!$AA$2:$AA$50000,"设计如此",缺陷明细!$J$2:$J$50000,"系统测试")+COUNTIFS(缺陷明细!$A$2:$A$50000,$B$4,缺陷明细!$G$2:$G$50000,$C88,缺陷明细!$AA$2:$AA$50000,"重复Bug",缺陷明细!$J$2:$J$50000,"系统测试")</f>
        <v>0</v>
      </c>
      <c r="S88" s="72">
        <f>COUNTIFS(缺陷明细!$A$2:$A$50000,$B$4,缺陷明细!$G$2:$G$50000,$C88,缺陷明细!$J$2:$J$50000,"系统测试",缺陷明细!$K$2:$K$50000,"致命",缺陷明细!$AA$2:$AA$50000,"&lt;&gt;丢弃",缺陷明细!$AA$2:$AA$50000,"&lt;&gt;设计如此",缺陷明细!$AA$2:$AA$50000,"&lt;&gt;重复Bug")+COUNTIFS(缺陷明细!$A$2:$A$50000,$B$4,缺陷明细!$G$2:$G$50000,$C88,缺陷明细!$J$2:$J$50000,"系统测试",缺陷明细!$K$2:$K$50000,"严重",缺陷明细!$AA$2:$AA$50000,"&lt;&gt;丢弃",缺陷明细!$AA$2:$AA$50000,"&lt;&gt;设计如此",缺陷明细!$AA$2:$AA$50000,"&lt;&gt;重复Bug")</f>
        <v>0</v>
      </c>
      <c r="T88" s="73">
        <f>COUNTIFS(缺陷明细!$A$2:$A$50000,$B$4,缺陷明细!$G$2:$G$50000,$C88,缺陷明细!$Q$2:$Q$50000,"已关闭",缺陷明细!$J$2:$J$50000,"系统测试",缺陷明细!$K$2:$K$50000,"致命")+COUNTIFS(缺陷明细!$A$2:$A$50000,$B$4,缺陷明细!$G$2:$G$50000,$C88,缺陷明细!$Q$2:$Q$50000,"已关闭",缺陷明细!$J$2:$J$50000,"系统测试",缺陷明细!$K$2:$K$50000,"严重")</f>
        <v>0</v>
      </c>
      <c r="U88" s="74">
        <f>COUNTIFS(缺陷明细!$A$2:$A$50000,$B$4,缺陷明细!$G$2:$G$50000,$C88,缺陷明细!$J$2:$J$50000,"验收测试",缺陷明细!$AA$2:$AA$50000,"&lt;&gt;丢弃",缺陷明细!$AA$2:$AA$50000,"&lt;&gt;设计如此",缺陷明细!$AA$2:$AA$50000,"&lt;&gt;重复Bug")</f>
        <v>0</v>
      </c>
      <c r="V88" s="75">
        <f>COUNTIFS(缺陷明细!$A$2:$A$50000,$B$4,缺陷明细!$G$2:$G$50000,$C88,缺陷明细!$Q$2:$Q$50000,"已关闭",缺陷明细!$J$2:$J$50000,"验收测试")</f>
        <v>0</v>
      </c>
      <c r="W88" s="75">
        <f>COUNTIFS(缺陷明细!$A$2:$A$50000,$B$4,缺陷明细!$G$2:$G$50000,$C88,缺陷明细!$J$2:$J$50000,"验收测试",缺陷明细!$K$2:$K$50000,"致命",缺陷明细!$AA$2:$AA$50000,"&lt;&gt;丢弃",缺陷明细!$AA$2:$AA$50000,"&lt;&gt;设计如此",缺陷明细!$AA$2:$AA$50000,"&lt;&gt;重复Bug")+COUNTIFS(缺陷明细!$A$2:$A$50000,$B$4,缺陷明细!$G$2:$G$50000,$C88,缺陷明细!$J$2:$J$50000,"验收测试",缺陷明细!$K$2:$K$50000,"严重",缺陷明细!$AA$2:$AA$50000,"&lt;&gt;丢弃",缺陷明细!$AA$2:$AA$50000,"&lt;&gt;设计如此",缺陷明细!$AA$2:$AA$50000,"&lt;&gt;重复Bug")</f>
        <v>0</v>
      </c>
      <c r="X88" s="76">
        <f>COUNTIFS(缺陷明细!$A$2:$A$50000,$B$4,缺陷明细!$G$2:$G$50000,$C88,缺陷明细!$Q$2:$Q$50000,"已关闭",缺陷明细!$J$2:$J$50000,"验收测试",缺陷明细!$K$2:$K$50000,"致命")+COUNTIFS(缺陷明细!$A$2:$A$50000,$B$4,缺陷明细!$G$2:$G$50000,$C88,缺陷明细!$Q$2:$Q$50000,"已关闭",缺陷明细!$J$2:$J$50000,"验收测试",缺陷明细!$K$2:$K$50000,"严重")</f>
        <v>0</v>
      </c>
      <c r="Y88" s="70">
        <f>COUNTIFS(缺陷明细!$A$2:$A$50000,$B$4,缺陷明细!$G$2:$G$50000,$C88,缺陷明细!$J$2:$J$50000,"运维测试",缺陷明细!$AA$2:$AA$50000,"&lt;&gt;丢弃",缺陷明细!$AA$2:$AA$50000,"&lt;&gt;设计如此",缺陷明细!$AA$2:$AA$50000,"&lt;&gt;重复Bug")</f>
        <v>0</v>
      </c>
      <c r="Z88" s="71">
        <f>COUNTIFS(缺陷明细!$A$2:$A$50000,$B$4,缺陷明细!$G$2:$G$50000,$C88,缺陷明细!$Q$2:$Q$50000,"已关闭",缺陷明细!$J$2:$J$50000,"运维测试")</f>
        <v>0</v>
      </c>
      <c r="AA88" s="72">
        <f>COUNTIFS(缺陷明细!$A$2:$A$50000,$B$4,缺陷明细!$G$2:$G$50000,$C88,缺陷明细!$J$2:$J$50000,"运维测试",缺陷明细!$K$2:$K$50000,"致命",缺陷明细!$AA$2:$AA$50000,"&lt;&gt;丢弃",缺陷明细!$AA$2:$AA$50000,"&lt;&gt;设计如此",缺陷明细!$AA$2:$AA$50000,"&lt;&gt;重复Bug")+COUNTIFS(缺陷明细!$A$2:$A$50000,$B$4,缺陷明细!$G$2:$G$50000,$C88,缺陷明细!$J$2:$J$50000,"运维测试",缺陷明细!$K$2:$K$50000,"严重",缺陷明细!$AA$2:$AA$50000,"&lt;&gt;丢弃",缺陷明细!$AA$2:$AA$50000,"&lt;&gt;设计如此",缺陷明细!$AA$2:$AA$50000,"&lt;&gt;重复Bug")</f>
        <v>0</v>
      </c>
      <c r="AB88" s="73">
        <f>COUNTIFS(缺陷明细!$A$2:$A$50000,$B$4,缺陷明细!$G$2:$G$50000,$C88,缺陷明细!$Q$2:$Q$50000,"已关闭",缺陷明细!$J$2:$J$50000,"运维测试",缺陷明细!$K$2:$K$50000,"致命")+COUNTIFS(缺陷明细!$A$2:$A$50000,$B$4,缺陷明细!$G$2:$G$50000,$C88,缺陷明细!$Q$2:$Q$50000,"已关闭",缺陷明细!$J$2:$J$50000,"运维测试",缺陷明细!$K$2:$K$50000,"严重")</f>
        <v>0</v>
      </c>
      <c r="AC88" s="68">
        <f t="shared" si="4"/>
        <v>0</v>
      </c>
      <c r="AD88" s="60">
        <f t="shared" si="5"/>
        <v>0</v>
      </c>
      <c r="AE88" s="60">
        <f t="shared" si="6"/>
        <v>0</v>
      </c>
      <c r="AF88" s="60">
        <f t="shared" si="7"/>
        <v>0</v>
      </c>
      <c r="AG88" s="60">
        <f t="shared" si="8"/>
        <v>0</v>
      </c>
      <c r="AH88" s="60">
        <f t="shared" si="9"/>
        <v>0</v>
      </c>
      <c r="AI88" s="60">
        <f t="shared" si="10"/>
        <v>0</v>
      </c>
      <c r="AJ88" s="61">
        <f t="shared" si="11"/>
        <v>0</v>
      </c>
      <c r="AK88" s="151"/>
    </row>
    <row r="89" spans="1:37">
      <c r="A89">
        <v>85</v>
      </c>
      <c r="B89" s="347">
        <v>569</v>
      </c>
      <c r="C89" s="58" t="s">
        <v>435</v>
      </c>
      <c r="D89" s="84" t="s">
        <v>467</v>
      </c>
      <c r="E89" s="82" t="s">
        <v>472</v>
      </c>
      <c r="F89" s="322">
        <v>4</v>
      </c>
      <c r="G89" s="323">
        <v>4</v>
      </c>
      <c r="H89" s="305">
        <f>COUNTIFS(缺陷明细!$A$2:$A$50000,$B$4,缺陷明细!$G$2:$G$50000,$C89,缺陷明细!$J$2:$J$50000,"评审",缺陷明细!$AA$2:$AA$50000,"&lt;&gt;丢弃",缺陷明细!$AA$2:$AA$50000,"&lt;&gt;设计如此",缺陷明细!$AA$2:$AA$50000,"&lt;&gt;重复Bug")</f>
        <v>0</v>
      </c>
      <c r="I89" s="161">
        <f>COUNTIFS(缺陷明细!$A$2:$A$50000,$B$4,缺陷明细!$G$2:$G$50000,$C89,缺陷明细!$Q$2:$Q$50000,"已关闭",缺陷明细!$J$2:$J$50000,"评审")</f>
        <v>0</v>
      </c>
      <c r="J89" s="161">
        <f>COUNTIFS(缺陷明细!$A$2:$A$50000,$B$4,缺陷明细!$G$2:$G$50000,$C89,缺陷明细!$J$2:$J$50000,"单元测试",缺陷明细!$AA$2:$AA$50000,"&lt;&gt;丢弃",缺陷明细!$AA$2:$AA$50000,"&lt;&gt;设计如此",缺陷明细!$AA$2:$AA$50000,"&lt;&gt;重复Bug")</f>
        <v>0</v>
      </c>
      <c r="K89" s="162">
        <f>COUNTIFS(缺陷明细!$A$2:$A$50000,$B$4,缺陷明细!$G$2:$G$50000,$C89,缺陷明细!$Q$2:$Q$50000,"已关闭",缺陷明细!$J$2:$J$50000,"单元测试")</f>
        <v>0</v>
      </c>
      <c r="L89" s="163"/>
      <c r="M89" s="164"/>
      <c r="N89" s="72">
        <f>COUNTIFS(缺陷明细!$A$2:$A$50000,$B$4,缺陷明细!$G$2:$G$50000,$C89,缺陷明细!$J$2:$J$50000,"系统测试案例评审",缺陷明细!$AA$2:$AA$50000,"&lt;&gt;丢弃",缺陷明细!$AA$2:$AA$50000,"&lt;&gt;设计如此",缺陷明细!$AA$2:$AA$50000,"&lt;&gt;重复Bug")</f>
        <v>0</v>
      </c>
      <c r="O89" s="72">
        <f>COUNTIFS(缺陷明细!$A$2:$A$50000,$B$4,缺陷明细!$G$2:$G$50000,$C89,缺陷明细!$Q$2:$Q$50000,"已关闭",缺陷明细!$J$2:$J$50000,"系统测试案例评审")</f>
        <v>0</v>
      </c>
      <c r="P89" s="72">
        <f>COUNTIFS(缺陷明细!$A$2:$A$50000,$B$4,缺陷明细!$G$2:$G$50000,$C89,缺陷明细!$J$2:$J$50000,"系统测试",缺陷明细!$AA$2:$AA$50000,"&lt;&gt;丢弃",缺陷明细!$AA$2:$AA$50000,"&lt;&gt;设计如此",缺陷明细!$AA$2:$AA$50000,"&lt;&gt;重复Bug")</f>
        <v>0</v>
      </c>
      <c r="Q89" s="72">
        <f>COUNTIFS(缺陷明细!$A$2:$A$50000,$B$4,缺陷明细!$G$2:$G$50000,$C89,缺陷明细!$Q$2:$Q$50000,"已关闭",缺陷明细!$J$2:$J$50000,"系统测试")</f>
        <v>0</v>
      </c>
      <c r="R89" s="354">
        <f>COUNTIFS(缺陷明细!$A$2:$A$50000,$B$4,缺陷明细!$G$2:$G$50000,$C89,缺陷明细!$AA$2:$AA$50000,"丢弃",缺陷明细!$J$2:$J$50000,"系统测试")+COUNTIFS(缺陷明细!$A$2:$A$50000,$B$4,缺陷明细!$G$2:$G$50000,$C89,缺陷明细!$AA$2:$AA$50000,"设计如此",缺陷明细!$J$2:$J$50000,"系统测试")+COUNTIFS(缺陷明细!$A$2:$A$50000,$B$4,缺陷明细!$G$2:$G$50000,$C89,缺陷明细!$AA$2:$AA$50000,"重复Bug",缺陷明细!$J$2:$J$50000,"系统测试")</f>
        <v>0</v>
      </c>
      <c r="S89" s="72">
        <f>COUNTIFS(缺陷明细!$A$2:$A$50000,$B$4,缺陷明细!$G$2:$G$50000,$C89,缺陷明细!$J$2:$J$50000,"系统测试",缺陷明细!$K$2:$K$50000,"致命",缺陷明细!$AA$2:$AA$50000,"&lt;&gt;丢弃",缺陷明细!$AA$2:$AA$50000,"&lt;&gt;设计如此",缺陷明细!$AA$2:$AA$50000,"&lt;&gt;重复Bug")+COUNTIFS(缺陷明细!$A$2:$A$50000,$B$4,缺陷明细!$G$2:$G$50000,$C89,缺陷明细!$J$2:$J$50000,"系统测试",缺陷明细!$K$2:$K$50000,"严重",缺陷明细!$AA$2:$AA$50000,"&lt;&gt;丢弃",缺陷明细!$AA$2:$AA$50000,"&lt;&gt;设计如此",缺陷明细!$AA$2:$AA$50000,"&lt;&gt;重复Bug")</f>
        <v>0</v>
      </c>
      <c r="T89" s="73">
        <f>COUNTIFS(缺陷明细!$A$2:$A$50000,$B$4,缺陷明细!$G$2:$G$50000,$C89,缺陷明细!$Q$2:$Q$50000,"已关闭",缺陷明细!$J$2:$J$50000,"系统测试",缺陷明细!$K$2:$K$50000,"致命")+COUNTIFS(缺陷明细!$A$2:$A$50000,$B$4,缺陷明细!$G$2:$G$50000,$C89,缺陷明细!$Q$2:$Q$50000,"已关闭",缺陷明细!$J$2:$J$50000,"系统测试",缺陷明细!$K$2:$K$50000,"严重")</f>
        <v>0</v>
      </c>
      <c r="U89" s="74">
        <f>COUNTIFS(缺陷明细!$A$2:$A$50000,$B$4,缺陷明细!$G$2:$G$50000,$C89,缺陷明细!$J$2:$J$50000,"验收测试",缺陷明细!$AA$2:$AA$50000,"&lt;&gt;丢弃",缺陷明细!$AA$2:$AA$50000,"&lt;&gt;设计如此",缺陷明细!$AA$2:$AA$50000,"&lt;&gt;重复Bug")</f>
        <v>0</v>
      </c>
      <c r="V89" s="75">
        <f>COUNTIFS(缺陷明细!$A$2:$A$50000,$B$4,缺陷明细!$G$2:$G$50000,$C89,缺陷明细!$Q$2:$Q$50000,"已关闭",缺陷明细!$J$2:$J$50000,"验收测试")</f>
        <v>0</v>
      </c>
      <c r="W89" s="75">
        <f>COUNTIFS(缺陷明细!$A$2:$A$50000,$B$4,缺陷明细!$G$2:$G$50000,$C89,缺陷明细!$J$2:$J$50000,"验收测试",缺陷明细!$K$2:$K$50000,"致命",缺陷明细!$AA$2:$AA$50000,"&lt;&gt;丢弃",缺陷明细!$AA$2:$AA$50000,"&lt;&gt;设计如此",缺陷明细!$AA$2:$AA$50000,"&lt;&gt;重复Bug")+COUNTIFS(缺陷明细!$A$2:$A$50000,$B$4,缺陷明细!$G$2:$G$50000,$C89,缺陷明细!$J$2:$J$50000,"验收测试",缺陷明细!$K$2:$K$50000,"严重",缺陷明细!$AA$2:$AA$50000,"&lt;&gt;丢弃",缺陷明细!$AA$2:$AA$50000,"&lt;&gt;设计如此",缺陷明细!$AA$2:$AA$50000,"&lt;&gt;重复Bug")</f>
        <v>0</v>
      </c>
      <c r="X89" s="76">
        <f>COUNTIFS(缺陷明细!$A$2:$A$50000,$B$4,缺陷明细!$G$2:$G$50000,$C89,缺陷明细!$Q$2:$Q$50000,"已关闭",缺陷明细!$J$2:$J$50000,"验收测试",缺陷明细!$K$2:$K$50000,"致命")+COUNTIFS(缺陷明细!$A$2:$A$50000,$B$4,缺陷明细!$G$2:$G$50000,$C89,缺陷明细!$Q$2:$Q$50000,"已关闭",缺陷明细!$J$2:$J$50000,"验收测试",缺陷明细!$K$2:$K$50000,"严重")</f>
        <v>0</v>
      </c>
      <c r="Y89" s="70">
        <f>COUNTIFS(缺陷明细!$A$2:$A$50000,$B$4,缺陷明细!$G$2:$G$50000,$C89,缺陷明细!$J$2:$J$50000,"运维测试",缺陷明细!$AA$2:$AA$50000,"&lt;&gt;丢弃",缺陷明细!$AA$2:$AA$50000,"&lt;&gt;设计如此",缺陷明细!$AA$2:$AA$50000,"&lt;&gt;重复Bug")</f>
        <v>0</v>
      </c>
      <c r="Z89" s="71">
        <f>COUNTIFS(缺陷明细!$A$2:$A$50000,$B$4,缺陷明细!$G$2:$G$50000,$C89,缺陷明细!$Q$2:$Q$50000,"已关闭",缺陷明细!$J$2:$J$50000,"运维测试")</f>
        <v>0</v>
      </c>
      <c r="AA89" s="72">
        <f>COUNTIFS(缺陷明细!$A$2:$A$50000,$B$4,缺陷明细!$G$2:$G$50000,$C89,缺陷明细!$J$2:$J$50000,"运维测试",缺陷明细!$K$2:$K$50000,"致命",缺陷明细!$AA$2:$AA$50000,"&lt;&gt;丢弃",缺陷明细!$AA$2:$AA$50000,"&lt;&gt;设计如此",缺陷明细!$AA$2:$AA$50000,"&lt;&gt;重复Bug")+COUNTIFS(缺陷明细!$A$2:$A$50000,$B$4,缺陷明细!$G$2:$G$50000,$C89,缺陷明细!$J$2:$J$50000,"运维测试",缺陷明细!$K$2:$K$50000,"严重",缺陷明细!$AA$2:$AA$50000,"&lt;&gt;丢弃",缺陷明细!$AA$2:$AA$50000,"&lt;&gt;设计如此",缺陷明细!$AA$2:$AA$50000,"&lt;&gt;重复Bug")</f>
        <v>0</v>
      </c>
      <c r="AB89" s="73">
        <f>COUNTIFS(缺陷明细!$A$2:$A$50000,$B$4,缺陷明细!$G$2:$G$50000,$C89,缺陷明细!$Q$2:$Q$50000,"已关闭",缺陷明细!$J$2:$J$50000,"运维测试",缺陷明细!$K$2:$K$50000,"致命")+COUNTIFS(缺陷明细!$A$2:$A$50000,$B$4,缺陷明细!$G$2:$G$50000,$C89,缺陷明细!$Q$2:$Q$50000,"已关闭",缺陷明细!$J$2:$J$50000,"运维测试",缺陷明细!$K$2:$K$50000,"严重")</f>
        <v>0</v>
      </c>
      <c r="AC89" s="68">
        <f t="shared" si="4"/>
        <v>0</v>
      </c>
      <c r="AD89" s="60">
        <f t="shared" si="5"/>
        <v>0</v>
      </c>
      <c r="AE89" s="60">
        <f t="shared" si="6"/>
        <v>0</v>
      </c>
      <c r="AF89" s="60">
        <f t="shared" si="7"/>
        <v>0</v>
      </c>
      <c r="AG89" s="60">
        <f t="shared" si="8"/>
        <v>0</v>
      </c>
      <c r="AH89" s="60">
        <f t="shared" si="9"/>
        <v>0</v>
      </c>
      <c r="AI89" s="60">
        <f t="shared" si="10"/>
        <v>0</v>
      </c>
      <c r="AJ89" s="61">
        <f t="shared" si="11"/>
        <v>0</v>
      </c>
      <c r="AK89" s="151"/>
    </row>
    <row r="90" spans="1:37">
      <c r="A90">
        <v>86</v>
      </c>
      <c r="B90" s="347">
        <v>571</v>
      </c>
      <c r="C90" s="58" t="s">
        <v>436</v>
      </c>
      <c r="D90" s="84" t="s">
        <v>467</v>
      </c>
      <c r="E90" s="82" t="s">
        <v>472</v>
      </c>
      <c r="F90" s="322">
        <v>6</v>
      </c>
      <c r="G90" s="323">
        <v>8</v>
      </c>
      <c r="H90" s="305">
        <f>COUNTIFS(缺陷明细!$A$2:$A$50000,$B$4,缺陷明细!$G$2:$G$50000,$C90,缺陷明细!$J$2:$J$50000,"评审",缺陷明细!$AA$2:$AA$50000,"&lt;&gt;丢弃",缺陷明细!$AA$2:$AA$50000,"&lt;&gt;设计如此",缺陷明细!$AA$2:$AA$50000,"&lt;&gt;重复Bug")</f>
        <v>0</v>
      </c>
      <c r="I90" s="161">
        <f>COUNTIFS(缺陷明细!$A$2:$A$50000,$B$4,缺陷明细!$G$2:$G$50000,$C90,缺陷明细!$Q$2:$Q$50000,"已关闭",缺陷明细!$J$2:$J$50000,"评审")</f>
        <v>0</v>
      </c>
      <c r="J90" s="161">
        <f>COUNTIFS(缺陷明细!$A$2:$A$50000,$B$4,缺陷明细!$G$2:$G$50000,$C90,缺陷明细!$J$2:$J$50000,"单元测试",缺陷明细!$AA$2:$AA$50000,"&lt;&gt;丢弃",缺陷明细!$AA$2:$AA$50000,"&lt;&gt;设计如此",缺陷明细!$AA$2:$AA$50000,"&lt;&gt;重复Bug")</f>
        <v>0</v>
      </c>
      <c r="K90" s="162">
        <f>COUNTIFS(缺陷明细!$A$2:$A$50000,$B$4,缺陷明细!$G$2:$G$50000,$C90,缺陷明细!$Q$2:$Q$50000,"已关闭",缺陷明细!$J$2:$J$50000,"单元测试")</f>
        <v>0</v>
      </c>
      <c r="L90" s="163"/>
      <c r="M90" s="164"/>
      <c r="N90" s="72">
        <f>COUNTIFS(缺陷明细!$A$2:$A$50000,$B$4,缺陷明细!$G$2:$G$50000,$C90,缺陷明细!$J$2:$J$50000,"系统测试案例评审",缺陷明细!$AA$2:$AA$50000,"&lt;&gt;丢弃",缺陷明细!$AA$2:$AA$50000,"&lt;&gt;设计如此",缺陷明细!$AA$2:$AA$50000,"&lt;&gt;重复Bug")</f>
        <v>0</v>
      </c>
      <c r="O90" s="72">
        <f>COUNTIFS(缺陷明细!$A$2:$A$50000,$B$4,缺陷明细!$G$2:$G$50000,$C90,缺陷明细!$Q$2:$Q$50000,"已关闭",缺陷明细!$J$2:$J$50000,"系统测试案例评审")</f>
        <v>0</v>
      </c>
      <c r="P90" s="72">
        <f>COUNTIFS(缺陷明细!$A$2:$A$50000,$B$4,缺陷明细!$G$2:$G$50000,$C90,缺陷明细!$J$2:$J$50000,"系统测试",缺陷明细!$AA$2:$AA$50000,"&lt;&gt;丢弃",缺陷明细!$AA$2:$AA$50000,"&lt;&gt;设计如此",缺陷明细!$AA$2:$AA$50000,"&lt;&gt;重复Bug")</f>
        <v>0</v>
      </c>
      <c r="Q90" s="72">
        <f>COUNTIFS(缺陷明细!$A$2:$A$50000,$B$4,缺陷明细!$G$2:$G$50000,$C90,缺陷明细!$Q$2:$Q$50000,"已关闭",缺陷明细!$J$2:$J$50000,"系统测试")</f>
        <v>0</v>
      </c>
      <c r="R90" s="354">
        <f>COUNTIFS(缺陷明细!$A$2:$A$50000,$B$4,缺陷明细!$G$2:$G$50000,$C90,缺陷明细!$AA$2:$AA$50000,"丢弃",缺陷明细!$J$2:$J$50000,"系统测试")+COUNTIFS(缺陷明细!$A$2:$A$50000,$B$4,缺陷明细!$G$2:$G$50000,$C90,缺陷明细!$AA$2:$AA$50000,"设计如此",缺陷明细!$J$2:$J$50000,"系统测试")+COUNTIFS(缺陷明细!$A$2:$A$50000,$B$4,缺陷明细!$G$2:$G$50000,$C90,缺陷明细!$AA$2:$AA$50000,"重复Bug",缺陷明细!$J$2:$J$50000,"系统测试")</f>
        <v>0</v>
      </c>
      <c r="S90" s="72">
        <f>COUNTIFS(缺陷明细!$A$2:$A$50000,$B$4,缺陷明细!$G$2:$G$50000,$C90,缺陷明细!$J$2:$J$50000,"系统测试",缺陷明细!$K$2:$K$50000,"致命",缺陷明细!$AA$2:$AA$50000,"&lt;&gt;丢弃",缺陷明细!$AA$2:$AA$50000,"&lt;&gt;设计如此",缺陷明细!$AA$2:$AA$50000,"&lt;&gt;重复Bug")+COUNTIFS(缺陷明细!$A$2:$A$50000,$B$4,缺陷明细!$G$2:$G$50000,$C90,缺陷明细!$J$2:$J$50000,"系统测试",缺陷明细!$K$2:$K$50000,"严重",缺陷明细!$AA$2:$AA$50000,"&lt;&gt;丢弃",缺陷明细!$AA$2:$AA$50000,"&lt;&gt;设计如此",缺陷明细!$AA$2:$AA$50000,"&lt;&gt;重复Bug")</f>
        <v>0</v>
      </c>
      <c r="T90" s="73">
        <f>COUNTIFS(缺陷明细!$A$2:$A$50000,$B$4,缺陷明细!$G$2:$G$50000,$C90,缺陷明细!$Q$2:$Q$50000,"已关闭",缺陷明细!$J$2:$J$50000,"系统测试",缺陷明细!$K$2:$K$50000,"致命")+COUNTIFS(缺陷明细!$A$2:$A$50000,$B$4,缺陷明细!$G$2:$G$50000,$C90,缺陷明细!$Q$2:$Q$50000,"已关闭",缺陷明细!$J$2:$J$50000,"系统测试",缺陷明细!$K$2:$K$50000,"严重")</f>
        <v>0</v>
      </c>
      <c r="U90" s="74">
        <f>COUNTIFS(缺陷明细!$A$2:$A$50000,$B$4,缺陷明细!$G$2:$G$50000,$C90,缺陷明细!$J$2:$J$50000,"验收测试",缺陷明细!$AA$2:$AA$50000,"&lt;&gt;丢弃",缺陷明细!$AA$2:$AA$50000,"&lt;&gt;设计如此",缺陷明细!$AA$2:$AA$50000,"&lt;&gt;重复Bug")</f>
        <v>0</v>
      </c>
      <c r="V90" s="75">
        <f>COUNTIFS(缺陷明细!$A$2:$A$50000,$B$4,缺陷明细!$G$2:$G$50000,$C90,缺陷明细!$Q$2:$Q$50000,"已关闭",缺陷明细!$J$2:$J$50000,"验收测试")</f>
        <v>0</v>
      </c>
      <c r="W90" s="75">
        <f>COUNTIFS(缺陷明细!$A$2:$A$50000,$B$4,缺陷明细!$G$2:$G$50000,$C90,缺陷明细!$J$2:$J$50000,"验收测试",缺陷明细!$K$2:$K$50000,"致命",缺陷明细!$AA$2:$AA$50000,"&lt;&gt;丢弃",缺陷明细!$AA$2:$AA$50000,"&lt;&gt;设计如此",缺陷明细!$AA$2:$AA$50000,"&lt;&gt;重复Bug")+COUNTIFS(缺陷明细!$A$2:$A$50000,$B$4,缺陷明细!$G$2:$G$50000,$C90,缺陷明细!$J$2:$J$50000,"验收测试",缺陷明细!$K$2:$K$50000,"严重",缺陷明细!$AA$2:$AA$50000,"&lt;&gt;丢弃",缺陷明细!$AA$2:$AA$50000,"&lt;&gt;设计如此",缺陷明细!$AA$2:$AA$50000,"&lt;&gt;重复Bug")</f>
        <v>0</v>
      </c>
      <c r="X90" s="76">
        <f>COUNTIFS(缺陷明细!$A$2:$A$50000,$B$4,缺陷明细!$G$2:$G$50000,$C90,缺陷明细!$Q$2:$Q$50000,"已关闭",缺陷明细!$J$2:$J$50000,"验收测试",缺陷明细!$K$2:$K$50000,"致命")+COUNTIFS(缺陷明细!$A$2:$A$50000,$B$4,缺陷明细!$G$2:$G$50000,$C90,缺陷明细!$Q$2:$Q$50000,"已关闭",缺陷明细!$J$2:$J$50000,"验收测试",缺陷明细!$K$2:$K$50000,"严重")</f>
        <v>0</v>
      </c>
      <c r="Y90" s="70">
        <f>COUNTIFS(缺陷明细!$A$2:$A$50000,$B$4,缺陷明细!$G$2:$G$50000,$C90,缺陷明细!$J$2:$J$50000,"运维测试",缺陷明细!$AA$2:$AA$50000,"&lt;&gt;丢弃",缺陷明细!$AA$2:$AA$50000,"&lt;&gt;设计如此",缺陷明细!$AA$2:$AA$50000,"&lt;&gt;重复Bug")</f>
        <v>0</v>
      </c>
      <c r="Z90" s="71">
        <f>COUNTIFS(缺陷明细!$A$2:$A$50000,$B$4,缺陷明细!$G$2:$G$50000,$C90,缺陷明细!$Q$2:$Q$50000,"已关闭",缺陷明细!$J$2:$J$50000,"运维测试")</f>
        <v>0</v>
      </c>
      <c r="AA90" s="72">
        <f>COUNTIFS(缺陷明细!$A$2:$A$50000,$B$4,缺陷明细!$G$2:$G$50000,$C90,缺陷明细!$J$2:$J$50000,"运维测试",缺陷明细!$K$2:$K$50000,"致命",缺陷明细!$AA$2:$AA$50000,"&lt;&gt;丢弃",缺陷明细!$AA$2:$AA$50000,"&lt;&gt;设计如此",缺陷明细!$AA$2:$AA$50000,"&lt;&gt;重复Bug")+COUNTIFS(缺陷明细!$A$2:$A$50000,$B$4,缺陷明细!$G$2:$G$50000,$C90,缺陷明细!$J$2:$J$50000,"运维测试",缺陷明细!$K$2:$K$50000,"严重",缺陷明细!$AA$2:$AA$50000,"&lt;&gt;丢弃",缺陷明细!$AA$2:$AA$50000,"&lt;&gt;设计如此",缺陷明细!$AA$2:$AA$50000,"&lt;&gt;重复Bug")</f>
        <v>0</v>
      </c>
      <c r="AB90" s="73">
        <f>COUNTIFS(缺陷明细!$A$2:$A$50000,$B$4,缺陷明细!$G$2:$G$50000,$C90,缺陷明细!$Q$2:$Q$50000,"已关闭",缺陷明细!$J$2:$J$50000,"运维测试",缺陷明细!$K$2:$K$50000,"致命")+COUNTIFS(缺陷明细!$A$2:$A$50000,$B$4,缺陷明细!$G$2:$G$50000,$C90,缺陷明细!$Q$2:$Q$50000,"已关闭",缺陷明细!$J$2:$J$50000,"运维测试",缺陷明细!$K$2:$K$50000,"严重")</f>
        <v>0</v>
      </c>
      <c r="AC90" s="68">
        <f t="shared" si="4"/>
        <v>0</v>
      </c>
      <c r="AD90" s="60">
        <f t="shared" si="5"/>
        <v>0</v>
      </c>
      <c r="AE90" s="60">
        <f t="shared" si="6"/>
        <v>0</v>
      </c>
      <c r="AF90" s="60">
        <f t="shared" si="7"/>
        <v>0</v>
      </c>
      <c r="AG90" s="60">
        <f t="shared" si="8"/>
        <v>0</v>
      </c>
      <c r="AH90" s="60">
        <f t="shared" si="9"/>
        <v>0</v>
      </c>
      <c r="AI90" s="60">
        <f t="shared" si="10"/>
        <v>0</v>
      </c>
      <c r="AJ90" s="61">
        <f t="shared" si="11"/>
        <v>0</v>
      </c>
      <c r="AK90" s="151"/>
    </row>
    <row r="91" spans="1:37" ht="39.6">
      <c r="A91">
        <v>87</v>
      </c>
      <c r="B91" s="347">
        <v>572</v>
      </c>
      <c r="C91" s="58" t="s">
        <v>437</v>
      </c>
      <c r="D91" s="84" t="s">
        <v>467</v>
      </c>
      <c r="E91" s="82" t="s">
        <v>472</v>
      </c>
      <c r="F91" s="322">
        <v>2</v>
      </c>
      <c r="G91" s="323">
        <v>2</v>
      </c>
      <c r="H91" s="305">
        <f>COUNTIFS(缺陷明细!$A$2:$A$50000,$B$4,缺陷明细!$G$2:$G$50000,$C91,缺陷明细!$J$2:$J$50000,"评审",缺陷明细!$AA$2:$AA$50000,"&lt;&gt;丢弃",缺陷明细!$AA$2:$AA$50000,"&lt;&gt;设计如此",缺陷明细!$AA$2:$AA$50000,"&lt;&gt;重复Bug")</f>
        <v>0</v>
      </c>
      <c r="I91" s="161">
        <f>COUNTIFS(缺陷明细!$A$2:$A$50000,$B$4,缺陷明细!$G$2:$G$50000,$C91,缺陷明细!$Q$2:$Q$50000,"已关闭",缺陷明细!$J$2:$J$50000,"评审")</f>
        <v>0</v>
      </c>
      <c r="J91" s="161">
        <f>COUNTIFS(缺陷明细!$A$2:$A$50000,$B$4,缺陷明细!$G$2:$G$50000,$C91,缺陷明细!$J$2:$J$50000,"单元测试",缺陷明细!$AA$2:$AA$50000,"&lt;&gt;丢弃",缺陷明细!$AA$2:$AA$50000,"&lt;&gt;设计如此",缺陷明细!$AA$2:$AA$50000,"&lt;&gt;重复Bug")</f>
        <v>0</v>
      </c>
      <c r="K91" s="162">
        <f>COUNTIFS(缺陷明细!$A$2:$A$50000,$B$4,缺陷明细!$G$2:$G$50000,$C91,缺陷明细!$Q$2:$Q$50000,"已关闭",缺陷明细!$J$2:$J$50000,"单元测试")</f>
        <v>0</v>
      </c>
      <c r="L91" s="163"/>
      <c r="M91" s="164"/>
      <c r="N91" s="72">
        <f>COUNTIFS(缺陷明细!$A$2:$A$50000,$B$4,缺陷明细!$G$2:$G$50000,$C91,缺陷明细!$J$2:$J$50000,"系统测试案例评审",缺陷明细!$AA$2:$AA$50000,"&lt;&gt;丢弃",缺陷明细!$AA$2:$AA$50000,"&lt;&gt;设计如此",缺陷明细!$AA$2:$AA$50000,"&lt;&gt;重复Bug")</f>
        <v>0</v>
      </c>
      <c r="O91" s="72">
        <f>COUNTIFS(缺陷明细!$A$2:$A$50000,$B$4,缺陷明细!$G$2:$G$50000,$C91,缺陷明细!$Q$2:$Q$50000,"已关闭",缺陷明细!$J$2:$J$50000,"系统测试案例评审")</f>
        <v>0</v>
      </c>
      <c r="P91" s="72">
        <f>COUNTIFS(缺陷明细!$A$2:$A$50000,$B$4,缺陷明细!$G$2:$G$50000,$C91,缺陷明细!$J$2:$J$50000,"系统测试",缺陷明细!$AA$2:$AA$50000,"&lt;&gt;丢弃",缺陷明细!$AA$2:$AA$50000,"&lt;&gt;设计如此",缺陷明细!$AA$2:$AA$50000,"&lt;&gt;重复Bug")</f>
        <v>0</v>
      </c>
      <c r="Q91" s="72">
        <f>COUNTIFS(缺陷明细!$A$2:$A$50000,$B$4,缺陷明细!$G$2:$G$50000,$C91,缺陷明细!$Q$2:$Q$50000,"已关闭",缺陷明细!$J$2:$J$50000,"系统测试")</f>
        <v>0</v>
      </c>
      <c r="R91" s="354">
        <f>COUNTIFS(缺陷明细!$A$2:$A$50000,$B$4,缺陷明细!$G$2:$G$50000,$C91,缺陷明细!$AA$2:$AA$50000,"丢弃",缺陷明细!$J$2:$J$50000,"系统测试")+COUNTIFS(缺陷明细!$A$2:$A$50000,$B$4,缺陷明细!$G$2:$G$50000,$C91,缺陷明细!$AA$2:$AA$50000,"设计如此",缺陷明细!$J$2:$J$50000,"系统测试")+COUNTIFS(缺陷明细!$A$2:$A$50000,$B$4,缺陷明细!$G$2:$G$50000,$C91,缺陷明细!$AA$2:$AA$50000,"重复Bug",缺陷明细!$J$2:$J$50000,"系统测试")</f>
        <v>0</v>
      </c>
      <c r="S91" s="72">
        <f>COUNTIFS(缺陷明细!$A$2:$A$50000,$B$4,缺陷明细!$G$2:$G$50000,$C91,缺陷明细!$J$2:$J$50000,"系统测试",缺陷明细!$K$2:$K$50000,"致命",缺陷明细!$AA$2:$AA$50000,"&lt;&gt;丢弃",缺陷明细!$AA$2:$AA$50000,"&lt;&gt;设计如此",缺陷明细!$AA$2:$AA$50000,"&lt;&gt;重复Bug")+COUNTIFS(缺陷明细!$A$2:$A$50000,$B$4,缺陷明细!$G$2:$G$50000,$C91,缺陷明细!$J$2:$J$50000,"系统测试",缺陷明细!$K$2:$K$50000,"严重",缺陷明细!$AA$2:$AA$50000,"&lt;&gt;丢弃",缺陷明细!$AA$2:$AA$50000,"&lt;&gt;设计如此",缺陷明细!$AA$2:$AA$50000,"&lt;&gt;重复Bug")</f>
        <v>0</v>
      </c>
      <c r="T91" s="73">
        <f>COUNTIFS(缺陷明细!$A$2:$A$50000,$B$4,缺陷明细!$G$2:$G$50000,$C91,缺陷明细!$Q$2:$Q$50000,"已关闭",缺陷明细!$J$2:$J$50000,"系统测试",缺陷明细!$K$2:$K$50000,"致命")+COUNTIFS(缺陷明细!$A$2:$A$50000,$B$4,缺陷明细!$G$2:$G$50000,$C91,缺陷明细!$Q$2:$Q$50000,"已关闭",缺陷明细!$J$2:$J$50000,"系统测试",缺陷明细!$K$2:$K$50000,"严重")</f>
        <v>0</v>
      </c>
      <c r="U91" s="74">
        <f>COUNTIFS(缺陷明细!$A$2:$A$50000,$B$4,缺陷明细!$G$2:$G$50000,$C91,缺陷明细!$J$2:$J$50000,"验收测试",缺陷明细!$AA$2:$AA$50000,"&lt;&gt;丢弃",缺陷明细!$AA$2:$AA$50000,"&lt;&gt;设计如此",缺陷明细!$AA$2:$AA$50000,"&lt;&gt;重复Bug")</f>
        <v>0</v>
      </c>
      <c r="V91" s="75">
        <f>COUNTIFS(缺陷明细!$A$2:$A$50000,$B$4,缺陷明细!$G$2:$G$50000,$C91,缺陷明细!$Q$2:$Q$50000,"已关闭",缺陷明细!$J$2:$J$50000,"验收测试")</f>
        <v>0</v>
      </c>
      <c r="W91" s="75">
        <f>COUNTIFS(缺陷明细!$A$2:$A$50000,$B$4,缺陷明细!$G$2:$G$50000,$C91,缺陷明细!$J$2:$J$50000,"验收测试",缺陷明细!$K$2:$K$50000,"致命",缺陷明细!$AA$2:$AA$50000,"&lt;&gt;丢弃",缺陷明细!$AA$2:$AA$50000,"&lt;&gt;设计如此",缺陷明细!$AA$2:$AA$50000,"&lt;&gt;重复Bug")+COUNTIFS(缺陷明细!$A$2:$A$50000,$B$4,缺陷明细!$G$2:$G$50000,$C91,缺陷明细!$J$2:$J$50000,"验收测试",缺陷明细!$K$2:$K$50000,"严重",缺陷明细!$AA$2:$AA$50000,"&lt;&gt;丢弃",缺陷明细!$AA$2:$AA$50000,"&lt;&gt;设计如此",缺陷明细!$AA$2:$AA$50000,"&lt;&gt;重复Bug")</f>
        <v>0</v>
      </c>
      <c r="X91" s="76">
        <f>COUNTIFS(缺陷明细!$A$2:$A$50000,$B$4,缺陷明细!$G$2:$G$50000,$C91,缺陷明细!$Q$2:$Q$50000,"已关闭",缺陷明细!$J$2:$J$50000,"验收测试",缺陷明细!$K$2:$K$50000,"致命")+COUNTIFS(缺陷明细!$A$2:$A$50000,$B$4,缺陷明细!$G$2:$G$50000,$C91,缺陷明细!$Q$2:$Q$50000,"已关闭",缺陷明细!$J$2:$J$50000,"验收测试",缺陷明细!$K$2:$K$50000,"严重")</f>
        <v>0</v>
      </c>
      <c r="Y91" s="70">
        <f>COUNTIFS(缺陷明细!$A$2:$A$50000,$B$4,缺陷明细!$G$2:$G$50000,$C91,缺陷明细!$J$2:$J$50000,"运维测试",缺陷明细!$AA$2:$AA$50000,"&lt;&gt;丢弃",缺陷明细!$AA$2:$AA$50000,"&lt;&gt;设计如此",缺陷明细!$AA$2:$AA$50000,"&lt;&gt;重复Bug")</f>
        <v>0</v>
      </c>
      <c r="Z91" s="71">
        <f>COUNTIFS(缺陷明细!$A$2:$A$50000,$B$4,缺陷明细!$G$2:$G$50000,$C91,缺陷明细!$Q$2:$Q$50000,"已关闭",缺陷明细!$J$2:$J$50000,"运维测试")</f>
        <v>0</v>
      </c>
      <c r="AA91" s="72">
        <f>COUNTIFS(缺陷明细!$A$2:$A$50000,$B$4,缺陷明细!$G$2:$G$50000,$C91,缺陷明细!$J$2:$J$50000,"运维测试",缺陷明细!$K$2:$K$50000,"致命",缺陷明细!$AA$2:$AA$50000,"&lt;&gt;丢弃",缺陷明细!$AA$2:$AA$50000,"&lt;&gt;设计如此",缺陷明细!$AA$2:$AA$50000,"&lt;&gt;重复Bug")+COUNTIFS(缺陷明细!$A$2:$A$50000,$B$4,缺陷明细!$G$2:$G$50000,$C91,缺陷明细!$J$2:$J$50000,"运维测试",缺陷明细!$K$2:$K$50000,"严重",缺陷明细!$AA$2:$AA$50000,"&lt;&gt;丢弃",缺陷明细!$AA$2:$AA$50000,"&lt;&gt;设计如此",缺陷明细!$AA$2:$AA$50000,"&lt;&gt;重复Bug")</f>
        <v>0</v>
      </c>
      <c r="AB91" s="73">
        <f>COUNTIFS(缺陷明细!$A$2:$A$50000,$B$4,缺陷明细!$G$2:$G$50000,$C91,缺陷明细!$Q$2:$Q$50000,"已关闭",缺陷明细!$J$2:$J$50000,"运维测试",缺陷明细!$K$2:$K$50000,"致命")+COUNTIFS(缺陷明细!$A$2:$A$50000,$B$4,缺陷明细!$G$2:$G$50000,$C91,缺陷明细!$Q$2:$Q$50000,"已关闭",缺陷明细!$J$2:$J$50000,"运维测试",缺陷明细!$K$2:$K$50000,"严重")</f>
        <v>0</v>
      </c>
      <c r="AC91" s="68">
        <f t="shared" si="4"/>
        <v>0</v>
      </c>
      <c r="AD91" s="60">
        <f t="shared" si="5"/>
        <v>0</v>
      </c>
      <c r="AE91" s="60">
        <f t="shared" si="6"/>
        <v>0</v>
      </c>
      <c r="AF91" s="60">
        <f t="shared" si="7"/>
        <v>0</v>
      </c>
      <c r="AG91" s="60">
        <f t="shared" si="8"/>
        <v>0</v>
      </c>
      <c r="AH91" s="60">
        <f t="shared" si="9"/>
        <v>0</v>
      </c>
      <c r="AI91" s="60">
        <f t="shared" si="10"/>
        <v>0</v>
      </c>
      <c r="AJ91" s="61">
        <f t="shared" si="11"/>
        <v>0</v>
      </c>
      <c r="AK91" s="151"/>
    </row>
    <row r="92" spans="1:37" ht="39.6">
      <c r="A92">
        <v>88</v>
      </c>
      <c r="B92" s="347">
        <v>573</v>
      </c>
      <c r="C92" s="58" t="s">
        <v>438</v>
      </c>
      <c r="D92" s="84" t="s">
        <v>467</v>
      </c>
      <c r="E92" s="82" t="s">
        <v>472</v>
      </c>
      <c r="F92" s="322">
        <v>2</v>
      </c>
      <c r="G92" s="323">
        <v>2</v>
      </c>
      <c r="H92" s="305">
        <f>COUNTIFS(缺陷明细!$A$2:$A$50000,$B$4,缺陷明细!$G$2:$G$50000,$C92,缺陷明细!$J$2:$J$50000,"评审",缺陷明细!$AA$2:$AA$50000,"&lt;&gt;丢弃",缺陷明细!$AA$2:$AA$50000,"&lt;&gt;设计如此",缺陷明细!$AA$2:$AA$50000,"&lt;&gt;重复Bug")</f>
        <v>0</v>
      </c>
      <c r="I92" s="161">
        <f>COUNTIFS(缺陷明细!$A$2:$A$50000,$B$4,缺陷明细!$G$2:$G$50000,$C92,缺陷明细!$Q$2:$Q$50000,"已关闭",缺陷明细!$J$2:$J$50000,"评审")</f>
        <v>0</v>
      </c>
      <c r="J92" s="161">
        <f>COUNTIFS(缺陷明细!$A$2:$A$50000,$B$4,缺陷明细!$G$2:$G$50000,$C92,缺陷明细!$J$2:$J$50000,"单元测试",缺陷明细!$AA$2:$AA$50000,"&lt;&gt;丢弃",缺陷明细!$AA$2:$AA$50000,"&lt;&gt;设计如此",缺陷明细!$AA$2:$AA$50000,"&lt;&gt;重复Bug")</f>
        <v>0</v>
      </c>
      <c r="K92" s="162">
        <f>COUNTIFS(缺陷明细!$A$2:$A$50000,$B$4,缺陷明细!$G$2:$G$50000,$C92,缺陷明细!$Q$2:$Q$50000,"已关闭",缺陷明细!$J$2:$J$50000,"单元测试")</f>
        <v>0</v>
      </c>
      <c r="L92" s="163"/>
      <c r="M92" s="164"/>
      <c r="N92" s="72">
        <f>COUNTIFS(缺陷明细!$A$2:$A$50000,$B$4,缺陷明细!$G$2:$G$50000,$C92,缺陷明细!$J$2:$J$50000,"系统测试案例评审",缺陷明细!$AA$2:$AA$50000,"&lt;&gt;丢弃",缺陷明细!$AA$2:$AA$50000,"&lt;&gt;设计如此",缺陷明细!$AA$2:$AA$50000,"&lt;&gt;重复Bug")</f>
        <v>0</v>
      </c>
      <c r="O92" s="72">
        <f>COUNTIFS(缺陷明细!$A$2:$A$50000,$B$4,缺陷明细!$G$2:$G$50000,$C92,缺陷明细!$Q$2:$Q$50000,"已关闭",缺陷明细!$J$2:$J$50000,"系统测试案例评审")</f>
        <v>0</v>
      </c>
      <c r="P92" s="72">
        <f>COUNTIFS(缺陷明细!$A$2:$A$50000,$B$4,缺陷明细!$G$2:$G$50000,$C92,缺陷明细!$J$2:$J$50000,"系统测试",缺陷明细!$AA$2:$AA$50000,"&lt;&gt;丢弃",缺陷明细!$AA$2:$AA$50000,"&lt;&gt;设计如此",缺陷明细!$AA$2:$AA$50000,"&lt;&gt;重复Bug")</f>
        <v>0</v>
      </c>
      <c r="Q92" s="72">
        <f>COUNTIFS(缺陷明细!$A$2:$A$50000,$B$4,缺陷明细!$G$2:$G$50000,$C92,缺陷明细!$Q$2:$Q$50000,"已关闭",缺陷明细!$J$2:$J$50000,"系统测试")</f>
        <v>0</v>
      </c>
      <c r="R92" s="354">
        <f>COUNTIFS(缺陷明细!$A$2:$A$50000,$B$4,缺陷明细!$G$2:$G$50000,$C92,缺陷明细!$AA$2:$AA$50000,"丢弃",缺陷明细!$J$2:$J$50000,"系统测试")+COUNTIFS(缺陷明细!$A$2:$A$50000,$B$4,缺陷明细!$G$2:$G$50000,$C92,缺陷明细!$AA$2:$AA$50000,"设计如此",缺陷明细!$J$2:$J$50000,"系统测试")+COUNTIFS(缺陷明细!$A$2:$A$50000,$B$4,缺陷明细!$G$2:$G$50000,$C92,缺陷明细!$AA$2:$AA$50000,"重复Bug",缺陷明细!$J$2:$J$50000,"系统测试")</f>
        <v>0</v>
      </c>
      <c r="S92" s="72">
        <f>COUNTIFS(缺陷明细!$A$2:$A$50000,$B$4,缺陷明细!$G$2:$G$50000,$C92,缺陷明细!$J$2:$J$50000,"系统测试",缺陷明细!$K$2:$K$50000,"致命",缺陷明细!$AA$2:$AA$50000,"&lt;&gt;丢弃",缺陷明细!$AA$2:$AA$50000,"&lt;&gt;设计如此",缺陷明细!$AA$2:$AA$50000,"&lt;&gt;重复Bug")+COUNTIFS(缺陷明细!$A$2:$A$50000,$B$4,缺陷明细!$G$2:$G$50000,$C92,缺陷明细!$J$2:$J$50000,"系统测试",缺陷明细!$K$2:$K$50000,"严重",缺陷明细!$AA$2:$AA$50000,"&lt;&gt;丢弃",缺陷明细!$AA$2:$AA$50000,"&lt;&gt;设计如此",缺陷明细!$AA$2:$AA$50000,"&lt;&gt;重复Bug")</f>
        <v>0</v>
      </c>
      <c r="T92" s="73">
        <f>COUNTIFS(缺陷明细!$A$2:$A$50000,$B$4,缺陷明细!$G$2:$G$50000,$C92,缺陷明细!$Q$2:$Q$50000,"已关闭",缺陷明细!$J$2:$J$50000,"系统测试",缺陷明细!$K$2:$K$50000,"致命")+COUNTIFS(缺陷明细!$A$2:$A$50000,$B$4,缺陷明细!$G$2:$G$50000,$C92,缺陷明细!$Q$2:$Q$50000,"已关闭",缺陷明细!$J$2:$J$50000,"系统测试",缺陷明细!$K$2:$K$50000,"严重")</f>
        <v>0</v>
      </c>
      <c r="U92" s="74">
        <f>COUNTIFS(缺陷明细!$A$2:$A$50000,$B$4,缺陷明细!$G$2:$G$50000,$C92,缺陷明细!$J$2:$J$50000,"验收测试",缺陷明细!$AA$2:$AA$50000,"&lt;&gt;丢弃",缺陷明细!$AA$2:$AA$50000,"&lt;&gt;设计如此",缺陷明细!$AA$2:$AA$50000,"&lt;&gt;重复Bug")</f>
        <v>0</v>
      </c>
      <c r="V92" s="75">
        <f>COUNTIFS(缺陷明细!$A$2:$A$50000,$B$4,缺陷明细!$G$2:$G$50000,$C92,缺陷明细!$Q$2:$Q$50000,"已关闭",缺陷明细!$J$2:$J$50000,"验收测试")</f>
        <v>0</v>
      </c>
      <c r="W92" s="75">
        <f>COUNTIFS(缺陷明细!$A$2:$A$50000,$B$4,缺陷明细!$G$2:$G$50000,$C92,缺陷明细!$J$2:$J$50000,"验收测试",缺陷明细!$K$2:$K$50000,"致命",缺陷明细!$AA$2:$AA$50000,"&lt;&gt;丢弃",缺陷明细!$AA$2:$AA$50000,"&lt;&gt;设计如此",缺陷明细!$AA$2:$AA$50000,"&lt;&gt;重复Bug")+COUNTIFS(缺陷明细!$A$2:$A$50000,$B$4,缺陷明细!$G$2:$G$50000,$C92,缺陷明细!$J$2:$J$50000,"验收测试",缺陷明细!$K$2:$K$50000,"严重",缺陷明细!$AA$2:$AA$50000,"&lt;&gt;丢弃",缺陷明细!$AA$2:$AA$50000,"&lt;&gt;设计如此",缺陷明细!$AA$2:$AA$50000,"&lt;&gt;重复Bug")</f>
        <v>0</v>
      </c>
      <c r="X92" s="76">
        <f>COUNTIFS(缺陷明细!$A$2:$A$50000,$B$4,缺陷明细!$G$2:$G$50000,$C92,缺陷明细!$Q$2:$Q$50000,"已关闭",缺陷明细!$J$2:$J$50000,"验收测试",缺陷明细!$K$2:$K$50000,"致命")+COUNTIFS(缺陷明细!$A$2:$A$50000,$B$4,缺陷明细!$G$2:$G$50000,$C92,缺陷明细!$Q$2:$Q$50000,"已关闭",缺陷明细!$J$2:$J$50000,"验收测试",缺陷明细!$K$2:$K$50000,"严重")</f>
        <v>0</v>
      </c>
      <c r="Y92" s="70">
        <f>COUNTIFS(缺陷明细!$A$2:$A$50000,$B$4,缺陷明细!$G$2:$G$50000,$C92,缺陷明细!$J$2:$J$50000,"运维测试",缺陷明细!$AA$2:$AA$50000,"&lt;&gt;丢弃",缺陷明细!$AA$2:$AA$50000,"&lt;&gt;设计如此",缺陷明细!$AA$2:$AA$50000,"&lt;&gt;重复Bug")</f>
        <v>0</v>
      </c>
      <c r="Z92" s="71">
        <f>COUNTIFS(缺陷明细!$A$2:$A$50000,$B$4,缺陷明细!$G$2:$G$50000,$C92,缺陷明细!$Q$2:$Q$50000,"已关闭",缺陷明细!$J$2:$J$50000,"运维测试")</f>
        <v>0</v>
      </c>
      <c r="AA92" s="72">
        <f>COUNTIFS(缺陷明细!$A$2:$A$50000,$B$4,缺陷明细!$G$2:$G$50000,$C92,缺陷明细!$J$2:$J$50000,"运维测试",缺陷明细!$K$2:$K$50000,"致命",缺陷明细!$AA$2:$AA$50000,"&lt;&gt;丢弃",缺陷明细!$AA$2:$AA$50000,"&lt;&gt;设计如此",缺陷明细!$AA$2:$AA$50000,"&lt;&gt;重复Bug")+COUNTIFS(缺陷明细!$A$2:$A$50000,$B$4,缺陷明细!$G$2:$G$50000,$C92,缺陷明细!$J$2:$J$50000,"运维测试",缺陷明细!$K$2:$K$50000,"严重",缺陷明细!$AA$2:$AA$50000,"&lt;&gt;丢弃",缺陷明细!$AA$2:$AA$50000,"&lt;&gt;设计如此",缺陷明细!$AA$2:$AA$50000,"&lt;&gt;重复Bug")</f>
        <v>0</v>
      </c>
      <c r="AB92" s="73">
        <f>COUNTIFS(缺陷明细!$A$2:$A$50000,$B$4,缺陷明细!$G$2:$G$50000,$C92,缺陷明细!$Q$2:$Q$50000,"已关闭",缺陷明细!$J$2:$J$50000,"运维测试",缺陷明细!$K$2:$K$50000,"致命")+COUNTIFS(缺陷明细!$A$2:$A$50000,$B$4,缺陷明细!$G$2:$G$50000,$C92,缺陷明细!$Q$2:$Q$50000,"已关闭",缺陷明细!$J$2:$J$50000,"运维测试",缺陷明细!$K$2:$K$50000,"严重")</f>
        <v>0</v>
      </c>
      <c r="AC92" s="68">
        <f t="shared" si="4"/>
        <v>0</v>
      </c>
      <c r="AD92" s="60">
        <f t="shared" si="5"/>
        <v>0</v>
      </c>
      <c r="AE92" s="60">
        <f t="shared" si="6"/>
        <v>0</v>
      </c>
      <c r="AF92" s="60">
        <f t="shared" si="7"/>
        <v>0</v>
      </c>
      <c r="AG92" s="60">
        <f t="shared" si="8"/>
        <v>0</v>
      </c>
      <c r="AH92" s="60">
        <f t="shared" si="9"/>
        <v>0</v>
      </c>
      <c r="AI92" s="60">
        <f t="shared" si="10"/>
        <v>0</v>
      </c>
      <c r="AJ92" s="61">
        <f t="shared" si="11"/>
        <v>0</v>
      </c>
      <c r="AK92" s="151"/>
    </row>
    <row r="93" spans="1:37" ht="39.6">
      <c r="A93">
        <v>89</v>
      </c>
      <c r="B93" s="347">
        <v>574</v>
      </c>
      <c r="C93" s="58" t="s">
        <v>439</v>
      </c>
      <c r="D93" s="84" t="s">
        <v>467</v>
      </c>
      <c r="E93" s="82" t="s">
        <v>472</v>
      </c>
      <c r="F93" s="322">
        <v>4</v>
      </c>
      <c r="G93" s="323">
        <v>4</v>
      </c>
      <c r="H93" s="305">
        <f>COUNTIFS(缺陷明细!$A$2:$A$50000,$B$4,缺陷明细!$G$2:$G$50000,$C93,缺陷明细!$J$2:$J$50000,"评审",缺陷明细!$AA$2:$AA$50000,"&lt;&gt;丢弃",缺陷明细!$AA$2:$AA$50000,"&lt;&gt;设计如此",缺陷明细!$AA$2:$AA$50000,"&lt;&gt;重复Bug")</f>
        <v>0</v>
      </c>
      <c r="I93" s="161">
        <f>COUNTIFS(缺陷明细!$A$2:$A$50000,$B$4,缺陷明细!$G$2:$G$50000,$C93,缺陷明细!$Q$2:$Q$50000,"已关闭",缺陷明细!$J$2:$J$50000,"评审")</f>
        <v>0</v>
      </c>
      <c r="J93" s="161">
        <f>COUNTIFS(缺陷明细!$A$2:$A$50000,$B$4,缺陷明细!$G$2:$G$50000,$C93,缺陷明细!$J$2:$J$50000,"单元测试",缺陷明细!$AA$2:$AA$50000,"&lt;&gt;丢弃",缺陷明细!$AA$2:$AA$50000,"&lt;&gt;设计如此",缺陷明细!$AA$2:$AA$50000,"&lt;&gt;重复Bug")</f>
        <v>0</v>
      </c>
      <c r="K93" s="162">
        <f>COUNTIFS(缺陷明细!$A$2:$A$50000,$B$4,缺陷明细!$G$2:$G$50000,$C93,缺陷明细!$Q$2:$Q$50000,"已关闭",缺陷明细!$J$2:$J$50000,"单元测试")</f>
        <v>0</v>
      </c>
      <c r="L93" s="163"/>
      <c r="M93" s="164"/>
      <c r="N93" s="72">
        <f>COUNTIFS(缺陷明细!$A$2:$A$50000,$B$4,缺陷明细!$G$2:$G$50000,$C93,缺陷明细!$J$2:$J$50000,"系统测试案例评审",缺陷明细!$AA$2:$AA$50000,"&lt;&gt;丢弃",缺陷明细!$AA$2:$AA$50000,"&lt;&gt;设计如此",缺陷明细!$AA$2:$AA$50000,"&lt;&gt;重复Bug")</f>
        <v>0</v>
      </c>
      <c r="O93" s="72">
        <f>COUNTIFS(缺陷明细!$A$2:$A$50000,$B$4,缺陷明细!$G$2:$G$50000,$C93,缺陷明细!$Q$2:$Q$50000,"已关闭",缺陷明细!$J$2:$J$50000,"系统测试案例评审")</f>
        <v>0</v>
      </c>
      <c r="P93" s="72">
        <f>COUNTIFS(缺陷明细!$A$2:$A$50000,$B$4,缺陷明细!$G$2:$G$50000,$C93,缺陷明细!$J$2:$J$50000,"系统测试",缺陷明细!$AA$2:$AA$50000,"&lt;&gt;丢弃",缺陷明细!$AA$2:$AA$50000,"&lt;&gt;设计如此",缺陷明细!$AA$2:$AA$50000,"&lt;&gt;重复Bug")</f>
        <v>0</v>
      </c>
      <c r="Q93" s="72">
        <f>COUNTIFS(缺陷明细!$A$2:$A$50000,$B$4,缺陷明细!$G$2:$G$50000,$C93,缺陷明细!$Q$2:$Q$50000,"已关闭",缺陷明细!$J$2:$J$50000,"系统测试")</f>
        <v>0</v>
      </c>
      <c r="R93" s="354">
        <f>COUNTIFS(缺陷明细!$A$2:$A$50000,$B$4,缺陷明细!$G$2:$G$50000,$C93,缺陷明细!$AA$2:$AA$50000,"丢弃",缺陷明细!$J$2:$J$50000,"系统测试")+COUNTIFS(缺陷明细!$A$2:$A$50000,$B$4,缺陷明细!$G$2:$G$50000,$C93,缺陷明细!$AA$2:$AA$50000,"设计如此",缺陷明细!$J$2:$J$50000,"系统测试")+COUNTIFS(缺陷明细!$A$2:$A$50000,$B$4,缺陷明细!$G$2:$G$50000,$C93,缺陷明细!$AA$2:$AA$50000,"重复Bug",缺陷明细!$J$2:$J$50000,"系统测试")</f>
        <v>0</v>
      </c>
      <c r="S93" s="72">
        <f>COUNTIFS(缺陷明细!$A$2:$A$50000,$B$4,缺陷明细!$G$2:$G$50000,$C93,缺陷明细!$J$2:$J$50000,"系统测试",缺陷明细!$K$2:$K$50000,"致命",缺陷明细!$AA$2:$AA$50000,"&lt;&gt;丢弃",缺陷明细!$AA$2:$AA$50000,"&lt;&gt;设计如此",缺陷明细!$AA$2:$AA$50000,"&lt;&gt;重复Bug")+COUNTIFS(缺陷明细!$A$2:$A$50000,$B$4,缺陷明细!$G$2:$G$50000,$C93,缺陷明细!$J$2:$J$50000,"系统测试",缺陷明细!$K$2:$K$50000,"严重",缺陷明细!$AA$2:$AA$50000,"&lt;&gt;丢弃",缺陷明细!$AA$2:$AA$50000,"&lt;&gt;设计如此",缺陷明细!$AA$2:$AA$50000,"&lt;&gt;重复Bug")</f>
        <v>0</v>
      </c>
      <c r="T93" s="73">
        <f>COUNTIFS(缺陷明细!$A$2:$A$50000,$B$4,缺陷明细!$G$2:$G$50000,$C93,缺陷明细!$Q$2:$Q$50000,"已关闭",缺陷明细!$J$2:$J$50000,"系统测试",缺陷明细!$K$2:$K$50000,"致命")+COUNTIFS(缺陷明细!$A$2:$A$50000,$B$4,缺陷明细!$G$2:$G$50000,$C93,缺陷明细!$Q$2:$Q$50000,"已关闭",缺陷明细!$J$2:$J$50000,"系统测试",缺陷明细!$K$2:$K$50000,"严重")</f>
        <v>0</v>
      </c>
      <c r="U93" s="74">
        <f>COUNTIFS(缺陷明细!$A$2:$A$50000,$B$4,缺陷明细!$G$2:$G$50000,$C93,缺陷明细!$J$2:$J$50000,"验收测试",缺陷明细!$AA$2:$AA$50000,"&lt;&gt;丢弃",缺陷明细!$AA$2:$AA$50000,"&lt;&gt;设计如此",缺陷明细!$AA$2:$AA$50000,"&lt;&gt;重复Bug")</f>
        <v>0</v>
      </c>
      <c r="V93" s="75">
        <f>COUNTIFS(缺陷明细!$A$2:$A$50000,$B$4,缺陷明细!$G$2:$G$50000,$C93,缺陷明细!$Q$2:$Q$50000,"已关闭",缺陷明细!$J$2:$J$50000,"验收测试")</f>
        <v>0</v>
      </c>
      <c r="W93" s="75">
        <f>COUNTIFS(缺陷明细!$A$2:$A$50000,$B$4,缺陷明细!$G$2:$G$50000,$C93,缺陷明细!$J$2:$J$50000,"验收测试",缺陷明细!$K$2:$K$50000,"致命",缺陷明细!$AA$2:$AA$50000,"&lt;&gt;丢弃",缺陷明细!$AA$2:$AA$50000,"&lt;&gt;设计如此",缺陷明细!$AA$2:$AA$50000,"&lt;&gt;重复Bug")+COUNTIFS(缺陷明细!$A$2:$A$50000,$B$4,缺陷明细!$G$2:$G$50000,$C93,缺陷明细!$J$2:$J$50000,"验收测试",缺陷明细!$K$2:$K$50000,"严重",缺陷明细!$AA$2:$AA$50000,"&lt;&gt;丢弃",缺陷明细!$AA$2:$AA$50000,"&lt;&gt;设计如此",缺陷明细!$AA$2:$AA$50000,"&lt;&gt;重复Bug")</f>
        <v>0</v>
      </c>
      <c r="X93" s="76">
        <f>COUNTIFS(缺陷明细!$A$2:$A$50000,$B$4,缺陷明细!$G$2:$G$50000,$C93,缺陷明细!$Q$2:$Q$50000,"已关闭",缺陷明细!$J$2:$J$50000,"验收测试",缺陷明细!$K$2:$K$50000,"致命")+COUNTIFS(缺陷明细!$A$2:$A$50000,$B$4,缺陷明细!$G$2:$G$50000,$C93,缺陷明细!$Q$2:$Q$50000,"已关闭",缺陷明细!$J$2:$J$50000,"验收测试",缺陷明细!$K$2:$K$50000,"严重")</f>
        <v>0</v>
      </c>
      <c r="Y93" s="70">
        <f>COUNTIFS(缺陷明细!$A$2:$A$50000,$B$4,缺陷明细!$G$2:$G$50000,$C93,缺陷明细!$J$2:$J$50000,"运维测试",缺陷明细!$AA$2:$AA$50000,"&lt;&gt;丢弃",缺陷明细!$AA$2:$AA$50000,"&lt;&gt;设计如此",缺陷明细!$AA$2:$AA$50000,"&lt;&gt;重复Bug")</f>
        <v>0</v>
      </c>
      <c r="Z93" s="71">
        <f>COUNTIFS(缺陷明细!$A$2:$A$50000,$B$4,缺陷明细!$G$2:$G$50000,$C93,缺陷明细!$Q$2:$Q$50000,"已关闭",缺陷明细!$J$2:$J$50000,"运维测试")</f>
        <v>0</v>
      </c>
      <c r="AA93" s="72">
        <f>COUNTIFS(缺陷明细!$A$2:$A$50000,$B$4,缺陷明细!$G$2:$G$50000,$C93,缺陷明细!$J$2:$J$50000,"运维测试",缺陷明细!$K$2:$K$50000,"致命",缺陷明细!$AA$2:$AA$50000,"&lt;&gt;丢弃",缺陷明细!$AA$2:$AA$50000,"&lt;&gt;设计如此",缺陷明细!$AA$2:$AA$50000,"&lt;&gt;重复Bug")+COUNTIFS(缺陷明细!$A$2:$A$50000,$B$4,缺陷明细!$G$2:$G$50000,$C93,缺陷明细!$J$2:$J$50000,"运维测试",缺陷明细!$K$2:$K$50000,"严重",缺陷明细!$AA$2:$AA$50000,"&lt;&gt;丢弃",缺陷明细!$AA$2:$AA$50000,"&lt;&gt;设计如此",缺陷明细!$AA$2:$AA$50000,"&lt;&gt;重复Bug")</f>
        <v>0</v>
      </c>
      <c r="AB93" s="73">
        <f>COUNTIFS(缺陷明细!$A$2:$A$50000,$B$4,缺陷明细!$G$2:$G$50000,$C93,缺陷明细!$Q$2:$Q$50000,"已关闭",缺陷明细!$J$2:$J$50000,"运维测试",缺陷明细!$K$2:$K$50000,"致命")+COUNTIFS(缺陷明细!$A$2:$A$50000,$B$4,缺陷明细!$G$2:$G$50000,$C93,缺陷明细!$Q$2:$Q$50000,"已关闭",缺陷明细!$J$2:$J$50000,"运维测试",缺陷明细!$K$2:$K$50000,"严重")</f>
        <v>0</v>
      </c>
      <c r="AC93" s="68">
        <f t="shared" si="4"/>
        <v>0</v>
      </c>
      <c r="AD93" s="60">
        <f t="shared" si="5"/>
        <v>0</v>
      </c>
      <c r="AE93" s="60">
        <f t="shared" si="6"/>
        <v>0</v>
      </c>
      <c r="AF93" s="60">
        <f t="shared" si="7"/>
        <v>0</v>
      </c>
      <c r="AG93" s="60">
        <f t="shared" si="8"/>
        <v>0</v>
      </c>
      <c r="AH93" s="60">
        <f t="shared" si="9"/>
        <v>0</v>
      </c>
      <c r="AI93" s="60">
        <f t="shared" si="10"/>
        <v>0</v>
      </c>
      <c r="AJ93" s="61">
        <f t="shared" si="11"/>
        <v>0</v>
      </c>
      <c r="AK93" s="151"/>
    </row>
    <row r="94" spans="1:37" ht="26.4">
      <c r="A94">
        <v>90</v>
      </c>
      <c r="B94" s="347">
        <v>575</v>
      </c>
      <c r="C94" s="58" t="s">
        <v>440</v>
      </c>
      <c r="D94" s="84" t="s">
        <v>468</v>
      </c>
      <c r="E94" s="82" t="s">
        <v>472</v>
      </c>
      <c r="F94" s="322">
        <v>8</v>
      </c>
      <c r="G94" s="323">
        <v>4</v>
      </c>
      <c r="H94" s="305">
        <f>COUNTIFS(缺陷明细!$A$2:$A$50000,$B$4,缺陷明细!$G$2:$G$50000,$C94,缺陷明细!$J$2:$J$50000,"评审",缺陷明细!$AA$2:$AA$50000,"&lt;&gt;丢弃",缺陷明细!$AA$2:$AA$50000,"&lt;&gt;设计如此",缺陷明细!$AA$2:$AA$50000,"&lt;&gt;重复Bug")</f>
        <v>0</v>
      </c>
      <c r="I94" s="161">
        <f>COUNTIFS(缺陷明细!$A$2:$A$50000,$B$4,缺陷明细!$G$2:$G$50000,$C94,缺陷明细!$Q$2:$Q$50000,"已关闭",缺陷明细!$J$2:$J$50000,"评审")</f>
        <v>0</v>
      </c>
      <c r="J94" s="161">
        <f>COUNTIFS(缺陷明细!$A$2:$A$50000,$B$4,缺陷明细!$G$2:$G$50000,$C94,缺陷明细!$J$2:$J$50000,"单元测试",缺陷明细!$AA$2:$AA$50000,"&lt;&gt;丢弃",缺陷明细!$AA$2:$AA$50000,"&lt;&gt;设计如此",缺陷明细!$AA$2:$AA$50000,"&lt;&gt;重复Bug")</f>
        <v>0</v>
      </c>
      <c r="K94" s="162">
        <f>COUNTIFS(缺陷明细!$A$2:$A$50000,$B$4,缺陷明细!$G$2:$G$50000,$C94,缺陷明细!$Q$2:$Q$50000,"已关闭",缺陷明细!$J$2:$J$50000,"单元测试")</f>
        <v>0</v>
      </c>
      <c r="L94" s="163"/>
      <c r="M94" s="164"/>
      <c r="N94" s="72">
        <f>COUNTIFS(缺陷明细!$A$2:$A$50000,$B$4,缺陷明细!$G$2:$G$50000,$C94,缺陷明细!$J$2:$J$50000,"系统测试案例评审",缺陷明细!$AA$2:$AA$50000,"&lt;&gt;丢弃",缺陷明细!$AA$2:$AA$50000,"&lt;&gt;设计如此",缺陷明细!$AA$2:$AA$50000,"&lt;&gt;重复Bug")</f>
        <v>0</v>
      </c>
      <c r="O94" s="72">
        <f>COUNTIFS(缺陷明细!$A$2:$A$50000,$B$4,缺陷明细!$G$2:$G$50000,$C94,缺陷明细!$Q$2:$Q$50000,"已关闭",缺陷明细!$J$2:$J$50000,"系统测试案例评审")</f>
        <v>0</v>
      </c>
      <c r="P94" s="72">
        <f>COUNTIFS(缺陷明细!$A$2:$A$50000,$B$4,缺陷明细!$G$2:$G$50000,$C94,缺陷明细!$J$2:$J$50000,"系统测试",缺陷明细!$AA$2:$AA$50000,"&lt;&gt;丢弃",缺陷明细!$AA$2:$AA$50000,"&lt;&gt;设计如此",缺陷明细!$AA$2:$AA$50000,"&lt;&gt;重复Bug")</f>
        <v>0</v>
      </c>
      <c r="Q94" s="72">
        <f>COUNTIFS(缺陷明细!$A$2:$A$50000,$B$4,缺陷明细!$G$2:$G$50000,$C94,缺陷明细!$Q$2:$Q$50000,"已关闭",缺陷明细!$J$2:$J$50000,"系统测试")</f>
        <v>0</v>
      </c>
      <c r="R94" s="354">
        <f>COUNTIFS(缺陷明细!$A$2:$A$50000,$B$4,缺陷明细!$G$2:$G$50000,$C94,缺陷明细!$AA$2:$AA$50000,"丢弃",缺陷明细!$J$2:$J$50000,"系统测试")+COUNTIFS(缺陷明细!$A$2:$A$50000,$B$4,缺陷明细!$G$2:$G$50000,$C94,缺陷明细!$AA$2:$AA$50000,"设计如此",缺陷明细!$J$2:$J$50000,"系统测试")+COUNTIFS(缺陷明细!$A$2:$A$50000,$B$4,缺陷明细!$G$2:$G$50000,$C94,缺陷明细!$AA$2:$AA$50000,"重复Bug",缺陷明细!$J$2:$J$50000,"系统测试")</f>
        <v>0</v>
      </c>
      <c r="S94" s="72">
        <f>COUNTIFS(缺陷明细!$A$2:$A$50000,$B$4,缺陷明细!$G$2:$G$50000,$C94,缺陷明细!$J$2:$J$50000,"系统测试",缺陷明细!$K$2:$K$50000,"致命",缺陷明细!$AA$2:$AA$50000,"&lt;&gt;丢弃",缺陷明细!$AA$2:$AA$50000,"&lt;&gt;设计如此",缺陷明细!$AA$2:$AA$50000,"&lt;&gt;重复Bug")+COUNTIFS(缺陷明细!$A$2:$A$50000,$B$4,缺陷明细!$G$2:$G$50000,$C94,缺陷明细!$J$2:$J$50000,"系统测试",缺陷明细!$K$2:$K$50000,"严重",缺陷明细!$AA$2:$AA$50000,"&lt;&gt;丢弃",缺陷明细!$AA$2:$AA$50000,"&lt;&gt;设计如此",缺陷明细!$AA$2:$AA$50000,"&lt;&gt;重复Bug")</f>
        <v>0</v>
      </c>
      <c r="T94" s="73">
        <f>COUNTIFS(缺陷明细!$A$2:$A$50000,$B$4,缺陷明细!$G$2:$G$50000,$C94,缺陷明细!$Q$2:$Q$50000,"已关闭",缺陷明细!$J$2:$J$50000,"系统测试",缺陷明细!$K$2:$K$50000,"致命")+COUNTIFS(缺陷明细!$A$2:$A$50000,$B$4,缺陷明细!$G$2:$G$50000,$C94,缺陷明细!$Q$2:$Q$50000,"已关闭",缺陷明细!$J$2:$J$50000,"系统测试",缺陷明细!$K$2:$K$50000,"严重")</f>
        <v>0</v>
      </c>
      <c r="U94" s="74">
        <f>COUNTIFS(缺陷明细!$A$2:$A$50000,$B$4,缺陷明细!$G$2:$G$50000,$C94,缺陷明细!$J$2:$J$50000,"验收测试",缺陷明细!$AA$2:$AA$50000,"&lt;&gt;丢弃",缺陷明细!$AA$2:$AA$50000,"&lt;&gt;设计如此",缺陷明细!$AA$2:$AA$50000,"&lt;&gt;重复Bug")</f>
        <v>0</v>
      </c>
      <c r="V94" s="75">
        <f>COUNTIFS(缺陷明细!$A$2:$A$50000,$B$4,缺陷明细!$G$2:$G$50000,$C94,缺陷明细!$Q$2:$Q$50000,"已关闭",缺陷明细!$J$2:$J$50000,"验收测试")</f>
        <v>0</v>
      </c>
      <c r="W94" s="75">
        <f>COUNTIFS(缺陷明细!$A$2:$A$50000,$B$4,缺陷明细!$G$2:$G$50000,$C94,缺陷明细!$J$2:$J$50000,"验收测试",缺陷明细!$K$2:$K$50000,"致命",缺陷明细!$AA$2:$AA$50000,"&lt;&gt;丢弃",缺陷明细!$AA$2:$AA$50000,"&lt;&gt;设计如此",缺陷明细!$AA$2:$AA$50000,"&lt;&gt;重复Bug")+COUNTIFS(缺陷明细!$A$2:$A$50000,$B$4,缺陷明细!$G$2:$G$50000,$C94,缺陷明细!$J$2:$J$50000,"验收测试",缺陷明细!$K$2:$K$50000,"严重",缺陷明细!$AA$2:$AA$50000,"&lt;&gt;丢弃",缺陷明细!$AA$2:$AA$50000,"&lt;&gt;设计如此",缺陷明细!$AA$2:$AA$50000,"&lt;&gt;重复Bug")</f>
        <v>0</v>
      </c>
      <c r="X94" s="76">
        <f>COUNTIFS(缺陷明细!$A$2:$A$50000,$B$4,缺陷明细!$G$2:$G$50000,$C94,缺陷明细!$Q$2:$Q$50000,"已关闭",缺陷明细!$J$2:$J$50000,"验收测试",缺陷明细!$K$2:$K$50000,"致命")+COUNTIFS(缺陷明细!$A$2:$A$50000,$B$4,缺陷明细!$G$2:$G$50000,$C94,缺陷明细!$Q$2:$Q$50000,"已关闭",缺陷明细!$J$2:$J$50000,"验收测试",缺陷明细!$K$2:$K$50000,"严重")</f>
        <v>0</v>
      </c>
      <c r="Y94" s="70">
        <f>COUNTIFS(缺陷明细!$A$2:$A$50000,$B$4,缺陷明细!$G$2:$G$50000,$C94,缺陷明细!$J$2:$J$50000,"运维测试",缺陷明细!$AA$2:$AA$50000,"&lt;&gt;丢弃",缺陷明细!$AA$2:$AA$50000,"&lt;&gt;设计如此",缺陷明细!$AA$2:$AA$50000,"&lt;&gt;重复Bug")</f>
        <v>0</v>
      </c>
      <c r="Z94" s="71">
        <f>COUNTIFS(缺陷明细!$A$2:$A$50000,$B$4,缺陷明细!$G$2:$G$50000,$C94,缺陷明细!$Q$2:$Q$50000,"已关闭",缺陷明细!$J$2:$J$50000,"运维测试")</f>
        <v>0</v>
      </c>
      <c r="AA94" s="72">
        <f>COUNTIFS(缺陷明细!$A$2:$A$50000,$B$4,缺陷明细!$G$2:$G$50000,$C94,缺陷明细!$J$2:$J$50000,"运维测试",缺陷明细!$K$2:$K$50000,"致命",缺陷明细!$AA$2:$AA$50000,"&lt;&gt;丢弃",缺陷明细!$AA$2:$AA$50000,"&lt;&gt;设计如此",缺陷明细!$AA$2:$AA$50000,"&lt;&gt;重复Bug")+COUNTIFS(缺陷明细!$A$2:$A$50000,$B$4,缺陷明细!$G$2:$G$50000,$C94,缺陷明细!$J$2:$J$50000,"运维测试",缺陷明细!$K$2:$K$50000,"严重",缺陷明细!$AA$2:$AA$50000,"&lt;&gt;丢弃",缺陷明细!$AA$2:$AA$50000,"&lt;&gt;设计如此",缺陷明细!$AA$2:$AA$50000,"&lt;&gt;重复Bug")</f>
        <v>0</v>
      </c>
      <c r="AB94" s="73">
        <f>COUNTIFS(缺陷明细!$A$2:$A$50000,$B$4,缺陷明细!$G$2:$G$50000,$C94,缺陷明细!$Q$2:$Q$50000,"已关闭",缺陷明细!$J$2:$J$50000,"运维测试",缺陷明细!$K$2:$K$50000,"致命")+COUNTIFS(缺陷明细!$A$2:$A$50000,$B$4,缺陷明细!$G$2:$G$50000,$C94,缺陷明细!$Q$2:$Q$50000,"已关闭",缺陷明细!$J$2:$J$50000,"运维测试",缺陷明细!$K$2:$K$50000,"严重")</f>
        <v>0</v>
      </c>
      <c r="AC94" s="68">
        <f t="shared" si="4"/>
        <v>0</v>
      </c>
      <c r="AD94" s="60">
        <f t="shared" si="5"/>
        <v>0</v>
      </c>
      <c r="AE94" s="60">
        <f t="shared" si="6"/>
        <v>0</v>
      </c>
      <c r="AF94" s="60">
        <f t="shared" si="7"/>
        <v>0</v>
      </c>
      <c r="AG94" s="60">
        <f t="shared" si="8"/>
        <v>0</v>
      </c>
      <c r="AH94" s="60">
        <f t="shared" si="9"/>
        <v>0</v>
      </c>
      <c r="AI94" s="60">
        <f t="shared" si="10"/>
        <v>0</v>
      </c>
      <c r="AJ94" s="61">
        <f t="shared" si="11"/>
        <v>0</v>
      </c>
      <c r="AK94" s="151"/>
    </row>
    <row r="95" spans="1:37" ht="39.6">
      <c r="A95">
        <v>91</v>
      </c>
      <c r="B95" s="347">
        <v>576</v>
      </c>
      <c r="C95" s="58" t="s">
        <v>441</v>
      </c>
      <c r="D95" s="84" t="s">
        <v>467</v>
      </c>
      <c r="E95" s="82" t="s">
        <v>472</v>
      </c>
      <c r="F95" s="322">
        <v>2</v>
      </c>
      <c r="G95" s="323">
        <v>2</v>
      </c>
      <c r="H95" s="305">
        <f>COUNTIFS(缺陷明细!$A$2:$A$50000,$B$4,缺陷明细!$G$2:$G$50000,$C95,缺陷明细!$J$2:$J$50000,"评审",缺陷明细!$AA$2:$AA$50000,"&lt;&gt;丢弃",缺陷明细!$AA$2:$AA$50000,"&lt;&gt;设计如此",缺陷明细!$AA$2:$AA$50000,"&lt;&gt;重复Bug")</f>
        <v>0</v>
      </c>
      <c r="I95" s="161">
        <f>COUNTIFS(缺陷明细!$A$2:$A$50000,$B$4,缺陷明细!$G$2:$G$50000,$C95,缺陷明细!$Q$2:$Q$50000,"已关闭",缺陷明细!$J$2:$J$50000,"评审")</f>
        <v>0</v>
      </c>
      <c r="J95" s="161">
        <f>COUNTIFS(缺陷明细!$A$2:$A$50000,$B$4,缺陷明细!$G$2:$G$50000,$C95,缺陷明细!$J$2:$J$50000,"单元测试",缺陷明细!$AA$2:$AA$50000,"&lt;&gt;丢弃",缺陷明细!$AA$2:$AA$50000,"&lt;&gt;设计如此",缺陷明细!$AA$2:$AA$50000,"&lt;&gt;重复Bug")</f>
        <v>0</v>
      </c>
      <c r="K95" s="162">
        <f>COUNTIFS(缺陷明细!$A$2:$A$50000,$B$4,缺陷明细!$G$2:$G$50000,$C95,缺陷明细!$Q$2:$Q$50000,"已关闭",缺陷明细!$J$2:$J$50000,"单元测试")</f>
        <v>0</v>
      </c>
      <c r="L95" s="163"/>
      <c r="M95" s="164"/>
      <c r="N95" s="72">
        <f>COUNTIFS(缺陷明细!$A$2:$A$50000,$B$4,缺陷明细!$G$2:$G$50000,$C95,缺陷明细!$J$2:$J$50000,"系统测试案例评审",缺陷明细!$AA$2:$AA$50000,"&lt;&gt;丢弃",缺陷明细!$AA$2:$AA$50000,"&lt;&gt;设计如此",缺陷明细!$AA$2:$AA$50000,"&lt;&gt;重复Bug")</f>
        <v>0</v>
      </c>
      <c r="O95" s="72">
        <f>COUNTIFS(缺陷明细!$A$2:$A$50000,$B$4,缺陷明细!$G$2:$G$50000,$C95,缺陷明细!$Q$2:$Q$50000,"已关闭",缺陷明细!$J$2:$J$50000,"系统测试案例评审")</f>
        <v>0</v>
      </c>
      <c r="P95" s="72">
        <f>COUNTIFS(缺陷明细!$A$2:$A$50000,$B$4,缺陷明细!$G$2:$G$50000,$C95,缺陷明细!$J$2:$J$50000,"系统测试",缺陷明细!$AA$2:$AA$50000,"&lt;&gt;丢弃",缺陷明细!$AA$2:$AA$50000,"&lt;&gt;设计如此",缺陷明细!$AA$2:$AA$50000,"&lt;&gt;重复Bug")</f>
        <v>0</v>
      </c>
      <c r="Q95" s="72">
        <f>COUNTIFS(缺陷明细!$A$2:$A$50000,$B$4,缺陷明细!$G$2:$G$50000,$C95,缺陷明细!$Q$2:$Q$50000,"已关闭",缺陷明细!$J$2:$J$50000,"系统测试")</f>
        <v>0</v>
      </c>
      <c r="R95" s="354">
        <f>COUNTIFS(缺陷明细!$A$2:$A$50000,$B$4,缺陷明细!$G$2:$G$50000,$C95,缺陷明细!$AA$2:$AA$50000,"丢弃",缺陷明细!$J$2:$J$50000,"系统测试")+COUNTIFS(缺陷明细!$A$2:$A$50000,$B$4,缺陷明细!$G$2:$G$50000,$C95,缺陷明细!$AA$2:$AA$50000,"设计如此",缺陷明细!$J$2:$J$50000,"系统测试")+COUNTIFS(缺陷明细!$A$2:$A$50000,$B$4,缺陷明细!$G$2:$G$50000,$C95,缺陷明细!$AA$2:$AA$50000,"重复Bug",缺陷明细!$J$2:$J$50000,"系统测试")</f>
        <v>0</v>
      </c>
      <c r="S95" s="72">
        <f>COUNTIFS(缺陷明细!$A$2:$A$50000,$B$4,缺陷明细!$G$2:$G$50000,$C95,缺陷明细!$J$2:$J$50000,"系统测试",缺陷明细!$K$2:$K$50000,"致命",缺陷明细!$AA$2:$AA$50000,"&lt;&gt;丢弃",缺陷明细!$AA$2:$AA$50000,"&lt;&gt;设计如此",缺陷明细!$AA$2:$AA$50000,"&lt;&gt;重复Bug")+COUNTIFS(缺陷明细!$A$2:$A$50000,$B$4,缺陷明细!$G$2:$G$50000,$C95,缺陷明细!$J$2:$J$50000,"系统测试",缺陷明细!$K$2:$K$50000,"严重",缺陷明细!$AA$2:$AA$50000,"&lt;&gt;丢弃",缺陷明细!$AA$2:$AA$50000,"&lt;&gt;设计如此",缺陷明细!$AA$2:$AA$50000,"&lt;&gt;重复Bug")</f>
        <v>0</v>
      </c>
      <c r="T95" s="73">
        <f>COUNTIFS(缺陷明细!$A$2:$A$50000,$B$4,缺陷明细!$G$2:$G$50000,$C95,缺陷明细!$Q$2:$Q$50000,"已关闭",缺陷明细!$J$2:$J$50000,"系统测试",缺陷明细!$K$2:$K$50000,"致命")+COUNTIFS(缺陷明细!$A$2:$A$50000,$B$4,缺陷明细!$G$2:$G$50000,$C95,缺陷明细!$Q$2:$Q$50000,"已关闭",缺陷明细!$J$2:$J$50000,"系统测试",缺陷明细!$K$2:$K$50000,"严重")</f>
        <v>0</v>
      </c>
      <c r="U95" s="74">
        <f>COUNTIFS(缺陷明细!$A$2:$A$50000,$B$4,缺陷明细!$G$2:$G$50000,$C95,缺陷明细!$J$2:$J$50000,"验收测试",缺陷明细!$AA$2:$AA$50000,"&lt;&gt;丢弃",缺陷明细!$AA$2:$AA$50000,"&lt;&gt;设计如此",缺陷明细!$AA$2:$AA$50000,"&lt;&gt;重复Bug")</f>
        <v>0</v>
      </c>
      <c r="V95" s="75">
        <f>COUNTIFS(缺陷明细!$A$2:$A$50000,$B$4,缺陷明细!$G$2:$G$50000,$C95,缺陷明细!$Q$2:$Q$50000,"已关闭",缺陷明细!$J$2:$J$50000,"验收测试")</f>
        <v>0</v>
      </c>
      <c r="W95" s="75">
        <f>COUNTIFS(缺陷明细!$A$2:$A$50000,$B$4,缺陷明细!$G$2:$G$50000,$C95,缺陷明细!$J$2:$J$50000,"验收测试",缺陷明细!$K$2:$K$50000,"致命",缺陷明细!$AA$2:$AA$50000,"&lt;&gt;丢弃",缺陷明细!$AA$2:$AA$50000,"&lt;&gt;设计如此",缺陷明细!$AA$2:$AA$50000,"&lt;&gt;重复Bug")+COUNTIFS(缺陷明细!$A$2:$A$50000,$B$4,缺陷明细!$G$2:$G$50000,$C95,缺陷明细!$J$2:$J$50000,"验收测试",缺陷明细!$K$2:$K$50000,"严重",缺陷明细!$AA$2:$AA$50000,"&lt;&gt;丢弃",缺陷明细!$AA$2:$AA$50000,"&lt;&gt;设计如此",缺陷明细!$AA$2:$AA$50000,"&lt;&gt;重复Bug")</f>
        <v>0</v>
      </c>
      <c r="X95" s="76">
        <f>COUNTIFS(缺陷明细!$A$2:$A$50000,$B$4,缺陷明细!$G$2:$G$50000,$C95,缺陷明细!$Q$2:$Q$50000,"已关闭",缺陷明细!$J$2:$J$50000,"验收测试",缺陷明细!$K$2:$K$50000,"致命")+COUNTIFS(缺陷明细!$A$2:$A$50000,$B$4,缺陷明细!$G$2:$G$50000,$C95,缺陷明细!$Q$2:$Q$50000,"已关闭",缺陷明细!$J$2:$J$50000,"验收测试",缺陷明细!$K$2:$K$50000,"严重")</f>
        <v>0</v>
      </c>
      <c r="Y95" s="70">
        <f>COUNTIFS(缺陷明细!$A$2:$A$50000,$B$4,缺陷明细!$G$2:$G$50000,$C95,缺陷明细!$J$2:$J$50000,"运维测试",缺陷明细!$AA$2:$AA$50000,"&lt;&gt;丢弃",缺陷明细!$AA$2:$AA$50000,"&lt;&gt;设计如此",缺陷明细!$AA$2:$AA$50000,"&lt;&gt;重复Bug")</f>
        <v>0</v>
      </c>
      <c r="Z95" s="71">
        <f>COUNTIFS(缺陷明细!$A$2:$A$50000,$B$4,缺陷明细!$G$2:$G$50000,$C95,缺陷明细!$Q$2:$Q$50000,"已关闭",缺陷明细!$J$2:$J$50000,"运维测试")</f>
        <v>0</v>
      </c>
      <c r="AA95" s="72">
        <f>COUNTIFS(缺陷明细!$A$2:$A$50000,$B$4,缺陷明细!$G$2:$G$50000,$C95,缺陷明细!$J$2:$J$50000,"运维测试",缺陷明细!$K$2:$K$50000,"致命",缺陷明细!$AA$2:$AA$50000,"&lt;&gt;丢弃",缺陷明细!$AA$2:$AA$50000,"&lt;&gt;设计如此",缺陷明细!$AA$2:$AA$50000,"&lt;&gt;重复Bug")+COUNTIFS(缺陷明细!$A$2:$A$50000,$B$4,缺陷明细!$G$2:$G$50000,$C95,缺陷明细!$J$2:$J$50000,"运维测试",缺陷明细!$K$2:$K$50000,"严重",缺陷明细!$AA$2:$AA$50000,"&lt;&gt;丢弃",缺陷明细!$AA$2:$AA$50000,"&lt;&gt;设计如此",缺陷明细!$AA$2:$AA$50000,"&lt;&gt;重复Bug")</f>
        <v>0</v>
      </c>
      <c r="AB95" s="73">
        <f>COUNTIFS(缺陷明细!$A$2:$A$50000,$B$4,缺陷明细!$G$2:$G$50000,$C95,缺陷明细!$Q$2:$Q$50000,"已关闭",缺陷明细!$J$2:$J$50000,"运维测试",缺陷明细!$K$2:$K$50000,"致命")+COUNTIFS(缺陷明细!$A$2:$A$50000,$B$4,缺陷明细!$G$2:$G$50000,$C95,缺陷明细!$Q$2:$Q$50000,"已关闭",缺陷明细!$J$2:$J$50000,"运维测试",缺陷明细!$K$2:$K$50000,"严重")</f>
        <v>0</v>
      </c>
      <c r="AC95" s="68">
        <f t="shared" si="4"/>
        <v>0</v>
      </c>
      <c r="AD95" s="60">
        <f t="shared" si="5"/>
        <v>0</v>
      </c>
      <c r="AE95" s="60">
        <f t="shared" si="6"/>
        <v>0</v>
      </c>
      <c r="AF95" s="60">
        <f t="shared" si="7"/>
        <v>0</v>
      </c>
      <c r="AG95" s="60">
        <f t="shared" si="8"/>
        <v>0</v>
      </c>
      <c r="AH95" s="60">
        <f t="shared" si="9"/>
        <v>0</v>
      </c>
      <c r="AI95" s="60">
        <f t="shared" si="10"/>
        <v>0</v>
      </c>
      <c r="AJ95" s="61">
        <f t="shared" si="11"/>
        <v>0</v>
      </c>
      <c r="AK95" s="151"/>
    </row>
    <row r="96" spans="1:37" ht="26.4">
      <c r="A96">
        <v>92</v>
      </c>
      <c r="B96" s="347">
        <v>577</v>
      </c>
      <c r="C96" s="58" t="s">
        <v>442</v>
      </c>
      <c r="D96" s="84" t="s">
        <v>467</v>
      </c>
      <c r="E96" s="82" t="s">
        <v>472</v>
      </c>
      <c r="F96" s="322">
        <v>2</v>
      </c>
      <c r="G96" s="323">
        <v>3</v>
      </c>
      <c r="H96" s="305">
        <f>COUNTIFS(缺陷明细!$A$2:$A$50000,$B$4,缺陷明细!$G$2:$G$50000,$C96,缺陷明细!$J$2:$J$50000,"评审",缺陷明细!$AA$2:$AA$50000,"&lt;&gt;丢弃",缺陷明细!$AA$2:$AA$50000,"&lt;&gt;设计如此",缺陷明细!$AA$2:$AA$50000,"&lt;&gt;重复Bug")</f>
        <v>0</v>
      </c>
      <c r="I96" s="161">
        <f>COUNTIFS(缺陷明细!$A$2:$A$50000,$B$4,缺陷明细!$G$2:$G$50000,$C96,缺陷明细!$Q$2:$Q$50000,"已关闭",缺陷明细!$J$2:$J$50000,"评审")</f>
        <v>0</v>
      </c>
      <c r="J96" s="161">
        <f>COUNTIFS(缺陷明细!$A$2:$A$50000,$B$4,缺陷明细!$G$2:$G$50000,$C96,缺陷明细!$J$2:$J$50000,"单元测试",缺陷明细!$AA$2:$AA$50000,"&lt;&gt;丢弃",缺陷明细!$AA$2:$AA$50000,"&lt;&gt;设计如此",缺陷明细!$AA$2:$AA$50000,"&lt;&gt;重复Bug")</f>
        <v>0</v>
      </c>
      <c r="K96" s="162">
        <f>COUNTIFS(缺陷明细!$A$2:$A$50000,$B$4,缺陷明细!$G$2:$G$50000,$C96,缺陷明细!$Q$2:$Q$50000,"已关闭",缺陷明细!$J$2:$J$50000,"单元测试")</f>
        <v>0</v>
      </c>
      <c r="L96" s="163"/>
      <c r="M96" s="164"/>
      <c r="N96" s="72">
        <f>COUNTIFS(缺陷明细!$A$2:$A$50000,$B$4,缺陷明细!$G$2:$G$50000,$C96,缺陷明细!$J$2:$J$50000,"系统测试案例评审",缺陷明细!$AA$2:$AA$50000,"&lt;&gt;丢弃",缺陷明细!$AA$2:$AA$50000,"&lt;&gt;设计如此",缺陷明细!$AA$2:$AA$50000,"&lt;&gt;重复Bug")</f>
        <v>0</v>
      </c>
      <c r="O96" s="72">
        <f>COUNTIFS(缺陷明细!$A$2:$A$50000,$B$4,缺陷明细!$G$2:$G$50000,$C96,缺陷明细!$Q$2:$Q$50000,"已关闭",缺陷明细!$J$2:$J$50000,"系统测试案例评审")</f>
        <v>0</v>
      </c>
      <c r="P96" s="72">
        <f>COUNTIFS(缺陷明细!$A$2:$A$50000,$B$4,缺陷明细!$G$2:$G$50000,$C96,缺陷明细!$J$2:$J$50000,"系统测试",缺陷明细!$AA$2:$AA$50000,"&lt;&gt;丢弃",缺陷明细!$AA$2:$AA$50000,"&lt;&gt;设计如此",缺陷明细!$AA$2:$AA$50000,"&lt;&gt;重复Bug")</f>
        <v>0</v>
      </c>
      <c r="Q96" s="72">
        <f>COUNTIFS(缺陷明细!$A$2:$A$50000,$B$4,缺陷明细!$G$2:$G$50000,$C96,缺陷明细!$Q$2:$Q$50000,"已关闭",缺陷明细!$J$2:$J$50000,"系统测试")</f>
        <v>0</v>
      </c>
      <c r="R96" s="354">
        <f>COUNTIFS(缺陷明细!$A$2:$A$50000,$B$4,缺陷明细!$G$2:$G$50000,$C96,缺陷明细!$AA$2:$AA$50000,"丢弃",缺陷明细!$J$2:$J$50000,"系统测试")+COUNTIFS(缺陷明细!$A$2:$A$50000,$B$4,缺陷明细!$G$2:$G$50000,$C96,缺陷明细!$AA$2:$AA$50000,"设计如此",缺陷明细!$J$2:$J$50000,"系统测试")+COUNTIFS(缺陷明细!$A$2:$A$50000,$B$4,缺陷明细!$G$2:$G$50000,$C96,缺陷明细!$AA$2:$AA$50000,"重复Bug",缺陷明细!$J$2:$J$50000,"系统测试")</f>
        <v>0</v>
      </c>
      <c r="S96" s="72">
        <f>COUNTIFS(缺陷明细!$A$2:$A$50000,$B$4,缺陷明细!$G$2:$G$50000,$C96,缺陷明细!$J$2:$J$50000,"系统测试",缺陷明细!$K$2:$K$50000,"致命",缺陷明细!$AA$2:$AA$50000,"&lt;&gt;丢弃",缺陷明细!$AA$2:$AA$50000,"&lt;&gt;设计如此",缺陷明细!$AA$2:$AA$50000,"&lt;&gt;重复Bug")+COUNTIFS(缺陷明细!$A$2:$A$50000,$B$4,缺陷明细!$G$2:$G$50000,$C96,缺陷明细!$J$2:$J$50000,"系统测试",缺陷明细!$K$2:$K$50000,"严重",缺陷明细!$AA$2:$AA$50000,"&lt;&gt;丢弃",缺陷明细!$AA$2:$AA$50000,"&lt;&gt;设计如此",缺陷明细!$AA$2:$AA$50000,"&lt;&gt;重复Bug")</f>
        <v>0</v>
      </c>
      <c r="T96" s="73">
        <f>COUNTIFS(缺陷明细!$A$2:$A$50000,$B$4,缺陷明细!$G$2:$G$50000,$C96,缺陷明细!$Q$2:$Q$50000,"已关闭",缺陷明细!$J$2:$J$50000,"系统测试",缺陷明细!$K$2:$K$50000,"致命")+COUNTIFS(缺陷明细!$A$2:$A$50000,$B$4,缺陷明细!$G$2:$G$50000,$C96,缺陷明细!$Q$2:$Q$50000,"已关闭",缺陷明细!$J$2:$J$50000,"系统测试",缺陷明细!$K$2:$K$50000,"严重")</f>
        <v>0</v>
      </c>
      <c r="U96" s="74">
        <f>COUNTIFS(缺陷明细!$A$2:$A$50000,$B$4,缺陷明细!$G$2:$G$50000,$C96,缺陷明细!$J$2:$J$50000,"验收测试",缺陷明细!$AA$2:$AA$50000,"&lt;&gt;丢弃",缺陷明细!$AA$2:$AA$50000,"&lt;&gt;设计如此",缺陷明细!$AA$2:$AA$50000,"&lt;&gt;重复Bug")</f>
        <v>0</v>
      </c>
      <c r="V96" s="75">
        <f>COUNTIFS(缺陷明细!$A$2:$A$50000,$B$4,缺陷明细!$G$2:$G$50000,$C96,缺陷明细!$Q$2:$Q$50000,"已关闭",缺陷明细!$J$2:$J$50000,"验收测试")</f>
        <v>0</v>
      </c>
      <c r="W96" s="75">
        <f>COUNTIFS(缺陷明细!$A$2:$A$50000,$B$4,缺陷明细!$G$2:$G$50000,$C96,缺陷明细!$J$2:$J$50000,"验收测试",缺陷明细!$K$2:$K$50000,"致命",缺陷明细!$AA$2:$AA$50000,"&lt;&gt;丢弃",缺陷明细!$AA$2:$AA$50000,"&lt;&gt;设计如此",缺陷明细!$AA$2:$AA$50000,"&lt;&gt;重复Bug")+COUNTIFS(缺陷明细!$A$2:$A$50000,$B$4,缺陷明细!$G$2:$G$50000,$C96,缺陷明细!$J$2:$J$50000,"验收测试",缺陷明细!$K$2:$K$50000,"严重",缺陷明细!$AA$2:$AA$50000,"&lt;&gt;丢弃",缺陷明细!$AA$2:$AA$50000,"&lt;&gt;设计如此",缺陷明细!$AA$2:$AA$50000,"&lt;&gt;重复Bug")</f>
        <v>0</v>
      </c>
      <c r="X96" s="76">
        <f>COUNTIFS(缺陷明细!$A$2:$A$50000,$B$4,缺陷明细!$G$2:$G$50000,$C96,缺陷明细!$Q$2:$Q$50000,"已关闭",缺陷明细!$J$2:$J$50000,"验收测试",缺陷明细!$K$2:$K$50000,"致命")+COUNTIFS(缺陷明细!$A$2:$A$50000,$B$4,缺陷明细!$G$2:$G$50000,$C96,缺陷明细!$Q$2:$Q$50000,"已关闭",缺陷明细!$J$2:$J$50000,"验收测试",缺陷明细!$K$2:$K$50000,"严重")</f>
        <v>0</v>
      </c>
      <c r="Y96" s="70">
        <f>COUNTIFS(缺陷明细!$A$2:$A$50000,$B$4,缺陷明细!$G$2:$G$50000,$C96,缺陷明细!$J$2:$J$50000,"运维测试",缺陷明细!$AA$2:$AA$50000,"&lt;&gt;丢弃",缺陷明细!$AA$2:$AA$50000,"&lt;&gt;设计如此",缺陷明细!$AA$2:$AA$50000,"&lt;&gt;重复Bug")</f>
        <v>0</v>
      </c>
      <c r="Z96" s="71">
        <f>COUNTIFS(缺陷明细!$A$2:$A$50000,$B$4,缺陷明细!$G$2:$G$50000,$C96,缺陷明细!$Q$2:$Q$50000,"已关闭",缺陷明细!$J$2:$J$50000,"运维测试")</f>
        <v>0</v>
      </c>
      <c r="AA96" s="72">
        <f>COUNTIFS(缺陷明细!$A$2:$A$50000,$B$4,缺陷明细!$G$2:$G$50000,$C96,缺陷明细!$J$2:$J$50000,"运维测试",缺陷明细!$K$2:$K$50000,"致命",缺陷明细!$AA$2:$AA$50000,"&lt;&gt;丢弃",缺陷明细!$AA$2:$AA$50000,"&lt;&gt;设计如此",缺陷明细!$AA$2:$AA$50000,"&lt;&gt;重复Bug")+COUNTIFS(缺陷明细!$A$2:$A$50000,$B$4,缺陷明细!$G$2:$G$50000,$C96,缺陷明细!$J$2:$J$50000,"运维测试",缺陷明细!$K$2:$K$50000,"严重",缺陷明细!$AA$2:$AA$50000,"&lt;&gt;丢弃",缺陷明细!$AA$2:$AA$50000,"&lt;&gt;设计如此",缺陷明细!$AA$2:$AA$50000,"&lt;&gt;重复Bug")</f>
        <v>0</v>
      </c>
      <c r="AB96" s="73">
        <f>COUNTIFS(缺陷明细!$A$2:$A$50000,$B$4,缺陷明细!$G$2:$G$50000,$C96,缺陷明细!$Q$2:$Q$50000,"已关闭",缺陷明细!$J$2:$J$50000,"运维测试",缺陷明细!$K$2:$K$50000,"致命")+COUNTIFS(缺陷明细!$A$2:$A$50000,$B$4,缺陷明细!$G$2:$G$50000,$C96,缺陷明细!$Q$2:$Q$50000,"已关闭",缺陷明细!$J$2:$J$50000,"运维测试",缺陷明细!$K$2:$K$50000,"严重")</f>
        <v>0</v>
      </c>
      <c r="AC96" s="68">
        <f t="shared" si="4"/>
        <v>0</v>
      </c>
      <c r="AD96" s="60">
        <f t="shared" si="5"/>
        <v>0</v>
      </c>
      <c r="AE96" s="60">
        <f t="shared" si="6"/>
        <v>0</v>
      </c>
      <c r="AF96" s="60">
        <f t="shared" si="7"/>
        <v>0</v>
      </c>
      <c r="AG96" s="60">
        <f t="shared" si="8"/>
        <v>0</v>
      </c>
      <c r="AH96" s="60">
        <f t="shared" si="9"/>
        <v>0</v>
      </c>
      <c r="AI96" s="60">
        <f t="shared" si="10"/>
        <v>0</v>
      </c>
      <c r="AJ96" s="61">
        <f t="shared" si="11"/>
        <v>0</v>
      </c>
      <c r="AK96" s="151"/>
    </row>
    <row r="97" spans="1:37" ht="39.6">
      <c r="A97">
        <v>93</v>
      </c>
      <c r="B97" s="347">
        <v>578</v>
      </c>
      <c r="C97" s="58" t="s">
        <v>443</v>
      </c>
      <c r="D97" s="84" t="s">
        <v>467</v>
      </c>
      <c r="E97" s="82" t="s">
        <v>472</v>
      </c>
      <c r="F97" s="322">
        <v>2</v>
      </c>
      <c r="G97" s="323">
        <v>2</v>
      </c>
      <c r="H97" s="305">
        <f>COUNTIFS(缺陷明细!$A$2:$A$50000,$B$4,缺陷明细!$G$2:$G$50000,$C97,缺陷明细!$J$2:$J$50000,"评审",缺陷明细!$AA$2:$AA$50000,"&lt;&gt;丢弃",缺陷明细!$AA$2:$AA$50000,"&lt;&gt;设计如此",缺陷明细!$AA$2:$AA$50000,"&lt;&gt;重复Bug")</f>
        <v>0</v>
      </c>
      <c r="I97" s="161">
        <f>COUNTIFS(缺陷明细!$A$2:$A$50000,$B$4,缺陷明细!$G$2:$G$50000,$C97,缺陷明细!$Q$2:$Q$50000,"已关闭",缺陷明细!$J$2:$J$50000,"评审")</f>
        <v>0</v>
      </c>
      <c r="J97" s="161">
        <f>COUNTIFS(缺陷明细!$A$2:$A$50000,$B$4,缺陷明细!$G$2:$G$50000,$C97,缺陷明细!$J$2:$J$50000,"单元测试",缺陷明细!$AA$2:$AA$50000,"&lt;&gt;丢弃",缺陷明细!$AA$2:$AA$50000,"&lt;&gt;设计如此",缺陷明细!$AA$2:$AA$50000,"&lt;&gt;重复Bug")</f>
        <v>0</v>
      </c>
      <c r="K97" s="162">
        <f>COUNTIFS(缺陷明细!$A$2:$A$50000,$B$4,缺陷明细!$G$2:$G$50000,$C97,缺陷明细!$Q$2:$Q$50000,"已关闭",缺陷明细!$J$2:$J$50000,"单元测试")</f>
        <v>0</v>
      </c>
      <c r="L97" s="163"/>
      <c r="M97" s="164"/>
      <c r="N97" s="72">
        <f>COUNTIFS(缺陷明细!$A$2:$A$50000,$B$4,缺陷明细!$G$2:$G$50000,$C97,缺陷明细!$J$2:$J$50000,"系统测试案例评审",缺陷明细!$AA$2:$AA$50000,"&lt;&gt;丢弃",缺陷明细!$AA$2:$AA$50000,"&lt;&gt;设计如此",缺陷明细!$AA$2:$AA$50000,"&lt;&gt;重复Bug")</f>
        <v>0</v>
      </c>
      <c r="O97" s="72">
        <f>COUNTIFS(缺陷明细!$A$2:$A$50000,$B$4,缺陷明细!$G$2:$G$50000,$C97,缺陷明细!$Q$2:$Q$50000,"已关闭",缺陷明细!$J$2:$J$50000,"系统测试案例评审")</f>
        <v>0</v>
      </c>
      <c r="P97" s="72">
        <f>COUNTIFS(缺陷明细!$A$2:$A$50000,$B$4,缺陷明细!$G$2:$G$50000,$C97,缺陷明细!$J$2:$J$50000,"系统测试",缺陷明细!$AA$2:$AA$50000,"&lt;&gt;丢弃",缺陷明细!$AA$2:$AA$50000,"&lt;&gt;设计如此",缺陷明细!$AA$2:$AA$50000,"&lt;&gt;重复Bug")</f>
        <v>0</v>
      </c>
      <c r="Q97" s="72">
        <f>COUNTIFS(缺陷明细!$A$2:$A$50000,$B$4,缺陷明细!$G$2:$G$50000,$C97,缺陷明细!$Q$2:$Q$50000,"已关闭",缺陷明细!$J$2:$J$50000,"系统测试")</f>
        <v>0</v>
      </c>
      <c r="R97" s="354">
        <f>COUNTIFS(缺陷明细!$A$2:$A$50000,$B$4,缺陷明细!$G$2:$G$50000,$C97,缺陷明细!$AA$2:$AA$50000,"丢弃",缺陷明细!$J$2:$J$50000,"系统测试")+COUNTIFS(缺陷明细!$A$2:$A$50000,$B$4,缺陷明细!$G$2:$G$50000,$C97,缺陷明细!$AA$2:$AA$50000,"设计如此",缺陷明细!$J$2:$J$50000,"系统测试")+COUNTIFS(缺陷明细!$A$2:$A$50000,$B$4,缺陷明细!$G$2:$G$50000,$C97,缺陷明细!$AA$2:$AA$50000,"重复Bug",缺陷明细!$J$2:$J$50000,"系统测试")</f>
        <v>0</v>
      </c>
      <c r="S97" s="72">
        <f>COUNTIFS(缺陷明细!$A$2:$A$50000,$B$4,缺陷明细!$G$2:$G$50000,$C97,缺陷明细!$J$2:$J$50000,"系统测试",缺陷明细!$K$2:$K$50000,"致命",缺陷明细!$AA$2:$AA$50000,"&lt;&gt;丢弃",缺陷明细!$AA$2:$AA$50000,"&lt;&gt;设计如此",缺陷明细!$AA$2:$AA$50000,"&lt;&gt;重复Bug")+COUNTIFS(缺陷明细!$A$2:$A$50000,$B$4,缺陷明细!$G$2:$G$50000,$C97,缺陷明细!$J$2:$J$50000,"系统测试",缺陷明细!$K$2:$K$50000,"严重",缺陷明细!$AA$2:$AA$50000,"&lt;&gt;丢弃",缺陷明细!$AA$2:$AA$50000,"&lt;&gt;设计如此",缺陷明细!$AA$2:$AA$50000,"&lt;&gt;重复Bug")</f>
        <v>0</v>
      </c>
      <c r="T97" s="73">
        <f>COUNTIFS(缺陷明细!$A$2:$A$50000,$B$4,缺陷明细!$G$2:$G$50000,$C97,缺陷明细!$Q$2:$Q$50000,"已关闭",缺陷明细!$J$2:$J$50000,"系统测试",缺陷明细!$K$2:$K$50000,"致命")+COUNTIFS(缺陷明细!$A$2:$A$50000,$B$4,缺陷明细!$G$2:$G$50000,$C97,缺陷明细!$Q$2:$Q$50000,"已关闭",缺陷明细!$J$2:$J$50000,"系统测试",缺陷明细!$K$2:$K$50000,"严重")</f>
        <v>0</v>
      </c>
      <c r="U97" s="74">
        <f>COUNTIFS(缺陷明细!$A$2:$A$50000,$B$4,缺陷明细!$G$2:$G$50000,$C97,缺陷明细!$J$2:$J$50000,"验收测试",缺陷明细!$AA$2:$AA$50000,"&lt;&gt;丢弃",缺陷明细!$AA$2:$AA$50000,"&lt;&gt;设计如此",缺陷明细!$AA$2:$AA$50000,"&lt;&gt;重复Bug")</f>
        <v>0</v>
      </c>
      <c r="V97" s="75">
        <f>COUNTIFS(缺陷明细!$A$2:$A$50000,$B$4,缺陷明细!$G$2:$G$50000,$C97,缺陷明细!$Q$2:$Q$50000,"已关闭",缺陷明细!$J$2:$J$50000,"验收测试")</f>
        <v>0</v>
      </c>
      <c r="W97" s="75">
        <f>COUNTIFS(缺陷明细!$A$2:$A$50000,$B$4,缺陷明细!$G$2:$G$50000,$C97,缺陷明细!$J$2:$J$50000,"验收测试",缺陷明细!$K$2:$K$50000,"致命",缺陷明细!$AA$2:$AA$50000,"&lt;&gt;丢弃",缺陷明细!$AA$2:$AA$50000,"&lt;&gt;设计如此",缺陷明细!$AA$2:$AA$50000,"&lt;&gt;重复Bug")+COUNTIFS(缺陷明细!$A$2:$A$50000,$B$4,缺陷明细!$G$2:$G$50000,$C97,缺陷明细!$J$2:$J$50000,"验收测试",缺陷明细!$K$2:$K$50000,"严重",缺陷明细!$AA$2:$AA$50000,"&lt;&gt;丢弃",缺陷明细!$AA$2:$AA$50000,"&lt;&gt;设计如此",缺陷明细!$AA$2:$AA$50000,"&lt;&gt;重复Bug")</f>
        <v>0</v>
      </c>
      <c r="X97" s="76">
        <f>COUNTIFS(缺陷明细!$A$2:$A$50000,$B$4,缺陷明细!$G$2:$G$50000,$C97,缺陷明细!$Q$2:$Q$50000,"已关闭",缺陷明细!$J$2:$J$50000,"验收测试",缺陷明细!$K$2:$K$50000,"致命")+COUNTIFS(缺陷明细!$A$2:$A$50000,$B$4,缺陷明细!$G$2:$G$50000,$C97,缺陷明细!$Q$2:$Q$50000,"已关闭",缺陷明细!$J$2:$J$50000,"验收测试",缺陷明细!$K$2:$K$50000,"严重")</f>
        <v>0</v>
      </c>
      <c r="Y97" s="70">
        <f>COUNTIFS(缺陷明细!$A$2:$A$50000,$B$4,缺陷明细!$G$2:$G$50000,$C97,缺陷明细!$J$2:$J$50000,"运维测试",缺陷明细!$AA$2:$AA$50000,"&lt;&gt;丢弃",缺陷明细!$AA$2:$AA$50000,"&lt;&gt;设计如此",缺陷明细!$AA$2:$AA$50000,"&lt;&gt;重复Bug")</f>
        <v>0</v>
      </c>
      <c r="Z97" s="71">
        <f>COUNTIFS(缺陷明细!$A$2:$A$50000,$B$4,缺陷明细!$G$2:$G$50000,$C97,缺陷明细!$Q$2:$Q$50000,"已关闭",缺陷明细!$J$2:$J$50000,"运维测试")</f>
        <v>0</v>
      </c>
      <c r="AA97" s="72">
        <f>COUNTIFS(缺陷明细!$A$2:$A$50000,$B$4,缺陷明细!$G$2:$G$50000,$C97,缺陷明细!$J$2:$J$50000,"运维测试",缺陷明细!$K$2:$K$50000,"致命",缺陷明细!$AA$2:$AA$50000,"&lt;&gt;丢弃",缺陷明细!$AA$2:$AA$50000,"&lt;&gt;设计如此",缺陷明细!$AA$2:$AA$50000,"&lt;&gt;重复Bug")+COUNTIFS(缺陷明细!$A$2:$A$50000,$B$4,缺陷明细!$G$2:$G$50000,$C97,缺陷明细!$J$2:$J$50000,"运维测试",缺陷明细!$K$2:$K$50000,"严重",缺陷明细!$AA$2:$AA$50000,"&lt;&gt;丢弃",缺陷明细!$AA$2:$AA$50000,"&lt;&gt;设计如此",缺陷明细!$AA$2:$AA$50000,"&lt;&gt;重复Bug")</f>
        <v>0</v>
      </c>
      <c r="AB97" s="73">
        <f>COUNTIFS(缺陷明细!$A$2:$A$50000,$B$4,缺陷明细!$G$2:$G$50000,$C97,缺陷明细!$Q$2:$Q$50000,"已关闭",缺陷明细!$J$2:$J$50000,"运维测试",缺陷明细!$K$2:$K$50000,"致命")+COUNTIFS(缺陷明细!$A$2:$A$50000,$B$4,缺陷明细!$G$2:$G$50000,$C97,缺陷明细!$Q$2:$Q$50000,"已关闭",缺陷明细!$J$2:$J$50000,"运维测试",缺陷明细!$K$2:$K$50000,"严重")</f>
        <v>0</v>
      </c>
      <c r="AC97" s="68">
        <f t="shared" si="4"/>
        <v>0</v>
      </c>
      <c r="AD97" s="60">
        <f t="shared" si="5"/>
        <v>0</v>
      </c>
      <c r="AE97" s="60">
        <f t="shared" si="6"/>
        <v>0</v>
      </c>
      <c r="AF97" s="60">
        <f t="shared" si="7"/>
        <v>0</v>
      </c>
      <c r="AG97" s="60">
        <f t="shared" si="8"/>
        <v>0</v>
      </c>
      <c r="AH97" s="60">
        <f t="shared" si="9"/>
        <v>0</v>
      </c>
      <c r="AI97" s="60">
        <f t="shared" si="10"/>
        <v>0</v>
      </c>
      <c r="AJ97" s="61">
        <f t="shared" si="11"/>
        <v>0</v>
      </c>
      <c r="AK97" s="151"/>
    </row>
    <row r="98" spans="1:37" ht="26.4">
      <c r="A98">
        <v>94</v>
      </c>
      <c r="B98" s="347">
        <v>579</v>
      </c>
      <c r="C98" s="58" t="s">
        <v>444</v>
      </c>
      <c r="D98" s="84" t="s">
        <v>467</v>
      </c>
      <c r="E98" s="82" t="s">
        <v>472</v>
      </c>
      <c r="F98" s="322">
        <v>4</v>
      </c>
      <c r="G98" s="323">
        <v>2</v>
      </c>
      <c r="H98" s="305">
        <f>COUNTIFS(缺陷明细!$A$2:$A$50000,$B$4,缺陷明细!$G$2:$G$50000,$C98,缺陷明细!$J$2:$J$50000,"评审",缺陷明细!$AA$2:$AA$50000,"&lt;&gt;丢弃",缺陷明细!$AA$2:$AA$50000,"&lt;&gt;设计如此",缺陷明细!$AA$2:$AA$50000,"&lt;&gt;重复Bug")</f>
        <v>0</v>
      </c>
      <c r="I98" s="161">
        <f>COUNTIFS(缺陷明细!$A$2:$A$50000,$B$4,缺陷明细!$G$2:$G$50000,$C98,缺陷明细!$Q$2:$Q$50000,"已关闭",缺陷明细!$J$2:$J$50000,"评审")</f>
        <v>0</v>
      </c>
      <c r="J98" s="161">
        <f>COUNTIFS(缺陷明细!$A$2:$A$50000,$B$4,缺陷明细!$G$2:$G$50000,$C98,缺陷明细!$J$2:$J$50000,"单元测试",缺陷明细!$AA$2:$AA$50000,"&lt;&gt;丢弃",缺陷明细!$AA$2:$AA$50000,"&lt;&gt;设计如此",缺陷明细!$AA$2:$AA$50000,"&lt;&gt;重复Bug")</f>
        <v>0</v>
      </c>
      <c r="K98" s="162">
        <f>COUNTIFS(缺陷明细!$A$2:$A$50000,$B$4,缺陷明细!$G$2:$G$50000,$C98,缺陷明细!$Q$2:$Q$50000,"已关闭",缺陷明细!$J$2:$J$50000,"单元测试")</f>
        <v>0</v>
      </c>
      <c r="L98" s="163"/>
      <c r="M98" s="164"/>
      <c r="N98" s="72">
        <f>COUNTIFS(缺陷明细!$A$2:$A$50000,$B$4,缺陷明细!$G$2:$G$50000,$C98,缺陷明细!$J$2:$J$50000,"系统测试案例评审",缺陷明细!$AA$2:$AA$50000,"&lt;&gt;丢弃",缺陷明细!$AA$2:$AA$50000,"&lt;&gt;设计如此",缺陷明细!$AA$2:$AA$50000,"&lt;&gt;重复Bug")</f>
        <v>0</v>
      </c>
      <c r="O98" s="72">
        <f>COUNTIFS(缺陷明细!$A$2:$A$50000,$B$4,缺陷明细!$G$2:$G$50000,$C98,缺陷明细!$Q$2:$Q$50000,"已关闭",缺陷明细!$J$2:$J$50000,"系统测试案例评审")</f>
        <v>0</v>
      </c>
      <c r="P98" s="72">
        <f>COUNTIFS(缺陷明细!$A$2:$A$50000,$B$4,缺陷明细!$G$2:$G$50000,$C98,缺陷明细!$J$2:$J$50000,"系统测试",缺陷明细!$AA$2:$AA$50000,"&lt;&gt;丢弃",缺陷明细!$AA$2:$AA$50000,"&lt;&gt;设计如此",缺陷明细!$AA$2:$AA$50000,"&lt;&gt;重复Bug")</f>
        <v>0</v>
      </c>
      <c r="Q98" s="72">
        <f>COUNTIFS(缺陷明细!$A$2:$A$50000,$B$4,缺陷明细!$G$2:$G$50000,$C98,缺陷明细!$Q$2:$Q$50000,"已关闭",缺陷明细!$J$2:$J$50000,"系统测试")</f>
        <v>0</v>
      </c>
      <c r="R98" s="354">
        <f>COUNTIFS(缺陷明细!$A$2:$A$50000,$B$4,缺陷明细!$G$2:$G$50000,$C98,缺陷明细!$AA$2:$AA$50000,"丢弃",缺陷明细!$J$2:$J$50000,"系统测试")+COUNTIFS(缺陷明细!$A$2:$A$50000,$B$4,缺陷明细!$G$2:$G$50000,$C98,缺陷明细!$AA$2:$AA$50000,"设计如此",缺陷明细!$J$2:$J$50000,"系统测试")+COUNTIFS(缺陷明细!$A$2:$A$50000,$B$4,缺陷明细!$G$2:$G$50000,$C98,缺陷明细!$AA$2:$AA$50000,"重复Bug",缺陷明细!$J$2:$J$50000,"系统测试")</f>
        <v>0</v>
      </c>
      <c r="S98" s="72">
        <f>COUNTIFS(缺陷明细!$A$2:$A$50000,$B$4,缺陷明细!$G$2:$G$50000,$C98,缺陷明细!$J$2:$J$50000,"系统测试",缺陷明细!$K$2:$K$50000,"致命",缺陷明细!$AA$2:$AA$50000,"&lt;&gt;丢弃",缺陷明细!$AA$2:$AA$50000,"&lt;&gt;设计如此",缺陷明细!$AA$2:$AA$50000,"&lt;&gt;重复Bug")+COUNTIFS(缺陷明细!$A$2:$A$50000,$B$4,缺陷明细!$G$2:$G$50000,$C98,缺陷明细!$J$2:$J$50000,"系统测试",缺陷明细!$K$2:$K$50000,"严重",缺陷明细!$AA$2:$AA$50000,"&lt;&gt;丢弃",缺陷明细!$AA$2:$AA$50000,"&lt;&gt;设计如此",缺陷明细!$AA$2:$AA$50000,"&lt;&gt;重复Bug")</f>
        <v>0</v>
      </c>
      <c r="T98" s="73">
        <f>COUNTIFS(缺陷明细!$A$2:$A$50000,$B$4,缺陷明细!$G$2:$G$50000,$C98,缺陷明细!$Q$2:$Q$50000,"已关闭",缺陷明细!$J$2:$J$50000,"系统测试",缺陷明细!$K$2:$K$50000,"致命")+COUNTIFS(缺陷明细!$A$2:$A$50000,$B$4,缺陷明细!$G$2:$G$50000,$C98,缺陷明细!$Q$2:$Q$50000,"已关闭",缺陷明细!$J$2:$J$50000,"系统测试",缺陷明细!$K$2:$K$50000,"严重")</f>
        <v>0</v>
      </c>
      <c r="U98" s="74">
        <f>COUNTIFS(缺陷明细!$A$2:$A$50000,$B$4,缺陷明细!$G$2:$G$50000,$C98,缺陷明细!$J$2:$J$50000,"验收测试",缺陷明细!$AA$2:$AA$50000,"&lt;&gt;丢弃",缺陷明细!$AA$2:$AA$50000,"&lt;&gt;设计如此",缺陷明细!$AA$2:$AA$50000,"&lt;&gt;重复Bug")</f>
        <v>0</v>
      </c>
      <c r="V98" s="75">
        <f>COUNTIFS(缺陷明细!$A$2:$A$50000,$B$4,缺陷明细!$G$2:$G$50000,$C98,缺陷明细!$Q$2:$Q$50000,"已关闭",缺陷明细!$J$2:$J$50000,"验收测试")</f>
        <v>0</v>
      </c>
      <c r="W98" s="75">
        <f>COUNTIFS(缺陷明细!$A$2:$A$50000,$B$4,缺陷明细!$G$2:$G$50000,$C98,缺陷明细!$J$2:$J$50000,"验收测试",缺陷明细!$K$2:$K$50000,"致命",缺陷明细!$AA$2:$AA$50000,"&lt;&gt;丢弃",缺陷明细!$AA$2:$AA$50000,"&lt;&gt;设计如此",缺陷明细!$AA$2:$AA$50000,"&lt;&gt;重复Bug")+COUNTIFS(缺陷明细!$A$2:$A$50000,$B$4,缺陷明细!$G$2:$G$50000,$C98,缺陷明细!$J$2:$J$50000,"验收测试",缺陷明细!$K$2:$K$50000,"严重",缺陷明细!$AA$2:$AA$50000,"&lt;&gt;丢弃",缺陷明细!$AA$2:$AA$50000,"&lt;&gt;设计如此",缺陷明细!$AA$2:$AA$50000,"&lt;&gt;重复Bug")</f>
        <v>0</v>
      </c>
      <c r="X98" s="76">
        <f>COUNTIFS(缺陷明细!$A$2:$A$50000,$B$4,缺陷明细!$G$2:$G$50000,$C98,缺陷明细!$Q$2:$Q$50000,"已关闭",缺陷明细!$J$2:$J$50000,"验收测试",缺陷明细!$K$2:$K$50000,"致命")+COUNTIFS(缺陷明细!$A$2:$A$50000,$B$4,缺陷明细!$G$2:$G$50000,$C98,缺陷明细!$Q$2:$Q$50000,"已关闭",缺陷明细!$J$2:$J$50000,"验收测试",缺陷明细!$K$2:$K$50000,"严重")</f>
        <v>0</v>
      </c>
      <c r="Y98" s="70">
        <f>COUNTIFS(缺陷明细!$A$2:$A$50000,$B$4,缺陷明细!$G$2:$G$50000,$C98,缺陷明细!$J$2:$J$50000,"运维测试",缺陷明细!$AA$2:$AA$50000,"&lt;&gt;丢弃",缺陷明细!$AA$2:$AA$50000,"&lt;&gt;设计如此",缺陷明细!$AA$2:$AA$50000,"&lt;&gt;重复Bug")</f>
        <v>0</v>
      </c>
      <c r="Z98" s="71">
        <f>COUNTIFS(缺陷明细!$A$2:$A$50000,$B$4,缺陷明细!$G$2:$G$50000,$C98,缺陷明细!$Q$2:$Q$50000,"已关闭",缺陷明细!$J$2:$J$50000,"运维测试")</f>
        <v>0</v>
      </c>
      <c r="AA98" s="72">
        <f>COUNTIFS(缺陷明细!$A$2:$A$50000,$B$4,缺陷明细!$G$2:$G$50000,$C98,缺陷明细!$J$2:$J$50000,"运维测试",缺陷明细!$K$2:$K$50000,"致命",缺陷明细!$AA$2:$AA$50000,"&lt;&gt;丢弃",缺陷明细!$AA$2:$AA$50000,"&lt;&gt;设计如此",缺陷明细!$AA$2:$AA$50000,"&lt;&gt;重复Bug")+COUNTIFS(缺陷明细!$A$2:$A$50000,$B$4,缺陷明细!$G$2:$G$50000,$C98,缺陷明细!$J$2:$J$50000,"运维测试",缺陷明细!$K$2:$K$50000,"严重",缺陷明细!$AA$2:$AA$50000,"&lt;&gt;丢弃",缺陷明细!$AA$2:$AA$50000,"&lt;&gt;设计如此",缺陷明细!$AA$2:$AA$50000,"&lt;&gt;重复Bug")</f>
        <v>0</v>
      </c>
      <c r="AB98" s="73">
        <f>COUNTIFS(缺陷明细!$A$2:$A$50000,$B$4,缺陷明细!$G$2:$G$50000,$C98,缺陷明细!$Q$2:$Q$50000,"已关闭",缺陷明细!$J$2:$J$50000,"运维测试",缺陷明细!$K$2:$K$50000,"致命")+COUNTIFS(缺陷明细!$A$2:$A$50000,$B$4,缺陷明细!$G$2:$G$50000,$C98,缺陷明细!$Q$2:$Q$50000,"已关闭",缺陷明细!$J$2:$J$50000,"运维测试",缺陷明细!$K$2:$K$50000,"严重")</f>
        <v>0</v>
      </c>
      <c r="AC98" s="68">
        <f t="shared" si="4"/>
        <v>0</v>
      </c>
      <c r="AD98" s="60">
        <f t="shared" si="5"/>
        <v>0</v>
      </c>
      <c r="AE98" s="60">
        <f t="shared" si="6"/>
        <v>0</v>
      </c>
      <c r="AF98" s="60">
        <f t="shared" si="7"/>
        <v>0</v>
      </c>
      <c r="AG98" s="60">
        <f t="shared" si="8"/>
        <v>0</v>
      </c>
      <c r="AH98" s="60">
        <f t="shared" si="9"/>
        <v>0</v>
      </c>
      <c r="AI98" s="60">
        <f t="shared" si="10"/>
        <v>0</v>
      </c>
      <c r="AJ98" s="61">
        <f t="shared" si="11"/>
        <v>0</v>
      </c>
      <c r="AK98" s="151"/>
    </row>
    <row r="99" spans="1:37">
      <c r="A99">
        <v>95</v>
      </c>
      <c r="B99" s="347">
        <v>580</v>
      </c>
      <c r="C99" s="58" t="s">
        <v>445</v>
      </c>
      <c r="D99" s="84" t="s">
        <v>467</v>
      </c>
      <c r="E99" s="82" t="s">
        <v>472</v>
      </c>
      <c r="F99" s="322">
        <v>2</v>
      </c>
      <c r="G99" s="323">
        <v>2</v>
      </c>
      <c r="H99" s="305">
        <f>COUNTIFS(缺陷明细!$A$2:$A$50000,$B$4,缺陷明细!$G$2:$G$50000,$C99,缺陷明细!$J$2:$J$50000,"评审",缺陷明细!$AA$2:$AA$50000,"&lt;&gt;丢弃",缺陷明细!$AA$2:$AA$50000,"&lt;&gt;设计如此",缺陷明细!$AA$2:$AA$50000,"&lt;&gt;重复Bug")</f>
        <v>0</v>
      </c>
      <c r="I99" s="161">
        <f>COUNTIFS(缺陷明细!$A$2:$A$50000,$B$4,缺陷明细!$G$2:$G$50000,$C99,缺陷明细!$Q$2:$Q$50000,"已关闭",缺陷明细!$J$2:$J$50000,"评审")</f>
        <v>0</v>
      </c>
      <c r="J99" s="161">
        <f>COUNTIFS(缺陷明细!$A$2:$A$50000,$B$4,缺陷明细!$G$2:$G$50000,$C99,缺陷明细!$J$2:$J$50000,"单元测试",缺陷明细!$AA$2:$AA$50000,"&lt;&gt;丢弃",缺陷明细!$AA$2:$AA$50000,"&lt;&gt;设计如此",缺陷明细!$AA$2:$AA$50000,"&lt;&gt;重复Bug")</f>
        <v>0</v>
      </c>
      <c r="K99" s="162">
        <f>COUNTIFS(缺陷明细!$A$2:$A$50000,$B$4,缺陷明细!$G$2:$G$50000,$C99,缺陷明细!$Q$2:$Q$50000,"已关闭",缺陷明细!$J$2:$J$50000,"单元测试")</f>
        <v>0</v>
      </c>
      <c r="L99" s="163"/>
      <c r="M99" s="164"/>
      <c r="N99" s="72">
        <f>COUNTIFS(缺陷明细!$A$2:$A$50000,$B$4,缺陷明细!$G$2:$G$50000,$C99,缺陷明细!$J$2:$J$50000,"系统测试案例评审",缺陷明细!$AA$2:$AA$50000,"&lt;&gt;丢弃",缺陷明细!$AA$2:$AA$50000,"&lt;&gt;设计如此",缺陷明细!$AA$2:$AA$50000,"&lt;&gt;重复Bug")</f>
        <v>0</v>
      </c>
      <c r="O99" s="72">
        <f>COUNTIFS(缺陷明细!$A$2:$A$50000,$B$4,缺陷明细!$G$2:$G$50000,$C99,缺陷明细!$Q$2:$Q$50000,"已关闭",缺陷明细!$J$2:$J$50000,"系统测试案例评审")</f>
        <v>0</v>
      </c>
      <c r="P99" s="72">
        <f>COUNTIFS(缺陷明细!$A$2:$A$50000,$B$4,缺陷明细!$G$2:$G$50000,$C99,缺陷明细!$J$2:$J$50000,"系统测试",缺陷明细!$AA$2:$AA$50000,"&lt;&gt;丢弃",缺陷明细!$AA$2:$AA$50000,"&lt;&gt;设计如此",缺陷明细!$AA$2:$AA$50000,"&lt;&gt;重复Bug")</f>
        <v>0</v>
      </c>
      <c r="Q99" s="72">
        <f>COUNTIFS(缺陷明细!$A$2:$A$50000,$B$4,缺陷明细!$G$2:$G$50000,$C99,缺陷明细!$Q$2:$Q$50000,"已关闭",缺陷明细!$J$2:$J$50000,"系统测试")</f>
        <v>0</v>
      </c>
      <c r="R99" s="354">
        <f>COUNTIFS(缺陷明细!$A$2:$A$50000,$B$4,缺陷明细!$G$2:$G$50000,$C99,缺陷明细!$AA$2:$AA$50000,"丢弃",缺陷明细!$J$2:$J$50000,"系统测试")+COUNTIFS(缺陷明细!$A$2:$A$50000,$B$4,缺陷明细!$G$2:$G$50000,$C99,缺陷明细!$AA$2:$AA$50000,"设计如此",缺陷明细!$J$2:$J$50000,"系统测试")+COUNTIFS(缺陷明细!$A$2:$A$50000,$B$4,缺陷明细!$G$2:$G$50000,$C99,缺陷明细!$AA$2:$AA$50000,"重复Bug",缺陷明细!$J$2:$J$50000,"系统测试")</f>
        <v>0</v>
      </c>
      <c r="S99" s="72">
        <f>COUNTIFS(缺陷明细!$A$2:$A$50000,$B$4,缺陷明细!$G$2:$G$50000,$C99,缺陷明细!$J$2:$J$50000,"系统测试",缺陷明细!$K$2:$K$50000,"致命",缺陷明细!$AA$2:$AA$50000,"&lt;&gt;丢弃",缺陷明细!$AA$2:$AA$50000,"&lt;&gt;设计如此",缺陷明细!$AA$2:$AA$50000,"&lt;&gt;重复Bug")+COUNTIFS(缺陷明细!$A$2:$A$50000,$B$4,缺陷明细!$G$2:$G$50000,$C99,缺陷明细!$J$2:$J$50000,"系统测试",缺陷明细!$K$2:$K$50000,"严重",缺陷明细!$AA$2:$AA$50000,"&lt;&gt;丢弃",缺陷明细!$AA$2:$AA$50000,"&lt;&gt;设计如此",缺陷明细!$AA$2:$AA$50000,"&lt;&gt;重复Bug")</f>
        <v>0</v>
      </c>
      <c r="T99" s="73">
        <f>COUNTIFS(缺陷明细!$A$2:$A$50000,$B$4,缺陷明细!$G$2:$G$50000,$C99,缺陷明细!$Q$2:$Q$50000,"已关闭",缺陷明细!$J$2:$J$50000,"系统测试",缺陷明细!$K$2:$K$50000,"致命")+COUNTIFS(缺陷明细!$A$2:$A$50000,$B$4,缺陷明细!$G$2:$G$50000,$C99,缺陷明细!$Q$2:$Q$50000,"已关闭",缺陷明细!$J$2:$J$50000,"系统测试",缺陷明细!$K$2:$K$50000,"严重")</f>
        <v>0</v>
      </c>
      <c r="U99" s="74">
        <f>COUNTIFS(缺陷明细!$A$2:$A$50000,$B$4,缺陷明细!$G$2:$G$50000,$C99,缺陷明细!$J$2:$J$50000,"验收测试",缺陷明细!$AA$2:$AA$50000,"&lt;&gt;丢弃",缺陷明细!$AA$2:$AA$50000,"&lt;&gt;设计如此",缺陷明细!$AA$2:$AA$50000,"&lt;&gt;重复Bug")</f>
        <v>0</v>
      </c>
      <c r="V99" s="75">
        <f>COUNTIFS(缺陷明细!$A$2:$A$50000,$B$4,缺陷明细!$G$2:$G$50000,$C99,缺陷明细!$Q$2:$Q$50000,"已关闭",缺陷明细!$J$2:$J$50000,"验收测试")</f>
        <v>0</v>
      </c>
      <c r="W99" s="75">
        <f>COUNTIFS(缺陷明细!$A$2:$A$50000,$B$4,缺陷明细!$G$2:$G$50000,$C99,缺陷明细!$J$2:$J$50000,"验收测试",缺陷明细!$K$2:$K$50000,"致命",缺陷明细!$AA$2:$AA$50000,"&lt;&gt;丢弃",缺陷明细!$AA$2:$AA$50000,"&lt;&gt;设计如此",缺陷明细!$AA$2:$AA$50000,"&lt;&gt;重复Bug")+COUNTIFS(缺陷明细!$A$2:$A$50000,$B$4,缺陷明细!$G$2:$G$50000,$C99,缺陷明细!$J$2:$J$50000,"验收测试",缺陷明细!$K$2:$K$50000,"严重",缺陷明细!$AA$2:$AA$50000,"&lt;&gt;丢弃",缺陷明细!$AA$2:$AA$50000,"&lt;&gt;设计如此",缺陷明细!$AA$2:$AA$50000,"&lt;&gt;重复Bug")</f>
        <v>0</v>
      </c>
      <c r="X99" s="76">
        <f>COUNTIFS(缺陷明细!$A$2:$A$50000,$B$4,缺陷明细!$G$2:$G$50000,$C99,缺陷明细!$Q$2:$Q$50000,"已关闭",缺陷明细!$J$2:$J$50000,"验收测试",缺陷明细!$K$2:$K$50000,"致命")+COUNTIFS(缺陷明细!$A$2:$A$50000,$B$4,缺陷明细!$G$2:$G$50000,$C99,缺陷明细!$Q$2:$Q$50000,"已关闭",缺陷明细!$J$2:$J$50000,"验收测试",缺陷明细!$K$2:$K$50000,"严重")</f>
        <v>0</v>
      </c>
      <c r="Y99" s="70">
        <f>COUNTIFS(缺陷明细!$A$2:$A$50000,$B$4,缺陷明细!$G$2:$G$50000,$C99,缺陷明细!$J$2:$J$50000,"运维测试",缺陷明细!$AA$2:$AA$50000,"&lt;&gt;丢弃",缺陷明细!$AA$2:$AA$50000,"&lt;&gt;设计如此",缺陷明细!$AA$2:$AA$50000,"&lt;&gt;重复Bug")</f>
        <v>0</v>
      </c>
      <c r="Z99" s="71">
        <f>COUNTIFS(缺陷明细!$A$2:$A$50000,$B$4,缺陷明细!$G$2:$G$50000,$C99,缺陷明细!$Q$2:$Q$50000,"已关闭",缺陷明细!$J$2:$J$50000,"运维测试")</f>
        <v>0</v>
      </c>
      <c r="AA99" s="72">
        <f>COUNTIFS(缺陷明细!$A$2:$A$50000,$B$4,缺陷明细!$G$2:$G$50000,$C99,缺陷明细!$J$2:$J$50000,"运维测试",缺陷明细!$K$2:$K$50000,"致命",缺陷明细!$AA$2:$AA$50000,"&lt;&gt;丢弃",缺陷明细!$AA$2:$AA$50000,"&lt;&gt;设计如此",缺陷明细!$AA$2:$AA$50000,"&lt;&gt;重复Bug")+COUNTIFS(缺陷明细!$A$2:$A$50000,$B$4,缺陷明细!$G$2:$G$50000,$C99,缺陷明细!$J$2:$J$50000,"运维测试",缺陷明细!$K$2:$K$50000,"严重",缺陷明细!$AA$2:$AA$50000,"&lt;&gt;丢弃",缺陷明细!$AA$2:$AA$50000,"&lt;&gt;设计如此",缺陷明细!$AA$2:$AA$50000,"&lt;&gt;重复Bug")</f>
        <v>0</v>
      </c>
      <c r="AB99" s="73">
        <f>COUNTIFS(缺陷明细!$A$2:$A$50000,$B$4,缺陷明细!$G$2:$G$50000,$C99,缺陷明细!$Q$2:$Q$50000,"已关闭",缺陷明细!$J$2:$J$50000,"运维测试",缺陷明细!$K$2:$K$50000,"致命")+COUNTIFS(缺陷明细!$A$2:$A$50000,$B$4,缺陷明细!$G$2:$G$50000,$C99,缺陷明细!$Q$2:$Q$50000,"已关闭",缺陷明细!$J$2:$J$50000,"运维测试",缺陷明细!$K$2:$K$50000,"严重")</f>
        <v>0</v>
      </c>
      <c r="AC99" s="68">
        <f t="shared" si="4"/>
        <v>0</v>
      </c>
      <c r="AD99" s="60">
        <f t="shared" si="5"/>
        <v>0</v>
      </c>
      <c r="AE99" s="60">
        <f t="shared" si="6"/>
        <v>0</v>
      </c>
      <c r="AF99" s="60">
        <f t="shared" si="7"/>
        <v>0</v>
      </c>
      <c r="AG99" s="60">
        <f t="shared" si="8"/>
        <v>0</v>
      </c>
      <c r="AH99" s="60">
        <f t="shared" si="9"/>
        <v>0</v>
      </c>
      <c r="AI99" s="60">
        <f t="shared" si="10"/>
        <v>0</v>
      </c>
      <c r="AJ99" s="61">
        <f t="shared" si="11"/>
        <v>0</v>
      </c>
      <c r="AK99" s="151"/>
    </row>
    <row r="100" spans="1:37">
      <c r="A100">
        <v>96</v>
      </c>
      <c r="B100" s="347">
        <v>581</v>
      </c>
      <c r="C100" s="58" t="s">
        <v>446</v>
      </c>
      <c r="D100" s="84" t="s">
        <v>468</v>
      </c>
      <c r="E100" s="82" t="s">
        <v>472</v>
      </c>
      <c r="F100" s="322">
        <v>8</v>
      </c>
      <c r="G100" s="323">
        <v>8</v>
      </c>
      <c r="H100" s="305">
        <f>COUNTIFS(缺陷明细!$A$2:$A$50000,$B$4,缺陷明细!$G$2:$G$50000,$C100,缺陷明细!$J$2:$J$50000,"评审",缺陷明细!$AA$2:$AA$50000,"&lt;&gt;丢弃",缺陷明细!$AA$2:$AA$50000,"&lt;&gt;设计如此",缺陷明细!$AA$2:$AA$50000,"&lt;&gt;重复Bug")</f>
        <v>0</v>
      </c>
      <c r="I100" s="161">
        <f>COUNTIFS(缺陷明细!$A$2:$A$50000,$B$4,缺陷明细!$G$2:$G$50000,$C100,缺陷明细!$Q$2:$Q$50000,"已关闭",缺陷明细!$J$2:$J$50000,"评审")</f>
        <v>0</v>
      </c>
      <c r="J100" s="161">
        <f>COUNTIFS(缺陷明细!$A$2:$A$50000,$B$4,缺陷明细!$G$2:$G$50000,$C100,缺陷明细!$J$2:$J$50000,"单元测试",缺陷明细!$AA$2:$AA$50000,"&lt;&gt;丢弃",缺陷明细!$AA$2:$AA$50000,"&lt;&gt;设计如此",缺陷明细!$AA$2:$AA$50000,"&lt;&gt;重复Bug")</f>
        <v>0</v>
      </c>
      <c r="K100" s="162">
        <f>COUNTIFS(缺陷明细!$A$2:$A$50000,$B$4,缺陷明细!$G$2:$G$50000,$C100,缺陷明细!$Q$2:$Q$50000,"已关闭",缺陷明细!$J$2:$J$50000,"单元测试")</f>
        <v>0</v>
      </c>
      <c r="L100" s="163"/>
      <c r="M100" s="164"/>
      <c r="N100" s="72">
        <f>COUNTIFS(缺陷明细!$A$2:$A$50000,$B$4,缺陷明细!$G$2:$G$50000,$C100,缺陷明细!$J$2:$J$50000,"系统测试案例评审",缺陷明细!$AA$2:$AA$50000,"&lt;&gt;丢弃",缺陷明细!$AA$2:$AA$50000,"&lt;&gt;设计如此",缺陷明细!$AA$2:$AA$50000,"&lt;&gt;重复Bug")</f>
        <v>0</v>
      </c>
      <c r="O100" s="72">
        <f>COUNTIFS(缺陷明细!$A$2:$A$50000,$B$4,缺陷明细!$G$2:$G$50000,$C100,缺陷明细!$Q$2:$Q$50000,"已关闭",缺陷明细!$J$2:$J$50000,"系统测试案例评审")</f>
        <v>0</v>
      </c>
      <c r="P100" s="72">
        <f>COUNTIFS(缺陷明细!$A$2:$A$50000,$B$4,缺陷明细!$G$2:$G$50000,$C100,缺陷明细!$J$2:$J$50000,"系统测试",缺陷明细!$AA$2:$AA$50000,"&lt;&gt;丢弃",缺陷明细!$AA$2:$AA$50000,"&lt;&gt;设计如此",缺陷明细!$AA$2:$AA$50000,"&lt;&gt;重复Bug")</f>
        <v>0</v>
      </c>
      <c r="Q100" s="72">
        <f>COUNTIFS(缺陷明细!$A$2:$A$50000,$B$4,缺陷明细!$G$2:$G$50000,$C100,缺陷明细!$Q$2:$Q$50000,"已关闭",缺陷明细!$J$2:$J$50000,"系统测试")</f>
        <v>0</v>
      </c>
      <c r="R100" s="354">
        <f>COUNTIFS(缺陷明细!$A$2:$A$50000,$B$4,缺陷明细!$G$2:$G$50000,$C100,缺陷明细!$AA$2:$AA$50000,"丢弃",缺陷明细!$J$2:$J$50000,"系统测试")+COUNTIFS(缺陷明细!$A$2:$A$50000,$B$4,缺陷明细!$G$2:$G$50000,$C100,缺陷明细!$AA$2:$AA$50000,"设计如此",缺陷明细!$J$2:$J$50000,"系统测试")+COUNTIFS(缺陷明细!$A$2:$A$50000,$B$4,缺陷明细!$G$2:$G$50000,$C100,缺陷明细!$AA$2:$AA$50000,"重复Bug",缺陷明细!$J$2:$J$50000,"系统测试")</f>
        <v>0</v>
      </c>
      <c r="S100" s="72">
        <f>COUNTIFS(缺陷明细!$A$2:$A$50000,$B$4,缺陷明细!$G$2:$G$50000,$C100,缺陷明细!$J$2:$J$50000,"系统测试",缺陷明细!$K$2:$K$50000,"致命",缺陷明细!$AA$2:$AA$50000,"&lt;&gt;丢弃",缺陷明细!$AA$2:$AA$50000,"&lt;&gt;设计如此",缺陷明细!$AA$2:$AA$50000,"&lt;&gt;重复Bug")+COUNTIFS(缺陷明细!$A$2:$A$50000,$B$4,缺陷明细!$G$2:$G$50000,$C100,缺陷明细!$J$2:$J$50000,"系统测试",缺陷明细!$K$2:$K$50000,"严重",缺陷明细!$AA$2:$AA$50000,"&lt;&gt;丢弃",缺陷明细!$AA$2:$AA$50000,"&lt;&gt;设计如此",缺陷明细!$AA$2:$AA$50000,"&lt;&gt;重复Bug")</f>
        <v>0</v>
      </c>
      <c r="T100" s="73">
        <f>COUNTIFS(缺陷明细!$A$2:$A$50000,$B$4,缺陷明细!$G$2:$G$50000,$C100,缺陷明细!$Q$2:$Q$50000,"已关闭",缺陷明细!$J$2:$J$50000,"系统测试",缺陷明细!$K$2:$K$50000,"致命")+COUNTIFS(缺陷明细!$A$2:$A$50000,$B$4,缺陷明细!$G$2:$G$50000,$C100,缺陷明细!$Q$2:$Q$50000,"已关闭",缺陷明细!$J$2:$J$50000,"系统测试",缺陷明细!$K$2:$K$50000,"严重")</f>
        <v>0</v>
      </c>
      <c r="U100" s="74">
        <f>COUNTIFS(缺陷明细!$A$2:$A$50000,$B$4,缺陷明细!$G$2:$G$50000,$C100,缺陷明细!$J$2:$J$50000,"验收测试",缺陷明细!$AA$2:$AA$50000,"&lt;&gt;丢弃",缺陷明细!$AA$2:$AA$50000,"&lt;&gt;设计如此",缺陷明细!$AA$2:$AA$50000,"&lt;&gt;重复Bug")</f>
        <v>0</v>
      </c>
      <c r="V100" s="75">
        <f>COUNTIFS(缺陷明细!$A$2:$A$50000,$B$4,缺陷明细!$G$2:$G$50000,$C100,缺陷明细!$Q$2:$Q$50000,"已关闭",缺陷明细!$J$2:$J$50000,"验收测试")</f>
        <v>0</v>
      </c>
      <c r="W100" s="75">
        <f>COUNTIFS(缺陷明细!$A$2:$A$50000,$B$4,缺陷明细!$G$2:$G$50000,$C100,缺陷明细!$J$2:$J$50000,"验收测试",缺陷明细!$K$2:$K$50000,"致命",缺陷明细!$AA$2:$AA$50000,"&lt;&gt;丢弃",缺陷明细!$AA$2:$AA$50000,"&lt;&gt;设计如此",缺陷明细!$AA$2:$AA$50000,"&lt;&gt;重复Bug")+COUNTIFS(缺陷明细!$A$2:$A$50000,$B$4,缺陷明细!$G$2:$G$50000,$C100,缺陷明细!$J$2:$J$50000,"验收测试",缺陷明细!$K$2:$K$50000,"严重",缺陷明细!$AA$2:$AA$50000,"&lt;&gt;丢弃",缺陷明细!$AA$2:$AA$50000,"&lt;&gt;设计如此",缺陷明细!$AA$2:$AA$50000,"&lt;&gt;重复Bug")</f>
        <v>0</v>
      </c>
      <c r="X100" s="76">
        <f>COUNTIFS(缺陷明细!$A$2:$A$50000,$B$4,缺陷明细!$G$2:$G$50000,$C100,缺陷明细!$Q$2:$Q$50000,"已关闭",缺陷明细!$J$2:$J$50000,"验收测试",缺陷明细!$K$2:$K$50000,"致命")+COUNTIFS(缺陷明细!$A$2:$A$50000,$B$4,缺陷明细!$G$2:$G$50000,$C100,缺陷明细!$Q$2:$Q$50000,"已关闭",缺陷明细!$J$2:$J$50000,"验收测试",缺陷明细!$K$2:$K$50000,"严重")</f>
        <v>0</v>
      </c>
      <c r="Y100" s="70">
        <f>COUNTIFS(缺陷明细!$A$2:$A$50000,$B$4,缺陷明细!$G$2:$G$50000,$C100,缺陷明细!$J$2:$J$50000,"运维测试",缺陷明细!$AA$2:$AA$50000,"&lt;&gt;丢弃",缺陷明细!$AA$2:$AA$50000,"&lt;&gt;设计如此",缺陷明细!$AA$2:$AA$50000,"&lt;&gt;重复Bug")</f>
        <v>0</v>
      </c>
      <c r="Z100" s="71">
        <f>COUNTIFS(缺陷明细!$A$2:$A$50000,$B$4,缺陷明细!$G$2:$G$50000,$C100,缺陷明细!$Q$2:$Q$50000,"已关闭",缺陷明细!$J$2:$J$50000,"运维测试")</f>
        <v>0</v>
      </c>
      <c r="AA100" s="72">
        <f>COUNTIFS(缺陷明细!$A$2:$A$50000,$B$4,缺陷明细!$G$2:$G$50000,$C100,缺陷明细!$J$2:$J$50000,"运维测试",缺陷明细!$K$2:$K$50000,"致命",缺陷明细!$AA$2:$AA$50000,"&lt;&gt;丢弃",缺陷明细!$AA$2:$AA$50000,"&lt;&gt;设计如此",缺陷明细!$AA$2:$AA$50000,"&lt;&gt;重复Bug")+COUNTIFS(缺陷明细!$A$2:$A$50000,$B$4,缺陷明细!$G$2:$G$50000,$C100,缺陷明细!$J$2:$J$50000,"运维测试",缺陷明细!$K$2:$K$50000,"严重",缺陷明细!$AA$2:$AA$50000,"&lt;&gt;丢弃",缺陷明细!$AA$2:$AA$50000,"&lt;&gt;设计如此",缺陷明细!$AA$2:$AA$50000,"&lt;&gt;重复Bug")</f>
        <v>0</v>
      </c>
      <c r="AB100" s="73">
        <f>COUNTIFS(缺陷明细!$A$2:$A$50000,$B$4,缺陷明细!$G$2:$G$50000,$C100,缺陷明细!$Q$2:$Q$50000,"已关闭",缺陷明细!$J$2:$J$50000,"运维测试",缺陷明细!$K$2:$K$50000,"致命")+COUNTIFS(缺陷明细!$A$2:$A$50000,$B$4,缺陷明细!$G$2:$G$50000,$C100,缺陷明细!$Q$2:$Q$50000,"已关闭",缺陷明细!$J$2:$J$50000,"运维测试",缺陷明细!$K$2:$K$50000,"严重")</f>
        <v>0</v>
      </c>
      <c r="AC100" s="68">
        <f t="shared" si="4"/>
        <v>0</v>
      </c>
      <c r="AD100" s="60">
        <f t="shared" si="5"/>
        <v>0</v>
      </c>
      <c r="AE100" s="60">
        <f t="shared" si="6"/>
        <v>0</v>
      </c>
      <c r="AF100" s="60">
        <f t="shared" si="7"/>
        <v>0</v>
      </c>
      <c r="AG100" s="60">
        <f t="shared" si="8"/>
        <v>0</v>
      </c>
      <c r="AH100" s="60">
        <f t="shared" si="9"/>
        <v>0</v>
      </c>
      <c r="AI100" s="60">
        <f t="shared" si="10"/>
        <v>0</v>
      </c>
      <c r="AJ100" s="61">
        <f t="shared" si="11"/>
        <v>0</v>
      </c>
      <c r="AK100" s="151"/>
    </row>
    <row r="101" spans="1:37" ht="26.4">
      <c r="A101">
        <v>97</v>
      </c>
      <c r="B101" s="347">
        <v>596</v>
      </c>
      <c r="C101" s="58" t="s">
        <v>447</v>
      </c>
      <c r="D101" s="84" t="s">
        <v>467</v>
      </c>
      <c r="E101" s="82" t="s">
        <v>472</v>
      </c>
      <c r="F101" s="322">
        <v>16</v>
      </c>
      <c r="G101" s="323">
        <v>16</v>
      </c>
      <c r="H101" s="305">
        <f>COUNTIFS(缺陷明细!$A$2:$A$50000,$B$4,缺陷明细!$G$2:$G$50000,$C101,缺陷明细!$J$2:$J$50000,"评审",缺陷明细!$AA$2:$AA$50000,"&lt;&gt;丢弃",缺陷明细!$AA$2:$AA$50000,"&lt;&gt;设计如此",缺陷明细!$AA$2:$AA$50000,"&lt;&gt;重复Bug")</f>
        <v>0</v>
      </c>
      <c r="I101" s="161">
        <f>COUNTIFS(缺陷明细!$A$2:$A$50000,$B$4,缺陷明细!$G$2:$G$50000,$C101,缺陷明细!$Q$2:$Q$50000,"已关闭",缺陷明细!$J$2:$J$50000,"评审")</f>
        <v>0</v>
      </c>
      <c r="J101" s="161">
        <f>COUNTIFS(缺陷明细!$A$2:$A$50000,$B$4,缺陷明细!$G$2:$G$50000,$C101,缺陷明细!$J$2:$J$50000,"单元测试",缺陷明细!$AA$2:$AA$50000,"&lt;&gt;丢弃",缺陷明细!$AA$2:$AA$50000,"&lt;&gt;设计如此",缺陷明细!$AA$2:$AA$50000,"&lt;&gt;重复Bug")</f>
        <v>0</v>
      </c>
      <c r="K101" s="162">
        <f>COUNTIFS(缺陷明细!$A$2:$A$50000,$B$4,缺陷明细!$G$2:$G$50000,$C101,缺陷明细!$Q$2:$Q$50000,"已关闭",缺陷明细!$J$2:$J$50000,"单元测试")</f>
        <v>0</v>
      </c>
      <c r="L101" s="163"/>
      <c r="M101" s="164"/>
      <c r="N101" s="72">
        <f>COUNTIFS(缺陷明细!$A$2:$A$50000,$B$4,缺陷明细!$G$2:$G$50000,$C101,缺陷明细!$J$2:$J$50000,"系统测试案例评审",缺陷明细!$AA$2:$AA$50000,"&lt;&gt;丢弃",缺陷明细!$AA$2:$AA$50000,"&lt;&gt;设计如此",缺陷明细!$AA$2:$AA$50000,"&lt;&gt;重复Bug")</f>
        <v>0</v>
      </c>
      <c r="O101" s="72">
        <f>COUNTIFS(缺陷明细!$A$2:$A$50000,$B$4,缺陷明细!$G$2:$G$50000,$C101,缺陷明细!$Q$2:$Q$50000,"已关闭",缺陷明细!$J$2:$J$50000,"系统测试案例评审")</f>
        <v>0</v>
      </c>
      <c r="P101" s="72">
        <f>COUNTIFS(缺陷明细!$A$2:$A$50000,$B$4,缺陷明细!$G$2:$G$50000,$C101,缺陷明细!$J$2:$J$50000,"系统测试",缺陷明细!$AA$2:$AA$50000,"&lt;&gt;丢弃",缺陷明细!$AA$2:$AA$50000,"&lt;&gt;设计如此",缺陷明细!$AA$2:$AA$50000,"&lt;&gt;重复Bug")</f>
        <v>0</v>
      </c>
      <c r="Q101" s="72">
        <f>COUNTIFS(缺陷明细!$A$2:$A$50000,$B$4,缺陷明细!$G$2:$G$50000,$C101,缺陷明细!$Q$2:$Q$50000,"已关闭",缺陷明细!$J$2:$J$50000,"系统测试")</f>
        <v>0</v>
      </c>
      <c r="R101" s="354">
        <f>COUNTIFS(缺陷明细!$A$2:$A$50000,$B$4,缺陷明细!$G$2:$G$50000,$C101,缺陷明细!$AA$2:$AA$50000,"丢弃",缺陷明细!$J$2:$J$50000,"系统测试")+COUNTIFS(缺陷明细!$A$2:$A$50000,$B$4,缺陷明细!$G$2:$G$50000,$C101,缺陷明细!$AA$2:$AA$50000,"设计如此",缺陷明细!$J$2:$J$50000,"系统测试")+COUNTIFS(缺陷明细!$A$2:$A$50000,$B$4,缺陷明细!$G$2:$G$50000,$C101,缺陷明细!$AA$2:$AA$50000,"重复Bug",缺陷明细!$J$2:$J$50000,"系统测试")</f>
        <v>0</v>
      </c>
      <c r="S101" s="72">
        <f>COUNTIFS(缺陷明细!$A$2:$A$50000,$B$4,缺陷明细!$G$2:$G$50000,$C101,缺陷明细!$J$2:$J$50000,"系统测试",缺陷明细!$K$2:$K$50000,"致命",缺陷明细!$AA$2:$AA$50000,"&lt;&gt;丢弃",缺陷明细!$AA$2:$AA$50000,"&lt;&gt;设计如此",缺陷明细!$AA$2:$AA$50000,"&lt;&gt;重复Bug")+COUNTIFS(缺陷明细!$A$2:$A$50000,$B$4,缺陷明细!$G$2:$G$50000,$C101,缺陷明细!$J$2:$J$50000,"系统测试",缺陷明细!$K$2:$K$50000,"严重",缺陷明细!$AA$2:$AA$50000,"&lt;&gt;丢弃",缺陷明细!$AA$2:$AA$50000,"&lt;&gt;设计如此",缺陷明细!$AA$2:$AA$50000,"&lt;&gt;重复Bug")</f>
        <v>0</v>
      </c>
      <c r="T101" s="73">
        <f>COUNTIFS(缺陷明细!$A$2:$A$50000,$B$4,缺陷明细!$G$2:$G$50000,$C101,缺陷明细!$Q$2:$Q$50000,"已关闭",缺陷明细!$J$2:$J$50000,"系统测试",缺陷明细!$K$2:$K$50000,"致命")+COUNTIFS(缺陷明细!$A$2:$A$50000,$B$4,缺陷明细!$G$2:$G$50000,$C101,缺陷明细!$Q$2:$Q$50000,"已关闭",缺陷明细!$J$2:$J$50000,"系统测试",缺陷明细!$K$2:$K$50000,"严重")</f>
        <v>0</v>
      </c>
      <c r="U101" s="74">
        <f>COUNTIFS(缺陷明细!$A$2:$A$50000,$B$4,缺陷明细!$G$2:$G$50000,$C101,缺陷明细!$J$2:$J$50000,"验收测试",缺陷明细!$AA$2:$AA$50000,"&lt;&gt;丢弃",缺陷明细!$AA$2:$AA$50000,"&lt;&gt;设计如此",缺陷明细!$AA$2:$AA$50000,"&lt;&gt;重复Bug")</f>
        <v>0</v>
      </c>
      <c r="V101" s="75">
        <f>COUNTIFS(缺陷明细!$A$2:$A$50000,$B$4,缺陷明细!$G$2:$G$50000,$C101,缺陷明细!$Q$2:$Q$50000,"已关闭",缺陷明细!$J$2:$J$50000,"验收测试")</f>
        <v>0</v>
      </c>
      <c r="W101" s="75">
        <f>COUNTIFS(缺陷明细!$A$2:$A$50000,$B$4,缺陷明细!$G$2:$G$50000,$C101,缺陷明细!$J$2:$J$50000,"验收测试",缺陷明细!$K$2:$K$50000,"致命",缺陷明细!$AA$2:$AA$50000,"&lt;&gt;丢弃",缺陷明细!$AA$2:$AA$50000,"&lt;&gt;设计如此",缺陷明细!$AA$2:$AA$50000,"&lt;&gt;重复Bug")+COUNTIFS(缺陷明细!$A$2:$A$50000,$B$4,缺陷明细!$G$2:$G$50000,$C101,缺陷明细!$J$2:$J$50000,"验收测试",缺陷明细!$K$2:$K$50000,"严重",缺陷明细!$AA$2:$AA$50000,"&lt;&gt;丢弃",缺陷明细!$AA$2:$AA$50000,"&lt;&gt;设计如此",缺陷明细!$AA$2:$AA$50000,"&lt;&gt;重复Bug")</f>
        <v>0</v>
      </c>
      <c r="X101" s="76">
        <f>COUNTIFS(缺陷明细!$A$2:$A$50000,$B$4,缺陷明细!$G$2:$G$50000,$C101,缺陷明细!$Q$2:$Q$50000,"已关闭",缺陷明细!$J$2:$J$50000,"验收测试",缺陷明细!$K$2:$K$50000,"致命")+COUNTIFS(缺陷明细!$A$2:$A$50000,$B$4,缺陷明细!$G$2:$G$50000,$C101,缺陷明细!$Q$2:$Q$50000,"已关闭",缺陷明细!$J$2:$J$50000,"验收测试",缺陷明细!$K$2:$K$50000,"严重")</f>
        <v>0</v>
      </c>
      <c r="Y101" s="70">
        <f>COUNTIFS(缺陷明细!$A$2:$A$50000,$B$4,缺陷明细!$G$2:$G$50000,$C101,缺陷明细!$J$2:$J$50000,"运维测试",缺陷明细!$AA$2:$AA$50000,"&lt;&gt;丢弃",缺陷明细!$AA$2:$AA$50000,"&lt;&gt;设计如此",缺陷明细!$AA$2:$AA$50000,"&lt;&gt;重复Bug")</f>
        <v>0</v>
      </c>
      <c r="Z101" s="71">
        <f>COUNTIFS(缺陷明细!$A$2:$A$50000,$B$4,缺陷明细!$G$2:$G$50000,$C101,缺陷明细!$Q$2:$Q$50000,"已关闭",缺陷明细!$J$2:$J$50000,"运维测试")</f>
        <v>0</v>
      </c>
      <c r="AA101" s="72">
        <f>COUNTIFS(缺陷明细!$A$2:$A$50000,$B$4,缺陷明细!$G$2:$G$50000,$C101,缺陷明细!$J$2:$J$50000,"运维测试",缺陷明细!$K$2:$K$50000,"致命",缺陷明细!$AA$2:$AA$50000,"&lt;&gt;丢弃",缺陷明细!$AA$2:$AA$50000,"&lt;&gt;设计如此",缺陷明细!$AA$2:$AA$50000,"&lt;&gt;重复Bug")+COUNTIFS(缺陷明细!$A$2:$A$50000,$B$4,缺陷明细!$G$2:$G$50000,$C101,缺陷明细!$J$2:$J$50000,"运维测试",缺陷明细!$K$2:$K$50000,"严重",缺陷明细!$AA$2:$AA$50000,"&lt;&gt;丢弃",缺陷明细!$AA$2:$AA$50000,"&lt;&gt;设计如此",缺陷明细!$AA$2:$AA$50000,"&lt;&gt;重复Bug")</f>
        <v>0</v>
      </c>
      <c r="AB101" s="73">
        <f>COUNTIFS(缺陷明细!$A$2:$A$50000,$B$4,缺陷明细!$G$2:$G$50000,$C101,缺陷明细!$Q$2:$Q$50000,"已关闭",缺陷明细!$J$2:$J$50000,"运维测试",缺陷明细!$K$2:$K$50000,"致命")+COUNTIFS(缺陷明细!$A$2:$A$50000,$B$4,缺陷明细!$G$2:$G$50000,$C101,缺陷明细!$Q$2:$Q$50000,"已关闭",缺陷明细!$J$2:$J$50000,"运维测试",缺陷明细!$K$2:$K$50000,"严重")</f>
        <v>0</v>
      </c>
      <c r="AC101" s="68">
        <f t="shared" si="4"/>
        <v>0</v>
      </c>
      <c r="AD101" s="60">
        <f t="shared" si="5"/>
        <v>0</v>
      </c>
      <c r="AE101" s="60">
        <f t="shared" si="6"/>
        <v>0</v>
      </c>
      <c r="AF101" s="60">
        <f t="shared" si="7"/>
        <v>0</v>
      </c>
      <c r="AG101" s="60">
        <f t="shared" si="8"/>
        <v>0</v>
      </c>
      <c r="AH101" s="60">
        <f t="shared" si="9"/>
        <v>0</v>
      </c>
      <c r="AI101" s="60">
        <f t="shared" si="10"/>
        <v>0</v>
      </c>
      <c r="AJ101" s="61">
        <f t="shared" si="11"/>
        <v>0</v>
      </c>
      <c r="AK101" s="151"/>
    </row>
    <row r="102" spans="1:37">
      <c r="A102">
        <v>98</v>
      </c>
      <c r="B102" s="347">
        <v>597</v>
      </c>
      <c r="C102" s="58" t="s">
        <v>448</v>
      </c>
      <c r="D102" s="84" t="s">
        <v>467</v>
      </c>
      <c r="E102" s="82" t="s">
        <v>472</v>
      </c>
      <c r="F102" s="322">
        <v>8</v>
      </c>
      <c r="G102" s="323">
        <v>8</v>
      </c>
      <c r="H102" s="305">
        <f>COUNTIFS(缺陷明细!$A$2:$A$50000,$B$4,缺陷明细!$G$2:$G$50000,$C102,缺陷明细!$J$2:$J$50000,"评审",缺陷明细!$AA$2:$AA$50000,"&lt;&gt;丢弃",缺陷明细!$AA$2:$AA$50000,"&lt;&gt;设计如此",缺陷明细!$AA$2:$AA$50000,"&lt;&gt;重复Bug")</f>
        <v>0</v>
      </c>
      <c r="I102" s="161">
        <f>COUNTIFS(缺陷明细!$A$2:$A$50000,$B$4,缺陷明细!$G$2:$G$50000,$C102,缺陷明细!$Q$2:$Q$50000,"已关闭",缺陷明细!$J$2:$J$50000,"评审")</f>
        <v>0</v>
      </c>
      <c r="J102" s="161">
        <f>COUNTIFS(缺陷明细!$A$2:$A$50000,$B$4,缺陷明细!$G$2:$G$50000,$C102,缺陷明细!$J$2:$J$50000,"单元测试",缺陷明细!$AA$2:$AA$50000,"&lt;&gt;丢弃",缺陷明细!$AA$2:$AA$50000,"&lt;&gt;设计如此",缺陷明细!$AA$2:$AA$50000,"&lt;&gt;重复Bug")</f>
        <v>0</v>
      </c>
      <c r="K102" s="162">
        <f>COUNTIFS(缺陷明细!$A$2:$A$50000,$B$4,缺陷明细!$G$2:$G$50000,$C102,缺陷明细!$Q$2:$Q$50000,"已关闭",缺陷明细!$J$2:$J$50000,"单元测试")</f>
        <v>0</v>
      </c>
      <c r="L102" s="163"/>
      <c r="M102" s="164"/>
      <c r="N102" s="72">
        <f>COUNTIFS(缺陷明细!$A$2:$A$50000,$B$4,缺陷明细!$G$2:$G$50000,$C102,缺陷明细!$J$2:$J$50000,"系统测试案例评审",缺陷明细!$AA$2:$AA$50000,"&lt;&gt;丢弃",缺陷明细!$AA$2:$AA$50000,"&lt;&gt;设计如此",缺陷明细!$AA$2:$AA$50000,"&lt;&gt;重复Bug")</f>
        <v>0</v>
      </c>
      <c r="O102" s="72">
        <f>COUNTIFS(缺陷明细!$A$2:$A$50000,$B$4,缺陷明细!$G$2:$G$50000,$C102,缺陷明细!$Q$2:$Q$50000,"已关闭",缺陷明细!$J$2:$J$50000,"系统测试案例评审")</f>
        <v>0</v>
      </c>
      <c r="P102" s="72">
        <f>COUNTIFS(缺陷明细!$A$2:$A$50000,$B$4,缺陷明细!$G$2:$G$50000,$C102,缺陷明细!$J$2:$J$50000,"系统测试",缺陷明细!$AA$2:$AA$50000,"&lt;&gt;丢弃",缺陷明细!$AA$2:$AA$50000,"&lt;&gt;设计如此",缺陷明细!$AA$2:$AA$50000,"&lt;&gt;重复Bug")</f>
        <v>0</v>
      </c>
      <c r="Q102" s="72">
        <f>COUNTIFS(缺陷明细!$A$2:$A$50000,$B$4,缺陷明细!$G$2:$G$50000,$C102,缺陷明细!$Q$2:$Q$50000,"已关闭",缺陷明细!$J$2:$J$50000,"系统测试")</f>
        <v>0</v>
      </c>
      <c r="R102" s="354">
        <f>COUNTIFS(缺陷明细!$A$2:$A$50000,$B$4,缺陷明细!$G$2:$G$50000,$C102,缺陷明细!$AA$2:$AA$50000,"丢弃",缺陷明细!$J$2:$J$50000,"系统测试")+COUNTIFS(缺陷明细!$A$2:$A$50000,$B$4,缺陷明细!$G$2:$G$50000,$C102,缺陷明细!$AA$2:$AA$50000,"设计如此",缺陷明细!$J$2:$J$50000,"系统测试")+COUNTIFS(缺陷明细!$A$2:$A$50000,$B$4,缺陷明细!$G$2:$G$50000,$C102,缺陷明细!$AA$2:$AA$50000,"重复Bug",缺陷明细!$J$2:$J$50000,"系统测试")</f>
        <v>0</v>
      </c>
      <c r="S102" s="72">
        <f>COUNTIFS(缺陷明细!$A$2:$A$50000,$B$4,缺陷明细!$G$2:$G$50000,$C102,缺陷明细!$J$2:$J$50000,"系统测试",缺陷明细!$K$2:$K$50000,"致命",缺陷明细!$AA$2:$AA$50000,"&lt;&gt;丢弃",缺陷明细!$AA$2:$AA$50000,"&lt;&gt;设计如此",缺陷明细!$AA$2:$AA$50000,"&lt;&gt;重复Bug")+COUNTIFS(缺陷明细!$A$2:$A$50000,$B$4,缺陷明细!$G$2:$G$50000,$C102,缺陷明细!$J$2:$J$50000,"系统测试",缺陷明细!$K$2:$K$50000,"严重",缺陷明细!$AA$2:$AA$50000,"&lt;&gt;丢弃",缺陷明细!$AA$2:$AA$50000,"&lt;&gt;设计如此",缺陷明细!$AA$2:$AA$50000,"&lt;&gt;重复Bug")</f>
        <v>0</v>
      </c>
      <c r="T102" s="73">
        <f>COUNTIFS(缺陷明细!$A$2:$A$50000,$B$4,缺陷明细!$G$2:$G$50000,$C102,缺陷明细!$Q$2:$Q$50000,"已关闭",缺陷明细!$J$2:$J$50000,"系统测试",缺陷明细!$K$2:$K$50000,"致命")+COUNTIFS(缺陷明细!$A$2:$A$50000,$B$4,缺陷明细!$G$2:$G$50000,$C102,缺陷明细!$Q$2:$Q$50000,"已关闭",缺陷明细!$J$2:$J$50000,"系统测试",缺陷明细!$K$2:$K$50000,"严重")</f>
        <v>0</v>
      </c>
      <c r="U102" s="74">
        <f>COUNTIFS(缺陷明细!$A$2:$A$50000,$B$4,缺陷明细!$G$2:$G$50000,$C102,缺陷明细!$J$2:$J$50000,"验收测试",缺陷明细!$AA$2:$AA$50000,"&lt;&gt;丢弃",缺陷明细!$AA$2:$AA$50000,"&lt;&gt;设计如此",缺陷明细!$AA$2:$AA$50000,"&lt;&gt;重复Bug")</f>
        <v>0</v>
      </c>
      <c r="V102" s="75">
        <f>COUNTIFS(缺陷明细!$A$2:$A$50000,$B$4,缺陷明细!$G$2:$G$50000,$C102,缺陷明细!$Q$2:$Q$50000,"已关闭",缺陷明细!$J$2:$J$50000,"验收测试")</f>
        <v>0</v>
      </c>
      <c r="W102" s="75">
        <f>COUNTIFS(缺陷明细!$A$2:$A$50000,$B$4,缺陷明细!$G$2:$G$50000,$C102,缺陷明细!$J$2:$J$50000,"验收测试",缺陷明细!$K$2:$K$50000,"致命",缺陷明细!$AA$2:$AA$50000,"&lt;&gt;丢弃",缺陷明细!$AA$2:$AA$50000,"&lt;&gt;设计如此",缺陷明细!$AA$2:$AA$50000,"&lt;&gt;重复Bug")+COUNTIFS(缺陷明细!$A$2:$A$50000,$B$4,缺陷明细!$G$2:$G$50000,$C102,缺陷明细!$J$2:$J$50000,"验收测试",缺陷明细!$K$2:$K$50000,"严重",缺陷明细!$AA$2:$AA$50000,"&lt;&gt;丢弃",缺陷明细!$AA$2:$AA$50000,"&lt;&gt;设计如此",缺陷明细!$AA$2:$AA$50000,"&lt;&gt;重复Bug")</f>
        <v>0</v>
      </c>
      <c r="X102" s="76">
        <f>COUNTIFS(缺陷明细!$A$2:$A$50000,$B$4,缺陷明细!$G$2:$G$50000,$C102,缺陷明细!$Q$2:$Q$50000,"已关闭",缺陷明细!$J$2:$J$50000,"验收测试",缺陷明细!$K$2:$K$50000,"致命")+COUNTIFS(缺陷明细!$A$2:$A$50000,$B$4,缺陷明细!$G$2:$G$50000,$C102,缺陷明细!$Q$2:$Q$50000,"已关闭",缺陷明细!$J$2:$J$50000,"验收测试",缺陷明细!$K$2:$K$50000,"严重")</f>
        <v>0</v>
      </c>
      <c r="Y102" s="70">
        <f>COUNTIFS(缺陷明细!$A$2:$A$50000,$B$4,缺陷明细!$G$2:$G$50000,$C102,缺陷明细!$J$2:$J$50000,"运维测试",缺陷明细!$AA$2:$AA$50000,"&lt;&gt;丢弃",缺陷明细!$AA$2:$AA$50000,"&lt;&gt;设计如此",缺陷明细!$AA$2:$AA$50000,"&lt;&gt;重复Bug")</f>
        <v>0</v>
      </c>
      <c r="Z102" s="71">
        <f>COUNTIFS(缺陷明细!$A$2:$A$50000,$B$4,缺陷明细!$G$2:$G$50000,$C102,缺陷明细!$Q$2:$Q$50000,"已关闭",缺陷明细!$J$2:$J$50000,"运维测试")</f>
        <v>0</v>
      </c>
      <c r="AA102" s="72">
        <f>COUNTIFS(缺陷明细!$A$2:$A$50000,$B$4,缺陷明细!$G$2:$G$50000,$C102,缺陷明细!$J$2:$J$50000,"运维测试",缺陷明细!$K$2:$K$50000,"致命",缺陷明细!$AA$2:$AA$50000,"&lt;&gt;丢弃",缺陷明细!$AA$2:$AA$50000,"&lt;&gt;设计如此",缺陷明细!$AA$2:$AA$50000,"&lt;&gt;重复Bug")+COUNTIFS(缺陷明细!$A$2:$A$50000,$B$4,缺陷明细!$G$2:$G$50000,$C102,缺陷明细!$J$2:$J$50000,"运维测试",缺陷明细!$K$2:$K$50000,"严重",缺陷明细!$AA$2:$AA$50000,"&lt;&gt;丢弃",缺陷明细!$AA$2:$AA$50000,"&lt;&gt;设计如此",缺陷明细!$AA$2:$AA$50000,"&lt;&gt;重复Bug")</f>
        <v>0</v>
      </c>
      <c r="AB102" s="73">
        <f>COUNTIFS(缺陷明细!$A$2:$A$50000,$B$4,缺陷明细!$G$2:$G$50000,$C102,缺陷明细!$Q$2:$Q$50000,"已关闭",缺陷明细!$J$2:$J$50000,"运维测试",缺陷明细!$K$2:$K$50000,"致命")+COUNTIFS(缺陷明细!$A$2:$A$50000,$B$4,缺陷明细!$G$2:$G$50000,$C102,缺陷明细!$Q$2:$Q$50000,"已关闭",缺陷明细!$J$2:$J$50000,"运维测试",缺陷明细!$K$2:$K$50000,"严重")</f>
        <v>0</v>
      </c>
      <c r="AC102" s="68">
        <f t="shared" si="4"/>
        <v>0</v>
      </c>
      <c r="AD102" s="60">
        <f t="shared" si="5"/>
        <v>0</v>
      </c>
      <c r="AE102" s="60">
        <f t="shared" si="6"/>
        <v>0</v>
      </c>
      <c r="AF102" s="60">
        <f t="shared" si="7"/>
        <v>0</v>
      </c>
      <c r="AG102" s="60">
        <f t="shared" si="8"/>
        <v>0</v>
      </c>
      <c r="AH102" s="60">
        <f t="shared" si="9"/>
        <v>0</v>
      </c>
      <c r="AI102" s="60">
        <f t="shared" si="10"/>
        <v>0</v>
      </c>
      <c r="AJ102" s="61">
        <f t="shared" si="11"/>
        <v>0</v>
      </c>
      <c r="AK102" s="151"/>
    </row>
    <row r="103" spans="1:37">
      <c r="A103">
        <v>99</v>
      </c>
      <c r="B103" s="347">
        <v>598</v>
      </c>
      <c r="C103" s="58" t="s">
        <v>449</v>
      </c>
      <c r="D103" s="84" t="s">
        <v>467</v>
      </c>
      <c r="E103" s="82" t="s">
        <v>472</v>
      </c>
      <c r="F103" s="322">
        <v>0</v>
      </c>
      <c r="G103" s="323">
        <v>13</v>
      </c>
      <c r="H103" s="305">
        <f>COUNTIFS(缺陷明细!$A$2:$A$50000,$B$4,缺陷明细!$G$2:$G$50000,$C103,缺陷明细!$J$2:$J$50000,"评审",缺陷明细!$AA$2:$AA$50000,"&lt;&gt;丢弃",缺陷明细!$AA$2:$AA$50000,"&lt;&gt;设计如此",缺陷明细!$AA$2:$AA$50000,"&lt;&gt;重复Bug")</f>
        <v>0</v>
      </c>
      <c r="I103" s="161">
        <f>COUNTIFS(缺陷明细!$A$2:$A$50000,$B$4,缺陷明细!$G$2:$G$50000,$C103,缺陷明细!$Q$2:$Q$50000,"已关闭",缺陷明细!$J$2:$J$50000,"评审")</f>
        <v>0</v>
      </c>
      <c r="J103" s="161">
        <f>COUNTIFS(缺陷明细!$A$2:$A$50000,$B$4,缺陷明细!$G$2:$G$50000,$C103,缺陷明细!$J$2:$J$50000,"单元测试",缺陷明细!$AA$2:$AA$50000,"&lt;&gt;丢弃",缺陷明细!$AA$2:$AA$50000,"&lt;&gt;设计如此",缺陷明细!$AA$2:$AA$50000,"&lt;&gt;重复Bug")</f>
        <v>0</v>
      </c>
      <c r="K103" s="162">
        <f>COUNTIFS(缺陷明细!$A$2:$A$50000,$B$4,缺陷明细!$G$2:$G$50000,$C103,缺陷明细!$Q$2:$Q$50000,"已关闭",缺陷明细!$J$2:$J$50000,"单元测试")</f>
        <v>0</v>
      </c>
      <c r="L103" s="163"/>
      <c r="M103" s="164"/>
      <c r="N103" s="72">
        <f>COUNTIFS(缺陷明细!$A$2:$A$50000,$B$4,缺陷明细!$G$2:$G$50000,$C103,缺陷明细!$J$2:$J$50000,"系统测试案例评审",缺陷明细!$AA$2:$AA$50000,"&lt;&gt;丢弃",缺陷明细!$AA$2:$AA$50000,"&lt;&gt;设计如此",缺陷明细!$AA$2:$AA$50000,"&lt;&gt;重复Bug")</f>
        <v>0</v>
      </c>
      <c r="O103" s="72">
        <f>COUNTIFS(缺陷明细!$A$2:$A$50000,$B$4,缺陷明细!$G$2:$G$50000,$C103,缺陷明细!$Q$2:$Q$50000,"已关闭",缺陷明细!$J$2:$J$50000,"系统测试案例评审")</f>
        <v>0</v>
      </c>
      <c r="P103" s="72">
        <f>COUNTIFS(缺陷明细!$A$2:$A$50000,$B$4,缺陷明细!$G$2:$G$50000,$C103,缺陷明细!$J$2:$J$50000,"系统测试",缺陷明细!$AA$2:$AA$50000,"&lt;&gt;丢弃",缺陷明细!$AA$2:$AA$50000,"&lt;&gt;设计如此",缺陷明细!$AA$2:$AA$50000,"&lt;&gt;重复Bug")</f>
        <v>0</v>
      </c>
      <c r="Q103" s="72">
        <f>COUNTIFS(缺陷明细!$A$2:$A$50000,$B$4,缺陷明细!$G$2:$G$50000,$C103,缺陷明细!$Q$2:$Q$50000,"已关闭",缺陷明细!$J$2:$J$50000,"系统测试")</f>
        <v>0</v>
      </c>
      <c r="R103" s="354">
        <f>COUNTIFS(缺陷明细!$A$2:$A$50000,$B$4,缺陷明细!$G$2:$G$50000,$C103,缺陷明细!$AA$2:$AA$50000,"丢弃",缺陷明细!$J$2:$J$50000,"系统测试")+COUNTIFS(缺陷明细!$A$2:$A$50000,$B$4,缺陷明细!$G$2:$G$50000,$C103,缺陷明细!$AA$2:$AA$50000,"设计如此",缺陷明细!$J$2:$J$50000,"系统测试")+COUNTIFS(缺陷明细!$A$2:$A$50000,$B$4,缺陷明细!$G$2:$G$50000,$C103,缺陷明细!$AA$2:$AA$50000,"重复Bug",缺陷明细!$J$2:$J$50000,"系统测试")</f>
        <v>0</v>
      </c>
      <c r="S103" s="72">
        <f>COUNTIFS(缺陷明细!$A$2:$A$50000,$B$4,缺陷明细!$G$2:$G$50000,$C103,缺陷明细!$J$2:$J$50000,"系统测试",缺陷明细!$K$2:$K$50000,"致命",缺陷明细!$AA$2:$AA$50000,"&lt;&gt;丢弃",缺陷明细!$AA$2:$AA$50000,"&lt;&gt;设计如此",缺陷明细!$AA$2:$AA$50000,"&lt;&gt;重复Bug")+COUNTIFS(缺陷明细!$A$2:$A$50000,$B$4,缺陷明细!$G$2:$G$50000,$C103,缺陷明细!$J$2:$J$50000,"系统测试",缺陷明细!$K$2:$K$50000,"严重",缺陷明细!$AA$2:$AA$50000,"&lt;&gt;丢弃",缺陷明细!$AA$2:$AA$50000,"&lt;&gt;设计如此",缺陷明细!$AA$2:$AA$50000,"&lt;&gt;重复Bug")</f>
        <v>0</v>
      </c>
      <c r="T103" s="73">
        <f>COUNTIFS(缺陷明细!$A$2:$A$50000,$B$4,缺陷明细!$G$2:$G$50000,$C103,缺陷明细!$Q$2:$Q$50000,"已关闭",缺陷明细!$J$2:$J$50000,"系统测试",缺陷明细!$K$2:$K$50000,"致命")+COUNTIFS(缺陷明细!$A$2:$A$50000,$B$4,缺陷明细!$G$2:$G$50000,$C103,缺陷明细!$Q$2:$Q$50000,"已关闭",缺陷明细!$J$2:$J$50000,"系统测试",缺陷明细!$K$2:$K$50000,"严重")</f>
        <v>0</v>
      </c>
      <c r="U103" s="74">
        <f>COUNTIFS(缺陷明细!$A$2:$A$50000,$B$4,缺陷明细!$G$2:$G$50000,$C103,缺陷明细!$J$2:$J$50000,"验收测试",缺陷明细!$AA$2:$AA$50000,"&lt;&gt;丢弃",缺陷明细!$AA$2:$AA$50000,"&lt;&gt;设计如此",缺陷明细!$AA$2:$AA$50000,"&lt;&gt;重复Bug")</f>
        <v>0</v>
      </c>
      <c r="V103" s="75">
        <f>COUNTIFS(缺陷明细!$A$2:$A$50000,$B$4,缺陷明细!$G$2:$G$50000,$C103,缺陷明细!$Q$2:$Q$50000,"已关闭",缺陷明细!$J$2:$J$50000,"验收测试")</f>
        <v>0</v>
      </c>
      <c r="W103" s="75">
        <f>COUNTIFS(缺陷明细!$A$2:$A$50000,$B$4,缺陷明细!$G$2:$G$50000,$C103,缺陷明细!$J$2:$J$50000,"验收测试",缺陷明细!$K$2:$K$50000,"致命",缺陷明细!$AA$2:$AA$50000,"&lt;&gt;丢弃",缺陷明细!$AA$2:$AA$50000,"&lt;&gt;设计如此",缺陷明细!$AA$2:$AA$50000,"&lt;&gt;重复Bug")+COUNTIFS(缺陷明细!$A$2:$A$50000,$B$4,缺陷明细!$G$2:$G$50000,$C103,缺陷明细!$J$2:$J$50000,"验收测试",缺陷明细!$K$2:$K$50000,"严重",缺陷明细!$AA$2:$AA$50000,"&lt;&gt;丢弃",缺陷明细!$AA$2:$AA$50000,"&lt;&gt;设计如此",缺陷明细!$AA$2:$AA$50000,"&lt;&gt;重复Bug")</f>
        <v>0</v>
      </c>
      <c r="X103" s="76">
        <f>COUNTIFS(缺陷明细!$A$2:$A$50000,$B$4,缺陷明细!$G$2:$G$50000,$C103,缺陷明细!$Q$2:$Q$50000,"已关闭",缺陷明细!$J$2:$J$50000,"验收测试",缺陷明细!$K$2:$K$50000,"致命")+COUNTIFS(缺陷明细!$A$2:$A$50000,$B$4,缺陷明细!$G$2:$G$50000,$C103,缺陷明细!$Q$2:$Q$50000,"已关闭",缺陷明细!$J$2:$J$50000,"验收测试",缺陷明细!$K$2:$K$50000,"严重")</f>
        <v>0</v>
      </c>
      <c r="Y103" s="70">
        <f>COUNTIFS(缺陷明细!$A$2:$A$50000,$B$4,缺陷明细!$G$2:$G$50000,$C103,缺陷明细!$J$2:$J$50000,"运维测试",缺陷明细!$AA$2:$AA$50000,"&lt;&gt;丢弃",缺陷明细!$AA$2:$AA$50000,"&lt;&gt;设计如此",缺陷明细!$AA$2:$AA$50000,"&lt;&gt;重复Bug")</f>
        <v>0</v>
      </c>
      <c r="Z103" s="71">
        <f>COUNTIFS(缺陷明细!$A$2:$A$50000,$B$4,缺陷明细!$G$2:$G$50000,$C103,缺陷明细!$Q$2:$Q$50000,"已关闭",缺陷明细!$J$2:$J$50000,"运维测试")</f>
        <v>0</v>
      </c>
      <c r="AA103" s="72">
        <f>COUNTIFS(缺陷明细!$A$2:$A$50000,$B$4,缺陷明细!$G$2:$G$50000,$C103,缺陷明细!$J$2:$J$50000,"运维测试",缺陷明细!$K$2:$K$50000,"致命",缺陷明细!$AA$2:$AA$50000,"&lt;&gt;丢弃",缺陷明细!$AA$2:$AA$50000,"&lt;&gt;设计如此",缺陷明细!$AA$2:$AA$50000,"&lt;&gt;重复Bug")+COUNTIFS(缺陷明细!$A$2:$A$50000,$B$4,缺陷明细!$G$2:$G$50000,$C103,缺陷明细!$J$2:$J$50000,"运维测试",缺陷明细!$K$2:$K$50000,"严重",缺陷明细!$AA$2:$AA$50000,"&lt;&gt;丢弃",缺陷明细!$AA$2:$AA$50000,"&lt;&gt;设计如此",缺陷明细!$AA$2:$AA$50000,"&lt;&gt;重复Bug")</f>
        <v>0</v>
      </c>
      <c r="AB103" s="73">
        <f>COUNTIFS(缺陷明细!$A$2:$A$50000,$B$4,缺陷明细!$G$2:$G$50000,$C103,缺陷明细!$Q$2:$Q$50000,"已关闭",缺陷明细!$J$2:$J$50000,"运维测试",缺陷明细!$K$2:$K$50000,"致命")+COUNTIFS(缺陷明细!$A$2:$A$50000,$B$4,缺陷明细!$G$2:$G$50000,$C103,缺陷明细!$Q$2:$Q$50000,"已关闭",缺陷明细!$J$2:$J$50000,"运维测试",缺陷明细!$K$2:$K$50000,"严重")</f>
        <v>0</v>
      </c>
      <c r="AC103" s="68">
        <f t="shared" si="4"/>
        <v>0</v>
      </c>
      <c r="AD103" s="60">
        <f t="shared" si="5"/>
        <v>0</v>
      </c>
      <c r="AE103" s="60">
        <f t="shared" si="6"/>
        <v>0</v>
      </c>
      <c r="AF103" s="60">
        <f t="shared" si="7"/>
        <v>0</v>
      </c>
      <c r="AG103" s="60">
        <f t="shared" si="8"/>
        <v>0</v>
      </c>
      <c r="AH103" s="60">
        <f t="shared" si="9"/>
        <v>0</v>
      </c>
      <c r="AI103" s="60">
        <f t="shared" si="10"/>
        <v>0</v>
      </c>
      <c r="AJ103" s="61">
        <f t="shared" si="11"/>
        <v>0</v>
      </c>
      <c r="AK103" s="151"/>
    </row>
    <row r="104" spans="1:37">
      <c r="A104">
        <v>100</v>
      </c>
      <c r="B104" s="347">
        <v>599</v>
      </c>
      <c r="C104" s="58" t="s">
        <v>450</v>
      </c>
      <c r="D104" s="84" t="s">
        <v>467</v>
      </c>
      <c r="E104" s="82" t="s">
        <v>472</v>
      </c>
      <c r="F104" s="322">
        <v>4</v>
      </c>
      <c r="G104" s="323">
        <v>4</v>
      </c>
      <c r="H104" s="305">
        <f>COUNTIFS(缺陷明细!$A$2:$A$50000,$B$4,缺陷明细!$G$2:$G$50000,$C104,缺陷明细!$J$2:$J$50000,"评审",缺陷明细!$AA$2:$AA$50000,"&lt;&gt;丢弃",缺陷明细!$AA$2:$AA$50000,"&lt;&gt;设计如此",缺陷明细!$AA$2:$AA$50000,"&lt;&gt;重复Bug")</f>
        <v>0</v>
      </c>
      <c r="I104" s="161">
        <f>COUNTIFS(缺陷明细!$A$2:$A$50000,$B$4,缺陷明细!$G$2:$G$50000,$C104,缺陷明细!$Q$2:$Q$50000,"已关闭",缺陷明细!$J$2:$J$50000,"评审")</f>
        <v>0</v>
      </c>
      <c r="J104" s="161">
        <f>COUNTIFS(缺陷明细!$A$2:$A$50000,$B$4,缺陷明细!$G$2:$G$50000,$C104,缺陷明细!$J$2:$J$50000,"单元测试",缺陷明细!$AA$2:$AA$50000,"&lt;&gt;丢弃",缺陷明细!$AA$2:$AA$50000,"&lt;&gt;设计如此",缺陷明细!$AA$2:$AA$50000,"&lt;&gt;重复Bug")</f>
        <v>0</v>
      </c>
      <c r="K104" s="162">
        <f>COUNTIFS(缺陷明细!$A$2:$A$50000,$B$4,缺陷明细!$G$2:$G$50000,$C104,缺陷明细!$Q$2:$Q$50000,"已关闭",缺陷明细!$J$2:$J$50000,"单元测试")</f>
        <v>0</v>
      </c>
      <c r="L104" s="163"/>
      <c r="M104" s="164"/>
      <c r="N104" s="72">
        <f>COUNTIFS(缺陷明细!$A$2:$A$50000,$B$4,缺陷明细!$G$2:$G$50000,$C104,缺陷明细!$J$2:$J$50000,"系统测试案例评审",缺陷明细!$AA$2:$AA$50000,"&lt;&gt;丢弃",缺陷明细!$AA$2:$AA$50000,"&lt;&gt;设计如此",缺陷明细!$AA$2:$AA$50000,"&lt;&gt;重复Bug")</f>
        <v>0</v>
      </c>
      <c r="O104" s="72">
        <f>COUNTIFS(缺陷明细!$A$2:$A$50000,$B$4,缺陷明细!$G$2:$G$50000,$C104,缺陷明细!$Q$2:$Q$50000,"已关闭",缺陷明细!$J$2:$J$50000,"系统测试案例评审")</f>
        <v>0</v>
      </c>
      <c r="P104" s="72">
        <f>COUNTIFS(缺陷明细!$A$2:$A$50000,$B$4,缺陷明细!$G$2:$G$50000,$C104,缺陷明细!$J$2:$J$50000,"系统测试",缺陷明细!$AA$2:$AA$50000,"&lt;&gt;丢弃",缺陷明细!$AA$2:$AA$50000,"&lt;&gt;设计如此",缺陷明细!$AA$2:$AA$50000,"&lt;&gt;重复Bug")</f>
        <v>0</v>
      </c>
      <c r="Q104" s="72">
        <f>COUNTIFS(缺陷明细!$A$2:$A$50000,$B$4,缺陷明细!$G$2:$G$50000,$C104,缺陷明细!$Q$2:$Q$50000,"已关闭",缺陷明细!$J$2:$J$50000,"系统测试")</f>
        <v>0</v>
      </c>
      <c r="R104" s="354">
        <f>COUNTIFS(缺陷明细!$A$2:$A$50000,$B$4,缺陷明细!$G$2:$G$50000,$C104,缺陷明细!$AA$2:$AA$50000,"丢弃",缺陷明细!$J$2:$J$50000,"系统测试")+COUNTIFS(缺陷明细!$A$2:$A$50000,$B$4,缺陷明细!$G$2:$G$50000,$C104,缺陷明细!$AA$2:$AA$50000,"设计如此",缺陷明细!$J$2:$J$50000,"系统测试")+COUNTIFS(缺陷明细!$A$2:$A$50000,$B$4,缺陷明细!$G$2:$G$50000,$C104,缺陷明细!$AA$2:$AA$50000,"重复Bug",缺陷明细!$J$2:$J$50000,"系统测试")</f>
        <v>0</v>
      </c>
      <c r="S104" s="72">
        <f>COUNTIFS(缺陷明细!$A$2:$A$50000,$B$4,缺陷明细!$G$2:$G$50000,$C104,缺陷明细!$J$2:$J$50000,"系统测试",缺陷明细!$K$2:$K$50000,"致命",缺陷明细!$AA$2:$AA$50000,"&lt;&gt;丢弃",缺陷明细!$AA$2:$AA$50000,"&lt;&gt;设计如此",缺陷明细!$AA$2:$AA$50000,"&lt;&gt;重复Bug")+COUNTIFS(缺陷明细!$A$2:$A$50000,$B$4,缺陷明细!$G$2:$G$50000,$C104,缺陷明细!$J$2:$J$50000,"系统测试",缺陷明细!$K$2:$K$50000,"严重",缺陷明细!$AA$2:$AA$50000,"&lt;&gt;丢弃",缺陷明细!$AA$2:$AA$50000,"&lt;&gt;设计如此",缺陷明细!$AA$2:$AA$50000,"&lt;&gt;重复Bug")</f>
        <v>0</v>
      </c>
      <c r="T104" s="73">
        <f>COUNTIFS(缺陷明细!$A$2:$A$50000,$B$4,缺陷明细!$G$2:$G$50000,$C104,缺陷明细!$Q$2:$Q$50000,"已关闭",缺陷明细!$J$2:$J$50000,"系统测试",缺陷明细!$K$2:$K$50000,"致命")+COUNTIFS(缺陷明细!$A$2:$A$50000,$B$4,缺陷明细!$G$2:$G$50000,$C104,缺陷明细!$Q$2:$Q$50000,"已关闭",缺陷明细!$J$2:$J$50000,"系统测试",缺陷明细!$K$2:$K$50000,"严重")</f>
        <v>0</v>
      </c>
      <c r="U104" s="74">
        <f>COUNTIFS(缺陷明细!$A$2:$A$50000,$B$4,缺陷明细!$G$2:$G$50000,$C104,缺陷明细!$J$2:$J$50000,"验收测试",缺陷明细!$AA$2:$AA$50000,"&lt;&gt;丢弃",缺陷明细!$AA$2:$AA$50000,"&lt;&gt;设计如此",缺陷明细!$AA$2:$AA$50000,"&lt;&gt;重复Bug")</f>
        <v>0</v>
      </c>
      <c r="V104" s="75">
        <f>COUNTIFS(缺陷明细!$A$2:$A$50000,$B$4,缺陷明细!$G$2:$G$50000,$C104,缺陷明细!$Q$2:$Q$50000,"已关闭",缺陷明细!$J$2:$J$50000,"验收测试")</f>
        <v>0</v>
      </c>
      <c r="W104" s="75">
        <f>COUNTIFS(缺陷明细!$A$2:$A$50000,$B$4,缺陷明细!$G$2:$G$50000,$C104,缺陷明细!$J$2:$J$50000,"验收测试",缺陷明细!$K$2:$K$50000,"致命",缺陷明细!$AA$2:$AA$50000,"&lt;&gt;丢弃",缺陷明细!$AA$2:$AA$50000,"&lt;&gt;设计如此",缺陷明细!$AA$2:$AA$50000,"&lt;&gt;重复Bug")+COUNTIFS(缺陷明细!$A$2:$A$50000,$B$4,缺陷明细!$G$2:$G$50000,$C104,缺陷明细!$J$2:$J$50000,"验收测试",缺陷明细!$K$2:$K$50000,"严重",缺陷明细!$AA$2:$AA$50000,"&lt;&gt;丢弃",缺陷明细!$AA$2:$AA$50000,"&lt;&gt;设计如此",缺陷明细!$AA$2:$AA$50000,"&lt;&gt;重复Bug")</f>
        <v>0</v>
      </c>
      <c r="X104" s="76">
        <f>COUNTIFS(缺陷明细!$A$2:$A$50000,$B$4,缺陷明细!$G$2:$G$50000,$C104,缺陷明细!$Q$2:$Q$50000,"已关闭",缺陷明细!$J$2:$J$50000,"验收测试",缺陷明细!$K$2:$K$50000,"致命")+COUNTIFS(缺陷明细!$A$2:$A$50000,$B$4,缺陷明细!$G$2:$G$50000,$C104,缺陷明细!$Q$2:$Q$50000,"已关闭",缺陷明细!$J$2:$J$50000,"验收测试",缺陷明细!$K$2:$K$50000,"严重")</f>
        <v>0</v>
      </c>
      <c r="Y104" s="70">
        <f>COUNTIFS(缺陷明细!$A$2:$A$50000,$B$4,缺陷明细!$G$2:$G$50000,$C104,缺陷明细!$J$2:$J$50000,"运维测试",缺陷明细!$AA$2:$AA$50000,"&lt;&gt;丢弃",缺陷明细!$AA$2:$AA$50000,"&lt;&gt;设计如此",缺陷明细!$AA$2:$AA$50000,"&lt;&gt;重复Bug")</f>
        <v>0</v>
      </c>
      <c r="Z104" s="71">
        <f>COUNTIFS(缺陷明细!$A$2:$A$50000,$B$4,缺陷明细!$G$2:$G$50000,$C104,缺陷明细!$Q$2:$Q$50000,"已关闭",缺陷明细!$J$2:$J$50000,"运维测试")</f>
        <v>0</v>
      </c>
      <c r="AA104" s="72">
        <f>COUNTIFS(缺陷明细!$A$2:$A$50000,$B$4,缺陷明细!$G$2:$G$50000,$C104,缺陷明细!$J$2:$J$50000,"运维测试",缺陷明细!$K$2:$K$50000,"致命",缺陷明细!$AA$2:$AA$50000,"&lt;&gt;丢弃",缺陷明细!$AA$2:$AA$50000,"&lt;&gt;设计如此",缺陷明细!$AA$2:$AA$50000,"&lt;&gt;重复Bug")+COUNTIFS(缺陷明细!$A$2:$A$50000,$B$4,缺陷明细!$G$2:$G$50000,$C104,缺陷明细!$J$2:$J$50000,"运维测试",缺陷明细!$K$2:$K$50000,"严重",缺陷明细!$AA$2:$AA$50000,"&lt;&gt;丢弃",缺陷明细!$AA$2:$AA$50000,"&lt;&gt;设计如此",缺陷明细!$AA$2:$AA$50000,"&lt;&gt;重复Bug")</f>
        <v>0</v>
      </c>
      <c r="AB104" s="73">
        <f>COUNTIFS(缺陷明细!$A$2:$A$50000,$B$4,缺陷明细!$G$2:$G$50000,$C104,缺陷明细!$Q$2:$Q$50000,"已关闭",缺陷明细!$J$2:$J$50000,"运维测试",缺陷明细!$K$2:$K$50000,"致命")+COUNTIFS(缺陷明细!$A$2:$A$50000,$B$4,缺陷明细!$G$2:$G$50000,$C104,缺陷明细!$Q$2:$Q$50000,"已关闭",缺陷明细!$J$2:$J$50000,"运维测试",缺陷明细!$K$2:$K$50000,"严重")</f>
        <v>0</v>
      </c>
      <c r="AC104" s="68">
        <f t="shared" si="4"/>
        <v>0</v>
      </c>
      <c r="AD104" s="60">
        <f t="shared" si="5"/>
        <v>0</v>
      </c>
      <c r="AE104" s="60">
        <f t="shared" si="6"/>
        <v>0</v>
      </c>
      <c r="AF104" s="60">
        <f t="shared" si="7"/>
        <v>0</v>
      </c>
      <c r="AG104" s="60">
        <f t="shared" si="8"/>
        <v>0</v>
      </c>
      <c r="AH104" s="60">
        <f t="shared" si="9"/>
        <v>0</v>
      </c>
      <c r="AI104" s="60">
        <f t="shared" si="10"/>
        <v>0</v>
      </c>
      <c r="AJ104" s="61">
        <f t="shared" si="11"/>
        <v>0</v>
      </c>
      <c r="AK104" s="151"/>
    </row>
    <row r="105" spans="1:37" ht="26.4">
      <c r="A105">
        <v>101</v>
      </c>
      <c r="B105" s="346">
        <v>601</v>
      </c>
      <c r="C105" s="79" t="s">
        <v>451</v>
      </c>
      <c r="D105" s="82" t="s">
        <v>467</v>
      </c>
      <c r="E105" s="82" t="s">
        <v>472</v>
      </c>
      <c r="F105" s="319">
        <v>8</v>
      </c>
      <c r="G105" s="320">
        <v>0</v>
      </c>
      <c r="H105" s="305">
        <f>COUNTIFS(缺陷明细!$A$2:$A$50000,$B$4,缺陷明细!$G$2:$G$50000,$C105,缺陷明细!$J$2:$J$50000,"评审",缺陷明细!$AA$2:$AA$50000,"&lt;&gt;丢弃",缺陷明细!$AA$2:$AA$50000,"&lt;&gt;设计如此",缺陷明细!$AA$2:$AA$50000,"&lt;&gt;重复Bug")</f>
        <v>0</v>
      </c>
      <c r="I105" s="161">
        <f>COUNTIFS(缺陷明细!$A$2:$A$50000,$B$4,缺陷明细!$G$2:$G$50000,$C105,缺陷明细!$Q$2:$Q$50000,"已关闭",缺陷明细!$J$2:$J$50000,"评审")</f>
        <v>0</v>
      </c>
      <c r="J105" s="161">
        <f>COUNTIFS(缺陷明细!$A$2:$A$50000,$B$4,缺陷明细!$G$2:$G$50000,$C105,缺陷明细!$J$2:$J$50000,"单元测试",缺陷明细!$AA$2:$AA$50000,"&lt;&gt;丢弃",缺陷明细!$AA$2:$AA$50000,"&lt;&gt;设计如此",缺陷明细!$AA$2:$AA$50000,"&lt;&gt;重复Bug")</f>
        <v>0</v>
      </c>
      <c r="K105" s="162">
        <f>COUNTIFS(缺陷明细!$A$2:$A$50000,$B$4,缺陷明细!$G$2:$G$50000,$C105,缺陷明细!$Q$2:$Q$50000,"已关闭",缺陷明细!$J$2:$J$50000,"单元测试")</f>
        <v>0</v>
      </c>
      <c r="L105" s="163"/>
      <c r="M105" s="164"/>
      <c r="N105" s="72">
        <f>COUNTIFS(缺陷明细!$A$2:$A$50000,$B$4,缺陷明细!$G$2:$G$50000,$C105,缺陷明细!$J$2:$J$50000,"系统测试案例评审",缺陷明细!$AA$2:$AA$50000,"&lt;&gt;丢弃",缺陷明细!$AA$2:$AA$50000,"&lt;&gt;设计如此",缺陷明细!$AA$2:$AA$50000,"&lt;&gt;重复Bug")</f>
        <v>0</v>
      </c>
      <c r="O105" s="72">
        <f>COUNTIFS(缺陷明细!$A$2:$A$50000,$B$4,缺陷明细!$G$2:$G$50000,$C105,缺陷明细!$Q$2:$Q$50000,"已关闭",缺陷明细!$J$2:$J$50000,"系统测试案例评审")</f>
        <v>0</v>
      </c>
      <c r="P105" s="72">
        <f>COUNTIFS(缺陷明细!$A$2:$A$50000,$B$4,缺陷明细!$G$2:$G$50000,$C105,缺陷明细!$J$2:$J$50000,"系统测试",缺陷明细!$AA$2:$AA$50000,"&lt;&gt;丢弃",缺陷明细!$AA$2:$AA$50000,"&lt;&gt;设计如此",缺陷明细!$AA$2:$AA$50000,"&lt;&gt;重复Bug")</f>
        <v>0</v>
      </c>
      <c r="Q105" s="72">
        <f>COUNTIFS(缺陷明细!$A$2:$A$50000,$B$4,缺陷明细!$G$2:$G$50000,$C105,缺陷明细!$Q$2:$Q$50000,"已关闭",缺陷明细!$J$2:$J$50000,"系统测试")</f>
        <v>0</v>
      </c>
      <c r="R105" s="354">
        <f>COUNTIFS(缺陷明细!$A$2:$A$50000,$B$4,缺陷明细!$G$2:$G$50000,$C105,缺陷明细!$AA$2:$AA$50000,"丢弃",缺陷明细!$J$2:$J$50000,"系统测试")+COUNTIFS(缺陷明细!$A$2:$A$50000,$B$4,缺陷明细!$G$2:$G$50000,$C105,缺陷明细!$AA$2:$AA$50000,"设计如此",缺陷明细!$J$2:$J$50000,"系统测试")+COUNTIFS(缺陷明细!$A$2:$A$50000,$B$4,缺陷明细!$G$2:$G$50000,$C105,缺陷明细!$AA$2:$AA$50000,"重复Bug",缺陷明细!$J$2:$J$50000,"系统测试")</f>
        <v>0</v>
      </c>
      <c r="S105" s="72">
        <f>COUNTIFS(缺陷明细!$A$2:$A$50000,$B$4,缺陷明细!$G$2:$G$50000,$C105,缺陷明细!$J$2:$J$50000,"系统测试",缺陷明细!$K$2:$K$50000,"致命",缺陷明细!$AA$2:$AA$50000,"&lt;&gt;丢弃",缺陷明细!$AA$2:$AA$50000,"&lt;&gt;设计如此",缺陷明细!$AA$2:$AA$50000,"&lt;&gt;重复Bug")+COUNTIFS(缺陷明细!$A$2:$A$50000,$B$4,缺陷明细!$G$2:$G$50000,$C105,缺陷明细!$J$2:$J$50000,"系统测试",缺陷明细!$K$2:$K$50000,"严重",缺陷明细!$AA$2:$AA$50000,"&lt;&gt;丢弃",缺陷明细!$AA$2:$AA$50000,"&lt;&gt;设计如此",缺陷明细!$AA$2:$AA$50000,"&lt;&gt;重复Bug")</f>
        <v>0</v>
      </c>
      <c r="T105" s="73">
        <f>COUNTIFS(缺陷明细!$A$2:$A$50000,$B$4,缺陷明细!$G$2:$G$50000,$C105,缺陷明细!$Q$2:$Q$50000,"已关闭",缺陷明细!$J$2:$J$50000,"系统测试",缺陷明细!$K$2:$K$50000,"致命")+COUNTIFS(缺陷明细!$A$2:$A$50000,$B$4,缺陷明细!$G$2:$G$50000,$C105,缺陷明细!$Q$2:$Q$50000,"已关闭",缺陷明细!$J$2:$J$50000,"系统测试",缺陷明细!$K$2:$K$50000,"严重")</f>
        <v>0</v>
      </c>
      <c r="U105" s="74">
        <f>COUNTIFS(缺陷明细!$A$2:$A$50000,$B$4,缺陷明细!$G$2:$G$50000,$C105,缺陷明细!$J$2:$J$50000,"验收测试",缺陷明细!$AA$2:$AA$50000,"&lt;&gt;丢弃",缺陷明细!$AA$2:$AA$50000,"&lt;&gt;设计如此",缺陷明细!$AA$2:$AA$50000,"&lt;&gt;重复Bug")</f>
        <v>0</v>
      </c>
      <c r="V105" s="75">
        <f>COUNTIFS(缺陷明细!$A$2:$A$50000,$B$4,缺陷明细!$G$2:$G$50000,$C105,缺陷明细!$Q$2:$Q$50000,"已关闭",缺陷明细!$J$2:$J$50000,"验收测试")</f>
        <v>0</v>
      </c>
      <c r="W105" s="75">
        <f>COUNTIFS(缺陷明细!$A$2:$A$50000,$B$4,缺陷明细!$G$2:$G$50000,$C105,缺陷明细!$J$2:$J$50000,"验收测试",缺陷明细!$K$2:$K$50000,"致命",缺陷明细!$AA$2:$AA$50000,"&lt;&gt;丢弃",缺陷明细!$AA$2:$AA$50000,"&lt;&gt;设计如此",缺陷明细!$AA$2:$AA$50000,"&lt;&gt;重复Bug")+COUNTIFS(缺陷明细!$A$2:$A$50000,$B$4,缺陷明细!$G$2:$G$50000,$C105,缺陷明细!$J$2:$J$50000,"验收测试",缺陷明细!$K$2:$K$50000,"严重",缺陷明细!$AA$2:$AA$50000,"&lt;&gt;丢弃",缺陷明细!$AA$2:$AA$50000,"&lt;&gt;设计如此",缺陷明细!$AA$2:$AA$50000,"&lt;&gt;重复Bug")</f>
        <v>0</v>
      </c>
      <c r="X105" s="76">
        <f>COUNTIFS(缺陷明细!$A$2:$A$50000,$B$4,缺陷明细!$G$2:$G$50000,$C105,缺陷明细!$Q$2:$Q$50000,"已关闭",缺陷明细!$J$2:$J$50000,"验收测试",缺陷明细!$K$2:$K$50000,"致命")+COUNTIFS(缺陷明细!$A$2:$A$50000,$B$4,缺陷明细!$G$2:$G$50000,$C105,缺陷明细!$Q$2:$Q$50000,"已关闭",缺陷明细!$J$2:$J$50000,"验收测试",缺陷明细!$K$2:$K$50000,"严重")</f>
        <v>0</v>
      </c>
      <c r="Y105" s="70">
        <f>COUNTIFS(缺陷明细!$A$2:$A$50000,$B$4,缺陷明细!$G$2:$G$50000,$C105,缺陷明细!$J$2:$J$50000,"运维测试",缺陷明细!$AA$2:$AA$50000,"&lt;&gt;丢弃",缺陷明细!$AA$2:$AA$50000,"&lt;&gt;设计如此",缺陷明细!$AA$2:$AA$50000,"&lt;&gt;重复Bug")</f>
        <v>0</v>
      </c>
      <c r="Z105" s="71">
        <f>COUNTIFS(缺陷明细!$A$2:$A$50000,$B$4,缺陷明细!$G$2:$G$50000,$C105,缺陷明细!$Q$2:$Q$50000,"已关闭",缺陷明细!$J$2:$J$50000,"运维测试")</f>
        <v>0</v>
      </c>
      <c r="AA105" s="72">
        <f>COUNTIFS(缺陷明细!$A$2:$A$50000,$B$4,缺陷明细!$G$2:$G$50000,$C105,缺陷明细!$J$2:$J$50000,"运维测试",缺陷明细!$K$2:$K$50000,"致命",缺陷明细!$AA$2:$AA$50000,"&lt;&gt;丢弃",缺陷明细!$AA$2:$AA$50000,"&lt;&gt;设计如此",缺陷明细!$AA$2:$AA$50000,"&lt;&gt;重复Bug")+COUNTIFS(缺陷明细!$A$2:$A$50000,$B$4,缺陷明细!$G$2:$G$50000,$C105,缺陷明细!$J$2:$J$50000,"运维测试",缺陷明细!$K$2:$K$50000,"严重",缺陷明细!$AA$2:$AA$50000,"&lt;&gt;丢弃",缺陷明细!$AA$2:$AA$50000,"&lt;&gt;设计如此",缺陷明细!$AA$2:$AA$50000,"&lt;&gt;重复Bug")</f>
        <v>0</v>
      </c>
      <c r="AB105" s="73">
        <f>COUNTIFS(缺陷明细!$A$2:$A$50000,$B$4,缺陷明细!$G$2:$G$50000,$C105,缺陷明细!$Q$2:$Q$50000,"已关闭",缺陷明细!$J$2:$J$50000,"运维测试",缺陷明细!$K$2:$K$50000,"致命")+COUNTIFS(缺陷明细!$A$2:$A$50000,$B$4,缺陷明细!$G$2:$G$50000,$C105,缺陷明细!$Q$2:$Q$50000,"已关闭",缺陷明细!$J$2:$J$50000,"运维测试",缺陷明细!$K$2:$K$50000,"严重")</f>
        <v>0</v>
      </c>
      <c r="AC105" s="68">
        <f>H105</f>
        <v>0</v>
      </c>
      <c r="AD105" s="60">
        <f>I105</f>
        <v>0</v>
      </c>
      <c r="AE105" s="60">
        <f>H105+J105</f>
        <v>0</v>
      </c>
      <c r="AF105" s="60">
        <f>I105+K105</f>
        <v>0</v>
      </c>
      <c r="AG105" s="60">
        <f>H105+J105+P105</f>
        <v>0</v>
      </c>
      <c r="AH105" s="60">
        <f>I105+K105+Q105</f>
        <v>0</v>
      </c>
      <c r="AI105" s="60">
        <f>Y105</f>
        <v>0</v>
      </c>
      <c r="AJ105" s="61">
        <f>Z105</f>
        <v>0</v>
      </c>
      <c r="AK105" s="151"/>
    </row>
    <row r="106" spans="1:37" ht="26.4">
      <c r="A106">
        <v>102</v>
      </c>
      <c r="B106" s="347">
        <v>602</v>
      </c>
      <c r="C106" s="58" t="s">
        <v>452</v>
      </c>
      <c r="D106" s="83" t="s">
        <v>467</v>
      </c>
      <c r="E106" s="82" t="s">
        <v>472</v>
      </c>
      <c r="F106" s="322">
        <v>8</v>
      </c>
      <c r="G106" s="323">
        <v>0</v>
      </c>
      <c r="H106" s="305">
        <f>COUNTIFS(缺陷明细!$A$2:$A$50000,$B$4,缺陷明细!$G$2:$G$50000,$C106,缺陷明细!$J$2:$J$50000,"评审",缺陷明细!$AA$2:$AA$50000,"&lt;&gt;丢弃",缺陷明细!$AA$2:$AA$50000,"&lt;&gt;设计如此",缺陷明细!$AA$2:$AA$50000,"&lt;&gt;重复Bug")</f>
        <v>0</v>
      </c>
      <c r="I106" s="161">
        <f>COUNTIFS(缺陷明细!$A$2:$A$50000,$B$4,缺陷明细!$G$2:$G$50000,$C106,缺陷明细!$Q$2:$Q$50000,"已关闭",缺陷明细!$J$2:$J$50000,"评审")</f>
        <v>0</v>
      </c>
      <c r="J106" s="161">
        <f>COUNTIFS(缺陷明细!$A$2:$A$50000,$B$4,缺陷明细!$G$2:$G$50000,$C106,缺陷明细!$J$2:$J$50000,"单元测试",缺陷明细!$AA$2:$AA$50000,"&lt;&gt;丢弃",缺陷明细!$AA$2:$AA$50000,"&lt;&gt;设计如此",缺陷明细!$AA$2:$AA$50000,"&lt;&gt;重复Bug")</f>
        <v>0</v>
      </c>
      <c r="K106" s="162">
        <f>COUNTIFS(缺陷明细!$A$2:$A$50000,$B$4,缺陷明细!$G$2:$G$50000,$C106,缺陷明细!$Q$2:$Q$50000,"已关闭",缺陷明细!$J$2:$J$50000,"单元测试")</f>
        <v>0</v>
      </c>
      <c r="L106" s="163"/>
      <c r="M106" s="164"/>
      <c r="N106" s="72">
        <f>COUNTIFS(缺陷明细!$A$2:$A$50000,$B$4,缺陷明细!$G$2:$G$50000,$C106,缺陷明细!$J$2:$J$50000,"系统测试案例评审",缺陷明细!$AA$2:$AA$50000,"&lt;&gt;丢弃",缺陷明细!$AA$2:$AA$50000,"&lt;&gt;设计如此",缺陷明细!$AA$2:$AA$50000,"&lt;&gt;重复Bug")</f>
        <v>0</v>
      </c>
      <c r="O106" s="72">
        <f>COUNTIFS(缺陷明细!$A$2:$A$50000,$B$4,缺陷明细!$G$2:$G$50000,$C106,缺陷明细!$Q$2:$Q$50000,"已关闭",缺陷明细!$J$2:$J$50000,"系统测试案例评审")</f>
        <v>0</v>
      </c>
      <c r="P106" s="72">
        <f>COUNTIFS(缺陷明细!$A$2:$A$50000,$B$4,缺陷明细!$G$2:$G$50000,$C106,缺陷明细!$J$2:$J$50000,"系统测试",缺陷明细!$AA$2:$AA$50000,"&lt;&gt;丢弃",缺陷明细!$AA$2:$AA$50000,"&lt;&gt;设计如此",缺陷明细!$AA$2:$AA$50000,"&lt;&gt;重复Bug")</f>
        <v>0</v>
      </c>
      <c r="Q106" s="72">
        <f>COUNTIFS(缺陷明细!$A$2:$A$50000,$B$4,缺陷明细!$G$2:$G$50000,$C106,缺陷明细!$Q$2:$Q$50000,"已关闭",缺陷明细!$J$2:$J$50000,"系统测试")</f>
        <v>0</v>
      </c>
      <c r="R106" s="354">
        <f>COUNTIFS(缺陷明细!$A$2:$A$50000,$B$4,缺陷明细!$G$2:$G$50000,$C106,缺陷明细!$AA$2:$AA$50000,"丢弃",缺陷明细!$J$2:$J$50000,"系统测试")+COUNTIFS(缺陷明细!$A$2:$A$50000,$B$4,缺陷明细!$G$2:$G$50000,$C106,缺陷明细!$AA$2:$AA$50000,"设计如此",缺陷明细!$J$2:$J$50000,"系统测试")+COUNTIFS(缺陷明细!$A$2:$A$50000,$B$4,缺陷明细!$G$2:$G$50000,$C106,缺陷明细!$AA$2:$AA$50000,"重复Bug",缺陷明细!$J$2:$J$50000,"系统测试")</f>
        <v>0</v>
      </c>
      <c r="S106" s="72">
        <f>COUNTIFS(缺陷明细!$A$2:$A$50000,$B$4,缺陷明细!$G$2:$G$50000,$C106,缺陷明细!$J$2:$J$50000,"系统测试",缺陷明细!$K$2:$K$50000,"致命",缺陷明细!$AA$2:$AA$50000,"&lt;&gt;丢弃",缺陷明细!$AA$2:$AA$50000,"&lt;&gt;设计如此",缺陷明细!$AA$2:$AA$50000,"&lt;&gt;重复Bug")+COUNTIFS(缺陷明细!$A$2:$A$50000,$B$4,缺陷明细!$G$2:$G$50000,$C106,缺陷明细!$J$2:$J$50000,"系统测试",缺陷明细!$K$2:$K$50000,"严重",缺陷明细!$AA$2:$AA$50000,"&lt;&gt;丢弃",缺陷明细!$AA$2:$AA$50000,"&lt;&gt;设计如此",缺陷明细!$AA$2:$AA$50000,"&lt;&gt;重复Bug")</f>
        <v>0</v>
      </c>
      <c r="T106" s="73">
        <f>COUNTIFS(缺陷明细!$A$2:$A$50000,$B$4,缺陷明细!$G$2:$G$50000,$C106,缺陷明细!$Q$2:$Q$50000,"已关闭",缺陷明细!$J$2:$J$50000,"系统测试",缺陷明细!$K$2:$K$50000,"致命")+COUNTIFS(缺陷明细!$A$2:$A$50000,$B$4,缺陷明细!$G$2:$G$50000,$C106,缺陷明细!$Q$2:$Q$50000,"已关闭",缺陷明细!$J$2:$J$50000,"系统测试",缺陷明细!$K$2:$K$50000,"严重")</f>
        <v>0</v>
      </c>
      <c r="U106" s="74">
        <f>COUNTIFS(缺陷明细!$A$2:$A$50000,$B$4,缺陷明细!$G$2:$G$50000,$C106,缺陷明细!$J$2:$J$50000,"验收测试",缺陷明细!$AA$2:$AA$50000,"&lt;&gt;丢弃",缺陷明细!$AA$2:$AA$50000,"&lt;&gt;设计如此",缺陷明细!$AA$2:$AA$50000,"&lt;&gt;重复Bug")</f>
        <v>0</v>
      </c>
      <c r="V106" s="75">
        <f>COUNTIFS(缺陷明细!$A$2:$A$50000,$B$4,缺陷明细!$G$2:$G$50000,$C106,缺陷明细!$Q$2:$Q$50000,"已关闭",缺陷明细!$J$2:$J$50000,"验收测试")</f>
        <v>0</v>
      </c>
      <c r="W106" s="75">
        <f>COUNTIFS(缺陷明细!$A$2:$A$50000,$B$4,缺陷明细!$G$2:$G$50000,$C106,缺陷明细!$J$2:$J$50000,"验收测试",缺陷明细!$K$2:$K$50000,"致命",缺陷明细!$AA$2:$AA$50000,"&lt;&gt;丢弃",缺陷明细!$AA$2:$AA$50000,"&lt;&gt;设计如此",缺陷明细!$AA$2:$AA$50000,"&lt;&gt;重复Bug")+COUNTIFS(缺陷明细!$A$2:$A$50000,$B$4,缺陷明细!$G$2:$G$50000,$C106,缺陷明细!$J$2:$J$50000,"验收测试",缺陷明细!$K$2:$K$50000,"严重",缺陷明细!$AA$2:$AA$50000,"&lt;&gt;丢弃",缺陷明细!$AA$2:$AA$50000,"&lt;&gt;设计如此",缺陷明细!$AA$2:$AA$50000,"&lt;&gt;重复Bug")</f>
        <v>0</v>
      </c>
      <c r="X106" s="76">
        <f>COUNTIFS(缺陷明细!$A$2:$A$50000,$B$4,缺陷明细!$G$2:$G$50000,$C106,缺陷明细!$Q$2:$Q$50000,"已关闭",缺陷明细!$J$2:$J$50000,"验收测试",缺陷明细!$K$2:$K$50000,"致命")+COUNTIFS(缺陷明细!$A$2:$A$50000,$B$4,缺陷明细!$G$2:$G$50000,$C106,缺陷明细!$Q$2:$Q$50000,"已关闭",缺陷明细!$J$2:$J$50000,"验收测试",缺陷明细!$K$2:$K$50000,"严重")</f>
        <v>0</v>
      </c>
      <c r="Y106" s="70">
        <f>COUNTIFS(缺陷明细!$A$2:$A$50000,$B$4,缺陷明细!$G$2:$G$50000,$C106,缺陷明细!$J$2:$J$50000,"运维测试",缺陷明细!$AA$2:$AA$50000,"&lt;&gt;丢弃",缺陷明细!$AA$2:$AA$50000,"&lt;&gt;设计如此",缺陷明细!$AA$2:$AA$50000,"&lt;&gt;重复Bug")</f>
        <v>0</v>
      </c>
      <c r="Z106" s="71">
        <f>COUNTIFS(缺陷明细!$A$2:$A$50000,$B$4,缺陷明细!$G$2:$G$50000,$C106,缺陷明细!$Q$2:$Q$50000,"已关闭",缺陷明细!$J$2:$J$50000,"运维测试")</f>
        <v>0</v>
      </c>
      <c r="AA106" s="72">
        <f>COUNTIFS(缺陷明细!$A$2:$A$50000,$B$4,缺陷明细!$G$2:$G$50000,$C106,缺陷明细!$J$2:$J$50000,"运维测试",缺陷明细!$K$2:$K$50000,"致命",缺陷明细!$AA$2:$AA$50000,"&lt;&gt;丢弃",缺陷明细!$AA$2:$AA$50000,"&lt;&gt;设计如此",缺陷明细!$AA$2:$AA$50000,"&lt;&gt;重复Bug")+COUNTIFS(缺陷明细!$A$2:$A$50000,$B$4,缺陷明细!$G$2:$G$50000,$C106,缺陷明细!$J$2:$J$50000,"运维测试",缺陷明细!$K$2:$K$50000,"严重",缺陷明细!$AA$2:$AA$50000,"&lt;&gt;丢弃",缺陷明细!$AA$2:$AA$50000,"&lt;&gt;设计如此",缺陷明细!$AA$2:$AA$50000,"&lt;&gt;重复Bug")</f>
        <v>0</v>
      </c>
      <c r="AB106" s="73">
        <f>COUNTIFS(缺陷明细!$A$2:$A$50000,$B$4,缺陷明细!$G$2:$G$50000,$C106,缺陷明细!$Q$2:$Q$50000,"已关闭",缺陷明细!$J$2:$J$50000,"运维测试",缺陷明细!$K$2:$K$50000,"致命")+COUNTIFS(缺陷明细!$A$2:$A$50000,$B$4,缺陷明细!$G$2:$G$50000,$C106,缺陷明细!$Q$2:$Q$50000,"已关闭",缺陷明细!$J$2:$J$50000,"运维测试",缺陷明细!$K$2:$K$50000,"严重")</f>
        <v>0</v>
      </c>
      <c r="AC106" s="68">
        <f t="shared" ref="AC106:AC121" si="12">H106</f>
        <v>0</v>
      </c>
      <c r="AD106" s="60">
        <f t="shared" ref="AD106:AD121" si="13">I106</f>
        <v>0</v>
      </c>
      <c r="AE106" s="60">
        <f t="shared" ref="AE106:AE121" si="14">H106+J106</f>
        <v>0</v>
      </c>
      <c r="AF106" s="60">
        <f t="shared" ref="AF106:AF121" si="15">I106+K106</f>
        <v>0</v>
      </c>
      <c r="AG106" s="60">
        <f t="shared" ref="AG106:AG121" si="16">H106+J106+P106</f>
        <v>0</v>
      </c>
      <c r="AH106" s="60">
        <f t="shared" ref="AH106:AH121" si="17">I106+K106+Q106</f>
        <v>0</v>
      </c>
      <c r="AI106" s="60">
        <f t="shared" ref="AI106:AI121" si="18">Y106</f>
        <v>0</v>
      </c>
      <c r="AJ106" s="61">
        <f t="shared" ref="AJ106:AJ121" si="19">Z106</f>
        <v>0</v>
      </c>
      <c r="AK106" s="151"/>
    </row>
    <row r="107" spans="1:37">
      <c r="A107">
        <v>103</v>
      </c>
      <c r="B107" s="347">
        <v>603</v>
      </c>
      <c r="C107" s="58" t="s">
        <v>453</v>
      </c>
      <c r="D107" s="83" t="s">
        <v>467</v>
      </c>
      <c r="E107" s="82" t="s">
        <v>472</v>
      </c>
      <c r="F107" s="322">
        <v>8</v>
      </c>
      <c r="G107" s="323">
        <v>0</v>
      </c>
      <c r="H107" s="305">
        <f>COUNTIFS(缺陷明细!$A$2:$A$50000,$B$4,缺陷明细!$G$2:$G$50000,$C107,缺陷明细!$J$2:$J$50000,"评审",缺陷明细!$AA$2:$AA$50000,"&lt;&gt;丢弃",缺陷明细!$AA$2:$AA$50000,"&lt;&gt;设计如此",缺陷明细!$AA$2:$AA$50000,"&lt;&gt;重复Bug")</f>
        <v>0</v>
      </c>
      <c r="I107" s="161">
        <f>COUNTIFS(缺陷明细!$A$2:$A$50000,$B$4,缺陷明细!$G$2:$G$50000,$C107,缺陷明细!$Q$2:$Q$50000,"已关闭",缺陷明细!$J$2:$J$50000,"评审")</f>
        <v>0</v>
      </c>
      <c r="J107" s="161">
        <f>COUNTIFS(缺陷明细!$A$2:$A$50000,$B$4,缺陷明细!$G$2:$G$50000,$C107,缺陷明细!$J$2:$J$50000,"单元测试",缺陷明细!$AA$2:$AA$50000,"&lt;&gt;丢弃",缺陷明细!$AA$2:$AA$50000,"&lt;&gt;设计如此",缺陷明细!$AA$2:$AA$50000,"&lt;&gt;重复Bug")</f>
        <v>0</v>
      </c>
      <c r="K107" s="162">
        <f>COUNTIFS(缺陷明细!$A$2:$A$50000,$B$4,缺陷明细!$G$2:$G$50000,$C107,缺陷明细!$Q$2:$Q$50000,"已关闭",缺陷明细!$J$2:$J$50000,"单元测试")</f>
        <v>0</v>
      </c>
      <c r="L107" s="163"/>
      <c r="M107" s="164"/>
      <c r="N107" s="72">
        <f>COUNTIFS(缺陷明细!$A$2:$A$50000,$B$4,缺陷明细!$G$2:$G$50000,$C107,缺陷明细!$J$2:$J$50000,"系统测试案例评审",缺陷明细!$AA$2:$AA$50000,"&lt;&gt;丢弃",缺陷明细!$AA$2:$AA$50000,"&lt;&gt;设计如此",缺陷明细!$AA$2:$AA$50000,"&lt;&gt;重复Bug")</f>
        <v>0</v>
      </c>
      <c r="O107" s="72">
        <f>COUNTIFS(缺陷明细!$A$2:$A$50000,$B$4,缺陷明细!$G$2:$G$50000,$C107,缺陷明细!$Q$2:$Q$50000,"已关闭",缺陷明细!$J$2:$J$50000,"系统测试案例评审")</f>
        <v>0</v>
      </c>
      <c r="P107" s="72">
        <f>COUNTIFS(缺陷明细!$A$2:$A$50000,$B$4,缺陷明细!$G$2:$G$50000,$C107,缺陷明细!$J$2:$J$50000,"系统测试",缺陷明细!$AA$2:$AA$50000,"&lt;&gt;丢弃",缺陷明细!$AA$2:$AA$50000,"&lt;&gt;设计如此",缺陷明细!$AA$2:$AA$50000,"&lt;&gt;重复Bug")</f>
        <v>0</v>
      </c>
      <c r="Q107" s="72">
        <f>COUNTIFS(缺陷明细!$A$2:$A$50000,$B$4,缺陷明细!$G$2:$G$50000,$C107,缺陷明细!$Q$2:$Q$50000,"已关闭",缺陷明细!$J$2:$J$50000,"系统测试")</f>
        <v>0</v>
      </c>
      <c r="R107" s="354">
        <f>COUNTIFS(缺陷明细!$A$2:$A$50000,$B$4,缺陷明细!$G$2:$G$50000,$C107,缺陷明细!$AA$2:$AA$50000,"丢弃",缺陷明细!$J$2:$J$50000,"系统测试")+COUNTIFS(缺陷明细!$A$2:$A$50000,$B$4,缺陷明细!$G$2:$G$50000,$C107,缺陷明细!$AA$2:$AA$50000,"设计如此",缺陷明细!$J$2:$J$50000,"系统测试")+COUNTIFS(缺陷明细!$A$2:$A$50000,$B$4,缺陷明细!$G$2:$G$50000,$C107,缺陷明细!$AA$2:$AA$50000,"重复Bug",缺陷明细!$J$2:$J$50000,"系统测试")</f>
        <v>0</v>
      </c>
      <c r="S107" s="72">
        <f>COUNTIFS(缺陷明细!$A$2:$A$50000,$B$4,缺陷明细!$G$2:$G$50000,$C107,缺陷明细!$J$2:$J$50000,"系统测试",缺陷明细!$K$2:$K$50000,"致命",缺陷明细!$AA$2:$AA$50000,"&lt;&gt;丢弃",缺陷明细!$AA$2:$AA$50000,"&lt;&gt;设计如此",缺陷明细!$AA$2:$AA$50000,"&lt;&gt;重复Bug")+COUNTIFS(缺陷明细!$A$2:$A$50000,$B$4,缺陷明细!$G$2:$G$50000,$C107,缺陷明细!$J$2:$J$50000,"系统测试",缺陷明细!$K$2:$K$50000,"严重",缺陷明细!$AA$2:$AA$50000,"&lt;&gt;丢弃",缺陷明细!$AA$2:$AA$50000,"&lt;&gt;设计如此",缺陷明细!$AA$2:$AA$50000,"&lt;&gt;重复Bug")</f>
        <v>0</v>
      </c>
      <c r="T107" s="73">
        <f>COUNTIFS(缺陷明细!$A$2:$A$50000,$B$4,缺陷明细!$G$2:$G$50000,$C107,缺陷明细!$Q$2:$Q$50000,"已关闭",缺陷明细!$J$2:$J$50000,"系统测试",缺陷明细!$K$2:$K$50000,"致命")+COUNTIFS(缺陷明细!$A$2:$A$50000,$B$4,缺陷明细!$G$2:$G$50000,$C107,缺陷明细!$Q$2:$Q$50000,"已关闭",缺陷明细!$J$2:$J$50000,"系统测试",缺陷明细!$K$2:$K$50000,"严重")</f>
        <v>0</v>
      </c>
      <c r="U107" s="74">
        <f>COUNTIFS(缺陷明细!$A$2:$A$50000,$B$4,缺陷明细!$G$2:$G$50000,$C107,缺陷明细!$J$2:$J$50000,"验收测试",缺陷明细!$AA$2:$AA$50000,"&lt;&gt;丢弃",缺陷明细!$AA$2:$AA$50000,"&lt;&gt;设计如此",缺陷明细!$AA$2:$AA$50000,"&lt;&gt;重复Bug")</f>
        <v>0</v>
      </c>
      <c r="V107" s="75">
        <f>COUNTIFS(缺陷明细!$A$2:$A$50000,$B$4,缺陷明细!$G$2:$G$50000,$C107,缺陷明细!$Q$2:$Q$50000,"已关闭",缺陷明细!$J$2:$J$50000,"验收测试")</f>
        <v>0</v>
      </c>
      <c r="W107" s="75">
        <f>COUNTIFS(缺陷明细!$A$2:$A$50000,$B$4,缺陷明细!$G$2:$G$50000,$C107,缺陷明细!$J$2:$J$50000,"验收测试",缺陷明细!$K$2:$K$50000,"致命",缺陷明细!$AA$2:$AA$50000,"&lt;&gt;丢弃",缺陷明细!$AA$2:$AA$50000,"&lt;&gt;设计如此",缺陷明细!$AA$2:$AA$50000,"&lt;&gt;重复Bug")+COUNTIFS(缺陷明细!$A$2:$A$50000,$B$4,缺陷明细!$G$2:$G$50000,$C107,缺陷明细!$J$2:$J$50000,"验收测试",缺陷明细!$K$2:$K$50000,"严重",缺陷明细!$AA$2:$AA$50000,"&lt;&gt;丢弃",缺陷明细!$AA$2:$AA$50000,"&lt;&gt;设计如此",缺陷明细!$AA$2:$AA$50000,"&lt;&gt;重复Bug")</f>
        <v>0</v>
      </c>
      <c r="X107" s="76">
        <f>COUNTIFS(缺陷明细!$A$2:$A$50000,$B$4,缺陷明细!$G$2:$G$50000,$C107,缺陷明细!$Q$2:$Q$50000,"已关闭",缺陷明细!$J$2:$J$50000,"验收测试",缺陷明细!$K$2:$K$50000,"致命")+COUNTIFS(缺陷明细!$A$2:$A$50000,$B$4,缺陷明细!$G$2:$G$50000,$C107,缺陷明细!$Q$2:$Q$50000,"已关闭",缺陷明细!$J$2:$J$50000,"验收测试",缺陷明细!$K$2:$K$50000,"严重")</f>
        <v>0</v>
      </c>
      <c r="Y107" s="70">
        <f>COUNTIFS(缺陷明细!$A$2:$A$50000,$B$4,缺陷明细!$G$2:$G$50000,$C107,缺陷明细!$J$2:$J$50000,"运维测试",缺陷明细!$AA$2:$AA$50000,"&lt;&gt;丢弃",缺陷明细!$AA$2:$AA$50000,"&lt;&gt;设计如此",缺陷明细!$AA$2:$AA$50000,"&lt;&gt;重复Bug")</f>
        <v>0</v>
      </c>
      <c r="Z107" s="71">
        <f>COUNTIFS(缺陷明细!$A$2:$A$50000,$B$4,缺陷明细!$G$2:$G$50000,$C107,缺陷明细!$Q$2:$Q$50000,"已关闭",缺陷明细!$J$2:$J$50000,"运维测试")</f>
        <v>0</v>
      </c>
      <c r="AA107" s="72">
        <f>COUNTIFS(缺陷明细!$A$2:$A$50000,$B$4,缺陷明细!$G$2:$G$50000,$C107,缺陷明细!$J$2:$J$50000,"运维测试",缺陷明细!$K$2:$K$50000,"致命",缺陷明细!$AA$2:$AA$50000,"&lt;&gt;丢弃",缺陷明细!$AA$2:$AA$50000,"&lt;&gt;设计如此",缺陷明细!$AA$2:$AA$50000,"&lt;&gt;重复Bug")+COUNTIFS(缺陷明细!$A$2:$A$50000,$B$4,缺陷明细!$G$2:$G$50000,$C107,缺陷明细!$J$2:$J$50000,"运维测试",缺陷明细!$K$2:$K$50000,"严重",缺陷明细!$AA$2:$AA$50000,"&lt;&gt;丢弃",缺陷明细!$AA$2:$AA$50000,"&lt;&gt;设计如此",缺陷明细!$AA$2:$AA$50000,"&lt;&gt;重复Bug")</f>
        <v>0</v>
      </c>
      <c r="AB107" s="73">
        <f>COUNTIFS(缺陷明细!$A$2:$A$50000,$B$4,缺陷明细!$G$2:$G$50000,$C107,缺陷明细!$Q$2:$Q$50000,"已关闭",缺陷明细!$J$2:$J$50000,"运维测试",缺陷明细!$K$2:$K$50000,"致命")+COUNTIFS(缺陷明细!$A$2:$A$50000,$B$4,缺陷明细!$G$2:$G$50000,$C107,缺陷明细!$Q$2:$Q$50000,"已关闭",缺陷明细!$J$2:$J$50000,"运维测试",缺陷明细!$K$2:$K$50000,"严重")</f>
        <v>0</v>
      </c>
      <c r="AC107" s="68">
        <f t="shared" si="12"/>
        <v>0</v>
      </c>
      <c r="AD107" s="60">
        <f t="shared" si="13"/>
        <v>0</v>
      </c>
      <c r="AE107" s="60">
        <f t="shared" si="14"/>
        <v>0</v>
      </c>
      <c r="AF107" s="60">
        <f t="shared" si="15"/>
        <v>0</v>
      </c>
      <c r="AG107" s="60">
        <f t="shared" si="16"/>
        <v>0</v>
      </c>
      <c r="AH107" s="60">
        <f t="shared" si="17"/>
        <v>0</v>
      </c>
      <c r="AI107" s="60">
        <f t="shared" si="18"/>
        <v>0</v>
      </c>
      <c r="AJ107" s="61">
        <f t="shared" si="19"/>
        <v>0</v>
      </c>
      <c r="AK107" s="151"/>
    </row>
    <row r="108" spans="1:37">
      <c r="A108">
        <v>104</v>
      </c>
      <c r="B108" s="347">
        <v>607</v>
      </c>
      <c r="C108" s="58" t="s">
        <v>454</v>
      </c>
      <c r="D108" s="83" t="s">
        <v>467</v>
      </c>
      <c r="E108" s="82" t="s">
        <v>472</v>
      </c>
      <c r="F108" s="322">
        <v>16</v>
      </c>
      <c r="G108" s="323">
        <v>0</v>
      </c>
      <c r="H108" s="305">
        <f>COUNTIFS(缺陷明细!$A$2:$A$50000,$B$4,缺陷明细!$G$2:$G$50000,$C108,缺陷明细!$J$2:$J$50000,"评审",缺陷明细!$AA$2:$AA$50000,"&lt;&gt;丢弃",缺陷明细!$AA$2:$AA$50000,"&lt;&gt;设计如此",缺陷明细!$AA$2:$AA$50000,"&lt;&gt;重复Bug")</f>
        <v>0</v>
      </c>
      <c r="I108" s="161">
        <f>COUNTIFS(缺陷明细!$A$2:$A$50000,$B$4,缺陷明细!$G$2:$G$50000,$C108,缺陷明细!$Q$2:$Q$50000,"已关闭",缺陷明细!$J$2:$J$50000,"评审")</f>
        <v>0</v>
      </c>
      <c r="J108" s="161">
        <f>COUNTIFS(缺陷明细!$A$2:$A$50000,$B$4,缺陷明细!$G$2:$G$50000,$C108,缺陷明细!$J$2:$J$50000,"单元测试",缺陷明细!$AA$2:$AA$50000,"&lt;&gt;丢弃",缺陷明细!$AA$2:$AA$50000,"&lt;&gt;设计如此",缺陷明细!$AA$2:$AA$50000,"&lt;&gt;重复Bug")</f>
        <v>0</v>
      </c>
      <c r="K108" s="162">
        <f>COUNTIFS(缺陷明细!$A$2:$A$50000,$B$4,缺陷明细!$G$2:$G$50000,$C108,缺陷明细!$Q$2:$Q$50000,"已关闭",缺陷明细!$J$2:$J$50000,"单元测试")</f>
        <v>0</v>
      </c>
      <c r="L108" s="163"/>
      <c r="M108" s="164"/>
      <c r="N108" s="72">
        <f>COUNTIFS(缺陷明细!$A$2:$A$50000,$B$4,缺陷明细!$G$2:$G$50000,$C108,缺陷明细!$J$2:$J$50000,"系统测试案例评审",缺陷明细!$AA$2:$AA$50000,"&lt;&gt;丢弃",缺陷明细!$AA$2:$AA$50000,"&lt;&gt;设计如此",缺陷明细!$AA$2:$AA$50000,"&lt;&gt;重复Bug")</f>
        <v>0</v>
      </c>
      <c r="O108" s="72">
        <f>COUNTIFS(缺陷明细!$A$2:$A$50000,$B$4,缺陷明细!$G$2:$G$50000,$C108,缺陷明细!$Q$2:$Q$50000,"已关闭",缺陷明细!$J$2:$J$50000,"系统测试案例评审")</f>
        <v>0</v>
      </c>
      <c r="P108" s="72">
        <f>COUNTIFS(缺陷明细!$A$2:$A$50000,$B$4,缺陷明细!$G$2:$G$50000,$C108,缺陷明细!$J$2:$J$50000,"系统测试",缺陷明细!$AA$2:$AA$50000,"&lt;&gt;丢弃",缺陷明细!$AA$2:$AA$50000,"&lt;&gt;设计如此",缺陷明细!$AA$2:$AA$50000,"&lt;&gt;重复Bug")</f>
        <v>0</v>
      </c>
      <c r="Q108" s="72">
        <f>COUNTIFS(缺陷明细!$A$2:$A$50000,$B$4,缺陷明细!$G$2:$G$50000,$C108,缺陷明细!$Q$2:$Q$50000,"已关闭",缺陷明细!$J$2:$J$50000,"系统测试")</f>
        <v>0</v>
      </c>
      <c r="R108" s="354">
        <f>COUNTIFS(缺陷明细!$A$2:$A$50000,$B$4,缺陷明细!$G$2:$G$50000,$C108,缺陷明细!$AA$2:$AA$50000,"丢弃",缺陷明细!$J$2:$J$50000,"系统测试")+COUNTIFS(缺陷明细!$A$2:$A$50000,$B$4,缺陷明细!$G$2:$G$50000,$C108,缺陷明细!$AA$2:$AA$50000,"设计如此",缺陷明细!$J$2:$J$50000,"系统测试")+COUNTIFS(缺陷明细!$A$2:$A$50000,$B$4,缺陷明细!$G$2:$G$50000,$C108,缺陷明细!$AA$2:$AA$50000,"重复Bug",缺陷明细!$J$2:$J$50000,"系统测试")</f>
        <v>0</v>
      </c>
      <c r="S108" s="72">
        <f>COUNTIFS(缺陷明细!$A$2:$A$50000,$B$4,缺陷明细!$G$2:$G$50000,$C108,缺陷明细!$J$2:$J$50000,"系统测试",缺陷明细!$K$2:$K$50000,"致命",缺陷明细!$AA$2:$AA$50000,"&lt;&gt;丢弃",缺陷明细!$AA$2:$AA$50000,"&lt;&gt;设计如此",缺陷明细!$AA$2:$AA$50000,"&lt;&gt;重复Bug")+COUNTIFS(缺陷明细!$A$2:$A$50000,$B$4,缺陷明细!$G$2:$G$50000,$C108,缺陷明细!$J$2:$J$50000,"系统测试",缺陷明细!$K$2:$K$50000,"严重",缺陷明细!$AA$2:$AA$50000,"&lt;&gt;丢弃",缺陷明细!$AA$2:$AA$50000,"&lt;&gt;设计如此",缺陷明细!$AA$2:$AA$50000,"&lt;&gt;重复Bug")</f>
        <v>0</v>
      </c>
      <c r="T108" s="73">
        <f>COUNTIFS(缺陷明细!$A$2:$A$50000,$B$4,缺陷明细!$G$2:$G$50000,$C108,缺陷明细!$Q$2:$Q$50000,"已关闭",缺陷明细!$J$2:$J$50000,"系统测试",缺陷明细!$K$2:$K$50000,"致命")+COUNTIFS(缺陷明细!$A$2:$A$50000,$B$4,缺陷明细!$G$2:$G$50000,$C108,缺陷明细!$Q$2:$Q$50000,"已关闭",缺陷明细!$J$2:$J$50000,"系统测试",缺陷明细!$K$2:$K$50000,"严重")</f>
        <v>0</v>
      </c>
      <c r="U108" s="74">
        <f>COUNTIFS(缺陷明细!$A$2:$A$50000,$B$4,缺陷明细!$G$2:$G$50000,$C108,缺陷明细!$J$2:$J$50000,"验收测试",缺陷明细!$AA$2:$AA$50000,"&lt;&gt;丢弃",缺陷明细!$AA$2:$AA$50000,"&lt;&gt;设计如此",缺陷明细!$AA$2:$AA$50000,"&lt;&gt;重复Bug")</f>
        <v>0</v>
      </c>
      <c r="V108" s="75">
        <f>COUNTIFS(缺陷明细!$A$2:$A$50000,$B$4,缺陷明细!$G$2:$G$50000,$C108,缺陷明细!$Q$2:$Q$50000,"已关闭",缺陷明细!$J$2:$J$50000,"验收测试")</f>
        <v>0</v>
      </c>
      <c r="W108" s="75">
        <f>COUNTIFS(缺陷明细!$A$2:$A$50000,$B$4,缺陷明细!$G$2:$G$50000,$C108,缺陷明细!$J$2:$J$50000,"验收测试",缺陷明细!$K$2:$K$50000,"致命",缺陷明细!$AA$2:$AA$50000,"&lt;&gt;丢弃",缺陷明细!$AA$2:$AA$50000,"&lt;&gt;设计如此",缺陷明细!$AA$2:$AA$50000,"&lt;&gt;重复Bug")+COUNTIFS(缺陷明细!$A$2:$A$50000,$B$4,缺陷明细!$G$2:$G$50000,$C108,缺陷明细!$J$2:$J$50000,"验收测试",缺陷明细!$K$2:$K$50000,"严重",缺陷明细!$AA$2:$AA$50000,"&lt;&gt;丢弃",缺陷明细!$AA$2:$AA$50000,"&lt;&gt;设计如此",缺陷明细!$AA$2:$AA$50000,"&lt;&gt;重复Bug")</f>
        <v>0</v>
      </c>
      <c r="X108" s="76">
        <f>COUNTIFS(缺陷明细!$A$2:$A$50000,$B$4,缺陷明细!$G$2:$G$50000,$C108,缺陷明细!$Q$2:$Q$50000,"已关闭",缺陷明细!$J$2:$J$50000,"验收测试",缺陷明细!$K$2:$K$50000,"致命")+COUNTIFS(缺陷明细!$A$2:$A$50000,$B$4,缺陷明细!$G$2:$G$50000,$C108,缺陷明细!$Q$2:$Q$50000,"已关闭",缺陷明细!$J$2:$J$50000,"验收测试",缺陷明细!$K$2:$K$50000,"严重")</f>
        <v>0</v>
      </c>
      <c r="Y108" s="70">
        <f>COUNTIFS(缺陷明细!$A$2:$A$50000,$B$4,缺陷明细!$G$2:$G$50000,$C108,缺陷明细!$J$2:$J$50000,"运维测试",缺陷明细!$AA$2:$AA$50000,"&lt;&gt;丢弃",缺陷明细!$AA$2:$AA$50000,"&lt;&gt;设计如此",缺陷明细!$AA$2:$AA$50000,"&lt;&gt;重复Bug")</f>
        <v>0</v>
      </c>
      <c r="Z108" s="71">
        <f>COUNTIFS(缺陷明细!$A$2:$A$50000,$B$4,缺陷明细!$G$2:$G$50000,$C108,缺陷明细!$Q$2:$Q$50000,"已关闭",缺陷明细!$J$2:$J$50000,"运维测试")</f>
        <v>0</v>
      </c>
      <c r="AA108" s="72">
        <f>COUNTIFS(缺陷明细!$A$2:$A$50000,$B$4,缺陷明细!$G$2:$G$50000,$C108,缺陷明细!$J$2:$J$50000,"运维测试",缺陷明细!$K$2:$K$50000,"致命",缺陷明细!$AA$2:$AA$50000,"&lt;&gt;丢弃",缺陷明细!$AA$2:$AA$50000,"&lt;&gt;设计如此",缺陷明细!$AA$2:$AA$50000,"&lt;&gt;重复Bug")+COUNTIFS(缺陷明细!$A$2:$A$50000,$B$4,缺陷明细!$G$2:$G$50000,$C108,缺陷明细!$J$2:$J$50000,"运维测试",缺陷明细!$K$2:$K$50000,"严重",缺陷明细!$AA$2:$AA$50000,"&lt;&gt;丢弃",缺陷明细!$AA$2:$AA$50000,"&lt;&gt;设计如此",缺陷明细!$AA$2:$AA$50000,"&lt;&gt;重复Bug")</f>
        <v>0</v>
      </c>
      <c r="AB108" s="73">
        <f>COUNTIFS(缺陷明细!$A$2:$A$50000,$B$4,缺陷明细!$G$2:$G$50000,$C108,缺陷明细!$Q$2:$Q$50000,"已关闭",缺陷明细!$J$2:$J$50000,"运维测试",缺陷明细!$K$2:$K$50000,"致命")+COUNTIFS(缺陷明细!$A$2:$A$50000,$B$4,缺陷明细!$G$2:$G$50000,$C108,缺陷明细!$Q$2:$Q$50000,"已关闭",缺陷明细!$J$2:$J$50000,"运维测试",缺陷明细!$K$2:$K$50000,"严重")</f>
        <v>0</v>
      </c>
      <c r="AC108" s="68">
        <f t="shared" si="12"/>
        <v>0</v>
      </c>
      <c r="AD108" s="60">
        <f t="shared" si="13"/>
        <v>0</v>
      </c>
      <c r="AE108" s="60">
        <f t="shared" si="14"/>
        <v>0</v>
      </c>
      <c r="AF108" s="60">
        <f t="shared" si="15"/>
        <v>0</v>
      </c>
      <c r="AG108" s="60">
        <f t="shared" si="16"/>
        <v>0</v>
      </c>
      <c r="AH108" s="60">
        <f t="shared" si="17"/>
        <v>0</v>
      </c>
      <c r="AI108" s="60">
        <f t="shared" si="18"/>
        <v>0</v>
      </c>
      <c r="AJ108" s="61">
        <f t="shared" si="19"/>
        <v>0</v>
      </c>
      <c r="AK108" s="151"/>
    </row>
    <row r="109" spans="1:37">
      <c r="A109">
        <v>105</v>
      </c>
      <c r="B109" s="347">
        <v>609</v>
      </c>
      <c r="C109" s="59" t="s">
        <v>455</v>
      </c>
      <c r="D109" s="84" t="s">
        <v>467</v>
      </c>
      <c r="E109" s="82" t="s">
        <v>472</v>
      </c>
      <c r="F109" s="322">
        <v>8</v>
      </c>
      <c r="G109" s="323">
        <v>8</v>
      </c>
      <c r="H109" s="305">
        <f>COUNTIFS(缺陷明细!$A$2:$A$50000,$B$4,缺陷明细!$G$2:$G$50000,$C109,缺陷明细!$J$2:$J$50000,"评审",缺陷明细!$AA$2:$AA$50000,"&lt;&gt;丢弃",缺陷明细!$AA$2:$AA$50000,"&lt;&gt;设计如此",缺陷明细!$AA$2:$AA$50000,"&lt;&gt;重复Bug")</f>
        <v>0</v>
      </c>
      <c r="I109" s="161">
        <f>COUNTIFS(缺陷明细!$A$2:$A$50000,$B$4,缺陷明细!$G$2:$G$50000,$C109,缺陷明细!$Q$2:$Q$50000,"已关闭",缺陷明细!$J$2:$J$50000,"评审")</f>
        <v>0</v>
      </c>
      <c r="J109" s="161">
        <f>COUNTIFS(缺陷明细!$A$2:$A$50000,$B$4,缺陷明细!$G$2:$G$50000,$C109,缺陷明细!$J$2:$J$50000,"单元测试",缺陷明细!$AA$2:$AA$50000,"&lt;&gt;丢弃",缺陷明细!$AA$2:$AA$50000,"&lt;&gt;设计如此",缺陷明细!$AA$2:$AA$50000,"&lt;&gt;重复Bug")</f>
        <v>0</v>
      </c>
      <c r="K109" s="162">
        <f>COUNTIFS(缺陷明细!$A$2:$A$50000,$B$4,缺陷明细!$G$2:$G$50000,$C109,缺陷明细!$Q$2:$Q$50000,"已关闭",缺陷明细!$J$2:$J$50000,"单元测试")</f>
        <v>0</v>
      </c>
      <c r="L109" s="163"/>
      <c r="M109" s="164"/>
      <c r="N109" s="72">
        <f>COUNTIFS(缺陷明细!$A$2:$A$50000,$B$4,缺陷明细!$G$2:$G$50000,$C109,缺陷明细!$J$2:$J$50000,"系统测试案例评审",缺陷明细!$AA$2:$AA$50000,"&lt;&gt;丢弃",缺陷明细!$AA$2:$AA$50000,"&lt;&gt;设计如此",缺陷明细!$AA$2:$AA$50000,"&lt;&gt;重复Bug")</f>
        <v>0</v>
      </c>
      <c r="O109" s="72">
        <f>COUNTIFS(缺陷明细!$A$2:$A$50000,$B$4,缺陷明细!$G$2:$G$50000,$C109,缺陷明细!$Q$2:$Q$50000,"已关闭",缺陷明细!$J$2:$J$50000,"系统测试案例评审")</f>
        <v>0</v>
      </c>
      <c r="P109" s="72">
        <f>COUNTIFS(缺陷明细!$A$2:$A$50000,$B$4,缺陷明细!$G$2:$G$50000,$C109,缺陷明细!$J$2:$J$50000,"系统测试",缺陷明细!$AA$2:$AA$50000,"&lt;&gt;丢弃",缺陷明细!$AA$2:$AA$50000,"&lt;&gt;设计如此",缺陷明细!$AA$2:$AA$50000,"&lt;&gt;重复Bug")</f>
        <v>0</v>
      </c>
      <c r="Q109" s="72">
        <f>COUNTIFS(缺陷明细!$A$2:$A$50000,$B$4,缺陷明细!$G$2:$G$50000,$C109,缺陷明细!$Q$2:$Q$50000,"已关闭",缺陷明细!$J$2:$J$50000,"系统测试")</f>
        <v>0</v>
      </c>
      <c r="R109" s="354">
        <f>COUNTIFS(缺陷明细!$A$2:$A$50000,$B$4,缺陷明细!$G$2:$G$50000,$C109,缺陷明细!$AA$2:$AA$50000,"丢弃",缺陷明细!$J$2:$J$50000,"系统测试")+COUNTIFS(缺陷明细!$A$2:$A$50000,$B$4,缺陷明细!$G$2:$G$50000,$C109,缺陷明细!$AA$2:$AA$50000,"设计如此",缺陷明细!$J$2:$J$50000,"系统测试")+COUNTIFS(缺陷明细!$A$2:$A$50000,$B$4,缺陷明细!$G$2:$G$50000,$C109,缺陷明细!$AA$2:$AA$50000,"重复Bug",缺陷明细!$J$2:$J$50000,"系统测试")</f>
        <v>0</v>
      </c>
      <c r="S109" s="72">
        <f>COUNTIFS(缺陷明细!$A$2:$A$50000,$B$4,缺陷明细!$G$2:$G$50000,$C109,缺陷明细!$J$2:$J$50000,"系统测试",缺陷明细!$K$2:$K$50000,"致命",缺陷明细!$AA$2:$AA$50000,"&lt;&gt;丢弃",缺陷明细!$AA$2:$AA$50000,"&lt;&gt;设计如此",缺陷明细!$AA$2:$AA$50000,"&lt;&gt;重复Bug")+COUNTIFS(缺陷明细!$A$2:$A$50000,$B$4,缺陷明细!$G$2:$G$50000,$C109,缺陷明细!$J$2:$J$50000,"系统测试",缺陷明细!$K$2:$K$50000,"严重",缺陷明细!$AA$2:$AA$50000,"&lt;&gt;丢弃",缺陷明细!$AA$2:$AA$50000,"&lt;&gt;设计如此",缺陷明细!$AA$2:$AA$50000,"&lt;&gt;重复Bug")</f>
        <v>0</v>
      </c>
      <c r="T109" s="73">
        <f>COUNTIFS(缺陷明细!$A$2:$A$50000,$B$4,缺陷明细!$G$2:$G$50000,$C109,缺陷明细!$Q$2:$Q$50000,"已关闭",缺陷明细!$J$2:$J$50000,"系统测试",缺陷明细!$K$2:$K$50000,"致命")+COUNTIFS(缺陷明细!$A$2:$A$50000,$B$4,缺陷明细!$G$2:$G$50000,$C109,缺陷明细!$Q$2:$Q$50000,"已关闭",缺陷明细!$J$2:$J$50000,"系统测试",缺陷明细!$K$2:$K$50000,"严重")</f>
        <v>0</v>
      </c>
      <c r="U109" s="74">
        <f>COUNTIFS(缺陷明细!$A$2:$A$50000,$B$4,缺陷明细!$G$2:$G$50000,$C109,缺陷明细!$J$2:$J$50000,"验收测试",缺陷明细!$AA$2:$AA$50000,"&lt;&gt;丢弃",缺陷明细!$AA$2:$AA$50000,"&lt;&gt;设计如此",缺陷明细!$AA$2:$AA$50000,"&lt;&gt;重复Bug")</f>
        <v>0</v>
      </c>
      <c r="V109" s="75">
        <f>COUNTIFS(缺陷明细!$A$2:$A$50000,$B$4,缺陷明细!$G$2:$G$50000,$C109,缺陷明细!$Q$2:$Q$50000,"已关闭",缺陷明细!$J$2:$J$50000,"验收测试")</f>
        <v>0</v>
      </c>
      <c r="W109" s="75">
        <f>COUNTIFS(缺陷明细!$A$2:$A$50000,$B$4,缺陷明细!$G$2:$G$50000,$C109,缺陷明细!$J$2:$J$50000,"验收测试",缺陷明细!$K$2:$K$50000,"致命",缺陷明细!$AA$2:$AA$50000,"&lt;&gt;丢弃",缺陷明细!$AA$2:$AA$50000,"&lt;&gt;设计如此",缺陷明细!$AA$2:$AA$50000,"&lt;&gt;重复Bug")+COUNTIFS(缺陷明细!$A$2:$A$50000,$B$4,缺陷明细!$G$2:$G$50000,$C109,缺陷明细!$J$2:$J$50000,"验收测试",缺陷明细!$K$2:$K$50000,"严重",缺陷明细!$AA$2:$AA$50000,"&lt;&gt;丢弃",缺陷明细!$AA$2:$AA$50000,"&lt;&gt;设计如此",缺陷明细!$AA$2:$AA$50000,"&lt;&gt;重复Bug")</f>
        <v>0</v>
      </c>
      <c r="X109" s="76">
        <f>COUNTIFS(缺陷明细!$A$2:$A$50000,$B$4,缺陷明细!$G$2:$G$50000,$C109,缺陷明细!$Q$2:$Q$50000,"已关闭",缺陷明细!$J$2:$J$50000,"验收测试",缺陷明细!$K$2:$K$50000,"致命")+COUNTIFS(缺陷明细!$A$2:$A$50000,$B$4,缺陷明细!$G$2:$G$50000,$C109,缺陷明细!$Q$2:$Q$50000,"已关闭",缺陷明细!$J$2:$J$50000,"验收测试",缺陷明细!$K$2:$K$50000,"严重")</f>
        <v>0</v>
      </c>
      <c r="Y109" s="70">
        <f>COUNTIFS(缺陷明细!$A$2:$A$50000,$B$4,缺陷明细!$G$2:$G$50000,$C109,缺陷明细!$J$2:$J$50000,"运维测试",缺陷明细!$AA$2:$AA$50000,"&lt;&gt;丢弃",缺陷明细!$AA$2:$AA$50000,"&lt;&gt;设计如此",缺陷明细!$AA$2:$AA$50000,"&lt;&gt;重复Bug")</f>
        <v>0</v>
      </c>
      <c r="Z109" s="71">
        <f>COUNTIFS(缺陷明细!$A$2:$A$50000,$B$4,缺陷明细!$G$2:$G$50000,$C109,缺陷明细!$Q$2:$Q$50000,"已关闭",缺陷明细!$J$2:$J$50000,"运维测试")</f>
        <v>0</v>
      </c>
      <c r="AA109" s="72">
        <f>COUNTIFS(缺陷明细!$A$2:$A$50000,$B$4,缺陷明细!$G$2:$G$50000,$C109,缺陷明细!$J$2:$J$50000,"运维测试",缺陷明细!$K$2:$K$50000,"致命",缺陷明细!$AA$2:$AA$50000,"&lt;&gt;丢弃",缺陷明细!$AA$2:$AA$50000,"&lt;&gt;设计如此",缺陷明细!$AA$2:$AA$50000,"&lt;&gt;重复Bug")+COUNTIFS(缺陷明细!$A$2:$A$50000,$B$4,缺陷明细!$G$2:$G$50000,$C109,缺陷明细!$J$2:$J$50000,"运维测试",缺陷明细!$K$2:$K$50000,"严重",缺陷明细!$AA$2:$AA$50000,"&lt;&gt;丢弃",缺陷明细!$AA$2:$AA$50000,"&lt;&gt;设计如此",缺陷明细!$AA$2:$AA$50000,"&lt;&gt;重复Bug")</f>
        <v>0</v>
      </c>
      <c r="AB109" s="73">
        <f>COUNTIFS(缺陷明细!$A$2:$A$50000,$B$4,缺陷明细!$G$2:$G$50000,$C109,缺陷明细!$Q$2:$Q$50000,"已关闭",缺陷明细!$J$2:$J$50000,"运维测试",缺陷明细!$K$2:$K$50000,"致命")+COUNTIFS(缺陷明细!$A$2:$A$50000,$B$4,缺陷明细!$G$2:$G$50000,$C109,缺陷明细!$Q$2:$Q$50000,"已关闭",缺陷明细!$J$2:$J$50000,"运维测试",缺陷明细!$K$2:$K$50000,"严重")</f>
        <v>0</v>
      </c>
      <c r="AC109" s="68">
        <f t="shared" si="12"/>
        <v>0</v>
      </c>
      <c r="AD109" s="60">
        <f t="shared" si="13"/>
        <v>0</v>
      </c>
      <c r="AE109" s="60">
        <f t="shared" si="14"/>
        <v>0</v>
      </c>
      <c r="AF109" s="60">
        <f t="shared" si="15"/>
        <v>0</v>
      </c>
      <c r="AG109" s="60">
        <f t="shared" si="16"/>
        <v>0</v>
      </c>
      <c r="AH109" s="60">
        <f t="shared" si="17"/>
        <v>0</v>
      </c>
      <c r="AI109" s="60">
        <f t="shared" si="18"/>
        <v>0</v>
      </c>
      <c r="AJ109" s="61">
        <f t="shared" si="19"/>
        <v>0</v>
      </c>
      <c r="AK109" s="151"/>
    </row>
    <row r="110" spans="1:37">
      <c r="A110">
        <v>106</v>
      </c>
      <c r="B110" s="347">
        <v>610</v>
      </c>
      <c r="C110" s="58" t="s">
        <v>456</v>
      </c>
      <c r="D110" s="84" t="s">
        <v>467</v>
      </c>
      <c r="E110" s="82" t="s">
        <v>472</v>
      </c>
      <c r="F110" s="322">
        <v>4</v>
      </c>
      <c r="G110" s="323">
        <v>2</v>
      </c>
      <c r="H110" s="305">
        <f>COUNTIFS(缺陷明细!$A$2:$A$50000,$B$4,缺陷明细!$G$2:$G$50000,$C110,缺陷明细!$J$2:$J$50000,"评审",缺陷明细!$AA$2:$AA$50000,"&lt;&gt;丢弃",缺陷明细!$AA$2:$AA$50000,"&lt;&gt;设计如此",缺陷明细!$AA$2:$AA$50000,"&lt;&gt;重复Bug")</f>
        <v>0</v>
      </c>
      <c r="I110" s="161">
        <f>COUNTIFS(缺陷明细!$A$2:$A$50000,$B$4,缺陷明细!$G$2:$G$50000,$C110,缺陷明细!$Q$2:$Q$50000,"已关闭",缺陷明细!$J$2:$J$50000,"评审")</f>
        <v>0</v>
      </c>
      <c r="J110" s="161">
        <f>COUNTIFS(缺陷明细!$A$2:$A$50000,$B$4,缺陷明细!$G$2:$G$50000,$C110,缺陷明细!$J$2:$J$50000,"单元测试",缺陷明细!$AA$2:$AA$50000,"&lt;&gt;丢弃",缺陷明细!$AA$2:$AA$50000,"&lt;&gt;设计如此",缺陷明细!$AA$2:$AA$50000,"&lt;&gt;重复Bug")</f>
        <v>0</v>
      </c>
      <c r="K110" s="162">
        <f>COUNTIFS(缺陷明细!$A$2:$A$50000,$B$4,缺陷明细!$G$2:$G$50000,$C110,缺陷明细!$Q$2:$Q$50000,"已关闭",缺陷明细!$J$2:$J$50000,"单元测试")</f>
        <v>0</v>
      </c>
      <c r="L110" s="163"/>
      <c r="M110" s="164"/>
      <c r="N110" s="72">
        <f>COUNTIFS(缺陷明细!$A$2:$A$50000,$B$4,缺陷明细!$G$2:$G$50000,$C110,缺陷明细!$J$2:$J$50000,"系统测试案例评审",缺陷明细!$AA$2:$AA$50000,"&lt;&gt;丢弃",缺陷明细!$AA$2:$AA$50000,"&lt;&gt;设计如此",缺陷明细!$AA$2:$AA$50000,"&lt;&gt;重复Bug")</f>
        <v>0</v>
      </c>
      <c r="O110" s="72">
        <f>COUNTIFS(缺陷明细!$A$2:$A$50000,$B$4,缺陷明细!$G$2:$G$50000,$C110,缺陷明细!$Q$2:$Q$50000,"已关闭",缺陷明细!$J$2:$J$50000,"系统测试案例评审")</f>
        <v>0</v>
      </c>
      <c r="P110" s="72">
        <f>COUNTIFS(缺陷明细!$A$2:$A$50000,$B$4,缺陷明细!$G$2:$G$50000,$C110,缺陷明细!$J$2:$J$50000,"系统测试",缺陷明细!$AA$2:$AA$50000,"&lt;&gt;丢弃",缺陷明细!$AA$2:$AA$50000,"&lt;&gt;设计如此",缺陷明细!$AA$2:$AA$50000,"&lt;&gt;重复Bug")</f>
        <v>0</v>
      </c>
      <c r="Q110" s="72">
        <f>COUNTIFS(缺陷明细!$A$2:$A$50000,$B$4,缺陷明细!$G$2:$G$50000,$C110,缺陷明细!$Q$2:$Q$50000,"已关闭",缺陷明细!$J$2:$J$50000,"系统测试")</f>
        <v>0</v>
      </c>
      <c r="R110" s="354">
        <f>COUNTIFS(缺陷明细!$A$2:$A$50000,$B$4,缺陷明细!$G$2:$G$50000,$C110,缺陷明细!$AA$2:$AA$50000,"丢弃",缺陷明细!$J$2:$J$50000,"系统测试")+COUNTIFS(缺陷明细!$A$2:$A$50000,$B$4,缺陷明细!$G$2:$G$50000,$C110,缺陷明细!$AA$2:$AA$50000,"设计如此",缺陷明细!$J$2:$J$50000,"系统测试")+COUNTIFS(缺陷明细!$A$2:$A$50000,$B$4,缺陷明细!$G$2:$G$50000,$C110,缺陷明细!$AA$2:$AA$50000,"重复Bug",缺陷明细!$J$2:$J$50000,"系统测试")</f>
        <v>0</v>
      </c>
      <c r="S110" s="72">
        <f>COUNTIFS(缺陷明细!$A$2:$A$50000,$B$4,缺陷明细!$G$2:$G$50000,$C110,缺陷明细!$J$2:$J$50000,"系统测试",缺陷明细!$K$2:$K$50000,"致命",缺陷明细!$AA$2:$AA$50000,"&lt;&gt;丢弃",缺陷明细!$AA$2:$AA$50000,"&lt;&gt;设计如此",缺陷明细!$AA$2:$AA$50000,"&lt;&gt;重复Bug")+COUNTIFS(缺陷明细!$A$2:$A$50000,$B$4,缺陷明细!$G$2:$G$50000,$C110,缺陷明细!$J$2:$J$50000,"系统测试",缺陷明细!$K$2:$K$50000,"严重",缺陷明细!$AA$2:$AA$50000,"&lt;&gt;丢弃",缺陷明细!$AA$2:$AA$50000,"&lt;&gt;设计如此",缺陷明细!$AA$2:$AA$50000,"&lt;&gt;重复Bug")</f>
        <v>0</v>
      </c>
      <c r="T110" s="73">
        <f>COUNTIFS(缺陷明细!$A$2:$A$50000,$B$4,缺陷明细!$G$2:$G$50000,$C110,缺陷明细!$Q$2:$Q$50000,"已关闭",缺陷明细!$J$2:$J$50000,"系统测试",缺陷明细!$K$2:$K$50000,"致命")+COUNTIFS(缺陷明细!$A$2:$A$50000,$B$4,缺陷明细!$G$2:$G$50000,$C110,缺陷明细!$Q$2:$Q$50000,"已关闭",缺陷明细!$J$2:$J$50000,"系统测试",缺陷明细!$K$2:$K$50000,"严重")</f>
        <v>0</v>
      </c>
      <c r="U110" s="74">
        <f>COUNTIFS(缺陷明细!$A$2:$A$50000,$B$4,缺陷明细!$G$2:$G$50000,$C110,缺陷明细!$J$2:$J$50000,"验收测试",缺陷明细!$AA$2:$AA$50000,"&lt;&gt;丢弃",缺陷明细!$AA$2:$AA$50000,"&lt;&gt;设计如此",缺陷明细!$AA$2:$AA$50000,"&lt;&gt;重复Bug")</f>
        <v>0</v>
      </c>
      <c r="V110" s="75">
        <f>COUNTIFS(缺陷明细!$A$2:$A$50000,$B$4,缺陷明细!$G$2:$G$50000,$C110,缺陷明细!$Q$2:$Q$50000,"已关闭",缺陷明细!$J$2:$J$50000,"验收测试")</f>
        <v>0</v>
      </c>
      <c r="W110" s="75">
        <f>COUNTIFS(缺陷明细!$A$2:$A$50000,$B$4,缺陷明细!$G$2:$G$50000,$C110,缺陷明细!$J$2:$J$50000,"验收测试",缺陷明细!$K$2:$K$50000,"致命",缺陷明细!$AA$2:$AA$50000,"&lt;&gt;丢弃",缺陷明细!$AA$2:$AA$50000,"&lt;&gt;设计如此",缺陷明细!$AA$2:$AA$50000,"&lt;&gt;重复Bug")+COUNTIFS(缺陷明细!$A$2:$A$50000,$B$4,缺陷明细!$G$2:$G$50000,$C110,缺陷明细!$J$2:$J$50000,"验收测试",缺陷明细!$K$2:$K$50000,"严重",缺陷明细!$AA$2:$AA$50000,"&lt;&gt;丢弃",缺陷明细!$AA$2:$AA$50000,"&lt;&gt;设计如此",缺陷明细!$AA$2:$AA$50000,"&lt;&gt;重复Bug")</f>
        <v>0</v>
      </c>
      <c r="X110" s="76">
        <f>COUNTIFS(缺陷明细!$A$2:$A$50000,$B$4,缺陷明细!$G$2:$G$50000,$C110,缺陷明细!$Q$2:$Q$50000,"已关闭",缺陷明细!$J$2:$J$50000,"验收测试",缺陷明细!$K$2:$K$50000,"致命")+COUNTIFS(缺陷明细!$A$2:$A$50000,$B$4,缺陷明细!$G$2:$G$50000,$C110,缺陷明细!$Q$2:$Q$50000,"已关闭",缺陷明细!$J$2:$J$50000,"验收测试",缺陷明细!$K$2:$K$50000,"严重")</f>
        <v>0</v>
      </c>
      <c r="Y110" s="70">
        <f>COUNTIFS(缺陷明细!$A$2:$A$50000,$B$4,缺陷明细!$G$2:$G$50000,$C110,缺陷明细!$J$2:$J$50000,"运维测试",缺陷明细!$AA$2:$AA$50000,"&lt;&gt;丢弃",缺陷明细!$AA$2:$AA$50000,"&lt;&gt;设计如此",缺陷明细!$AA$2:$AA$50000,"&lt;&gt;重复Bug")</f>
        <v>0</v>
      </c>
      <c r="Z110" s="71">
        <f>COUNTIFS(缺陷明细!$A$2:$A$50000,$B$4,缺陷明细!$G$2:$G$50000,$C110,缺陷明细!$Q$2:$Q$50000,"已关闭",缺陷明细!$J$2:$J$50000,"运维测试")</f>
        <v>0</v>
      </c>
      <c r="AA110" s="72">
        <f>COUNTIFS(缺陷明细!$A$2:$A$50000,$B$4,缺陷明细!$G$2:$G$50000,$C110,缺陷明细!$J$2:$J$50000,"运维测试",缺陷明细!$K$2:$K$50000,"致命",缺陷明细!$AA$2:$AA$50000,"&lt;&gt;丢弃",缺陷明细!$AA$2:$AA$50000,"&lt;&gt;设计如此",缺陷明细!$AA$2:$AA$50000,"&lt;&gt;重复Bug")+COUNTIFS(缺陷明细!$A$2:$A$50000,$B$4,缺陷明细!$G$2:$G$50000,$C110,缺陷明细!$J$2:$J$50000,"运维测试",缺陷明细!$K$2:$K$50000,"严重",缺陷明细!$AA$2:$AA$50000,"&lt;&gt;丢弃",缺陷明细!$AA$2:$AA$50000,"&lt;&gt;设计如此",缺陷明细!$AA$2:$AA$50000,"&lt;&gt;重复Bug")</f>
        <v>0</v>
      </c>
      <c r="AB110" s="73">
        <f>COUNTIFS(缺陷明细!$A$2:$A$50000,$B$4,缺陷明细!$G$2:$G$50000,$C110,缺陷明细!$Q$2:$Q$50000,"已关闭",缺陷明细!$J$2:$J$50000,"运维测试",缺陷明细!$K$2:$K$50000,"致命")+COUNTIFS(缺陷明细!$A$2:$A$50000,$B$4,缺陷明细!$G$2:$G$50000,$C110,缺陷明细!$Q$2:$Q$50000,"已关闭",缺陷明细!$J$2:$J$50000,"运维测试",缺陷明细!$K$2:$K$50000,"严重")</f>
        <v>0</v>
      </c>
      <c r="AC110" s="68">
        <f t="shared" si="12"/>
        <v>0</v>
      </c>
      <c r="AD110" s="60">
        <f t="shared" si="13"/>
        <v>0</v>
      </c>
      <c r="AE110" s="60">
        <f t="shared" si="14"/>
        <v>0</v>
      </c>
      <c r="AF110" s="60">
        <f t="shared" si="15"/>
        <v>0</v>
      </c>
      <c r="AG110" s="60">
        <f t="shared" si="16"/>
        <v>0</v>
      </c>
      <c r="AH110" s="60">
        <f t="shared" si="17"/>
        <v>0</v>
      </c>
      <c r="AI110" s="60">
        <f t="shared" si="18"/>
        <v>0</v>
      </c>
      <c r="AJ110" s="61">
        <f t="shared" si="19"/>
        <v>0</v>
      </c>
      <c r="AK110" s="151"/>
    </row>
    <row r="111" spans="1:37">
      <c r="A111">
        <v>107</v>
      </c>
      <c r="B111" s="347">
        <v>611</v>
      </c>
      <c r="C111" s="58" t="s">
        <v>457</v>
      </c>
      <c r="D111" s="84" t="s">
        <v>467</v>
      </c>
      <c r="E111" s="82" t="s">
        <v>472</v>
      </c>
      <c r="F111" s="322">
        <v>4</v>
      </c>
      <c r="G111" s="323">
        <v>4</v>
      </c>
      <c r="H111" s="305">
        <f>COUNTIFS(缺陷明细!$A$2:$A$50000,$B$4,缺陷明细!$G$2:$G$50000,$C111,缺陷明细!$J$2:$J$50000,"评审",缺陷明细!$AA$2:$AA$50000,"&lt;&gt;丢弃",缺陷明细!$AA$2:$AA$50000,"&lt;&gt;设计如此",缺陷明细!$AA$2:$AA$50000,"&lt;&gt;重复Bug")</f>
        <v>0</v>
      </c>
      <c r="I111" s="161">
        <f>COUNTIFS(缺陷明细!$A$2:$A$50000,$B$4,缺陷明细!$G$2:$G$50000,$C111,缺陷明细!$Q$2:$Q$50000,"已关闭",缺陷明细!$J$2:$J$50000,"评审")</f>
        <v>0</v>
      </c>
      <c r="J111" s="161">
        <f>COUNTIFS(缺陷明细!$A$2:$A$50000,$B$4,缺陷明细!$G$2:$G$50000,$C111,缺陷明细!$J$2:$J$50000,"单元测试",缺陷明细!$AA$2:$AA$50000,"&lt;&gt;丢弃",缺陷明细!$AA$2:$AA$50000,"&lt;&gt;设计如此",缺陷明细!$AA$2:$AA$50000,"&lt;&gt;重复Bug")</f>
        <v>0</v>
      </c>
      <c r="K111" s="162">
        <f>COUNTIFS(缺陷明细!$A$2:$A$50000,$B$4,缺陷明细!$G$2:$G$50000,$C111,缺陷明细!$Q$2:$Q$50000,"已关闭",缺陷明细!$J$2:$J$50000,"单元测试")</f>
        <v>0</v>
      </c>
      <c r="L111" s="163"/>
      <c r="M111" s="164"/>
      <c r="N111" s="72">
        <f>COUNTIFS(缺陷明细!$A$2:$A$50000,$B$4,缺陷明细!$G$2:$G$50000,$C111,缺陷明细!$J$2:$J$50000,"系统测试案例评审",缺陷明细!$AA$2:$AA$50000,"&lt;&gt;丢弃",缺陷明细!$AA$2:$AA$50000,"&lt;&gt;设计如此",缺陷明细!$AA$2:$AA$50000,"&lt;&gt;重复Bug")</f>
        <v>0</v>
      </c>
      <c r="O111" s="72">
        <f>COUNTIFS(缺陷明细!$A$2:$A$50000,$B$4,缺陷明细!$G$2:$G$50000,$C111,缺陷明细!$Q$2:$Q$50000,"已关闭",缺陷明细!$J$2:$J$50000,"系统测试案例评审")</f>
        <v>0</v>
      </c>
      <c r="P111" s="72">
        <f>COUNTIFS(缺陷明细!$A$2:$A$50000,$B$4,缺陷明细!$G$2:$G$50000,$C111,缺陷明细!$J$2:$J$50000,"系统测试",缺陷明细!$AA$2:$AA$50000,"&lt;&gt;丢弃",缺陷明细!$AA$2:$AA$50000,"&lt;&gt;设计如此",缺陷明细!$AA$2:$AA$50000,"&lt;&gt;重复Bug")</f>
        <v>0</v>
      </c>
      <c r="Q111" s="72">
        <f>COUNTIFS(缺陷明细!$A$2:$A$50000,$B$4,缺陷明细!$G$2:$G$50000,$C111,缺陷明细!$Q$2:$Q$50000,"已关闭",缺陷明细!$J$2:$J$50000,"系统测试")</f>
        <v>0</v>
      </c>
      <c r="R111" s="354">
        <f>COUNTIFS(缺陷明细!$A$2:$A$50000,$B$4,缺陷明细!$G$2:$G$50000,$C111,缺陷明细!$AA$2:$AA$50000,"丢弃",缺陷明细!$J$2:$J$50000,"系统测试")+COUNTIFS(缺陷明细!$A$2:$A$50000,$B$4,缺陷明细!$G$2:$G$50000,$C111,缺陷明细!$AA$2:$AA$50000,"设计如此",缺陷明细!$J$2:$J$50000,"系统测试")+COUNTIFS(缺陷明细!$A$2:$A$50000,$B$4,缺陷明细!$G$2:$G$50000,$C111,缺陷明细!$AA$2:$AA$50000,"重复Bug",缺陷明细!$J$2:$J$50000,"系统测试")</f>
        <v>0</v>
      </c>
      <c r="S111" s="72">
        <f>COUNTIFS(缺陷明细!$A$2:$A$50000,$B$4,缺陷明细!$G$2:$G$50000,$C111,缺陷明细!$J$2:$J$50000,"系统测试",缺陷明细!$K$2:$K$50000,"致命",缺陷明细!$AA$2:$AA$50000,"&lt;&gt;丢弃",缺陷明细!$AA$2:$AA$50000,"&lt;&gt;设计如此",缺陷明细!$AA$2:$AA$50000,"&lt;&gt;重复Bug")+COUNTIFS(缺陷明细!$A$2:$A$50000,$B$4,缺陷明细!$G$2:$G$50000,$C111,缺陷明细!$J$2:$J$50000,"系统测试",缺陷明细!$K$2:$K$50000,"严重",缺陷明细!$AA$2:$AA$50000,"&lt;&gt;丢弃",缺陷明细!$AA$2:$AA$50000,"&lt;&gt;设计如此",缺陷明细!$AA$2:$AA$50000,"&lt;&gt;重复Bug")</f>
        <v>0</v>
      </c>
      <c r="T111" s="73">
        <f>COUNTIFS(缺陷明细!$A$2:$A$50000,$B$4,缺陷明细!$G$2:$G$50000,$C111,缺陷明细!$Q$2:$Q$50000,"已关闭",缺陷明细!$J$2:$J$50000,"系统测试",缺陷明细!$K$2:$K$50000,"致命")+COUNTIFS(缺陷明细!$A$2:$A$50000,$B$4,缺陷明细!$G$2:$G$50000,$C111,缺陷明细!$Q$2:$Q$50000,"已关闭",缺陷明细!$J$2:$J$50000,"系统测试",缺陷明细!$K$2:$K$50000,"严重")</f>
        <v>0</v>
      </c>
      <c r="U111" s="74">
        <f>COUNTIFS(缺陷明细!$A$2:$A$50000,$B$4,缺陷明细!$G$2:$G$50000,$C111,缺陷明细!$J$2:$J$50000,"验收测试",缺陷明细!$AA$2:$AA$50000,"&lt;&gt;丢弃",缺陷明细!$AA$2:$AA$50000,"&lt;&gt;设计如此",缺陷明细!$AA$2:$AA$50000,"&lt;&gt;重复Bug")</f>
        <v>0</v>
      </c>
      <c r="V111" s="75">
        <f>COUNTIFS(缺陷明细!$A$2:$A$50000,$B$4,缺陷明细!$G$2:$G$50000,$C111,缺陷明细!$Q$2:$Q$50000,"已关闭",缺陷明细!$J$2:$J$50000,"验收测试")</f>
        <v>0</v>
      </c>
      <c r="W111" s="75">
        <f>COUNTIFS(缺陷明细!$A$2:$A$50000,$B$4,缺陷明细!$G$2:$G$50000,$C111,缺陷明细!$J$2:$J$50000,"验收测试",缺陷明细!$K$2:$K$50000,"致命",缺陷明细!$AA$2:$AA$50000,"&lt;&gt;丢弃",缺陷明细!$AA$2:$AA$50000,"&lt;&gt;设计如此",缺陷明细!$AA$2:$AA$50000,"&lt;&gt;重复Bug")+COUNTIFS(缺陷明细!$A$2:$A$50000,$B$4,缺陷明细!$G$2:$G$50000,$C111,缺陷明细!$J$2:$J$50000,"验收测试",缺陷明细!$K$2:$K$50000,"严重",缺陷明细!$AA$2:$AA$50000,"&lt;&gt;丢弃",缺陷明细!$AA$2:$AA$50000,"&lt;&gt;设计如此",缺陷明细!$AA$2:$AA$50000,"&lt;&gt;重复Bug")</f>
        <v>0</v>
      </c>
      <c r="X111" s="76">
        <f>COUNTIFS(缺陷明细!$A$2:$A$50000,$B$4,缺陷明细!$G$2:$G$50000,$C111,缺陷明细!$Q$2:$Q$50000,"已关闭",缺陷明细!$J$2:$J$50000,"验收测试",缺陷明细!$K$2:$K$50000,"致命")+COUNTIFS(缺陷明细!$A$2:$A$50000,$B$4,缺陷明细!$G$2:$G$50000,$C111,缺陷明细!$Q$2:$Q$50000,"已关闭",缺陷明细!$J$2:$J$50000,"验收测试",缺陷明细!$K$2:$K$50000,"严重")</f>
        <v>0</v>
      </c>
      <c r="Y111" s="70">
        <f>COUNTIFS(缺陷明细!$A$2:$A$50000,$B$4,缺陷明细!$G$2:$G$50000,$C111,缺陷明细!$J$2:$J$50000,"运维测试",缺陷明细!$AA$2:$AA$50000,"&lt;&gt;丢弃",缺陷明细!$AA$2:$AA$50000,"&lt;&gt;设计如此",缺陷明细!$AA$2:$AA$50000,"&lt;&gt;重复Bug")</f>
        <v>0</v>
      </c>
      <c r="Z111" s="71">
        <f>COUNTIFS(缺陷明细!$A$2:$A$50000,$B$4,缺陷明细!$G$2:$G$50000,$C111,缺陷明细!$Q$2:$Q$50000,"已关闭",缺陷明细!$J$2:$J$50000,"运维测试")</f>
        <v>0</v>
      </c>
      <c r="AA111" s="72">
        <f>COUNTIFS(缺陷明细!$A$2:$A$50000,$B$4,缺陷明细!$G$2:$G$50000,$C111,缺陷明细!$J$2:$J$50000,"运维测试",缺陷明细!$K$2:$K$50000,"致命",缺陷明细!$AA$2:$AA$50000,"&lt;&gt;丢弃",缺陷明细!$AA$2:$AA$50000,"&lt;&gt;设计如此",缺陷明细!$AA$2:$AA$50000,"&lt;&gt;重复Bug")+COUNTIFS(缺陷明细!$A$2:$A$50000,$B$4,缺陷明细!$G$2:$G$50000,$C111,缺陷明细!$J$2:$J$50000,"运维测试",缺陷明细!$K$2:$K$50000,"严重",缺陷明细!$AA$2:$AA$50000,"&lt;&gt;丢弃",缺陷明细!$AA$2:$AA$50000,"&lt;&gt;设计如此",缺陷明细!$AA$2:$AA$50000,"&lt;&gt;重复Bug")</f>
        <v>0</v>
      </c>
      <c r="AB111" s="73">
        <f>COUNTIFS(缺陷明细!$A$2:$A$50000,$B$4,缺陷明细!$G$2:$G$50000,$C111,缺陷明细!$Q$2:$Q$50000,"已关闭",缺陷明细!$J$2:$J$50000,"运维测试",缺陷明细!$K$2:$K$50000,"致命")+COUNTIFS(缺陷明细!$A$2:$A$50000,$B$4,缺陷明细!$G$2:$G$50000,$C111,缺陷明细!$Q$2:$Q$50000,"已关闭",缺陷明细!$J$2:$J$50000,"运维测试",缺陷明细!$K$2:$K$50000,"严重")</f>
        <v>0</v>
      </c>
      <c r="AC111" s="68">
        <f t="shared" si="12"/>
        <v>0</v>
      </c>
      <c r="AD111" s="60">
        <f t="shared" si="13"/>
        <v>0</v>
      </c>
      <c r="AE111" s="60">
        <f t="shared" si="14"/>
        <v>0</v>
      </c>
      <c r="AF111" s="60">
        <f t="shared" si="15"/>
        <v>0</v>
      </c>
      <c r="AG111" s="60">
        <f t="shared" si="16"/>
        <v>0</v>
      </c>
      <c r="AH111" s="60">
        <f t="shared" si="17"/>
        <v>0</v>
      </c>
      <c r="AI111" s="60">
        <f t="shared" si="18"/>
        <v>0</v>
      </c>
      <c r="AJ111" s="61">
        <f t="shared" si="19"/>
        <v>0</v>
      </c>
      <c r="AK111" s="151"/>
    </row>
    <row r="112" spans="1:37" ht="26.4">
      <c r="A112">
        <v>108</v>
      </c>
      <c r="B112" s="347">
        <v>613</v>
      </c>
      <c r="C112" s="58" t="s">
        <v>458</v>
      </c>
      <c r="D112" s="84" t="s">
        <v>467</v>
      </c>
      <c r="E112" s="82" t="s">
        <v>472</v>
      </c>
      <c r="F112" s="322">
        <v>4</v>
      </c>
      <c r="G112" s="323">
        <v>6</v>
      </c>
      <c r="H112" s="305">
        <f>COUNTIFS(缺陷明细!$A$2:$A$50000,$B$4,缺陷明细!$G$2:$G$50000,$C112,缺陷明细!$J$2:$J$50000,"评审",缺陷明细!$AA$2:$AA$50000,"&lt;&gt;丢弃",缺陷明细!$AA$2:$AA$50000,"&lt;&gt;设计如此",缺陷明细!$AA$2:$AA$50000,"&lt;&gt;重复Bug")</f>
        <v>0</v>
      </c>
      <c r="I112" s="161">
        <f>COUNTIFS(缺陷明细!$A$2:$A$50000,$B$4,缺陷明细!$G$2:$G$50000,$C112,缺陷明细!$Q$2:$Q$50000,"已关闭",缺陷明细!$J$2:$J$50000,"评审")</f>
        <v>0</v>
      </c>
      <c r="J112" s="161">
        <f>COUNTIFS(缺陷明细!$A$2:$A$50000,$B$4,缺陷明细!$G$2:$G$50000,$C112,缺陷明细!$J$2:$J$50000,"单元测试",缺陷明细!$AA$2:$AA$50000,"&lt;&gt;丢弃",缺陷明细!$AA$2:$AA$50000,"&lt;&gt;设计如此",缺陷明细!$AA$2:$AA$50000,"&lt;&gt;重复Bug")</f>
        <v>0</v>
      </c>
      <c r="K112" s="162">
        <f>COUNTIFS(缺陷明细!$A$2:$A$50000,$B$4,缺陷明细!$G$2:$G$50000,$C112,缺陷明细!$Q$2:$Q$50000,"已关闭",缺陷明细!$J$2:$J$50000,"单元测试")</f>
        <v>0</v>
      </c>
      <c r="L112" s="163"/>
      <c r="M112" s="164"/>
      <c r="N112" s="72">
        <f>COUNTIFS(缺陷明细!$A$2:$A$50000,$B$4,缺陷明细!$G$2:$G$50000,$C112,缺陷明细!$J$2:$J$50000,"系统测试案例评审",缺陷明细!$AA$2:$AA$50000,"&lt;&gt;丢弃",缺陷明细!$AA$2:$AA$50000,"&lt;&gt;设计如此",缺陷明细!$AA$2:$AA$50000,"&lt;&gt;重复Bug")</f>
        <v>0</v>
      </c>
      <c r="O112" s="72">
        <f>COUNTIFS(缺陷明细!$A$2:$A$50000,$B$4,缺陷明细!$G$2:$G$50000,$C112,缺陷明细!$Q$2:$Q$50000,"已关闭",缺陷明细!$J$2:$J$50000,"系统测试案例评审")</f>
        <v>0</v>
      </c>
      <c r="P112" s="72">
        <f>COUNTIFS(缺陷明细!$A$2:$A$50000,$B$4,缺陷明细!$G$2:$G$50000,$C112,缺陷明细!$J$2:$J$50000,"系统测试",缺陷明细!$AA$2:$AA$50000,"&lt;&gt;丢弃",缺陷明细!$AA$2:$AA$50000,"&lt;&gt;设计如此",缺陷明细!$AA$2:$AA$50000,"&lt;&gt;重复Bug")</f>
        <v>0</v>
      </c>
      <c r="Q112" s="72">
        <f>COUNTIFS(缺陷明细!$A$2:$A$50000,$B$4,缺陷明细!$G$2:$G$50000,$C112,缺陷明细!$Q$2:$Q$50000,"已关闭",缺陷明细!$J$2:$J$50000,"系统测试")</f>
        <v>0</v>
      </c>
      <c r="R112" s="354">
        <f>COUNTIFS(缺陷明细!$A$2:$A$50000,$B$4,缺陷明细!$G$2:$G$50000,$C112,缺陷明细!$AA$2:$AA$50000,"丢弃",缺陷明细!$J$2:$J$50000,"系统测试")+COUNTIFS(缺陷明细!$A$2:$A$50000,$B$4,缺陷明细!$G$2:$G$50000,$C112,缺陷明细!$AA$2:$AA$50000,"设计如此",缺陷明细!$J$2:$J$50000,"系统测试")+COUNTIFS(缺陷明细!$A$2:$A$50000,$B$4,缺陷明细!$G$2:$G$50000,$C112,缺陷明细!$AA$2:$AA$50000,"重复Bug",缺陷明细!$J$2:$J$50000,"系统测试")</f>
        <v>0</v>
      </c>
      <c r="S112" s="72">
        <f>COUNTIFS(缺陷明细!$A$2:$A$50000,$B$4,缺陷明细!$G$2:$G$50000,$C112,缺陷明细!$J$2:$J$50000,"系统测试",缺陷明细!$K$2:$K$50000,"致命",缺陷明细!$AA$2:$AA$50000,"&lt;&gt;丢弃",缺陷明细!$AA$2:$AA$50000,"&lt;&gt;设计如此",缺陷明细!$AA$2:$AA$50000,"&lt;&gt;重复Bug")+COUNTIFS(缺陷明细!$A$2:$A$50000,$B$4,缺陷明细!$G$2:$G$50000,$C112,缺陷明细!$J$2:$J$50000,"系统测试",缺陷明细!$K$2:$K$50000,"严重",缺陷明细!$AA$2:$AA$50000,"&lt;&gt;丢弃",缺陷明细!$AA$2:$AA$50000,"&lt;&gt;设计如此",缺陷明细!$AA$2:$AA$50000,"&lt;&gt;重复Bug")</f>
        <v>0</v>
      </c>
      <c r="T112" s="73">
        <f>COUNTIFS(缺陷明细!$A$2:$A$50000,$B$4,缺陷明细!$G$2:$G$50000,$C112,缺陷明细!$Q$2:$Q$50000,"已关闭",缺陷明细!$J$2:$J$50000,"系统测试",缺陷明细!$K$2:$K$50000,"致命")+COUNTIFS(缺陷明细!$A$2:$A$50000,$B$4,缺陷明细!$G$2:$G$50000,$C112,缺陷明细!$Q$2:$Q$50000,"已关闭",缺陷明细!$J$2:$J$50000,"系统测试",缺陷明细!$K$2:$K$50000,"严重")</f>
        <v>0</v>
      </c>
      <c r="U112" s="74">
        <f>COUNTIFS(缺陷明细!$A$2:$A$50000,$B$4,缺陷明细!$G$2:$G$50000,$C112,缺陷明细!$J$2:$J$50000,"验收测试",缺陷明细!$AA$2:$AA$50000,"&lt;&gt;丢弃",缺陷明细!$AA$2:$AA$50000,"&lt;&gt;设计如此",缺陷明细!$AA$2:$AA$50000,"&lt;&gt;重复Bug")</f>
        <v>0</v>
      </c>
      <c r="V112" s="75">
        <f>COUNTIFS(缺陷明细!$A$2:$A$50000,$B$4,缺陷明细!$G$2:$G$50000,$C112,缺陷明细!$Q$2:$Q$50000,"已关闭",缺陷明细!$J$2:$J$50000,"验收测试")</f>
        <v>0</v>
      </c>
      <c r="W112" s="75">
        <f>COUNTIFS(缺陷明细!$A$2:$A$50000,$B$4,缺陷明细!$G$2:$G$50000,$C112,缺陷明细!$J$2:$J$50000,"验收测试",缺陷明细!$K$2:$K$50000,"致命",缺陷明细!$AA$2:$AA$50000,"&lt;&gt;丢弃",缺陷明细!$AA$2:$AA$50000,"&lt;&gt;设计如此",缺陷明细!$AA$2:$AA$50000,"&lt;&gt;重复Bug")+COUNTIFS(缺陷明细!$A$2:$A$50000,$B$4,缺陷明细!$G$2:$G$50000,$C112,缺陷明细!$J$2:$J$50000,"验收测试",缺陷明细!$K$2:$K$50000,"严重",缺陷明细!$AA$2:$AA$50000,"&lt;&gt;丢弃",缺陷明细!$AA$2:$AA$50000,"&lt;&gt;设计如此",缺陷明细!$AA$2:$AA$50000,"&lt;&gt;重复Bug")</f>
        <v>0</v>
      </c>
      <c r="X112" s="76">
        <f>COUNTIFS(缺陷明细!$A$2:$A$50000,$B$4,缺陷明细!$G$2:$G$50000,$C112,缺陷明细!$Q$2:$Q$50000,"已关闭",缺陷明细!$J$2:$J$50000,"验收测试",缺陷明细!$K$2:$K$50000,"致命")+COUNTIFS(缺陷明细!$A$2:$A$50000,$B$4,缺陷明细!$G$2:$G$50000,$C112,缺陷明细!$Q$2:$Q$50000,"已关闭",缺陷明细!$J$2:$J$50000,"验收测试",缺陷明细!$K$2:$K$50000,"严重")</f>
        <v>0</v>
      </c>
      <c r="Y112" s="70">
        <f>COUNTIFS(缺陷明细!$A$2:$A$50000,$B$4,缺陷明细!$G$2:$G$50000,$C112,缺陷明细!$J$2:$J$50000,"运维测试",缺陷明细!$AA$2:$AA$50000,"&lt;&gt;丢弃",缺陷明细!$AA$2:$AA$50000,"&lt;&gt;设计如此",缺陷明细!$AA$2:$AA$50000,"&lt;&gt;重复Bug")</f>
        <v>0</v>
      </c>
      <c r="Z112" s="71">
        <f>COUNTIFS(缺陷明细!$A$2:$A$50000,$B$4,缺陷明细!$G$2:$G$50000,$C112,缺陷明细!$Q$2:$Q$50000,"已关闭",缺陷明细!$J$2:$J$50000,"运维测试")</f>
        <v>0</v>
      </c>
      <c r="AA112" s="72">
        <f>COUNTIFS(缺陷明细!$A$2:$A$50000,$B$4,缺陷明细!$G$2:$G$50000,$C112,缺陷明细!$J$2:$J$50000,"运维测试",缺陷明细!$K$2:$K$50000,"致命",缺陷明细!$AA$2:$AA$50000,"&lt;&gt;丢弃",缺陷明细!$AA$2:$AA$50000,"&lt;&gt;设计如此",缺陷明细!$AA$2:$AA$50000,"&lt;&gt;重复Bug")+COUNTIFS(缺陷明细!$A$2:$A$50000,$B$4,缺陷明细!$G$2:$G$50000,$C112,缺陷明细!$J$2:$J$50000,"运维测试",缺陷明细!$K$2:$K$50000,"严重",缺陷明细!$AA$2:$AA$50000,"&lt;&gt;丢弃",缺陷明细!$AA$2:$AA$50000,"&lt;&gt;设计如此",缺陷明细!$AA$2:$AA$50000,"&lt;&gt;重复Bug")</f>
        <v>0</v>
      </c>
      <c r="AB112" s="73">
        <f>COUNTIFS(缺陷明细!$A$2:$A$50000,$B$4,缺陷明细!$G$2:$G$50000,$C112,缺陷明细!$Q$2:$Q$50000,"已关闭",缺陷明细!$J$2:$J$50000,"运维测试",缺陷明细!$K$2:$K$50000,"致命")+COUNTIFS(缺陷明细!$A$2:$A$50000,$B$4,缺陷明细!$G$2:$G$50000,$C112,缺陷明细!$Q$2:$Q$50000,"已关闭",缺陷明细!$J$2:$J$50000,"运维测试",缺陷明细!$K$2:$K$50000,"严重")</f>
        <v>0</v>
      </c>
      <c r="AC112" s="68">
        <f t="shared" si="12"/>
        <v>0</v>
      </c>
      <c r="AD112" s="60">
        <f t="shared" si="13"/>
        <v>0</v>
      </c>
      <c r="AE112" s="60">
        <f t="shared" si="14"/>
        <v>0</v>
      </c>
      <c r="AF112" s="60">
        <f t="shared" si="15"/>
        <v>0</v>
      </c>
      <c r="AG112" s="60">
        <f t="shared" si="16"/>
        <v>0</v>
      </c>
      <c r="AH112" s="60">
        <f t="shared" si="17"/>
        <v>0</v>
      </c>
      <c r="AI112" s="60">
        <f t="shared" si="18"/>
        <v>0</v>
      </c>
      <c r="AJ112" s="61">
        <f t="shared" si="19"/>
        <v>0</v>
      </c>
      <c r="AK112" s="151"/>
    </row>
    <row r="113" spans="1:37">
      <c r="A113">
        <v>109</v>
      </c>
      <c r="B113" s="347">
        <v>622</v>
      </c>
      <c r="C113" s="58" t="s">
        <v>459</v>
      </c>
      <c r="D113" s="84" t="s">
        <v>467</v>
      </c>
      <c r="E113" s="82" t="s">
        <v>472</v>
      </c>
      <c r="F113" s="322">
        <v>8</v>
      </c>
      <c r="G113" s="323">
        <v>6</v>
      </c>
      <c r="H113" s="305">
        <f>COUNTIFS(缺陷明细!$A$2:$A$50000,$B$4,缺陷明细!$G$2:$G$50000,$C113,缺陷明细!$J$2:$J$50000,"评审",缺陷明细!$AA$2:$AA$50000,"&lt;&gt;丢弃",缺陷明细!$AA$2:$AA$50000,"&lt;&gt;设计如此",缺陷明细!$AA$2:$AA$50000,"&lt;&gt;重复Bug")</f>
        <v>0</v>
      </c>
      <c r="I113" s="161">
        <f>COUNTIFS(缺陷明细!$A$2:$A$50000,$B$4,缺陷明细!$G$2:$G$50000,$C113,缺陷明细!$Q$2:$Q$50000,"已关闭",缺陷明细!$J$2:$J$50000,"评审")</f>
        <v>0</v>
      </c>
      <c r="J113" s="161">
        <f>COUNTIFS(缺陷明细!$A$2:$A$50000,$B$4,缺陷明细!$G$2:$G$50000,$C113,缺陷明细!$J$2:$J$50000,"单元测试",缺陷明细!$AA$2:$AA$50000,"&lt;&gt;丢弃",缺陷明细!$AA$2:$AA$50000,"&lt;&gt;设计如此",缺陷明细!$AA$2:$AA$50000,"&lt;&gt;重复Bug")</f>
        <v>0</v>
      </c>
      <c r="K113" s="162">
        <f>COUNTIFS(缺陷明细!$A$2:$A$50000,$B$4,缺陷明细!$G$2:$G$50000,$C113,缺陷明细!$Q$2:$Q$50000,"已关闭",缺陷明细!$J$2:$J$50000,"单元测试")</f>
        <v>0</v>
      </c>
      <c r="L113" s="163"/>
      <c r="M113" s="164"/>
      <c r="N113" s="72">
        <f>COUNTIFS(缺陷明细!$A$2:$A$50000,$B$4,缺陷明细!$G$2:$G$50000,$C113,缺陷明细!$J$2:$J$50000,"系统测试案例评审",缺陷明细!$AA$2:$AA$50000,"&lt;&gt;丢弃",缺陷明细!$AA$2:$AA$50000,"&lt;&gt;设计如此",缺陷明细!$AA$2:$AA$50000,"&lt;&gt;重复Bug")</f>
        <v>0</v>
      </c>
      <c r="O113" s="72">
        <f>COUNTIFS(缺陷明细!$A$2:$A$50000,$B$4,缺陷明细!$G$2:$G$50000,$C113,缺陷明细!$Q$2:$Q$50000,"已关闭",缺陷明细!$J$2:$J$50000,"系统测试案例评审")</f>
        <v>0</v>
      </c>
      <c r="P113" s="72">
        <f>COUNTIFS(缺陷明细!$A$2:$A$50000,$B$4,缺陷明细!$G$2:$G$50000,$C113,缺陷明细!$J$2:$J$50000,"系统测试",缺陷明细!$AA$2:$AA$50000,"&lt;&gt;丢弃",缺陷明细!$AA$2:$AA$50000,"&lt;&gt;设计如此",缺陷明细!$AA$2:$AA$50000,"&lt;&gt;重复Bug")</f>
        <v>0</v>
      </c>
      <c r="Q113" s="72">
        <f>COUNTIFS(缺陷明细!$A$2:$A$50000,$B$4,缺陷明细!$G$2:$G$50000,$C113,缺陷明细!$Q$2:$Q$50000,"已关闭",缺陷明细!$J$2:$J$50000,"系统测试")</f>
        <v>0</v>
      </c>
      <c r="R113" s="354">
        <f>COUNTIFS(缺陷明细!$A$2:$A$50000,$B$4,缺陷明细!$G$2:$G$50000,$C113,缺陷明细!$AA$2:$AA$50000,"丢弃",缺陷明细!$J$2:$J$50000,"系统测试")+COUNTIFS(缺陷明细!$A$2:$A$50000,$B$4,缺陷明细!$G$2:$G$50000,$C113,缺陷明细!$AA$2:$AA$50000,"设计如此",缺陷明细!$J$2:$J$50000,"系统测试")+COUNTIFS(缺陷明细!$A$2:$A$50000,$B$4,缺陷明细!$G$2:$G$50000,$C113,缺陷明细!$AA$2:$AA$50000,"重复Bug",缺陷明细!$J$2:$J$50000,"系统测试")</f>
        <v>0</v>
      </c>
      <c r="S113" s="72">
        <f>COUNTIFS(缺陷明细!$A$2:$A$50000,$B$4,缺陷明细!$G$2:$G$50000,$C113,缺陷明细!$J$2:$J$50000,"系统测试",缺陷明细!$K$2:$K$50000,"致命",缺陷明细!$AA$2:$AA$50000,"&lt;&gt;丢弃",缺陷明细!$AA$2:$AA$50000,"&lt;&gt;设计如此",缺陷明细!$AA$2:$AA$50000,"&lt;&gt;重复Bug")+COUNTIFS(缺陷明细!$A$2:$A$50000,$B$4,缺陷明细!$G$2:$G$50000,$C113,缺陷明细!$J$2:$J$50000,"系统测试",缺陷明细!$K$2:$K$50000,"严重",缺陷明细!$AA$2:$AA$50000,"&lt;&gt;丢弃",缺陷明细!$AA$2:$AA$50000,"&lt;&gt;设计如此",缺陷明细!$AA$2:$AA$50000,"&lt;&gt;重复Bug")</f>
        <v>0</v>
      </c>
      <c r="T113" s="73">
        <f>COUNTIFS(缺陷明细!$A$2:$A$50000,$B$4,缺陷明细!$G$2:$G$50000,$C113,缺陷明细!$Q$2:$Q$50000,"已关闭",缺陷明细!$J$2:$J$50000,"系统测试",缺陷明细!$K$2:$K$50000,"致命")+COUNTIFS(缺陷明细!$A$2:$A$50000,$B$4,缺陷明细!$G$2:$G$50000,$C113,缺陷明细!$Q$2:$Q$50000,"已关闭",缺陷明细!$J$2:$J$50000,"系统测试",缺陷明细!$K$2:$K$50000,"严重")</f>
        <v>0</v>
      </c>
      <c r="U113" s="74">
        <f>COUNTIFS(缺陷明细!$A$2:$A$50000,$B$4,缺陷明细!$G$2:$G$50000,$C113,缺陷明细!$J$2:$J$50000,"验收测试",缺陷明细!$AA$2:$AA$50000,"&lt;&gt;丢弃",缺陷明细!$AA$2:$AA$50000,"&lt;&gt;设计如此",缺陷明细!$AA$2:$AA$50000,"&lt;&gt;重复Bug")</f>
        <v>0</v>
      </c>
      <c r="V113" s="75">
        <f>COUNTIFS(缺陷明细!$A$2:$A$50000,$B$4,缺陷明细!$G$2:$G$50000,$C113,缺陷明细!$Q$2:$Q$50000,"已关闭",缺陷明细!$J$2:$J$50000,"验收测试")</f>
        <v>0</v>
      </c>
      <c r="W113" s="75">
        <f>COUNTIFS(缺陷明细!$A$2:$A$50000,$B$4,缺陷明细!$G$2:$G$50000,$C113,缺陷明细!$J$2:$J$50000,"验收测试",缺陷明细!$K$2:$K$50000,"致命",缺陷明细!$AA$2:$AA$50000,"&lt;&gt;丢弃",缺陷明细!$AA$2:$AA$50000,"&lt;&gt;设计如此",缺陷明细!$AA$2:$AA$50000,"&lt;&gt;重复Bug")+COUNTIFS(缺陷明细!$A$2:$A$50000,$B$4,缺陷明细!$G$2:$G$50000,$C113,缺陷明细!$J$2:$J$50000,"验收测试",缺陷明细!$K$2:$K$50000,"严重",缺陷明细!$AA$2:$AA$50000,"&lt;&gt;丢弃",缺陷明细!$AA$2:$AA$50000,"&lt;&gt;设计如此",缺陷明细!$AA$2:$AA$50000,"&lt;&gt;重复Bug")</f>
        <v>0</v>
      </c>
      <c r="X113" s="76">
        <f>COUNTIFS(缺陷明细!$A$2:$A$50000,$B$4,缺陷明细!$G$2:$G$50000,$C113,缺陷明细!$Q$2:$Q$50000,"已关闭",缺陷明细!$J$2:$J$50000,"验收测试",缺陷明细!$K$2:$K$50000,"致命")+COUNTIFS(缺陷明细!$A$2:$A$50000,$B$4,缺陷明细!$G$2:$G$50000,$C113,缺陷明细!$Q$2:$Q$50000,"已关闭",缺陷明细!$J$2:$J$50000,"验收测试",缺陷明细!$K$2:$K$50000,"严重")</f>
        <v>0</v>
      </c>
      <c r="Y113" s="70">
        <f>COUNTIFS(缺陷明细!$A$2:$A$50000,$B$4,缺陷明细!$G$2:$G$50000,$C113,缺陷明细!$J$2:$J$50000,"运维测试",缺陷明细!$AA$2:$AA$50000,"&lt;&gt;丢弃",缺陷明细!$AA$2:$AA$50000,"&lt;&gt;设计如此",缺陷明细!$AA$2:$AA$50000,"&lt;&gt;重复Bug")</f>
        <v>0</v>
      </c>
      <c r="Z113" s="71">
        <f>COUNTIFS(缺陷明细!$A$2:$A$50000,$B$4,缺陷明细!$G$2:$G$50000,$C113,缺陷明细!$Q$2:$Q$50000,"已关闭",缺陷明细!$J$2:$J$50000,"运维测试")</f>
        <v>0</v>
      </c>
      <c r="AA113" s="72">
        <f>COUNTIFS(缺陷明细!$A$2:$A$50000,$B$4,缺陷明细!$G$2:$G$50000,$C113,缺陷明细!$J$2:$J$50000,"运维测试",缺陷明细!$K$2:$K$50000,"致命",缺陷明细!$AA$2:$AA$50000,"&lt;&gt;丢弃",缺陷明细!$AA$2:$AA$50000,"&lt;&gt;设计如此",缺陷明细!$AA$2:$AA$50000,"&lt;&gt;重复Bug")+COUNTIFS(缺陷明细!$A$2:$A$50000,$B$4,缺陷明细!$G$2:$G$50000,$C113,缺陷明细!$J$2:$J$50000,"运维测试",缺陷明细!$K$2:$K$50000,"严重",缺陷明细!$AA$2:$AA$50000,"&lt;&gt;丢弃",缺陷明细!$AA$2:$AA$50000,"&lt;&gt;设计如此",缺陷明细!$AA$2:$AA$50000,"&lt;&gt;重复Bug")</f>
        <v>0</v>
      </c>
      <c r="AB113" s="73">
        <f>COUNTIFS(缺陷明细!$A$2:$A$50000,$B$4,缺陷明细!$G$2:$G$50000,$C113,缺陷明细!$Q$2:$Q$50000,"已关闭",缺陷明细!$J$2:$J$50000,"运维测试",缺陷明细!$K$2:$K$50000,"致命")+COUNTIFS(缺陷明细!$A$2:$A$50000,$B$4,缺陷明细!$G$2:$G$50000,$C113,缺陷明细!$Q$2:$Q$50000,"已关闭",缺陷明细!$J$2:$J$50000,"运维测试",缺陷明细!$K$2:$K$50000,"严重")</f>
        <v>0</v>
      </c>
      <c r="AC113" s="68">
        <f t="shared" si="12"/>
        <v>0</v>
      </c>
      <c r="AD113" s="60">
        <f t="shared" si="13"/>
        <v>0</v>
      </c>
      <c r="AE113" s="60">
        <f t="shared" si="14"/>
        <v>0</v>
      </c>
      <c r="AF113" s="60">
        <f t="shared" si="15"/>
        <v>0</v>
      </c>
      <c r="AG113" s="60">
        <f t="shared" si="16"/>
        <v>0</v>
      </c>
      <c r="AH113" s="60">
        <f t="shared" si="17"/>
        <v>0</v>
      </c>
      <c r="AI113" s="60">
        <f t="shared" si="18"/>
        <v>0</v>
      </c>
      <c r="AJ113" s="61">
        <f t="shared" si="19"/>
        <v>0</v>
      </c>
      <c r="AK113" s="151"/>
    </row>
    <row r="114" spans="1:37" ht="26.4">
      <c r="A114">
        <v>110</v>
      </c>
      <c r="B114" s="347">
        <v>626</v>
      </c>
      <c r="C114" s="58" t="s">
        <v>460</v>
      </c>
      <c r="D114" s="84" t="s">
        <v>467</v>
      </c>
      <c r="E114" s="82" t="s">
        <v>472</v>
      </c>
      <c r="F114" s="322">
        <v>8</v>
      </c>
      <c r="G114" s="323">
        <v>8</v>
      </c>
      <c r="H114" s="305">
        <f>COUNTIFS(缺陷明细!$A$2:$A$50000,$B$4,缺陷明细!$G$2:$G$50000,$C114,缺陷明细!$J$2:$J$50000,"评审",缺陷明细!$AA$2:$AA$50000,"&lt;&gt;丢弃",缺陷明细!$AA$2:$AA$50000,"&lt;&gt;设计如此",缺陷明细!$AA$2:$AA$50000,"&lt;&gt;重复Bug")</f>
        <v>0</v>
      </c>
      <c r="I114" s="161">
        <f>COUNTIFS(缺陷明细!$A$2:$A$50000,$B$4,缺陷明细!$G$2:$G$50000,$C114,缺陷明细!$Q$2:$Q$50000,"已关闭",缺陷明细!$J$2:$J$50000,"评审")</f>
        <v>0</v>
      </c>
      <c r="J114" s="161">
        <f>COUNTIFS(缺陷明细!$A$2:$A$50000,$B$4,缺陷明细!$G$2:$G$50000,$C114,缺陷明细!$J$2:$J$50000,"单元测试",缺陷明细!$AA$2:$AA$50000,"&lt;&gt;丢弃",缺陷明细!$AA$2:$AA$50000,"&lt;&gt;设计如此",缺陷明细!$AA$2:$AA$50000,"&lt;&gt;重复Bug")</f>
        <v>0</v>
      </c>
      <c r="K114" s="162">
        <f>COUNTIFS(缺陷明细!$A$2:$A$50000,$B$4,缺陷明细!$G$2:$G$50000,$C114,缺陷明细!$Q$2:$Q$50000,"已关闭",缺陷明细!$J$2:$J$50000,"单元测试")</f>
        <v>0</v>
      </c>
      <c r="L114" s="163"/>
      <c r="M114" s="164"/>
      <c r="N114" s="72">
        <f>COUNTIFS(缺陷明细!$A$2:$A$50000,$B$4,缺陷明细!$G$2:$G$50000,$C114,缺陷明细!$J$2:$J$50000,"系统测试案例评审",缺陷明细!$AA$2:$AA$50000,"&lt;&gt;丢弃",缺陷明细!$AA$2:$AA$50000,"&lt;&gt;设计如此",缺陷明细!$AA$2:$AA$50000,"&lt;&gt;重复Bug")</f>
        <v>0</v>
      </c>
      <c r="O114" s="72">
        <f>COUNTIFS(缺陷明细!$A$2:$A$50000,$B$4,缺陷明细!$G$2:$G$50000,$C114,缺陷明细!$Q$2:$Q$50000,"已关闭",缺陷明细!$J$2:$J$50000,"系统测试案例评审")</f>
        <v>0</v>
      </c>
      <c r="P114" s="72">
        <f>COUNTIFS(缺陷明细!$A$2:$A$50000,$B$4,缺陷明细!$G$2:$G$50000,$C114,缺陷明细!$J$2:$J$50000,"系统测试",缺陷明细!$AA$2:$AA$50000,"&lt;&gt;丢弃",缺陷明细!$AA$2:$AA$50000,"&lt;&gt;设计如此",缺陷明细!$AA$2:$AA$50000,"&lt;&gt;重复Bug")</f>
        <v>0</v>
      </c>
      <c r="Q114" s="72">
        <f>COUNTIFS(缺陷明细!$A$2:$A$50000,$B$4,缺陷明细!$G$2:$G$50000,$C114,缺陷明细!$Q$2:$Q$50000,"已关闭",缺陷明细!$J$2:$J$50000,"系统测试")</f>
        <v>0</v>
      </c>
      <c r="R114" s="354">
        <f>COUNTIFS(缺陷明细!$A$2:$A$50000,$B$4,缺陷明细!$G$2:$G$50000,$C114,缺陷明细!$AA$2:$AA$50000,"丢弃",缺陷明细!$J$2:$J$50000,"系统测试")+COUNTIFS(缺陷明细!$A$2:$A$50000,$B$4,缺陷明细!$G$2:$G$50000,$C114,缺陷明细!$AA$2:$AA$50000,"设计如此",缺陷明细!$J$2:$J$50000,"系统测试")+COUNTIFS(缺陷明细!$A$2:$A$50000,$B$4,缺陷明细!$G$2:$G$50000,$C114,缺陷明细!$AA$2:$AA$50000,"重复Bug",缺陷明细!$J$2:$J$50000,"系统测试")</f>
        <v>0</v>
      </c>
      <c r="S114" s="72">
        <f>COUNTIFS(缺陷明细!$A$2:$A$50000,$B$4,缺陷明细!$G$2:$G$50000,$C114,缺陷明细!$J$2:$J$50000,"系统测试",缺陷明细!$K$2:$K$50000,"致命",缺陷明细!$AA$2:$AA$50000,"&lt;&gt;丢弃",缺陷明细!$AA$2:$AA$50000,"&lt;&gt;设计如此",缺陷明细!$AA$2:$AA$50000,"&lt;&gt;重复Bug")+COUNTIFS(缺陷明细!$A$2:$A$50000,$B$4,缺陷明细!$G$2:$G$50000,$C114,缺陷明细!$J$2:$J$50000,"系统测试",缺陷明细!$K$2:$K$50000,"严重",缺陷明细!$AA$2:$AA$50000,"&lt;&gt;丢弃",缺陷明细!$AA$2:$AA$50000,"&lt;&gt;设计如此",缺陷明细!$AA$2:$AA$50000,"&lt;&gt;重复Bug")</f>
        <v>0</v>
      </c>
      <c r="T114" s="73">
        <f>COUNTIFS(缺陷明细!$A$2:$A$50000,$B$4,缺陷明细!$G$2:$G$50000,$C114,缺陷明细!$Q$2:$Q$50000,"已关闭",缺陷明细!$J$2:$J$50000,"系统测试",缺陷明细!$K$2:$K$50000,"致命")+COUNTIFS(缺陷明细!$A$2:$A$50000,$B$4,缺陷明细!$G$2:$G$50000,$C114,缺陷明细!$Q$2:$Q$50000,"已关闭",缺陷明细!$J$2:$J$50000,"系统测试",缺陷明细!$K$2:$K$50000,"严重")</f>
        <v>0</v>
      </c>
      <c r="U114" s="74">
        <f>COUNTIFS(缺陷明细!$A$2:$A$50000,$B$4,缺陷明细!$G$2:$G$50000,$C114,缺陷明细!$J$2:$J$50000,"验收测试",缺陷明细!$AA$2:$AA$50000,"&lt;&gt;丢弃",缺陷明细!$AA$2:$AA$50000,"&lt;&gt;设计如此",缺陷明细!$AA$2:$AA$50000,"&lt;&gt;重复Bug")</f>
        <v>0</v>
      </c>
      <c r="V114" s="75">
        <f>COUNTIFS(缺陷明细!$A$2:$A$50000,$B$4,缺陷明细!$G$2:$G$50000,$C114,缺陷明细!$Q$2:$Q$50000,"已关闭",缺陷明细!$J$2:$J$50000,"验收测试")</f>
        <v>0</v>
      </c>
      <c r="W114" s="75">
        <f>COUNTIFS(缺陷明细!$A$2:$A$50000,$B$4,缺陷明细!$G$2:$G$50000,$C114,缺陷明细!$J$2:$J$50000,"验收测试",缺陷明细!$K$2:$K$50000,"致命",缺陷明细!$AA$2:$AA$50000,"&lt;&gt;丢弃",缺陷明细!$AA$2:$AA$50000,"&lt;&gt;设计如此",缺陷明细!$AA$2:$AA$50000,"&lt;&gt;重复Bug")+COUNTIFS(缺陷明细!$A$2:$A$50000,$B$4,缺陷明细!$G$2:$G$50000,$C114,缺陷明细!$J$2:$J$50000,"验收测试",缺陷明细!$K$2:$K$50000,"严重",缺陷明细!$AA$2:$AA$50000,"&lt;&gt;丢弃",缺陷明细!$AA$2:$AA$50000,"&lt;&gt;设计如此",缺陷明细!$AA$2:$AA$50000,"&lt;&gt;重复Bug")</f>
        <v>0</v>
      </c>
      <c r="X114" s="76">
        <f>COUNTIFS(缺陷明细!$A$2:$A$50000,$B$4,缺陷明细!$G$2:$G$50000,$C114,缺陷明细!$Q$2:$Q$50000,"已关闭",缺陷明细!$J$2:$J$50000,"验收测试",缺陷明细!$K$2:$K$50000,"致命")+COUNTIFS(缺陷明细!$A$2:$A$50000,$B$4,缺陷明细!$G$2:$G$50000,$C114,缺陷明细!$Q$2:$Q$50000,"已关闭",缺陷明细!$J$2:$J$50000,"验收测试",缺陷明细!$K$2:$K$50000,"严重")</f>
        <v>0</v>
      </c>
      <c r="Y114" s="70">
        <f>COUNTIFS(缺陷明细!$A$2:$A$50000,$B$4,缺陷明细!$G$2:$G$50000,$C114,缺陷明细!$J$2:$J$50000,"运维测试",缺陷明细!$AA$2:$AA$50000,"&lt;&gt;丢弃",缺陷明细!$AA$2:$AA$50000,"&lt;&gt;设计如此",缺陷明细!$AA$2:$AA$50000,"&lt;&gt;重复Bug")</f>
        <v>0</v>
      </c>
      <c r="Z114" s="71">
        <f>COUNTIFS(缺陷明细!$A$2:$A$50000,$B$4,缺陷明细!$G$2:$G$50000,$C114,缺陷明细!$Q$2:$Q$50000,"已关闭",缺陷明细!$J$2:$J$50000,"运维测试")</f>
        <v>0</v>
      </c>
      <c r="AA114" s="72">
        <f>COUNTIFS(缺陷明细!$A$2:$A$50000,$B$4,缺陷明细!$G$2:$G$50000,$C114,缺陷明细!$J$2:$J$50000,"运维测试",缺陷明细!$K$2:$K$50000,"致命",缺陷明细!$AA$2:$AA$50000,"&lt;&gt;丢弃",缺陷明细!$AA$2:$AA$50000,"&lt;&gt;设计如此",缺陷明细!$AA$2:$AA$50000,"&lt;&gt;重复Bug")+COUNTIFS(缺陷明细!$A$2:$A$50000,$B$4,缺陷明细!$G$2:$G$50000,$C114,缺陷明细!$J$2:$J$50000,"运维测试",缺陷明细!$K$2:$K$50000,"严重",缺陷明细!$AA$2:$AA$50000,"&lt;&gt;丢弃",缺陷明细!$AA$2:$AA$50000,"&lt;&gt;设计如此",缺陷明细!$AA$2:$AA$50000,"&lt;&gt;重复Bug")</f>
        <v>0</v>
      </c>
      <c r="AB114" s="73">
        <f>COUNTIFS(缺陷明细!$A$2:$A$50000,$B$4,缺陷明细!$G$2:$G$50000,$C114,缺陷明细!$Q$2:$Q$50000,"已关闭",缺陷明细!$J$2:$J$50000,"运维测试",缺陷明细!$K$2:$K$50000,"致命")+COUNTIFS(缺陷明细!$A$2:$A$50000,$B$4,缺陷明细!$G$2:$G$50000,$C114,缺陷明细!$Q$2:$Q$50000,"已关闭",缺陷明细!$J$2:$J$50000,"运维测试",缺陷明细!$K$2:$K$50000,"严重")</f>
        <v>0</v>
      </c>
      <c r="AC114" s="68">
        <f t="shared" si="12"/>
        <v>0</v>
      </c>
      <c r="AD114" s="60">
        <f t="shared" si="13"/>
        <v>0</v>
      </c>
      <c r="AE114" s="60">
        <f t="shared" si="14"/>
        <v>0</v>
      </c>
      <c r="AF114" s="60">
        <f t="shared" si="15"/>
        <v>0</v>
      </c>
      <c r="AG114" s="60">
        <f t="shared" si="16"/>
        <v>0</v>
      </c>
      <c r="AH114" s="60">
        <f t="shared" si="17"/>
        <v>0</v>
      </c>
      <c r="AI114" s="60">
        <f t="shared" si="18"/>
        <v>0</v>
      </c>
      <c r="AJ114" s="61">
        <f t="shared" si="19"/>
        <v>0</v>
      </c>
      <c r="AK114" s="151"/>
    </row>
    <row r="115" spans="1:37" ht="26.4">
      <c r="A115">
        <v>111</v>
      </c>
      <c r="B115" s="347">
        <v>627</v>
      </c>
      <c r="C115" s="58" t="s">
        <v>461</v>
      </c>
      <c r="D115" s="84" t="s">
        <v>467</v>
      </c>
      <c r="E115" s="82" t="s">
        <v>472</v>
      </c>
      <c r="F115" s="322">
        <v>8</v>
      </c>
      <c r="G115" s="323">
        <v>2</v>
      </c>
      <c r="H115" s="305">
        <f>COUNTIFS(缺陷明细!$A$2:$A$50000,$B$4,缺陷明细!$G$2:$G$50000,$C115,缺陷明细!$J$2:$J$50000,"评审",缺陷明细!$AA$2:$AA$50000,"&lt;&gt;丢弃",缺陷明细!$AA$2:$AA$50000,"&lt;&gt;设计如此",缺陷明细!$AA$2:$AA$50000,"&lt;&gt;重复Bug")</f>
        <v>0</v>
      </c>
      <c r="I115" s="161">
        <f>COUNTIFS(缺陷明细!$A$2:$A$50000,$B$4,缺陷明细!$G$2:$G$50000,$C115,缺陷明细!$Q$2:$Q$50000,"已关闭",缺陷明细!$J$2:$J$50000,"评审")</f>
        <v>0</v>
      </c>
      <c r="J115" s="161">
        <f>COUNTIFS(缺陷明细!$A$2:$A$50000,$B$4,缺陷明细!$G$2:$G$50000,$C115,缺陷明细!$J$2:$J$50000,"单元测试",缺陷明细!$AA$2:$AA$50000,"&lt;&gt;丢弃",缺陷明细!$AA$2:$AA$50000,"&lt;&gt;设计如此",缺陷明细!$AA$2:$AA$50000,"&lt;&gt;重复Bug")</f>
        <v>0</v>
      </c>
      <c r="K115" s="162">
        <f>COUNTIFS(缺陷明细!$A$2:$A$50000,$B$4,缺陷明细!$G$2:$G$50000,$C115,缺陷明细!$Q$2:$Q$50000,"已关闭",缺陷明细!$J$2:$J$50000,"单元测试")</f>
        <v>0</v>
      </c>
      <c r="L115" s="163"/>
      <c r="M115" s="164"/>
      <c r="N115" s="72">
        <f>COUNTIFS(缺陷明细!$A$2:$A$50000,$B$4,缺陷明细!$G$2:$G$50000,$C115,缺陷明细!$J$2:$J$50000,"系统测试案例评审",缺陷明细!$AA$2:$AA$50000,"&lt;&gt;丢弃",缺陷明细!$AA$2:$AA$50000,"&lt;&gt;设计如此",缺陷明细!$AA$2:$AA$50000,"&lt;&gt;重复Bug")</f>
        <v>0</v>
      </c>
      <c r="O115" s="72">
        <f>COUNTIFS(缺陷明细!$A$2:$A$50000,$B$4,缺陷明细!$G$2:$G$50000,$C115,缺陷明细!$Q$2:$Q$50000,"已关闭",缺陷明细!$J$2:$J$50000,"系统测试案例评审")</f>
        <v>0</v>
      </c>
      <c r="P115" s="72">
        <f>COUNTIFS(缺陷明细!$A$2:$A$50000,$B$4,缺陷明细!$G$2:$G$50000,$C115,缺陷明细!$J$2:$J$50000,"系统测试",缺陷明细!$AA$2:$AA$50000,"&lt;&gt;丢弃",缺陷明细!$AA$2:$AA$50000,"&lt;&gt;设计如此",缺陷明细!$AA$2:$AA$50000,"&lt;&gt;重复Bug")</f>
        <v>0</v>
      </c>
      <c r="Q115" s="72">
        <f>COUNTIFS(缺陷明细!$A$2:$A$50000,$B$4,缺陷明细!$G$2:$G$50000,$C115,缺陷明细!$Q$2:$Q$50000,"已关闭",缺陷明细!$J$2:$J$50000,"系统测试")</f>
        <v>0</v>
      </c>
      <c r="R115" s="354">
        <f>COUNTIFS(缺陷明细!$A$2:$A$50000,$B$4,缺陷明细!$G$2:$G$50000,$C115,缺陷明细!$AA$2:$AA$50000,"丢弃",缺陷明细!$J$2:$J$50000,"系统测试")+COUNTIFS(缺陷明细!$A$2:$A$50000,$B$4,缺陷明细!$G$2:$G$50000,$C115,缺陷明细!$AA$2:$AA$50000,"设计如此",缺陷明细!$J$2:$J$50000,"系统测试")+COUNTIFS(缺陷明细!$A$2:$A$50000,$B$4,缺陷明细!$G$2:$G$50000,$C115,缺陷明细!$AA$2:$AA$50000,"重复Bug",缺陷明细!$J$2:$J$50000,"系统测试")</f>
        <v>0</v>
      </c>
      <c r="S115" s="72">
        <f>COUNTIFS(缺陷明细!$A$2:$A$50000,$B$4,缺陷明细!$G$2:$G$50000,$C115,缺陷明细!$J$2:$J$50000,"系统测试",缺陷明细!$K$2:$K$50000,"致命",缺陷明细!$AA$2:$AA$50000,"&lt;&gt;丢弃",缺陷明细!$AA$2:$AA$50000,"&lt;&gt;设计如此",缺陷明细!$AA$2:$AA$50000,"&lt;&gt;重复Bug")+COUNTIFS(缺陷明细!$A$2:$A$50000,$B$4,缺陷明细!$G$2:$G$50000,$C115,缺陷明细!$J$2:$J$50000,"系统测试",缺陷明细!$K$2:$K$50000,"严重",缺陷明细!$AA$2:$AA$50000,"&lt;&gt;丢弃",缺陷明细!$AA$2:$AA$50000,"&lt;&gt;设计如此",缺陷明细!$AA$2:$AA$50000,"&lt;&gt;重复Bug")</f>
        <v>0</v>
      </c>
      <c r="T115" s="73">
        <f>COUNTIFS(缺陷明细!$A$2:$A$50000,$B$4,缺陷明细!$G$2:$G$50000,$C115,缺陷明细!$Q$2:$Q$50000,"已关闭",缺陷明细!$J$2:$J$50000,"系统测试",缺陷明细!$K$2:$K$50000,"致命")+COUNTIFS(缺陷明细!$A$2:$A$50000,$B$4,缺陷明细!$G$2:$G$50000,$C115,缺陷明细!$Q$2:$Q$50000,"已关闭",缺陷明细!$J$2:$J$50000,"系统测试",缺陷明细!$K$2:$K$50000,"严重")</f>
        <v>0</v>
      </c>
      <c r="U115" s="74">
        <f>COUNTIFS(缺陷明细!$A$2:$A$50000,$B$4,缺陷明细!$G$2:$G$50000,$C115,缺陷明细!$J$2:$J$50000,"验收测试",缺陷明细!$AA$2:$AA$50000,"&lt;&gt;丢弃",缺陷明细!$AA$2:$AA$50000,"&lt;&gt;设计如此",缺陷明细!$AA$2:$AA$50000,"&lt;&gt;重复Bug")</f>
        <v>0</v>
      </c>
      <c r="V115" s="75">
        <f>COUNTIFS(缺陷明细!$A$2:$A$50000,$B$4,缺陷明细!$G$2:$G$50000,$C115,缺陷明细!$Q$2:$Q$50000,"已关闭",缺陷明细!$J$2:$J$50000,"验收测试")</f>
        <v>0</v>
      </c>
      <c r="W115" s="75">
        <f>COUNTIFS(缺陷明细!$A$2:$A$50000,$B$4,缺陷明细!$G$2:$G$50000,$C115,缺陷明细!$J$2:$J$50000,"验收测试",缺陷明细!$K$2:$K$50000,"致命",缺陷明细!$AA$2:$AA$50000,"&lt;&gt;丢弃",缺陷明细!$AA$2:$AA$50000,"&lt;&gt;设计如此",缺陷明细!$AA$2:$AA$50000,"&lt;&gt;重复Bug")+COUNTIFS(缺陷明细!$A$2:$A$50000,$B$4,缺陷明细!$G$2:$G$50000,$C115,缺陷明细!$J$2:$J$50000,"验收测试",缺陷明细!$K$2:$K$50000,"严重",缺陷明细!$AA$2:$AA$50000,"&lt;&gt;丢弃",缺陷明细!$AA$2:$AA$50000,"&lt;&gt;设计如此",缺陷明细!$AA$2:$AA$50000,"&lt;&gt;重复Bug")</f>
        <v>0</v>
      </c>
      <c r="X115" s="76">
        <f>COUNTIFS(缺陷明细!$A$2:$A$50000,$B$4,缺陷明细!$G$2:$G$50000,$C115,缺陷明细!$Q$2:$Q$50000,"已关闭",缺陷明细!$J$2:$J$50000,"验收测试",缺陷明细!$K$2:$K$50000,"致命")+COUNTIFS(缺陷明细!$A$2:$A$50000,$B$4,缺陷明细!$G$2:$G$50000,$C115,缺陷明细!$Q$2:$Q$50000,"已关闭",缺陷明细!$J$2:$J$50000,"验收测试",缺陷明细!$K$2:$K$50000,"严重")</f>
        <v>0</v>
      </c>
      <c r="Y115" s="70">
        <f>COUNTIFS(缺陷明细!$A$2:$A$50000,$B$4,缺陷明细!$G$2:$G$50000,$C115,缺陷明细!$J$2:$J$50000,"运维测试",缺陷明细!$AA$2:$AA$50000,"&lt;&gt;丢弃",缺陷明细!$AA$2:$AA$50000,"&lt;&gt;设计如此",缺陷明细!$AA$2:$AA$50000,"&lt;&gt;重复Bug")</f>
        <v>0</v>
      </c>
      <c r="Z115" s="71">
        <f>COUNTIFS(缺陷明细!$A$2:$A$50000,$B$4,缺陷明细!$G$2:$G$50000,$C115,缺陷明细!$Q$2:$Q$50000,"已关闭",缺陷明细!$J$2:$J$50000,"运维测试")</f>
        <v>0</v>
      </c>
      <c r="AA115" s="72">
        <f>COUNTIFS(缺陷明细!$A$2:$A$50000,$B$4,缺陷明细!$G$2:$G$50000,$C115,缺陷明细!$J$2:$J$50000,"运维测试",缺陷明细!$K$2:$K$50000,"致命",缺陷明细!$AA$2:$AA$50000,"&lt;&gt;丢弃",缺陷明细!$AA$2:$AA$50000,"&lt;&gt;设计如此",缺陷明细!$AA$2:$AA$50000,"&lt;&gt;重复Bug")+COUNTIFS(缺陷明细!$A$2:$A$50000,$B$4,缺陷明细!$G$2:$G$50000,$C115,缺陷明细!$J$2:$J$50000,"运维测试",缺陷明细!$K$2:$K$50000,"严重",缺陷明细!$AA$2:$AA$50000,"&lt;&gt;丢弃",缺陷明细!$AA$2:$AA$50000,"&lt;&gt;设计如此",缺陷明细!$AA$2:$AA$50000,"&lt;&gt;重复Bug")</f>
        <v>0</v>
      </c>
      <c r="AB115" s="73">
        <f>COUNTIFS(缺陷明细!$A$2:$A$50000,$B$4,缺陷明细!$G$2:$G$50000,$C115,缺陷明细!$Q$2:$Q$50000,"已关闭",缺陷明细!$J$2:$J$50000,"运维测试",缺陷明细!$K$2:$K$50000,"致命")+COUNTIFS(缺陷明细!$A$2:$A$50000,$B$4,缺陷明细!$G$2:$G$50000,$C115,缺陷明细!$Q$2:$Q$50000,"已关闭",缺陷明细!$J$2:$J$50000,"运维测试",缺陷明细!$K$2:$K$50000,"严重")</f>
        <v>0</v>
      </c>
      <c r="AC115" s="68">
        <f t="shared" si="12"/>
        <v>0</v>
      </c>
      <c r="AD115" s="60">
        <f t="shared" si="13"/>
        <v>0</v>
      </c>
      <c r="AE115" s="60">
        <f t="shared" si="14"/>
        <v>0</v>
      </c>
      <c r="AF115" s="60">
        <f t="shared" si="15"/>
        <v>0</v>
      </c>
      <c r="AG115" s="60">
        <f t="shared" si="16"/>
        <v>0</v>
      </c>
      <c r="AH115" s="60">
        <f t="shared" si="17"/>
        <v>0</v>
      </c>
      <c r="AI115" s="60">
        <f t="shared" si="18"/>
        <v>0</v>
      </c>
      <c r="AJ115" s="61">
        <f t="shared" si="19"/>
        <v>0</v>
      </c>
      <c r="AK115" s="151"/>
    </row>
    <row r="116" spans="1:37">
      <c r="A116">
        <v>112</v>
      </c>
      <c r="B116" s="347">
        <v>629</v>
      </c>
      <c r="C116" s="58" t="s">
        <v>462</v>
      </c>
      <c r="D116" s="84" t="s">
        <v>467</v>
      </c>
      <c r="E116" s="82" t="s">
        <v>472</v>
      </c>
      <c r="F116" s="322">
        <v>4</v>
      </c>
      <c r="G116" s="323">
        <v>3</v>
      </c>
      <c r="H116" s="305">
        <f>COUNTIFS(缺陷明细!$A$2:$A$50000,$B$4,缺陷明细!$G$2:$G$50000,$C116,缺陷明细!$J$2:$J$50000,"评审",缺陷明细!$AA$2:$AA$50000,"&lt;&gt;丢弃",缺陷明细!$AA$2:$AA$50000,"&lt;&gt;设计如此",缺陷明细!$AA$2:$AA$50000,"&lt;&gt;重复Bug")</f>
        <v>0</v>
      </c>
      <c r="I116" s="161">
        <f>COUNTIFS(缺陷明细!$A$2:$A$50000,$B$4,缺陷明细!$G$2:$G$50000,$C116,缺陷明细!$Q$2:$Q$50000,"已关闭",缺陷明细!$J$2:$J$50000,"评审")</f>
        <v>0</v>
      </c>
      <c r="J116" s="161">
        <f>COUNTIFS(缺陷明细!$A$2:$A$50000,$B$4,缺陷明细!$G$2:$G$50000,$C116,缺陷明细!$J$2:$J$50000,"单元测试",缺陷明细!$AA$2:$AA$50000,"&lt;&gt;丢弃",缺陷明细!$AA$2:$AA$50000,"&lt;&gt;设计如此",缺陷明细!$AA$2:$AA$50000,"&lt;&gt;重复Bug")</f>
        <v>0</v>
      </c>
      <c r="K116" s="162">
        <f>COUNTIFS(缺陷明细!$A$2:$A$50000,$B$4,缺陷明细!$G$2:$G$50000,$C116,缺陷明细!$Q$2:$Q$50000,"已关闭",缺陷明细!$J$2:$J$50000,"单元测试")</f>
        <v>0</v>
      </c>
      <c r="L116" s="163"/>
      <c r="M116" s="164"/>
      <c r="N116" s="72">
        <f>COUNTIFS(缺陷明细!$A$2:$A$50000,$B$4,缺陷明细!$G$2:$G$50000,$C116,缺陷明细!$J$2:$J$50000,"系统测试案例评审",缺陷明细!$AA$2:$AA$50000,"&lt;&gt;丢弃",缺陷明细!$AA$2:$AA$50000,"&lt;&gt;设计如此",缺陷明细!$AA$2:$AA$50000,"&lt;&gt;重复Bug")</f>
        <v>0</v>
      </c>
      <c r="O116" s="72">
        <f>COUNTIFS(缺陷明细!$A$2:$A$50000,$B$4,缺陷明细!$G$2:$G$50000,$C116,缺陷明细!$Q$2:$Q$50000,"已关闭",缺陷明细!$J$2:$J$50000,"系统测试案例评审")</f>
        <v>0</v>
      </c>
      <c r="P116" s="72">
        <f>COUNTIFS(缺陷明细!$A$2:$A$50000,$B$4,缺陷明细!$G$2:$G$50000,$C116,缺陷明细!$J$2:$J$50000,"系统测试",缺陷明细!$AA$2:$AA$50000,"&lt;&gt;丢弃",缺陷明细!$AA$2:$AA$50000,"&lt;&gt;设计如此",缺陷明细!$AA$2:$AA$50000,"&lt;&gt;重复Bug")</f>
        <v>0</v>
      </c>
      <c r="Q116" s="72">
        <f>COUNTIFS(缺陷明细!$A$2:$A$50000,$B$4,缺陷明细!$G$2:$G$50000,$C116,缺陷明细!$Q$2:$Q$50000,"已关闭",缺陷明细!$J$2:$J$50000,"系统测试")</f>
        <v>0</v>
      </c>
      <c r="R116" s="354">
        <f>COUNTIFS(缺陷明细!$A$2:$A$50000,$B$4,缺陷明细!$G$2:$G$50000,$C116,缺陷明细!$AA$2:$AA$50000,"丢弃",缺陷明细!$J$2:$J$50000,"系统测试")+COUNTIFS(缺陷明细!$A$2:$A$50000,$B$4,缺陷明细!$G$2:$G$50000,$C116,缺陷明细!$AA$2:$AA$50000,"设计如此",缺陷明细!$J$2:$J$50000,"系统测试")+COUNTIFS(缺陷明细!$A$2:$A$50000,$B$4,缺陷明细!$G$2:$G$50000,$C116,缺陷明细!$AA$2:$AA$50000,"重复Bug",缺陷明细!$J$2:$J$50000,"系统测试")</f>
        <v>0</v>
      </c>
      <c r="S116" s="72">
        <f>COUNTIFS(缺陷明细!$A$2:$A$50000,$B$4,缺陷明细!$G$2:$G$50000,$C116,缺陷明细!$J$2:$J$50000,"系统测试",缺陷明细!$K$2:$K$50000,"致命",缺陷明细!$AA$2:$AA$50000,"&lt;&gt;丢弃",缺陷明细!$AA$2:$AA$50000,"&lt;&gt;设计如此",缺陷明细!$AA$2:$AA$50000,"&lt;&gt;重复Bug")+COUNTIFS(缺陷明细!$A$2:$A$50000,$B$4,缺陷明细!$G$2:$G$50000,$C116,缺陷明细!$J$2:$J$50000,"系统测试",缺陷明细!$K$2:$K$50000,"严重",缺陷明细!$AA$2:$AA$50000,"&lt;&gt;丢弃",缺陷明细!$AA$2:$AA$50000,"&lt;&gt;设计如此",缺陷明细!$AA$2:$AA$50000,"&lt;&gt;重复Bug")</f>
        <v>0</v>
      </c>
      <c r="T116" s="73">
        <f>COUNTIFS(缺陷明细!$A$2:$A$50000,$B$4,缺陷明细!$G$2:$G$50000,$C116,缺陷明细!$Q$2:$Q$50000,"已关闭",缺陷明细!$J$2:$J$50000,"系统测试",缺陷明细!$K$2:$K$50000,"致命")+COUNTIFS(缺陷明细!$A$2:$A$50000,$B$4,缺陷明细!$G$2:$G$50000,$C116,缺陷明细!$Q$2:$Q$50000,"已关闭",缺陷明细!$J$2:$J$50000,"系统测试",缺陷明细!$K$2:$K$50000,"严重")</f>
        <v>0</v>
      </c>
      <c r="U116" s="74">
        <f>COUNTIFS(缺陷明细!$A$2:$A$50000,$B$4,缺陷明细!$G$2:$G$50000,$C116,缺陷明细!$J$2:$J$50000,"验收测试",缺陷明细!$AA$2:$AA$50000,"&lt;&gt;丢弃",缺陷明细!$AA$2:$AA$50000,"&lt;&gt;设计如此",缺陷明细!$AA$2:$AA$50000,"&lt;&gt;重复Bug")</f>
        <v>0</v>
      </c>
      <c r="V116" s="75">
        <f>COUNTIFS(缺陷明细!$A$2:$A$50000,$B$4,缺陷明细!$G$2:$G$50000,$C116,缺陷明细!$Q$2:$Q$50000,"已关闭",缺陷明细!$J$2:$J$50000,"验收测试")</f>
        <v>0</v>
      </c>
      <c r="W116" s="75">
        <f>COUNTIFS(缺陷明细!$A$2:$A$50000,$B$4,缺陷明细!$G$2:$G$50000,$C116,缺陷明细!$J$2:$J$50000,"验收测试",缺陷明细!$K$2:$K$50000,"致命",缺陷明细!$AA$2:$AA$50000,"&lt;&gt;丢弃",缺陷明细!$AA$2:$AA$50000,"&lt;&gt;设计如此",缺陷明细!$AA$2:$AA$50000,"&lt;&gt;重复Bug")+COUNTIFS(缺陷明细!$A$2:$A$50000,$B$4,缺陷明细!$G$2:$G$50000,$C116,缺陷明细!$J$2:$J$50000,"验收测试",缺陷明细!$K$2:$K$50000,"严重",缺陷明细!$AA$2:$AA$50000,"&lt;&gt;丢弃",缺陷明细!$AA$2:$AA$50000,"&lt;&gt;设计如此",缺陷明细!$AA$2:$AA$50000,"&lt;&gt;重复Bug")</f>
        <v>0</v>
      </c>
      <c r="X116" s="76">
        <f>COUNTIFS(缺陷明细!$A$2:$A$50000,$B$4,缺陷明细!$G$2:$G$50000,$C116,缺陷明细!$Q$2:$Q$50000,"已关闭",缺陷明细!$J$2:$J$50000,"验收测试",缺陷明细!$K$2:$K$50000,"致命")+COUNTIFS(缺陷明细!$A$2:$A$50000,$B$4,缺陷明细!$G$2:$G$50000,$C116,缺陷明细!$Q$2:$Q$50000,"已关闭",缺陷明细!$J$2:$J$50000,"验收测试",缺陷明细!$K$2:$K$50000,"严重")</f>
        <v>0</v>
      </c>
      <c r="Y116" s="70">
        <f>COUNTIFS(缺陷明细!$A$2:$A$50000,$B$4,缺陷明细!$G$2:$G$50000,$C116,缺陷明细!$J$2:$J$50000,"运维测试",缺陷明细!$AA$2:$AA$50000,"&lt;&gt;丢弃",缺陷明细!$AA$2:$AA$50000,"&lt;&gt;设计如此",缺陷明细!$AA$2:$AA$50000,"&lt;&gt;重复Bug")</f>
        <v>0</v>
      </c>
      <c r="Z116" s="71">
        <f>COUNTIFS(缺陷明细!$A$2:$A$50000,$B$4,缺陷明细!$G$2:$G$50000,$C116,缺陷明细!$Q$2:$Q$50000,"已关闭",缺陷明细!$J$2:$J$50000,"运维测试")</f>
        <v>0</v>
      </c>
      <c r="AA116" s="72">
        <f>COUNTIFS(缺陷明细!$A$2:$A$50000,$B$4,缺陷明细!$G$2:$G$50000,$C116,缺陷明细!$J$2:$J$50000,"运维测试",缺陷明细!$K$2:$K$50000,"致命",缺陷明细!$AA$2:$AA$50000,"&lt;&gt;丢弃",缺陷明细!$AA$2:$AA$50000,"&lt;&gt;设计如此",缺陷明细!$AA$2:$AA$50000,"&lt;&gt;重复Bug")+COUNTIFS(缺陷明细!$A$2:$A$50000,$B$4,缺陷明细!$G$2:$G$50000,$C116,缺陷明细!$J$2:$J$50000,"运维测试",缺陷明细!$K$2:$K$50000,"严重",缺陷明细!$AA$2:$AA$50000,"&lt;&gt;丢弃",缺陷明细!$AA$2:$AA$50000,"&lt;&gt;设计如此",缺陷明细!$AA$2:$AA$50000,"&lt;&gt;重复Bug")</f>
        <v>0</v>
      </c>
      <c r="AB116" s="73">
        <f>COUNTIFS(缺陷明细!$A$2:$A$50000,$B$4,缺陷明细!$G$2:$G$50000,$C116,缺陷明细!$Q$2:$Q$50000,"已关闭",缺陷明细!$J$2:$J$50000,"运维测试",缺陷明细!$K$2:$K$50000,"致命")+COUNTIFS(缺陷明细!$A$2:$A$50000,$B$4,缺陷明细!$G$2:$G$50000,$C116,缺陷明细!$Q$2:$Q$50000,"已关闭",缺陷明细!$J$2:$J$50000,"运维测试",缺陷明细!$K$2:$K$50000,"严重")</f>
        <v>0</v>
      </c>
      <c r="AC116" s="68">
        <f t="shared" si="12"/>
        <v>0</v>
      </c>
      <c r="AD116" s="60">
        <f t="shared" si="13"/>
        <v>0</v>
      </c>
      <c r="AE116" s="60">
        <f t="shared" si="14"/>
        <v>0</v>
      </c>
      <c r="AF116" s="60">
        <f t="shared" si="15"/>
        <v>0</v>
      </c>
      <c r="AG116" s="60">
        <f t="shared" si="16"/>
        <v>0</v>
      </c>
      <c r="AH116" s="60">
        <f t="shared" si="17"/>
        <v>0</v>
      </c>
      <c r="AI116" s="60">
        <f t="shared" si="18"/>
        <v>0</v>
      </c>
      <c r="AJ116" s="61">
        <f t="shared" si="19"/>
        <v>0</v>
      </c>
      <c r="AK116" s="151"/>
    </row>
    <row r="117" spans="1:37" ht="26.4">
      <c r="A117">
        <v>113</v>
      </c>
      <c r="B117" s="347">
        <v>632</v>
      </c>
      <c r="C117" s="58" t="s">
        <v>463</v>
      </c>
      <c r="D117" s="84" t="s">
        <v>467</v>
      </c>
      <c r="E117" s="82" t="s">
        <v>472</v>
      </c>
      <c r="F117" s="322">
        <v>4</v>
      </c>
      <c r="G117" s="323">
        <v>4</v>
      </c>
      <c r="H117" s="305">
        <f>COUNTIFS(缺陷明细!$A$2:$A$50000,$B$4,缺陷明细!$G$2:$G$50000,$C117,缺陷明细!$J$2:$J$50000,"评审",缺陷明细!$AA$2:$AA$50000,"&lt;&gt;丢弃",缺陷明细!$AA$2:$AA$50000,"&lt;&gt;设计如此",缺陷明细!$AA$2:$AA$50000,"&lt;&gt;重复Bug")</f>
        <v>0</v>
      </c>
      <c r="I117" s="161">
        <f>COUNTIFS(缺陷明细!$A$2:$A$50000,$B$4,缺陷明细!$G$2:$G$50000,$C117,缺陷明细!$Q$2:$Q$50000,"已关闭",缺陷明细!$J$2:$J$50000,"评审")</f>
        <v>0</v>
      </c>
      <c r="J117" s="161">
        <f>COUNTIFS(缺陷明细!$A$2:$A$50000,$B$4,缺陷明细!$G$2:$G$50000,$C117,缺陷明细!$J$2:$J$50000,"单元测试",缺陷明细!$AA$2:$AA$50000,"&lt;&gt;丢弃",缺陷明细!$AA$2:$AA$50000,"&lt;&gt;设计如此",缺陷明细!$AA$2:$AA$50000,"&lt;&gt;重复Bug")</f>
        <v>0</v>
      </c>
      <c r="K117" s="162">
        <f>COUNTIFS(缺陷明细!$A$2:$A$50000,$B$4,缺陷明细!$G$2:$G$50000,$C117,缺陷明细!$Q$2:$Q$50000,"已关闭",缺陷明细!$J$2:$J$50000,"单元测试")</f>
        <v>0</v>
      </c>
      <c r="L117" s="163"/>
      <c r="M117" s="164"/>
      <c r="N117" s="72">
        <f>COUNTIFS(缺陷明细!$A$2:$A$50000,$B$4,缺陷明细!$G$2:$G$50000,$C117,缺陷明细!$J$2:$J$50000,"系统测试案例评审",缺陷明细!$AA$2:$AA$50000,"&lt;&gt;丢弃",缺陷明细!$AA$2:$AA$50000,"&lt;&gt;设计如此",缺陷明细!$AA$2:$AA$50000,"&lt;&gt;重复Bug")</f>
        <v>0</v>
      </c>
      <c r="O117" s="72">
        <f>COUNTIFS(缺陷明细!$A$2:$A$50000,$B$4,缺陷明细!$G$2:$G$50000,$C117,缺陷明细!$Q$2:$Q$50000,"已关闭",缺陷明细!$J$2:$J$50000,"系统测试案例评审")</f>
        <v>0</v>
      </c>
      <c r="P117" s="72">
        <f>COUNTIFS(缺陷明细!$A$2:$A$50000,$B$4,缺陷明细!$G$2:$G$50000,$C117,缺陷明细!$J$2:$J$50000,"系统测试",缺陷明细!$AA$2:$AA$50000,"&lt;&gt;丢弃",缺陷明细!$AA$2:$AA$50000,"&lt;&gt;设计如此",缺陷明细!$AA$2:$AA$50000,"&lt;&gt;重复Bug")</f>
        <v>0</v>
      </c>
      <c r="Q117" s="72">
        <f>COUNTIFS(缺陷明细!$A$2:$A$50000,$B$4,缺陷明细!$G$2:$G$50000,$C117,缺陷明细!$Q$2:$Q$50000,"已关闭",缺陷明细!$J$2:$J$50000,"系统测试")</f>
        <v>0</v>
      </c>
      <c r="R117" s="354">
        <f>COUNTIFS(缺陷明细!$A$2:$A$50000,$B$4,缺陷明细!$G$2:$G$50000,$C117,缺陷明细!$AA$2:$AA$50000,"丢弃",缺陷明细!$J$2:$J$50000,"系统测试")+COUNTIFS(缺陷明细!$A$2:$A$50000,$B$4,缺陷明细!$G$2:$G$50000,$C117,缺陷明细!$AA$2:$AA$50000,"设计如此",缺陷明细!$J$2:$J$50000,"系统测试")+COUNTIFS(缺陷明细!$A$2:$A$50000,$B$4,缺陷明细!$G$2:$G$50000,$C117,缺陷明细!$AA$2:$AA$50000,"重复Bug",缺陷明细!$J$2:$J$50000,"系统测试")</f>
        <v>0</v>
      </c>
      <c r="S117" s="72">
        <f>COUNTIFS(缺陷明细!$A$2:$A$50000,$B$4,缺陷明细!$G$2:$G$50000,$C117,缺陷明细!$J$2:$J$50000,"系统测试",缺陷明细!$K$2:$K$50000,"致命",缺陷明细!$AA$2:$AA$50000,"&lt;&gt;丢弃",缺陷明细!$AA$2:$AA$50000,"&lt;&gt;设计如此",缺陷明细!$AA$2:$AA$50000,"&lt;&gt;重复Bug")+COUNTIFS(缺陷明细!$A$2:$A$50000,$B$4,缺陷明细!$G$2:$G$50000,$C117,缺陷明细!$J$2:$J$50000,"系统测试",缺陷明细!$K$2:$K$50000,"严重",缺陷明细!$AA$2:$AA$50000,"&lt;&gt;丢弃",缺陷明细!$AA$2:$AA$50000,"&lt;&gt;设计如此",缺陷明细!$AA$2:$AA$50000,"&lt;&gt;重复Bug")</f>
        <v>0</v>
      </c>
      <c r="T117" s="73">
        <f>COUNTIFS(缺陷明细!$A$2:$A$50000,$B$4,缺陷明细!$G$2:$G$50000,$C117,缺陷明细!$Q$2:$Q$50000,"已关闭",缺陷明细!$J$2:$J$50000,"系统测试",缺陷明细!$K$2:$K$50000,"致命")+COUNTIFS(缺陷明细!$A$2:$A$50000,$B$4,缺陷明细!$G$2:$G$50000,$C117,缺陷明细!$Q$2:$Q$50000,"已关闭",缺陷明细!$J$2:$J$50000,"系统测试",缺陷明细!$K$2:$K$50000,"严重")</f>
        <v>0</v>
      </c>
      <c r="U117" s="74">
        <f>COUNTIFS(缺陷明细!$A$2:$A$50000,$B$4,缺陷明细!$G$2:$G$50000,$C117,缺陷明细!$J$2:$J$50000,"验收测试",缺陷明细!$AA$2:$AA$50000,"&lt;&gt;丢弃",缺陷明细!$AA$2:$AA$50000,"&lt;&gt;设计如此",缺陷明细!$AA$2:$AA$50000,"&lt;&gt;重复Bug")</f>
        <v>0</v>
      </c>
      <c r="V117" s="75">
        <f>COUNTIFS(缺陷明细!$A$2:$A$50000,$B$4,缺陷明细!$G$2:$G$50000,$C117,缺陷明细!$Q$2:$Q$50000,"已关闭",缺陷明细!$J$2:$J$50000,"验收测试")</f>
        <v>0</v>
      </c>
      <c r="W117" s="75">
        <f>COUNTIFS(缺陷明细!$A$2:$A$50000,$B$4,缺陷明细!$G$2:$G$50000,$C117,缺陷明细!$J$2:$J$50000,"验收测试",缺陷明细!$K$2:$K$50000,"致命",缺陷明细!$AA$2:$AA$50000,"&lt;&gt;丢弃",缺陷明细!$AA$2:$AA$50000,"&lt;&gt;设计如此",缺陷明细!$AA$2:$AA$50000,"&lt;&gt;重复Bug")+COUNTIFS(缺陷明细!$A$2:$A$50000,$B$4,缺陷明细!$G$2:$G$50000,$C117,缺陷明细!$J$2:$J$50000,"验收测试",缺陷明细!$K$2:$K$50000,"严重",缺陷明细!$AA$2:$AA$50000,"&lt;&gt;丢弃",缺陷明细!$AA$2:$AA$50000,"&lt;&gt;设计如此",缺陷明细!$AA$2:$AA$50000,"&lt;&gt;重复Bug")</f>
        <v>0</v>
      </c>
      <c r="X117" s="76">
        <f>COUNTIFS(缺陷明细!$A$2:$A$50000,$B$4,缺陷明细!$G$2:$G$50000,$C117,缺陷明细!$Q$2:$Q$50000,"已关闭",缺陷明细!$J$2:$J$50000,"验收测试",缺陷明细!$K$2:$K$50000,"致命")+COUNTIFS(缺陷明细!$A$2:$A$50000,$B$4,缺陷明细!$G$2:$G$50000,$C117,缺陷明细!$Q$2:$Q$50000,"已关闭",缺陷明细!$J$2:$J$50000,"验收测试",缺陷明细!$K$2:$K$50000,"严重")</f>
        <v>0</v>
      </c>
      <c r="Y117" s="70">
        <f>COUNTIFS(缺陷明细!$A$2:$A$50000,$B$4,缺陷明细!$G$2:$G$50000,$C117,缺陷明细!$J$2:$J$50000,"运维测试",缺陷明细!$AA$2:$AA$50000,"&lt;&gt;丢弃",缺陷明细!$AA$2:$AA$50000,"&lt;&gt;设计如此",缺陷明细!$AA$2:$AA$50000,"&lt;&gt;重复Bug")</f>
        <v>0</v>
      </c>
      <c r="Z117" s="71">
        <f>COUNTIFS(缺陷明细!$A$2:$A$50000,$B$4,缺陷明细!$G$2:$G$50000,$C117,缺陷明细!$Q$2:$Q$50000,"已关闭",缺陷明细!$J$2:$J$50000,"运维测试")</f>
        <v>0</v>
      </c>
      <c r="AA117" s="72">
        <f>COUNTIFS(缺陷明细!$A$2:$A$50000,$B$4,缺陷明细!$G$2:$G$50000,$C117,缺陷明细!$J$2:$J$50000,"运维测试",缺陷明细!$K$2:$K$50000,"致命",缺陷明细!$AA$2:$AA$50000,"&lt;&gt;丢弃",缺陷明细!$AA$2:$AA$50000,"&lt;&gt;设计如此",缺陷明细!$AA$2:$AA$50000,"&lt;&gt;重复Bug")+COUNTIFS(缺陷明细!$A$2:$A$50000,$B$4,缺陷明细!$G$2:$G$50000,$C117,缺陷明细!$J$2:$J$50000,"运维测试",缺陷明细!$K$2:$K$50000,"严重",缺陷明细!$AA$2:$AA$50000,"&lt;&gt;丢弃",缺陷明细!$AA$2:$AA$50000,"&lt;&gt;设计如此",缺陷明细!$AA$2:$AA$50000,"&lt;&gt;重复Bug")</f>
        <v>0</v>
      </c>
      <c r="AB117" s="73">
        <f>COUNTIFS(缺陷明细!$A$2:$A$50000,$B$4,缺陷明细!$G$2:$G$50000,$C117,缺陷明细!$Q$2:$Q$50000,"已关闭",缺陷明细!$J$2:$J$50000,"运维测试",缺陷明细!$K$2:$K$50000,"致命")+COUNTIFS(缺陷明细!$A$2:$A$50000,$B$4,缺陷明细!$G$2:$G$50000,$C117,缺陷明细!$Q$2:$Q$50000,"已关闭",缺陷明细!$J$2:$J$50000,"运维测试",缺陷明细!$K$2:$K$50000,"严重")</f>
        <v>0</v>
      </c>
      <c r="AC117" s="68">
        <f t="shared" si="12"/>
        <v>0</v>
      </c>
      <c r="AD117" s="60">
        <f t="shared" si="13"/>
        <v>0</v>
      </c>
      <c r="AE117" s="60">
        <f t="shared" si="14"/>
        <v>0</v>
      </c>
      <c r="AF117" s="60">
        <f t="shared" si="15"/>
        <v>0</v>
      </c>
      <c r="AG117" s="60">
        <f t="shared" si="16"/>
        <v>0</v>
      </c>
      <c r="AH117" s="60">
        <f t="shared" si="17"/>
        <v>0</v>
      </c>
      <c r="AI117" s="60">
        <f t="shared" si="18"/>
        <v>0</v>
      </c>
      <c r="AJ117" s="61">
        <f t="shared" si="19"/>
        <v>0</v>
      </c>
      <c r="AK117" s="151"/>
    </row>
    <row r="118" spans="1:37" ht="26.4">
      <c r="A118">
        <v>114</v>
      </c>
      <c r="B118" s="347">
        <v>636</v>
      </c>
      <c r="C118" s="58" t="s">
        <v>464</v>
      </c>
      <c r="D118" s="84" t="s">
        <v>468</v>
      </c>
      <c r="E118" s="82" t="s">
        <v>472</v>
      </c>
      <c r="F118" s="322">
        <v>0.5</v>
      </c>
      <c r="G118" s="323">
        <v>0.5</v>
      </c>
      <c r="H118" s="305">
        <f>COUNTIFS(缺陷明细!$A$2:$A$50000,$B$4,缺陷明细!$G$2:$G$50000,$C118,缺陷明细!$J$2:$J$50000,"评审",缺陷明细!$AA$2:$AA$50000,"&lt;&gt;丢弃",缺陷明细!$AA$2:$AA$50000,"&lt;&gt;设计如此",缺陷明细!$AA$2:$AA$50000,"&lt;&gt;重复Bug")</f>
        <v>0</v>
      </c>
      <c r="I118" s="161">
        <f>COUNTIFS(缺陷明细!$A$2:$A$50000,$B$4,缺陷明细!$G$2:$G$50000,$C118,缺陷明细!$Q$2:$Q$50000,"已关闭",缺陷明细!$J$2:$J$50000,"评审")</f>
        <v>0</v>
      </c>
      <c r="J118" s="161">
        <f>COUNTIFS(缺陷明细!$A$2:$A$50000,$B$4,缺陷明细!$G$2:$G$50000,$C118,缺陷明细!$J$2:$J$50000,"单元测试",缺陷明细!$AA$2:$AA$50000,"&lt;&gt;丢弃",缺陷明细!$AA$2:$AA$50000,"&lt;&gt;设计如此",缺陷明细!$AA$2:$AA$50000,"&lt;&gt;重复Bug")</f>
        <v>0</v>
      </c>
      <c r="K118" s="162">
        <f>COUNTIFS(缺陷明细!$A$2:$A$50000,$B$4,缺陷明细!$G$2:$G$50000,$C118,缺陷明细!$Q$2:$Q$50000,"已关闭",缺陷明细!$J$2:$J$50000,"单元测试")</f>
        <v>0</v>
      </c>
      <c r="L118" s="163"/>
      <c r="M118" s="164"/>
      <c r="N118" s="72">
        <f>COUNTIFS(缺陷明细!$A$2:$A$50000,$B$4,缺陷明细!$G$2:$G$50000,$C118,缺陷明细!$J$2:$J$50000,"系统测试案例评审",缺陷明细!$AA$2:$AA$50000,"&lt;&gt;丢弃",缺陷明细!$AA$2:$AA$50000,"&lt;&gt;设计如此",缺陷明细!$AA$2:$AA$50000,"&lt;&gt;重复Bug")</f>
        <v>0</v>
      </c>
      <c r="O118" s="72">
        <f>COUNTIFS(缺陷明细!$A$2:$A$50000,$B$4,缺陷明细!$G$2:$G$50000,$C118,缺陷明细!$Q$2:$Q$50000,"已关闭",缺陷明细!$J$2:$J$50000,"系统测试案例评审")</f>
        <v>0</v>
      </c>
      <c r="P118" s="72">
        <f>COUNTIFS(缺陷明细!$A$2:$A$50000,$B$4,缺陷明细!$G$2:$G$50000,$C118,缺陷明细!$J$2:$J$50000,"系统测试",缺陷明细!$AA$2:$AA$50000,"&lt;&gt;丢弃",缺陷明细!$AA$2:$AA$50000,"&lt;&gt;设计如此",缺陷明细!$AA$2:$AA$50000,"&lt;&gt;重复Bug")</f>
        <v>0</v>
      </c>
      <c r="Q118" s="72">
        <f>COUNTIFS(缺陷明细!$A$2:$A$50000,$B$4,缺陷明细!$G$2:$G$50000,$C118,缺陷明细!$Q$2:$Q$50000,"已关闭",缺陷明细!$J$2:$J$50000,"系统测试")</f>
        <v>0</v>
      </c>
      <c r="R118" s="354">
        <f>COUNTIFS(缺陷明细!$A$2:$A$50000,$B$4,缺陷明细!$G$2:$G$50000,$C118,缺陷明细!$AA$2:$AA$50000,"丢弃",缺陷明细!$J$2:$J$50000,"系统测试")+COUNTIFS(缺陷明细!$A$2:$A$50000,$B$4,缺陷明细!$G$2:$G$50000,$C118,缺陷明细!$AA$2:$AA$50000,"设计如此",缺陷明细!$J$2:$J$50000,"系统测试")+COUNTIFS(缺陷明细!$A$2:$A$50000,$B$4,缺陷明细!$G$2:$G$50000,$C118,缺陷明细!$AA$2:$AA$50000,"重复Bug",缺陷明细!$J$2:$J$50000,"系统测试")</f>
        <v>0</v>
      </c>
      <c r="S118" s="72">
        <f>COUNTIFS(缺陷明细!$A$2:$A$50000,$B$4,缺陷明细!$G$2:$G$50000,$C118,缺陷明细!$J$2:$J$50000,"系统测试",缺陷明细!$K$2:$K$50000,"致命",缺陷明细!$AA$2:$AA$50000,"&lt;&gt;丢弃",缺陷明细!$AA$2:$AA$50000,"&lt;&gt;设计如此",缺陷明细!$AA$2:$AA$50000,"&lt;&gt;重复Bug")+COUNTIFS(缺陷明细!$A$2:$A$50000,$B$4,缺陷明细!$G$2:$G$50000,$C118,缺陷明细!$J$2:$J$50000,"系统测试",缺陷明细!$K$2:$K$50000,"严重",缺陷明细!$AA$2:$AA$50000,"&lt;&gt;丢弃",缺陷明细!$AA$2:$AA$50000,"&lt;&gt;设计如此",缺陷明细!$AA$2:$AA$50000,"&lt;&gt;重复Bug")</f>
        <v>0</v>
      </c>
      <c r="T118" s="73">
        <f>COUNTIFS(缺陷明细!$A$2:$A$50000,$B$4,缺陷明细!$G$2:$G$50000,$C118,缺陷明细!$Q$2:$Q$50000,"已关闭",缺陷明细!$J$2:$J$50000,"系统测试",缺陷明细!$K$2:$K$50000,"致命")+COUNTIFS(缺陷明细!$A$2:$A$50000,$B$4,缺陷明细!$G$2:$G$50000,$C118,缺陷明细!$Q$2:$Q$50000,"已关闭",缺陷明细!$J$2:$J$50000,"系统测试",缺陷明细!$K$2:$K$50000,"严重")</f>
        <v>0</v>
      </c>
      <c r="U118" s="74">
        <f>COUNTIFS(缺陷明细!$A$2:$A$50000,$B$4,缺陷明细!$G$2:$G$50000,$C118,缺陷明细!$J$2:$J$50000,"验收测试",缺陷明细!$AA$2:$AA$50000,"&lt;&gt;丢弃",缺陷明细!$AA$2:$AA$50000,"&lt;&gt;设计如此",缺陷明细!$AA$2:$AA$50000,"&lt;&gt;重复Bug")</f>
        <v>0</v>
      </c>
      <c r="V118" s="75">
        <f>COUNTIFS(缺陷明细!$A$2:$A$50000,$B$4,缺陷明细!$G$2:$G$50000,$C118,缺陷明细!$Q$2:$Q$50000,"已关闭",缺陷明细!$J$2:$J$50000,"验收测试")</f>
        <v>0</v>
      </c>
      <c r="W118" s="75">
        <f>COUNTIFS(缺陷明细!$A$2:$A$50000,$B$4,缺陷明细!$G$2:$G$50000,$C118,缺陷明细!$J$2:$J$50000,"验收测试",缺陷明细!$K$2:$K$50000,"致命",缺陷明细!$AA$2:$AA$50000,"&lt;&gt;丢弃",缺陷明细!$AA$2:$AA$50000,"&lt;&gt;设计如此",缺陷明细!$AA$2:$AA$50000,"&lt;&gt;重复Bug")+COUNTIFS(缺陷明细!$A$2:$A$50000,$B$4,缺陷明细!$G$2:$G$50000,$C118,缺陷明细!$J$2:$J$50000,"验收测试",缺陷明细!$K$2:$K$50000,"严重",缺陷明细!$AA$2:$AA$50000,"&lt;&gt;丢弃",缺陷明细!$AA$2:$AA$50000,"&lt;&gt;设计如此",缺陷明细!$AA$2:$AA$50000,"&lt;&gt;重复Bug")</f>
        <v>0</v>
      </c>
      <c r="X118" s="76">
        <f>COUNTIFS(缺陷明细!$A$2:$A$50000,$B$4,缺陷明细!$G$2:$G$50000,$C118,缺陷明细!$Q$2:$Q$50000,"已关闭",缺陷明细!$J$2:$J$50000,"验收测试",缺陷明细!$K$2:$K$50000,"致命")+COUNTIFS(缺陷明细!$A$2:$A$50000,$B$4,缺陷明细!$G$2:$G$50000,$C118,缺陷明细!$Q$2:$Q$50000,"已关闭",缺陷明细!$J$2:$J$50000,"验收测试",缺陷明细!$K$2:$K$50000,"严重")</f>
        <v>0</v>
      </c>
      <c r="Y118" s="70">
        <f>COUNTIFS(缺陷明细!$A$2:$A$50000,$B$4,缺陷明细!$G$2:$G$50000,$C118,缺陷明细!$J$2:$J$50000,"运维测试",缺陷明细!$AA$2:$AA$50000,"&lt;&gt;丢弃",缺陷明细!$AA$2:$AA$50000,"&lt;&gt;设计如此",缺陷明细!$AA$2:$AA$50000,"&lt;&gt;重复Bug")</f>
        <v>0</v>
      </c>
      <c r="Z118" s="71">
        <f>COUNTIFS(缺陷明细!$A$2:$A$50000,$B$4,缺陷明细!$G$2:$G$50000,$C118,缺陷明细!$Q$2:$Q$50000,"已关闭",缺陷明细!$J$2:$J$50000,"运维测试")</f>
        <v>0</v>
      </c>
      <c r="AA118" s="72">
        <f>COUNTIFS(缺陷明细!$A$2:$A$50000,$B$4,缺陷明细!$G$2:$G$50000,$C118,缺陷明细!$J$2:$J$50000,"运维测试",缺陷明细!$K$2:$K$50000,"致命",缺陷明细!$AA$2:$AA$50000,"&lt;&gt;丢弃",缺陷明细!$AA$2:$AA$50000,"&lt;&gt;设计如此",缺陷明细!$AA$2:$AA$50000,"&lt;&gt;重复Bug")+COUNTIFS(缺陷明细!$A$2:$A$50000,$B$4,缺陷明细!$G$2:$G$50000,$C118,缺陷明细!$J$2:$J$50000,"运维测试",缺陷明细!$K$2:$K$50000,"严重",缺陷明细!$AA$2:$AA$50000,"&lt;&gt;丢弃",缺陷明细!$AA$2:$AA$50000,"&lt;&gt;设计如此",缺陷明细!$AA$2:$AA$50000,"&lt;&gt;重复Bug")</f>
        <v>0</v>
      </c>
      <c r="AB118" s="73">
        <f>COUNTIFS(缺陷明细!$A$2:$A$50000,$B$4,缺陷明细!$G$2:$G$50000,$C118,缺陷明细!$Q$2:$Q$50000,"已关闭",缺陷明细!$J$2:$J$50000,"运维测试",缺陷明细!$K$2:$K$50000,"致命")+COUNTIFS(缺陷明细!$A$2:$A$50000,$B$4,缺陷明细!$G$2:$G$50000,$C118,缺陷明细!$Q$2:$Q$50000,"已关闭",缺陷明细!$J$2:$J$50000,"运维测试",缺陷明细!$K$2:$K$50000,"严重")</f>
        <v>0</v>
      </c>
      <c r="AC118" s="68">
        <f t="shared" si="12"/>
        <v>0</v>
      </c>
      <c r="AD118" s="60">
        <f t="shared" si="13"/>
        <v>0</v>
      </c>
      <c r="AE118" s="60">
        <f t="shared" si="14"/>
        <v>0</v>
      </c>
      <c r="AF118" s="60">
        <f t="shared" si="15"/>
        <v>0</v>
      </c>
      <c r="AG118" s="60">
        <f t="shared" si="16"/>
        <v>0</v>
      </c>
      <c r="AH118" s="60">
        <f t="shared" si="17"/>
        <v>0</v>
      </c>
      <c r="AI118" s="60">
        <f t="shared" si="18"/>
        <v>0</v>
      </c>
      <c r="AJ118" s="61">
        <f t="shared" si="19"/>
        <v>0</v>
      </c>
      <c r="AK118" s="151"/>
    </row>
    <row r="119" spans="1:37" ht="39.6">
      <c r="A119">
        <v>115</v>
      </c>
      <c r="B119" s="347">
        <v>637</v>
      </c>
      <c r="C119" s="58" t="s">
        <v>465</v>
      </c>
      <c r="D119" s="84" t="s">
        <v>467</v>
      </c>
      <c r="E119" s="82" t="s">
        <v>472</v>
      </c>
      <c r="F119" s="322">
        <v>8</v>
      </c>
      <c r="G119" s="323">
        <v>6</v>
      </c>
      <c r="H119" s="305">
        <f>COUNTIFS(缺陷明细!$A$2:$A$50000,$B$4,缺陷明细!$G$2:$G$50000,$C119,缺陷明细!$J$2:$J$50000,"评审",缺陷明细!$AA$2:$AA$50000,"&lt;&gt;丢弃",缺陷明细!$AA$2:$AA$50000,"&lt;&gt;设计如此",缺陷明细!$AA$2:$AA$50000,"&lt;&gt;重复Bug")</f>
        <v>0</v>
      </c>
      <c r="I119" s="161">
        <f>COUNTIFS(缺陷明细!$A$2:$A$50000,$B$4,缺陷明细!$G$2:$G$50000,$C119,缺陷明细!$Q$2:$Q$50000,"已关闭",缺陷明细!$J$2:$J$50000,"评审")</f>
        <v>0</v>
      </c>
      <c r="J119" s="161">
        <f>COUNTIFS(缺陷明细!$A$2:$A$50000,$B$4,缺陷明细!$G$2:$G$50000,$C119,缺陷明细!$J$2:$J$50000,"单元测试",缺陷明细!$AA$2:$AA$50000,"&lt;&gt;丢弃",缺陷明细!$AA$2:$AA$50000,"&lt;&gt;设计如此",缺陷明细!$AA$2:$AA$50000,"&lt;&gt;重复Bug")</f>
        <v>0</v>
      </c>
      <c r="K119" s="162">
        <f>COUNTIFS(缺陷明细!$A$2:$A$50000,$B$4,缺陷明细!$G$2:$G$50000,$C119,缺陷明细!$Q$2:$Q$50000,"已关闭",缺陷明细!$J$2:$J$50000,"单元测试")</f>
        <v>0</v>
      </c>
      <c r="L119" s="163"/>
      <c r="M119" s="164"/>
      <c r="N119" s="72">
        <f>COUNTIFS(缺陷明细!$A$2:$A$50000,$B$4,缺陷明细!$G$2:$G$50000,$C119,缺陷明细!$J$2:$J$50000,"系统测试案例评审",缺陷明细!$AA$2:$AA$50000,"&lt;&gt;丢弃",缺陷明细!$AA$2:$AA$50000,"&lt;&gt;设计如此",缺陷明细!$AA$2:$AA$50000,"&lt;&gt;重复Bug")</f>
        <v>0</v>
      </c>
      <c r="O119" s="72">
        <f>COUNTIFS(缺陷明细!$A$2:$A$50000,$B$4,缺陷明细!$G$2:$G$50000,$C119,缺陷明细!$Q$2:$Q$50000,"已关闭",缺陷明细!$J$2:$J$50000,"系统测试案例评审")</f>
        <v>0</v>
      </c>
      <c r="P119" s="72">
        <f>COUNTIFS(缺陷明细!$A$2:$A$50000,$B$4,缺陷明细!$G$2:$G$50000,$C119,缺陷明细!$J$2:$J$50000,"系统测试",缺陷明细!$AA$2:$AA$50000,"&lt;&gt;丢弃",缺陷明细!$AA$2:$AA$50000,"&lt;&gt;设计如此",缺陷明细!$AA$2:$AA$50000,"&lt;&gt;重复Bug")</f>
        <v>0</v>
      </c>
      <c r="Q119" s="72">
        <f>COUNTIFS(缺陷明细!$A$2:$A$50000,$B$4,缺陷明细!$G$2:$G$50000,$C119,缺陷明细!$Q$2:$Q$50000,"已关闭",缺陷明细!$J$2:$J$50000,"系统测试")</f>
        <v>0</v>
      </c>
      <c r="R119" s="354">
        <f>COUNTIFS(缺陷明细!$A$2:$A$50000,$B$4,缺陷明细!$G$2:$G$50000,$C119,缺陷明细!$AA$2:$AA$50000,"丢弃",缺陷明细!$J$2:$J$50000,"系统测试")+COUNTIFS(缺陷明细!$A$2:$A$50000,$B$4,缺陷明细!$G$2:$G$50000,$C119,缺陷明细!$AA$2:$AA$50000,"设计如此",缺陷明细!$J$2:$J$50000,"系统测试")+COUNTIFS(缺陷明细!$A$2:$A$50000,$B$4,缺陷明细!$G$2:$G$50000,$C119,缺陷明细!$AA$2:$AA$50000,"重复Bug",缺陷明细!$J$2:$J$50000,"系统测试")</f>
        <v>0</v>
      </c>
      <c r="S119" s="72">
        <f>COUNTIFS(缺陷明细!$A$2:$A$50000,$B$4,缺陷明细!$G$2:$G$50000,$C119,缺陷明细!$J$2:$J$50000,"系统测试",缺陷明细!$K$2:$K$50000,"致命",缺陷明细!$AA$2:$AA$50000,"&lt;&gt;丢弃",缺陷明细!$AA$2:$AA$50000,"&lt;&gt;设计如此",缺陷明细!$AA$2:$AA$50000,"&lt;&gt;重复Bug")+COUNTIFS(缺陷明细!$A$2:$A$50000,$B$4,缺陷明细!$G$2:$G$50000,$C119,缺陷明细!$J$2:$J$50000,"系统测试",缺陷明细!$K$2:$K$50000,"严重",缺陷明细!$AA$2:$AA$50000,"&lt;&gt;丢弃",缺陷明细!$AA$2:$AA$50000,"&lt;&gt;设计如此",缺陷明细!$AA$2:$AA$50000,"&lt;&gt;重复Bug")</f>
        <v>0</v>
      </c>
      <c r="T119" s="73">
        <f>COUNTIFS(缺陷明细!$A$2:$A$50000,$B$4,缺陷明细!$G$2:$G$50000,$C119,缺陷明细!$Q$2:$Q$50000,"已关闭",缺陷明细!$J$2:$J$50000,"系统测试",缺陷明细!$K$2:$K$50000,"致命")+COUNTIFS(缺陷明细!$A$2:$A$50000,$B$4,缺陷明细!$G$2:$G$50000,$C119,缺陷明细!$Q$2:$Q$50000,"已关闭",缺陷明细!$J$2:$J$50000,"系统测试",缺陷明细!$K$2:$K$50000,"严重")</f>
        <v>0</v>
      </c>
      <c r="U119" s="74">
        <f>COUNTIFS(缺陷明细!$A$2:$A$50000,$B$4,缺陷明细!$G$2:$G$50000,$C119,缺陷明细!$J$2:$J$50000,"验收测试",缺陷明细!$AA$2:$AA$50000,"&lt;&gt;丢弃",缺陷明细!$AA$2:$AA$50000,"&lt;&gt;设计如此",缺陷明细!$AA$2:$AA$50000,"&lt;&gt;重复Bug")</f>
        <v>0</v>
      </c>
      <c r="V119" s="75">
        <f>COUNTIFS(缺陷明细!$A$2:$A$50000,$B$4,缺陷明细!$G$2:$G$50000,$C119,缺陷明细!$Q$2:$Q$50000,"已关闭",缺陷明细!$J$2:$J$50000,"验收测试")</f>
        <v>0</v>
      </c>
      <c r="W119" s="75">
        <f>COUNTIFS(缺陷明细!$A$2:$A$50000,$B$4,缺陷明细!$G$2:$G$50000,$C119,缺陷明细!$J$2:$J$50000,"验收测试",缺陷明细!$K$2:$K$50000,"致命",缺陷明细!$AA$2:$AA$50000,"&lt;&gt;丢弃",缺陷明细!$AA$2:$AA$50000,"&lt;&gt;设计如此",缺陷明细!$AA$2:$AA$50000,"&lt;&gt;重复Bug")+COUNTIFS(缺陷明细!$A$2:$A$50000,$B$4,缺陷明细!$G$2:$G$50000,$C119,缺陷明细!$J$2:$J$50000,"验收测试",缺陷明细!$K$2:$K$50000,"严重",缺陷明细!$AA$2:$AA$50000,"&lt;&gt;丢弃",缺陷明细!$AA$2:$AA$50000,"&lt;&gt;设计如此",缺陷明细!$AA$2:$AA$50000,"&lt;&gt;重复Bug")</f>
        <v>0</v>
      </c>
      <c r="X119" s="76">
        <f>COUNTIFS(缺陷明细!$A$2:$A$50000,$B$4,缺陷明细!$G$2:$G$50000,$C119,缺陷明细!$Q$2:$Q$50000,"已关闭",缺陷明细!$J$2:$J$50000,"验收测试",缺陷明细!$K$2:$K$50000,"致命")+COUNTIFS(缺陷明细!$A$2:$A$50000,$B$4,缺陷明细!$G$2:$G$50000,$C119,缺陷明细!$Q$2:$Q$50000,"已关闭",缺陷明细!$J$2:$J$50000,"验收测试",缺陷明细!$K$2:$K$50000,"严重")</f>
        <v>0</v>
      </c>
      <c r="Y119" s="70">
        <f>COUNTIFS(缺陷明细!$A$2:$A$50000,$B$4,缺陷明细!$G$2:$G$50000,$C119,缺陷明细!$J$2:$J$50000,"运维测试",缺陷明细!$AA$2:$AA$50000,"&lt;&gt;丢弃",缺陷明细!$AA$2:$AA$50000,"&lt;&gt;设计如此",缺陷明细!$AA$2:$AA$50000,"&lt;&gt;重复Bug")</f>
        <v>0</v>
      </c>
      <c r="Z119" s="71">
        <f>COUNTIFS(缺陷明细!$A$2:$A$50000,$B$4,缺陷明细!$G$2:$G$50000,$C119,缺陷明细!$Q$2:$Q$50000,"已关闭",缺陷明细!$J$2:$J$50000,"运维测试")</f>
        <v>0</v>
      </c>
      <c r="AA119" s="72">
        <f>COUNTIFS(缺陷明细!$A$2:$A$50000,$B$4,缺陷明细!$G$2:$G$50000,$C119,缺陷明细!$J$2:$J$50000,"运维测试",缺陷明细!$K$2:$K$50000,"致命",缺陷明细!$AA$2:$AA$50000,"&lt;&gt;丢弃",缺陷明细!$AA$2:$AA$50000,"&lt;&gt;设计如此",缺陷明细!$AA$2:$AA$50000,"&lt;&gt;重复Bug")+COUNTIFS(缺陷明细!$A$2:$A$50000,$B$4,缺陷明细!$G$2:$G$50000,$C119,缺陷明细!$J$2:$J$50000,"运维测试",缺陷明细!$K$2:$K$50000,"严重",缺陷明细!$AA$2:$AA$50000,"&lt;&gt;丢弃",缺陷明细!$AA$2:$AA$50000,"&lt;&gt;设计如此",缺陷明细!$AA$2:$AA$50000,"&lt;&gt;重复Bug")</f>
        <v>0</v>
      </c>
      <c r="AB119" s="73">
        <f>COUNTIFS(缺陷明细!$A$2:$A$50000,$B$4,缺陷明细!$G$2:$G$50000,$C119,缺陷明细!$Q$2:$Q$50000,"已关闭",缺陷明细!$J$2:$J$50000,"运维测试",缺陷明细!$K$2:$K$50000,"致命")+COUNTIFS(缺陷明细!$A$2:$A$50000,$B$4,缺陷明细!$G$2:$G$50000,$C119,缺陷明细!$Q$2:$Q$50000,"已关闭",缺陷明细!$J$2:$J$50000,"运维测试",缺陷明细!$K$2:$K$50000,"严重")</f>
        <v>0</v>
      </c>
      <c r="AC119" s="68">
        <f t="shared" si="12"/>
        <v>0</v>
      </c>
      <c r="AD119" s="60">
        <f t="shared" si="13"/>
        <v>0</v>
      </c>
      <c r="AE119" s="60">
        <f t="shared" si="14"/>
        <v>0</v>
      </c>
      <c r="AF119" s="60">
        <f t="shared" si="15"/>
        <v>0</v>
      </c>
      <c r="AG119" s="60">
        <f t="shared" si="16"/>
        <v>0</v>
      </c>
      <c r="AH119" s="60">
        <f t="shared" si="17"/>
        <v>0</v>
      </c>
      <c r="AI119" s="60">
        <f t="shared" si="18"/>
        <v>0</v>
      </c>
      <c r="AJ119" s="61">
        <f t="shared" si="19"/>
        <v>0</v>
      </c>
      <c r="AK119" s="151"/>
    </row>
    <row r="120" spans="1:37">
      <c r="A120">
        <v>116</v>
      </c>
      <c r="B120" s="347">
        <v>665</v>
      </c>
      <c r="C120" s="58" t="s">
        <v>466</v>
      </c>
      <c r="D120" s="84"/>
      <c r="E120" s="82" t="s">
        <v>471</v>
      </c>
      <c r="F120" s="322">
        <v>0</v>
      </c>
      <c r="G120" s="323">
        <v>0</v>
      </c>
      <c r="H120" s="305">
        <f>COUNTIFS(缺陷明细!$A$2:$A$50000,$B$4,缺陷明细!$G$2:$G$50000,$C120,缺陷明细!$J$2:$J$50000,"评审",缺陷明细!$AA$2:$AA$50000,"&lt;&gt;丢弃",缺陷明细!$AA$2:$AA$50000,"&lt;&gt;设计如此",缺陷明细!$AA$2:$AA$50000,"&lt;&gt;重复Bug")</f>
        <v>0</v>
      </c>
      <c r="I120" s="161">
        <f>COUNTIFS(缺陷明细!$A$2:$A$50000,$B$4,缺陷明细!$G$2:$G$50000,$C120,缺陷明细!$Q$2:$Q$50000,"已关闭",缺陷明细!$J$2:$J$50000,"评审")</f>
        <v>0</v>
      </c>
      <c r="J120" s="161">
        <f>COUNTIFS(缺陷明细!$A$2:$A$50000,$B$4,缺陷明细!$G$2:$G$50000,$C120,缺陷明细!$J$2:$J$50000,"单元测试",缺陷明细!$AA$2:$AA$50000,"&lt;&gt;丢弃",缺陷明细!$AA$2:$AA$50000,"&lt;&gt;设计如此",缺陷明细!$AA$2:$AA$50000,"&lt;&gt;重复Bug")</f>
        <v>0</v>
      </c>
      <c r="K120" s="162">
        <f>COUNTIFS(缺陷明细!$A$2:$A$50000,$B$4,缺陷明细!$G$2:$G$50000,$C120,缺陷明细!$Q$2:$Q$50000,"已关闭",缺陷明细!$J$2:$J$50000,"单元测试")</f>
        <v>0</v>
      </c>
      <c r="L120" s="163"/>
      <c r="M120" s="164"/>
      <c r="N120" s="72">
        <f>COUNTIFS(缺陷明细!$A$2:$A$50000,$B$4,缺陷明细!$G$2:$G$50000,$C120,缺陷明细!$J$2:$J$50000,"系统测试案例评审",缺陷明细!$AA$2:$AA$50000,"&lt;&gt;丢弃",缺陷明细!$AA$2:$AA$50000,"&lt;&gt;设计如此",缺陷明细!$AA$2:$AA$50000,"&lt;&gt;重复Bug")</f>
        <v>0</v>
      </c>
      <c r="O120" s="72">
        <f>COUNTIFS(缺陷明细!$A$2:$A$50000,$B$4,缺陷明细!$G$2:$G$50000,$C120,缺陷明细!$Q$2:$Q$50000,"已关闭",缺陷明细!$J$2:$J$50000,"系统测试案例评审")</f>
        <v>0</v>
      </c>
      <c r="P120" s="72">
        <f>COUNTIFS(缺陷明细!$A$2:$A$50000,$B$4,缺陷明细!$G$2:$G$50000,$C120,缺陷明细!$J$2:$J$50000,"系统测试",缺陷明细!$AA$2:$AA$50000,"&lt;&gt;丢弃",缺陷明细!$AA$2:$AA$50000,"&lt;&gt;设计如此",缺陷明细!$AA$2:$AA$50000,"&lt;&gt;重复Bug")</f>
        <v>0</v>
      </c>
      <c r="Q120" s="72">
        <f>COUNTIFS(缺陷明细!$A$2:$A$50000,$B$4,缺陷明细!$G$2:$G$50000,$C120,缺陷明细!$Q$2:$Q$50000,"已关闭",缺陷明细!$J$2:$J$50000,"系统测试")</f>
        <v>0</v>
      </c>
      <c r="R120" s="354">
        <f>COUNTIFS(缺陷明细!$A$2:$A$50000,$B$4,缺陷明细!$G$2:$G$50000,$C120,缺陷明细!$AA$2:$AA$50000,"丢弃",缺陷明细!$J$2:$J$50000,"系统测试")+COUNTIFS(缺陷明细!$A$2:$A$50000,$B$4,缺陷明细!$G$2:$G$50000,$C120,缺陷明细!$AA$2:$AA$50000,"设计如此",缺陷明细!$J$2:$J$50000,"系统测试")+COUNTIFS(缺陷明细!$A$2:$A$50000,$B$4,缺陷明细!$G$2:$G$50000,$C120,缺陷明细!$AA$2:$AA$50000,"重复Bug",缺陷明细!$J$2:$J$50000,"系统测试")</f>
        <v>0</v>
      </c>
      <c r="S120" s="72">
        <f>COUNTIFS(缺陷明细!$A$2:$A$50000,$B$4,缺陷明细!$G$2:$G$50000,$C120,缺陷明细!$J$2:$J$50000,"系统测试",缺陷明细!$K$2:$K$50000,"致命",缺陷明细!$AA$2:$AA$50000,"&lt;&gt;丢弃",缺陷明细!$AA$2:$AA$50000,"&lt;&gt;设计如此",缺陷明细!$AA$2:$AA$50000,"&lt;&gt;重复Bug")+COUNTIFS(缺陷明细!$A$2:$A$50000,$B$4,缺陷明细!$G$2:$G$50000,$C120,缺陷明细!$J$2:$J$50000,"系统测试",缺陷明细!$K$2:$K$50000,"严重",缺陷明细!$AA$2:$AA$50000,"&lt;&gt;丢弃",缺陷明细!$AA$2:$AA$50000,"&lt;&gt;设计如此",缺陷明细!$AA$2:$AA$50000,"&lt;&gt;重复Bug")</f>
        <v>0</v>
      </c>
      <c r="T120" s="73">
        <f>COUNTIFS(缺陷明细!$A$2:$A$50000,$B$4,缺陷明细!$G$2:$G$50000,$C120,缺陷明细!$Q$2:$Q$50000,"已关闭",缺陷明细!$J$2:$J$50000,"系统测试",缺陷明细!$K$2:$K$50000,"致命")+COUNTIFS(缺陷明细!$A$2:$A$50000,$B$4,缺陷明细!$G$2:$G$50000,$C120,缺陷明细!$Q$2:$Q$50000,"已关闭",缺陷明细!$J$2:$J$50000,"系统测试",缺陷明细!$K$2:$K$50000,"严重")</f>
        <v>0</v>
      </c>
      <c r="U120" s="74">
        <f>COUNTIFS(缺陷明细!$A$2:$A$50000,$B$4,缺陷明细!$G$2:$G$50000,$C120,缺陷明细!$J$2:$J$50000,"验收测试",缺陷明细!$AA$2:$AA$50000,"&lt;&gt;丢弃",缺陷明细!$AA$2:$AA$50000,"&lt;&gt;设计如此",缺陷明细!$AA$2:$AA$50000,"&lt;&gt;重复Bug")</f>
        <v>0</v>
      </c>
      <c r="V120" s="75">
        <f>COUNTIFS(缺陷明细!$A$2:$A$50000,$B$4,缺陷明细!$G$2:$G$50000,$C120,缺陷明细!$Q$2:$Q$50000,"已关闭",缺陷明细!$J$2:$J$50000,"验收测试")</f>
        <v>0</v>
      </c>
      <c r="W120" s="75">
        <f>COUNTIFS(缺陷明细!$A$2:$A$50000,$B$4,缺陷明细!$G$2:$G$50000,$C120,缺陷明细!$J$2:$J$50000,"验收测试",缺陷明细!$K$2:$K$50000,"致命",缺陷明细!$AA$2:$AA$50000,"&lt;&gt;丢弃",缺陷明细!$AA$2:$AA$50000,"&lt;&gt;设计如此",缺陷明细!$AA$2:$AA$50000,"&lt;&gt;重复Bug")+COUNTIFS(缺陷明细!$A$2:$A$50000,$B$4,缺陷明细!$G$2:$G$50000,$C120,缺陷明细!$J$2:$J$50000,"验收测试",缺陷明细!$K$2:$K$50000,"严重",缺陷明细!$AA$2:$AA$50000,"&lt;&gt;丢弃",缺陷明细!$AA$2:$AA$50000,"&lt;&gt;设计如此",缺陷明细!$AA$2:$AA$50000,"&lt;&gt;重复Bug")</f>
        <v>0</v>
      </c>
      <c r="X120" s="76">
        <f>COUNTIFS(缺陷明细!$A$2:$A$50000,$B$4,缺陷明细!$G$2:$G$50000,$C120,缺陷明细!$Q$2:$Q$50000,"已关闭",缺陷明细!$J$2:$J$50000,"验收测试",缺陷明细!$K$2:$K$50000,"致命")+COUNTIFS(缺陷明细!$A$2:$A$50000,$B$4,缺陷明细!$G$2:$G$50000,$C120,缺陷明细!$Q$2:$Q$50000,"已关闭",缺陷明细!$J$2:$J$50000,"验收测试",缺陷明细!$K$2:$K$50000,"严重")</f>
        <v>0</v>
      </c>
      <c r="Y120" s="70">
        <f>COUNTIFS(缺陷明细!$A$2:$A$50000,$B$4,缺陷明细!$G$2:$G$50000,$C120,缺陷明细!$J$2:$J$50000,"运维测试",缺陷明细!$AA$2:$AA$50000,"&lt;&gt;丢弃",缺陷明细!$AA$2:$AA$50000,"&lt;&gt;设计如此",缺陷明细!$AA$2:$AA$50000,"&lt;&gt;重复Bug")</f>
        <v>0</v>
      </c>
      <c r="Z120" s="71">
        <f>COUNTIFS(缺陷明细!$A$2:$A$50000,$B$4,缺陷明细!$G$2:$G$50000,$C120,缺陷明细!$Q$2:$Q$50000,"已关闭",缺陷明细!$J$2:$J$50000,"运维测试")</f>
        <v>0</v>
      </c>
      <c r="AA120" s="72">
        <f>COUNTIFS(缺陷明细!$A$2:$A$50000,$B$4,缺陷明细!$G$2:$G$50000,$C120,缺陷明细!$J$2:$J$50000,"运维测试",缺陷明细!$K$2:$K$50000,"致命",缺陷明细!$AA$2:$AA$50000,"&lt;&gt;丢弃",缺陷明细!$AA$2:$AA$50000,"&lt;&gt;设计如此",缺陷明细!$AA$2:$AA$50000,"&lt;&gt;重复Bug")+COUNTIFS(缺陷明细!$A$2:$A$50000,$B$4,缺陷明细!$G$2:$G$50000,$C120,缺陷明细!$J$2:$J$50000,"运维测试",缺陷明细!$K$2:$K$50000,"严重",缺陷明细!$AA$2:$AA$50000,"&lt;&gt;丢弃",缺陷明细!$AA$2:$AA$50000,"&lt;&gt;设计如此",缺陷明细!$AA$2:$AA$50000,"&lt;&gt;重复Bug")</f>
        <v>0</v>
      </c>
      <c r="AB120" s="73">
        <f>COUNTIFS(缺陷明细!$A$2:$A$50000,$B$4,缺陷明细!$G$2:$G$50000,$C120,缺陷明细!$Q$2:$Q$50000,"已关闭",缺陷明细!$J$2:$J$50000,"运维测试",缺陷明细!$K$2:$K$50000,"致命")+COUNTIFS(缺陷明细!$A$2:$A$50000,$B$4,缺陷明细!$G$2:$G$50000,$C120,缺陷明细!$Q$2:$Q$50000,"已关闭",缺陷明细!$J$2:$J$50000,"运维测试",缺陷明细!$K$2:$K$50000,"严重")</f>
        <v>0</v>
      </c>
      <c r="AC120" s="68">
        <f t="shared" si="12"/>
        <v>0</v>
      </c>
      <c r="AD120" s="60">
        <f t="shared" si="13"/>
        <v>0</v>
      </c>
      <c r="AE120" s="60">
        <f t="shared" si="14"/>
        <v>0</v>
      </c>
      <c r="AF120" s="60">
        <f t="shared" si="15"/>
        <v>0</v>
      </c>
      <c r="AG120" s="60">
        <f t="shared" si="16"/>
        <v>0</v>
      </c>
      <c r="AH120" s="60">
        <f t="shared" si="17"/>
        <v>0</v>
      </c>
      <c r="AI120" s="60">
        <f t="shared" si="18"/>
        <v>0</v>
      </c>
      <c r="AJ120" s="61">
        <f t="shared" si="19"/>
        <v>0</v>
      </c>
      <c r="AK120" s="151"/>
    </row>
    <row r="121" spans="1:37">
      <c r="A121">
        <v>117</v>
      </c>
      <c r="B121" s="347">
        <v>666</v>
      </c>
      <c r="C121" s="58" t="s">
        <v>466</v>
      </c>
      <c r="D121" s="84"/>
      <c r="E121" s="82" t="s">
        <v>471</v>
      </c>
      <c r="F121" s="322">
        <v>0</v>
      </c>
      <c r="G121" s="323">
        <v>0</v>
      </c>
      <c r="H121" s="305">
        <f>COUNTIFS(缺陷明细!$A$2:$A$50000,$B$4,缺陷明细!$G$2:$G$50000,$C121,缺陷明细!$J$2:$J$50000,"评审",缺陷明细!$AA$2:$AA$50000,"&lt;&gt;丢弃",缺陷明细!$AA$2:$AA$50000,"&lt;&gt;设计如此",缺陷明细!$AA$2:$AA$50000,"&lt;&gt;重复Bug")</f>
        <v>0</v>
      </c>
      <c r="I121" s="161">
        <f>COUNTIFS(缺陷明细!$A$2:$A$50000,$B$4,缺陷明细!$G$2:$G$50000,$C121,缺陷明细!$Q$2:$Q$50000,"已关闭",缺陷明细!$J$2:$J$50000,"评审")</f>
        <v>0</v>
      </c>
      <c r="J121" s="161">
        <f>COUNTIFS(缺陷明细!$A$2:$A$50000,$B$4,缺陷明细!$G$2:$G$50000,$C121,缺陷明细!$J$2:$J$50000,"单元测试",缺陷明细!$AA$2:$AA$50000,"&lt;&gt;丢弃",缺陷明细!$AA$2:$AA$50000,"&lt;&gt;设计如此",缺陷明细!$AA$2:$AA$50000,"&lt;&gt;重复Bug")</f>
        <v>0</v>
      </c>
      <c r="K121" s="162">
        <f>COUNTIFS(缺陷明细!$A$2:$A$50000,$B$4,缺陷明细!$G$2:$G$50000,$C121,缺陷明细!$Q$2:$Q$50000,"已关闭",缺陷明细!$J$2:$J$50000,"单元测试")</f>
        <v>0</v>
      </c>
      <c r="L121" s="163"/>
      <c r="M121" s="164"/>
      <c r="N121" s="72">
        <f>COUNTIFS(缺陷明细!$A$2:$A$50000,$B$4,缺陷明细!$G$2:$G$50000,$C121,缺陷明细!$J$2:$J$50000,"系统测试案例评审",缺陷明细!$AA$2:$AA$50000,"&lt;&gt;丢弃",缺陷明细!$AA$2:$AA$50000,"&lt;&gt;设计如此",缺陷明细!$AA$2:$AA$50000,"&lt;&gt;重复Bug")</f>
        <v>0</v>
      </c>
      <c r="O121" s="72">
        <f>COUNTIFS(缺陷明细!$A$2:$A$50000,$B$4,缺陷明细!$G$2:$G$50000,$C121,缺陷明细!$Q$2:$Q$50000,"已关闭",缺陷明细!$J$2:$J$50000,"系统测试案例评审")</f>
        <v>0</v>
      </c>
      <c r="P121" s="72">
        <f>COUNTIFS(缺陷明细!$A$2:$A$50000,$B$4,缺陷明细!$G$2:$G$50000,$C121,缺陷明细!$J$2:$J$50000,"系统测试",缺陷明细!$AA$2:$AA$50000,"&lt;&gt;丢弃",缺陷明细!$AA$2:$AA$50000,"&lt;&gt;设计如此",缺陷明细!$AA$2:$AA$50000,"&lt;&gt;重复Bug")</f>
        <v>0</v>
      </c>
      <c r="Q121" s="72">
        <f>COUNTIFS(缺陷明细!$A$2:$A$50000,$B$4,缺陷明细!$G$2:$G$50000,$C121,缺陷明细!$Q$2:$Q$50000,"已关闭",缺陷明细!$J$2:$J$50000,"系统测试")</f>
        <v>0</v>
      </c>
      <c r="R121" s="354">
        <f>COUNTIFS(缺陷明细!$A$2:$A$50000,$B$4,缺陷明细!$G$2:$G$50000,$C121,缺陷明细!$AA$2:$AA$50000,"丢弃",缺陷明细!$J$2:$J$50000,"系统测试")+COUNTIFS(缺陷明细!$A$2:$A$50000,$B$4,缺陷明细!$G$2:$G$50000,$C121,缺陷明细!$AA$2:$AA$50000,"设计如此",缺陷明细!$J$2:$J$50000,"系统测试")+COUNTIFS(缺陷明细!$A$2:$A$50000,$B$4,缺陷明细!$G$2:$G$50000,$C121,缺陷明细!$AA$2:$AA$50000,"重复Bug",缺陷明细!$J$2:$J$50000,"系统测试")</f>
        <v>0</v>
      </c>
      <c r="S121" s="72">
        <f>COUNTIFS(缺陷明细!$A$2:$A$50000,$B$4,缺陷明细!$G$2:$G$50000,$C121,缺陷明细!$J$2:$J$50000,"系统测试",缺陷明细!$K$2:$K$50000,"致命",缺陷明细!$AA$2:$AA$50000,"&lt;&gt;丢弃",缺陷明细!$AA$2:$AA$50000,"&lt;&gt;设计如此",缺陷明细!$AA$2:$AA$50000,"&lt;&gt;重复Bug")+COUNTIFS(缺陷明细!$A$2:$A$50000,$B$4,缺陷明细!$G$2:$G$50000,$C121,缺陷明细!$J$2:$J$50000,"系统测试",缺陷明细!$K$2:$K$50000,"严重",缺陷明细!$AA$2:$AA$50000,"&lt;&gt;丢弃",缺陷明细!$AA$2:$AA$50000,"&lt;&gt;设计如此",缺陷明细!$AA$2:$AA$50000,"&lt;&gt;重复Bug")</f>
        <v>0</v>
      </c>
      <c r="T121" s="73">
        <f>COUNTIFS(缺陷明细!$A$2:$A$50000,$B$4,缺陷明细!$G$2:$G$50000,$C121,缺陷明细!$Q$2:$Q$50000,"已关闭",缺陷明细!$J$2:$J$50000,"系统测试",缺陷明细!$K$2:$K$50000,"致命")+COUNTIFS(缺陷明细!$A$2:$A$50000,$B$4,缺陷明细!$G$2:$G$50000,$C121,缺陷明细!$Q$2:$Q$50000,"已关闭",缺陷明细!$J$2:$J$50000,"系统测试",缺陷明细!$K$2:$K$50000,"严重")</f>
        <v>0</v>
      </c>
      <c r="U121" s="74">
        <f>COUNTIFS(缺陷明细!$A$2:$A$50000,$B$4,缺陷明细!$G$2:$G$50000,$C121,缺陷明细!$J$2:$J$50000,"验收测试",缺陷明细!$AA$2:$AA$50000,"&lt;&gt;丢弃",缺陷明细!$AA$2:$AA$50000,"&lt;&gt;设计如此",缺陷明细!$AA$2:$AA$50000,"&lt;&gt;重复Bug")</f>
        <v>0</v>
      </c>
      <c r="V121" s="75">
        <f>COUNTIFS(缺陷明细!$A$2:$A$50000,$B$4,缺陷明细!$G$2:$G$50000,$C121,缺陷明细!$Q$2:$Q$50000,"已关闭",缺陷明细!$J$2:$J$50000,"验收测试")</f>
        <v>0</v>
      </c>
      <c r="W121" s="75">
        <f>COUNTIFS(缺陷明细!$A$2:$A$50000,$B$4,缺陷明细!$G$2:$G$50000,$C121,缺陷明细!$J$2:$J$50000,"验收测试",缺陷明细!$K$2:$K$50000,"致命",缺陷明细!$AA$2:$AA$50000,"&lt;&gt;丢弃",缺陷明细!$AA$2:$AA$50000,"&lt;&gt;设计如此",缺陷明细!$AA$2:$AA$50000,"&lt;&gt;重复Bug")+COUNTIFS(缺陷明细!$A$2:$A$50000,$B$4,缺陷明细!$G$2:$G$50000,$C121,缺陷明细!$J$2:$J$50000,"验收测试",缺陷明细!$K$2:$K$50000,"严重",缺陷明细!$AA$2:$AA$50000,"&lt;&gt;丢弃",缺陷明细!$AA$2:$AA$50000,"&lt;&gt;设计如此",缺陷明细!$AA$2:$AA$50000,"&lt;&gt;重复Bug")</f>
        <v>0</v>
      </c>
      <c r="X121" s="76">
        <f>COUNTIFS(缺陷明细!$A$2:$A$50000,$B$4,缺陷明细!$G$2:$G$50000,$C121,缺陷明细!$Q$2:$Q$50000,"已关闭",缺陷明细!$J$2:$J$50000,"验收测试",缺陷明细!$K$2:$K$50000,"致命")+COUNTIFS(缺陷明细!$A$2:$A$50000,$B$4,缺陷明细!$G$2:$G$50000,$C121,缺陷明细!$Q$2:$Q$50000,"已关闭",缺陷明细!$J$2:$J$50000,"验收测试",缺陷明细!$K$2:$K$50000,"严重")</f>
        <v>0</v>
      </c>
      <c r="Y121" s="70">
        <f>COUNTIFS(缺陷明细!$A$2:$A$50000,$B$4,缺陷明细!$G$2:$G$50000,$C121,缺陷明细!$J$2:$J$50000,"运维测试",缺陷明细!$AA$2:$AA$50000,"&lt;&gt;丢弃",缺陷明细!$AA$2:$AA$50000,"&lt;&gt;设计如此",缺陷明细!$AA$2:$AA$50000,"&lt;&gt;重复Bug")</f>
        <v>0</v>
      </c>
      <c r="Z121" s="71">
        <f>COUNTIFS(缺陷明细!$A$2:$A$50000,$B$4,缺陷明细!$G$2:$G$50000,$C121,缺陷明细!$Q$2:$Q$50000,"已关闭",缺陷明细!$J$2:$J$50000,"运维测试")</f>
        <v>0</v>
      </c>
      <c r="AA121" s="72">
        <f>COUNTIFS(缺陷明细!$A$2:$A$50000,$B$4,缺陷明细!$G$2:$G$50000,$C121,缺陷明细!$J$2:$J$50000,"运维测试",缺陷明细!$K$2:$K$50000,"致命",缺陷明细!$AA$2:$AA$50000,"&lt;&gt;丢弃",缺陷明细!$AA$2:$AA$50000,"&lt;&gt;设计如此",缺陷明细!$AA$2:$AA$50000,"&lt;&gt;重复Bug")+COUNTIFS(缺陷明细!$A$2:$A$50000,$B$4,缺陷明细!$G$2:$G$50000,$C121,缺陷明细!$J$2:$J$50000,"运维测试",缺陷明细!$K$2:$K$50000,"严重",缺陷明细!$AA$2:$AA$50000,"&lt;&gt;丢弃",缺陷明细!$AA$2:$AA$50000,"&lt;&gt;设计如此",缺陷明细!$AA$2:$AA$50000,"&lt;&gt;重复Bug")</f>
        <v>0</v>
      </c>
      <c r="AB121" s="73">
        <f>COUNTIFS(缺陷明细!$A$2:$A$50000,$B$4,缺陷明细!$G$2:$G$50000,$C121,缺陷明细!$Q$2:$Q$50000,"已关闭",缺陷明细!$J$2:$J$50000,"运维测试",缺陷明细!$K$2:$K$50000,"致命")+COUNTIFS(缺陷明细!$A$2:$A$50000,$B$4,缺陷明细!$G$2:$G$50000,$C121,缺陷明细!$Q$2:$Q$50000,"已关闭",缺陷明细!$J$2:$J$50000,"运维测试",缺陷明细!$K$2:$K$50000,"严重")</f>
        <v>0</v>
      </c>
      <c r="AC121" s="68">
        <f t="shared" si="12"/>
        <v>0</v>
      </c>
      <c r="AD121" s="60">
        <f t="shared" si="13"/>
        <v>0</v>
      </c>
      <c r="AE121" s="60">
        <f t="shared" si="14"/>
        <v>0</v>
      </c>
      <c r="AF121" s="60">
        <f t="shared" si="15"/>
        <v>0</v>
      </c>
      <c r="AG121" s="60">
        <f t="shared" si="16"/>
        <v>0</v>
      </c>
      <c r="AH121" s="60">
        <f t="shared" si="17"/>
        <v>0</v>
      </c>
      <c r="AI121" s="60">
        <f t="shared" si="18"/>
        <v>0</v>
      </c>
      <c r="AJ121" s="61">
        <f t="shared" si="19"/>
        <v>0</v>
      </c>
      <c r="AK121" s="151"/>
    </row>
    <row r="122" spans="1:37" ht="13.8" thickBot="1">
      <c r="B122" s="147"/>
      <c r="C122" s="109"/>
      <c r="D122" s="85"/>
      <c r="E122" s="156"/>
      <c r="F122" s="169"/>
      <c r="G122" s="170"/>
      <c r="H122" s="306">
        <f>COUNTIFS(缺陷明细!$A$2:$A$50000,$B$4,缺陷明细!$G$2:$G$50000,$C122,缺陷明细!$J$2:$J$50000,"评审",缺陷明细!$AA$2:$AA$50000,"&lt;&gt;丢弃",缺陷明细!$AA$2:$AA$50000,"&lt;&gt;设计如此",缺陷明细!$AA$2:$AA$50000,"&lt;&gt;重复Bug")</f>
        <v>0</v>
      </c>
      <c r="I122" s="307">
        <f>COUNTIFS(缺陷明细!$A$2:$A$50000,$B$4,缺陷明细!$G$2:$G$50000,$C122,缺陷明细!$Q$2:$Q$50000,"已关闭",缺陷明细!$J$2:$J$50000,"评审")</f>
        <v>0</v>
      </c>
      <c r="J122" s="307">
        <f>COUNTIFS(缺陷明细!$A$2:$A$50000,$B$4,缺陷明细!$G$2:$G$50000,$C122,缺陷明细!$J$2:$J$50000,"单元测试",缺陷明细!$AA$2:$AA$50000,"&lt;&gt;丢弃",缺陷明细!$AA$2:$AA$50000,"&lt;&gt;设计如此",缺陷明细!$AA$2:$AA$50000,"&lt;&gt;重复Bug")</f>
        <v>0</v>
      </c>
      <c r="K122" s="308">
        <f>COUNTIFS(缺陷明细!$A$2:$A$50000,$B$4,缺陷明细!$G$2:$G$50000,$C122,缺陷明细!$Q$2:$Q$50000,"已关闭",缺陷明细!$J$2:$J$50000,"单元测试")</f>
        <v>0</v>
      </c>
      <c r="L122" s="309"/>
      <c r="M122" s="310"/>
      <c r="N122" s="311">
        <f>COUNTIFS(缺陷明细!$A$2:$A$50000,$B$4,缺陷明细!$G$2:$G$50000,$C122,缺陷明细!$J$2:$J$50000,"系统测试案例评审",缺陷明细!$AA$2:$AA$50000,"&lt;&gt;丢弃",缺陷明细!$AA$2:$AA$50000,"&lt;&gt;设计如此",缺陷明细!$AA$2:$AA$50000,"&lt;&gt;重复Bug")</f>
        <v>0</v>
      </c>
      <c r="O122" s="311">
        <f>COUNTIFS(缺陷明细!$A$2:$A$50000,$B$4,缺陷明细!$G$2:$G$50000,$C122,缺陷明细!$Q$2:$Q$50000,"已关闭",缺陷明细!$J$2:$J$50000,"系统测试案例评审")</f>
        <v>0</v>
      </c>
      <c r="P122" s="311">
        <f>COUNTIFS(缺陷明细!$A$2:$A$50000,$B$4,缺陷明细!$G$2:$G$50000,$C122,缺陷明细!$J$2:$J$50000,"系统测试",缺陷明细!$AA$2:$AA$50000,"&lt;&gt;丢弃",缺陷明细!$AA$2:$AA$50000,"&lt;&gt;设计如此",缺陷明细!$AA$2:$AA$50000,"&lt;&gt;重复Bug")</f>
        <v>165</v>
      </c>
      <c r="Q122" s="311">
        <f>COUNTIFS(缺陷明细!$A$2:$A$50000,$B$4,缺陷明细!$G$2:$G$50000,$C122,缺陷明细!$Q$2:$Q$50000,"已关闭",缺陷明细!$J$2:$J$50000,"系统测试")</f>
        <v>52</v>
      </c>
      <c r="R122" s="355">
        <f>COUNTIFS(缺陷明细!$A$2:$A$50000,$B$4,缺陷明细!$G$2:$G$50000,$C122,缺陷明细!$AA$2:$AA$50000,"丢弃",缺陷明细!$J$2:$J$50000,"系统测试")+COUNTIFS(缺陷明细!$A$2:$A$50000,$B$4,缺陷明细!$G$2:$G$50000,$C122,缺陷明细!$AA$2:$AA$50000,"设计如此",缺陷明细!$J$2:$J$50000,"系统测试")+COUNTIFS(缺陷明细!$A$2:$A$50000,$B$4,缺陷明细!$G$2:$G$50000,$C122,缺陷明细!$AA$2:$AA$50000,"重复Bug",缺陷明细!$J$2:$J$50000,"系统测试")</f>
        <v>19</v>
      </c>
      <c r="S122" s="311">
        <f>COUNTIFS(缺陷明细!$A$2:$A$50000,$B$4,缺陷明细!$G$2:$G$50000,$C122,缺陷明细!$J$2:$J$50000,"系统测试",缺陷明细!$K$2:$K$50000,"致命",缺陷明细!$AA$2:$AA$50000,"&lt;&gt;丢弃",缺陷明细!$AA$2:$AA$50000,"&lt;&gt;设计如此",缺陷明细!$AA$2:$AA$50000,"&lt;&gt;重复Bug")+COUNTIFS(缺陷明细!$A$2:$A$50000,$B$4,缺陷明细!$G$2:$G$50000,$C122,缺陷明细!$J$2:$J$50000,"系统测试",缺陷明细!$K$2:$K$50000,"严重",缺陷明细!$AA$2:$AA$50000,"&lt;&gt;丢弃",缺陷明细!$AA$2:$AA$50000,"&lt;&gt;设计如此",缺陷明细!$AA$2:$AA$50000,"&lt;&gt;重复Bug")</f>
        <v>54</v>
      </c>
      <c r="T122" s="312">
        <f>COUNTIFS(缺陷明细!$A$2:$A$50000,$B$4,缺陷明细!$G$2:$G$50000,$C122,缺陷明细!$Q$2:$Q$50000,"已关闭",缺陷明细!$J$2:$J$50000,"系统测试",缺陷明细!$K$2:$K$50000,"致命")+COUNTIFS(缺陷明细!$A$2:$A$50000,$B$4,缺陷明细!$G$2:$G$50000,$C122,缺陷明细!$Q$2:$Q$50000,"已关闭",缺陷明细!$J$2:$J$50000,"系统测试",缺陷明细!$K$2:$K$50000,"严重")</f>
        <v>22</v>
      </c>
      <c r="U122" s="313">
        <f>COUNTIFS(缺陷明细!$A$2:$A$50000,$B$4,缺陷明细!$G$2:$G$50000,$C122,缺陷明细!$J$2:$J$50000,"验收测试",缺陷明细!$AA$2:$AA$50000,"&lt;&gt;丢弃",缺陷明细!$AA$2:$AA$50000,"&lt;&gt;设计如此",缺陷明细!$AA$2:$AA$50000,"&lt;&gt;重复Bug")</f>
        <v>0</v>
      </c>
      <c r="V122" s="314">
        <f>COUNTIFS(缺陷明细!$A$2:$A$50000,$B$4,缺陷明细!$G$2:$G$50000,$C122,缺陷明细!$Q$2:$Q$50000,"已关闭",缺陷明细!$J$2:$J$50000,"验收测试")</f>
        <v>0</v>
      </c>
      <c r="W122" s="314">
        <f>COUNTIFS(缺陷明细!$A$2:$A$50000,$B$4,缺陷明细!$G$2:$G$50000,$C122,缺陷明细!$J$2:$J$50000,"验收测试",缺陷明细!$K$2:$K$50000,"致命",缺陷明细!$AA$2:$AA$50000,"&lt;&gt;丢弃",缺陷明细!$AA$2:$AA$50000,"&lt;&gt;设计如此",缺陷明细!$AA$2:$AA$50000,"&lt;&gt;重复Bug")+COUNTIFS(缺陷明细!$A$2:$A$50000,$B$4,缺陷明细!$G$2:$G$50000,$C122,缺陷明细!$J$2:$J$50000,"验收测试",缺陷明细!$K$2:$K$50000,"严重",缺陷明细!$AA$2:$AA$50000,"&lt;&gt;丢弃",缺陷明细!$AA$2:$AA$50000,"&lt;&gt;设计如此",缺陷明细!$AA$2:$AA$50000,"&lt;&gt;重复Bug")</f>
        <v>0</v>
      </c>
      <c r="X122" s="315">
        <f>COUNTIFS(缺陷明细!$A$2:$A$50000,$B$4,缺陷明细!$G$2:$G$50000,$C122,缺陷明细!$Q$2:$Q$50000,"已关闭",缺陷明细!$J$2:$J$50000,"验收测试",缺陷明细!$K$2:$K$50000,"致命")+COUNTIFS(缺陷明细!$A$2:$A$50000,$B$4,缺陷明细!$G$2:$G$50000,$C122,缺陷明细!$Q$2:$Q$50000,"已关闭",缺陷明细!$J$2:$J$50000,"验收测试",缺陷明细!$K$2:$K$50000,"严重")</f>
        <v>0</v>
      </c>
      <c r="Y122" s="316">
        <f>COUNTIFS(缺陷明细!$A$2:$A$50000,$B$4,缺陷明细!$G$2:$G$50000,$C122,缺陷明细!$J$2:$J$50000,"运维测试",缺陷明细!$AA$2:$AA$50000,"&lt;&gt;丢弃",缺陷明细!$AA$2:$AA$50000,"&lt;&gt;设计如此",缺陷明细!$AA$2:$AA$50000,"&lt;&gt;重复Bug")</f>
        <v>0</v>
      </c>
      <c r="Z122" s="317">
        <f>COUNTIFS(缺陷明细!$A$2:$A$50000,$B$4,缺陷明细!$G$2:$G$50000,$C122,缺陷明细!$Q$2:$Q$50000,"已关闭",缺陷明细!$J$2:$J$50000,"运维测试")</f>
        <v>0</v>
      </c>
      <c r="AA122" s="311">
        <f>COUNTIFS(缺陷明细!$A$2:$A$50000,$B$4,缺陷明细!$G$2:$G$50000,$C122,缺陷明细!$J$2:$J$50000,"运维测试",缺陷明细!$K$2:$K$50000,"致命",缺陷明细!$AA$2:$AA$50000,"&lt;&gt;丢弃",缺陷明细!$AA$2:$AA$50000,"&lt;&gt;设计如此",缺陷明细!$AA$2:$AA$50000,"&lt;&gt;重复Bug")+COUNTIFS(缺陷明细!$A$2:$A$50000,$B$4,缺陷明细!$G$2:$G$50000,$C122,缺陷明细!$J$2:$J$50000,"运维测试",缺陷明细!$K$2:$K$50000,"严重",缺陷明细!$AA$2:$AA$50000,"&lt;&gt;丢弃",缺陷明细!$AA$2:$AA$50000,"&lt;&gt;设计如此",缺陷明细!$AA$2:$AA$50000,"&lt;&gt;重复Bug")</f>
        <v>0</v>
      </c>
      <c r="AB122" s="312">
        <f>COUNTIFS(缺陷明细!$A$2:$A$50000,$B$4,缺陷明细!$G$2:$G$50000,$C122,缺陷明细!$Q$2:$Q$50000,"已关闭",缺陷明细!$J$2:$J$50000,"运维测试",缺陷明细!$K$2:$K$50000,"致命")+COUNTIFS(缺陷明细!$A$2:$A$50000,$B$4,缺陷明细!$G$2:$G$50000,$C122,缺陷明细!$Q$2:$Q$50000,"已关闭",缺陷明细!$J$2:$J$50000,"运维测试",缺陷明细!$K$2:$K$50000,"严重")</f>
        <v>0</v>
      </c>
      <c r="AC122" s="157">
        <f t="shared" si="0"/>
        <v>0</v>
      </c>
      <c r="AD122" s="158">
        <f t="shared" si="0"/>
        <v>0</v>
      </c>
      <c r="AE122" s="158">
        <f t="shared" si="1"/>
        <v>0</v>
      </c>
      <c r="AF122" s="158">
        <f t="shared" si="1"/>
        <v>0</v>
      </c>
      <c r="AG122" s="158">
        <f t="shared" si="2"/>
        <v>165</v>
      </c>
      <c r="AH122" s="158">
        <f t="shared" si="2"/>
        <v>52</v>
      </c>
      <c r="AI122" s="158">
        <f t="shared" si="3"/>
        <v>0</v>
      </c>
      <c r="AJ122" s="148">
        <f t="shared" si="3"/>
        <v>0</v>
      </c>
      <c r="AK122" s="152"/>
    </row>
    <row r="123" spans="1:37">
      <c r="B123" s="397" t="s">
        <v>209</v>
      </c>
      <c r="C123" s="398"/>
      <c r="D123" s="142">
        <v>117</v>
      </c>
      <c r="E123" s="142">
        <f>COUNTIF(E2:E122,"是")</f>
        <v>110</v>
      </c>
      <c r="F123" s="142">
        <f t="shared" ref="F123:O123" si="20">SUMIFS(F5:F567,$E$5:$E$567,"是")</f>
        <v>647.75</v>
      </c>
      <c r="G123" s="142">
        <f t="shared" si="20"/>
        <v>504.05</v>
      </c>
      <c r="H123" s="142">
        <f t="shared" si="20"/>
        <v>0</v>
      </c>
      <c r="I123" s="142">
        <f t="shared" si="20"/>
        <v>0</v>
      </c>
      <c r="J123" s="142">
        <f t="shared" si="20"/>
        <v>0</v>
      </c>
      <c r="K123" s="142">
        <f t="shared" si="20"/>
        <v>0</v>
      </c>
      <c r="L123" s="142">
        <f t="shared" si="20"/>
        <v>0</v>
      </c>
      <c r="M123" s="142">
        <f t="shared" si="20"/>
        <v>0</v>
      </c>
      <c r="N123" s="142">
        <f t="shared" si="20"/>
        <v>0</v>
      </c>
      <c r="O123" s="142">
        <f t="shared" si="20"/>
        <v>0</v>
      </c>
      <c r="P123" s="142">
        <v>165</v>
      </c>
      <c r="Q123" s="142">
        <v>52</v>
      </c>
      <c r="R123" s="142">
        <v>19</v>
      </c>
      <c r="S123" s="142">
        <v>54</v>
      </c>
      <c r="T123" s="142">
        <v>22</v>
      </c>
      <c r="U123" s="142">
        <f t="shared" ref="S123:AF123" si="21">SUMIFS(U5:U567,$E$5:$E$567,"是")</f>
        <v>0</v>
      </c>
      <c r="V123" s="142">
        <f t="shared" si="21"/>
        <v>0</v>
      </c>
      <c r="W123" s="142">
        <f t="shared" si="21"/>
        <v>0</v>
      </c>
      <c r="X123" s="142">
        <f t="shared" si="21"/>
        <v>0</v>
      </c>
      <c r="Y123" s="142">
        <f t="shared" si="21"/>
        <v>0</v>
      </c>
      <c r="Z123" s="142">
        <f t="shared" si="21"/>
        <v>0</v>
      </c>
      <c r="AA123" s="142">
        <f t="shared" si="21"/>
        <v>0</v>
      </c>
      <c r="AB123" s="142">
        <f t="shared" si="21"/>
        <v>0</v>
      </c>
      <c r="AC123" s="142">
        <f t="shared" si="21"/>
        <v>0</v>
      </c>
      <c r="AD123" s="142">
        <f t="shared" si="21"/>
        <v>0</v>
      </c>
      <c r="AE123" s="142">
        <f t="shared" si="21"/>
        <v>0</v>
      </c>
      <c r="AF123" s="142">
        <f t="shared" si="21"/>
        <v>0</v>
      </c>
      <c r="AG123" s="142">
        <v>165</v>
      </c>
      <c r="AH123" s="142">
        <v>52</v>
      </c>
      <c r="AI123" s="142">
        <f>SUMIFS(AI5:AI567,$E$5:$E$567,"是")</f>
        <v>0</v>
      </c>
      <c r="AJ123" s="142">
        <f>SUMIFS(AJ5:AJ567,$E$5:$E$567,"是")</f>
        <v>0</v>
      </c>
      <c r="AK123" s="30"/>
    </row>
    <row r="124" spans="1:37">
      <c r="C124" s="153"/>
      <c r="D124" s="154"/>
      <c r="E124" s="143"/>
      <c r="F124" s="143"/>
      <c r="G124" s="143"/>
      <c r="H124" s="144"/>
      <c r="I124" s="144"/>
      <c r="J124" s="144"/>
      <c r="K124" s="144"/>
      <c r="L124" s="144"/>
      <c r="M124" s="144"/>
      <c r="N124" s="144"/>
      <c r="O124" s="144"/>
      <c r="P124" s="144"/>
      <c r="Q124" s="144"/>
      <c r="R124" s="144"/>
      <c r="S124" s="144"/>
      <c r="T124" s="144"/>
      <c r="U124" s="144"/>
      <c r="V124" s="144"/>
      <c r="W124" s="144"/>
      <c r="X124" s="144"/>
      <c r="Y124" s="144"/>
      <c r="Z124" s="144"/>
      <c r="AA124" s="144"/>
      <c r="AB124" s="144"/>
      <c r="AC124" s="144"/>
      <c r="AD124" s="144"/>
      <c r="AE124" s="144"/>
      <c r="AF124" s="144"/>
      <c r="AG124" s="144"/>
      <c r="AH124" s="144"/>
      <c r="AI124" s="144"/>
      <c r="AJ124" s="144"/>
    </row>
    <row r="126" spans="1:37">
      <c r="F126" s="98"/>
    </row>
  </sheetData>
  <autoFilter ref="A1:AK123">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filterColumn colId="22" showButton="0"/>
    <filterColumn colId="23" showButton="0"/>
    <filterColumn colId="24" showButton="0"/>
    <filterColumn colId="25" showButton="0"/>
    <filterColumn colId="26" showButton="0"/>
  </autoFilter>
  <mergeCells count="13">
    <mergeCell ref="AC2:AJ2"/>
    <mergeCell ref="AK2:AK3"/>
    <mergeCell ref="U2:X2"/>
    <mergeCell ref="H1:AB1"/>
    <mergeCell ref="F2:G2"/>
    <mergeCell ref="H2:K2"/>
    <mergeCell ref="L2:T2"/>
    <mergeCell ref="Y2:AB2"/>
    <mergeCell ref="B123:C123"/>
    <mergeCell ref="B2:B3"/>
    <mergeCell ref="C2:C3"/>
    <mergeCell ref="D2:D3"/>
    <mergeCell ref="E2:E3"/>
  </mergeCells>
  <phoneticPr fontId="13" type="noConversion"/>
  <dataValidations count="1">
    <dataValidation type="list" allowBlank="1" showInputMessage="1" showErrorMessage="1" sqref="E5:E122">
      <formula1>"是,否"</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C4" sqref="C4"/>
    </sheetView>
  </sheetViews>
  <sheetFormatPr defaultColWidth="9" defaultRowHeight="13.2"/>
  <cols>
    <col min="1" max="1" width="5.109375" customWidth="1"/>
    <col min="3" max="3" width="29.33203125" customWidth="1"/>
    <col min="4" max="4" width="6.33203125" customWidth="1"/>
    <col min="5" max="5" width="5.88671875" style="38" customWidth="1"/>
    <col min="6" max="7" width="5.6640625" style="38" customWidth="1"/>
    <col min="8" max="36" width="5.6640625" customWidth="1"/>
    <col min="37" max="37" width="20" customWidth="1"/>
    <col min="38" max="38" width="8.109375" customWidth="1"/>
  </cols>
  <sheetData>
    <row r="1" spans="1:37" ht="13.5" customHeight="1" thickBot="1">
      <c r="A1" s="29"/>
      <c r="B1" s="272" t="s">
        <v>61</v>
      </c>
      <c r="C1" s="272"/>
      <c r="D1" s="272"/>
      <c r="E1" s="272"/>
      <c r="F1" s="273"/>
      <c r="G1" s="273"/>
      <c r="H1" s="407" t="s">
        <v>63</v>
      </c>
      <c r="I1" s="407"/>
      <c r="J1" s="407"/>
      <c r="K1" s="407"/>
      <c r="L1" s="407"/>
      <c r="M1" s="407"/>
      <c r="N1" s="407"/>
      <c r="O1" s="407"/>
      <c r="P1" s="407"/>
      <c r="Q1" s="407"/>
      <c r="R1" s="407"/>
      <c r="S1" s="407"/>
      <c r="T1" s="407"/>
      <c r="U1" s="407"/>
      <c r="V1" s="407"/>
      <c r="W1" s="407"/>
      <c r="X1" s="407"/>
      <c r="Y1" s="407"/>
      <c r="Z1" s="407"/>
      <c r="AA1" s="407"/>
      <c r="AB1" s="407"/>
      <c r="AC1" s="145"/>
      <c r="AD1" s="145"/>
      <c r="AE1" s="145"/>
      <c r="AF1" s="145"/>
      <c r="AG1" s="145"/>
      <c r="AH1" s="145"/>
      <c r="AI1" s="145"/>
      <c r="AJ1" s="146"/>
      <c r="AK1" s="155"/>
    </row>
    <row r="2" spans="1:37" ht="12.75" customHeight="1" thickBot="1">
      <c r="B2" s="399" t="s">
        <v>180</v>
      </c>
      <c r="C2" s="408" t="s">
        <v>60</v>
      </c>
      <c r="D2" s="410" t="s">
        <v>104</v>
      </c>
      <c r="E2" s="401" t="s">
        <v>181</v>
      </c>
      <c r="F2" s="408" t="s">
        <v>182</v>
      </c>
      <c r="G2" s="409"/>
      <c r="H2" s="403" t="s">
        <v>210</v>
      </c>
      <c r="I2" s="403"/>
      <c r="J2" s="403"/>
      <c r="K2" s="403"/>
      <c r="L2" s="404" t="s">
        <v>183</v>
      </c>
      <c r="M2" s="405"/>
      <c r="N2" s="405"/>
      <c r="O2" s="405"/>
      <c r="P2" s="405"/>
      <c r="Q2" s="405"/>
      <c r="R2" s="405"/>
      <c r="S2" s="405"/>
      <c r="T2" s="406"/>
      <c r="U2" s="395" t="s">
        <v>44</v>
      </c>
      <c r="V2" s="396"/>
      <c r="W2" s="396"/>
      <c r="X2" s="396"/>
      <c r="Y2" s="413" t="s">
        <v>64</v>
      </c>
      <c r="Z2" s="414"/>
      <c r="AA2" s="414"/>
      <c r="AB2" s="414"/>
      <c r="AC2" s="390" t="s">
        <v>2</v>
      </c>
      <c r="AD2" s="391"/>
      <c r="AE2" s="391"/>
      <c r="AF2" s="391"/>
      <c r="AG2" s="391"/>
      <c r="AH2" s="391"/>
      <c r="AI2" s="391"/>
      <c r="AJ2" s="392"/>
      <c r="AK2" s="393" t="s">
        <v>4</v>
      </c>
    </row>
    <row r="3" spans="1:37" ht="84.6" thickBot="1">
      <c r="B3" s="400"/>
      <c r="C3" s="412"/>
      <c r="D3" s="411"/>
      <c r="E3" s="402"/>
      <c r="F3" s="274" t="s">
        <v>273</v>
      </c>
      <c r="G3" s="275" t="s">
        <v>274</v>
      </c>
      <c r="H3" s="34" t="s">
        <v>105</v>
      </c>
      <c r="I3" s="34" t="s">
        <v>106</v>
      </c>
      <c r="J3" s="34" t="s">
        <v>107</v>
      </c>
      <c r="K3" s="34" t="s">
        <v>108</v>
      </c>
      <c r="L3" s="33" t="s">
        <v>185</v>
      </c>
      <c r="M3" s="34" t="s">
        <v>186</v>
      </c>
      <c r="N3" s="31" t="s">
        <v>45</v>
      </c>
      <c r="O3" s="31" t="s">
        <v>46</v>
      </c>
      <c r="P3" s="31" t="s">
        <v>34</v>
      </c>
      <c r="Q3" s="31" t="s">
        <v>36</v>
      </c>
      <c r="R3" s="31" t="s">
        <v>187</v>
      </c>
      <c r="S3" s="31" t="s">
        <v>35</v>
      </c>
      <c r="T3" s="32" t="s">
        <v>37</v>
      </c>
      <c r="U3" s="106" t="s">
        <v>110</v>
      </c>
      <c r="V3" s="35" t="s">
        <v>111</v>
      </c>
      <c r="W3" s="35" t="s">
        <v>188</v>
      </c>
      <c r="X3" s="35" t="s">
        <v>112</v>
      </c>
      <c r="Y3" s="106" t="s">
        <v>65</v>
      </c>
      <c r="Z3" s="35" t="s">
        <v>66</v>
      </c>
      <c r="AA3" s="35" t="s">
        <v>67</v>
      </c>
      <c r="AB3" s="36" t="s">
        <v>190</v>
      </c>
      <c r="AC3" s="33" t="s">
        <v>38</v>
      </c>
      <c r="AD3" s="31" t="s">
        <v>39</v>
      </c>
      <c r="AE3" s="31" t="s">
        <v>40</v>
      </c>
      <c r="AF3" s="31" t="s">
        <v>41</v>
      </c>
      <c r="AG3" s="31" t="s">
        <v>113</v>
      </c>
      <c r="AH3" s="31" t="s">
        <v>115</v>
      </c>
      <c r="AI3" s="31" t="s">
        <v>116</v>
      </c>
      <c r="AJ3" s="32" t="s">
        <v>114</v>
      </c>
      <c r="AK3" s="394"/>
    </row>
    <row r="4" spans="1:37" ht="13.8" thickBot="1">
      <c r="B4" s="102" t="s">
        <v>254</v>
      </c>
      <c r="C4" s="80" t="s">
        <v>207</v>
      </c>
      <c r="D4" s="141"/>
      <c r="E4" s="137"/>
      <c r="F4" s="107"/>
      <c r="G4" s="81"/>
      <c r="H4" s="69"/>
      <c r="I4" s="63"/>
      <c r="J4" s="63"/>
      <c r="K4" s="64"/>
      <c r="L4" s="77"/>
      <c r="M4" s="108"/>
      <c r="N4" s="63"/>
      <c r="O4" s="63"/>
      <c r="P4" s="63"/>
      <c r="Q4" s="63"/>
      <c r="R4" s="63"/>
      <c r="S4" s="63"/>
      <c r="T4" s="64"/>
      <c r="U4" s="62"/>
      <c r="V4" s="63"/>
      <c r="W4" s="63"/>
      <c r="X4" s="64"/>
      <c r="Y4" s="62"/>
      <c r="Z4" s="63"/>
      <c r="AA4" s="63"/>
      <c r="AB4" s="64"/>
      <c r="AC4" s="69"/>
      <c r="AD4" s="63"/>
      <c r="AE4" s="63"/>
      <c r="AF4" s="63"/>
      <c r="AG4" s="63"/>
      <c r="AH4" s="63"/>
      <c r="AI4" s="63"/>
      <c r="AJ4" s="64"/>
      <c r="AK4" s="149"/>
    </row>
    <row r="5" spans="1:37">
      <c r="A5">
        <v>1</v>
      </c>
      <c r="B5" s="78"/>
      <c r="C5" s="79"/>
      <c r="D5" s="82"/>
      <c r="E5" s="82"/>
      <c r="F5" s="159"/>
      <c r="G5" s="160"/>
      <c r="H5" s="293">
        <f>COUNTIFS(缺陷明细!$A$2:$A$50000,$B$4,缺陷明细!$G$2:$G$50000,$C5,缺陷明细!$J$2:$J$50000,"评审",缺陷明细!$AA$2:$AA$50000,"&lt;&gt;丢弃",缺陷明细!$AA$2:$AA$50000,"&lt;&gt;设计如此",缺陷明细!$AA$2:$AA$50000,"&lt;&gt;重复Bug")</f>
        <v>0</v>
      </c>
      <c r="I5" s="294">
        <f>COUNTIFS(缺陷明细!$A$2:$A$50000,$B$4,缺陷明细!$G$2:$G$50000,$C5,缺陷明细!$Q$2:$Q$50000,"已关闭",缺陷明细!$J$2:$J$50000,"评审")</f>
        <v>0</v>
      </c>
      <c r="J5" s="294">
        <f>COUNTIFS(缺陷明细!$A$2:$A$50000,$B$4,缺陷明细!$G$2:$G$50000,$C5,缺陷明细!$J$2:$J$50000,"单元测试",缺陷明细!$AA$2:$AA$50000,"&lt;&gt;丢弃",缺陷明细!$AA$2:$AA$50000,"&lt;&gt;设计如此",缺陷明细!$AA$2:$AA$50000,"&lt;&gt;重复Bug")</f>
        <v>0</v>
      </c>
      <c r="K5" s="295">
        <f>COUNTIFS(缺陷明细!$A$2:$A$50000,$B$4,缺陷明细!$G$2:$G$50000,$C5,缺陷明细!$Q$2:$Q$50000,"已关闭",缺陷明细!$J$2:$J$50000,"单元测试")</f>
        <v>0</v>
      </c>
      <c r="L5" s="296"/>
      <c r="M5" s="297"/>
      <c r="N5" s="298">
        <f>COUNTIFS(缺陷明细!$A$2:$A$50000,$B$4,缺陷明细!$G$2:$G$50000,$C5,缺陷明细!$J$2:$J$50000,"系统测试案例评审",缺陷明细!$AA$2:$AA$50000,"&lt;&gt;丢弃",缺陷明细!$AA$2:$AA$50000,"&lt;&gt;设计如此",缺陷明细!$AA$2:$AA$50000,"&lt;&gt;重复Bug")</f>
        <v>0</v>
      </c>
      <c r="O5" s="298">
        <f>COUNTIFS(缺陷明细!$A$2:$A$50000,$B$4,缺陷明细!$G$2:$G$50000,$C5,缺陷明细!$Q$2:$Q$50000,"已关闭",缺陷明细!$J$2:$J$50000,"系统测试案例评审")</f>
        <v>0</v>
      </c>
      <c r="P5" s="298">
        <f>COUNTIFS(缺陷明细!$A$2:$A$50000,$B$4,缺陷明细!$G$2:$G$50000,$C5,缺陷明细!$J$2:$J$50000,"系统测试",缺陷明细!$AA$2:$AA$50000,"&lt;&gt;丢弃",缺陷明细!$AA$2:$AA$50000,"&lt;&gt;设计如此",缺陷明细!$AA$2:$AA$50000,"&lt;&gt;重复Bug")</f>
        <v>0</v>
      </c>
      <c r="Q5" s="298">
        <f>COUNTIFS(缺陷明细!$A$2:$A$50000,$B$4,缺陷明细!$G$2:$G$50000,$C5,缺陷明细!$Q$2:$Q$50000,"已关闭",缺陷明细!$J$2:$J$50000,"系统测试")</f>
        <v>0</v>
      </c>
      <c r="R5" s="298">
        <f>COUNTIFS(缺陷明细!$A$2:$A$50000,$B$4,缺陷明细!$G$2:$G$50000,$C5,缺陷明细!$AA$2:$AA$50000,"丢弃",缺陷明细!$J$2:$J$50000,"系统测试")+COUNTIFS(缺陷明细!$A$2:$A$50000,$B$4,缺陷明细!$G$2:$G$50000,$C5,缺陷明细!$AA$2:$AA$50000,"设计如此",缺陷明细!$J$2:$J$50000,"系统测试"+COUNTIFS(缺陷明细!$A$2:$A$50000,$B$4,缺陷明细!$G$2:$G$50000,$C5,缺陷明细!$AA$2:$AA$50000,"重复Bug",缺陷明细!$J$2:$J$50000,"系统测试"))</f>
        <v>0</v>
      </c>
      <c r="S5" s="298">
        <f>COUNTIFS(缺陷明细!$A$2:$A$50000,$B$4,缺陷明细!$G$2:$G$50000,$C5,缺陷明细!$J$2:$J$50000,"系统测试",缺陷明细!$K$2:$K$50000,"致命",缺陷明细!$AA$2:$AA$50000,"&lt;&gt;丢弃",缺陷明细!$AA$2:$AA$50000,"&lt;&gt;设计如此",缺陷明细!$AA$2:$AA$50000,"&lt;&gt;重复Bug")+COUNTIFS(缺陷明细!$A$2:$A$50000,$B$4,缺陷明细!$G$2:$G$50000,$C5,缺陷明细!$J$2:$J$50000,"系统测试",缺陷明细!$K$2:$K$50000,"严重",缺陷明细!$AA$2:$AA$50000,"&lt;&gt;丢弃",缺陷明细!$AA$2:$AA$50000,"&lt;&gt;设计如此",缺陷明细!$AA$2:$AA$50000,"&lt;&gt;重复Bug")</f>
        <v>0</v>
      </c>
      <c r="T5" s="299">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300">
        <f>COUNTIFS(缺陷明细!$A$2:$A$50000,$B$4,缺陷明细!$G$2:$G$50000,$C5,缺陷明细!$J$2:$J$50000,"验收测试",缺陷明细!$AA$2:$AA$50000,"&lt;&gt;丢弃",缺陷明细!$AA$2:$AA$50000,"&lt;&gt;设计如此",缺陷明细!$AA$2:$AA$50000,"&lt;&gt;重复Bug")</f>
        <v>0</v>
      </c>
      <c r="V5" s="301">
        <f>COUNTIFS(缺陷明细!$A$2:$A$50000,$B$4,缺陷明细!$G$2:$G$50000,$C5,缺陷明细!$Q$2:$Q$50000,"已关闭",缺陷明细!$J$2:$J$50000,"验收测试")</f>
        <v>0</v>
      </c>
      <c r="W5" s="301">
        <f>COUNTIFS(缺陷明细!$A$2:$A$50000,$B$4,缺陷明细!$G$2:$G$50000,$C5,缺陷明细!$J$2:$J$50000,"验收测试",缺陷明细!$K$2:$K$50000,"致命",缺陷明细!$AA$2:$AA$50000,"&lt;&gt;丢弃",缺陷明细!$AA$2:$AA$50000,"&lt;&gt;设计如此",缺陷明细!$AA$2:$AA$50000,"&lt;&gt;重复Bug")+COUNTIFS(缺陷明细!$A$2:$A$50000,$B$4,缺陷明细!$G$2:$G$50000,$C5,缺陷明细!$J$2:$J$50000,"验收测试",缺陷明细!$K$2:$K$50000,"严重",缺陷明细!$AA$2:$AA$50000,"&lt;&gt;丢弃",缺陷明细!$AA$2:$AA$50000,"&lt;&gt;设计如此",缺陷明细!$AA$2:$AA$50000,"&lt;&gt;重复Bug")</f>
        <v>0</v>
      </c>
      <c r="X5" s="302">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303">
        <f>COUNTIFS(缺陷明细!$A$2:$A$50000,$B$4,缺陷明细!$G$2:$G$50000,$C5,缺陷明细!$J$2:$J$50000,"运维测试",缺陷明细!$AA$2:$AA$50000,"&lt;&gt;丢弃",缺陷明细!$AA$2:$AA$50000,"&lt;&gt;设计如此",缺陷明细!$AA$2:$AA$50000,"&lt;&gt;重复Bug")</f>
        <v>0</v>
      </c>
      <c r="Z5" s="304">
        <f>COUNTIFS(缺陷明细!$A$2:$A$50000,$B$4,缺陷明细!$G$2:$G$50000,$C5,缺陷明细!$Q$2:$Q$50000,"已关闭",缺陷明细!$J$2:$J$50000,"运维测试")</f>
        <v>0</v>
      </c>
      <c r="AA5" s="298">
        <f>COUNTIFS(缺陷明细!$A$2:$A$50000,$B$4,缺陷明细!$G$2:$G$50000,$C5,缺陷明细!$J$2:$J$50000,"运维测试",缺陷明细!$K$2:$K$50000,"致命",缺陷明细!$AA$2:$AA$50000,"&lt;&gt;丢弃",缺陷明细!$AA$2:$AA$50000,"&lt;&gt;设计如此",缺陷明细!$AA$2:$AA$50000,"&lt;&gt;重复Bug")+COUNTIFS(缺陷明细!$A$2:$A$50000,$B$4,缺陷明细!$G$2:$G$50000,$C5,缺陷明细!$J$2:$J$50000,"运维测试",缺陷明细!$K$2:$K$50000,"严重",缺陷明细!$AA$2:$AA$50000,"&lt;&gt;丢弃",缺陷明细!$AA$2:$AA$50000,"&lt;&gt;设计如此",缺陷明细!$AA$2:$AA$50000,"&lt;&gt;重复Bug")</f>
        <v>0</v>
      </c>
      <c r="AB5" s="299">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50"/>
    </row>
    <row r="6" spans="1:37">
      <c r="A6">
        <v>2</v>
      </c>
      <c r="B6" s="57"/>
      <c r="C6" s="58"/>
      <c r="D6" s="83"/>
      <c r="E6" s="82"/>
      <c r="F6" s="165"/>
      <c r="G6" s="166"/>
      <c r="H6" s="305">
        <f>COUNTIFS(缺陷明细!$A$2:$A$50000,$B$4,缺陷明细!$G$2:$G$50000,$C6,缺陷明细!$J$2:$J$50000,"评审",缺陷明细!$AA$2:$AA$50000,"&lt;&gt;丢弃",缺陷明细!$AA$2:$AA$50000,"&lt;&gt;设计如此",缺陷明细!$AA$2:$AA$50000,"&lt;&gt;重复Bug")</f>
        <v>0</v>
      </c>
      <c r="I6" s="161">
        <f>COUNTIFS(缺陷明细!$A$2:$A$50000,$B$4,缺陷明细!$G$2:$G$50000,$C6,缺陷明细!$Q$2:$Q$50000,"已关闭",缺陷明细!$J$2:$J$50000,"评审")</f>
        <v>0</v>
      </c>
      <c r="J6" s="161">
        <f>COUNTIFS(缺陷明细!$A$2:$A$50000,$B$4,缺陷明细!$G$2:$G$50000,$C6,缺陷明细!$J$2:$J$50000,"单元测试",缺陷明细!$AA$2:$AA$50000,"&lt;&gt;丢弃",缺陷明细!$AA$2:$AA$50000,"&lt;&gt;设计如此",缺陷明细!$AA$2:$AA$50000,"&lt;&gt;重复Bug")</f>
        <v>0</v>
      </c>
      <c r="K6" s="162">
        <f>COUNTIFS(缺陷明细!$A$2:$A$50000,$B$4,缺陷明细!$G$2:$G$50000,$C6,缺陷明细!$Q$2:$Q$50000,"已关闭",缺陷明细!$J$2:$J$50000,"单元测试")</f>
        <v>0</v>
      </c>
      <c r="L6" s="163"/>
      <c r="M6" s="164"/>
      <c r="N6" s="72">
        <f>COUNTIFS(缺陷明细!$A$2:$A$50000,$B$4,缺陷明细!$G$2:$G$50000,$C6,缺陷明细!$J$2:$J$50000,"系统测试案例评审",缺陷明细!$AA$2:$AA$50000,"&lt;&gt;丢弃",缺陷明细!$AA$2:$AA$50000,"&lt;&gt;设计如此",缺陷明细!$AA$2:$AA$50000,"&lt;&gt;重复Bug")</f>
        <v>0</v>
      </c>
      <c r="O6" s="72">
        <f>COUNTIFS(缺陷明细!$A$2:$A$50000,$B$4,缺陷明细!$G$2:$G$50000,$C6,缺陷明细!$Q$2:$Q$50000,"已关闭",缺陷明细!$J$2:$J$50000,"系统测试案例评审")</f>
        <v>0</v>
      </c>
      <c r="P6" s="72">
        <f>COUNTIFS(缺陷明细!$A$2:$A$50000,$B$4,缺陷明细!$G$2:$G$50000,$C6,缺陷明细!$J$2:$J$50000,"系统测试",缺陷明细!$AA$2:$AA$50000,"&lt;&gt;丢弃",缺陷明细!$AA$2:$AA$50000,"&lt;&gt;设计如此",缺陷明细!$AA$2:$AA$50000,"&lt;&gt;重复Bug")</f>
        <v>0</v>
      </c>
      <c r="Q6" s="72">
        <f>COUNTIFS(缺陷明细!$A$2:$A$50000,$B$4,缺陷明细!$G$2:$G$50000,$C6,缺陷明细!$Q$2:$Q$50000,"已关闭",缺陷明细!$J$2:$J$50000,"系统测试")</f>
        <v>0</v>
      </c>
      <c r="R6" s="72">
        <f>COUNTIFS(缺陷明细!$A$2:$A$50000,$B$4,缺陷明细!$G$2:$G$50000,$C6,缺陷明细!$AA$2:$AA$50000,"丢弃",缺陷明细!$J$2:$J$50000,"系统测试")+COUNTIFS(缺陷明细!$A$2:$A$50000,$B$4,缺陷明细!$G$2:$G$50000,$C6,缺陷明细!$AA$2:$AA$50000,"设计如此",缺陷明细!$J$2:$J$50000,"系统测试"+COUNTIFS(缺陷明细!$A$2:$A$50000,$B$4,缺陷明细!$G$2:$G$50000,$C6,缺陷明细!$AA$2:$AA$50000,"重复Bug",缺陷明细!$J$2:$J$50000,"系统测试"))</f>
        <v>0</v>
      </c>
      <c r="S6" s="72">
        <f>COUNTIFS(缺陷明细!$A$2:$A$50000,$B$4,缺陷明细!$G$2:$G$50000,$C6,缺陷明细!$J$2:$J$50000,"系统测试",缺陷明细!$K$2:$K$50000,"致命",缺陷明细!$AA$2:$AA$50000,"&lt;&gt;丢弃",缺陷明细!$AA$2:$AA$50000,"&lt;&gt;设计如此",缺陷明细!$AA$2:$AA$50000,"&lt;&gt;重复Bug")+COUNTIFS(缺陷明细!$A$2:$A$50000,$B$4,缺陷明细!$G$2:$G$50000,$C6,缺陷明细!$J$2:$J$50000,"系统测试",缺陷明细!$K$2:$K$50000,"严重",缺陷明细!$AA$2:$AA$50000,"&lt;&gt;丢弃",缺陷明细!$AA$2:$AA$50000,"&lt;&gt;设计如此",缺陷明细!$AA$2:$AA$50000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COUNTIFS(缺陷明细!$A$2:$A$50000,$B$4,缺陷明细!$G$2:$G$50000,$C6,缺陷明细!$J$2:$J$50000,"验收测试",缺陷明细!$AA$2:$AA$50000,"&lt;&gt;丢弃",缺陷明细!$AA$2:$AA$50000,"&lt;&gt;设计如此",缺陷明细!$AA$2:$AA$50000,"&lt;&gt;重复Bug")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A$2:$AA$50000,"&lt;&gt;丢弃",缺陷明细!$AA$2:$AA$50000,"&lt;&gt;设计如此",缺陷明细!$AA$2:$AA$50000,"&lt;&gt;重复Bug")+COUNTIFS(缺陷明细!$A$2:$A$50000,$B$4,缺陷明细!$G$2:$G$50000,$C6,缺陷明细!$J$2:$J$50000,"验收测试",缺陷明细!$K$2:$K$50000,"严重",缺陷明细!$AA$2:$AA$50000,"&lt;&gt;丢弃",缺陷明细!$AA$2:$AA$50000,"&lt;&gt;设计如此",缺陷明细!$AA$2:$AA$50000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COUNTIFS(缺陷明细!$A$2:$A$50000,$B$4,缺陷明细!$G$2:$G$50000,$C6,缺陷明细!$J$2:$J$50000,"运维测试",缺陷明细!$AA$2:$AA$50000,"&lt;&gt;丢弃",缺陷明细!$AA$2:$AA$50000,"&lt;&gt;设计如此",缺陷明细!$AA$2:$AA$50000,"&lt;&gt;重复Bug")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A$2:$AA$50000,"&lt;&gt;丢弃",缺陷明细!$AA$2:$AA$50000,"&lt;&gt;设计如此",缺陷明细!$AA$2:$AA$50000,"&lt;&gt;重复Bug")+COUNTIFS(缺陷明细!$A$2:$A$50000,$B$4,缺陷明细!$G$2:$G$50000,$C6,缺陷明细!$J$2:$J$50000,"运维测试",缺陷明细!$K$2:$K$50000,"严重",缺陷明细!$AA$2:$AA$50000,"&lt;&gt;丢弃",缺陷明细!$AA$2:$AA$50000,"&lt;&gt;设计如此",缺陷明细!$AA$2:$AA$50000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51"/>
    </row>
    <row r="7" spans="1:37">
      <c r="A7">
        <v>3</v>
      </c>
      <c r="B7" s="57"/>
      <c r="C7" s="58"/>
      <c r="D7" s="83"/>
      <c r="E7" s="82"/>
      <c r="F7" s="165"/>
      <c r="G7" s="166"/>
      <c r="H7" s="305">
        <f>COUNTIFS(缺陷明细!$A$2:$A$50000,$B$4,缺陷明细!$G$2:$G$50000,$C7,缺陷明细!$J$2:$J$50000,"评审",缺陷明细!$AA$2:$AA$50000,"&lt;&gt;丢弃",缺陷明细!$AA$2:$AA$50000,"&lt;&gt;设计如此",缺陷明细!$AA$2:$AA$50000,"&lt;&gt;重复Bug")</f>
        <v>0</v>
      </c>
      <c r="I7" s="161">
        <f>COUNTIFS(缺陷明细!$A$2:$A$50000,$B$4,缺陷明细!$G$2:$G$50000,$C7,缺陷明细!$Q$2:$Q$50000,"已关闭",缺陷明细!$J$2:$J$50000,"评审")</f>
        <v>0</v>
      </c>
      <c r="J7" s="161">
        <f>COUNTIFS(缺陷明细!$A$2:$A$50000,$B$4,缺陷明细!$G$2:$G$50000,$C7,缺陷明细!$J$2:$J$50000,"单元测试",缺陷明细!$AA$2:$AA$50000,"&lt;&gt;丢弃",缺陷明细!$AA$2:$AA$50000,"&lt;&gt;设计如此",缺陷明细!$AA$2:$AA$50000,"&lt;&gt;重复Bug")</f>
        <v>0</v>
      </c>
      <c r="K7" s="162">
        <f>COUNTIFS(缺陷明细!$A$2:$A$50000,$B$4,缺陷明细!$G$2:$G$50000,$C7,缺陷明细!$Q$2:$Q$50000,"已关闭",缺陷明细!$J$2:$J$50000,"单元测试")</f>
        <v>0</v>
      </c>
      <c r="L7" s="163"/>
      <c r="M7" s="164"/>
      <c r="N7" s="72">
        <f>COUNTIFS(缺陷明细!$A$2:$A$50000,$B$4,缺陷明细!$G$2:$G$50000,$C7,缺陷明细!$J$2:$J$50000,"系统测试案例评审",缺陷明细!$AA$2:$AA$50000,"&lt;&gt;丢弃",缺陷明细!$AA$2:$AA$50000,"&lt;&gt;设计如此",缺陷明细!$AA$2:$AA$50000,"&lt;&gt;重复Bug")</f>
        <v>0</v>
      </c>
      <c r="O7" s="72">
        <f>COUNTIFS(缺陷明细!$A$2:$A$50000,$B$4,缺陷明细!$G$2:$G$50000,$C7,缺陷明细!$Q$2:$Q$50000,"已关闭",缺陷明细!$J$2:$J$50000,"系统测试案例评审")</f>
        <v>0</v>
      </c>
      <c r="P7" s="72">
        <f>COUNTIFS(缺陷明细!$A$2:$A$50000,$B$4,缺陷明细!$G$2:$G$50000,$C7,缺陷明细!$J$2:$J$50000,"系统测试",缺陷明细!$AA$2:$AA$50000,"&lt;&gt;丢弃",缺陷明细!$AA$2:$AA$50000,"&lt;&gt;设计如此",缺陷明细!$AA$2:$AA$50000,"&lt;&gt;重复Bug")</f>
        <v>0</v>
      </c>
      <c r="Q7" s="72">
        <f>COUNTIFS(缺陷明细!$A$2:$A$50000,$B$4,缺陷明细!$G$2:$G$50000,$C7,缺陷明细!$Q$2:$Q$50000,"已关闭",缺陷明细!$J$2:$J$50000,"系统测试")</f>
        <v>0</v>
      </c>
      <c r="R7" s="72">
        <f>COUNTIFS(缺陷明细!$A$2:$A$50000,$B$4,缺陷明细!$G$2:$G$50000,$C7,缺陷明细!$AA$2:$AA$50000,"丢弃",缺陷明细!$J$2:$J$50000,"系统测试")+COUNTIFS(缺陷明细!$A$2:$A$50000,$B$4,缺陷明细!$G$2:$G$50000,$C7,缺陷明细!$AA$2:$AA$50000,"设计如此",缺陷明细!$J$2:$J$50000,"系统测试"+COUNTIFS(缺陷明细!$A$2:$A$50000,$B$4,缺陷明细!$G$2:$G$50000,$C7,缺陷明细!$AA$2:$AA$50000,"重复Bug",缺陷明细!$J$2:$J$50000,"系统测试"))</f>
        <v>0</v>
      </c>
      <c r="S7" s="72">
        <f>COUNTIFS(缺陷明细!$A$2:$A$50000,$B$4,缺陷明细!$G$2:$G$50000,$C7,缺陷明细!$J$2:$J$50000,"系统测试",缺陷明细!$K$2:$K$50000,"致命",缺陷明细!$AA$2:$AA$50000,"&lt;&gt;丢弃",缺陷明细!$AA$2:$AA$50000,"&lt;&gt;设计如此",缺陷明细!$AA$2:$AA$50000,"&lt;&gt;重复Bug")+COUNTIFS(缺陷明细!$A$2:$A$50000,$B$4,缺陷明细!$G$2:$G$50000,$C7,缺陷明细!$J$2:$J$50000,"系统测试",缺陷明细!$K$2:$K$50000,"严重",缺陷明细!$AA$2:$AA$50000,"&lt;&gt;丢弃",缺陷明细!$AA$2:$AA$50000,"&lt;&gt;设计如此",缺陷明细!$AA$2:$AA$50000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COUNTIFS(缺陷明细!$A$2:$A$50000,$B$4,缺陷明细!$G$2:$G$50000,$C7,缺陷明细!$J$2:$J$50000,"验收测试",缺陷明细!$AA$2:$AA$50000,"&lt;&gt;丢弃",缺陷明细!$AA$2:$AA$50000,"&lt;&gt;设计如此",缺陷明细!$AA$2:$AA$50000,"&lt;&gt;重复Bug")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A$2:$AA$50000,"&lt;&gt;丢弃",缺陷明细!$AA$2:$AA$50000,"&lt;&gt;设计如此",缺陷明细!$AA$2:$AA$50000,"&lt;&gt;重复Bug")+COUNTIFS(缺陷明细!$A$2:$A$50000,$B$4,缺陷明细!$G$2:$G$50000,$C7,缺陷明细!$J$2:$J$50000,"验收测试",缺陷明细!$K$2:$K$50000,"严重",缺陷明细!$AA$2:$AA$50000,"&lt;&gt;丢弃",缺陷明细!$AA$2:$AA$50000,"&lt;&gt;设计如此",缺陷明细!$AA$2:$AA$50000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COUNTIFS(缺陷明细!$A$2:$A$50000,$B$4,缺陷明细!$G$2:$G$50000,$C7,缺陷明细!$J$2:$J$50000,"运维测试",缺陷明细!$AA$2:$AA$50000,"&lt;&gt;丢弃",缺陷明细!$AA$2:$AA$50000,"&lt;&gt;设计如此",缺陷明细!$AA$2:$AA$50000,"&lt;&gt;重复Bug")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A$2:$AA$50000,"&lt;&gt;丢弃",缺陷明细!$AA$2:$AA$50000,"&lt;&gt;设计如此",缺陷明细!$AA$2:$AA$50000,"&lt;&gt;重复Bug")+COUNTIFS(缺陷明细!$A$2:$A$50000,$B$4,缺陷明细!$G$2:$G$50000,$C7,缺陷明细!$J$2:$J$50000,"运维测试",缺陷明细!$K$2:$K$50000,"严重",缺陷明细!$AA$2:$AA$50000,"&lt;&gt;丢弃",缺陷明细!$AA$2:$AA$50000,"&lt;&gt;设计如此",缺陷明细!$AA$2:$AA$50000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51"/>
    </row>
    <row r="8" spans="1:37">
      <c r="A8">
        <v>4</v>
      </c>
      <c r="B8" s="57"/>
      <c r="C8" s="58"/>
      <c r="D8" s="83"/>
      <c r="E8" s="82"/>
      <c r="F8" s="165"/>
      <c r="G8" s="166"/>
      <c r="H8" s="305">
        <f>COUNTIFS(缺陷明细!$A$2:$A$50000,$B$4,缺陷明细!$G$2:$G$50000,$C8,缺陷明细!$J$2:$J$50000,"评审",缺陷明细!$AA$2:$AA$50000,"&lt;&gt;丢弃",缺陷明细!$AA$2:$AA$50000,"&lt;&gt;设计如此",缺陷明细!$AA$2:$AA$50000,"&lt;&gt;重复Bug")</f>
        <v>0</v>
      </c>
      <c r="I8" s="161">
        <f>COUNTIFS(缺陷明细!$A$2:$A$50000,$B$4,缺陷明细!$G$2:$G$50000,$C8,缺陷明细!$Q$2:$Q$50000,"已关闭",缺陷明细!$J$2:$J$50000,"评审")</f>
        <v>0</v>
      </c>
      <c r="J8" s="161">
        <f>COUNTIFS(缺陷明细!$A$2:$A$50000,$B$4,缺陷明细!$G$2:$G$50000,$C8,缺陷明细!$J$2:$J$50000,"单元测试",缺陷明细!$AA$2:$AA$50000,"&lt;&gt;丢弃",缺陷明细!$AA$2:$AA$50000,"&lt;&gt;设计如此",缺陷明细!$AA$2:$AA$50000,"&lt;&gt;重复Bug")</f>
        <v>0</v>
      </c>
      <c r="K8" s="162">
        <f>COUNTIFS(缺陷明细!$A$2:$A$50000,$B$4,缺陷明细!$G$2:$G$50000,$C8,缺陷明细!$Q$2:$Q$50000,"已关闭",缺陷明细!$J$2:$J$50000,"单元测试")</f>
        <v>0</v>
      </c>
      <c r="L8" s="163"/>
      <c r="M8" s="164"/>
      <c r="N8" s="72">
        <f>COUNTIFS(缺陷明细!$A$2:$A$50000,$B$4,缺陷明细!$G$2:$G$50000,$C8,缺陷明细!$J$2:$J$50000,"系统测试案例评审",缺陷明细!$AA$2:$AA$50000,"&lt;&gt;丢弃",缺陷明细!$AA$2:$AA$50000,"&lt;&gt;设计如此",缺陷明细!$AA$2:$AA$50000,"&lt;&gt;重复Bug")</f>
        <v>0</v>
      </c>
      <c r="O8" s="72">
        <f>COUNTIFS(缺陷明细!$A$2:$A$50000,$B$4,缺陷明细!$G$2:$G$50000,$C8,缺陷明细!$Q$2:$Q$50000,"已关闭",缺陷明细!$J$2:$J$50000,"系统测试案例评审")</f>
        <v>0</v>
      </c>
      <c r="P8" s="72">
        <f>COUNTIFS(缺陷明细!$A$2:$A$50000,$B$4,缺陷明细!$G$2:$G$50000,$C8,缺陷明细!$J$2:$J$50000,"系统测试",缺陷明细!$AA$2:$AA$50000,"&lt;&gt;丢弃",缺陷明细!$AA$2:$AA$50000,"&lt;&gt;设计如此",缺陷明细!$AA$2:$AA$50000,"&lt;&gt;重复Bug")</f>
        <v>0</v>
      </c>
      <c r="Q8" s="72">
        <f>COUNTIFS(缺陷明细!$A$2:$A$50000,$B$4,缺陷明细!$G$2:$G$50000,$C8,缺陷明细!$Q$2:$Q$50000,"已关闭",缺陷明细!$J$2:$J$50000,"系统测试")</f>
        <v>0</v>
      </c>
      <c r="R8" s="72">
        <f>COUNTIFS(缺陷明细!$A$2:$A$50000,$B$4,缺陷明细!$G$2:$G$50000,$C8,缺陷明细!$AA$2:$AA$50000,"丢弃",缺陷明细!$J$2:$J$50000,"系统测试")+COUNTIFS(缺陷明细!$A$2:$A$50000,$B$4,缺陷明细!$G$2:$G$50000,$C8,缺陷明细!$AA$2:$AA$50000,"设计如此",缺陷明细!$J$2:$J$50000,"系统测试"+COUNTIFS(缺陷明细!$A$2:$A$50000,$B$4,缺陷明细!$G$2:$G$50000,$C8,缺陷明细!$AA$2:$AA$50000,"重复Bug",缺陷明细!$J$2:$J$50000,"系统测试"))</f>
        <v>0</v>
      </c>
      <c r="S8" s="72">
        <f>COUNTIFS(缺陷明细!$A$2:$A$50000,$B$4,缺陷明细!$G$2:$G$50000,$C8,缺陷明细!$J$2:$J$50000,"系统测试",缺陷明细!$K$2:$K$50000,"致命",缺陷明细!$AA$2:$AA$50000,"&lt;&gt;丢弃",缺陷明细!$AA$2:$AA$50000,"&lt;&gt;设计如此",缺陷明细!$AA$2:$AA$50000,"&lt;&gt;重复Bug")+COUNTIFS(缺陷明细!$A$2:$A$50000,$B$4,缺陷明细!$G$2:$G$50000,$C8,缺陷明细!$J$2:$J$50000,"系统测试",缺陷明细!$K$2:$K$50000,"严重",缺陷明细!$AA$2:$AA$50000,"&lt;&gt;丢弃",缺陷明细!$AA$2:$AA$50000,"&lt;&gt;设计如此",缺陷明细!$AA$2:$AA$50000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COUNTIFS(缺陷明细!$A$2:$A$50000,$B$4,缺陷明细!$G$2:$G$50000,$C8,缺陷明细!$J$2:$J$50000,"验收测试",缺陷明细!$AA$2:$AA$50000,"&lt;&gt;丢弃",缺陷明细!$AA$2:$AA$50000,"&lt;&gt;设计如此",缺陷明细!$AA$2:$AA$50000,"&lt;&gt;重复Bug")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A$2:$AA$50000,"&lt;&gt;丢弃",缺陷明细!$AA$2:$AA$50000,"&lt;&gt;设计如此",缺陷明细!$AA$2:$AA$50000,"&lt;&gt;重复Bug")+COUNTIFS(缺陷明细!$A$2:$A$50000,$B$4,缺陷明细!$G$2:$G$50000,$C8,缺陷明细!$J$2:$J$50000,"验收测试",缺陷明细!$K$2:$K$50000,"严重",缺陷明细!$AA$2:$AA$50000,"&lt;&gt;丢弃",缺陷明细!$AA$2:$AA$50000,"&lt;&gt;设计如此",缺陷明细!$AA$2:$AA$50000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COUNTIFS(缺陷明细!$A$2:$A$50000,$B$4,缺陷明细!$G$2:$G$50000,$C8,缺陷明细!$J$2:$J$50000,"运维测试",缺陷明细!$AA$2:$AA$50000,"&lt;&gt;丢弃",缺陷明细!$AA$2:$AA$50000,"&lt;&gt;设计如此",缺陷明细!$AA$2:$AA$50000,"&lt;&gt;重复Bug")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A$2:$AA$50000,"&lt;&gt;丢弃",缺陷明细!$AA$2:$AA$50000,"&lt;&gt;设计如此",缺陷明细!$AA$2:$AA$50000,"&lt;&gt;重复Bug")+COUNTIFS(缺陷明细!$A$2:$A$50000,$B$4,缺陷明细!$G$2:$G$50000,$C8,缺陷明细!$J$2:$J$50000,"运维测试",缺陷明细!$K$2:$K$50000,"严重",缺陷明细!$AA$2:$AA$50000,"&lt;&gt;丢弃",缺陷明细!$AA$2:$AA$50000,"&lt;&gt;设计如此",缺陷明细!$AA$2:$AA$50000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51"/>
    </row>
    <row r="9" spans="1:37">
      <c r="A9">
        <v>5</v>
      </c>
      <c r="B9" s="57"/>
      <c r="C9" s="59"/>
      <c r="D9" s="84"/>
      <c r="E9" s="82"/>
      <c r="F9" s="167"/>
      <c r="G9" s="168"/>
      <c r="H9" s="305">
        <f>COUNTIFS(缺陷明细!$A$2:$A$50000,$B$4,缺陷明细!$G$2:$G$50000,$C9,缺陷明细!$J$2:$J$50000,"评审",缺陷明细!$AA$2:$AA$50000,"&lt;&gt;丢弃",缺陷明细!$AA$2:$AA$50000,"&lt;&gt;设计如此",缺陷明细!$AA$2:$AA$50000,"&lt;&gt;重复Bug")</f>
        <v>0</v>
      </c>
      <c r="I9" s="161">
        <f>COUNTIFS(缺陷明细!$A$2:$A$50000,$B$4,缺陷明细!$G$2:$G$50000,$C9,缺陷明细!$Q$2:$Q$50000,"已关闭",缺陷明细!$J$2:$J$50000,"评审")</f>
        <v>0</v>
      </c>
      <c r="J9" s="161">
        <f>COUNTIFS(缺陷明细!$A$2:$A$50000,$B$4,缺陷明细!$G$2:$G$50000,$C9,缺陷明细!$J$2:$J$50000,"单元测试",缺陷明细!$AA$2:$AA$50000,"&lt;&gt;丢弃",缺陷明细!$AA$2:$AA$50000,"&lt;&gt;设计如此",缺陷明细!$AA$2:$AA$50000,"&lt;&gt;重复Bug")</f>
        <v>0</v>
      </c>
      <c r="K9" s="162">
        <f>COUNTIFS(缺陷明细!$A$2:$A$50000,$B$4,缺陷明细!$G$2:$G$50000,$C9,缺陷明细!$Q$2:$Q$50000,"已关闭",缺陷明细!$J$2:$J$50000,"单元测试")</f>
        <v>0</v>
      </c>
      <c r="L9" s="163"/>
      <c r="M9" s="164"/>
      <c r="N9" s="72">
        <f>COUNTIFS(缺陷明细!$A$2:$A$50000,$B$4,缺陷明细!$G$2:$G$50000,$C9,缺陷明细!$J$2:$J$50000,"系统测试案例评审",缺陷明细!$AA$2:$AA$50000,"&lt;&gt;丢弃",缺陷明细!$AA$2:$AA$50000,"&lt;&gt;设计如此",缺陷明细!$AA$2:$AA$50000,"&lt;&gt;重复Bug")</f>
        <v>0</v>
      </c>
      <c r="O9" s="72">
        <f>COUNTIFS(缺陷明细!$A$2:$A$50000,$B$4,缺陷明细!$G$2:$G$50000,$C9,缺陷明细!$Q$2:$Q$50000,"已关闭",缺陷明细!$J$2:$J$50000,"系统测试案例评审")</f>
        <v>0</v>
      </c>
      <c r="P9" s="72">
        <f>COUNTIFS(缺陷明细!$A$2:$A$50000,$B$4,缺陷明细!$G$2:$G$50000,$C9,缺陷明细!$J$2:$J$50000,"系统测试",缺陷明细!$AA$2:$AA$50000,"&lt;&gt;丢弃",缺陷明细!$AA$2:$AA$50000,"&lt;&gt;设计如此",缺陷明细!$AA$2:$AA$50000,"&lt;&gt;重复Bug")</f>
        <v>0</v>
      </c>
      <c r="Q9" s="72">
        <f>COUNTIFS(缺陷明细!$A$2:$A$50000,$B$4,缺陷明细!$G$2:$G$50000,$C9,缺陷明细!$Q$2:$Q$50000,"已关闭",缺陷明细!$J$2:$J$50000,"系统测试")</f>
        <v>0</v>
      </c>
      <c r="R9" s="72">
        <f>COUNTIFS(缺陷明细!$A$2:$A$50000,$B$4,缺陷明细!$G$2:$G$50000,$C9,缺陷明细!$AA$2:$AA$50000,"丢弃",缺陷明细!$J$2:$J$50000,"系统测试")+COUNTIFS(缺陷明细!$A$2:$A$50000,$B$4,缺陷明细!$G$2:$G$50000,$C9,缺陷明细!$AA$2:$AA$50000,"设计如此",缺陷明细!$J$2:$J$50000,"系统测试"+COUNTIFS(缺陷明细!$A$2:$A$50000,$B$4,缺陷明细!$G$2:$G$50000,$C9,缺陷明细!$AA$2:$AA$50000,"重复Bug",缺陷明细!$J$2:$J$50000,"系统测试"))</f>
        <v>0</v>
      </c>
      <c r="S9" s="72">
        <f>COUNTIFS(缺陷明细!$A$2:$A$50000,$B$4,缺陷明细!$G$2:$G$50000,$C9,缺陷明细!$J$2:$J$50000,"系统测试",缺陷明细!$K$2:$K$50000,"致命",缺陷明细!$AA$2:$AA$50000,"&lt;&gt;丢弃",缺陷明细!$AA$2:$AA$50000,"&lt;&gt;设计如此",缺陷明细!$AA$2:$AA$50000,"&lt;&gt;重复Bug")+COUNTIFS(缺陷明细!$A$2:$A$50000,$B$4,缺陷明细!$G$2:$G$50000,$C9,缺陷明细!$J$2:$J$50000,"系统测试",缺陷明细!$K$2:$K$50000,"严重",缺陷明细!$AA$2:$AA$50000,"&lt;&gt;丢弃",缺陷明细!$AA$2:$AA$50000,"&lt;&gt;设计如此",缺陷明细!$AA$2:$AA$50000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COUNTIFS(缺陷明细!$A$2:$A$50000,$B$4,缺陷明细!$G$2:$G$50000,$C9,缺陷明细!$J$2:$J$50000,"验收测试",缺陷明细!$AA$2:$AA$50000,"&lt;&gt;丢弃",缺陷明细!$AA$2:$AA$50000,"&lt;&gt;设计如此",缺陷明细!$AA$2:$AA$50000,"&lt;&gt;重复Bug")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A$2:$AA$50000,"&lt;&gt;丢弃",缺陷明细!$AA$2:$AA$50000,"&lt;&gt;设计如此",缺陷明细!$AA$2:$AA$50000,"&lt;&gt;重复Bug")+COUNTIFS(缺陷明细!$A$2:$A$50000,$B$4,缺陷明细!$G$2:$G$50000,$C9,缺陷明细!$J$2:$J$50000,"验收测试",缺陷明细!$K$2:$K$50000,"严重",缺陷明细!$AA$2:$AA$50000,"&lt;&gt;丢弃",缺陷明细!$AA$2:$AA$50000,"&lt;&gt;设计如此",缺陷明细!$AA$2:$AA$50000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COUNTIFS(缺陷明细!$A$2:$A$50000,$B$4,缺陷明细!$G$2:$G$50000,$C9,缺陷明细!$J$2:$J$50000,"运维测试",缺陷明细!$AA$2:$AA$50000,"&lt;&gt;丢弃",缺陷明细!$AA$2:$AA$50000,"&lt;&gt;设计如此",缺陷明细!$AA$2:$AA$50000,"&lt;&gt;重复Bug")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A$2:$AA$50000,"&lt;&gt;丢弃",缺陷明细!$AA$2:$AA$50000,"&lt;&gt;设计如此",缺陷明细!$AA$2:$AA$50000,"&lt;&gt;重复Bug")+COUNTIFS(缺陷明细!$A$2:$A$50000,$B$4,缺陷明细!$G$2:$G$50000,$C9,缺陷明细!$J$2:$J$50000,"运维测试",缺陷明细!$K$2:$K$50000,"严重",缺陷明细!$AA$2:$AA$50000,"&lt;&gt;丢弃",缺陷明细!$AA$2:$AA$50000,"&lt;&gt;设计如此",缺陷明细!$AA$2:$AA$50000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51"/>
    </row>
    <row r="10" spans="1:37">
      <c r="A10">
        <v>6</v>
      </c>
      <c r="B10" s="57"/>
      <c r="C10" s="58"/>
      <c r="D10" s="84"/>
      <c r="E10" s="82"/>
      <c r="F10" s="165"/>
      <c r="G10" s="166"/>
      <c r="H10" s="305">
        <f>COUNTIFS(缺陷明细!$A$2:$A$50000,$B$4,缺陷明细!$G$2:$G$50000,$C10,缺陷明细!$J$2:$J$50000,"评审",缺陷明细!$AA$2:$AA$50000,"&lt;&gt;丢弃",缺陷明细!$AA$2:$AA$50000,"&lt;&gt;设计如此",缺陷明细!$AA$2:$AA$50000,"&lt;&gt;重复Bug")</f>
        <v>0</v>
      </c>
      <c r="I10" s="161">
        <f>COUNTIFS(缺陷明细!$A$2:$A$50000,$B$4,缺陷明细!$G$2:$G$50000,$C10,缺陷明细!$Q$2:$Q$50000,"已关闭",缺陷明细!$J$2:$J$50000,"评审")</f>
        <v>0</v>
      </c>
      <c r="J10" s="161">
        <f>COUNTIFS(缺陷明细!$A$2:$A$50000,$B$4,缺陷明细!$G$2:$G$50000,$C10,缺陷明细!$J$2:$J$50000,"单元测试",缺陷明细!$AA$2:$AA$50000,"&lt;&gt;丢弃",缺陷明细!$AA$2:$AA$50000,"&lt;&gt;设计如此",缺陷明细!$AA$2:$AA$50000,"&lt;&gt;重复Bug")</f>
        <v>0</v>
      </c>
      <c r="K10" s="162">
        <f>COUNTIFS(缺陷明细!$A$2:$A$50000,$B$4,缺陷明细!$G$2:$G$50000,$C10,缺陷明细!$Q$2:$Q$50000,"已关闭",缺陷明细!$J$2:$J$50000,"单元测试")</f>
        <v>0</v>
      </c>
      <c r="L10" s="163"/>
      <c r="M10" s="164"/>
      <c r="N10" s="72">
        <f>COUNTIFS(缺陷明细!$A$2:$A$50000,$B$4,缺陷明细!$G$2:$G$50000,$C10,缺陷明细!$J$2:$J$50000,"系统测试案例评审",缺陷明细!$AA$2:$AA$50000,"&lt;&gt;丢弃",缺陷明细!$AA$2:$AA$50000,"&lt;&gt;设计如此",缺陷明细!$AA$2:$AA$50000,"&lt;&gt;重复Bug")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COUNTIFS(缺陷明细!$A$2:$A$50000,$B$4,缺陷明细!$G$2:$G$50000,$C10,缺陷明细!$J$2:$J$50000,"系统测试",缺陷明细!$AA$2:$AA$50000,"&lt;&gt;丢弃",缺陷明细!$AA$2:$AA$50000,"&lt;&gt;设计如此",缺陷明细!$AA$2:$AA$50000,"&lt;&gt;重复Bug")</f>
        <v>0</v>
      </c>
      <c r="Q10" s="72">
        <f>COUNTIFS(缺陷明细!$A$2:$A$50000,$B$4,缺陷明细!$G$2:$G$50000,$C10,缺陷明细!$Q$2:$Q$50000,"已关闭",缺陷明细!$J$2:$J$50000,"系统测试")</f>
        <v>0</v>
      </c>
      <c r="R10" s="72">
        <f>COUNTIFS(缺陷明细!$A$2:$A$50000,$B$4,缺陷明细!$G$2:$G$50000,$C10,缺陷明细!$AA$2:$AA$50000,"丢弃",缺陷明细!$J$2:$J$50000,"系统测试")+COUNTIFS(缺陷明细!$A$2:$A$50000,$B$4,缺陷明细!$G$2:$G$50000,$C10,缺陷明细!$AA$2:$AA$50000,"设计如此",缺陷明细!$J$2:$J$50000,"系统测试"+COUNTIFS(缺陷明细!$A$2:$A$50000,$B$4,缺陷明细!$G$2:$G$50000,$C10,缺陷明细!$AA$2:$AA$50000,"重复Bug",缺陷明细!$J$2:$J$50000,"系统测试"))</f>
        <v>0</v>
      </c>
      <c r="S10" s="72">
        <f>COUNTIFS(缺陷明细!$A$2:$A$50000,$B$4,缺陷明细!$G$2:$G$50000,$C10,缺陷明细!$J$2:$J$50000,"系统测试",缺陷明细!$K$2:$K$50000,"致命",缺陷明细!$AA$2:$AA$50000,"&lt;&gt;丢弃",缺陷明细!$AA$2:$AA$50000,"&lt;&gt;设计如此",缺陷明细!$AA$2:$AA$50000,"&lt;&gt;重复Bug")+COUNTIFS(缺陷明细!$A$2:$A$50000,$B$4,缺陷明细!$G$2:$G$50000,$C10,缺陷明细!$J$2:$J$50000,"系统测试",缺陷明细!$K$2:$K$50000,"严重",缺陷明细!$AA$2:$AA$50000,"&lt;&gt;丢弃",缺陷明细!$AA$2:$AA$50000,"&lt;&gt;设计如此",缺陷明细!$AA$2:$AA$50000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COUNTIFS(缺陷明细!$A$2:$A$50000,$B$4,缺陷明细!$G$2:$G$50000,$C10,缺陷明细!$J$2:$J$50000,"验收测试",缺陷明细!$AA$2:$AA$50000,"&lt;&gt;丢弃",缺陷明细!$AA$2:$AA$50000,"&lt;&gt;设计如此",缺陷明细!$AA$2:$AA$50000,"&lt;&gt;重复Bug")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A$2:$AA$50000,"&lt;&gt;丢弃",缺陷明细!$AA$2:$AA$50000,"&lt;&gt;设计如此",缺陷明细!$AA$2:$AA$50000,"&lt;&gt;重复Bug")+COUNTIFS(缺陷明细!$A$2:$A$50000,$B$4,缺陷明细!$G$2:$G$50000,$C10,缺陷明细!$J$2:$J$50000,"验收测试",缺陷明细!$K$2:$K$50000,"严重",缺陷明细!$AA$2:$AA$50000,"&lt;&gt;丢弃",缺陷明细!$AA$2:$AA$50000,"&lt;&gt;设计如此",缺陷明细!$AA$2:$AA$50000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COUNTIFS(缺陷明细!$A$2:$A$50000,$B$4,缺陷明细!$G$2:$G$50000,$C10,缺陷明细!$J$2:$J$50000,"运维测试",缺陷明细!$AA$2:$AA$50000,"&lt;&gt;丢弃",缺陷明细!$AA$2:$AA$50000,"&lt;&gt;设计如此",缺陷明细!$AA$2:$AA$50000,"&lt;&gt;重复Bug")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A$2:$AA$50000,"&lt;&gt;丢弃",缺陷明细!$AA$2:$AA$50000,"&lt;&gt;设计如此",缺陷明细!$AA$2:$AA$50000,"&lt;&gt;重复Bug")+COUNTIFS(缺陷明细!$A$2:$A$50000,$B$4,缺陷明细!$G$2:$G$50000,$C10,缺陷明细!$J$2:$J$50000,"运维测试",缺陷明细!$K$2:$K$50000,"严重",缺陷明细!$AA$2:$AA$50000,"&lt;&gt;丢弃",缺陷明细!$AA$2:$AA$50000,"&lt;&gt;设计如此",缺陷明细!$AA$2:$AA$50000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51"/>
    </row>
    <row r="11" spans="1:37">
      <c r="A11">
        <v>7</v>
      </c>
      <c r="B11" s="57"/>
      <c r="C11" s="58"/>
      <c r="D11" s="84"/>
      <c r="E11" s="82"/>
      <c r="F11" s="165"/>
      <c r="G11" s="166"/>
      <c r="H11" s="305">
        <f>COUNTIFS(缺陷明细!$A$2:$A$50000,$B$4,缺陷明细!$G$2:$G$50000,$C11,缺陷明细!$J$2:$J$50000,"评审",缺陷明细!$AA$2:$AA$50000,"&lt;&gt;丢弃",缺陷明细!$AA$2:$AA$50000,"&lt;&gt;设计如此",缺陷明细!$AA$2:$AA$50000,"&lt;&gt;重复Bug")</f>
        <v>0</v>
      </c>
      <c r="I11" s="161">
        <f>COUNTIFS(缺陷明细!$A$2:$A$50000,$B$4,缺陷明细!$G$2:$G$50000,$C11,缺陷明细!$Q$2:$Q$50000,"已关闭",缺陷明细!$J$2:$J$50000,"评审")</f>
        <v>0</v>
      </c>
      <c r="J11" s="161">
        <f>COUNTIFS(缺陷明细!$A$2:$A$50000,$B$4,缺陷明细!$G$2:$G$50000,$C11,缺陷明细!$J$2:$J$50000,"单元测试",缺陷明细!$AA$2:$AA$50000,"&lt;&gt;丢弃",缺陷明细!$AA$2:$AA$50000,"&lt;&gt;设计如此",缺陷明细!$AA$2:$AA$50000,"&lt;&gt;重复Bug")</f>
        <v>0</v>
      </c>
      <c r="K11" s="162">
        <f>COUNTIFS(缺陷明细!$A$2:$A$50000,$B$4,缺陷明细!$G$2:$G$50000,$C11,缺陷明细!$Q$2:$Q$50000,"已关闭",缺陷明细!$J$2:$J$50000,"单元测试")</f>
        <v>0</v>
      </c>
      <c r="L11" s="163"/>
      <c r="M11" s="164"/>
      <c r="N11" s="72">
        <f>COUNTIFS(缺陷明细!$A$2:$A$50000,$B$4,缺陷明细!$G$2:$G$50000,$C11,缺陷明细!$J$2:$J$50000,"系统测试案例评审",缺陷明细!$AA$2:$AA$50000,"&lt;&gt;丢弃",缺陷明细!$AA$2:$AA$50000,"&lt;&gt;设计如此",缺陷明细!$AA$2:$AA$50000,"&lt;&gt;重复Bug")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COUNTIFS(缺陷明细!$A$2:$A$50000,$B$4,缺陷明细!$G$2:$G$50000,$C11,缺陷明细!$J$2:$J$50000,"系统测试",缺陷明细!$AA$2:$AA$50000,"&lt;&gt;丢弃",缺陷明细!$AA$2:$AA$50000,"&lt;&gt;设计如此",缺陷明细!$AA$2:$AA$50000,"&lt;&gt;重复Bug")</f>
        <v>0</v>
      </c>
      <c r="Q11" s="72">
        <f>COUNTIFS(缺陷明细!$A$2:$A$50000,$B$4,缺陷明细!$G$2:$G$50000,$C11,缺陷明细!$Q$2:$Q$50000,"已关闭",缺陷明细!$J$2:$J$50000,"系统测试")</f>
        <v>0</v>
      </c>
      <c r="R11" s="72">
        <f>COUNTIFS(缺陷明细!$A$2:$A$50000,$B$4,缺陷明细!$G$2:$G$50000,$C11,缺陷明细!$AA$2:$AA$50000,"丢弃",缺陷明细!$J$2:$J$50000,"系统测试")+COUNTIFS(缺陷明细!$A$2:$A$50000,$B$4,缺陷明细!$G$2:$G$50000,$C11,缺陷明细!$AA$2:$AA$50000,"设计如此",缺陷明细!$J$2:$J$50000,"系统测试"+COUNTIFS(缺陷明细!$A$2:$A$50000,$B$4,缺陷明细!$G$2:$G$50000,$C11,缺陷明细!$AA$2:$AA$50000,"重复Bug",缺陷明细!$J$2:$J$50000,"系统测试"))</f>
        <v>0</v>
      </c>
      <c r="S11" s="72">
        <f>COUNTIFS(缺陷明细!$A$2:$A$50000,$B$4,缺陷明细!$G$2:$G$50000,$C11,缺陷明细!$J$2:$J$50000,"系统测试",缺陷明细!$K$2:$K$50000,"致命",缺陷明细!$AA$2:$AA$50000,"&lt;&gt;丢弃",缺陷明细!$AA$2:$AA$50000,"&lt;&gt;设计如此",缺陷明细!$AA$2:$AA$50000,"&lt;&gt;重复Bug")+COUNTIFS(缺陷明细!$A$2:$A$50000,$B$4,缺陷明细!$G$2:$G$50000,$C11,缺陷明细!$J$2:$J$50000,"系统测试",缺陷明细!$K$2:$K$50000,"严重",缺陷明细!$AA$2:$AA$50000,"&lt;&gt;丢弃",缺陷明细!$AA$2:$AA$50000,"&lt;&gt;设计如此",缺陷明细!$AA$2:$AA$50000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COUNTIFS(缺陷明细!$A$2:$A$50000,$B$4,缺陷明细!$G$2:$G$50000,$C11,缺陷明细!$J$2:$J$50000,"验收测试",缺陷明细!$AA$2:$AA$50000,"&lt;&gt;丢弃",缺陷明细!$AA$2:$AA$50000,"&lt;&gt;设计如此",缺陷明细!$AA$2:$AA$50000,"&lt;&gt;重复Bug")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A$2:$AA$50000,"&lt;&gt;丢弃",缺陷明细!$AA$2:$AA$50000,"&lt;&gt;设计如此",缺陷明细!$AA$2:$AA$50000,"&lt;&gt;重复Bug")+COUNTIFS(缺陷明细!$A$2:$A$50000,$B$4,缺陷明细!$G$2:$G$50000,$C11,缺陷明细!$J$2:$J$50000,"验收测试",缺陷明细!$K$2:$K$50000,"严重",缺陷明细!$AA$2:$AA$50000,"&lt;&gt;丢弃",缺陷明细!$AA$2:$AA$50000,"&lt;&gt;设计如此",缺陷明细!$AA$2:$AA$50000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COUNTIFS(缺陷明细!$A$2:$A$50000,$B$4,缺陷明细!$G$2:$G$50000,$C11,缺陷明细!$J$2:$J$50000,"运维测试",缺陷明细!$AA$2:$AA$50000,"&lt;&gt;丢弃",缺陷明细!$AA$2:$AA$50000,"&lt;&gt;设计如此",缺陷明细!$AA$2:$AA$50000,"&lt;&gt;重复Bug")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A$2:$AA$50000,"&lt;&gt;丢弃",缺陷明细!$AA$2:$AA$50000,"&lt;&gt;设计如此",缺陷明细!$AA$2:$AA$50000,"&lt;&gt;重复Bug")+COUNTIFS(缺陷明细!$A$2:$A$50000,$B$4,缺陷明细!$G$2:$G$50000,$C11,缺陷明细!$J$2:$J$50000,"运维测试",缺陷明细!$K$2:$K$50000,"严重",缺陷明细!$AA$2:$AA$50000,"&lt;&gt;丢弃",缺陷明细!$AA$2:$AA$50000,"&lt;&gt;设计如此",缺陷明细!$AA$2:$AA$50000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51"/>
    </row>
    <row r="12" spans="1:37">
      <c r="A12">
        <v>8</v>
      </c>
      <c r="B12" s="57"/>
      <c r="C12" s="58"/>
      <c r="D12" s="84"/>
      <c r="E12" s="82"/>
      <c r="F12" s="165"/>
      <c r="G12" s="166"/>
      <c r="H12" s="305">
        <f>COUNTIFS(缺陷明细!$A$2:$A$50000,$B$4,缺陷明细!$G$2:$G$50000,$C12,缺陷明细!$J$2:$J$50000,"评审",缺陷明细!$AA$2:$AA$50000,"&lt;&gt;丢弃",缺陷明细!$AA$2:$AA$50000,"&lt;&gt;设计如此",缺陷明细!$AA$2:$AA$50000,"&lt;&gt;重复Bug")</f>
        <v>0</v>
      </c>
      <c r="I12" s="161">
        <f>COUNTIFS(缺陷明细!$A$2:$A$50000,$B$4,缺陷明细!$G$2:$G$50000,$C12,缺陷明细!$Q$2:$Q$50000,"已关闭",缺陷明细!$J$2:$J$50000,"评审")</f>
        <v>0</v>
      </c>
      <c r="J12" s="161">
        <f>COUNTIFS(缺陷明细!$A$2:$A$50000,$B$4,缺陷明细!$G$2:$G$50000,$C12,缺陷明细!$J$2:$J$50000,"单元测试",缺陷明细!$AA$2:$AA$50000,"&lt;&gt;丢弃",缺陷明细!$AA$2:$AA$50000,"&lt;&gt;设计如此",缺陷明细!$AA$2:$AA$50000,"&lt;&gt;重复Bug")</f>
        <v>0</v>
      </c>
      <c r="K12" s="162">
        <f>COUNTIFS(缺陷明细!$A$2:$A$50000,$B$4,缺陷明细!$G$2:$G$50000,$C12,缺陷明细!$Q$2:$Q$50000,"已关闭",缺陷明细!$J$2:$J$50000,"单元测试")</f>
        <v>0</v>
      </c>
      <c r="L12" s="163"/>
      <c r="M12" s="164"/>
      <c r="N12" s="72">
        <f>COUNTIFS(缺陷明细!$A$2:$A$50000,$B$4,缺陷明细!$G$2:$G$50000,$C12,缺陷明细!$J$2:$J$50000,"系统测试案例评审",缺陷明细!$AA$2:$AA$50000,"&lt;&gt;丢弃",缺陷明细!$AA$2:$AA$50000,"&lt;&gt;设计如此",缺陷明细!$AA$2:$AA$50000,"&lt;&gt;重复Bug")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COUNTIFS(缺陷明细!$A$2:$A$50000,$B$4,缺陷明细!$G$2:$G$50000,$C12,缺陷明细!$J$2:$J$50000,"系统测试",缺陷明细!$AA$2:$AA$50000,"&lt;&gt;丢弃",缺陷明细!$AA$2:$AA$50000,"&lt;&gt;设计如此",缺陷明细!$AA$2:$AA$50000,"&lt;&gt;重复Bug")</f>
        <v>0</v>
      </c>
      <c r="Q12" s="72">
        <f>COUNTIFS(缺陷明细!$A$2:$A$50000,$B$4,缺陷明细!$G$2:$G$50000,$C12,缺陷明细!$Q$2:$Q$50000,"已关闭",缺陷明细!$J$2:$J$50000,"系统测试")</f>
        <v>0</v>
      </c>
      <c r="R12" s="72">
        <f>COUNTIFS(缺陷明细!$A$2:$A$50000,$B$4,缺陷明细!$G$2:$G$50000,$C12,缺陷明细!$AA$2:$AA$50000,"丢弃",缺陷明细!$J$2:$J$50000,"系统测试")+COUNTIFS(缺陷明细!$A$2:$A$50000,$B$4,缺陷明细!$G$2:$G$50000,$C12,缺陷明细!$AA$2:$AA$50000,"设计如此",缺陷明细!$J$2:$J$50000,"系统测试"+COUNTIFS(缺陷明细!$A$2:$A$50000,$B$4,缺陷明细!$G$2:$G$50000,$C12,缺陷明细!$AA$2:$AA$50000,"重复Bug",缺陷明细!$J$2:$J$50000,"系统测试"))</f>
        <v>0</v>
      </c>
      <c r="S12" s="72">
        <f>COUNTIFS(缺陷明细!$A$2:$A$50000,$B$4,缺陷明细!$G$2:$G$50000,$C12,缺陷明细!$J$2:$J$50000,"系统测试",缺陷明细!$K$2:$K$50000,"致命",缺陷明细!$AA$2:$AA$50000,"&lt;&gt;丢弃",缺陷明细!$AA$2:$AA$50000,"&lt;&gt;设计如此",缺陷明细!$AA$2:$AA$50000,"&lt;&gt;重复Bug")+COUNTIFS(缺陷明细!$A$2:$A$50000,$B$4,缺陷明细!$G$2:$G$50000,$C12,缺陷明细!$J$2:$J$50000,"系统测试",缺陷明细!$K$2:$K$50000,"严重",缺陷明细!$AA$2:$AA$50000,"&lt;&gt;丢弃",缺陷明细!$AA$2:$AA$50000,"&lt;&gt;设计如此",缺陷明细!$AA$2:$AA$50000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COUNTIFS(缺陷明细!$A$2:$A$50000,$B$4,缺陷明细!$G$2:$G$50000,$C12,缺陷明细!$J$2:$J$50000,"验收测试",缺陷明细!$AA$2:$AA$50000,"&lt;&gt;丢弃",缺陷明细!$AA$2:$AA$50000,"&lt;&gt;设计如此",缺陷明细!$AA$2:$AA$50000,"&lt;&gt;重复Bug")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A$2:$AA$50000,"&lt;&gt;丢弃",缺陷明细!$AA$2:$AA$50000,"&lt;&gt;设计如此",缺陷明细!$AA$2:$AA$50000,"&lt;&gt;重复Bug")+COUNTIFS(缺陷明细!$A$2:$A$50000,$B$4,缺陷明细!$G$2:$G$50000,$C12,缺陷明细!$J$2:$J$50000,"验收测试",缺陷明细!$K$2:$K$50000,"严重",缺陷明细!$AA$2:$AA$50000,"&lt;&gt;丢弃",缺陷明细!$AA$2:$AA$50000,"&lt;&gt;设计如此",缺陷明细!$AA$2:$AA$50000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COUNTIFS(缺陷明细!$A$2:$A$50000,$B$4,缺陷明细!$G$2:$G$50000,$C12,缺陷明细!$J$2:$J$50000,"运维测试",缺陷明细!$AA$2:$AA$50000,"&lt;&gt;丢弃",缺陷明细!$AA$2:$AA$50000,"&lt;&gt;设计如此",缺陷明细!$AA$2:$AA$50000,"&lt;&gt;重复Bug")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A$2:$AA$50000,"&lt;&gt;丢弃",缺陷明细!$AA$2:$AA$50000,"&lt;&gt;设计如此",缺陷明细!$AA$2:$AA$50000,"&lt;&gt;重复Bug")+COUNTIFS(缺陷明细!$A$2:$A$50000,$B$4,缺陷明细!$G$2:$G$50000,$C12,缺陷明细!$J$2:$J$50000,"运维测试",缺陷明细!$K$2:$K$50000,"严重",缺陷明细!$AA$2:$AA$50000,"&lt;&gt;丢弃",缺陷明细!$AA$2:$AA$50000,"&lt;&gt;设计如此",缺陷明细!$AA$2:$AA$50000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51"/>
    </row>
    <row r="13" spans="1:37">
      <c r="A13">
        <v>9</v>
      </c>
      <c r="B13" s="57"/>
      <c r="C13" s="58"/>
      <c r="D13" s="84"/>
      <c r="E13" s="82"/>
      <c r="F13" s="165"/>
      <c r="G13" s="166"/>
      <c r="H13" s="305">
        <f>COUNTIFS(缺陷明细!$A$2:$A$50000,$B$4,缺陷明细!$G$2:$G$50000,$C13,缺陷明细!$J$2:$J$50000,"评审",缺陷明细!$AA$2:$AA$50000,"&lt;&gt;丢弃",缺陷明细!$AA$2:$AA$50000,"&lt;&gt;设计如此",缺陷明细!$AA$2:$AA$50000,"&lt;&gt;重复Bug")</f>
        <v>0</v>
      </c>
      <c r="I13" s="161">
        <f>COUNTIFS(缺陷明细!$A$2:$A$50000,$B$4,缺陷明细!$G$2:$G$50000,$C13,缺陷明细!$Q$2:$Q$50000,"已关闭",缺陷明细!$J$2:$J$50000,"评审")</f>
        <v>0</v>
      </c>
      <c r="J13" s="161">
        <f>COUNTIFS(缺陷明细!$A$2:$A$50000,$B$4,缺陷明细!$G$2:$G$50000,$C13,缺陷明细!$J$2:$J$50000,"单元测试",缺陷明细!$AA$2:$AA$50000,"&lt;&gt;丢弃",缺陷明细!$AA$2:$AA$50000,"&lt;&gt;设计如此",缺陷明细!$AA$2:$AA$50000,"&lt;&gt;重复Bug")</f>
        <v>0</v>
      </c>
      <c r="K13" s="162">
        <f>COUNTIFS(缺陷明细!$A$2:$A$50000,$B$4,缺陷明细!$G$2:$G$50000,$C13,缺陷明细!$Q$2:$Q$50000,"已关闭",缺陷明细!$J$2:$J$50000,"单元测试")</f>
        <v>0</v>
      </c>
      <c r="L13" s="163"/>
      <c r="M13" s="164"/>
      <c r="N13" s="72">
        <f>COUNTIFS(缺陷明细!$A$2:$A$50000,$B$4,缺陷明细!$G$2:$G$50000,$C13,缺陷明细!$J$2:$J$50000,"系统测试案例评审",缺陷明细!$AA$2:$AA$50000,"&lt;&gt;丢弃",缺陷明细!$AA$2:$AA$50000,"&lt;&gt;设计如此",缺陷明细!$AA$2:$AA$50000,"&lt;&gt;重复Bug")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COUNTIFS(缺陷明细!$A$2:$A$50000,$B$4,缺陷明细!$G$2:$G$50000,$C13,缺陷明细!$J$2:$J$50000,"系统测试",缺陷明细!$AA$2:$AA$50000,"&lt;&gt;丢弃",缺陷明细!$AA$2:$AA$50000,"&lt;&gt;设计如此",缺陷明细!$AA$2:$AA$50000,"&lt;&gt;重复Bug")</f>
        <v>0</v>
      </c>
      <c r="Q13" s="72">
        <f>COUNTIFS(缺陷明细!$A$2:$A$50000,$B$4,缺陷明细!$G$2:$G$50000,$C13,缺陷明细!$Q$2:$Q$50000,"已关闭",缺陷明细!$J$2:$J$50000,"系统测试")</f>
        <v>0</v>
      </c>
      <c r="R13" s="72">
        <f>COUNTIFS(缺陷明细!$A$2:$A$50000,$B$4,缺陷明细!$G$2:$G$50000,$C13,缺陷明细!$AA$2:$AA$50000,"丢弃",缺陷明细!$J$2:$J$50000,"系统测试")+COUNTIFS(缺陷明细!$A$2:$A$50000,$B$4,缺陷明细!$G$2:$G$50000,$C13,缺陷明细!$AA$2:$AA$50000,"设计如此",缺陷明细!$J$2:$J$50000,"系统测试"+COUNTIFS(缺陷明细!$A$2:$A$50000,$B$4,缺陷明细!$G$2:$G$50000,$C13,缺陷明细!$AA$2:$AA$50000,"重复Bug",缺陷明细!$J$2:$J$50000,"系统测试"))</f>
        <v>0</v>
      </c>
      <c r="S13" s="72">
        <f>COUNTIFS(缺陷明细!$A$2:$A$50000,$B$4,缺陷明细!$G$2:$G$50000,$C13,缺陷明细!$J$2:$J$50000,"系统测试",缺陷明细!$K$2:$K$50000,"致命",缺陷明细!$AA$2:$AA$50000,"&lt;&gt;丢弃",缺陷明细!$AA$2:$AA$50000,"&lt;&gt;设计如此",缺陷明细!$AA$2:$AA$50000,"&lt;&gt;重复Bug")+COUNTIFS(缺陷明细!$A$2:$A$50000,$B$4,缺陷明细!$G$2:$G$50000,$C13,缺陷明细!$J$2:$J$50000,"系统测试",缺陷明细!$K$2:$K$50000,"严重",缺陷明细!$AA$2:$AA$50000,"&lt;&gt;丢弃",缺陷明细!$AA$2:$AA$50000,"&lt;&gt;设计如此",缺陷明细!$AA$2:$AA$50000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COUNTIFS(缺陷明细!$A$2:$A$50000,$B$4,缺陷明细!$G$2:$G$50000,$C13,缺陷明细!$J$2:$J$50000,"验收测试",缺陷明细!$AA$2:$AA$50000,"&lt;&gt;丢弃",缺陷明细!$AA$2:$AA$50000,"&lt;&gt;设计如此",缺陷明细!$AA$2:$AA$50000,"&lt;&gt;重复Bug")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A$2:$AA$50000,"&lt;&gt;丢弃",缺陷明细!$AA$2:$AA$50000,"&lt;&gt;设计如此",缺陷明细!$AA$2:$AA$50000,"&lt;&gt;重复Bug")+COUNTIFS(缺陷明细!$A$2:$A$50000,$B$4,缺陷明细!$G$2:$G$50000,$C13,缺陷明细!$J$2:$J$50000,"验收测试",缺陷明细!$K$2:$K$50000,"严重",缺陷明细!$AA$2:$AA$50000,"&lt;&gt;丢弃",缺陷明细!$AA$2:$AA$50000,"&lt;&gt;设计如此",缺陷明细!$AA$2:$AA$50000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COUNTIFS(缺陷明细!$A$2:$A$50000,$B$4,缺陷明细!$G$2:$G$50000,$C13,缺陷明细!$J$2:$J$50000,"运维测试",缺陷明细!$AA$2:$AA$50000,"&lt;&gt;丢弃",缺陷明细!$AA$2:$AA$50000,"&lt;&gt;设计如此",缺陷明细!$AA$2:$AA$50000,"&lt;&gt;重复Bug")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A$2:$AA$50000,"&lt;&gt;丢弃",缺陷明细!$AA$2:$AA$50000,"&lt;&gt;设计如此",缺陷明细!$AA$2:$AA$50000,"&lt;&gt;重复Bug")+COUNTIFS(缺陷明细!$A$2:$A$50000,$B$4,缺陷明细!$G$2:$G$50000,$C13,缺陷明细!$J$2:$J$50000,"运维测试",缺陷明细!$K$2:$K$50000,"严重",缺陷明细!$AA$2:$AA$50000,"&lt;&gt;丢弃",缺陷明细!$AA$2:$AA$50000,"&lt;&gt;设计如此",缺陷明细!$AA$2:$AA$50000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51"/>
    </row>
    <row r="14" spans="1:37">
      <c r="A14">
        <v>10</v>
      </c>
      <c r="B14" s="57"/>
      <c r="C14" s="58"/>
      <c r="D14" s="84"/>
      <c r="E14" s="82"/>
      <c r="F14" s="165"/>
      <c r="G14" s="166"/>
      <c r="H14" s="305">
        <f>COUNTIFS(缺陷明细!$A$2:$A$50000,$B$4,缺陷明细!$G$2:$G$50000,$C14,缺陷明细!$J$2:$J$50000,"评审",缺陷明细!$AA$2:$AA$50000,"&lt;&gt;丢弃",缺陷明细!$AA$2:$AA$50000,"&lt;&gt;设计如此",缺陷明细!$AA$2:$AA$50000,"&lt;&gt;重复Bug")</f>
        <v>0</v>
      </c>
      <c r="I14" s="161">
        <f>COUNTIFS(缺陷明细!$A$2:$A$50000,$B$4,缺陷明细!$G$2:$G$50000,$C14,缺陷明细!$Q$2:$Q$50000,"已关闭",缺陷明细!$J$2:$J$50000,"评审")</f>
        <v>0</v>
      </c>
      <c r="J14" s="161">
        <f>COUNTIFS(缺陷明细!$A$2:$A$50000,$B$4,缺陷明细!$G$2:$G$50000,$C14,缺陷明细!$J$2:$J$50000,"单元测试",缺陷明细!$AA$2:$AA$50000,"&lt;&gt;丢弃",缺陷明细!$AA$2:$AA$50000,"&lt;&gt;设计如此",缺陷明细!$AA$2:$AA$50000,"&lt;&gt;重复Bug")</f>
        <v>0</v>
      </c>
      <c r="K14" s="162">
        <f>COUNTIFS(缺陷明细!$A$2:$A$50000,$B$4,缺陷明细!$G$2:$G$50000,$C14,缺陷明细!$Q$2:$Q$50000,"已关闭",缺陷明细!$J$2:$J$50000,"单元测试")</f>
        <v>0</v>
      </c>
      <c r="L14" s="163"/>
      <c r="M14" s="164"/>
      <c r="N14" s="72">
        <f>COUNTIFS(缺陷明细!$A$2:$A$50000,$B$4,缺陷明细!$G$2:$G$50000,$C14,缺陷明细!$J$2:$J$50000,"系统测试案例评审",缺陷明细!$AA$2:$AA$50000,"&lt;&gt;丢弃",缺陷明细!$AA$2:$AA$50000,"&lt;&gt;设计如此",缺陷明细!$AA$2:$AA$50000,"&lt;&gt;重复Bug")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COUNTIFS(缺陷明细!$A$2:$A$50000,$B$4,缺陷明细!$G$2:$G$50000,$C14,缺陷明细!$J$2:$J$50000,"系统测试",缺陷明细!$AA$2:$AA$50000,"&lt;&gt;丢弃",缺陷明细!$AA$2:$AA$50000,"&lt;&gt;设计如此",缺陷明细!$AA$2:$AA$50000,"&lt;&gt;重复Bug")</f>
        <v>0</v>
      </c>
      <c r="Q14" s="72">
        <f>COUNTIFS(缺陷明细!$A$2:$A$50000,$B$4,缺陷明细!$G$2:$G$50000,$C14,缺陷明细!$Q$2:$Q$50000,"已关闭",缺陷明细!$J$2:$J$50000,"系统测试")</f>
        <v>0</v>
      </c>
      <c r="R14" s="72">
        <f>COUNTIFS(缺陷明细!$A$2:$A$50000,$B$4,缺陷明细!$G$2:$G$50000,$C14,缺陷明细!$AA$2:$AA$50000,"丢弃",缺陷明细!$J$2:$J$50000,"系统测试")+COUNTIFS(缺陷明细!$A$2:$A$50000,$B$4,缺陷明细!$G$2:$G$50000,$C14,缺陷明细!$AA$2:$AA$50000,"设计如此",缺陷明细!$J$2:$J$50000,"系统测试"+COUNTIFS(缺陷明细!$A$2:$A$50000,$B$4,缺陷明细!$G$2:$G$50000,$C14,缺陷明细!$AA$2:$AA$50000,"重复Bug",缺陷明细!$J$2:$J$50000,"系统测试"))</f>
        <v>0</v>
      </c>
      <c r="S14" s="72">
        <f>COUNTIFS(缺陷明细!$A$2:$A$50000,$B$4,缺陷明细!$G$2:$G$50000,$C14,缺陷明细!$J$2:$J$50000,"系统测试",缺陷明细!$K$2:$K$50000,"致命",缺陷明细!$AA$2:$AA$50000,"&lt;&gt;丢弃",缺陷明细!$AA$2:$AA$50000,"&lt;&gt;设计如此",缺陷明细!$AA$2:$AA$50000,"&lt;&gt;重复Bug")+COUNTIFS(缺陷明细!$A$2:$A$50000,$B$4,缺陷明细!$G$2:$G$50000,$C14,缺陷明细!$J$2:$J$50000,"系统测试",缺陷明细!$K$2:$K$50000,"严重",缺陷明细!$AA$2:$AA$50000,"&lt;&gt;丢弃",缺陷明细!$AA$2:$AA$50000,"&lt;&gt;设计如此",缺陷明细!$AA$2:$AA$50000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COUNTIFS(缺陷明细!$A$2:$A$50000,$B$4,缺陷明细!$G$2:$G$50000,$C14,缺陷明细!$J$2:$J$50000,"验收测试",缺陷明细!$AA$2:$AA$50000,"&lt;&gt;丢弃",缺陷明细!$AA$2:$AA$50000,"&lt;&gt;设计如此",缺陷明细!$AA$2:$AA$50000,"&lt;&gt;重复Bug")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A$2:$AA$50000,"&lt;&gt;丢弃",缺陷明细!$AA$2:$AA$50000,"&lt;&gt;设计如此",缺陷明细!$AA$2:$AA$50000,"&lt;&gt;重复Bug")+COUNTIFS(缺陷明细!$A$2:$A$50000,$B$4,缺陷明细!$G$2:$G$50000,$C14,缺陷明细!$J$2:$J$50000,"验收测试",缺陷明细!$K$2:$K$50000,"严重",缺陷明细!$AA$2:$AA$50000,"&lt;&gt;丢弃",缺陷明细!$AA$2:$AA$50000,"&lt;&gt;设计如此",缺陷明细!$AA$2:$AA$50000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COUNTIFS(缺陷明细!$A$2:$A$50000,$B$4,缺陷明细!$G$2:$G$50000,$C14,缺陷明细!$J$2:$J$50000,"运维测试",缺陷明细!$AA$2:$AA$50000,"&lt;&gt;丢弃",缺陷明细!$AA$2:$AA$50000,"&lt;&gt;设计如此",缺陷明细!$AA$2:$AA$50000,"&lt;&gt;重复Bug")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A$2:$AA$50000,"&lt;&gt;丢弃",缺陷明细!$AA$2:$AA$50000,"&lt;&gt;设计如此",缺陷明细!$AA$2:$AA$50000,"&lt;&gt;重复Bug")+COUNTIFS(缺陷明细!$A$2:$A$50000,$B$4,缺陷明细!$G$2:$G$50000,$C14,缺陷明细!$J$2:$J$50000,"运维测试",缺陷明细!$K$2:$K$50000,"严重",缺陷明细!$AA$2:$AA$50000,"&lt;&gt;丢弃",缺陷明细!$AA$2:$AA$50000,"&lt;&gt;设计如此",缺陷明细!$AA$2:$AA$50000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51"/>
    </row>
    <row r="15" spans="1:37">
      <c r="A15">
        <v>11</v>
      </c>
      <c r="B15" s="57"/>
      <c r="C15" s="58"/>
      <c r="D15" s="84"/>
      <c r="E15" s="82"/>
      <c r="F15" s="165"/>
      <c r="G15" s="166"/>
      <c r="H15" s="305">
        <f>COUNTIFS(缺陷明细!$A$2:$A$50000,$B$4,缺陷明细!$G$2:$G$50000,$C15,缺陷明细!$J$2:$J$50000,"评审",缺陷明细!$AA$2:$AA$50000,"&lt;&gt;丢弃",缺陷明细!$AA$2:$AA$50000,"&lt;&gt;设计如此",缺陷明细!$AA$2:$AA$50000,"&lt;&gt;重复Bug")</f>
        <v>0</v>
      </c>
      <c r="I15" s="161">
        <f>COUNTIFS(缺陷明细!$A$2:$A$50000,$B$4,缺陷明细!$G$2:$G$50000,$C15,缺陷明细!$Q$2:$Q$50000,"已关闭",缺陷明细!$J$2:$J$50000,"评审")</f>
        <v>0</v>
      </c>
      <c r="J15" s="161">
        <f>COUNTIFS(缺陷明细!$A$2:$A$50000,$B$4,缺陷明细!$G$2:$G$50000,$C15,缺陷明细!$J$2:$J$50000,"单元测试",缺陷明细!$AA$2:$AA$50000,"&lt;&gt;丢弃",缺陷明细!$AA$2:$AA$50000,"&lt;&gt;设计如此",缺陷明细!$AA$2:$AA$50000,"&lt;&gt;重复Bug")</f>
        <v>0</v>
      </c>
      <c r="K15" s="162">
        <f>COUNTIFS(缺陷明细!$A$2:$A$50000,$B$4,缺陷明细!$G$2:$G$50000,$C15,缺陷明细!$Q$2:$Q$50000,"已关闭",缺陷明细!$J$2:$J$50000,"单元测试")</f>
        <v>0</v>
      </c>
      <c r="L15" s="163"/>
      <c r="M15" s="164"/>
      <c r="N15" s="72">
        <f>COUNTIFS(缺陷明细!$A$2:$A$50000,$B$4,缺陷明细!$G$2:$G$50000,$C15,缺陷明细!$J$2:$J$50000,"系统测试案例评审",缺陷明细!$AA$2:$AA$50000,"&lt;&gt;丢弃",缺陷明细!$AA$2:$AA$50000,"&lt;&gt;设计如此",缺陷明细!$AA$2:$AA$50000,"&lt;&gt;重复Bug")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COUNTIFS(缺陷明细!$A$2:$A$50000,$B$4,缺陷明细!$G$2:$G$50000,$C15,缺陷明细!$J$2:$J$50000,"系统测试",缺陷明细!$AA$2:$AA$50000,"&lt;&gt;丢弃",缺陷明细!$AA$2:$AA$50000,"&lt;&gt;设计如此",缺陷明细!$AA$2:$AA$50000,"&lt;&gt;重复Bug")</f>
        <v>0</v>
      </c>
      <c r="Q15" s="72">
        <f>COUNTIFS(缺陷明细!$A$2:$A$50000,$B$4,缺陷明细!$G$2:$G$50000,$C15,缺陷明细!$Q$2:$Q$50000,"已关闭",缺陷明细!$J$2:$J$50000,"系统测试")</f>
        <v>0</v>
      </c>
      <c r="R15" s="72">
        <f>COUNTIFS(缺陷明细!$A$2:$A$50000,$B$4,缺陷明细!$G$2:$G$50000,$C15,缺陷明细!$AA$2:$AA$50000,"丢弃",缺陷明细!$J$2:$J$50000,"系统测试")+COUNTIFS(缺陷明细!$A$2:$A$50000,$B$4,缺陷明细!$G$2:$G$50000,$C15,缺陷明细!$AA$2:$AA$50000,"设计如此",缺陷明细!$J$2:$J$50000,"系统测试"+COUNTIFS(缺陷明细!$A$2:$A$50000,$B$4,缺陷明细!$G$2:$G$50000,$C15,缺陷明细!$AA$2:$AA$50000,"重复Bug",缺陷明细!$J$2:$J$50000,"系统测试"))</f>
        <v>0</v>
      </c>
      <c r="S15" s="72">
        <f>COUNTIFS(缺陷明细!$A$2:$A$50000,$B$4,缺陷明细!$G$2:$G$50000,$C15,缺陷明细!$J$2:$J$50000,"系统测试",缺陷明细!$K$2:$K$50000,"致命",缺陷明细!$AA$2:$AA$50000,"&lt;&gt;丢弃",缺陷明细!$AA$2:$AA$50000,"&lt;&gt;设计如此",缺陷明细!$AA$2:$AA$50000,"&lt;&gt;重复Bug")+COUNTIFS(缺陷明细!$A$2:$A$50000,$B$4,缺陷明细!$G$2:$G$50000,$C15,缺陷明细!$J$2:$J$50000,"系统测试",缺陷明细!$K$2:$K$50000,"严重",缺陷明细!$AA$2:$AA$50000,"&lt;&gt;丢弃",缺陷明细!$AA$2:$AA$50000,"&lt;&gt;设计如此",缺陷明细!$AA$2:$AA$50000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COUNTIFS(缺陷明细!$A$2:$A$50000,$B$4,缺陷明细!$G$2:$G$50000,$C15,缺陷明细!$J$2:$J$50000,"验收测试",缺陷明细!$AA$2:$AA$50000,"&lt;&gt;丢弃",缺陷明细!$AA$2:$AA$50000,"&lt;&gt;设计如此",缺陷明细!$AA$2:$AA$50000,"&lt;&gt;重复Bug")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A$2:$AA$50000,"&lt;&gt;丢弃",缺陷明细!$AA$2:$AA$50000,"&lt;&gt;设计如此",缺陷明细!$AA$2:$AA$50000,"&lt;&gt;重复Bug")+COUNTIFS(缺陷明细!$A$2:$A$50000,$B$4,缺陷明细!$G$2:$G$50000,$C15,缺陷明细!$J$2:$J$50000,"验收测试",缺陷明细!$K$2:$K$50000,"严重",缺陷明细!$AA$2:$AA$50000,"&lt;&gt;丢弃",缺陷明细!$AA$2:$AA$50000,"&lt;&gt;设计如此",缺陷明细!$AA$2:$AA$50000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COUNTIFS(缺陷明细!$A$2:$A$50000,$B$4,缺陷明细!$G$2:$G$50000,$C15,缺陷明细!$J$2:$J$50000,"运维测试",缺陷明细!$AA$2:$AA$50000,"&lt;&gt;丢弃",缺陷明细!$AA$2:$AA$50000,"&lt;&gt;设计如此",缺陷明细!$AA$2:$AA$50000,"&lt;&gt;重复Bug")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A$2:$AA$50000,"&lt;&gt;丢弃",缺陷明细!$AA$2:$AA$50000,"&lt;&gt;设计如此",缺陷明细!$AA$2:$AA$50000,"&lt;&gt;重复Bug")+COUNTIFS(缺陷明细!$A$2:$A$50000,$B$4,缺陷明细!$G$2:$G$50000,$C15,缺陷明细!$J$2:$J$50000,"运维测试",缺陷明细!$K$2:$K$50000,"严重",缺陷明细!$AA$2:$AA$50000,"&lt;&gt;丢弃",缺陷明细!$AA$2:$AA$50000,"&lt;&gt;设计如此",缺陷明细!$AA$2:$AA$50000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51"/>
    </row>
    <row r="16" spans="1:37">
      <c r="A16">
        <v>12</v>
      </c>
      <c r="B16" s="57"/>
      <c r="C16" s="58"/>
      <c r="D16" s="84"/>
      <c r="E16" s="82"/>
      <c r="F16" s="165"/>
      <c r="G16" s="166"/>
      <c r="H16" s="305">
        <f>COUNTIFS(缺陷明细!$A$2:$A$50000,$B$4,缺陷明细!$G$2:$G$50000,$C16,缺陷明细!$J$2:$J$50000,"评审",缺陷明细!$AA$2:$AA$50000,"&lt;&gt;丢弃",缺陷明细!$AA$2:$AA$50000,"&lt;&gt;设计如此",缺陷明细!$AA$2:$AA$50000,"&lt;&gt;重复Bug")</f>
        <v>0</v>
      </c>
      <c r="I16" s="161">
        <f>COUNTIFS(缺陷明细!$A$2:$A$50000,$B$4,缺陷明细!$G$2:$G$50000,$C16,缺陷明细!$Q$2:$Q$50000,"已关闭",缺陷明细!$J$2:$J$50000,"评审")</f>
        <v>0</v>
      </c>
      <c r="J16" s="161">
        <f>COUNTIFS(缺陷明细!$A$2:$A$50000,$B$4,缺陷明细!$G$2:$G$50000,$C16,缺陷明细!$J$2:$J$50000,"单元测试",缺陷明细!$AA$2:$AA$50000,"&lt;&gt;丢弃",缺陷明细!$AA$2:$AA$50000,"&lt;&gt;设计如此",缺陷明细!$AA$2:$AA$50000,"&lt;&gt;重复Bug")</f>
        <v>0</v>
      </c>
      <c r="K16" s="162">
        <f>COUNTIFS(缺陷明细!$A$2:$A$50000,$B$4,缺陷明细!$G$2:$G$50000,$C16,缺陷明细!$Q$2:$Q$50000,"已关闭",缺陷明细!$J$2:$J$50000,"单元测试")</f>
        <v>0</v>
      </c>
      <c r="L16" s="163"/>
      <c r="M16" s="164"/>
      <c r="N16" s="72">
        <f>COUNTIFS(缺陷明细!$A$2:$A$50000,$B$4,缺陷明细!$G$2:$G$50000,$C16,缺陷明细!$J$2:$J$50000,"系统测试案例评审",缺陷明细!$AA$2:$AA$50000,"&lt;&gt;丢弃",缺陷明细!$AA$2:$AA$50000,"&lt;&gt;设计如此",缺陷明细!$AA$2:$AA$50000,"&lt;&gt;重复Bug")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COUNTIFS(缺陷明细!$A$2:$A$50000,$B$4,缺陷明细!$G$2:$G$50000,$C16,缺陷明细!$J$2:$J$50000,"系统测试",缺陷明细!$AA$2:$AA$50000,"&lt;&gt;丢弃",缺陷明细!$AA$2:$AA$50000,"&lt;&gt;设计如此",缺陷明细!$AA$2:$AA$50000,"&lt;&gt;重复Bug")</f>
        <v>0</v>
      </c>
      <c r="Q16" s="72">
        <f>COUNTIFS(缺陷明细!$A$2:$A$50000,$B$4,缺陷明细!$G$2:$G$50000,$C16,缺陷明细!$Q$2:$Q$50000,"已关闭",缺陷明细!$J$2:$J$50000,"系统测试")</f>
        <v>0</v>
      </c>
      <c r="R16" s="72">
        <f>COUNTIFS(缺陷明细!$A$2:$A$50000,$B$4,缺陷明细!$G$2:$G$50000,$C16,缺陷明细!$AA$2:$AA$50000,"丢弃",缺陷明细!$J$2:$J$50000,"系统测试")+COUNTIFS(缺陷明细!$A$2:$A$50000,$B$4,缺陷明细!$G$2:$G$50000,$C16,缺陷明细!$AA$2:$AA$50000,"设计如此",缺陷明细!$J$2:$J$50000,"系统测试"+COUNTIFS(缺陷明细!$A$2:$A$50000,$B$4,缺陷明细!$G$2:$G$50000,$C16,缺陷明细!$AA$2:$AA$50000,"重复Bug",缺陷明细!$J$2:$J$50000,"系统测试"))</f>
        <v>0</v>
      </c>
      <c r="S16" s="72">
        <f>COUNTIFS(缺陷明细!$A$2:$A$50000,$B$4,缺陷明细!$G$2:$G$50000,$C16,缺陷明细!$J$2:$J$50000,"系统测试",缺陷明细!$K$2:$K$50000,"致命",缺陷明细!$AA$2:$AA$50000,"&lt;&gt;丢弃",缺陷明细!$AA$2:$AA$50000,"&lt;&gt;设计如此",缺陷明细!$AA$2:$AA$50000,"&lt;&gt;重复Bug")+COUNTIFS(缺陷明细!$A$2:$A$50000,$B$4,缺陷明细!$G$2:$G$50000,$C16,缺陷明细!$J$2:$J$50000,"系统测试",缺陷明细!$K$2:$K$50000,"严重",缺陷明细!$AA$2:$AA$50000,"&lt;&gt;丢弃",缺陷明细!$AA$2:$AA$50000,"&lt;&gt;设计如此",缺陷明细!$AA$2:$AA$50000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COUNTIFS(缺陷明细!$A$2:$A$50000,$B$4,缺陷明细!$G$2:$G$50000,$C16,缺陷明细!$J$2:$J$50000,"验收测试",缺陷明细!$AA$2:$AA$50000,"&lt;&gt;丢弃",缺陷明细!$AA$2:$AA$50000,"&lt;&gt;设计如此",缺陷明细!$AA$2:$AA$50000,"&lt;&gt;重复Bug")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A$2:$AA$50000,"&lt;&gt;丢弃",缺陷明细!$AA$2:$AA$50000,"&lt;&gt;设计如此",缺陷明细!$AA$2:$AA$50000,"&lt;&gt;重复Bug")+COUNTIFS(缺陷明细!$A$2:$A$50000,$B$4,缺陷明细!$G$2:$G$50000,$C16,缺陷明细!$J$2:$J$50000,"验收测试",缺陷明细!$K$2:$K$50000,"严重",缺陷明细!$AA$2:$AA$50000,"&lt;&gt;丢弃",缺陷明细!$AA$2:$AA$50000,"&lt;&gt;设计如此",缺陷明细!$AA$2:$AA$50000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COUNTIFS(缺陷明细!$A$2:$A$50000,$B$4,缺陷明细!$G$2:$G$50000,$C16,缺陷明细!$J$2:$J$50000,"运维测试",缺陷明细!$AA$2:$AA$50000,"&lt;&gt;丢弃",缺陷明细!$AA$2:$AA$50000,"&lt;&gt;设计如此",缺陷明细!$AA$2:$AA$50000,"&lt;&gt;重复Bug")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A$2:$AA$50000,"&lt;&gt;丢弃",缺陷明细!$AA$2:$AA$50000,"&lt;&gt;设计如此",缺陷明细!$AA$2:$AA$50000,"&lt;&gt;重复Bug")+COUNTIFS(缺陷明细!$A$2:$A$50000,$B$4,缺陷明细!$G$2:$G$50000,$C16,缺陷明细!$J$2:$J$50000,"运维测试",缺陷明细!$K$2:$K$50000,"严重",缺陷明细!$AA$2:$AA$50000,"&lt;&gt;丢弃",缺陷明细!$AA$2:$AA$50000,"&lt;&gt;设计如此",缺陷明细!$AA$2:$AA$50000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51"/>
    </row>
    <row r="17" spans="1:37">
      <c r="A17">
        <v>13</v>
      </c>
      <c r="B17" s="57"/>
      <c r="C17" s="58"/>
      <c r="D17" s="84"/>
      <c r="E17" s="82"/>
      <c r="F17" s="165"/>
      <c r="G17" s="166"/>
      <c r="H17" s="305">
        <f>COUNTIFS(缺陷明细!$A$2:$A$50000,$B$4,缺陷明细!$G$2:$G$50000,$C17,缺陷明细!$J$2:$J$50000,"评审",缺陷明细!$AA$2:$AA$50000,"&lt;&gt;丢弃",缺陷明细!$AA$2:$AA$50000,"&lt;&gt;设计如此",缺陷明细!$AA$2:$AA$50000,"&lt;&gt;重复Bug")</f>
        <v>0</v>
      </c>
      <c r="I17" s="161">
        <f>COUNTIFS(缺陷明细!$A$2:$A$50000,$B$4,缺陷明细!$G$2:$G$50000,$C17,缺陷明细!$Q$2:$Q$50000,"已关闭",缺陷明细!$J$2:$J$50000,"评审")</f>
        <v>0</v>
      </c>
      <c r="J17" s="161">
        <f>COUNTIFS(缺陷明细!$A$2:$A$50000,$B$4,缺陷明细!$G$2:$G$50000,$C17,缺陷明细!$J$2:$J$50000,"单元测试",缺陷明细!$AA$2:$AA$50000,"&lt;&gt;丢弃",缺陷明细!$AA$2:$AA$50000,"&lt;&gt;设计如此",缺陷明细!$AA$2:$AA$50000,"&lt;&gt;重复Bug")</f>
        <v>0</v>
      </c>
      <c r="K17" s="162">
        <f>COUNTIFS(缺陷明细!$A$2:$A$50000,$B$4,缺陷明细!$G$2:$G$50000,$C17,缺陷明细!$Q$2:$Q$50000,"已关闭",缺陷明细!$J$2:$J$50000,"单元测试")</f>
        <v>0</v>
      </c>
      <c r="L17" s="163"/>
      <c r="M17" s="164"/>
      <c r="N17" s="72">
        <f>COUNTIFS(缺陷明细!$A$2:$A$50000,$B$4,缺陷明细!$G$2:$G$50000,$C17,缺陷明细!$J$2:$J$50000,"系统测试案例评审",缺陷明细!$AA$2:$AA$50000,"&lt;&gt;丢弃",缺陷明细!$AA$2:$AA$50000,"&lt;&gt;设计如此",缺陷明细!$AA$2:$AA$50000,"&lt;&gt;重复Bug")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COUNTIFS(缺陷明细!$A$2:$A$50000,$B$4,缺陷明细!$G$2:$G$50000,$C17,缺陷明细!$J$2:$J$50000,"系统测试",缺陷明细!$AA$2:$AA$50000,"&lt;&gt;丢弃",缺陷明细!$AA$2:$AA$50000,"&lt;&gt;设计如此",缺陷明细!$AA$2:$AA$50000,"&lt;&gt;重复Bug")</f>
        <v>0</v>
      </c>
      <c r="Q17" s="72">
        <f>COUNTIFS(缺陷明细!$A$2:$A$50000,$B$4,缺陷明细!$G$2:$G$50000,$C17,缺陷明细!$Q$2:$Q$50000,"已关闭",缺陷明细!$J$2:$J$50000,"系统测试")</f>
        <v>0</v>
      </c>
      <c r="R17" s="72">
        <f>COUNTIFS(缺陷明细!$A$2:$A$50000,$B$4,缺陷明细!$G$2:$G$50000,$C17,缺陷明细!$AA$2:$AA$50000,"丢弃",缺陷明细!$J$2:$J$50000,"系统测试")+COUNTIFS(缺陷明细!$A$2:$A$50000,$B$4,缺陷明细!$G$2:$G$50000,$C17,缺陷明细!$AA$2:$AA$50000,"设计如此",缺陷明细!$J$2:$J$50000,"系统测试"+COUNTIFS(缺陷明细!$A$2:$A$50000,$B$4,缺陷明细!$G$2:$G$50000,$C17,缺陷明细!$AA$2:$AA$50000,"重复Bug",缺陷明细!$J$2:$J$50000,"系统测试"))</f>
        <v>0</v>
      </c>
      <c r="S17" s="72">
        <f>COUNTIFS(缺陷明细!$A$2:$A$50000,$B$4,缺陷明细!$G$2:$G$50000,$C17,缺陷明细!$J$2:$J$50000,"系统测试",缺陷明细!$K$2:$K$50000,"致命",缺陷明细!$AA$2:$AA$50000,"&lt;&gt;丢弃",缺陷明细!$AA$2:$AA$50000,"&lt;&gt;设计如此",缺陷明细!$AA$2:$AA$50000,"&lt;&gt;重复Bug")+COUNTIFS(缺陷明细!$A$2:$A$50000,$B$4,缺陷明细!$G$2:$G$50000,$C17,缺陷明细!$J$2:$J$50000,"系统测试",缺陷明细!$K$2:$K$50000,"严重",缺陷明细!$AA$2:$AA$50000,"&lt;&gt;丢弃",缺陷明细!$AA$2:$AA$50000,"&lt;&gt;设计如此",缺陷明细!$AA$2:$AA$50000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COUNTIFS(缺陷明细!$A$2:$A$50000,$B$4,缺陷明细!$G$2:$G$50000,$C17,缺陷明细!$J$2:$J$50000,"验收测试",缺陷明细!$AA$2:$AA$50000,"&lt;&gt;丢弃",缺陷明细!$AA$2:$AA$50000,"&lt;&gt;设计如此",缺陷明细!$AA$2:$AA$50000,"&lt;&gt;重复Bug")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A$2:$AA$50000,"&lt;&gt;丢弃",缺陷明细!$AA$2:$AA$50000,"&lt;&gt;设计如此",缺陷明细!$AA$2:$AA$50000,"&lt;&gt;重复Bug")+COUNTIFS(缺陷明细!$A$2:$A$50000,$B$4,缺陷明细!$G$2:$G$50000,$C17,缺陷明细!$J$2:$J$50000,"验收测试",缺陷明细!$K$2:$K$50000,"严重",缺陷明细!$AA$2:$AA$50000,"&lt;&gt;丢弃",缺陷明细!$AA$2:$AA$50000,"&lt;&gt;设计如此",缺陷明细!$AA$2:$AA$50000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COUNTIFS(缺陷明细!$A$2:$A$50000,$B$4,缺陷明细!$G$2:$G$50000,$C17,缺陷明细!$J$2:$J$50000,"运维测试",缺陷明细!$AA$2:$AA$50000,"&lt;&gt;丢弃",缺陷明细!$AA$2:$AA$50000,"&lt;&gt;设计如此",缺陷明细!$AA$2:$AA$50000,"&lt;&gt;重复Bug")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A$2:$AA$50000,"&lt;&gt;丢弃",缺陷明细!$AA$2:$AA$50000,"&lt;&gt;设计如此",缺陷明细!$AA$2:$AA$50000,"&lt;&gt;重复Bug")+COUNTIFS(缺陷明细!$A$2:$A$50000,$B$4,缺陷明细!$G$2:$G$50000,$C17,缺陷明细!$J$2:$J$50000,"运维测试",缺陷明细!$K$2:$K$50000,"严重",缺陷明细!$AA$2:$AA$50000,"&lt;&gt;丢弃",缺陷明细!$AA$2:$AA$50000,"&lt;&gt;设计如此",缺陷明细!$AA$2:$AA$50000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51"/>
    </row>
    <row r="18" spans="1:37">
      <c r="A18">
        <v>14</v>
      </c>
      <c r="B18" s="57"/>
      <c r="C18" s="58"/>
      <c r="D18" s="84"/>
      <c r="E18" s="82"/>
      <c r="F18" s="165"/>
      <c r="G18" s="166"/>
      <c r="H18" s="305">
        <f>COUNTIFS(缺陷明细!$A$2:$A$50000,$B$4,缺陷明细!$G$2:$G$50000,$C18,缺陷明细!$J$2:$J$50000,"评审",缺陷明细!$AA$2:$AA$50000,"&lt;&gt;丢弃",缺陷明细!$AA$2:$AA$50000,"&lt;&gt;设计如此",缺陷明细!$AA$2:$AA$50000,"&lt;&gt;重复Bug")</f>
        <v>0</v>
      </c>
      <c r="I18" s="161">
        <f>COUNTIFS(缺陷明细!$A$2:$A$50000,$B$4,缺陷明细!$G$2:$G$50000,$C18,缺陷明细!$Q$2:$Q$50000,"已关闭",缺陷明细!$J$2:$J$50000,"评审")</f>
        <v>0</v>
      </c>
      <c r="J18" s="161">
        <f>COUNTIFS(缺陷明细!$A$2:$A$50000,$B$4,缺陷明细!$G$2:$G$50000,$C18,缺陷明细!$J$2:$J$50000,"单元测试",缺陷明细!$AA$2:$AA$50000,"&lt;&gt;丢弃",缺陷明细!$AA$2:$AA$50000,"&lt;&gt;设计如此",缺陷明细!$AA$2:$AA$50000,"&lt;&gt;重复Bug")</f>
        <v>0</v>
      </c>
      <c r="K18" s="162">
        <f>COUNTIFS(缺陷明细!$A$2:$A$50000,$B$4,缺陷明细!$G$2:$G$50000,$C18,缺陷明细!$Q$2:$Q$50000,"已关闭",缺陷明细!$J$2:$J$50000,"单元测试")</f>
        <v>0</v>
      </c>
      <c r="L18" s="163"/>
      <c r="M18" s="164"/>
      <c r="N18" s="72">
        <f>COUNTIFS(缺陷明细!$A$2:$A$50000,$B$4,缺陷明细!$G$2:$G$50000,$C18,缺陷明细!$J$2:$J$50000,"系统测试案例评审",缺陷明细!$AA$2:$AA$50000,"&lt;&gt;丢弃",缺陷明细!$AA$2:$AA$50000,"&lt;&gt;设计如此",缺陷明细!$AA$2:$AA$50000,"&lt;&gt;重复Bug")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COUNTIFS(缺陷明细!$A$2:$A$50000,$B$4,缺陷明细!$G$2:$G$50000,$C18,缺陷明细!$J$2:$J$50000,"系统测试",缺陷明细!$AA$2:$AA$50000,"&lt;&gt;丢弃",缺陷明细!$AA$2:$AA$50000,"&lt;&gt;设计如此",缺陷明细!$AA$2:$AA$50000,"&lt;&gt;重复Bug")</f>
        <v>0</v>
      </c>
      <c r="Q18" s="72">
        <f>COUNTIFS(缺陷明细!$A$2:$A$50000,$B$4,缺陷明细!$G$2:$G$50000,$C18,缺陷明细!$Q$2:$Q$50000,"已关闭",缺陷明细!$J$2:$J$50000,"系统测试")</f>
        <v>0</v>
      </c>
      <c r="R18" s="72">
        <f>COUNTIFS(缺陷明细!$A$2:$A$50000,$B$4,缺陷明细!$G$2:$G$50000,$C18,缺陷明细!$AA$2:$AA$50000,"丢弃",缺陷明细!$J$2:$J$50000,"系统测试")+COUNTIFS(缺陷明细!$A$2:$A$50000,$B$4,缺陷明细!$G$2:$G$50000,$C18,缺陷明细!$AA$2:$AA$50000,"设计如此",缺陷明细!$J$2:$J$50000,"系统测试"+COUNTIFS(缺陷明细!$A$2:$A$50000,$B$4,缺陷明细!$G$2:$G$50000,$C18,缺陷明细!$AA$2:$AA$50000,"重复Bug",缺陷明细!$J$2:$J$50000,"系统测试"))</f>
        <v>0</v>
      </c>
      <c r="S18" s="72">
        <f>COUNTIFS(缺陷明细!$A$2:$A$50000,$B$4,缺陷明细!$G$2:$G$50000,$C18,缺陷明细!$J$2:$J$50000,"系统测试",缺陷明细!$K$2:$K$50000,"致命",缺陷明细!$AA$2:$AA$50000,"&lt;&gt;丢弃",缺陷明细!$AA$2:$AA$50000,"&lt;&gt;设计如此",缺陷明细!$AA$2:$AA$50000,"&lt;&gt;重复Bug")+COUNTIFS(缺陷明细!$A$2:$A$50000,$B$4,缺陷明细!$G$2:$G$50000,$C18,缺陷明细!$J$2:$J$50000,"系统测试",缺陷明细!$K$2:$K$50000,"严重",缺陷明细!$AA$2:$AA$50000,"&lt;&gt;丢弃",缺陷明细!$AA$2:$AA$50000,"&lt;&gt;设计如此",缺陷明细!$AA$2:$AA$50000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COUNTIFS(缺陷明细!$A$2:$A$50000,$B$4,缺陷明细!$G$2:$G$50000,$C18,缺陷明细!$J$2:$J$50000,"验收测试",缺陷明细!$AA$2:$AA$50000,"&lt;&gt;丢弃",缺陷明细!$AA$2:$AA$50000,"&lt;&gt;设计如此",缺陷明细!$AA$2:$AA$50000,"&lt;&gt;重复Bug")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A$2:$AA$50000,"&lt;&gt;丢弃",缺陷明细!$AA$2:$AA$50000,"&lt;&gt;设计如此",缺陷明细!$AA$2:$AA$50000,"&lt;&gt;重复Bug")+COUNTIFS(缺陷明细!$A$2:$A$50000,$B$4,缺陷明细!$G$2:$G$50000,$C18,缺陷明细!$J$2:$J$50000,"验收测试",缺陷明细!$K$2:$K$50000,"严重",缺陷明细!$AA$2:$AA$50000,"&lt;&gt;丢弃",缺陷明细!$AA$2:$AA$50000,"&lt;&gt;设计如此",缺陷明细!$AA$2:$AA$50000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COUNTIFS(缺陷明细!$A$2:$A$50000,$B$4,缺陷明细!$G$2:$G$50000,$C18,缺陷明细!$J$2:$J$50000,"运维测试",缺陷明细!$AA$2:$AA$50000,"&lt;&gt;丢弃",缺陷明细!$AA$2:$AA$50000,"&lt;&gt;设计如此",缺陷明细!$AA$2:$AA$50000,"&lt;&gt;重复Bug")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A$2:$AA$50000,"&lt;&gt;丢弃",缺陷明细!$AA$2:$AA$50000,"&lt;&gt;设计如此",缺陷明细!$AA$2:$AA$50000,"&lt;&gt;重复Bug")+COUNTIFS(缺陷明细!$A$2:$A$50000,$B$4,缺陷明细!$G$2:$G$50000,$C18,缺陷明细!$J$2:$J$50000,"运维测试",缺陷明细!$K$2:$K$50000,"严重",缺陷明细!$AA$2:$AA$50000,"&lt;&gt;丢弃",缺陷明细!$AA$2:$AA$50000,"&lt;&gt;设计如此",缺陷明细!$AA$2:$AA$50000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51"/>
    </row>
    <row r="19" spans="1:37">
      <c r="A19">
        <v>15</v>
      </c>
      <c r="B19" s="57"/>
      <c r="C19" s="58"/>
      <c r="D19" s="84"/>
      <c r="E19" s="82"/>
      <c r="F19" s="165"/>
      <c r="G19" s="166"/>
      <c r="H19" s="305">
        <f>COUNTIFS(缺陷明细!$A$2:$A$50000,$B$4,缺陷明细!$G$2:$G$50000,$C19,缺陷明细!$J$2:$J$50000,"评审",缺陷明细!$AA$2:$AA$50000,"&lt;&gt;丢弃",缺陷明细!$AA$2:$AA$50000,"&lt;&gt;设计如此",缺陷明细!$AA$2:$AA$50000,"&lt;&gt;重复Bug")</f>
        <v>0</v>
      </c>
      <c r="I19" s="161">
        <f>COUNTIFS(缺陷明细!$A$2:$A$50000,$B$4,缺陷明细!$G$2:$G$50000,$C19,缺陷明细!$Q$2:$Q$50000,"已关闭",缺陷明细!$J$2:$J$50000,"评审")</f>
        <v>0</v>
      </c>
      <c r="J19" s="161">
        <f>COUNTIFS(缺陷明细!$A$2:$A$50000,$B$4,缺陷明细!$G$2:$G$50000,$C19,缺陷明细!$J$2:$J$50000,"单元测试",缺陷明细!$AA$2:$AA$50000,"&lt;&gt;丢弃",缺陷明细!$AA$2:$AA$50000,"&lt;&gt;设计如此",缺陷明细!$AA$2:$AA$50000,"&lt;&gt;重复Bug")</f>
        <v>0</v>
      </c>
      <c r="K19" s="162">
        <f>COUNTIFS(缺陷明细!$A$2:$A$50000,$B$4,缺陷明细!$G$2:$G$50000,$C19,缺陷明细!$Q$2:$Q$50000,"已关闭",缺陷明细!$J$2:$J$50000,"单元测试")</f>
        <v>0</v>
      </c>
      <c r="L19" s="163"/>
      <c r="M19" s="164"/>
      <c r="N19" s="72">
        <f>COUNTIFS(缺陷明细!$A$2:$A$50000,$B$4,缺陷明细!$G$2:$G$50000,$C19,缺陷明细!$J$2:$J$50000,"系统测试案例评审",缺陷明细!$AA$2:$AA$50000,"&lt;&gt;丢弃",缺陷明细!$AA$2:$AA$50000,"&lt;&gt;设计如此",缺陷明细!$AA$2:$AA$50000,"&lt;&gt;重复Bug")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COUNTIFS(缺陷明细!$A$2:$A$50000,$B$4,缺陷明细!$G$2:$G$50000,$C19,缺陷明细!$J$2:$J$50000,"系统测试",缺陷明细!$AA$2:$AA$50000,"&lt;&gt;丢弃",缺陷明细!$AA$2:$AA$50000,"&lt;&gt;设计如此",缺陷明细!$AA$2:$AA$50000,"&lt;&gt;重复Bug")</f>
        <v>0</v>
      </c>
      <c r="Q19" s="72">
        <f>COUNTIFS(缺陷明细!$A$2:$A$50000,$B$4,缺陷明细!$G$2:$G$50000,$C19,缺陷明细!$Q$2:$Q$50000,"已关闭",缺陷明细!$J$2:$J$50000,"系统测试")</f>
        <v>0</v>
      </c>
      <c r="R19" s="72">
        <f>COUNTIFS(缺陷明细!$A$2:$A$50000,$B$4,缺陷明细!$G$2:$G$50000,$C19,缺陷明细!$AA$2:$AA$50000,"丢弃",缺陷明细!$J$2:$J$50000,"系统测试")+COUNTIFS(缺陷明细!$A$2:$A$50000,$B$4,缺陷明细!$G$2:$G$50000,$C19,缺陷明细!$AA$2:$AA$50000,"设计如此",缺陷明细!$J$2:$J$50000,"系统测试"+COUNTIFS(缺陷明细!$A$2:$A$50000,$B$4,缺陷明细!$G$2:$G$50000,$C19,缺陷明细!$AA$2:$AA$50000,"重复Bug",缺陷明细!$J$2:$J$50000,"系统测试"))</f>
        <v>0</v>
      </c>
      <c r="S19" s="72">
        <f>COUNTIFS(缺陷明细!$A$2:$A$50000,$B$4,缺陷明细!$G$2:$G$50000,$C19,缺陷明细!$J$2:$J$50000,"系统测试",缺陷明细!$K$2:$K$50000,"致命",缺陷明细!$AA$2:$AA$50000,"&lt;&gt;丢弃",缺陷明细!$AA$2:$AA$50000,"&lt;&gt;设计如此",缺陷明细!$AA$2:$AA$50000,"&lt;&gt;重复Bug")+COUNTIFS(缺陷明细!$A$2:$A$50000,$B$4,缺陷明细!$G$2:$G$50000,$C19,缺陷明细!$J$2:$J$50000,"系统测试",缺陷明细!$K$2:$K$50000,"严重",缺陷明细!$AA$2:$AA$50000,"&lt;&gt;丢弃",缺陷明细!$AA$2:$AA$50000,"&lt;&gt;设计如此",缺陷明细!$AA$2:$AA$50000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COUNTIFS(缺陷明细!$A$2:$A$50000,$B$4,缺陷明细!$G$2:$G$50000,$C19,缺陷明细!$J$2:$J$50000,"验收测试",缺陷明细!$AA$2:$AA$50000,"&lt;&gt;丢弃",缺陷明细!$AA$2:$AA$50000,"&lt;&gt;设计如此",缺陷明细!$AA$2:$AA$50000,"&lt;&gt;重复Bug")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A$2:$AA$50000,"&lt;&gt;丢弃",缺陷明细!$AA$2:$AA$50000,"&lt;&gt;设计如此",缺陷明细!$AA$2:$AA$50000,"&lt;&gt;重复Bug")+COUNTIFS(缺陷明细!$A$2:$A$50000,$B$4,缺陷明细!$G$2:$G$50000,$C19,缺陷明细!$J$2:$J$50000,"验收测试",缺陷明细!$K$2:$K$50000,"严重",缺陷明细!$AA$2:$AA$50000,"&lt;&gt;丢弃",缺陷明细!$AA$2:$AA$50000,"&lt;&gt;设计如此",缺陷明细!$AA$2:$AA$50000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COUNTIFS(缺陷明细!$A$2:$A$50000,$B$4,缺陷明细!$G$2:$G$50000,$C19,缺陷明细!$J$2:$J$50000,"运维测试",缺陷明细!$AA$2:$AA$50000,"&lt;&gt;丢弃",缺陷明细!$AA$2:$AA$50000,"&lt;&gt;设计如此",缺陷明细!$AA$2:$AA$50000,"&lt;&gt;重复Bug")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A$2:$AA$50000,"&lt;&gt;丢弃",缺陷明细!$AA$2:$AA$50000,"&lt;&gt;设计如此",缺陷明细!$AA$2:$AA$50000,"&lt;&gt;重复Bug")+COUNTIFS(缺陷明细!$A$2:$A$50000,$B$4,缺陷明细!$G$2:$G$50000,$C19,缺陷明细!$J$2:$J$50000,"运维测试",缺陷明细!$K$2:$K$50000,"严重",缺陷明细!$AA$2:$AA$50000,"&lt;&gt;丢弃",缺陷明细!$AA$2:$AA$50000,"&lt;&gt;设计如此",缺陷明细!$AA$2:$AA$50000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51"/>
    </row>
    <row r="20" spans="1:37">
      <c r="A20">
        <v>16</v>
      </c>
      <c r="B20" s="57"/>
      <c r="C20" s="58"/>
      <c r="D20" s="84"/>
      <c r="E20" s="82"/>
      <c r="F20" s="165"/>
      <c r="G20" s="166"/>
      <c r="H20" s="305">
        <f>COUNTIFS(缺陷明细!$A$2:$A$50000,$B$4,缺陷明细!$G$2:$G$50000,$C20,缺陷明细!$J$2:$J$50000,"评审",缺陷明细!$AA$2:$AA$50000,"&lt;&gt;丢弃",缺陷明细!$AA$2:$AA$50000,"&lt;&gt;设计如此",缺陷明细!$AA$2:$AA$50000,"&lt;&gt;重复Bug")</f>
        <v>0</v>
      </c>
      <c r="I20" s="161">
        <f>COUNTIFS(缺陷明细!$A$2:$A$50000,$B$4,缺陷明细!$G$2:$G$50000,$C20,缺陷明细!$Q$2:$Q$50000,"已关闭",缺陷明细!$J$2:$J$50000,"评审")</f>
        <v>0</v>
      </c>
      <c r="J20" s="161">
        <f>COUNTIFS(缺陷明细!$A$2:$A$50000,$B$4,缺陷明细!$G$2:$G$50000,$C20,缺陷明细!$J$2:$J$50000,"单元测试",缺陷明细!$AA$2:$AA$50000,"&lt;&gt;丢弃",缺陷明细!$AA$2:$AA$50000,"&lt;&gt;设计如此",缺陷明细!$AA$2:$AA$50000,"&lt;&gt;重复Bug")</f>
        <v>0</v>
      </c>
      <c r="K20" s="162">
        <f>COUNTIFS(缺陷明细!$A$2:$A$50000,$B$4,缺陷明细!$G$2:$G$50000,$C20,缺陷明细!$Q$2:$Q$50000,"已关闭",缺陷明细!$J$2:$J$50000,"单元测试")</f>
        <v>0</v>
      </c>
      <c r="L20" s="163"/>
      <c r="M20" s="164"/>
      <c r="N20" s="72">
        <f>COUNTIFS(缺陷明细!$A$2:$A$50000,$B$4,缺陷明细!$G$2:$G$50000,$C20,缺陷明细!$J$2:$J$50000,"系统测试案例评审",缺陷明细!$AA$2:$AA$50000,"&lt;&gt;丢弃",缺陷明细!$AA$2:$AA$50000,"&lt;&gt;设计如此",缺陷明细!$AA$2:$AA$50000,"&lt;&gt;重复Bug")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COUNTIFS(缺陷明细!$A$2:$A$50000,$B$4,缺陷明细!$G$2:$G$50000,$C20,缺陷明细!$J$2:$J$50000,"系统测试",缺陷明细!$AA$2:$AA$50000,"&lt;&gt;丢弃",缺陷明细!$AA$2:$AA$50000,"&lt;&gt;设计如此",缺陷明细!$AA$2:$AA$50000,"&lt;&gt;重复Bug")</f>
        <v>0</v>
      </c>
      <c r="Q20" s="72">
        <f>COUNTIFS(缺陷明细!$A$2:$A$50000,$B$4,缺陷明细!$G$2:$G$50000,$C20,缺陷明细!$Q$2:$Q$50000,"已关闭",缺陷明细!$J$2:$J$50000,"系统测试")</f>
        <v>0</v>
      </c>
      <c r="R20" s="72">
        <f>COUNTIFS(缺陷明细!$A$2:$A$50000,$B$4,缺陷明细!$G$2:$G$50000,$C20,缺陷明细!$AA$2:$AA$50000,"丢弃",缺陷明细!$J$2:$J$50000,"系统测试")+COUNTIFS(缺陷明细!$A$2:$A$50000,$B$4,缺陷明细!$G$2:$G$50000,$C20,缺陷明细!$AA$2:$AA$50000,"设计如此",缺陷明细!$J$2:$J$50000,"系统测试"+COUNTIFS(缺陷明细!$A$2:$A$50000,$B$4,缺陷明细!$G$2:$G$50000,$C20,缺陷明细!$AA$2:$AA$50000,"重复Bug",缺陷明细!$J$2:$J$50000,"系统测试"))</f>
        <v>0</v>
      </c>
      <c r="S20" s="72">
        <f>COUNTIFS(缺陷明细!$A$2:$A$50000,$B$4,缺陷明细!$G$2:$G$50000,$C20,缺陷明细!$J$2:$J$50000,"系统测试",缺陷明细!$K$2:$K$50000,"致命",缺陷明细!$AA$2:$AA$50000,"&lt;&gt;丢弃",缺陷明细!$AA$2:$AA$50000,"&lt;&gt;设计如此",缺陷明细!$AA$2:$AA$50000,"&lt;&gt;重复Bug")+COUNTIFS(缺陷明细!$A$2:$A$50000,$B$4,缺陷明细!$G$2:$G$50000,$C20,缺陷明细!$J$2:$J$50000,"系统测试",缺陷明细!$K$2:$K$50000,"严重",缺陷明细!$AA$2:$AA$50000,"&lt;&gt;丢弃",缺陷明细!$AA$2:$AA$50000,"&lt;&gt;设计如此",缺陷明细!$AA$2:$AA$50000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COUNTIFS(缺陷明细!$A$2:$A$50000,$B$4,缺陷明细!$G$2:$G$50000,$C20,缺陷明细!$J$2:$J$50000,"验收测试",缺陷明细!$AA$2:$AA$50000,"&lt;&gt;丢弃",缺陷明细!$AA$2:$AA$50000,"&lt;&gt;设计如此",缺陷明细!$AA$2:$AA$50000,"&lt;&gt;重复Bug")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A$2:$AA$50000,"&lt;&gt;丢弃",缺陷明细!$AA$2:$AA$50000,"&lt;&gt;设计如此",缺陷明细!$AA$2:$AA$50000,"&lt;&gt;重复Bug")+COUNTIFS(缺陷明细!$A$2:$A$50000,$B$4,缺陷明细!$G$2:$G$50000,$C20,缺陷明细!$J$2:$J$50000,"验收测试",缺陷明细!$K$2:$K$50000,"严重",缺陷明细!$AA$2:$AA$50000,"&lt;&gt;丢弃",缺陷明细!$AA$2:$AA$50000,"&lt;&gt;设计如此",缺陷明细!$AA$2:$AA$50000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COUNTIFS(缺陷明细!$A$2:$A$50000,$B$4,缺陷明细!$G$2:$G$50000,$C20,缺陷明细!$J$2:$J$50000,"运维测试",缺陷明细!$AA$2:$AA$50000,"&lt;&gt;丢弃",缺陷明细!$AA$2:$AA$50000,"&lt;&gt;设计如此",缺陷明细!$AA$2:$AA$50000,"&lt;&gt;重复Bug")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A$2:$AA$50000,"&lt;&gt;丢弃",缺陷明细!$AA$2:$AA$50000,"&lt;&gt;设计如此",缺陷明细!$AA$2:$AA$50000,"&lt;&gt;重复Bug")+COUNTIFS(缺陷明细!$A$2:$A$50000,$B$4,缺陷明细!$G$2:$G$50000,$C20,缺陷明细!$J$2:$J$50000,"运维测试",缺陷明细!$K$2:$K$50000,"严重",缺陷明细!$AA$2:$AA$50000,"&lt;&gt;丢弃",缺陷明细!$AA$2:$AA$50000,"&lt;&gt;设计如此",缺陷明细!$AA$2:$AA$50000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51"/>
    </row>
    <row r="21" spans="1:37">
      <c r="A21">
        <v>17</v>
      </c>
      <c r="B21" s="57"/>
      <c r="C21" s="58"/>
      <c r="D21" s="84"/>
      <c r="E21" s="82"/>
      <c r="F21" s="165"/>
      <c r="G21" s="166"/>
      <c r="H21" s="305">
        <f>COUNTIFS(缺陷明细!$A$2:$A$50000,$B$4,缺陷明细!$G$2:$G$50000,$C21,缺陷明细!$J$2:$J$50000,"评审",缺陷明细!$AA$2:$AA$50000,"&lt;&gt;丢弃",缺陷明细!$AA$2:$AA$50000,"&lt;&gt;设计如此",缺陷明细!$AA$2:$AA$50000,"&lt;&gt;重复Bug")</f>
        <v>0</v>
      </c>
      <c r="I21" s="161">
        <f>COUNTIFS(缺陷明细!$A$2:$A$50000,$B$4,缺陷明细!$G$2:$G$50000,$C21,缺陷明细!$Q$2:$Q$50000,"已关闭",缺陷明细!$J$2:$J$50000,"评审")</f>
        <v>0</v>
      </c>
      <c r="J21" s="161">
        <f>COUNTIFS(缺陷明细!$A$2:$A$50000,$B$4,缺陷明细!$G$2:$G$50000,$C21,缺陷明细!$J$2:$J$50000,"单元测试",缺陷明细!$AA$2:$AA$50000,"&lt;&gt;丢弃",缺陷明细!$AA$2:$AA$50000,"&lt;&gt;设计如此",缺陷明细!$AA$2:$AA$50000,"&lt;&gt;重复Bug")</f>
        <v>0</v>
      </c>
      <c r="K21" s="162">
        <f>COUNTIFS(缺陷明细!$A$2:$A$50000,$B$4,缺陷明细!$G$2:$G$50000,$C21,缺陷明细!$Q$2:$Q$50000,"已关闭",缺陷明细!$J$2:$J$50000,"单元测试")</f>
        <v>0</v>
      </c>
      <c r="L21" s="163"/>
      <c r="M21" s="164"/>
      <c r="N21" s="72">
        <f>COUNTIFS(缺陷明细!$A$2:$A$50000,$B$4,缺陷明细!$G$2:$G$50000,$C21,缺陷明细!$J$2:$J$50000,"系统测试案例评审",缺陷明细!$AA$2:$AA$50000,"&lt;&gt;丢弃",缺陷明细!$AA$2:$AA$50000,"&lt;&gt;设计如此",缺陷明细!$AA$2:$AA$50000,"&lt;&gt;重复Bug")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COUNTIFS(缺陷明细!$A$2:$A$50000,$B$4,缺陷明细!$G$2:$G$50000,$C21,缺陷明细!$J$2:$J$50000,"系统测试",缺陷明细!$AA$2:$AA$50000,"&lt;&gt;丢弃",缺陷明细!$AA$2:$AA$50000,"&lt;&gt;设计如此",缺陷明细!$AA$2:$AA$50000,"&lt;&gt;重复Bug")</f>
        <v>0</v>
      </c>
      <c r="Q21" s="72">
        <f>COUNTIFS(缺陷明细!$A$2:$A$50000,$B$4,缺陷明细!$G$2:$G$50000,$C21,缺陷明细!$Q$2:$Q$50000,"已关闭",缺陷明细!$J$2:$J$50000,"系统测试")</f>
        <v>0</v>
      </c>
      <c r="R21" s="72">
        <f>COUNTIFS(缺陷明细!$A$2:$A$50000,$B$4,缺陷明细!$G$2:$G$50000,$C21,缺陷明细!$AA$2:$AA$50000,"丢弃",缺陷明细!$J$2:$J$50000,"系统测试")+COUNTIFS(缺陷明细!$A$2:$A$50000,$B$4,缺陷明细!$G$2:$G$50000,$C21,缺陷明细!$AA$2:$AA$50000,"设计如此",缺陷明细!$J$2:$J$50000,"系统测试"+COUNTIFS(缺陷明细!$A$2:$A$50000,$B$4,缺陷明细!$G$2:$G$50000,$C21,缺陷明细!$AA$2:$AA$50000,"重复Bug",缺陷明细!$J$2:$J$50000,"系统测试"))</f>
        <v>0</v>
      </c>
      <c r="S21" s="72">
        <f>COUNTIFS(缺陷明细!$A$2:$A$50000,$B$4,缺陷明细!$G$2:$G$50000,$C21,缺陷明细!$J$2:$J$50000,"系统测试",缺陷明细!$K$2:$K$50000,"致命",缺陷明细!$AA$2:$AA$50000,"&lt;&gt;丢弃",缺陷明细!$AA$2:$AA$50000,"&lt;&gt;设计如此",缺陷明细!$AA$2:$AA$50000,"&lt;&gt;重复Bug")+COUNTIFS(缺陷明细!$A$2:$A$50000,$B$4,缺陷明细!$G$2:$G$50000,$C21,缺陷明细!$J$2:$J$50000,"系统测试",缺陷明细!$K$2:$K$50000,"严重",缺陷明细!$AA$2:$AA$50000,"&lt;&gt;丢弃",缺陷明细!$AA$2:$AA$50000,"&lt;&gt;设计如此",缺陷明细!$AA$2:$AA$50000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COUNTIFS(缺陷明细!$A$2:$A$50000,$B$4,缺陷明细!$G$2:$G$50000,$C21,缺陷明细!$J$2:$J$50000,"验收测试",缺陷明细!$AA$2:$AA$50000,"&lt;&gt;丢弃",缺陷明细!$AA$2:$AA$50000,"&lt;&gt;设计如此",缺陷明细!$AA$2:$AA$50000,"&lt;&gt;重复Bug")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A$2:$AA$50000,"&lt;&gt;丢弃",缺陷明细!$AA$2:$AA$50000,"&lt;&gt;设计如此",缺陷明细!$AA$2:$AA$50000,"&lt;&gt;重复Bug")+COUNTIFS(缺陷明细!$A$2:$A$50000,$B$4,缺陷明细!$G$2:$G$50000,$C21,缺陷明细!$J$2:$J$50000,"验收测试",缺陷明细!$K$2:$K$50000,"严重",缺陷明细!$AA$2:$AA$50000,"&lt;&gt;丢弃",缺陷明细!$AA$2:$AA$50000,"&lt;&gt;设计如此",缺陷明细!$AA$2:$AA$50000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COUNTIFS(缺陷明细!$A$2:$A$50000,$B$4,缺陷明细!$G$2:$G$50000,$C21,缺陷明细!$J$2:$J$50000,"运维测试",缺陷明细!$AA$2:$AA$50000,"&lt;&gt;丢弃",缺陷明细!$AA$2:$AA$50000,"&lt;&gt;设计如此",缺陷明细!$AA$2:$AA$50000,"&lt;&gt;重复Bug")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A$2:$AA$50000,"&lt;&gt;丢弃",缺陷明细!$AA$2:$AA$50000,"&lt;&gt;设计如此",缺陷明细!$AA$2:$AA$50000,"&lt;&gt;重复Bug")+COUNTIFS(缺陷明细!$A$2:$A$50000,$B$4,缺陷明细!$G$2:$G$50000,$C21,缺陷明细!$J$2:$J$50000,"运维测试",缺陷明细!$K$2:$K$50000,"严重",缺陷明细!$AA$2:$AA$50000,"&lt;&gt;丢弃",缺陷明细!$AA$2:$AA$50000,"&lt;&gt;设计如此",缺陷明细!$AA$2:$AA$50000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51"/>
    </row>
    <row r="22" spans="1:37">
      <c r="A22">
        <v>18</v>
      </c>
      <c r="B22" s="57"/>
      <c r="C22" s="58"/>
      <c r="D22" s="84"/>
      <c r="E22" s="82"/>
      <c r="F22" s="165"/>
      <c r="G22" s="166"/>
      <c r="H22" s="305">
        <f>COUNTIFS(缺陷明细!$A$2:$A$50000,$B$4,缺陷明细!$G$2:$G$50000,$C22,缺陷明细!$J$2:$J$50000,"评审",缺陷明细!$AA$2:$AA$50000,"&lt;&gt;丢弃",缺陷明细!$AA$2:$AA$50000,"&lt;&gt;设计如此",缺陷明细!$AA$2:$AA$50000,"&lt;&gt;重复Bug")</f>
        <v>0</v>
      </c>
      <c r="I22" s="161">
        <f>COUNTIFS(缺陷明细!$A$2:$A$50000,$B$4,缺陷明细!$G$2:$G$50000,$C22,缺陷明细!$Q$2:$Q$50000,"已关闭",缺陷明细!$J$2:$J$50000,"评审")</f>
        <v>0</v>
      </c>
      <c r="J22" s="161">
        <f>COUNTIFS(缺陷明细!$A$2:$A$50000,$B$4,缺陷明细!$G$2:$G$50000,$C22,缺陷明细!$J$2:$J$50000,"单元测试",缺陷明细!$AA$2:$AA$50000,"&lt;&gt;丢弃",缺陷明细!$AA$2:$AA$50000,"&lt;&gt;设计如此",缺陷明细!$AA$2:$AA$50000,"&lt;&gt;重复Bug")</f>
        <v>0</v>
      </c>
      <c r="K22" s="162">
        <f>COUNTIFS(缺陷明细!$A$2:$A$50000,$B$4,缺陷明细!$G$2:$G$50000,$C22,缺陷明细!$Q$2:$Q$50000,"已关闭",缺陷明细!$J$2:$J$50000,"单元测试")</f>
        <v>0</v>
      </c>
      <c r="L22" s="163"/>
      <c r="M22" s="164"/>
      <c r="N22" s="72">
        <f>COUNTIFS(缺陷明细!$A$2:$A$50000,$B$4,缺陷明细!$G$2:$G$50000,$C22,缺陷明细!$J$2:$J$50000,"系统测试案例评审",缺陷明细!$AA$2:$AA$50000,"&lt;&gt;丢弃",缺陷明细!$AA$2:$AA$50000,"&lt;&gt;设计如此",缺陷明细!$AA$2:$AA$50000,"&lt;&gt;重复Bug")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COUNTIFS(缺陷明细!$A$2:$A$50000,$B$4,缺陷明细!$G$2:$G$50000,$C22,缺陷明细!$J$2:$J$50000,"系统测试",缺陷明细!$AA$2:$AA$50000,"&lt;&gt;丢弃",缺陷明细!$AA$2:$AA$50000,"&lt;&gt;设计如此",缺陷明细!$AA$2:$AA$50000,"&lt;&gt;重复Bug")</f>
        <v>0</v>
      </c>
      <c r="Q22" s="72">
        <f>COUNTIFS(缺陷明细!$A$2:$A$50000,$B$4,缺陷明细!$G$2:$G$50000,$C22,缺陷明细!$Q$2:$Q$50000,"已关闭",缺陷明细!$J$2:$J$50000,"系统测试")</f>
        <v>0</v>
      </c>
      <c r="R22" s="72">
        <f>COUNTIFS(缺陷明细!$A$2:$A$50000,$B$4,缺陷明细!$G$2:$G$50000,$C22,缺陷明细!$AA$2:$AA$50000,"丢弃",缺陷明细!$J$2:$J$50000,"系统测试")+COUNTIFS(缺陷明细!$A$2:$A$50000,$B$4,缺陷明细!$G$2:$G$50000,$C22,缺陷明细!$AA$2:$AA$50000,"设计如此",缺陷明细!$J$2:$J$50000,"系统测试"+COUNTIFS(缺陷明细!$A$2:$A$50000,$B$4,缺陷明细!$G$2:$G$50000,$C22,缺陷明细!$AA$2:$AA$50000,"重复Bug",缺陷明细!$J$2:$J$50000,"系统测试"))</f>
        <v>0</v>
      </c>
      <c r="S22" s="72">
        <f>COUNTIFS(缺陷明细!$A$2:$A$50000,$B$4,缺陷明细!$G$2:$G$50000,$C22,缺陷明细!$J$2:$J$50000,"系统测试",缺陷明细!$K$2:$K$50000,"致命",缺陷明细!$AA$2:$AA$50000,"&lt;&gt;丢弃",缺陷明细!$AA$2:$AA$50000,"&lt;&gt;设计如此",缺陷明细!$AA$2:$AA$50000,"&lt;&gt;重复Bug")+COUNTIFS(缺陷明细!$A$2:$A$50000,$B$4,缺陷明细!$G$2:$G$50000,$C22,缺陷明细!$J$2:$J$50000,"系统测试",缺陷明细!$K$2:$K$50000,"严重",缺陷明细!$AA$2:$AA$50000,"&lt;&gt;丢弃",缺陷明细!$AA$2:$AA$50000,"&lt;&gt;设计如此",缺陷明细!$AA$2:$AA$50000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COUNTIFS(缺陷明细!$A$2:$A$50000,$B$4,缺陷明细!$G$2:$G$50000,$C22,缺陷明细!$J$2:$J$50000,"验收测试",缺陷明细!$AA$2:$AA$50000,"&lt;&gt;丢弃",缺陷明细!$AA$2:$AA$50000,"&lt;&gt;设计如此",缺陷明细!$AA$2:$AA$50000,"&lt;&gt;重复Bug")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A$2:$AA$50000,"&lt;&gt;丢弃",缺陷明细!$AA$2:$AA$50000,"&lt;&gt;设计如此",缺陷明细!$AA$2:$AA$50000,"&lt;&gt;重复Bug")+COUNTIFS(缺陷明细!$A$2:$A$50000,$B$4,缺陷明细!$G$2:$G$50000,$C22,缺陷明细!$J$2:$J$50000,"验收测试",缺陷明细!$K$2:$K$50000,"严重",缺陷明细!$AA$2:$AA$50000,"&lt;&gt;丢弃",缺陷明细!$AA$2:$AA$50000,"&lt;&gt;设计如此",缺陷明细!$AA$2:$AA$50000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COUNTIFS(缺陷明细!$A$2:$A$50000,$B$4,缺陷明细!$G$2:$G$50000,$C22,缺陷明细!$J$2:$J$50000,"运维测试",缺陷明细!$AA$2:$AA$50000,"&lt;&gt;丢弃",缺陷明细!$AA$2:$AA$50000,"&lt;&gt;设计如此",缺陷明细!$AA$2:$AA$50000,"&lt;&gt;重复Bug")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A$2:$AA$50000,"&lt;&gt;丢弃",缺陷明细!$AA$2:$AA$50000,"&lt;&gt;设计如此",缺陷明细!$AA$2:$AA$50000,"&lt;&gt;重复Bug")+COUNTIFS(缺陷明细!$A$2:$A$50000,$B$4,缺陷明细!$G$2:$G$50000,$C22,缺陷明细!$J$2:$J$50000,"运维测试",缺陷明细!$K$2:$K$50000,"严重",缺陷明细!$AA$2:$AA$50000,"&lt;&gt;丢弃",缺陷明细!$AA$2:$AA$50000,"&lt;&gt;设计如此",缺陷明细!$AA$2:$AA$50000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51"/>
    </row>
    <row r="23" spans="1:37">
      <c r="A23">
        <v>19</v>
      </c>
      <c r="B23" s="57"/>
      <c r="C23" s="58"/>
      <c r="D23" s="84"/>
      <c r="E23" s="82"/>
      <c r="F23" s="165"/>
      <c r="G23" s="166"/>
      <c r="H23" s="305">
        <f>COUNTIFS(缺陷明细!$A$2:$A$50000,$B$4,缺陷明细!$G$2:$G$50000,$C23,缺陷明细!$J$2:$J$50000,"评审",缺陷明细!$AA$2:$AA$50000,"&lt;&gt;丢弃",缺陷明细!$AA$2:$AA$50000,"&lt;&gt;设计如此",缺陷明细!$AA$2:$AA$50000,"&lt;&gt;重复Bug")</f>
        <v>0</v>
      </c>
      <c r="I23" s="161">
        <f>COUNTIFS(缺陷明细!$A$2:$A$50000,$B$4,缺陷明细!$G$2:$G$50000,$C23,缺陷明细!$Q$2:$Q$50000,"已关闭",缺陷明细!$J$2:$J$50000,"评审")</f>
        <v>0</v>
      </c>
      <c r="J23" s="161">
        <f>COUNTIFS(缺陷明细!$A$2:$A$50000,$B$4,缺陷明细!$G$2:$G$50000,$C23,缺陷明细!$J$2:$J$50000,"单元测试",缺陷明细!$AA$2:$AA$50000,"&lt;&gt;丢弃",缺陷明细!$AA$2:$AA$50000,"&lt;&gt;设计如此",缺陷明细!$AA$2:$AA$50000,"&lt;&gt;重复Bug")</f>
        <v>0</v>
      </c>
      <c r="K23" s="162">
        <f>COUNTIFS(缺陷明细!$A$2:$A$50000,$B$4,缺陷明细!$G$2:$G$50000,$C23,缺陷明细!$Q$2:$Q$50000,"已关闭",缺陷明细!$J$2:$J$50000,"单元测试")</f>
        <v>0</v>
      </c>
      <c r="L23" s="163"/>
      <c r="M23" s="164"/>
      <c r="N23" s="72">
        <f>COUNTIFS(缺陷明细!$A$2:$A$50000,$B$4,缺陷明细!$G$2:$G$50000,$C23,缺陷明细!$J$2:$J$50000,"系统测试案例评审",缺陷明细!$AA$2:$AA$50000,"&lt;&gt;丢弃",缺陷明细!$AA$2:$AA$50000,"&lt;&gt;设计如此",缺陷明细!$AA$2:$AA$50000,"&lt;&gt;重复Bug")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COUNTIFS(缺陷明细!$A$2:$A$50000,$B$4,缺陷明细!$G$2:$G$50000,$C23,缺陷明细!$J$2:$J$50000,"系统测试",缺陷明细!$AA$2:$AA$50000,"&lt;&gt;丢弃",缺陷明细!$AA$2:$AA$50000,"&lt;&gt;设计如此",缺陷明细!$AA$2:$AA$50000,"&lt;&gt;重复Bug")</f>
        <v>0</v>
      </c>
      <c r="Q23" s="72">
        <f>COUNTIFS(缺陷明细!$A$2:$A$50000,$B$4,缺陷明细!$G$2:$G$50000,$C23,缺陷明细!$Q$2:$Q$50000,"已关闭",缺陷明细!$J$2:$J$50000,"系统测试")</f>
        <v>0</v>
      </c>
      <c r="R23" s="72">
        <f>COUNTIFS(缺陷明细!$A$2:$A$50000,$B$4,缺陷明细!$G$2:$G$50000,$C23,缺陷明细!$AA$2:$AA$50000,"丢弃",缺陷明细!$J$2:$J$50000,"系统测试")+COUNTIFS(缺陷明细!$A$2:$A$50000,$B$4,缺陷明细!$G$2:$G$50000,$C23,缺陷明细!$AA$2:$AA$50000,"设计如此",缺陷明细!$J$2:$J$50000,"系统测试"+COUNTIFS(缺陷明细!$A$2:$A$50000,$B$4,缺陷明细!$G$2:$G$50000,$C23,缺陷明细!$AA$2:$AA$50000,"重复Bug",缺陷明细!$J$2:$J$50000,"系统测试"))</f>
        <v>0</v>
      </c>
      <c r="S23" s="72">
        <f>COUNTIFS(缺陷明细!$A$2:$A$50000,$B$4,缺陷明细!$G$2:$G$50000,$C23,缺陷明细!$J$2:$J$50000,"系统测试",缺陷明细!$K$2:$K$50000,"致命",缺陷明细!$AA$2:$AA$50000,"&lt;&gt;丢弃",缺陷明细!$AA$2:$AA$50000,"&lt;&gt;设计如此",缺陷明细!$AA$2:$AA$50000,"&lt;&gt;重复Bug")+COUNTIFS(缺陷明细!$A$2:$A$50000,$B$4,缺陷明细!$G$2:$G$50000,$C23,缺陷明细!$J$2:$J$50000,"系统测试",缺陷明细!$K$2:$K$50000,"严重",缺陷明细!$AA$2:$AA$50000,"&lt;&gt;丢弃",缺陷明细!$AA$2:$AA$50000,"&lt;&gt;设计如此",缺陷明细!$AA$2:$AA$50000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COUNTIFS(缺陷明细!$A$2:$A$50000,$B$4,缺陷明细!$G$2:$G$50000,$C23,缺陷明细!$J$2:$J$50000,"验收测试",缺陷明细!$AA$2:$AA$50000,"&lt;&gt;丢弃",缺陷明细!$AA$2:$AA$50000,"&lt;&gt;设计如此",缺陷明细!$AA$2:$AA$50000,"&lt;&gt;重复Bug")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A$2:$AA$50000,"&lt;&gt;丢弃",缺陷明细!$AA$2:$AA$50000,"&lt;&gt;设计如此",缺陷明细!$AA$2:$AA$50000,"&lt;&gt;重复Bug")+COUNTIFS(缺陷明细!$A$2:$A$50000,$B$4,缺陷明细!$G$2:$G$50000,$C23,缺陷明细!$J$2:$J$50000,"验收测试",缺陷明细!$K$2:$K$50000,"严重",缺陷明细!$AA$2:$AA$50000,"&lt;&gt;丢弃",缺陷明细!$AA$2:$AA$50000,"&lt;&gt;设计如此",缺陷明细!$AA$2:$AA$50000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COUNTIFS(缺陷明细!$A$2:$A$50000,$B$4,缺陷明细!$G$2:$G$50000,$C23,缺陷明细!$J$2:$J$50000,"运维测试",缺陷明细!$AA$2:$AA$50000,"&lt;&gt;丢弃",缺陷明细!$AA$2:$AA$50000,"&lt;&gt;设计如此",缺陷明细!$AA$2:$AA$50000,"&lt;&gt;重复Bug")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A$2:$AA$50000,"&lt;&gt;丢弃",缺陷明细!$AA$2:$AA$50000,"&lt;&gt;设计如此",缺陷明细!$AA$2:$AA$50000,"&lt;&gt;重复Bug")+COUNTIFS(缺陷明细!$A$2:$A$50000,$B$4,缺陷明细!$G$2:$G$50000,$C23,缺陷明细!$J$2:$J$50000,"运维测试",缺陷明细!$K$2:$K$50000,"严重",缺陷明细!$AA$2:$AA$50000,"&lt;&gt;丢弃",缺陷明细!$AA$2:$AA$50000,"&lt;&gt;设计如此",缺陷明细!$AA$2:$AA$50000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51"/>
    </row>
    <row r="24" spans="1:37">
      <c r="A24">
        <v>20</v>
      </c>
      <c r="B24" s="57"/>
      <c r="C24" s="58"/>
      <c r="D24" s="84"/>
      <c r="E24" s="82"/>
      <c r="F24" s="165"/>
      <c r="G24" s="166"/>
      <c r="H24" s="305">
        <f>COUNTIFS(缺陷明细!$A$2:$A$50000,$B$4,缺陷明细!$G$2:$G$50000,$C24,缺陷明细!$J$2:$J$50000,"评审",缺陷明细!$AA$2:$AA$50000,"&lt;&gt;丢弃",缺陷明细!$AA$2:$AA$50000,"&lt;&gt;设计如此",缺陷明细!$AA$2:$AA$50000,"&lt;&gt;重复Bug")</f>
        <v>0</v>
      </c>
      <c r="I24" s="161">
        <f>COUNTIFS(缺陷明细!$A$2:$A$50000,$B$4,缺陷明细!$G$2:$G$50000,$C24,缺陷明细!$Q$2:$Q$50000,"已关闭",缺陷明细!$J$2:$J$50000,"评审")</f>
        <v>0</v>
      </c>
      <c r="J24" s="161">
        <f>COUNTIFS(缺陷明细!$A$2:$A$50000,$B$4,缺陷明细!$G$2:$G$50000,$C24,缺陷明细!$J$2:$J$50000,"单元测试",缺陷明细!$AA$2:$AA$50000,"&lt;&gt;丢弃",缺陷明细!$AA$2:$AA$50000,"&lt;&gt;设计如此",缺陷明细!$AA$2:$AA$50000,"&lt;&gt;重复Bug")</f>
        <v>0</v>
      </c>
      <c r="K24" s="162">
        <f>COUNTIFS(缺陷明细!$A$2:$A$50000,$B$4,缺陷明细!$G$2:$G$50000,$C24,缺陷明细!$Q$2:$Q$50000,"已关闭",缺陷明细!$J$2:$J$50000,"单元测试")</f>
        <v>0</v>
      </c>
      <c r="L24" s="163"/>
      <c r="M24" s="164"/>
      <c r="N24" s="72">
        <f>COUNTIFS(缺陷明细!$A$2:$A$50000,$B$4,缺陷明细!$G$2:$G$50000,$C24,缺陷明细!$J$2:$J$50000,"系统测试案例评审",缺陷明细!$AA$2:$AA$50000,"&lt;&gt;丢弃",缺陷明细!$AA$2:$AA$50000,"&lt;&gt;设计如此",缺陷明细!$AA$2:$AA$50000,"&lt;&gt;重复Bug")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COUNTIFS(缺陷明细!$A$2:$A$50000,$B$4,缺陷明细!$G$2:$G$50000,$C24,缺陷明细!$J$2:$J$50000,"系统测试",缺陷明细!$AA$2:$AA$50000,"&lt;&gt;丢弃",缺陷明细!$AA$2:$AA$50000,"&lt;&gt;设计如此",缺陷明细!$AA$2:$AA$50000,"&lt;&gt;重复Bug")</f>
        <v>0</v>
      </c>
      <c r="Q24" s="72">
        <f>COUNTIFS(缺陷明细!$A$2:$A$50000,$B$4,缺陷明细!$G$2:$G$50000,$C24,缺陷明细!$Q$2:$Q$50000,"已关闭",缺陷明细!$J$2:$J$50000,"系统测试")</f>
        <v>0</v>
      </c>
      <c r="R24" s="72">
        <f>COUNTIFS(缺陷明细!$A$2:$A$50000,$B$4,缺陷明细!$G$2:$G$50000,$C24,缺陷明细!$AA$2:$AA$50000,"丢弃",缺陷明细!$J$2:$J$50000,"系统测试")+COUNTIFS(缺陷明细!$A$2:$A$50000,$B$4,缺陷明细!$G$2:$G$50000,$C24,缺陷明细!$AA$2:$AA$50000,"设计如此",缺陷明细!$J$2:$J$50000,"系统测试"+COUNTIFS(缺陷明细!$A$2:$A$50000,$B$4,缺陷明细!$G$2:$G$50000,$C24,缺陷明细!$AA$2:$AA$50000,"重复Bug",缺陷明细!$J$2:$J$50000,"系统测试"))</f>
        <v>0</v>
      </c>
      <c r="S24" s="72">
        <f>COUNTIFS(缺陷明细!$A$2:$A$50000,$B$4,缺陷明细!$G$2:$G$50000,$C24,缺陷明细!$J$2:$J$50000,"系统测试",缺陷明细!$K$2:$K$50000,"致命",缺陷明细!$AA$2:$AA$50000,"&lt;&gt;丢弃",缺陷明细!$AA$2:$AA$50000,"&lt;&gt;设计如此",缺陷明细!$AA$2:$AA$50000,"&lt;&gt;重复Bug")+COUNTIFS(缺陷明细!$A$2:$A$50000,$B$4,缺陷明细!$G$2:$G$50000,$C24,缺陷明细!$J$2:$J$50000,"系统测试",缺陷明细!$K$2:$K$50000,"严重",缺陷明细!$AA$2:$AA$50000,"&lt;&gt;丢弃",缺陷明细!$AA$2:$AA$50000,"&lt;&gt;设计如此",缺陷明细!$AA$2:$AA$50000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COUNTIFS(缺陷明细!$A$2:$A$50000,$B$4,缺陷明细!$G$2:$G$50000,$C24,缺陷明细!$J$2:$J$50000,"验收测试",缺陷明细!$AA$2:$AA$50000,"&lt;&gt;丢弃",缺陷明细!$AA$2:$AA$50000,"&lt;&gt;设计如此",缺陷明细!$AA$2:$AA$50000,"&lt;&gt;重复Bug")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A$2:$AA$50000,"&lt;&gt;丢弃",缺陷明细!$AA$2:$AA$50000,"&lt;&gt;设计如此",缺陷明细!$AA$2:$AA$50000,"&lt;&gt;重复Bug")+COUNTIFS(缺陷明细!$A$2:$A$50000,$B$4,缺陷明细!$G$2:$G$50000,$C24,缺陷明细!$J$2:$J$50000,"验收测试",缺陷明细!$K$2:$K$50000,"严重",缺陷明细!$AA$2:$AA$50000,"&lt;&gt;丢弃",缺陷明细!$AA$2:$AA$50000,"&lt;&gt;设计如此",缺陷明细!$AA$2:$AA$50000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COUNTIFS(缺陷明细!$A$2:$A$50000,$B$4,缺陷明细!$G$2:$G$50000,$C24,缺陷明细!$J$2:$J$50000,"运维测试",缺陷明细!$AA$2:$AA$50000,"&lt;&gt;丢弃",缺陷明细!$AA$2:$AA$50000,"&lt;&gt;设计如此",缺陷明细!$AA$2:$AA$50000,"&lt;&gt;重复Bug")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A$2:$AA$50000,"&lt;&gt;丢弃",缺陷明细!$AA$2:$AA$50000,"&lt;&gt;设计如此",缺陷明细!$AA$2:$AA$50000,"&lt;&gt;重复Bug")+COUNTIFS(缺陷明细!$A$2:$A$50000,$B$4,缺陷明细!$G$2:$G$50000,$C24,缺陷明细!$J$2:$J$50000,"运维测试",缺陷明细!$K$2:$K$50000,"严重",缺陷明细!$AA$2:$AA$50000,"&lt;&gt;丢弃",缺陷明细!$AA$2:$AA$50000,"&lt;&gt;设计如此",缺陷明细!$AA$2:$AA$50000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51"/>
    </row>
    <row r="25" spans="1:37">
      <c r="A25">
        <v>21</v>
      </c>
      <c r="B25" s="57"/>
      <c r="C25" s="58"/>
      <c r="D25" s="84"/>
      <c r="E25" s="82"/>
      <c r="F25" s="165"/>
      <c r="G25" s="166"/>
      <c r="H25" s="305">
        <f>COUNTIFS(缺陷明细!$A$2:$A$50000,$B$4,缺陷明细!$G$2:$G$50000,$C25,缺陷明细!$J$2:$J$50000,"评审",缺陷明细!$AA$2:$AA$50000,"&lt;&gt;丢弃",缺陷明细!$AA$2:$AA$50000,"&lt;&gt;设计如此",缺陷明细!$AA$2:$AA$50000,"&lt;&gt;重复Bug")</f>
        <v>0</v>
      </c>
      <c r="I25" s="161">
        <f>COUNTIFS(缺陷明细!$A$2:$A$50000,$B$4,缺陷明细!$G$2:$G$50000,$C25,缺陷明细!$Q$2:$Q$50000,"已关闭",缺陷明细!$J$2:$J$50000,"评审")</f>
        <v>0</v>
      </c>
      <c r="J25" s="161">
        <f>COUNTIFS(缺陷明细!$A$2:$A$50000,$B$4,缺陷明细!$G$2:$G$50000,$C25,缺陷明细!$J$2:$J$50000,"单元测试",缺陷明细!$AA$2:$AA$50000,"&lt;&gt;丢弃",缺陷明细!$AA$2:$AA$50000,"&lt;&gt;设计如此",缺陷明细!$AA$2:$AA$50000,"&lt;&gt;重复Bug")</f>
        <v>0</v>
      </c>
      <c r="K25" s="162">
        <f>COUNTIFS(缺陷明细!$A$2:$A$50000,$B$4,缺陷明细!$G$2:$G$50000,$C25,缺陷明细!$Q$2:$Q$50000,"已关闭",缺陷明细!$J$2:$J$50000,"单元测试")</f>
        <v>0</v>
      </c>
      <c r="L25" s="163"/>
      <c r="M25" s="164"/>
      <c r="N25" s="72">
        <f>COUNTIFS(缺陷明细!$A$2:$A$50000,$B$4,缺陷明细!$G$2:$G$50000,$C25,缺陷明细!$J$2:$J$50000,"系统测试案例评审",缺陷明细!$AA$2:$AA$50000,"&lt;&gt;丢弃",缺陷明细!$AA$2:$AA$50000,"&lt;&gt;设计如此",缺陷明细!$AA$2:$AA$50000,"&lt;&gt;重复Bug")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COUNTIFS(缺陷明细!$A$2:$A$50000,$B$4,缺陷明细!$G$2:$G$50000,$C25,缺陷明细!$J$2:$J$50000,"系统测试",缺陷明细!$AA$2:$AA$50000,"&lt;&gt;丢弃",缺陷明细!$AA$2:$AA$50000,"&lt;&gt;设计如此",缺陷明细!$AA$2:$AA$50000,"&lt;&gt;重复Bug")</f>
        <v>0</v>
      </c>
      <c r="Q25" s="72">
        <f>COUNTIFS(缺陷明细!$A$2:$A$50000,$B$4,缺陷明细!$G$2:$G$50000,$C25,缺陷明细!$Q$2:$Q$50000,"已关闭",缺陷明细!$J$2:$J$50000,"系统测试")</f>
        <v>0</v>
      </c>
      <c r="R25" s="72">
        <f>COUNTIFS(缺陷明细!$A$2:$A$50000,$B$4,缺陷明细!$G$2:$G$50000,$C25,缺陷明细!$AA$2:$AA$50000,"丢弃",缺陷明细!$J$2:$J$50000,"系统测试")+COUNTIFS(缺陷明细!$A$2:$A$50000,$B$4,缺陷明细!$G$2:$G$50000,$C25,缺陷明细!$AA$2:$AA$50000,"设计如此",缺陷明细!$J$2:$J$50000,"系统测试"+COUNTIFS(缺陷明细!$A$2:$A$50000,$B$4,缺陷明细!$G$2:$G$50000,$C25,缺陷明细!$AA$2:$AA$50000,"重复Bug",缺陷明细!$J$2:$J$50000,"系统测试"))</f>
        <v>0</v>
      </c>
      <c r="S25" s="72">
        <f>COUNTIFS(缺陷明细!$A$2:$A$50000,$B$4,缺陷明细!$G$2:$G$50000,$C25,缺陷明细!$J$2:$J$50000,"系统测试",缺陷明细!$K$2:$K$50000,"致命",缺陷明细!$AA$2:$AA$50000,"&lt;&gt;丢弃",缺陷明细!$AA$2:$AA$50000,"&lt;&gt;设计如此",缺陷明细!$AA$2:$AA$50000,"&lt;&gt;重复Bug")+COUNTIFS(缺陷明细!$A$2:$A$50000,$B$4,缺陷明细!$G$2:$G$50000,$C25,缺陷明细!$J$2:$J$50000,"系统测试",缺陷明细!$K$2:$K$50000,"严重",缺陷明细!$AA$2:$AA$50000,"&lt;&gt;丢弃",缺陷明细!$AA$2:$AA$50000,"&lt;&gt;设计如此",缺陷明细!$AA$2:$AA$50000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COUNTIFS(缺陷明细!$A$2:$A$50000,$B$4,缺陷明细!$G$2:$G$50000,$C25,缺陷明细!$J$2:$J$50000,"验收测试",缺陷明细!$AA$2:$AA$50000,"&lt;&gt;丢弃",缺陷明细!$AA$2:$AA$50000,"&lt;&gt;设计如此",缺陷明细!$AA$2:$AA$50000,"&lt;&gt;重复Bug")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A$2:$AA$50000,"&lt;&gt;丢弃",缺陷明细!$AA$2:$AA$50000,"&lt;&gt;设计如此",缺陷明细!$AA$2:$AA$50000,"&lt;&gt;重复Bug")+COUNTIFS(缺陷明细!$A$2:$A$50000,$B$4,缺陷明细!$G$2:$G$50000,$C25,缺陷明细!$J$2:$J$50000,"验收测试",缺陷明细!$K$2:$K$50000,"严重",缺陷明细!$AA$2:$AA$50000,"&lt;&gt;丢弃",缺陷明细!$AA$2:$AA$50000,"&lt;&gt;设计如此",缺陷明细!$AA$2:$AA$50000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COUNTIFS(缺陷明细!$A$2:$A$50000,$B$4,缺陷明细!$G$2:$G$50000,$C25,缺陷明细!$J$2:$J$50000,"运维测试",缺陷明细!$AA$2:$AA$50000,"&lt;&gt;丢弃",缺陷明细!$AA$2:$AA$50000,"&lt;&gt;设计如此",缺陷明细!$AA$2:$AA$50000,"&lt;&gt;重复Bug")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A$2:$AA$50000,"&lt;&gt;丢弃",缺陷明细!$AA$2:$AA$50000,"&lt;&gt;设计如此",缺陷明细!$AA$2:$AA$50000,"&lt;&gt;重复Bug")+COUNTIFS(缺陷明细!$A$2:$A$50000,$B$4,缺陷明细!$G$2:$G$50000,$C25,缺陷明细!$J$2:$J$50000,"运维测试",缺陷明细!$K$2:$K$50000,"严重",缺陷明细!$AA$2:$AA$50000,"&lt;&gt;丢弃",缺陷明细!$AA$2:$AA$50000,"&lt;&gt;设计如此",缺陷明细!$AA$2:$AA$50000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51"/>
    </row>
    <row r="26" spans="1:37">
      <c r="A26">
        <v>22</v>
      </c>
      <c r="B26" s="57"/>
      <c r="C26" s="58"/>
      <c r="D26" s="84"/>
      <c r="E26" s="82"/>
      <c r="F26" s="165"/>
      <c r="G26" s="166"/>
      <c r="H26" s="305">
        <f>COUNTIFS(缺陷明细!$A$2:$A$50000,$B$4,缺陷明细!$G$2:$G$50000,$C26,缺陷明细!$J$2:$J$50000,"评审",缺陷明细!$AA$2:$AA$50000,"&lt;&gt;丢弃",缺陷明细!$AA$2:$AA$50000,"&lt;&gt;设计如此",缺陷明细!$AA$2:$AA$50000,"&lt;&gt;重复Bug")</f>
        <v>0</v>
      </c>
      <c r="I26" s="161">
        <f>COUNTIFS(缺陷明细!$A$2:$A$50000,$B$4,缺陷明细!$G$2:$G$50000,$C26,缺陷明细!$Q$2:$Q$50000,"已关闭",缺陷明细!$J$2:$J$50000,"评审")</f>
        <v>0</v>
      </c>
      <c r="J26" s="161">
        <f>COUNTIFS(缺陷明细!$A$2:$A$50000,$B$4,缺陷明细!$G$2:$G$50000,$C26,缺陷明细!$J$2:$J$50000,"单元测试",缺陷明细!$AA$2:$AA$50000,"&lt;&gt;丢弃",缺陷明细!$AA$2:$AA$50000,"&lt;&gt;设计如此",缺陷明细!$AA$2:$AA$50000,"&lt;&gt;重复Bug")</f>
        <v>0</v>
      </c>
      <c r="K26" s="162">
        <f>COUNTIFS(缺陷明细!$A$2:$A$50000,$B$4,缺陷明细!$G$2:$G$50000,$C26,缺陷明细!$Q$2:$Q$50000,"已关闭",缺陷明细!$J$2:$J$50000,"单元测试")</f>
        <v>0</v>
      </c>
      <c r="L26" s="163"/>
      <c r="M26" s="164"/>
      <c r="N26" s="72">
        <f>COUNTIFS(缺陷明细!$A$2:$A$50000,$B$4,缺陷明细!$G$2:$G$50000,$C26,缺陷明细!$J$2:$J$50000,"系统测试案例评审",缺陷明细!$AA$2:$AA$50000,"&lt;&gt;丢弃",缺陷明细!$AA$2:$AA$50000,"&lt;&gt;设计如此",缺陷明细!$AA$2:$AA$50000,"&lt;&gt;重复Bug")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COUNTIFS(缺陷明细!$A$2:$A$50000,$B$4,缺陷明细!$G$2:$G$50000,$C26,缺陷明细!$J$2:$J$50000,"系统测试",缺陷明细!$AA$2:$AA$50000,"&lt;&gt;丢弃",缺陷明细!$AA$2:$AA$50000,"&lt;&gt;设计如此",缺陷明细!$AA$2:$AA$50000,"&lt;&gt;重复Bug")</f>
        <v>0</v>
      </c>
      <c r="Q26" s="72">
        <f>COUNTIFS(缺陷明细!$A$2:$A$50000,$B$4,缺陷明细!$G$2:$G$50000,$C26,缺陷明细!$Q$2:$Q$50000,"已关闭",缺陷明细!$J$2:$J$50000,"系统测试")</f>
        <v>0</v>
      </c>
      <c r="R26" s="72">
        <f>COUNTIFS(缺陷明细!$A$2:$A$50000,$B$4,缺陷明细!$G$2:$G$50000,$C26,缺陷明细!$AA$2:$AA$50000,"丢弃",缺陷明细!$J$2:$J$50000,"系统测试")+COUNTIFS(缺陷明细!$A$2:$A$50000,$B$4,缺陷明细!$G$2:$G$50000,$C26,缺陷明细!$AA$2:$AA$50000,"设计如此",缺陷明细!$J$2:$J$50000,"系统测试"+COUNTIFS(缺陷明细!$A$2:$A$50000,$B$4,缺陷明细!$G$2:$G$50000,$C26,缺陷明细!$AA$2:$AA$50000,"重复Bug",缺陷明细!$J$2:$J$50000,"系统测试"))</f>
        <v>0</v>
      </c>
      <c r="S26" s="72">
        <f>COUNTIFS(缺陷明细!$A$2:$A$50000,$B$4,缺陷明细!$G$2:$G$50000,$C26,缺陷明细!$J$2:$J$50000,"系统测试",缺陷明细!$K$2:$K$50000,"致命",缺陷明细!$AA$2:$AA$50000,"&lt;&gt;丢弃",缺陷明细!$AA$2:$AA$50000,"&lt;&gt;设计如此",缺陷明细!$AA$2:$AA$50000,"&lt;&gt;重复Bug")+COUNTIFS(缺陷明细!$A$2:$A$50000,$B$4,缺陷明细!$G$2:$G$50000,$C26,缺陷明细!$J$2:$J$50000,"系统测试",缺陷明细!$K$2:$K$50000,"严重",缺陷明细!$AA$2:$AA$50000,"&lt;&gt;丢弃",缺陷明细!$AA$2:$AA$50000,"&lt;&gt;设计如此",缺陷明细!$AA$2:$AA$50000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COUNTIFS(缺陷明细!$A$2:$A$50000,$B$4,缺陷明细!$G$2:$G$50000,$C26,缺陷明细!$J$2:$J$50000,"验收测试",缺陷明细!$AA$2:$AA$50000,"&lt;&gt;丢弃",缺陷明细!$AA$2:$AA$50000,"&lt;&gt;设计如此",缺陷明细!$AA$2:$AA$50000,"&lt;&gt;重复Bug")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A$2:$AA$50000,"&lt;&gt;丢弃",缺陷明细!$AA$2:$AA$50000,"&lt;&gt;设计如此",缺陷明细!$AA$2:$AA$50000,"&lt;&gt;重复Bug")+COUNTIFS(缺陷明细!$A$2:$A$50000,$B$4,缺陷明细!$G$2:$G$50000,$C26,缺陷明细!$J$2:$J$50000,"验收测试",缺陷明细!$K$2:$K$50000,"严重",缺陷明细!$AA$2:$AA$50000,"&lt;&gt;丢弃",缺陷明细!$AA$2:$AA$50000,"&lt;&gt;设计如此",缺陷明细!$AA$2:$AA$50000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COUNTIFS(缺陷明细!$A$2:$A$50000,$B$4,缺陷明细!$G$2:$G$50000,$C26,缺陷明细!$J$2:$J$50000,"运维测试",缺陷明细!$AA$2:$AA$50000,"&lt;&gt;丢弃",缺陷明细!$AA$2:$AA$50000,"&lt;&gt;设计如此",缺陷明细!$AA$2:$AA$50000,"&lt;&gt;重复Bug")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A$2:$AA$50000,"&lt;&gt;丢弃",缺陷明细!$AA$2:$AA$50000,"&lt;&gt;设计如此",缺陷明细!$AA$2:$AA$50000,"&lt;&gt;重复Bug")+COUNTIFS(缺陷明细!$A$2:$A$50000,$B$4,缺陷明细!$G$2:$G$50000,$C26,缺陷明细!$J$2:$J$50000,"运维测试",缺陷明细!$K$2:$K$50000,"严重",缺陷明细!$AA$2:$AA$50000,"&lt;&gt;丢弃",缺陷明细!$AA$2:$AA$50000,"&lt;&gt;设计如此",缺陷明细!$AA$2:$AA$50000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51"/>
    </row>
    <row r="27" spans="1:37">
      <c r="A27">
        <v>23</v>
      </c>
      <c r="B27" s="57"/>
      <c r="C27" s="58"/>
      <c r="D27" s="84"/>
      <c r="E27" s="82"/>
      <c r="F27" s="165"/>
      <c r="G27" s="166"/>
      <c r="H27" s="305">
        <f>COUNTIFS(缺陷明细!$A$2:$A$50000,$B$4,缺陷明细!$G$2:$G$50000,$C27,缺陷明细!$J$2:$J$50000,"评审",缺陷明细!$AA$2:$AA$50000,"&lt;&gt;丢弃",缺陷明细!$AA$2:$AA$50000,"&lt;&gt;设计如此",缺陷明细!$AA$2:$AA$50000,"&lt;&gt;重复Bug")</f>
        <v>0</v>
      </c>
      <c r="I27" s="161">
        <f>COUNTIFS(缺陷明细!$A$2:$A$50000,$B$4,缺陷明细!$G$2:$G$50000,$C27,缺陷明细!$Q$2:$Q$50000,"已关闭",缺陷明细!$J$2:$J$50000,"评审")</f>
        <v>0</v>
      </c>
      <c r="J27" s="161">
        <f>COUNTIFS(缺陷明细!$A$2:$A$50000,$B$4,缺陷明细!$G$2:$G$50000,$C27,缺陷明细!$J$2:$J$50000,"单元测试",缺陷明细!$AA$2:$AA$50000,"&lt;&gt;丢弃",缺陷明细!$AA$2:$AA$50000,"&lt;&gt;设计如此",缺陷明细!$AA$2:$AA$50000,"&lt;&gt;重复Bug")</f>
        <v>0</v>
      </c>
      <c r="K27" s="162">
        <f>COUNTIFS(缺陷明细!$A$2:$A$50000,$B$4,缺陷明细!$G$2:$G$50000,$C27,缺陷明细!$Q$2:$Q$50000,"已关闭",缺陷明细!$J$2:$J$50000,"单元测试")</f>
        <v>0</v>
      </c>
      <c r="L27" s="163"/>
      <c r="M27" s="164"/>
      <c r="N27" s="72">
        <f>COUNTIFS(缺陷明细!$A$2:$A$50000,$B$4,缺陷明细!$G$2:$G$50000,$C27,缺陷明细!$J$2:$J$50000,"系统测试案例评审",缺陷明细!$AA$2:$AA$50000,"&lt;&gt;丢弃",缺陷明细!$AA$2:$AA$50000,"&lt;&gt;设计如此",缺陷明细!$AA$2:$AA$50000,"&lt;&gt;重复Bug")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COUNTIFS(缺陷明细!$A$2:$A$50000,$B$4,缺陷明细!$G$2:$G$50000,$C27,缺陷明细!$J$2:$J$50000,"系统测试",缺陷明细!$AA$2:$AA$50000,"&lt;&gt;丢弃",缺陷明细!$AA$2:$AA$50000,"&lt;&gt;设计如此",缺陷明细!$AA$2:$AA$50000,"&lt;&gt;重复Bug")</f>
        <v>0</v>
      </c>
      <c r="Q27" s="72">
        <f>COUNTIFS(缺陷明细!$A$2:$A$50000,$B$4,缺陷明细!$G$2:$G$50000,$C27,缺陷明细!$Q$2:$Q$50000,"已关闭",缺陷明细!$J$2:$J$50000,"系统测试")</f>
        <v>0</v>
      </c>
      <c r="R27" s="72">
        <f>COUNTIFS(缺陷明细!$A$2:$A$50000,$B$4,缺陷明细!$G$2:$G$50000,$C27,缺陷明细!$AA$2:$AA$50000,"丢弃",缺陷明细!$J$2:$J$50000,"系统测试")+COUNTIFS(缺陷明细!$A$2:$A$50000,$B$4,缺陷明细!$G$2:$G$50000,$C27,缺陷明细!$AA$2:$AA$50000,"设计如此",缺陷明细!$J$2:$J$50000,"系统测试"+COUNTIFS(缺陷明细!$A$2:$A$50000,$B$4,缺陷明细!$G$2:$G$50000,$C27,缺陷明细!$AA$2:$AA$50000,"重复Bug",缺陷明细!$J$2:$J$50000,"系统测试"))</f>
        <v>0</v>
      </c>
      <c r="S27" s="72">
        <f>COUNTIFS(缺陷明细!$A$2:$A$50000,$B$4,缺陷明细!$G$2:$G$50000,$C27,缺陷明细!$J$2:$J$50000,"系统测试",缺陷明细!$K$2:$K$50000,"致命",缺陷明细!$AA$2:$AA$50000,"&lt;&gt;丢弃",缺陷明细!$AA$2:$AA$50000,"&lt;&gt;设计如此",缺陷明细!$AA$2:$AA$50000,"&lt;&gt;重复Bug")+COUNTIFS(缺陷明细!$A$2:$A$50000,$B$4,缺陷明细!$G$2:$G$50000,$C27,缺陷明细!$J$2:$J$50000,"系统测试",缺陷明细!$K$2:$K$50000,"严重",缺陷明细!$AA$2:$AA$50000,"&lt;&gt;丢弃",缺陷明细!$AA$2:$AA$50000,"&lt;&gt;设计如此",缺陷明细!$AA$2:$AA$50000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COUNTIFS(缺陷明细!$A$2:$A$50000,$B$4,缺陷明细!$G$2:$G$50000,$C27,缺陷明细!$J$2:$J$50000,"验收测试",缺陷明细!$AA$2:$AA$50000,"&lt;&gt;丢弃",缺陷明细!$AA$2:$AA$50000,"&lt;&gt;设计如此",缺陷明细!$AA$2:$AA$50000,"&lt;&gt;重复Bug")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A$2:$AA$50000,"&lt;&gt;丢弃",缺陷明细!$AA$2:$AA$50000,"&lt;&gt;设计如此",缺陷明细!$AA$2:$AA$50000,"&lt;&gt;重复Bug")+COUNTIFS(缺陷明细!$A$2:$A$50000,$B$4,缺陷明细!$G$2:$G$50000,$C27,缺陷明细!$J$2:$J$50000,"验收测试",缺陷明细!$K$2:$K$50000,"严重",缺陷明细!$AA$2:$AA$50000,"&lt;&gt;丢弃",缺陷明细!$AA$2:$AA$50000,"&lt;&gt;设计如此",缺陷明细!$AA$2:$AA$50000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COUNTIFS(缺陷明细!$A$2:$A$50000,$B$4,缺陷明细!$G$2:$G$50000,$C27,缺陷明细!$J$2:$J$50000,"运维测试",缺陷明细!$AA$2:$AA$50000,"&lt;&gt;丢弃",缺陷明细!$AA$2:$AA$50000,"&lt;&gt;设计如此",缺陷明细!$AA$2:$AA$50000,"&lt;&gt;重复Bug")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A$2:$AA$50000,"&lt;&gt;丢弃",缺陷明细!$AA$2:$AA$50000,"&lt;&gt;设计如此",缺陷明细!$AA$2:$AA$50000,"&lt;&gt;重复Bug")+COUNTIFS(缺陷明细!$A$2:$A$50000,$B$4,缺陷明细!$G$2:$G$50000,$C27,缺陷明细!$J$2:$J$50000,"运维测试",缺陷明细!$K$2:$K$50000,"严重",缺陷明细!$AA$2:$AA$50000,"&lt;&gt;丢弃",缺陷明细!$AA$2:$AA$50000,"&lt;&gt;设计如此",缺陷明细!$AA$2:$AA$50000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51"/>
    </row>
    <row r="28" spans="1:37">
      <c r="A28">
        <v>24</v>
      </c>
      <c r="B28" s="57"/>
      <c r="C28" s="58"/>
      <c r="D28" s="84"/>
      <c r="E28" s="82"/>
      <c r="F28" s="165"/>
      <c r="G28" s="166"/>
      <c r="H28" s="305">
        <f>COUNTIFS(缺陷明细!$A$2:$A$50000,$B$4,缺陷明细!$G$2:$G$50000,$C28,缺陷明细!$J$2:$J$50000,"评审",缺陷明细!$AA$2:$AA$50000,"&lt;&gt;丢弃",缺陷明细!$AA$2:$AA$50000,"&lt;&gt;设计如此",缺陷明细!$AA$2:$AA$50000,"&lt;&gt;重复Bug")</f>
        <v>0</v>
      </c>
      <c r="I28" s="161">
        <f>COUNTIFS(缺陷明细!$A$2:$A$50000,$B$4,缺陷明细!$G$2:$G$50000,$C28,缺陷明细!$Q$2:$Q$50000,"已关闭",缺陷明细!$J$2:$J$50000,"评审")</f>
        <v>0</v>
      </c>
      <c r="J28" s="161">
        <f>COUNTIFS(缺陷明细!$A$2:$A$50000,$B$4,缺陷明细!$G$2:$G$50000,$C28,缺陷明细!$J$2:$J$50000,"单元测试",缺陷明细!$AA$2:$AA$50000,"&lt;&gt;丢弃",缺陷明细!$AA$2:$AA$50000,"&lt;&gt;设计如此",缺陷明细!$AA$2:$AA$50000,"&lt;&gt;重复Bug")</f>
        <v>0</v>
      </c>
      <c r="K28" s="162">
        <f>COUNTIFS(缺陷明细!$A$2:$A$50000,$B$4,缺陷明细!$G$2:$G$50000,$C28,缺陷明细!$Q$2:$Q$50000,"已关闭",缺陷明细!$J$2:$J$50000,"单元测试")</f>
        <v>0</v>
      </c>
      <c r="L28" s="163"/>
      <c r="M28" s="164"/>
      <c r="N28" s="72">
        <f>COUNTIFS(缺陷明细!$A$2:$A$50000,$B$4,缺陷明细!$G$2:$G$50000,$C28,缺陷明细!$J$2:$J$50000,"系统测试案例评审",缺陷明细!$AA$2:$AA$50000,"&lt;&gt;丢弃",缺陷明细!$AA$2:$AA$50000,"&lt;&gt;设计如此",缺陷明细!$AA$2:$AA$50000,"&lt;&gt;重复Bug")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COUNTIFS(缺陷明细!$A$2:$A$50000,$B$4,缺陷明细!$G$2:$G$50000,$C28,缺陷明细!$J$2:$J$50000,"系统测试",缺陷明细!$AA$2:$AA$50000,"&lt;&gt;丢弃",缺陷明细!$AA$2:$AA$50000,"&lt;&gt;设计如此",缺陷明细!$AA$2:$AA$50000,"&lt;&gt;重复Bug")</f>
        <v>0</v>
      </c>
      <c r="Q28" s="72">
        <f>COUNTIFS(缺陷明细!$A$2:$A$50000,$B$4,缺陷明细!$G$2:$G$50000,$C28,缺陷明细!$Q$2:$Q$50000,"已关闭",缺陷明细!$J$2:$J$50000,"系统测试")</f>
        <v>0</v>
      </c>
      <c r="R28" s="72">
        <f>COUNTIFS(缺陷明细!$A$2:$A$50000,$B$4,缺陷明细!$G$2:$G$50000,$C28,缺陷明细!$AA$2:$AA$50000,"丢弃",缺陷明细!$J$2:$J$50000,"系统测试")+COUNTIFS(缺陷明细!$A$2:$A$50000,$B$4,缺陷明细!$G$2:$G$50000,$C28,缺陷明细!$AA$2:$AA$50000,"设计如此",缺陷明细!$J$2:$J$50000,"系统测试"+COUNTIFS(缺陷明细!$A$2:$A$50000,$B$4,缺陷明细!$G$2:$G$50000,$C28,缺陷明细!$AA$2:$AA$50000,"重复Bug",缺陷明细!$J$2:$J$50000,"系统测试"))</f>
        <v>0</v>
      </c>
      <c r="S28" s="72">
        <f>COUNTIFS(缺陷明细!$A$2:$A$50000,$B$4,缺陷明细!$G$2:$G$50000,$C28,缺陷明细!$J$2:$J$50000,"系统测试",缺陷明细!$K$2:$K$50000,"致命",缺陷明细!$AA$2:$AA$50000,"&lt;&gt;丢弃",缺陷明细!$AA$2:$AA$50000,"&lt;&gt;设计如此",缺陷明细!$AA$2:$AA$50000,"&lt;&gt;重复Bug")+COUNTIFS(缺陷明细!$A$2:$A$50000,$B$4,缺陷明细!$G$2:$G$50000,$C28,缺陷明细!$J$2:$J$50000,"系统测试",缺陷明细!$K$2:$K$50000,"严重",缺陷明细!$AA$2:$AA$50000,"&lt;&gt;丢弃",缺陷明细!$AA$2:$AA$50000,"&lt;&gt;设计如此",缺陷明细!$AA$2:$AA$50000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COUNTIFS(缺陷明细!$A$2:$A$50000,$B$4,缺陷明细!$G$2:$G$50000,$C28,缺陷明细!$J$2:$J$50000,"验收测试",缺陷明细!$AA$2:$AA$50000,"&lt;&gt;丢弃",缺陷明细!$AA$2:$AA$50000,"&lt;&gt;设计如此",缺陷明细!$AA$2:$AA$50000,"&lt;&gt;重复Bug")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A$2:$AA$50000,"&lt;&gt;丢弃",缺陷明细!$AA$2:$AA$50000,"&lt;&gt;设计如此",缺陷明细!$AA$2:$AA$50000,"&lt;&gt;重复Bug")+COUNTIFS(缺陷明细!$A$2:$A$50000,$B$4,缺陷明细!$G$2:$G$50000,$C28,缺陷明细!$J$2:$J$50000,"验收测试",缺陷明细!$K$2:$K$50000,"严重",缺陷明细!$AA$2:$AA$50000,"&lt;&gt;丢弃",缺陷明细!$AA$2:$AA$50000,"&lt;&gt;设计如此",缺陷明细!$AA$2:$AA$50000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COUNTIFS(缺陷明细!$A$2:$A$50000,$B$4,缺陷明细!$G$2:$G$50000,$C28,缺陷明细!$J$2:$J$50000,"运维测试",缺陷明细!$AA$2:$AA$50000,"&lt;&gt;丢弃",缺陷明细!$AA$2:$AA$50000,"&lt;&gt;设计如此",缺陷明细!$AA$2:$AA$50000,"&lt;&gt;重复Bug")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A$2:$AA$50000,"&lt;&gt;丢弃",缺陷明细!$AA$2:$AA$50000,"&lt;&gt;设计如此",缺陷明细!$AA$2:$AA$50000,"&lt;&gt;重复Bug")+COUNTIFS(缺陷明细!$A$2:$A$50000,$B$4,缺陷明细!$G$2:$G$50000,$C28,缺陷明细!$J$2:$J$50000,"运维测试",缺陷明细!$K$2:$K$50000,"严重",缺陷明细!$AA$2:$AA$50000,"&lt;&gt;丢弃",缺陷明细!$AA$2:$AA$50000,"&lt;&gt;设计如此",缺陷明细!$AA$2:$AA$50000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51"/>
    </row>
    <row r="29" spans="1:37">
      <c r="A29">
        <v>25</v>
      </c>
      <c r="B29" s="57"/>
      <c r="C29" s="58"/>
      <c r="D29" s="84"/>
      <c r="E29" s="82"/>
      <c r="F29" s="165"/>
      <c r="G29" s="166"/>
      <c r="H29" s="305">
        <f>COUNTIFS(缺陷明细!$A$2:$A$50000,$B$4,缺陷明细!$G$2:$G$50000,$C29,缺陷明细!$J$2:$J$50000,"评审",缺陷明细!$AA$2:$AA$50000,"&lt;&gt;丢弃",缺陷明细!$AA$2:$AA$50000,"&lt;&gt;设计如此",缺陷明细!$AA$2:$AA$50000,"&lt;&gt;重复Bug")</f>
        <v>0</v>
      </c>
      <c r="I29" s="161">
        <f>COUNTIFS(缺陷明细!$A$2:$A$50000,$B$4,缺陷明细!$G$2:$G$50000,$C29,缺陷明细!$Q$2:$Q$50000,"已关闭",缺陷明细!$J$2:$J$50000,"评审")</f>
        <v>0</v>
      </c>
      <c r="J29" s="161">
        <f>COUNTIFS(缺陷明细!$A$2:$A$50000,$B$4,缺陷明细!$G$2:$G$50000,$C29,缺陷明细!$J$2:$J$50000,"单元测试",缺陷明细!$AA$2:$AA$50000,"&lt;&gt;丢弃",缺陷明细!$AA$2:$AA$50000,"&lt;&gt;设计如此",缺陷明细!$AA$2:$AA$50000,"&lt;&gt;重复Bug")</f>
        <v>0</v>
      </c>
      <c r="K29" s="162">
        <f>COUNTIFS(缺陷明细!$A$2:$A$50000,$B$4,缺陷明细!$G$2:$G$50000,$C29,缺陷明细!$Q$2:$Q$50000,"已关闭",缺陷明细!$J$2:$J$50000,"单元测试")</f>
        <v>0</v>
      </c>
      <c r="L29" s="163"/>
      <c r="M29" s="164"/>
      <c r="N29" s="72">
        <f>COUNTIFS(缺陷明细!$A$2:$A$50000,$B$4,缺陷明细!$G$2:$G$50000,$C29,缺陷明细!$J$2:$J$50000,"系统测试案例评审",缺陷明细!$AA$2:$AA$50000,"&lt;&gt;丢弃",缺陷明细!$AA$2:$AA$50000,"&lt;&gt;设计如此",缺陷明细!$AA$2:$AA$50000,"&lt;&gt;重复Bug")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COUNTIFS(缺陷明细!$A$2:$A$50000,$B$4,缺陷明细!$G$2:$G$50000,$C29,缺陷明细!$J$2:$J$50000,"系统测试",缺陷明细!$AA$2:$AA$50000,"&lt;&gt;丢弃",缺陷明细!$AA$2:$AA$50000,"&lt;&gt;设计如此",缺陷明细!$AA$2:$AA$50000,"&lt;&gt;重复Bug")</f>
        <v>0</v>
      </c>
      <c r="Q29" s="72">
        <f>COUNTIFS(缺陷明细!$A$2:$A$50000,$B$4,缺陷明细!$G$2:$G$50000,$C29,缺陷明细!$Q$2:$Q$50000,"已关闭",缺陷明细!$J$2:$J$50000,"系统测试")</f>
        <v>0</v>
      </c>
      <c r="R29" s="72">
        <f>COUNTIFS(缺陷明细!$A$2:$A$50000,$B$4,缺陷明细!$G$2:$G$50000,$C29,缺陷明细!$AA$2:$AA$50000,"丢弃",缺陷明细!$J$2:$J$50000,"系统测试")+COUNTIFS(缺陷明细!$A$2:$A$50000,$B$4,缺陷明细!$G$2:$G$50000,$C29,缺陷明细!$AA$2:$AA$50000,"设计如此",缺陷明细!$J$2:$J$50000,"系统测试"+COUNTIFS(缺陷明细!$A$2:$A$50000,$B$4,缺陷明细!$G$2:$G$50000,$C29,缺陷明细!$AA$2:$AA$50000,"重复Bug",缺陷明细!$J$2:$J$50000,"系统测试"))</f>
        <v>0</v>
      </c>
      <c r="S29" s="72">
        <f>COUNTIFS(缺陷明细!$A$2:$A$50000,$B$4,缺陷明细!$G$2:$G$50000,$C29,缺陷明细!$J$2:$J$50000,"系统测试",缺陷明细!$K$2:$K$50000,"致命",缺陷明细!$AA$2:$AA$50000,"&lt;&gt;丢弃",缺陷明细!$AA$2:$AA$50000,"&lt;&gt;设计如此",缺陷明细!$AA$2:$AA$50000,"&lt;&gt;重复Bug")+COUNTIFS(缺陷明细!$A$2:$A$50000,$B$4,缺陷明细!$G$2:$G$50000,$C29,缺陷明细!$J$2:$J$50000,"系统测试",缺陷明细!$K$2:$K$50000,"严重",缺陷明细!$AA$2:$AA$50000,"&lt;&gt;丢弃",缺陷明细!$AA$2:$AA$50000,"&lt;&gt;设计如此",缺陷明细!$AA$2:$AA$50000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COUNTIFS(缺陷明细!$A$2:$A$50000,$B$4,缺陷明细!$G$2:$G$50000,$C29,缺陷明细!$J$2:$J$50000,"验收测试",缺陷明细!$AA$2:$AA$50000,"&lt;&gt;丢弃",缺陷明细!$AA$2:$AA$50000,"&lt;&gt;设计如此",缺陷明细!$AA$2:$AA$50000,"&lt;&gt;重复Bug")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A$2:$AA$50000,"&lt;&gt;丢弃",缺陷明细!$AA$2:$AA$50000,"&lt;&gt;设计如此",缺陷明细!$AA$2:$AA$50000,"&lt;&gt;重复Bug")+COUNTIFS(缺陷明细!$A$2:$A$50000,$B$4,缺陷明细!$G$2:$G$50000,$C29,缺陷明细!$J$2:$J$50000,"验收测试",缺陷明细!$K$2:$K$50000,"严重",缺陷明细!$AA$2:$AA$50000,"&lt;&gt;丢弃",缺陷明细!$AA$2:$AA$50000,"&lt;&gt;设计如此",缺陷明细!$AA$2:$AA$50000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COUNTIFS(缺陷明细!$A$2:$A$50000,$B$4,缺陷明细!$G$2:$G$50000,$C29,缺陷明细!$J$2:$J$50000,"运维测试",缺陷明细!$AA$2:$AA$50000,"&lt;&gt;丢弃",缺陷明细!$AA$2:$AA$50000,"&lt;&gt;设计如此",缺陷明细!$AA$2:$AA$50000,"&lt;&gt;重复Bug")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A$2:$AA$50000,"&lt;&gt;丢弃",缺陷明细!$AA$2:$AA$50000,"&lt;&gt;设计如此",缺陷明细!$AA$2:$AA$50000,"&lt;&gt;重复Bug")+COUNTIFS(缺陷明细!$A$2:$A$50000,$B$4,缺陷明细!$G$2:$G$50000,$C29,缺陷明细!$J$2:$J$50000,"运维测试",缺陷明细!$K$2:$K$50000,"严重",缺陷明细!$AA$2:$AA$50000,"&lt;&gt;丢弃",缺陷明细!$AA$2:$AA$50000,"&lt;&gt;设计如此",缺陷明细!$AA$2:$AA$50000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51"/>
    </row>
    <row r="30" spans="1:37">
      <c r="A30">
        <v>26</v>
      </c>
      <c r="B30" s="57"/>
      <c r="C30" s="58"/>
      <c r="D30" s="84"/>
      <c r="E30" s="82"/>
      <c r="F30" s="165"/>
      <c r="G30" s="166"/>
      <c r="H30" s="305">
        <f>COUNTIFS(缺陷明细!$A$2:$A$50000,$B$4,缺陷明细!$G$2:$G$50000,$C30,缺陷明细!$J$2:$J$50000,"评审",缺陷明细!$AA$2:$AA$50000,"&lt;&gt;丢弃",缺陷明细!$AA$2:$AA$50000,"&lt;&gt;设计如此",缺陷明细!$AA$2:$AA$50000,"&lt;&gt;重复Bug")</f>
        <v>0</v>
      </c>
      <c r="I30" s="161">
        <f>COUNTIFS(缺陷明细!$A$2:$A$50000,$B$4,缺陷明细!$G$2:$G$50000,$C30,缺陷明细!$Q$2:$Q$50000,"已关闭",缺陷明细!$J$2:$J$50000,"评审")</f>
        <v>0</v>
      </c>
      <c r="J30" s="161">
        <f>COUNTIFS(缺陷明细!$A$2:$A$50000,$B$4,缺陷明细!$G$2:$G$50000,$C30,缺陷明细!$J$2:$J$50000,"单元测试",缺陷明细!$AA$2:$AA$50000,"&lt;&gt;丢弃",缺陷明细!$AA$2:$AA$50000,"&lt;&gt;设计如此",缺陷明细!$AA$2:$AA$50000,"&lt;&gt;重复Bug")</f>
        <v>0</v>
      </c>
      <c r="K30" s="162">
        <f>COUNTIFS(缺陷明细!$A$2:$A$50000,$B$4,缺陷明细!$G$2:$G$50000,$C30,缺陷明细!$Q$2:$Q$50000,"已关闭",缺陷明细!$J$2:$J$50000,"单元测试")</f>
        <v>0</v>
      </c>
      <c r="L30" s="163"/>
      <c r="M30" s="164"/>
      <c r="N30" s="72">
        <f>COUNTIFS(缺陷明细!$A$2:$A$50000,$B$4,缺陷明细!$G$2:$G$50000,$C30,缺陷明细!$J$2:$J$50000,"系统测试案例评审",缺陷明细!$AA$2:$AA$50000,"&lt;&gt;丢弃",缺陷明细!$AA$2:$AA$50000,"&lt;&gt;设计如此",缺陷明细!$AA$2:$AA$50000,"&lt;&gt;重复Bug")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COUNTIFS(缺陷明细!$A$2:$A$50000,$B$4,缺陷明细!$G$2:$G$50000,$C30,缺陷明细!$J$2:$J$50000,"系统测试",缺陷明细!$AA$2:$AA$50000,"&lt;&gt;丢弃",缺陷明细!$AA$2:$AA$50000,"&lt;&gt;设计如此",缺陷明细!$AA$2:$AA$50000,"&lt;&gt;重复Bug")</f>
        <v>0</v>
      </c>
      <c r="Q30" s="72">
        <f>COUNTIFS(缺陷明细!$A$2:$A$50000,$B$4,缺陷明细!$G$2:$G$50000,$C30,缺陷明细!$Q$2:$Q$50000,"已关闭",缺陷明细!$J$2:$J$50000,"系统测试")</f>
        <v>0</v>
      </c>
      <c r="R30" s="72">
        <f>COUNTIFS(缺陷明细!$A$2:$A$50000,$B$4,缺陷明细!$G$2:$G$50000,$C30,缺陷明细!$AA$2:$AA$50000,"丢弃",缺陷明细!$J$2:$J$50000,"系统测试")+COUNTIFS(缺陷明细!$A$2:$A$50000,$B$4,缺陷明细!$G$2:$G$50000,$C30,缺陷明细!$AA$2:$AA$50000,"设计如此",缺陷明细!$J$2:$J$50000,"系统测试"+COUNTIFS(缺陷明细!$A$2:$A$50000,$B$4,缺陷明细!$G$2:$G$50000,$C30,缺陷明细!$AA$2:$AA$50000,"重复Bug",缺陷明细!$J$2:$J$50000,"系统测试"))</f>
        <v>0</v>
      </c>
      <c r="S30" s="72">
        <f>COUNTIFS(缺陷明细!$A$2:$A$50000,$B$4,缺陷明细!$G$2:$G$50000,$C30,缺陷明细!$J$2:$J$50000,"系统测试",缺陷明细!$K$2:$K$50000,"致命",缺陷明细!$AA$2:$AA$50000,"&lt;&gt;丢弃",缺陷明细!$AA$2:$AA$50000,"&lt;&gt;设计如此",缺陷明细!$AA$2:$AA$50000,"&lt;&gt;重复Bug")+COUNTIFS(缺陷明细!$A$2:$A$50000,$B$4,缺陷明细!$G$2:$G$50000,$C30,缺陷明细!$J$2:$J$50000,"系统测试",缺陷明细!$K$2:$K$50000,"严重",缺陷明细!$AA$2:$AA$50000,"&lt;&gt;丢弃",缺陷明细!$AA$2:$AA$50000,"&lt;&gt;设计如此",缺陷明细!$AA$2:$AA$50000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COUNTIFS(缺陷明细!$A$2:$A$50000,$B$4,缺陷明细!$G$2:$G$50000,$C30,缺陷明细!$J$2:$J$50000,"验收测试",缺陷明细!$AA$2:$AA$50000,"&lt;&gt;丢弃",缺陷明细!$AA$2:$AA$50000,"&lt;&gt;设计如此",缺陷明细!$AA$2:$AA$50000,"&lt;&gt;重复Bug")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A$2:$AA$50000,"&lt;&gt;丢弃",缺陷明细!$AA$2:$AA$50000,"&lt;&gt;设计如此",缺陷明细!$AA$2:$AA$50000,"&lt;&gt;重复Bug")+COUNTIFS(缺陷明细!$A$2:$A$50000,$B$4,缺陷明细!$G$2:$G$50000,$C30,缺陷明细!$J$2:$J$50000,"验收测试",缺陷明细!$K$2:$K$50000,"严重",缺陷明细!$AA$2:$AA$50000,"&lt;&gt;丢弃",缺陷明细!$AA$2:$AA$50000,"&lt;&gt;设计如此",缺陷明细!$AA$2:$AA$50000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COUNTIFS(缺陷明细!$A$2:$A$50000,$B$4,缺陷明细!$G$2:$G$50000,$C30,缺陷明细!$J$2:$J$50000,"运维测试",缺陷明细!$AA$2:$AA$50000,"&lt;&gt;丢弃",缺陷明细!$AA$2:$AA$50000,"&lt;&gt;设计如此",缺陷明细!$AA$2:$AA$50000,"&lt;&gt;重复Bug")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A$2:$AA$50000,"&lt;&gt;丢弃",缺陷明细!$AA$2:$AA$50000,"&lt;&gt;设计如此",缺陷明细!$AA$2:$AA$50000,"&lt;&gt;重复Bug")+COUNTIFS(缺陷明细!$A$2:$A$50000,$B$4,缺陷明细!$G$2:$G$50000,$C30,缺陷明细!$J$2:$J$50000,"运维测试",缺陷明细!$K$2:$K$50000,"严重",缺陷明细!$AA$2:$AA$50000,"&lt;&gt;丢弃",缺陷明细!$AA$2:$AA$50000,"&lt;&gt;设计如此",缺陷明细!$AA$2:$AA$50000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51"/>
    </row>
    <row r="31" spans="1:37">
      <c r="A31">
        <v>27</v>
      </c>
      <c r="B31" s="57"/>
      <c r="C31" s="58"/>
      <c r="D31" s="84"/>
      <c r="E31" s="82"/>
      <c r="F31" s="165"/>
      <c r="G31" s="166"/>
      <c r="H31" s="305">
        <f>COUNTIFS(缺陷明细!$A$2:$A$50000,$B$4,缺陷明细!$G$2:$G$50000,$C31,缺陷明细!$J$2:$J$50000,"评审",缺陷明细!$AA$2:$AA$50000,"&lt;&gt;丢弃",缺陷明细!$AA$2:$AA$50000,"&lt;&gt;设计如此",缺陷明细!$AA$2:$AA$50000,"&lt;&gt;重复Bug")</f>
        <v>0</v>
      </c>
      <c r="I31" s="161">
        <f>COUNTIFS(缺陷明细!$A$2:$A$50000,$B$4,缺陷明细!$G$2:$G$50000,$C31,缺陷明细!$Q$2:$Q$50000,"已关闭",缺陷明细!$J$2:$J$50000,"评审")</f>
        <v>0</v>
      </c>
      <c r="J31" s="161">
        <f>COUNTIFS(缺陷明细!$A$2:$A$50000,$B$4,缺陷明细!$G$2:$G$50000,$C31,缺陷明细!$J$2:$J$50000,"单元测试",缺陷明细!$AA$2:$AA$50000,"&lt;&gt;丢弃",缺陷明细!$AA$2:$AA$50000,"&lt;&gt;设计如此",缺陷明细!$AA$2:$AA$50000,"&lt;&gt;重复Bug")</f>
        <v>0</v>
      </c>
      <c r="K31" s="162">
        <f>COUNTIFS(缺陷明细!$A$2:$A$50000,$B$4,缺陷明细!$G$2:$G$50000,$C31,缺陷明细!$Q$2:$Q$50000,"已关闭",缺陷明细!$J$2:$J$50000,"单元测试")</f>
        <v>0</v>
      </c>
      <c r="L31" s="163"/>
      <c r="M31" s="164"/>
      <c r="N31" s="72">
        <f>COUNTIFS(缺陷明细!$A$2:$A$50000,$B$4,缺陷明细!$G$2:$G$50000,$C31,缺陷明细!$J$2:$J$50000,"系统测试案例评审",缺陷明细!$AA$2:$AA$50000,"&lt;&gt;丢弃",缺陷明细!$AA$2:$AA$50000,"&lt;&gt;设计如此",缺陷明细!$AA$2:$AA$50000,"&lt;&gt;重复Bug")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COUNTIFS(缺陷明细!$A$2:$A$50000,$B$4,缺陷明细!$G$2:$G$50000,$C31,缺陷明细!$J$2:$J$50000,"系统测试",缺陷明细!$AA$2:$AA$50000,"&lt;&gt;丢弃",缺陷明细!$AA$2:$AA$50000,"&lt;&gt;设计如此",缺陷明细!$AA$2:$AA$50000,"&lt;&gt;重复Bug")</f>
        <v>0</v>
      </c>
      <c r="Q31" s="72">
        <f>COUNTIFS(缺陷明细!$A$2:$A$50000,$B$4,缺陷明细!$G$2:$G$50000,$C31,缺陷明细!$Q$2:$Q$50000,"已关闭",缺陷明细!$J$2:$J$50000,"系统测试")</f>
        <v>0</v>
      </c>
      <c r="R31" s="72">
        <f>COUNTIFS(缺陷明细!$A$2:$A$50000,$B$4,缺陷明细!$G$2:$G$50000,$C31,缺陷明细!$AA$2:$AA$50000,"丢弃",缺陷明细!$J$2:$J$50000,"系统测试")+COUNTIFS(缺陷明细!$A$2:$A$50000,$B$4,缺陷明细!$G$2:$G$50000,$C31,缺陷明细!$AA$2:$AA$50000,"设计如此",缺陷明细!$J$2:$J$50000,"系统测试"+COUNTIFS(缺陷明细!$A$2:$A$50000,$B$4,缺陷明细!$G$2:$G$50000,$C31,缺陷明细!$AA$2:$AA$50000,"重复Bug",缺陷明细!$J$2:$J$50000,"系统测试"))</f>
        <v>0</v>
      </c>
      <c r="S31" s="72">
        <f>COUNTIFS(缺陷明细!$A$2:$A$50000,$B$4,缺陷明细!$G$2:$G$50000,$C31,缺陷明细!$J$2:$J$50000,"系统测试",缺陷明细!$K$2:$K$50000,"致命",缺陷明细!$AA$2:$AA$50000,"&lt;&gt;丢弃",缺陷明细!$AA$2:$AA$50000,"&lt;&gt;设计如此",缺陷明细!$AA$2:$AA$50000,"&lt;&gt;重复Bug")+COUNTIFS(缺陷明细!$A$2:$A$50000,$B$4,缺陷明细!$G$2:$G$50000,$C31,缺陷明细!$J$2:$J$50000,"系统测试",缺陷明细!$K$2:$K$50000,"严重",缺陷明细!$AA$2:$AA$50000,"&lt;&gt;丢弃",缺陷明细!$AA$2:$AA$50000,"&lt;&gt;设计如此",缺陷明细!$AA$2:$AA$50000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COUNTIFS(缺陷明细!$A$2:$A$50000,$B$4,缺陷明细!$G$2:$G$50000,$C31,缺陷明细!$J$2:$J$50000,"验收测试",缺陷明细!$AA$2:$AA$50000,"&lt;&gt;丢弃",缺陷明细!$AA$2:$AA$50000,"&lt;&gt;设计如此",缺陷明细!$AA$2:$AA$50000,"&lt;&gt;重复Bug")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A$2:$AA$50000,"&lt;&gt;丢弃",缺陷明细!$AA$2:$AA$50000,"&lt;&gt;设计如此",缺陷明细!$AA$2:$AA$50000,"&lt;&gt;重复Bug")+COUNTIFS(缺陷明细!$A$2:$A$50000,$B$4,缺陷明细!$G$2:$G$50000,$C31,缺陷明细!$J$2:$J$50000,"验收测试",缺陷明细!$K$2:$K$50000,"严重",缺陷明细!$AA$2:$AA$50000,"&lt;&gt;丢弃",缺陷明细!$AA$2:$AA$50000,"&lt;&gt;设计如此",缺陷明细!$AA$2:$AA$50000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COUNTIFS(缺陷明细!$A$2:$A$50000,$B$4,缺陷明细!$G$2:$G$50000,$C31,缺陷明细!$J$2:$J$50000,"运维测试",缺陷明细!$AA$2:$AA$50000,"&lt;&gt;丢弃",缺陷明细!$AA$2:$AA$50000,"&lt;&gt;设计如此",缺陷明细!$AA$2:$AA$50000,"&lt;&gt;重复Bug")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A$2:$AA$50000,"&lt;&gt;丢弃",缺陷明细!$AA$2:$AA$50000,"&lt;&gt;设计如此",缺陷明细!$AA$2:$AA$50000,"&lt;&gt;重复Bug")+COUNTIFS(缺陷明细!$A$2:$A$50000,$B$4,缺陷明细!$G$2:$G$50000,$C31,缺陷明细!$J$2:$J$50000,"运维测试",缺陷明细!$K$2:$K$50000,"严重",缺陷明细!$AA$2:$AA$50000,"&lt;&gt;丢弃",缺陷明细!$AA$2:$AA$50000,"&lt;&gt;设计如此",缺陷明细!$AA$2:$AA$50000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51"/>
    </row>
    <row r="32" spans="1:37">
      <c r="A32">
        <v>28</v>
      </c>
      <c r="B32" s="57"/>
      <c r="C32" s="58"/>
      <c r="D32" s="84"/>
      <c r="E32" s="82"/>
      <c r="F32" s="165"/>
      <c r="G32" s="166"/>
      <c r="H32" s="305">
        <f>COUNTIFS(缺陷明细!$A$2:$A$50000,$B$4,缺陷明细!$G$2:$G$50000,$C32,缺陷明细!$J$2:$J$50000,"评审",缺陷明细!$AA$2:$AA$50000,"&lt;&gt;丢弃",缺陷明细!$AA$2:$AA$50000,"&lt;&gt;设计如此",缺陷明细!$AA$2:$AA$50000,"&lt;&gt;重复Bug")</f>
        <v>0</v>
      </c>
      <c r="I32" s="161">
        <f>COUNTIFS(缺陷明细!$A$2:$A$50000,$B$4,缺陷明细!$G$2:$G$50000,$C32,缺陷明细!$Q$2:$Q$50000,"已关闭",缺陷明细!$J$2:$J$50000,"评审")</f>
        <v>0</v>
      </c>
      <c r="J32" s="161">
        <f>COUNTIFS(缺陷明细!$A$2:$A$50000,$B$4,缺陷明细!$G$2:$G$50000,$C32,缺陷明细!$J$2:$J$50000,"单元测试",缺陷明细!$AA$2:$AA$50000,"&lt;&gt;丢弃",缺陷明细!$AA$2:$AA$50000,"&lt;&gt;设计如此",缺陷明细!$AA$2:$AA$50000,"&lt;&gt;重复Bug")</f>
        <v>0</v>
      </c>
      <c r="K32" s="162">
        <f>COUNTIFS(缺陷明细!$A$2:$A$50000,$B$4,缺陷明细!$G$2:$G$50000,$C32,缺陷明细!$Q$2:$Q$50000,"已关闭",缺陷明细!$J$2:$J$50000,"单元测试")</f>
        <v>0</v>
      </c>
      <c r="L32" s="163"/>
      <c r="M32" s="164"/>
      <c r="N32" s="72">
        <f>COUNTIFS(缺陷明细!$A$2:$A$50000,$B$4,缺陷明细!$G$2:$G$50000,$C32,缺陷明细!$J$2:$J$50000,"系统测试案例评审",缺陷明细!$AA$2:$AA$50000,"&lt;&gt;丢弃",缺陷明细!$AA$2:$AA$50000,"&lt;&gt;设计如此",缺陷明细!$AA$2:$AA$50000,"&lt;&gt;重复Bug")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COUNTIFS(缺陷明细!$A$2:$A$50000,$B$4,缺陷明细!$G$2:$G$50000,$C32,缺陷明细!$J$2:$J$50000,"系统测试",缺陷明细!$AA$2:$AA$50000,"&lt;&gt;丢弃",缺陷明细!$AA$2:$AA$50000,"&lt;&gt;设计如此",缺陷明细!$AA$2:$AA$50000,"&lt;&gt;重复Bug")</f>
        <v>0</v>
      </c>
      <c r="Q32" s="72">
        <f>COUNTIFS(缺陷明细!$A$2:$A$50000,$B$4,缺陷明细!$G$2:$G$50000,$C32,缺陷明细!$Q$2:$Q$50000,"已关闭",缺陷明细!$J$2:$J$50000,"系统测试")</f>
        <v>0</v>
      </c>
      <c r="R32" s="72">
        <f>COUNTIFS(缺陷明细!$A$2:$A$50000,$B$4,缺陷明细!$G$2:$G$50000,$C32,缺陷明细!$AA$2:$AA$50000,"丢弃",缺陷明细!$J$2:$J$50000,"系统测试")+COUNTIFS(缺陷明细!$A$2:$A$50000,$B$4,缺陷明细!$G$2:$G$50000,$C32,缺陷明细!$AA$2:$AA$50000,"设计如此",缺陷明细!$J$2:$J$50000,"系统测试"+COUNTIFS(缺陷明细!$A$2:$A$50000,$B$4,缺陷明细!$G$2:$G$50000,$C32,缺陷明细!$AA$2:$AA$50000,"重复Bug",缺陷明细!$J$2:$J$50000,"系统测试"))</f>
        <v>0</v>
      </c>
      <c r="S32" s="72">
        <f>COUNTIFS(缺陷明细!$A$2:$A$50000,$B$4,缺陷明细!$G$2:$G$50000,$C32,缺陷明细!$J$2:$J$50000,"系统测试",缺陷明细!$K$2:$K$50000,"致命",缺陷明细!$AA$2:$AA$50000,"&lt;&gt;丢弃",缺陷明细!$AA$2:$AA$50000,"&lt;&gt;设计如此",缺陷明细!$AA$2:$AA$50000,"&lt;&gt;重复Bug")+COUNTIFS(缺陷明细!$A$2:$A$50000,$B$4,缺陷明细!$G$2:$G$50000,$C32,缺陷明细!$J$2:$J$50000,"系统测试",缺陷明细!$K$2:$K$50000,"严重",缺陷明细!$AA$2:$AA$50000,"&lt;&gt;丢弃",缺陷明细!$AA$2:$AA$50000,"&lt;&gt;设计如此",缺陷明细!$AA$2:$AA$50000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COUNTIFS(缺陷明细!$A$2:$A$50000,$B$4,缺陷明细!$G$2:$G$50000,$C32,缺陷明细!$J$2:$J$50000,"验收测试",缺陷明细!$AA$2:$AA$50000,"&lt;&gt;丢弃",缺陷明细!$AA$2:$AA$50000,"&lt;&gt;设计如此",缺陷明细!$AA$2:$AA$50000,"&lt;&gt;重复Bug")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A$2:$AA$50000,"&lt;&gt;丢弃",缺陷明细!$AA$2:$AA$50000,"&lt;&gt;设计如此",缺陷明细!$AA$2:$AA$50000,"&lt;&gt;重复Bug")+COUNTIFS(缺陷明细!$A$2:$A$50000,$B$4,缺陷明细!$G$2:$G$50000,$C32,缺陷明细!$J$2:$J$50000,"验收测试",缺陷明细!$K$2:$K$50000,"严重",缺陷明细!$AA$2:$AA$50000,"&lt;&gt;丢弃",缺陷明细!$AA$2:$AA$50000,"&lt;&gt;设计如此",缺陷明细!$AA$2:$AA$50000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COUNTIFS(缺陷明细!$A$2:$A$50000,$B$4,缺陷明细!$G$2:$G$50000,$C32,缺陷明细!$J$2:$J$50000,"运维测试",缺陷明细!$AA$2:$AA$50000,"&lt;&gt;丢弃",缺陷明细!$AA$2:$AA$50000,"&lt;&gt;设计如此",缺陷明细!$AA$2:$AA$50000,"&lt;&gt;重复Bug")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A$2:$AA$50000,"&lt;&gt;丢弃",缺陷明细!$AA$2:$AA$50000,"&lt;&gt;设计如此",缺陷明细!$AA$2:$AA$50000,"&lt;&gt;重复Bug")+COUNTIFS(缺陷明细!$A$2:$A$50000,$B$4,缺陷明细!$G$2:$G$50000,$C32,缺陷明细!$J$2:$J$50000,"运维测试",缺陷明细!$K$2:$K$50000,"严重",缺陷明细!$AA$2:$AA$50000,"&lt;&gt;丢弃",缺陷明细!$AA$2:$AA$50000,"&lt;&gt;设计如此",缺陷明细!$AA$2:$AA$50000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51"/>
    </row>
    <row r="33" spans="1:37">
      <c r="A33">
        <v>29</v>
      </c>
      <c r="B33" s="57"/>
      <c r="C33" s="58"/>
      <c r="D33" s="84"/>
      <c r="E33" s="82"/>
      <c r="F33" s="165"/>
      <c r="G33" s="166"/>
      <c r="H33" s="305">
        <f>COUNTIFS(缺陷明细!$A$2:$A$50000,$B$4,缺陷明细!$G$2:$G$50000,$C33,缺陷明细!$J$2:$J$50000,"评审",缺陷明细!$AA$2:$AA$50000,"&lt;&gt;丢弃",缺陷明细!$AA$2:$AA$50000,"&lt;&gt;设计如此",缺陷明细!$AA$2:$AA$50000,"&lt;&gt;重复Bug")</f>
        <v>0</v>
      </c>
      <c r="I33" s="161">
        <f>COUNTIFS(缺陷明细!$A$2:$A$50000,$B$4,缺陷明细!$G$2:$G$50000,$C33,缺陷明细!$Q$2:$Q$50000,"已关闭",缺陷明细!$J$2:$J$50000,"评审")</f>
        <v>0</v>
      </c>
      <c r="J33" s="161">
        <f>COUNTIFS(缺陷明细!$A$2:$A$50000,$B$4,缺陷明细!$G$2:$G$50000,$C33,缺陷明细!$J$2:$J$50000,"单元测试",缺陷明细!$AA$2:$AA$50000,"&lt;&gt;丢弃",缺陷明细!$AA$2:$AA$50000,"&lt;&gt;设计如此",缺陷明细!$AA$2:$AA$50000,"&lt;&gt;重复Bug")</f>
        <v>0</v>
      </c>
      <c r="K33" s="162">
        <f>COUNTIFS(缺陷明细!$A$2:$A$50000,$B$4,缺陷明细!$G$2:$G$50000,$C33,缺陷明细!$Q$2:$Q$50000,"已关闭",缺陷明细!$J$2:$J$50000,"单元测试")</f>
        <v>0</v>
      </c>
      <c r="L33" s="163"/>
      <c r="M33" s="164"/>
      <c r="N33" s="72">
        <f>COUNTIFS(缺陷明细!$A$2:$A$50000,$B$4,缺陷明细!$G$2:$G$50000,$C33,缺陷明细!$J$2:$J$50000,"系统测试案例评审",缺陷明细!$AA$2:$AA$50000,"&lt;&gt;丢弃",缺陷明细!$AA$2:$AA$50000,"&lt;&gt;设计如此",缺陷明细!$AA$2:$AA$50000,"&lt;&gt;重复Bug")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COUNTIFS(缺陷明细!$A$2:$A$50000,$B$4,缺陷明细!$G$2:$G$50000,$C33,缺陷明细!$J$2:$J$50000,"系统测试",缺陷明细!$AA$2:$AA$50000,"&lt;&gt;丢弃",缺陷明细!$AA$2:$AA$50000,"&lt;&gt;设计如此",缺陷明细!$AA$2:$AA$50000,"&lt;&gt;重复Bug")</f>
        <v>0</v>
      </c>
      <c r="Q33" s="72">
        <f>COUNTIFS(缺陷明细!$A$2:$A$50000,$B$4,缺陷明细!$G$2:$G$50000,$C33,缺陷明细!$Q$2:$Q$50000,"已关闭",缺陷明细!$J$2:$J$50000,"系统测试")</f>
        <v>0</v>
      </c>
      <c r="R33" s="72">
        <f>COUNTIFS(缺陷明细!$A$2:$A$50000,$B$4,缺陷明细!$G$2:$G$50000,$C33,缺陷明细!$AA$2:$AA$50000,"丢弃",缺陷明细!$J$2:$J$50000,"系统测试")+COUNTIFS(缺陷明细!$A$2:$A$50000,$B$4,缺陷明细!$G$2:$G$50000,$C33,缺陷明细!$AA$2:$AA$50000,"设计如此",缺陷明细!$J$2:$J$50000,"系统测试"+COUNTIFS(缺陷明细!$A$2:$A$50000,$B$4,缺陷明细!$G$2:$G$50000,$C33,缺陷明细!$AA$2:$AA$50000,"重复Bug",缺陷明细!$J$2:$J$50000,"系统测试"))</f>
        <v>0</v>
      </c>
      <c r="S33" s="72">
        <f>COUNTIFS(缺陷明细!$A$2:$A$50000,$B$4,缺陷明细!$G$2:$G$50000,$C33,缺陷明细!$J$2:$J$50000,"系统测试",缺陷明细!$K$2:$K$50000,"致命",缺陷明细!$AA$2:$AA$50000,"&lt;&gt;丢弃",缺陷明细!$AA$2:$AA$50000,"&lt;&gt;设计如此",缺陷明细!$AA$2:$AA$50000,"&lt;&gt;重复Bug")+COUNTIFS(缺陷明细!$A$2:$A$50000,$B$4,缺陷明细!$G$2:$G$50000,$C33,缺陷明细!$J$2:$J$50000,"系统测试",缺陷明细!$K$2:$K$50000,"严重",缺陷明细!$AA$2:$AA$50000,"&lt;&gt;丢弃",缺陷明细!$AA$2:$AA$50000,"&lt;&gt;设计如此",缺陷明细!$AA$2:$AA$50000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COUNTIFS(缺陷明细!$A$2:$A$50000,$B$4,缺陷明细!$G$2:$G$50000,$C33,缺陷明细!$J$2:$J$50000,"验收测试",缺陷明细!$AA$2:$AA$50000,"&lt;&gt;丢弃",缺陷明细!$AA$2:$AA$50000,"&lt;&gt;设计如此",缺陷明细!$AA$2:$AA$50000,"&lt;&gt;重复Bug")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A$2:$AA$50000,"&lt;&gt;丢弃",缺陷明细!$AA$2:$AA$50000,"&lt;&gt;设计如此",缺陷明细!$AA$2:$AA$50000,"&lt;&gt;重复Bug")+COUNTIFS(缺陷明细!$A$2:$A$50000,$B$4,缺陷明细!$G$2:$G$50000,$C33,缺陷明细!$J$2:$J$50000,"验收测试",缺陷明细!$K$2:$K$50000,"严重",缺陷明细!$AA$2:$AA$50000,"&lt;&gt;丢弃",缺陷明细!$AA$2:$AA$50000,"&lt;&gt;设计如此",缺陷明细!$AA$2:$AA$50000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COUNTIFS(缺陷明细!$A$2:$A$50000,$B$4,缺陷明细!$G$2:$G$50000,$C33,缺陷明细!$J$2:$J$50000,"运维测试",缺陷明细!$AA$2:$AA$50000,"&lt;&gt;丢弃",缺陷明细!$AA$2:$AA$50000,"&lt;&gt;设计如此",缺陷明细!$AA$2:$AA$50000,"&lt;&gt;重复Bug")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A$2:$AA$50000,"&lt;&gt;丢弃",缺陷明细!$AA$2:$AA$50000,"&lt;&gt;设计如此",缺陷明细!$AA$2:$AA$50000,"&lt;&gt;重复Bug")+COUNTIFS(缺陷明细!$A$2:$A$50000,$B$4,缺陷明细!$G$2:$G$50000,$C33,缺陷明细!$J$2:$J$50000,"运维测试",缺陷明细!$K$2:$K$50000,"严重",缺陷明细!$AA$2:$AA$50000,"&lt;&gt;丢弃",缺陷明细!$AA$2:$AA$50000,"&lt;&gt;设计如此",缺陷明细!$AA$2:$AA$50000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51"/>
    </row>
    <row r="34" spans="1:37">
      <c r="A34">
        <v>30</v>
      </c>
      <c r="B34" s="57"/>
      <c r="C34" s="58"/>
      <c r="D34" s="84"/>
      <c r="E34" s="82"/>
      <c r="F34" s="165"/>
      <c r="G34" s="166"/>
      <c r="H34" s="305">
        <f>COUNTIFS(缺陷明细!$A$2:$A$50000,$B$4,缺陷明细!$G$2:$G$50000,$C34,缺陷明细!$J$2:$J$50000,"评审",缺陷明细!$AA$2:$AA$50000,"&lt;&gt;丢弃",缺陷明细!$AA$2:$AA$50000,"&lt;&gt;设计如此",缺陷明细!$AA$2:$AA$50000,"&lt;&gt;重复Bug")</f>
        <v>0</v>
      </c>
      <c r="I34" s="161">
        <f>COUNTIFS(缺陷明细!$A$2:$A$50000,$B$4,缺陷明细!$G$2:$G$50000,$C34,缺陷明细!$Q$2:$Q$50000,"已关闭",缺陷明细!$J$2:$J$50000,"评审")</f>
        <v>0</v>
      </c>
      <c r="J34" s="161">
        <f>COUNTIFS(缺陷明细!$A$2:$A$50000,$B$4,缺陷明细!$G$2:$G$50000,$C34,缺陷明细!$J$2:$J$50000,"单元测试",缺陷明细!$AA$2:$AA$50000,"&lt;&gt;丢弃",缺陷明细!$AA$2:$AA$50000,"&lt;&gt;设计如此",缺陷明细!$AA$2:$AA$50000,"&lt;&gt;重复Bug")</f>
        <v>0</v>
      </c>
      <c r="K34" s="162">
        <f>COUNTIFS(缺陷明细!$A$2:$A$50000,$B$4,缺陷明细!$G$2:$G$50000,$C34,缺陷明细!$Q$2:$Q$50000,"已关闭",缺陷明细!$J$2:$J$50000,"单元测试")</f>
        <v>0</v>
      </c>
      <c r="L34" s="163"/>
      <c r="M34" s="164"/>
      <c r="N34" s="72">
        <f>COUNTIFS(缺陷明细!$A$2:$A$50000,$B$4,缺陷明细!$G$2:$G$50000,$C34,缺陷明细!$J$2:$J$50000,"系统测试案例评审",缺陷明细!$AA$2:$AA$50000,"&lt;&gt;丢弃",缺陷明细!$AA$2:$AA$50000,"&lt;&gt;设计如此",缺陷明细!$AA$2:$AA$50000,"&lt;&gt;重复Bug")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COUNTIFS(缺陷明细!$A$2:$A$50000,$B$4,缺陷明细!$G$2:$G$50000,$C34,缺陷明细!$J$2:$J$50000,"系统测试",缺陷明细!$AA$2:$AA$50000,"&lt;&gt;丢弃",缺陷明细!$AA$2:$AA$50000,"&lt;&gt;设计如此",缺陷明细!$AA$2:$AA$50000,"&lt;&gt;重复Bug")</f>
        <v>0</v>
      </c>
      <c r="Q34" s="72">
        <f>COUNTIFS(缺陷明细!$A$2:$A$50000,$B$4,缺陷明细!$G$2:$G$50000,$C34,缺陷明细!$Q$2:$Q$50000,"已关闭",缺陷明细!$J$2:$J$50000,"系统测试")</f>
        <v>0</v>
      </c>
      <c r="R34" s="72">
        <f>COUNTIFS(缺陷明细!$A$2:$A$50000,$B$4,缺陷明细!$G$2:$G$50000,$C34,缺陷明细!$AA$2:$AA$50000,"丢弃",缺陷明细!$J$2:$J$50000,"系统测试")+COUNTIFS(缺陷明细!$A$2:$A$50000,$B$4,缺陷明细!$G$2:$G$50000,$C34,缺陷明细!$AA$2:$AA$50000,"设计如此",缺陷明细!$J$2:$J$50000,"系统测试"+COUNTIFS(缺陷明细!$A$2:$A$50000,$B$4,缺陷明细!$G$2:$G$50000,$C34,缺陷明细!$AA$2:$AA$50000,"重复Bug",缺陷明细!$J$2:$J$50000,"系统测试"))</f>
        <v>0</v>
      </c>
      <c r="S34" s="72">
        <f>COUNTIFS(缺陷明细!$A$2:$A$50000,$B$4,缺陷明细!$G$2:$G$50000,$C34,缺陷明细!$J$2:$J$50000,"系统测试",缺陷明细!$K$2:$K$50000,"致命",缺陷明细!$AA$2:$AA$50000,"&lt;&gt;丢弃",缺陷明细!$AA$2:$AA$50000,"&lt;&gt;设计如此",缺陷明细!$AA$2:$AA$50000,"&lt;&gt;重复Bug")+COUNTIFS(缺陷明细!$A$2:$A$50000,$B$4,缺陷明细!$G$2:$G$50000,$C34,缺陷明细!$J$2:$J$50000,"系统测试",缺陷明细!$K$2:$K$50000,"严重",缺陷明细!$AA$2:$AA$50000,"&lt;&gt;丢弃",缺陷明细!$AA$2:$AA$50000,"&lt;&gt;设计如此",缺陷明细!$AA$2:$AA$50000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COUNTIFS(缺陷明细!$A$2:$A$50000,$B$4,缺陷明细!$G$2:$G$50000,$C34,缺陷明细!$J$2:$J$50000,"验收测试",缺陷明细!$AA$2:$AA$50000,"&lt;&gt;丢弃",缺陷明细!$AA$2:$AA$50000,"&lt;&gt;设计如此",缺陷明细!$AA$2:$AA$50000,"&lt;&gt;重复Bug")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A$2:$AA$50000,"&lt;&gt;丢弃",缺陷明细!$AA$2:$AA$50000,"&lt;&gt;设计如此",缺陷明细!$AA$2:$AA$50000,"&lt;&gt;重复Bug")+COUNTIFS(缺陷明细!$A$2:$A$50000,$B$4,缺陷明细!$G$2:$G$50000,$C34,缺陷明细!$J$2:$J$50000,"验收测试",缺陷明细!$K$2:$K$50000,"严重",缺陷明细!$AA$2:$AA$50000,"&lt;&gt;丢弃",缺陷明细!$AA$2:$AA$50000,"&lt;&gt;设计如此",缺陷明细!$AA$2:$AA$50000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COUNTIFS(缺陷明细!$A$2:$A$50000,$B$4,缺陷明细!$G$2:$G$50000,$C34,缺陷明细!$J$2:$J$50000,"运维测试",缺陷明细!$AA$2:$AA$50000,"&lt;&gt;丢弃",缺陷明细!$AA$2:$AA$50000,"&lt;&gt;设计如此",缺陷明细!$AA$2:$AA$50000,"&lt;&gt;重复Bug")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A$2:$AA$50000,"&lt;&gt;丢弃",缺陷明细!$AA$2:$AA$50000,"&lt;&gt;设计如此",缺陷明细!$AA$2:$AA$50000,"&lt;&gt;重复Bug")+COUNTIFS(缺陷明细!$A$2:$A$50000,$B$4,缺陷明细!$G$2:$G$50000,$C34,缺陷明细!$J$2:$J$50000,"运维测试",缺陷明细!$K$2:$K$50000,"严重",缺陷明细!$AA$2:$AA$50000,"&lt;&gt;丢弃",缺陷明细!$AA$2:$AA$50000,"&lt;&gt;设计如此",缺陷明细!$AA$2:$AA$50000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51"/>
    </row>
    <row r="35" spans="1:37">
      <c r="A35">
        <v>31</v>
      </c>
      <c r="B35" s="57"/>
      <c r="C35" s="58"/>
      <c r="D35" s="84"/>
      <c r="E35" s="82"/>
      <c r="F35" s="165"/>
      <c r="G35" s="166"/>
      <c r="H35" s="305">
        <f>COUNTIFS(缺陷明细!$A$2:$A$50000,$B$4,缺陷明细!$G$2:$G$50000,$C35,缺陷明细!$J$2:$J$50000,"评审",缺陷明细!$AA$2:$AA$50000,"&lt;&gt;丢弃",缺陷明细!$AA$2:$AA$50000,"&lt;&gt;设计如此",缺陷明细!$AA$2:$AA$50000,"&lt;&gt;重复Bug")</f>
        <v>0</v>
      </c>
      <c r="I35" s="161">
        <f>COUNTIFS(缺陷明细!$A$2:$A$50000,$B$4,缺陷明细!$G$2:$G$50000,$C35,缺陷明细!$Q$2:$Q$50000,"已关闭",缺陷明细!$J$2:$J$50000,"评审")</f>
        <v>0</v>
      </c>
      <c r="J35" s="161">
        <f>COUNTIFS(缺陷明细!$A$2:$A$50000,$B$4,缺陷明细!$G$2:$G$50000,$C35,缺陷明细!$J$2:$J$50000,"单元测试",缺陷明细!$AA$2:$AA$50000,"&lt;&gt;丢弃",缺陷明细!$AA$2:$AA$50000,"&lt;&gt;设计如此",缺陷明细!$AA$2:$AA$50000,"&lt;&gt;重复Bug")</f>
        <v>0</v>
      </c>
      <c r="K35" s="162">
        <f>COUNTIFS(缺陷明细!$A$2:$A$50000,$B$4,缺陷明细!$G$2:$G$50000,$C35,缺陷明细!$Q$2:$Q$50000,"已关闭",缺陷明细!$J$2:$J$50000,"单元测试")</f>
        <v>0</v>
      </c>
      <c r="L35" s="163"/>
      <c r="M35" s="164"/>
      <c r="N35" s="72">
        <f>COUNTIFS(缺陷明细!$A$2:$A$50000,$B$4,缺陷明细!$G$2:$G$50000,$C35,缺陷明细!$J$2:$J$50000,"系统测试案例评审",缺陷明细!$AA$2:$AA$50000,"&lt;&gt;丢弃",缺陷明细!$AA$2:$AA$50000,"&lt;&gt;设计如此",缺陷明细!$AA$2:$AA$50000,"&lt;&gt;重复Bug")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COUNTIFS(缺陷明细!$A$2:$A$50000,$B$4,缺陷明细!$G$2:$G$50000,$C35,缺陷明细!$J$2:$J$50000,"系统测试",缺陷明细!$AA$2:$AA$50000,"&lt;&gt;丢弃",缺陷明细!$AA$2:$AA$50000,"&lt;&gt;设计如此",缺陷明细!$AA$2:$AA$50000,"&lt;&gt;重复Bug")</f>
        <v>0</v>
      </c>
      <c r="Q35" s="72">
        <f>COUNTIFS(缺陷明细!$A$2:$A$50000,$B$4,缺陷明细!$G$2:$G$50000,$C35,缺陷明细!$Q$2:$Q$50000,"已关闭",缺陷明细!$J$2:$J$50000,"系统测试")</f>
        <v>0</v>
      </c>
      <c r="R35" s="72">
        <f>COUNTIFS(缺陷明细!$A$2:$A$50000,$B$4,缺陷明细!$G$2:$G$50000,$C35,缺陷明细!$AA$2:$AA$50000,"丢弃",缺陷明细!$J$2:$J$50000,"系统测试")+COUNTIFS(缺陷明细!$A$2:$A$50000,$B$4,缺陷明细!$G$2:$G$50000,$C35,缺陷明细!$AA$2:$AA$50000,"设计如此",缺陷明细!$J$2:$J$50000,"系统测试"+COUNTIFS(缺陷明细!$A$2:$A$50000,$B$4,缺陷明细!$G$2:$G$50000,$C35,缺陷明细!$AA$2:$AA$50000,"重复Bug",缺陷明细!$J$2:$J$50000,"系统测试"))</f>
        <v>0</v>
      </c>
      <c r="S35" s="72">
        <f>COUNTIFS(缺陷明细!$A$2:$A$50000,$B$4,缺陷明细!$G$2:$G$50000,$C35,缺陷明细!$J$2:$J$50000,"系统测试",缺陷明细!$K$2:$K$50000,"致命",缺陷明细!$AA$2:$AA$50000,"&lt;&gt;丢弃",缺陷明细!$AA$2:$AA$50000,"&lt;&gt;设计如此",缺陷明细!$AA$2:$AA$50000,"&lt;&gt;重复Bug")+COUNTIFS(缺陷明细!$A$2:$A$50000,$B$4,缺陷明细!$G$2:$G$50000,$C35,缺陷明细!$J$2:$J$50000,"系统测试",缺陷明细!$K$2:$K$50000,"严重",缺陷明细!$AA$2:$AA$50000,"&lt;&gt;丢弃",缺陷明细!$AA$2:$AA$50000,"&lt;&gt;设计如此",缺陷明细!$AA$2:$AA$50000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COUNTIFS(缺陷明细!$A$2:$A$50000,$B$4,缺陷明细!$G$2:$G$50000,$C35,缺陷明细!$J$2:$J$50000,"验收测试",缺陷明细!$AA$2:$AA$50000,"&lt;&gt;丢弃",缺陷明细!$AA$2:$AA$50000,"&lt;&gt;设计如此",缺陷明细!$AA$2:$AA$50000,"&lt;&gt;重复Bug")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A$2:$AA$50000,"&lt;&gt;丢弃",缺陷明细!$AA$2:$AA$50000,"&lt;&gt;设计如此",缺陷明细!$AA$2:$AA$50000,"&lt;&gt;重复Bug")+COUNTIFS(缺陷明细!$A$2:$A$50000,$B$4,缺陷明细!$G$2:$G$50000,$C35,缺陷明细!$J$2:$J$50000,"验收测试",缺陷明细!$K$2:$K$50000,"严重",缺陷明细!$AA$2:$AA$50000,"&lt;&gt;丢弃",缺陷明细!$AA$2:$AA$50000,"&lt;&gt;设计如此",缺陷明细!$AA$2:$AA$50000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COUNTIFS(缺陷明细!$A$2:$A$50000,$B$4,缺陷明细!$G$2:$G$50000,$C35,缺陷明细!$J$2:$J$50000,"运维测试",缺陷明细!$AA$2:$AA$50000,"&lt;&gt;丢弃",缺陷明细!$AA$2:$AA$50000,"&lt;&gt;设计如此",缺陷明细!$AA$2:$AA$50000,"&lt;&gt;重复Bug")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A$2:$AA$50000,"&lt;&gt;丢弃",缺陷明细!$AA$2:$AA$50000,"&lt;&gt;设计如此",缺陷明细!$AA$2:$AA$50000,"&lt;&gt;重复Bug")+COUNTIFS(缺陷明细!$A$2:$A$50000,$B$4,缺陷明细!$G$2:$G$50000,$C35,缺陷明细!$J$2:$J$50000,"运维测试",缺陷明细!$K$2:$K$50000,"严重",缺陷明细!$AA$2:$AA$50000,"&lt;&gt;丢弃",缺陷明细!$AA$2:$AA$50000,"&lt;&gt;设计如此",缺陷明细!$AA$2:$AA$50000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51"/>
    </row>
    <row r="36" spans="1:37">
      <c r="A36">
        <v>32</v>
      </c>
      <c r="B36" s="57"/>
      <c r="C36" s="58"/>
      <c r="D36" s="84"/>
      <c r="E36" s="82"/>
      <c r="F36" s="165"/>
      <c r="G36" s="166"/>
      <c r="H36" s="305">
        <f>COUNTIFS(缺陷明细!$A$2:$A$50000,$B$4,缺陷明细!$G$2:$G$50000,$C36,缺陷明细!$J$2:$J$50000,"评审",缺陷明细!$AA$2:$AA$50000,"&lt;&gt;丢弃",缺陷明细!$AA$2:$AA$50000,"&lt;&gt;设计如此",缺陷明细!$AA$2:$AA$50000,"&lt;&gt;重复Bug")</f>
        <v>0</v>
      </c>
      <c r="I36" s="161">
        <f>COUNTIFS(缺陷明细!$A$2:$A$50000,$B$4,缺陷明细!$G$2:$G$50000,$C36,缺陷明细!$Q$2:$Q$50000,"已关闭",缺陷明细!$J$2:$J$50000,"评审")</f>
        <v>0</v>
      </c>
      <c r="J36" s="161">
        <f>COUNTIFS(缺陷明细!$A$2:$A$50000,$B$4,缺陷明细!$G$2:$G$50000,$C36,缺陷明细!$J$2:$J$50000,"单元测试",缺陷明细!$AA$2:$AA$50000,"&lt;&gt;丢弃",缺陷明细!$AA$2:$AA$50000,"&lt;&gt;设计如此",缺陷明细!$AA$2:$AA$50000,"&lt;&gt;重复Bug")</f>
        <v>0</v>
      </c>
      <c r="K36" s="162">
        <f>COUNTIFS(缺陷明细!$A$2:$A$50000,$B$4,缺陷明细!$G$2:$G$50000,$C36,缺陷明细!$Q$2:$Q$50000,"已关闭",缺陷明细!$J$2:$J$50000,"单元测试")</f>
        <v>0</v>
      </c>
      <c r="L36" s="163"/>
      <c r="M36" s="164"/>
      <c r="N36" s="72">
        <f>COUNTIFS(缺陷明细!$A$2:$A$50000,$B$4,缺陷明细!$G$2:$G$50000,$C36,缺陷明细!$J$2:$J$50000,"系统测试案例评审",缺陷明细!$AA$2:$AA$50000,"&lt;&gt;丢弃",缺陷明细!$AA$2:$AA$50000,"&lt;&gt;设计如此",缺陷明细!$AA$2:$AA$50000,"&lt;&gt;重复Bug")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COUNTIFS(缺陷明细!$A$2:$A$50000,$B$4,缺陷明细!$G$2:$G$50000,$C36,缺陷明细!$J$2:$J$50000,"系统测试",缺陷明细!$AA$2:$AA$50000,"&lt;&gt;丢弃",缺陷明细!$AA$2:$AA$50000,"&lt;&gt;设计如此",缺陷明细!$AA$2:$AA$50000,"&lt;&gt;重复Bug")</f>
        <v>0</v>
      </c>
      <c r="Q36" s="72">
        <f>COUNTIFS(缺陷明细!$A$2:$A$50000,$B$4,缺陷明细!$G$2:$G$50000,$C36,缺陷明细!$Q$2:$Q$50000,"已关闭",缺陷明细!$J$2:$J$50000,"系统测试")</f>
        <v>0</v>
      </c>
      <c r="R36" s="72">
        <f>COUNTIFS(缺陷明细!$A$2:$A$50000,$B$4,缺陷明细!$G$2:$G$50000,$C36,缺陷明细!$AA$2:$AA$50000,"丢弃",缺陷明细!$J$2:$J$50000,"系统测试")+COUNTIFS(缺陷明细!$A$2:$A$50000,$B$4,缺陷明细!$G$2:$G$50000,$C36,缺陷明细!$AA$2:$AA$50000,"设计如此",缺陷明细!$J$2:$J$50000,"系统测试"+COUNTIFS(缺陷明细!$A$2:$A$50000,$B$4,缺陷明细!$G$2:$G$50000,$C36,缺陷明细!$AA$2:$AA$50000,"重复Bug",缺陷明细!$J$2:$J$50000,"系统测试"))</f>
        <v>0</v>
      </c>
      <c r="S36" s="72">
        <f>COUNTIFS(缺陷明细!$A$2:$A$50000,$B$4,缺陷明细!$G$2:$G$50000,$C36,缺陷明细!$J$2:$J$50000,"系统测试",缺陷明细!$K$2:$K$50000,"致命",缺陷明细!$AA$2:$AA$50000,"&lt;&gt;丢弃",缺陷明细!$AA$2:$AA$50000,"&lt;&gt;设计如此",缺陷明细!$AA$2:$AA$50000,"&lt;&gt;重复Bug")+COUNTIFS(缺陷明细!$A$2:$A$50000,$B$4,缺陷明细!$G$2:$G$50000,$C36,缺陷明细!$J$2:$J$50000,"系统测试",缺陷明细!$K$2:$K$50000,"严重",缺陷明细!$AA$2:$AA$50000,"&lt;&gt;丢弃",缺陷明细!$AA$2:$AA$50000,"&lt;&gt;设计如此",缺陷明细!$AA$2:$AA$50000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COUNTIFS(缺陷明细!$A$2:$A$50000,$B$4,缺陷明细!$G$2:$G$50000,$C36,缺陷明细!$J$2:$J$50000,"验收测试",缺陷明细!$AA$2:$AA$50000,"&lt;&gt;丢弃",缺陷明细!$AA$2:$AA$50000,"&lt;&gt;设计如此",缺陷明细!$AA$2:$AA$50000,"&lt;&gt;重复Bug")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A$2:$AA$50000,"&lt;&gt;丢弃",缺陷明细!$AA$2:$AA$50000,"&lt;&gt;设计如此",缺陷明细!$AA$2:$AA$50000,"&lt;&gt;重复Bug")+COUNTIFS(缺陷明细!$A$2:$A$50000,$B$4,缺陷明细!$G$2:$G$50000,$C36,缺陷明细!$J$2:$J$50000,"验收测试",缺陷明细!$K$2:$K$50000,"严重",缺陷明细!$AA$2:$AA$50000,"&lt;&gt;丢弃",缺陷明细!$AA$2:$AA$50000,"&lt;&gt;设计如此",缺陷明细!$AA$2:$AA$50000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COUNTIFS(缺陷明细!$A$2:$A$50000,$B$4,缺陷明细!$G$2:$G$50000,$C36,缺陷明细!$J$2:$J$50000,"运维测试",缺陷明细!$AA$2:$AA$50000,"&lt;&gt;丢弃",缺陷明细!$AA$2:$AA$50000,"&lt;&gt;设计如此",缺陷明细!$AA$2:$AA$50000,"&lt;&gt;重复Bug")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A$2:$AA$50000,"&lt;&gt;丢弃",缺陷明细!$AA$2:$AA$50000,"&lt;&gt;设计如此",缺陷明细!$AA$2:$AA$50000,"&lt;&gt;重复Bug")+COUNTIFS(缺陷明细!$A$2:$A$50000,$B$4,缺陷明细!$G$2:$G$50000,$C36,缺陷明细!$J$2:$J$50000,"运维测试",缺陷明细!$K$2:$K$50000,"严重",缺陷明细!$AA$2:$AA$50000,"&lt;&gt;丢弃",缺陷明细!$AA$2:$AA$50000,"&lt;&gt;设计如此",缺陷明细!$AA$2:$AA$50000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51"/>
    </row>
    <row r="37" spans="1:37">
      <c r="A37">
        <v>33</v>
      </c>
      <c r="B37" s="57"/>
      <c r="C37" s="58"/>
      <c r="D37" s="84"/>
      <c r="E37" s="82"/>
      <c r="F37" s="165"/>
      <c r="G37" s="166"/>
      <c r="H37" s="305">
        <f>COUNTIFS(缺陷明细!$A$2:$A$50000,$B$4,缺陷明细!$G$2:$G$50000,$C37,缺陷明细!$J$2:$J$50000,"评审",缺陷明细!$AA$2:$AA$50000,"&lt;&gt;丢弃",缺陷明细!$AA$2:$AA$50000,"&lt;&gt;设计如此",缺陷明细!$AA$2:$AA$50000,"&lt;&gt;重复Bug")</f>
        <v>0</v>
      </c>
      <c r="I37" s="161">
        <f>COUNTIFS(缺陷明细!$A$2:$A$50000,$B$4,缺陷明细!$G$2:$G$50000,$C37,缺陷明细!$Q$2:$Q$50000,"已关闭",缺陷明细!$J$2:$J$50000,"评审")</f>
        <v>0</v>
      </c>
      <c r="J37" s="161">
        <f>COUNTIFS(缺陷明细!$A$2:$A$50000,$B$4,缺陷明细!$G$2:$G$50000,$C37,缺陷明细!$J$2:$J$50000,"单元测试",缺陷明细!$AA$2:$AA$50000,"&lt;&gt;丢弃",缺陷明细!$AA$2:$AA$50000,"&lt;&gt;设计如此",缺陷明细!$AA$2:$AA$50000,"&lt;&gt;重复Bug")</f>
        <v>0</v>
      </c>
      <c r="K37" s="162">
        <f>COUNTIFS(缺陷明细!$A$2:$A$50000,$B$4,缺陷明细!$G$2:$G$50000,$C37,缺陷明细!$Q$2:$Q$50000,"已关闭",缺陷明细!$J$2:$J$50000,"单元测试")</f>
        <v>0</v>
      </c>
      <c r="L37" s="163"/>
      <c r="M37" s="164"/>
      <c r="N37" s="72">
        <f>COUNTIFS(缺陷明细!$A$2:$A$50000,$B$4,缺陷明细!$G$2:$G$50000,$C37,缺陷明细!$J$2:$J$50000,"系统测试案例评审",缺陷明细!$AA$2:$AA$50000,"&lt;&gt;丢弃",缺陷明细!$AA$2:$AA$50000,"&lt;&gt;设计如此",缺陷明细!$AA$2:$AA$50000,"&lt;&gt;重复Bug")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COUNTIFS(缺陷明细!$A$2:$A$50000,$B$4,缺陷明细!$G$2:$G$50000,$C37,缺陷明细!$J$2:$J$50000,"系统测试",缺陷明细!$AA$2:$AA$50000,"&lt;&gt;丢弃",缺陷明细!$AA$2:$AA$50000,"&lt;&gt;设计如此",缺陷明细!$AA$2:$AA$50000,"&lt;&gt;重复Bug")</f>
        <v>0</v>
      </c>
      <c r="Q37" s="72">
        <f>COUNTIFS(缺陷明细!$A$2:$A$50000,$B$4,缺陷明细!$G$2:$G$50000,$C37,缺陷明细!$Q$2:$Q$50000,"已关闭",缺陷明细!$J$2:$J$50000,"系统测试")</f>
        <v>0</v>
      </c>
      <c r="R37" s="72">
        <f>COUNTIFS(缺陷明细!$A$2:$A$50000,$B$4,缺陷明细!$G$2:$G$50000,$C37,缺陷明细!$AA$2:$AA$50000,"丢弃",缺陷明细!$J$2:$J$50000,"系统测试")+COUNTIFS(缺陷明细!$A$2:$A$50000,$B$4,缺陷明细!$G$2:$G$50000,$C37,缺陷明细!$AA$2:$AA$50000,"设计如此",缺陷明细!$J$2:$J$50000,"系统测试"+COUNTIFS(缺陷明细!$A$2:$A$50000,$B$4,缺陷明细!$G$2:$G$50000,$C37,缺陷明细!$AA$2:$AA$50000,"重复Bug",缺陷明细!$J$2:$J$50000,"系统测试"))</f>
        <v>0</v>
      </c>
      <c r="S37" s="72">
        <f>COUNTIFS(缺陷明细!$A$2:$A$50000,$B$4,缺陷明细!$G$2:$G$50000,$C37,缺陷明细!$J$2:$J$50000,"系统测试",缺陷明细!$K$2:$K$50000,"致命",缺陷明细!$AA$2:$AA$50000,"&lt;&gt;丢弃",缺陷明细!$AA$2:$AA$50000,"&lt;&gt;设计如此",缺陷明细!$AA$2:$AA$50000,"&lt;&gt;重复Bug")+COUNTIFS(缺陷明细!$A$2:$A$50000,$B$4,缺陷明细!$G$2:$G$50000,$C37,缺陷明细!$J$2:$J$50000,"系统测试",缺陷明细!$K$2:$K$50000,"严重",缺陷明细!$AA$2:$AA$50000,"&lt;&gt;丢弃",缺陷明细!$AA$2:$AA$50000,"&lt;&gt;设计如此",缺陷明细!$AA$2:$AA$50000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COUNTIFS(缺陷明细!$A$2:$A$50000,$B$4,缺陷明细!$G$2:$G$50000,$C37,缺陷明细!$J$2:$J$50000,"验收测试",缺陷明细!$AA$2:$AA$50000,"&lt;&gt;丢弃",缺陷明细!$AA$2:$AA$50000,"&lt;&gt;设计如此",缺陷明细!$AA$2:$AA$50000,"&lt;&gt;重复Bug")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A$2:$AA$50000,"&lt;&gt;丢弃",缺陷明细!$AA$2:$AA$50000,"&lt;&gt;设计如此",缺陷明细!$AA$2:$AA$50000,"&lt;&gt;重复Bug")+COUNTIFS(缺陷明细!$A$2:$A$50000,$B$4,缺陷明细!$G$2:$G$50000,$C37,缺陷明细!$J$2:$J$50000,"验收测试",缺陷明细!$K$2:$K$50000,"严重",缺陷明细!$AA$2:$AA$50000,"&lt;&gt;丢弃",缺陷明细!$AA$2:$AA$50000,"&lt;&gt;设计如此",缺陷明细!$AA$2:$AA$50000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COUNTIFS(缺陷明细!$A$2:$A$50000,$B$4,缺陷明细!$G$2:$G$50000,$C37,缺陷明细!$J$2:$J$50000,"运维测试",缺陷明细!$AA$2:$AA$50000,"&lt;&gt;丢弃",缺陷明细!$AA$2:$AA$50000,"&lt;&gt;设计如此",缺陷明细!$AA$2:$AA$50000,"&lt;&gt;重复Bug")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A$2:$AA$50000,"&lt;&gt;丢弃",缺陷明细!$AA$2:$AA$50000,"&lt;&gt;设计如此",缺陷明细!$AA$2:$AA$50000,"&lt;&gt;重复Bug")+COUNTIFS(缺陷明细!$A$2:$A$50000,$B$4,缺陷明细!$G$2:$G$50000,$C37,缺陷明细!$J$2:$J$50000,"运维测试",缺陷明细!$K$2:$K$50000,"严重",缺陷明细!$AA$2:$AA$50000,"&lt;&gt;丢弃",缺陷明细!$AA$2:$AA$50000,"&lt;&gt;设计如此",缺陷明细!$AA$2:$AA$50000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51"/>
    </row>
    <row r="38" spans="1:37">
      <c r="A38">
        <v>34</v>
      </c>
      <c r="B38" s="57"/>
      <c r="C38" s="58"/>
      <c r="D38" s="84"/>
      <c r="E38" s="82"/>
      <c r="F38" s="165"/>
      <c r="G38" s="166"/>
      <c r="H38" s="305">
        <f>COUNTIFS(缺陷明细!$A$2:$A$50000,$B$4,缺陷明细!$G$2:$G$50000,$C38,缺陷明细!$J$2:$J$50000,"评审",缺陷明细!$AA$2:$AA$50000,"&lt;&gt;丢弃",缺陷明细!$AA$2:$AA$50000,"&lt;&gt;设计如此",缺陷明细!$AA$2:$AA$50000,"&lt;&gt;重复Bug")</f>
        <v>0</v>
      </c>
      <c r="I38" s="161">
        <f>COUNTIFS(缺陷明细!$A$2:$A$50000,$B$4,缺陷明细!$G$2:$G$50000,$C38,缺陷明细!$Q$2:$Q$50000,"已关闭",缺陷明细!$J$2:$J$50000,"评审")</f>
        <v>0</v>
      </c>
      <c r="J38" s="161">
        <f>COUNTIFS(缺陷明细!$A$2:$A$50000,$B$4,缺陷明细!$G$2:$G$50000,$C38,缺陷明细!$J$2:$J$50000,"单元测试",缺陷明细!$AA$2:$AA$50000,"&lt;&gt;丢弃",缺陷明细!$AA$2:$AA$50000,"&lt;&gt;设计如此",缺陷明细!$AA$2:$AA$50000,"&lt;&gt;重复Bug")</f>
        <v>0</v>
      </c>
      <c r="K38" s="162">
        <f>COUNTIFS(缺陷明细!$A$2:$A$50000,$B$4,缺陷明细!$G$2:$G$50000,$C38,缺陷明细!$Q$2:$Q$50000,"已关闭",缺陷明细!$J$2:$J$50000,"单元测试")</f>
        <v>0</v>
      </c>
      <c r="L38" s="163"/>
      <c r="M38" s="164"/>
      <c r="N38" s="72">
        <f>COUNTIFS(缺陷明细!$A$2:$A$50000,$B$4,缺陷明细!$G$2:$G$50000,$C38,缺陷明细!$J$2:$J$50000,"系统测试案例评审",缺陷明细!$AA$2:$AA$50000,"&lt;&gt;丢弃",缺陷明细!$AA$2:$AA$50000,"&lt;&gt;设计如此",缺陷明细!$AA$2:$AA$50000,"&lt;&gt;重复Bug")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COUNTIFS(缺陷明细!$A$2:$A$50000,$B$4,缺陷明细!$G$2:$G$50000,$C38,缺陷明细!$J$2:$J$50000,"系统测试",缺陷明细!$AA$2:$AA$50000,"&lt;&gt;丢弃",缺陷明细!$AA$2:$AA$50000,"&lt;&gt;设计如此",缺陷明细!$AA$2:$AA$50000,"&lt;&gt;重复Bug")</f>
        <v>0</v>
      </c>
      <c r="Q38" s="72">
        <f>COUNTIFS(缺陷明细!$A$2:$A$50000,$B$4,缺陷明细!$G$2:$G$50000,$C38,缺陷明细!$Q$2:$Q$50000,"已关闭",缺陷明细!$J$2:$J$50000,"系统测试")</f>
        <v>0</v>
      </c>
      <c r="R38" s="72">
        <f>COUNTIFS(缺陷明细!$A$2:$A$50000,$B$4,缺陷明细!$G$2:$G$50000,$C38,缺陷明细!$AA$2:$AA$50000,"丢弃",缺陷明细!$J$2:$J$50000,"系统测试")+COUNTIFS(缺陷明细!$A$2:$A$50000,$B$4,缺陷明细!$G$2:$G$50000,$C38,缺陷明细!$AA$2:$AA$50000,"设计如此",缺陷明细!$J$2:$J$50000,"系统测试"+COUNTIFS(缺陷明细!$A$2:$A$50000,$B$4,缺陷明细!$G$2:$G$50000,$C38,缺陷明细!$AA$2:$AA$50000,"重复Bug",缺陷明细!$J$2:$J$50000,"系统测试"))</f>
        <v>0</v>
      </c>
      <c r="S38" s="72">
        <f>COUNTIFS(缺陷明细!$A$2:$A$50000,$B$4,缺陷明细!$G$2:$G$50000,$C38,缺陷明细!$J$2:$J$50000,"系统测试",缺陷明细!$K$2:$K$50000,"致命",缺陷明细!$AA$2:$AA$50000,"&lt;&gt;丢弃",缺陷明细!$AA$2:$AA$50000,"&lt;&gt;设计如此",缺陷明细!$AA$2:$AA$50000,"&lt;&gt;重复Bug")+COUNTIFS(缺陷明细!$A$2:$A$50000,$B$4,缺陷明细!$G$2:$G$50000,$C38,缺陷明细!$J$2:$J$50000,"系统测试",缺陷明细!$K$2:$K$50000,"严重",缺陷明细!$AA$2:$AA$50000,"&lt;&gt;丢弃",缺陷明细!$AA$2:$AA$50000,"&lt;&gt;设计如此",缺陷明细!$AA$2:$AA$50000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COUNTIFS(缺陷明细!$A$2:$A$50000,$B$4,缺陷明细!$G$2:$G$50000,$C38,缺陷明细!$J$2:$J$50000,"验收测试",缺陷明细!$AA$2:$AA$50000,"&lt;&gt;丢弃",缺陷明细!$AA$2:$AA$50000,"&lt;&gt;设计如此",缺陷明细!$AA$2:$AA$50000,"&lt;&gt;重复Bug")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A$2:$AA$50000,"&lt;&gt;丢弃",缺陷明细!$AA$2:$AA$50000,"&lt;&gt;设计如此",缺陷明细!$AA$2:$AA$50000,"&lt;&gt;重复Bug")+COUNTIFS(缺陷明细!$A$2:$A$50000,$B$4,缺陷明细!$G$2:$G$50000,$C38,缺陷明细!$J$2:$J$50000,"验收测试",缺陷明细!$K$2:$K$50000,"严重",缺陷明细!$AA$2:$AA$50000,"&lt;&gt;丢弃",缺陷明细!$AA$2:$AA$50000,"&lt;&gt;设计如此",缺陷明细!$AA$2:$AA$50000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COUNTIFS(缺陷明细!$A$2:$A$50000,$B$4,缺陷明细!$G$2:$G$50000,$C38,缺陷明细!$J$2:$J$50000,"运维测试",缺陷明细!$AA$2:$AA$50000,"&lt;&gt;丢弃",缺陷明细!$AA$2:$AA$50000,"&lt;&gt;设计如此",缺陷明细!$AA$2:$AA$50000,"&lt;&gt;重复Bug")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A$2:$AA$50000,"&lt;&gt;丢弃",缺陷明细!$AA$2:$AA$50000,"&lt;&gt;设计如此",缺陷明细!$AA$2:$AA$50000,"&lt;&gt;重复Bug")+COUNTIFS(缺陷明细!$A$2:$A$50000,$B$4,缺陷明细!$G$2:$G$50000,$C38,缺陷明细!$J$2:$J$50000,"运维测试",缺陷明细!$K$2:$K$50000,"严重",缺陷明细!$AA$2:$AA$50000,"&lt;&gt;丢弃",缺陷明细!$AA$2:$AA$50000,"&lt;&gt;设计如此",缺陷明细!$AA$2:$AA$50000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51"/>
    </row>
    <row r="39" spans="1:37">
      <c r="A39">
        <v>35</v>
      </c>
      <c r="B39" s="57"/>
      <c r="C39" s="58"/>
      <c r="D39" s="84"/>
      <c r="E39" s="82"/>
      <c r="F39" s="165"/>
      <c r="G39" s="166"/>
      <c r="H39" s="305">
        <f>COUNTIFS(缺陷明细!$A$2:$A$50000,$B$4,缺陷明细!$G$2:$G$50000,$C39,缺陷明细!$J$2:$J$50000,"评审",缺陷明细!$AA$2:$AA$50000,"&lt;&gt;丢弃",缺陷明细!$AA$2:$AA$50000,"&lt;&gt;设计如此",缺陷明细!$AA$2:$AA$50000,"&lt;&gt;重复Bug")</f>
        <v>0</v>
      </c>
      <c r="I39" s="161">
        <f>COUNTIFS(缺陷明细!$A$2:$A$50000,$B$4,缺陷明细!$G$2:$G$50000,$C39,缺陷明细!$Q$2:$Q$50000,"已关闭",缺陷明细!$J$2:$J$50000,"评审")</f>
        <v>0</v>
      </c>
      <c r="J39" s="161">
        <f>COUNTIFS(缺陷明细!$A$2:$A$50000,$B$4,缺陷明细!$G$2:$G$50000,$C39,缺陷明细!$J$2:$J$50000,"单元测试",缺陷明细!$AA$2:$AA$50000,"&lt;&gt;丢弃",缺陷明细!$AA$2:$AA$50000,"&lt;&gt;设计如此",缺陷明细!$AA$2:$AA$50000,"&lt;&gt;重复Bug")</f>
        <v>0</v>
      </c>
      <c r="K39" s="162">
        <f>COUNTIFS(缺陷明细!$A$2:$A$50000,$B$4,缺陷明细!$G$2:$G$50000,$C39,缺陷明细!$Q$2:$Q$50000,"已关闭",缺陷明细!$J$2:$J$50000,"单元测试")</f>
        <v>0</v>
      </c>
      <c r="L39" s="163"/>
      <c r="M39" s="164"/>
      <c r="N39" s="72">
        <f>COUNTIFS(缺陷明细!$A$2:$A$50000,$B$4,缺陷明细!$G$2:$G$50000,$C39,缺陷明细!$J$2:$J$50000,"系统测试案例评审",缺陷明细!$AA$2:$AA$50000,"&lt;&gt;丢弃",缺陷明细!$AA$2:$AA$50000,"&lt;&gt;设计如此",缺陷明细!$AA$2:$AA$50000,"&lt;&gt;重复Bug")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COUNTIFS(缺陷明细!$A$2:$A$50000,$B$4,缺陷明细!$G$2:$G$50000,$C39,缺陷明细!$J$2:$J$50000,"系统测试",缺陷明细!$AA$2:$AA$50000,"&lt;&gt;丢弃",缺陷明细!$AA$2:$AA$50000,"&lt;&gt;设计如此",缺陷明细!$AA$2:$AA$50000,"&lt;&gt;重复Bug")</f>
        <v>0</v>
      </c>
      <c r="Q39" s="72">
        <f>COUNTIFS(缺陷明细!$A$2:$A$50000,$B$4,缺陷明细!$G$2:$G$50000,$C39,缺陷明细!$Q$2:$Q$50000,"已关闭",缺陷明细!$J$2:$J$50000,"系统测试")</f>
        <v>0</v>
      </c>
      <c r="R39" s="72">
        <f>COUNTIFS(缺陷明细!$A$2:$A$50000,$B$4,缺陷明细!$G$2:$G$50000,$C39,缺陷明细!$AA$2:$AA$50000,"丢弃",缺陷明细!$J$2:$J$50000,"系统测试")+COUNTIFS(缺陷明细!$A$2:$A$50000,$B$4,缺陷明细!$G$2:$G$50000,$C39,缺陷明细!$AA$2:$AA$50000,"设计如此",缺陷明细!$J$2:$J$50000,"系统测试"+COUNTIFS(缺陷明细!$A$2:$A$50000,$B$4,缺陷明细!$G$2:$G$50000,$C39,缺陷明细!$AA$2:$AA$50000,"重复Bug",缺陷明细!$J$2:$J$50000,"系统测试"))</f>
        <v>0</v>
      </c>
      <c r="S39" s="72">
        <f>COUNTIFS(缺陷明细!$A$2:$A$50000,$B$4,缺陷明细!$G$2:$G$50000,$C39,缺陷明细!$J$2:$J$50000,"系统测试",缺陷明细!$K$2:$K$50000,"致命",缺陷明细!$AA$2:$AA$50000,"&lt;&gt;丢弃",缺陷明细!$AA$2:$AA$50000,"&lt;&gt;设计如此",缺陷明细!$AA$2:$AA$50000,"&lt;&gt;重复Bug")+COUNTIFS(缺陷明细!$A$2:$A$50000,$B$4,缺陷明细!$G$2:$G$50000,$C39,缺陷明细!$J$2:$J$50000,"系统测试",缺陷明细!$K$2:$K$50000,"严重",缺陷明细!$AA$2:$AA$50000,"&lt;&gt;丢弃",缺陷明细!$AA$2:$AA$50000,"&lt;&gt;设计如此",缺陷明细!$AA$2:$AA$50000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COUNTIFS(缺陷明细!$A$2:$A$50000,$B$4,缺陷明细!$G$2:$G$50000,$C39,缺陷明细!$J$2:$J$50000,"验收测试",缺陷明细!$AA$2:$AA$50000,"&lt;&gt;丢弃",缺陷明细!$AA$2:$AA$50000,"&lt;&gt;设计如此",缺陷明细!$AA$2:$AA$50000,"&lt;&gt;重复Bug")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A$2:$AA$50000,"&lt;&gt;丢弃",缺陷明细!$AA$2:$AA$50000,"&lt;&gt;设计如此",缺陷明细!$AA$2:$AA$50000,"&lt;&gt;重复Bug")+COUNTIFS(缺陷明细!$A$2:$A$50000,$B$4,缺陷明细!$G$2:$G$50000,$C39,缺陷明细!$J$2:$J$50000,"验收测试",缺陷明细!$K$2:$K$50000,"严重",缺陷明细!$AA$2:$AA$50000,"&lt;&gt;丢弃",缺陷明细!$AA$2:$AA$50000,"&lt;&gt;设计如此",缺陷明细!$AA$2:$AA$50000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COUNTIFS(缺陷明细!$A$2:$A$50000,$B$4,缺陷明细!$G$2:$G$50000,$C39,缺陷明细!$J$2:$J$50000,"运维测试",缺陷明细!$AA$2:$AA$50000,"&lt;&gt;丢弃",缺陷明细!$AA$2:$AA$50000,"&lt;&gt;设计如此",缺陷明细!$AA$2:$AA$50000,"&lt;&gt;重复Bug")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A$2:$AA$50000,"&lt;&gt;丢弃",缺陷明细!$AA$2:$AA$50000,"&lt;&gt;设计如此",缺陷明细!$AA$2:$AA$50000,"&lt;&gt;重复Bug")+COUNTIFS(缺陷明细!$A$2:$A$50000,$B$4,缺陷明细!$G$2:$G$50000,$C39,缺陷明细!$J$2:$J$50000,"运维测试",缺陷明细!$K$2:$K$50000,"严重",缺陷明细!$AA$2:$AA$50000,"&lt;&gt;丢弃",缺陷明细!$AA$2:$AA$50000,"&lt;&gt;设计如此",缺陷明细!$AA$2:$AA$50000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51"/>
    </row>
    <row r="40" spans="1:37">
      <c r="A40">
        <v>36</v>
      </c>
      <c r="B40" s="57"/>
      <c r="C40" s="58"/>
      <c r="D40" s="84"/>
      <c r="E40" s="82"/>
      <c r="F40" s="165"/>
      <c r="G40" s="166"/>
      <c r="H40" s="305">
        <f>COUNTIFS(缺陷明细!$A$2:$A$50000,$B$4,缺陷明细!$G$2:$G$50000,$C40,缺陷明细!$J$2:$J$50000,"评审",缺陷明细!$AA$2:$AA$50000,"&lt;&gt;丢弃",缺陷明细!$AA$2:$AA$50000,"&lt;&gt;设计如此",缺陷明细!$AA$2:$AA$50000,"&lt;&gt;重复Bug")</f>
        <v>0</v>
      </c>
      <c r="I40" s="161">
        <f>COUNTIFS(缺陷明细!$A$2:$A$50000,$B$4,缺陷明细!$G$2:$G$50000,$C40,缺陷明细!$Q$2:$Q$50000,"已关闭",缺陷明细!$J$2:$J$50000,"评审")</f>
        <v>0</v>
      </c>
      <c r="J40" s="161">
        <f>COUNTIFS(缺陷明细!$A$2:$A$50000,$B$4,缺陷明细!$G$2:$G$50000,$C40,缺陷明细!$J$2:$J$50000,"单元测试",缺陷明细!$AA$2:$AA$50000,"&lt;&gt;丢弃",缺陷明细!$AA$2:$AA$50000,"&lt;&gt;设计如此",缺陷明细!$AA$2:$AA$50000,"&lt;&gt;重复Bug")</f>
        <v>0</v>
      </c>
      <c r="K40" s="162">
        <f>COUNTIFS(缺陷明细!$A$2:$A$50000,$B$4,缺陷明细!$G$2:$G$50000,$C40,缺陷明细!$Q$2:$Q$50000,"已关闭",缺陷明细!$J$2:$J$50000,"单元测试")</f>
        <v>0</v>
      </c>
      <c r="L40" s="163"/>
      <c r="M40" s="164"/>
      <c r="N40" s="72">
        <f>COUNTIFS(缺陷明细!$A$2:$A$50000,$B$4,缺陷明细!$G$2:$G$50000,$C40,缺陷明细!$J$2:$J$50000,"系统测试案例评审",缺陷明细!$AA$2:$AA$50000,"&lt;&gt;丢弃",缺陷明细!$AA$2:$AA$50000,"&lt;&gt;设计如此",缺陷明细!$AA$2:$AA$50000,"&lt;&gt;重复Bug")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COUNTIFS(缺陷明细!$A$2:$A$50000,$B$4,缺陷明细!$G$2:$G$50000,$C40,缺陷明细!$J$2:$J$50000,"系统测试",缺陷明细!$AA$2:$AA$50000,"&lt;&gt;丢弃",缺陷明细!$AA$2:$AA$50000,"&lt;&gt;设计如此",缺陷明细!$AA$2:$AA$50000,"&lt;&gt;重复Bug")</f>
        <v>0</v>
      </c>
      <c r="Q40" s="72">
        <f>COUNTIFS(缺陷明细!$A$2:$A$50000,$B$4,缺陷明细!$G$2:$G$50000,$C40,缺陷明细!$Q$2:$Q$50000,"已关闭",缺陷明细!$J$2:$J$50000,"系统测试")</f>
        <v>0</v>
      </c>
      <c r="R40" s="72">
        <f>COUNTIFS(缺陷明细!$A$2:$A$50000,$B$4,缺陷明细!$G$2:$G$50000,$C40,缺陷明细!$AA$2:$AA$50000,"丢弃",缺陷明细!$J$2:$J$50000,"系统测试")+COUNTIFS(缺陷明细!$A$2:$A$50000,$B$4,缺陷明细!$G$2:$G$50000,$C40,缺陷明细!$AA$2:$AA$50000,"设计如此",缺陷明细!$J$2:$J$50000,"系统测试"+COUNTIFS(缺陷明细!$A$2:$A$50000,$B$4,缺陷明细!$G$2:$G$50000,$C40,缺陷明细!$AA$2:$AA$50000,"重复Bug",缺陷明细!$J$2:$J$50000,"系统测试"))</f>
        <v>0</v>
      </c>
      <c r="S40" s="72">
        <f>COUNTIFS(缺陷明细!$A$2:$A$50000,$B$4,缺陷明细!$G$2:$G$50000,$C40,缺陷明细!$J$2:$J$50000,"系统测试",缺陷明细!$K$2:$K$50000,"致命",缺陷明细!$AA$2:$AA$50000,"&lt;&gt;丢弃",缺陷明细!$AA$2:$AA$50000,"&lt;&gt;设计如此",缺陷明细!$AA$2:$AA$50000,"&lt;&gt;重复Bug")+COUNTIFS(缺陷明细!$A$2:$A$50000,$B$4,缺陷明细!$G$2:$G$50000,$C40,缺陷明细!$J$2:$J$50000,"系统测试",缺陷明细!$K$2:$K$50000,"严重",缺陷明细!$AA$2:$AA$50000,"&lt;&gt;丢弃",缺陷明细!$AA$2:$AA$50000,"&lt;&gt;设计如此",缺陷明细!$AA$2:$AA$50000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COUNTIFS(缺陷明细!$A$2:$A$50000,$B$4,缺陷明细!$G$2:$G$50000,$C40,缺陷明细!$J$2:$J$50000,"验收测试",缺陷明细!$AA$2:$AA$50000,"&lt;&gt;丢弃",缺陷明细!$AA$2:$AA$50000,"&lt;&gt;设计如此",缺陷明细!$AA$2:$AA$50000,"&lt;&gt;重复Bug")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A$2:$AA$50000,"&lt;&gt;丢弃",缺陷明细!$AA$2:$AA$50000,"&lt;&gt;设计如此",缺陷明细!$AA$2:$AA$50000,"&lt;&gt;重复Bug")+COUNTIFS(缺陷明细!$A$2:$A$50000,$B$4,缺陷明细!$G$2:$G$50000,$C40,缺陷明细!$J$2:$J$50000,"验收测试",缺陷明细!$K$2:$K$50000,"严重",缺陷明细!$AA$2:$AA$50000,"&lt;&gt;丢弃",缺陷明细!$AA$2:$AA$50000,"&lt;&gt;设计如此",缺陷明细!$AA$2:$AA$50000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COUNTIFS(缺陷明细!$A$2:$A$50000,$B$4,缺陷明细!$G$2:$G$50000,$C40,缺陷明细!$J$2:$J$50000,"运维测试",缺陷明细!$AA$2:$AA$50000,"&lt;&gt;丢弃",缺陷明细!$AA$2:$AA$50000,"&lt;&gt;设计如此",缺陷明细!$AA$2:$AA$50000,"&lt;&gt;重复Bug")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A$2:$AA$50000,"&lt;&gt;丢弃",缺陷明细!$AA$2:$AA$50000,"&lt;&gt;设计如此",缺陷明细!$AA$2:$AA$50000,"&lt;&gt;重复Bug")+COUNTIFS(缺陷明细!$A$2:$A$50000,$B$4,缺陷明细!$G$2:$G$50000,$C40,缺陷明细!$J$2:$J$50000,"运维测试",缺陷明细!$K$2:$K$50000,"严重",缺陷明细!$AA$2:$AA$50000,"&lt;&gt;丢弃",缺陷明细!$AA$2:$AA$50000,"&lt;&gt;设计如此",缺陷明细!$AA$2:$AA$50000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51"/>
    </row>
    <row r="41" spans="1:37">
      <c r="A41">
        <v>37</v>
      </c>
      <c r="B41" s="57"/>
      <c r="C41" s="58"/>
      <c r="D41" s="84"/>
      <c r="E41" s="82"/>
      <c r="F41" s="165"/>
      <c r="G41" s="166"/>
      <c r="H41" s="305">
        <f>COUNTIFS(缺陷明细!$A$2:$A$50000,$B$4,缺陷明细!$G$2:$G$50000,$C41,缺陷明细!$J$2:$J$50000,"评审",缺陷明细!$AA$2:$AA$50000,"&lt;&gt;丢弃",缺陷明细!$AA$2:$AA$50000,"&lt;&gt;设计如此",缺陷明细!$AA$2:$AA$50000,"&lt;&gt;重复Bug")</f>
        <v>0</v>
      </c>
      <c r="I41" s="161">
        <f>COUNTIFS(缺陷明细!$A$2:$A$50000,$B$4,缺陷明细!$G$2:$G$50000,$C41,缺陷明细!$Q$2:$Q$50000,"已关闭",缺陷明细!$J$2:$J$50000,"评审")</f>
        <v>0</v>
      </c>
      <c r="J41" s="161">
        <f>COUNTIFS(缺陷明细!$A$2:$A$50000,$B$4,缺陷明细!$G$2:$G$50000,$C41,缺陷明细!$J$2:$J$50000,"单元测试",缺陷明细!$AA$2:$AA$50000,"&lt;&gt;丢弃",缺陷明细!$AA$2:$AA$50000,"&lt;&gt;设计如此",缺陷明细!$AA$2:$AA$50000,"&lt;&gt;重复Bug")</f>
        <v>0</v>
      </c>
      <c r="K41" s="162">
        <f>COUNTIFS(缺陷明细!$A$2:$A$50000,$B$4,缺陷明细!$G$2:$G$50000,$C41,缺陷明细!$Q$2:$Q$50000,"已关闭",缺陷明细!$J$2:$J$50000,"单元测试")</f>
        <v>0</v>
      </c>
      <c r="L41" s="163"/>
      <c r="M41" s="164"/>
      <c r="N41" s="72">
        <f>COUNTIFS(缺陷明细!$A$2:$A$50000,$B$4,缺陷明细!$G$2:$G$50000,$C41,缺陷明细!$J$2:$J$50000,"系统测试案例评审",缺陷明细!$AA$2:$AA$50000,"&lt;&gt;丢弃",缺陷明细!$AA$2:$AA$50000,"&lt;&gt;设计如此",缺陷明细!$AA$2:$AA$50000,"&lt;&gt;重复Bug")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COUNTIFS(缺陷明细!$A$2:$A$50000,$B$4,缺陷明细!$G$2:$G$50000,$C41,缺陷明细!$J$2:$J$50000,"系统测试",缺陷明细!$AA$2:$AA$50000,"&lt;&gt;丢弃",缺陷明细!$AA$2:$AA$50000,"&lt;&gt;设计如此",缺陷明细!$AA$2:$AA$50000,"&lt;&gt;重复Bug")</f>
        <v>0</v>
      </c>
      <c r="Q41" s="72">
        <f>COUNTIFS(缺陷明细!$A$2:$A$50000,$B$4,缺陷明细!$G$2:$G$50000,$C41,缺陷明细!$Q$2:$Q$50000,"已关闭",缺陷明细!$J$2:$J$50000,"系统测试")</f>
        <v>0</v>
      </c>
      <c r="R41" s="72">
        <f>COUNTIFS(缺陷明细!$A$2:$A$50000,$B$4,缺陷明细!$G$2:$G$50000,$C41,缺陷明细!$AA$2:$AA$50000,"丢弃",缺陷明细!$J$2:$J$50000,"系统测试")+COUNTIFS(缺陷明细!$A$2:$A$50000,$B$4,缺陷明细!$G$2:$G$50000,$C41,缺陷明细!$AA$2:$AA$50000,"设计如此",缺陷明细!$J$2:$J$50000,"系统测试"+COUNTIFS(缺陷明细!$A$2:$A$50000,$B$4,缺陷明细!$G$2:$G$50000,$C41,缺陷明细!$AA$2:$AA$50000,"重复Bug",缺陷明细!$J$2:$J$50000,"系统测试"))</f>
        <v>0</v>
      </c>
      <c r="S41" s="72">
        <f>COUNTIFS(缺陷明细!$A$2:$A$50000,$B$4,缺陷明细!$G$2:$G$50000,$C41,缺陷明细!$J$2:$J$50000,"系统测试",缺陷明细!$K$2:$K$50000,"致命",缺陷明细!$AA$2:$AA$50000,"&lt;&gt;丢弃",缺陷明细!$AA$2:$AA$50000,"&lt;&gt;设计如此",缺陷明细!$AA$2:$AA$50000,"&lt;&gt;重复Bug")+COUNTIFS(缺陷明细!$A$2:$A$50000,$B$4,缺陷明细!$G$2:$G$50000,$C41,缺陷明细!$J$2:$J$50000,"系统测试",缺陷明细!$K$2:$K$50000,"严重",缺陷明细!$AA$2:$AA$50000,"&lt;&gt;丢弃",缺陷明细!$AA$2:$AA$50000,"&lt;&gt;设计如此",缺陷明细!$AA$2:$AA$50000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COUNTIFS(缺陷明细!$A$2:$A$50000,$B$4,缺陷明细!$G$2:$G$50000,$C41,缺陷明细!$J$2:$J$50000,"验收测试",缺陷明细!$AA$2:$AA$50000,"&lt;&gt;丢弃",缺陷明细!$AA$2:$AA$50000,"&lt;&gt;设计如此",缺陷明细!$AA$2:$AA$50000,"&lt;&gt;重复Bug")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A$2:$AA$50000,"&lt;&gt;丢弃",缺陷明细!$AA$2:$AA$50000,"&lt;&gt;设计如此",缺陷明细!$AA$2:$AA$50000,"&lt;&gt;重复Bug")+COUNTIFS(缺陷明细!$A$2:$A$50000,$B$4,缺陷明细!$G$2:$G$50000,$C41,缺陷明细!$J$2:$J$50000,"验收测试",缺陷明细!$K$2:$K$50000,"严重",缺陷明细!$AA$2:$AA$50000,"&lt;&gt;丢弃",缺陷明细!$AA$2:$AA$50000,"&lt;&gt;设计如此",缺陷明细!$AA$2:$AA$50000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COUNTIFS(缺陷明细!$A$2:$A$50000,$B$4,缺陷明细!$G$2:$G$50000,$C41,缺陷明细!$J$2:$J$50000,"运维测试",缺陷明细!$AA$2:$AA$50000,"&lt;&gt;丢弃",缺陷明细!$AA$2:$AA$50000,"&lt;&gt;设计如此",缺陷明细!$AA$2:$AA$50000,"&lt;&gt;重复Bug")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A$2:$AA$50000,"&lt;&gt;丢弃",缺陷明细!$AA$2:$AA$50000,"&lt;&gt;设计如此",缺陷明细!$AA$2:$AA$50000,"&lt;&gt;重复Bug")+COUNTIFS(缺陷明细!$A$2:$A$50000,$B$4,缺陷明细!$G$2:$G$50000,$C41,缺陷明细!$J$2:$J$50000,"运维测试",缺陷明细!$K$2:$K$50000,"严重",缺陷明细!$AA$2:$AA$50000,"&lt;&gt;丢弃",缺陷明细!$AA$2:$AA$50000,"&lt;&gt;设计如此",缺陷明细!$AA$2:$AA$50000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51"/>
    </row>
    <row r="42" spans="1:37">
      <c r="A42">
        <v>38</v>
      </c>
      <c r="B42" s="57"/>
      <c r="C42" s="58"/>
      <c r="D42" s="84"/>
      <c r="E42" s="82"/>
      <c r="F42" s="165"/>
      <c r="G42" s="166"/>
      <c r="H42" s="305">
        <f>COUNTIFS(缺陷明细!$A$2:$A$50000,$B$4,缺陷明细!$G$2:$G$50000,$C42,缺陷明细!$J$2:$J$50000,"评审",缺陷明细!$AA$2:$AA$50000,"&lt;&gt;丢弃",缺陷明细!$AA$2:$AA$50000,"&lt;&gt;设计如此",缺陷明细!$AA$2:$AA$50000,"&lt;&gt;重复Bug")</f>
        <v>0</v>
      </c>
      <c r="I42" s="161">
        <f>COUNTIFS(缺陷明细!$A$2:$A$50000,$B$4,缺陷明细!$G$2:$G$50000,$C42,缺陷明细!$Q$2:$Q$50000,"已关闭",缺陷明细!$J$2:$J$50000,"评审")</f>
        <v>0</v>
      </c>
      <c r="J42" s="161">
        <f>COUNTIFS(缺陷明细!$A$2:$A$50000,$B$4,缺陷明细!$G$2:$G$50000,$C42,缺陷明细!$J$2:$J$50000,"单元测试",缺陷明细!$AA$2:$AA$50000,"&lt;&gt;丢弃",缺陷明细!$AA$2:$AA$50000,"&lt;&gt;设计如此",缺陷明细!$AA$2:$AA$50000,"&lt;&gt;重复Bug")</f>
        <v>0</v>
      </c>
      <c r="K42" s="162">
        <f>COUNTIFS(缺陷明细!$A$2:$A$50000,$B$4,缺陷明细!$G$2:$G$50000,$C42,缺陷明细!$Q$2:$Q$50000,"已关闭",缺陷明细!$J$2:$J$50000,"单元测试")</f>
        <v>0</v>
      </c>
      <c r="L42" s="163"/>
      <c r="M42" s="164"/>
      <c r="N42" s="72">
        <f>COUNTIFS(缺陷明细!$A$2:$A$50000,$B$4,缺陷明细!$G$2:$G$50000,$C42,缺陷明细!$J$2:$J$50000,"系统测试案例评审",缺陷明细!$AA$2:$AA$50000,"&lt;&gt;丢弃",缺陷明细!$AA$2:$AA$50000,"&lt;&gt;设计如此",缺陷明细!$AA$2:$AA$50000,"&lt;&gt;重复Bug")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COUNTIFS(缺陷明细!$A$2:$A$50000,$B$4,缺陷明细!$G$2:$G$50000,$C42,缺陷明细!$J$2:$J$50000,"系统测试",缺陷明细!$AA$2:$AA$50000,"&lt;&gt;丢弃",缺陷明细!$AA$2:$AA$50000,"&lt;&gt;设计如此",缺陷明细!$AA$2:$AA$50000,"&lt;&gt;重复Bug")</f>
        <v>0</v>
      </c>
      <c r="Q42" s="72">
        <f>COUNTIFS(缺陷明细!$A$2:$A$50000,$B$4,缺陷明细!$G$2:$G$50000,$C42,缺陷明细!$Q$2:$Q$50000,"已关闭",缺陷明细!$J$2:$J$50000,"系统测试")</f>
        <v>0</v>
      </c>
      <c r="R42" s="72">
        <f>COUNTIFS(缺陷明细!$A$2:$A$50000,$B$4,缺陷明细!$G$2:$G$50000,$C42,缺陷明细!$AA$2:$AA$50000,"丢弃",缺陷明细!$J$2:$J$50000,"系统测试")+COUNTIFS(缺陷明细!$A$2:$A$50000,$B$4,缺陷明细!$G$2:$G$50000,$C42,缺陷明细!$AA$2:$AA$50000,"设计如此",缺陷明细!$J$2:$J$50000,"系统测试"+COUNTIFS(缺陷明细!$A$2:$A$50000,$B$4,缺陷明细!$G$2:$G$50000,$C42,缺陷明细!$AA$2:$AA$50000,"重复Bug",缺陷明细!$J$2:$J$50000,"系统测试"))</f>
        <v>0</v>
      </c>
      <c r="S42" s="72">
        <f>COUNTIFS(缺陷明细!$A$2:$A$50000,$B$4,缺陷明细!$G$2:$G$50000,$C42,缺陷明细!$J$2:$J$50000,"系统测试",缺陷明细!$K$2:$K$50000,"致命",缺陷明细!$AA$2:$AA$50000,"&lt;&gt;丢弃",缺陷明细!$AA$2:$AA$50000,"&lt;&gt;设计如此",缺陷明细!$AA$2:$AA$50000,"&lt;&gt;重复Bug")+COUNTIFS(缺陷明细!$A$2:$A$50000,$B$4,缺陷明细!$G$2:$G$50000,$C42,缺陷明细!$J$2:$J$50000,"系统测试",缺陷明细!$K$2:$K$50000,"严重",缺陷明细!$AA$2:$AA$50000,"&lt;&gt;丢弃",缺陷明细!$AA$2:$AA$50000,"&lt;&gt;设计如此",缺陷明细!$AA$2:$AA$50000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COUNTIFS(缺陷明细!$A$2:$A$50000,$B$4,缺陷明细!$G$2:$G$50000,$C42,缺陷明细!$J$2:$J$50000,"验收测试",缺陷明细!$AA$2:$AA$50000,"&lt;&gt;丢弃",缺陷明细!$AA$2:$AA$50000,"&lt;&gt;设计如此",缺陷明细!$AA$2:$AA$50000,"&lt;&gt;重复Bug")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A$2:$AA$50000,"&lt;&gt;丢弃",缺陷明细!$AA$2:$AA$50000,"&lt;&gt;设计如此",缺陷明细!$AA$2:$AA$50000,"&lt;&gt;重复Bug")+COUNTIFS(缺陷明细!$A$2:$A$50000,$B$4,缺陷明细!$G$2:$G$50000,$C42,缺陷明细!$J$2:$J$50000,"验收测试",缺陷明细!$K$2:$K$50000,"严重",缺陷明细!$AA$2:$AA$50000,"&lt;&gt;丢弃",缺陷明细!$AA$2:$AA$50000,"&lt;&gt;设计如此",缺陷明细!$AA$2:$AA$50000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COUNTIFS(缺陷明细!$A$2:$A$50000,$B$4,缺陷明细!$G$2:$G$50000,$C42,缺陷明细!$J$2:$J$50000,"运维测试",缺陷明细!$AA$2:$AA$50000,"&lt;&gt;丢弃",缺陷明细!$AA$2:$AA$50000,"&lt;&gt;设计如此",缺陷明细!$AA$2:$AA$50000,"&lt;&gt;重复Bug")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A$2:$AA$50000,"&lt;&gt;丢弃",缺陷明细!$AA$2:$AA$50000,"&lt;&gt;设计如此",缺陷明细!$AA$2:$AA$50000,"&lt;&gt;重复Bug")+COUNTIFS(缺陷明细!$A$2:$A$50000,$B$4,缺陷明细!$G$2:$G$50000,$C42,缺陷明细!$J$2:$J$50000,"运维测试",缺陷明细!$K$2:$K$50000,"严重",缺陷明细!$AA$2:$AA$50000,"&lt;&gt;丢弃",缺陷明细!$AA$2:$AA$50000,"&lt;&gt;设计如此",缺陷明细!$AA$2:$AA$50000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51"/>
    </row>
    <row r="43" spans="1:37">
      <c r="A43">
        <v>39</v>
      </c>
      <c r="B43" s="57"/>
      <c r="C43" s="58"/>
      <c r="D43" s="84"/>
      <c r="E43" s="82"/>
      <c r="F43" s="165"/>
      <c r="G43" s="166"/>
      <c r="H43" s="305">
        <f>COUNTIFS(缺陷明细!$A$2:$A$50000,$B$4,缺陷明细!$G$2:$G$50000,$C43,缺陷明细!$J$2:$J$50000,"评审",缺陷明细!$AA$2:$AA$50000,"&lt;&gt;丢弃",缺陷明细!$AA$2:$AA$50000,"&lt;&gt;设计如此",缺陷明细!$AA$2:$AA$50000,"&lt;&gt;重复Bug")</f>
        <v>0</v>
      </c>
      <c r="I43" s="161">
        <f>COUNTIFS(缺陷明细!$A$2:$A$50000,$B$4,缺陷明细!$G$2:$G$50000,$C43,缺陷明细!$Q$2:$Q$50000,"已关闭",缺陷明细!$J$2:$J$50000,"评审")</f>
        <v>0</v>
      </c>
      <c r="J43" s="161">
        <f>COUNTIFS(缺陷明细!$A$2:$A$50000,$B$4,缺陷明细!$G$2:$G$50000,$C43,缺陷明细!$J$2:$J$50000,"单元测试",缺陷明细!$AA$2:$AA$50000,"&lt;&gt;丢弃",缺陷明细!$AA$2:$AA$50000,"&lt;&gt;设计如此",缺陷明细!$AA$2:$AA$50000,"&lt;&gt;重复Bug")</f>
        <v>0</v>
      </c>
      <c r="K43" s="162">
        <f>COUNTIFS(缺陷明细!$A$2:$A$50000,$B$4,缺陷明细!$G$2:$G$50000,$C43,缺陷明细!$Q$2:$Q$50000,"已关闭",缺陷明细!$J$2:$J$50000,"单元测试")</f>
        <v>0</v>
      </c>
      <c r="L43" s="163"/>
      <c r="M43" s="164"/>
      <c r="N43" s="72">
        <f>COUNTIFS(缺陷明细!$A$2:$A$50000,$B$4,缺陷明细!$G$2:$G$50000,$C43,缺陷明细!$J$2:$J$50000,"系统测试案例评审",缺陷明细!$AA$2:$AA$50000,"&lt;&gt;丢弃",缺陷明细!$AA$2:$AA$50000,"&lt;&gt;设计如此",缺陷明细!$AA$2:$AA$50000,"&lt;&gt;重复Bug")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COUNTIFS(缺陷明细!$A$2:$A$50000,$B$4,缺陷明细!$G$2:$G$50000,$C43,缺陷明细!$J$2:$J$50000,"系统测试",缺陷明细!$AA$2:$AA$50000,"&lt;&gt;丢弃",缺陷明细!$AA$2:$AA$50000,"&lt;&gt;设计如此",缺陷明细!$AA$2:$AA$50000,"&lt;&gt;重复Bug")</f>
        <v>0</v>
      </c>
      <c r="Q43" s="72">
        <f>COUNTIFS(缺陷明细!$A$2:$A$50000,$B$4,缺陷明细!$G$2:$G$50000,$C43,缺陷明细!$Q$2:$Q$50000,"已关闭",缺陷明细!$J$2:$J$50000,"系统测试")</f>
        <v>0</v>
      </c>
      <c r="R43" s="72">
        <f>COUNTIFS(缺陷明细!$A$2:$A$50000,$B$4,缺陷明细!$G$2:$G$50000,$C43,缺陷明细!$AA$2:$AA$50000,"丢弃",缺陷明细!$J$2:$J$50000,"系统测试")+COUNTIFS(缺陷明细!$A$2:$A$50000,$B$4,缺陷明细!$G$2:$G$50000,$C43,缺陷明细!$AA$2:$AA$50000,"设计如此",缺陷明细!$J$2:$J$50000,"系统测试"+COUNTIFS(缺陷明细!$A$2:$A$50000,$B$4,缺陷明细!$G$2:$G$50000,$C43,缺陷明细!$AA$2:$AA$50000,"重复Bug",缺陷明细!$J$2:$J$50000,"系统测试"))</f>
        <v>0</v>
      </c>
      <c r="S43" s="72">
        <f>COUNTIFS(缺陷明细!$A$2:$A$50000,$B$4,缺陷明细!$G$2:$G$50000,$C43,缺陷明细!$J$2:$J$50000,"系统测试",缺陷明细!$K$2:$K$50000,"致命",缺陷明细!$AA$2:$AA$50000,"&lt;&gt;丢弃",缺陷明细!$AA$2:$AA$50000,"&lt;&gt;设计如此",缺陷明细!$AA$2:$AA$50000,"&lt;&gt;重复Bug")+COUNTIFS(缺陷明细!$A$2:$A$50000,$B$4,缺陷明细!$G$2:$G$50000,$C43,缺陷明细!$J$2:$J$50000,"系统测试",缺陷明细!$K$2:$K$50000,"严重",缺陷明细!$AA$2:$AA$50000,"&lt;&gt;丢弃",缺陷明细!$AA$2:$AA$50000,"&lt;&gt;设计如此",缺陷明细!$AA$2:$AA$50000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COUNTIFS(缺陷明细!$A$2:$A$50000,$B$4,缺陷明细!$G$2:$G$50000,$C43,缺陷明细!$J$2:$J$50000,"验收测试",缺陷明细!$AA$2:$AA$50000,"&lt;&gt;丢弃",缺陷明细!$AA$2:$AA$50000,"&lt;&gt;设计如此",缺陷明细!$AA$2:$AA$50000,"&lt;&gt;重复Bug")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A$2:$AA$50000,"&lt;&gt;丢弃",缺陷明细!$AA$2:$AA$50000,"&lt;&gt;设计如此",缺陷明细!$AA$2:$AA$50000,"&lt;&gt;重复Bug")+COUNTIFS(缺陷明细!$A$2:$A$50000,$B$4,缺陷明细!$G$2:$G$50000,$C43,缺陷明细!$J$2:$J$50000,"验收测试",缺陷明细!$K$2:$K$50000,"严重",缺陷明细!$AA$2:$AA$50000,"&lt;&gt;丢弃",缺陷明细!$AA$2:$AA$50000,"&lt;&gt;设计如此",缺陷明细!$AA$2:$AA$50000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COUNTIFS(缺陷明细!$A$2:$A$50000,$B$4,缺陷明细!$G$2:$G$50000,$C43,缺陷明细!$J$2:$J$50000,"运维测试",缺陷明细!$AA$2:$AA$50000,"&lt;&gt;丢弃",缺陷明细!$AA$2:$AA$50000,"&lt;&gt;设计如此",缺陷明细!$AA$2:$AA$50000,"&lt;&gt;重复Bug")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A$2:$AA$50000,"&lt;&gt;丢弃",缺陷明细!$AA$2:$AA$50000,"&lt;&gt;设计如此",缺陷明细!$AA$2:$AA$50000,"&lt;&gt;重复Bug")+COUNTIFS(缺陷明细!$A$2:$A$50000,$B$4,缺陷明细!$G$2:$G$50000,$C43,缺陷明细!$J$2:$J$50000,"运维测试",缺陷明细!$K$2:$K$50000,"严重",缺陷明细!$AA$2:$AA$50000,"&lt;&gt;丢弃",缺陷明细!$AA$2:$AA$50000,"&lt;&gt;设计如此",缺陷明细!$AA$2:$AA$50000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51"/>
    </row>
    <row r="44" spans="1:37">
      <c r="A44">
        <v>40</v>
      </c>
      <c r="B44" s="57"/>
      <c r="C44" s="58"/>
      <c r="D44" s="84"/>
      <c r="E44" s="82"/>
      <c r="F44" s="165"/>
      <c r="G44" s="166"/>
      <c r="H44" s="305">
        <f>COUNTIFS(缺陷明细!$A$2:$A$50000,$B$4,缺陷明细!$G$2:$G$50000,$C44,缺陷明细!$J$2:$J$50000,"评审",缺陷明细!$AA$2:$AA$50000,"&lt;&gt;丢弃",缺陷明细!$AA$2:$AA$50000,"&lt;&gt;设计如此",缺陷明细!$AA$2:$AA$50000,"&lt;&gt;重复Bug")</f>
        <v>0</v>
      </c>
      <c r="I44" s="161">
        <f>COUNTIFS(缺陷明细!$A$2:$A$50000,$B$4,缺陷明细!$G$2:$G$50000,$C44,缺陷明细!$Q$2:$Q$50000,"已关闭",缺陷明细!$J$2:$J$50000,"评审")</f>
        <v>0</v>
      </c>
      <c r="J44" s="161">
        <f>COUNTIFS(缺陷明细!$A$2:$A$50000,$B$4,缺陷明细!$G$2:$G$50000,$C44,缺陷明细!$J$2:$J$50000,"单元测试",缺陷明细!$AA$2:$AA$50000,"&lt;&gt;丢弃",缺陷明细!$AA$2:$AA$50000,"&lt;&gt;设计如此",缺陷明细!$AA$2:$AA$50000,"&lt;&gt;重复Bug")</f>
        <v>0</v>
      </c>
      <c r="K44" s="162">
        <f>COUNTIFS(缺陷明细!$A$2:$A$50000,$B$4,缺陷明细!$G$2:$G$50000,$C44,缺陷明细!$Q$2:$Q$50000,"已关闭",缺陷明细!$J$2:$J$50000,"单元测试")</f>
        <v>0</v>
      </c>
      <c r="L44" s="163"/>
      <c r="M44" s="164"/>
      <c r="N44" s="72">
        <f>COUNTIFS(缺陷明细!$A$2:$A$50000,$B$4,缺陷明细!$G$2:$G$50000,$C44,缺陷明细!$J$2:$J$50000,"系统测试案例评审",缺陷明细!$AA$2:$AA$50000,"&lt;&gt;丢弃",缺陷明细!$AA$2:$AA$50000,"&lt;&gt;设计如此",缺陷明细!$AA$2:$AA$50000,"&lt;&gt;重复Bug")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COUNTIFS(缺陷明细!$A$2:$A$50000,$B$4,缺陷明细!$G$2:$G$50000,$C44,缺陷明细!$J$2:$J$50000,"系统测试",缺陷明细!$AA$2:$AA$50000,"&lt;&gt;丢弃",缺陷明细!$AA$2:$AA$50000,"&lt;&gt;设计如此",缺陷明细!$AA$2:$AA$50000,"&lt;&gt;重复Bug")</f>
        <v>0</v>
      </c>
      <c r="Q44" s="72">
        <f>COUNTIFS(缺陷明细!$A$2:$A$50000,$B$4,缺陷明细!$G$2:$G$50000,$C44,缺陷明细!$Q$2:$Q$50000,"已关闭",缺陷明细!$J$2:$J$50000,"系统测试")</f>
        <v>0</v>
      </c>
      <c r="R44" s="72">
        <f>COUNTIFS(缺陷明细!$A$2:$A$50000,$B$4,缺陷明细!$G$2:$G$50000,$C44,缺陷明细!$AA$2:$AA$50000,"丢弃",缺陷明细!$J$2:$J$50000,"系统测试")+COUNTIFS(缺陷明细!$A$2:$A$50000,$B$4,缺陷明细!$G$2:$G$50000,$C44,缺陷明细!$AA$2:$AA$50000,"设计如此",缺陷明细!$J$2:$J$50000,"系统测试"+COUNTIFS(缺陷明细!$A$2:$A$50000,$B$4,缺陷明细!$G$2:$G$50000,$C44,缺陷明细!$AA$2:$AA$50000,"重复Bug",缺陷明细!$J$2:$J$50000,"系统测试"))</f>
        <v>0</v>
      </c>
      <c r="S44" s="72">
        <f>COUNTIFS(缺陷明细!$A$2:$A$50000,$B$4,缺陷明细!$G$2:$G$50000,$C44,缺陷明细!$J$2:$J$50000,"系统测试",缺陷明细!$K$2:$K$50000,"致命",缺陷明细!$AA$2:$AA$50000,"&lt;&gt;丢弃",缺陷明细!$AA$2:$AA$50000,"&lt;&gt;设计如此",缺陷明细!$AA$2:$AA$50000,"&lt;&gt;重复Bug")+COUNTIFS(缺陷明细!$A$2:$A$50000,$B$4,缺陷明细!$G$2:$G$50000,$C44,缺陷明细!$J$2:$J$50000,"系统测试",缺陷明细!$K$2:$K$50000,"严重",缺陷明细!$AA$2:$AA$50000,"&lt;&gt;丢弃",缺陷明细!$AA$2:$AA$50000,"&lt;&gt;设计如此",缺陷明细!$AA$2:$AA$50000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COUNTIFS(缺陷明细!$A$2:$A$50000,$B$4,缺陷明细!$G$2:$G$50000,$C44,缺陷明细!$J$2:$J$50000,"验收测试",缺陷明细!$AA$2:$AA$50000,"&lt;&gt;丢弃",缺陷明细!$AA$2:$AA$50000,"&lt;&gt;设计如此",缺陷明细!$AA$2:$AA$50000,"&lt;&gt;重复Bug")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A$2:$AA$50000,"&lt;&gt;丢弃",缺陷明细!$AA$2:$AA$50000,"&lt;&gt;设计如此",缺陷明细!$AA$2:$AA$50000,"&lt;&gt;重复Bug")+COUNTIFS(缺陷明细!$A$2:$A$50000,$B$4,缺陷明细!$G$2:$G$50000,$C44,缺陷明细!$J$2:$J$50000,"验收测试",缺陷明细!$K$2:$K$50000,"严重",缺陷明细!$AA$2:$AA$50000,"&lt;&gt;丢弃",缺陷明细!$AA$2:$AA$50000,"&lt;&gt;设计如此",缺陷明细!$AA$2:$AA$50000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COUNTIFS(缺陷明细!$A$2:$A$50000,$B$4,缺陷明细!$G$2:$G$50000,$C44,缺陷明细!$J$2:$J$50000,"运维测试",缺陷明细!$AA$2:$AA$50000,"&lt;&gt;丢弃",缺陷明细!$AA$2:$AA$50000,"&lt;&gt;设计如此",缺陷明细!$AA$2:$AA$50000,"&lt;&gt;重复Bug")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A$2:$AA$50000,"&lt;&gt;丢弃",缺陷明细!$AA$2:$AA$50000,"&lt;&gt;设计如此",缺陷明细!$AA$2:$AA$50000,"&lt;&gt;重复Bug")+COUNTIFS(缺陷明细!$A$2:$A$50000,$B$4,缺陷明细!$G$2:$G$50000,$C44,缺陷明细!$J$2:$J$50000,"运维测试",缺陷明细!$K$2:$K$50000,"严重",缺陷明细!$AA$2:$AA$50000,"&lt;&gt;丢弃",缺陷明细!$AA$2:$AA$50000,"&lt;&gt;设计如此",缺陷明细!$AA$2:$AA$50000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51"/>
    </row>
    <row r="45" spans="1:37">
      <c r="A45">
        <v>41</v>
      </c>
      <c r="B45" s="57"/>
      <c r="C45" s="58"/>
      <c r="D45" s="84"/>
      <c r="E45" s="82"/>
      <c r="F45" s="165"/>
      <c r="G45" s="166"/>
      <c r="H45" s="305">
        <f>COUNTIFS(缺陷明细!$A$2:$A$50000,$B$4,缺陷明细!$G$2:$G$50000,$C45,缺陷明细!$J$2:$J$50000,"评审",缺陷明细!$AA$2:$AA$50000,"&lt;&gt;丢弃",缺陷明细!$AA$2:$AA$50000,"&lt;&gt;设计如此",缺陷明细!$AA$2:$AA$50000,"&lt;&gt;重复Bug")</f>
        <v>0</v>
      </c>
      <c r="I45" s="161">
        <f>COUNTIFS(缺陷明细!$A$2:$A$50000,$B$4,缺陷明细!$G$2:$G$50000,$C45,缺陷明细!$Q$2:$Q$50000,"已关闭",缺陷明细!$J$2:$J$50000,"评审")</f>
        <v>0</v>
      </c>
      <c r="J45" s="161">
        <f>COUNTIFS(缺陷明细!$A$2:$A$50000,$B$4,缺陷明细!$G$2:$G$50000,$C45,缺陷明细!$J$2:$J$50000,"单元测试",缺陷明细!$AA$2:$AA$50000,"&lt;&gt;丢弃",缺陷明细!$AA$2:$AA$50000,"&lt;&gt;设计如此",缺陷明细!$AA$2:$AA$50000,"&lt;&gt;重复Bug")</f>
        <v>0</v>
      </c>
      <c r="K45" s="162">
        <f>COUNTIFS(缺陷明细!$A$2:$A$50000,$B$4,缺陷明细!$G$2:$G$50000,$C45,缺陷明细!$Q$2:$Q$50000,"已关闭",缺陷明细!$J$2:$J$50000,"单元测试")</f>
        <v>0</v>
      </c>
      <c r="L45" s="163"/>
      <c r="M45" s="164"/>
      <c r="N45" s="72">
        <f>COUNTIFS(缺陷明细!$A$2:$A$50000,$B$4,缺陷明细!$G$2:$G$50000,$C45,缺陷明细!$J$2:$J$50000,"系统测试案例评审",缺陷明细!$AA$2:$AA$50000,"&lt;&gt;丢弃",缺陷明细!$AA$2:$AA$50000,"&lt;&gt;设计如此",缺陷明细!$AA$2:$AA$50000,"&lt;&gt;重复Bug")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COUNTIFS(缺陷明细!$A$2:$A$50000,$B$4,缺陷明细!$G$2:$G$50000,$C45,缺陷明细!$J$2:$J$50000,"系统测试",缺陷明细!$AA$2:$AA$50000,"&lt;&gt;丢弃",缺陷明细!$AA$2:$AA$50000,"&lt;&gt;设计如此",缺陷明细!$AA$2:$AA$50000,"&lt;&gt;重复Bug")</f>
        <v>0</v>
      </c>
      <c r="Q45" s="72">
        <f>COUNTIFS(缺陷明细!$A$2:$A$50000,$B$4,缺陷明细!$G$2:$G$50000,$C45,缺陷明细!$Q$2:$Q$50000,"已关闭",缺陷明细!$J$2:$J$50000,"系统测试")</f>
        <v>0</v>
      </c>
      <c r="R45" s="72">
        <f>COUNTIFS(缺陷明细!$A$2:$A$50000,$B$4,缺陷明细!$G$2:$G$50000,$C45,缺陷明细!$AA$2:$AA$50000,"丢弃",缺陷明细!$J$2:$J$50000,"系统测试")+COUNTIFS(缺陷明细!$A$2:$A$50000,$B$4,缺陷明细!$G$2:$G$50000,$C45,缺陷明细!$AA$2:$AA$50000,"设计如此",缺陷明细!$J$2:$J$50000,"系统测试"+COUNTIFS(缺陷明细!$A$2:$A$50000,$B$4,缺陷明细!$G$2:$G$50000,$C45,缺陷明细!$AA$2:$AA$50000,"重复Bug",缺陷明细!$J$2:$J$50000,"系统测试"))</f>
        <v>0</v>
      </c>
      <c r="S45" s="72">
        <f>COUNTIFS(缺陷明细!$A$2:$A$50000,$B$4,缺陷明细!$G$2:$G$50000,$C45,缺陷明细!$J$2:$J$50000,"系统测试",缺陷明细!$K$2:$K$50000,"致命",缺陷明细!$AA$2:$AA$50000,"&lt;&gt;丢弃",缺陷明细!$AA$2:$AA$50000,"&lt;&gt;设计如此",缺陷明细!$AA$2:$AA$50000,"&lt;&gt;重复Bug")+COUNTIFS(缺陷明细!$A$2:$A$50000,$B$4,缺陷明细!$G$2:$G$50000,$C45,缺陷明细!$J$2:$J$50000,"系统测试",缺陷明细!$K$2:$K$50000,"严重",缺陷明细!$AA$2:$AA$50000,"&lt;&gt;丢弃",缺陷明细!$AA$2:$AA$50000,"&lt;&gt;设计如此",缺陷明细!$AA$2:$AA$50000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COUNTIFS(缺陷明细!$A$2:$A$50000,$B$4,缺陷明细!$G$2:$G$50000,$C45,缺陷明细!$J$2:$J$50000,"验收测试",缺陷明细!$AA$2:$AA$50000,"&lt;&gt;丢弃",缺陷明细!$AA$2:$AA$50000,"&lt;&gt;设计如此",缺陷明细!$AA$2:$AA$50000,"&lt;&gt;重复Bug")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A$2:$AA$50000,"&lt;&gt;丢弃",缺陷明细!$AA$2:$AA$50000,"&lt;&gt;设计如此",缺陷明细!$AA$2:$AA$50000,"&lt;&gt;重复Bug")+COUNTIFS(缺陷明细!$A$2:$A$50000,$B$4,缺陷明细!$G$2:$G$50000,$C45,缺陷明细!$J$2:$J$50000,"验收测试",缺陷明细!$K$2:$K$50000,"严重",缺陷明细!$AA$2:$AA$50000,"&lt;&gt;丢弃",缺陷明细!$AA$2:$AA$50000,"&lt;&gt;设计如此",缺陷明细!$AA$2:$AA$50000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COUNTIFS(缺陷明细!$A$2:$A$50000,$B$4,缺陷明细!$G$2:$G$50000,$C45,缺陷明细!$J$2:$J$50000,"运维测试",缺陷明细!$AA$2:$AA$50000,"&lt;&gt;丢弃",缺陷明细!$AA$2:$AA$50000,"&lt;&gt;设计如此",缺陷明细!$AA$2:$AA$50000,"&lt;&gt;重复Bug")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A$2:$AA$50000,"&lt;&gt;丢弃",缺陷明细!$AA$2:$AA$50000,"&lt;&gt;设计如此",缺陷明细!$AA$2:$AA$50000,"&lt;&gt;重复Bug")+COUNTIFS(缺陷明细!$A$2:$A$50000,$B$4,缺陷明细!$G$2:$G$50000,$C45,缺陷明细!$J$2:$J$50000,"运维测试",缺陷明细!$K$2:$K$50000,"严重",缺陷明细!$AA$2:$AA$50000,"&lt;&gt;丢弃",缺陷明细!$AA$2:$AA$50000,"&lt;&gt;设计如此",缺陷明细!$AA$2:$AA$50000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51"/>
    </row>
    <row r="46" spans="1:37">
      <c r="A46">
        <v>42</v>
      </c>
      <c r="B46" s="57"/>
      <c r="C46" s="58"/>
      <c r="D46" s="84"/>
      <c r="E46" s="82"/>
      <c r="F46" s="165"/>
      <c r="G46" s="166"/>
      <c r="H46" s="305">
        <f>COUNTIFS(缺陷明细!$A$2:$A$50000,$B$4,缺陷明细!$G$2:$G$50000,$C46,缺陷明细!$J$2:$J$50000,"评审",缺陷明细!$AA$2:$AA$50000,"&lt;&gt;丢弃",缺陷明细!$AA$2:$AA$50000,"&lt;&gt;设计如此",缺陷明细!$AA$2:$AA$50000,"&lt;&gt;重复Bug")</f>
        <v>0</v>
      </c>
      <c r="I46" s="161">
        <f>COUNTIFS(缺陷明细!$A$2:$A$50000,$B$4,缺陷明细!$G$2:$G$50000,$C46,缺陷明细!$Q$2:$Q$50000,"已关闭",缺陷明细!$J$2:$J$50000,"评审")</f>
        <v>0</v>
      </c>
      <c r="J46" s="161">
        <f>COUNTIFS(缺陷明细!$A$2:$A$50000,$B$4,缺陷明细!$G$2:$G$50000,$C46,缺陷明细!$J$2:$J$50000,"单元测试",缺陷明细!$AA$2:$AA$50000,"&lt;&gt;丢弃",缺陷明细!$AA$2:$AA$50000,"&lt;&gt;设计如此",缺陷明细!$AA$2:$AA$50000,"&lt;&gt;重复Bug")</f>
        <v>0</v>
      </c>
      <c r="K46" s="162">
        <f>COUNTIFS(缺陷明细!$A$2:$A$50000,$B$4,缺陷明细!$G$2:$G$50000,$C46,缺陷明细!$Q$2:$Q$50000,"已关闭",缺陷明细!$J$2:$J$50000,"单元测试")</f>
        <v>0</v>
      </c>
      <c r="L46" s="163"/>
      <c r="M46" s="164"/>
      <c r="N46" s="72">
        <f>COUNTIFS(缺陷明细!$A$2:$A$50000,$B$4,缺陷明细!$G$2:$G$50000,$C46,缺陷明细!$J$2:$J$50000,"系统测试案例评审",缺陷明细!$AA$2:$AA$50000,"&lt;&gt;丢弃",缺陷明细!$AA$2:$AA$50000,"&lt;&gt;设计如此",缺陷明细!$AA$2:$AA$50000,"&lt;&gt;重复Bug")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COUNTIFS(缺陷明细!$A$2:$A$50000,$B$4,缺陷明细!$G$2:$G$50000,$C46,缺陷明细!$J$2:$J$50000,"系统测试",缺陷明细!$AA$2:$AA$50000,"&lt;&gt;丢弃",缺陷明细!$AA$2:$AA$50000,"&lt;&gt;设计如此",缺陷明细!$AA$2:$AA$50000,"&lt;&gt;重复Bug")</f>
        <v>0</v>
      </c>
      <c r="Q46" s="72">
        <f>COUNTIFS(缺陷明细!$A$2:$A$50000,$B$4,缺陷明细!$G$2:$G$50000,$C46,缺陷明细!$Q$2:$Q$50000,"已关闭",缺陷明细!$J$2:$J$50000,"系统测试")</f>
        <v>0</v>
      </c>
      <c r="R46" s="72">
        <f>COUNTIFS(缺陷明细!$A$2:$A$50000,$B$4,缺陷明细!$G$2:$G$50000,$C46,缺陷明细!$AA$2:$AA$50000,"丢弃",缺陷明细!$J$2:$J$50000,"系统测试")+COUNTIFS(缺陷明细!$A$2:$A$50000,$B$4,缺陷明细!$G$2:$G$50000,$C46,缺陷明细!$AA$2:$AA$50000,"设计如此",缺陷明细!$J$2:$J$50000,"系统测试"+COUNTIFS(缺陷明细!$A$2:$A$50000,$B$4,缺陷明细!$G$2:$G$50000,$C46,缺陷明细!$AA$2:$AA$50000,"重复Bug",缺陷明细!$J$2:$J$50000,"系统测试"))</f>
        <v>0</v>
      </c>
      <c r="S46" s="72">
        <f>COUNTIFS(缺陷明细!$A$2:$A$50000,$B$4,缺陷明细!$G$2:$G$50000,$C46,缺陷明细!$J$2:$J$50000,"系统测试",缺陷明细!$K$2:$K$50000,"致命",缺陷明细!$AA$2:$AA$50000,"&lt;&gt;丢弃",缺陷明细!$AA$2:$AA$50000,"&lt;&gt;设计如此",缺陷明细!$AA$2:$AA$50000,"&lt;&gt;重复Bug")+COUNTIFS(缺陷明细!$A$2:$A$50000,$B$4,缺陷明细!$G$2:$G$50000,$C46,缺陷明细!$J$2:$J$50000,"系统测试",缺陷明细!$K$2:$K$50000,"严重",缺陷明细!$AA$2:$AA$50000,"&lt;&gt;丢弃",缺陷明细!$AA$2:$AA$50000,"&lt;&gt;设计如此",缺陷明细!$AA$2:$AA$50000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COUNTIFS(缺陷明细!$A$2:$A$50000,$B$4,缺陷明细!$G$2:$G$50000,$C46,缺陷明细!$J$2:$J$50000,"验收测试",缺陷明细!$AA$2:$AA$50000,"&lt;&gt;丢弃",缺陷明细!$AA$2:$AA$50000,"&lt;&gt;设计如此",缺陷明细!$AA$2:$AA$50000,"&lt;&gt;重复Bug")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A$2:$AA$50000,"&lt;&gt;丢弃",缺陷明细!$AA$2:$AA$50000,"&lt;&gt;设计如此",缺陷明细!$AA$2:$AA$50000,"&lt;&gt;重复Bug")+COUNTIFS(缺陷明细!$A$2:$A$50000,$B$4,缺陷明细!$G$2:$G$50000,$C46,缺陷明细!$J$2:$J$50000,"验收测试",缺陷明细!$K$2:$K$50000,"严重",缺陷明细!$AA$2:$AA$50000,"&lt;&gt;丢弃",缺陷明细!$AA$2:$AA$50000,"&lt;&gt;设计如此",缺陷明细!$AA$2:$AA$50000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COUNTIFS(缺陷明细!$A$2:$A$50000,$B$4,缺陷明细!$G$2:$G$50000,$C46,缺陷明细!$J$2:$J$50000,"运维测试",缺陷明细!$AA$2:$AA$50000,"&lt;&gt;丢弃",缺陷明细!$AA$2:$AA$50000,"&lt;&gt;设计如此",缺陷明细!$AA$2:$AA$50000,"&lt;&gt;重复Bug")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A$2:$AA$50000,"&lt;&gt;丢弃",缺陷明细!$AA$2:$AA$50000,"&lt;&gt;设计如此",缺陷明细!$AA$2:$AA$50000,"&lt;&gt;重复Bug")+COUNTIFS(缺陷明细!$A$2:$A$50000,$B$4,缺陷明细!$G$2:$G$50000,$C46,缺陷明细!$J$2:$J$50000,"运维测试",缺陷明细!$K$2:$K$50000,"严重",缺陷明细!$AA$2:$AA$50000,"&lt;&gt;丢弃",缺陷明细!$AA$2:$AA$50000,"&lt;&gt;设计如此",缺陷明细!$AA$2:$AA$50000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51"/>
    </row>
    <row r="47" spans="1:37">
      <c r="A47">
        <v>43</v>
      </c>
      <c r="B47" s="57"/>
      <c r="C47" s="58"/>
      <c r="D47" s="84"/>
      <c r="E47" s="82"/>
      <c r="F47" s="165"/>
      <c r="G47" s="166"/>
      <c r="H47" s="305">
        <f>COUNTIFS(缺陷明细!$A$2:$A$50000,$B$4,缺陷明细!$G$2:$G$50000,$C47,缺陷明细!$J$2:$J$50000,"评审",缺陷明细!$AA$2:$AA$50000,"&lt;&gt;丢弃",缺陷明细!$AA$2:$AA$50000,"&lt;&gt;设计如此",缺陷明细!$AA$2:$AA$50000,"&lt;&gt;重复Bug")</f>
        <v>0</v>
      </c>
      <c r="I47" s="161">
        <f>COUNTIFS(缺陷明细!$A$2:$A$50000,$B$4,缺陷明细!$G$2:$G$50000,$C47,缺陷明细!$Q$2:$Q$50000,"已关闭",缺陷明细!$J$2:$J$50000,"评审")</f>
        <v>0</v>
      </c>
      <c r="J47" s="161">
        <f>COUNTIFS(缺陷明细!$A$2:$A$50000,$B$4,缺陷明细!$G$2:$G$50000,$C47,缺陷明细!$J$2:$J$50000,"单元测试",缺陷明细!$AA$2:$AA$50000,"&lt;&gt;丢弃",缺陷明细!$AA$2:$AA$50000,"&lt;&gt;设计如此",缺陷明细!$AA$2:$AA$50000,"&lt;&gt;重复Bug")</f>
        <v>0</v>
      </c>
      <c r="K47" s="162">
        <f>COUNTIFS(缺陷明细!$A$2:$A$50000,$B$4,缺陷明细!$G$2:$G$50000,$C47,缺陷明细!$Q$2:$Q$50000,"已关闭",缺陷明细!$J$2:$J$50000,"单元测试")</f>
        <v>0</v>
      </c>
      <c r="L47" s="163"/>
      <c r="M47" s="164"/>
      <c r="N47" s="72">
        <f>COUNTIFS(缺陷明细!$A$2:$A$50000,$B$4,缺陷明细!$G$2:$G$50000,$C47,缺陷明细!$J$2:$J$50000,"系统测试案例评审",缺陷明细!$AA$2:$AA$50000,"&lt;&gt;丢弃",缺陷明细!$AA$2:$AA$50000,"&lt;&gt;设计如此",缺陷明细!$AA$2:$AA$50000,"&lt;&gt;重复Bug")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COUNTIFS(缺陷明细!$A$2:$A$50000,$B$4,缺陷明细!$G$2:$G$50000,$C47,缺陷明细!$J$2:$J$50000,"系统测试",缺陷明细!$AA$2:$AA$50000,"&lt;&gt;丢弃",缺陷明细!$AA$2:$AA$50000,"&lt;&gt;设计如此",缺陷明细!$AA$2:$AA$50000,"&lt;&gt;重复Bug")</f>
        <v>0</v>
      </c>
      <c r="Q47" s="72">
        <f>COUNTIFS(缺陷明细!$A$2:$A$50000,$B$4,缺陷明细!$G$2:$G$50000,$C47,缺陷明细!$Q$2:$Q$50000,"已关闭",缺陷明细!$J$2:$J$50000,"系统测试")</f>
        <v>0</v>
      </c>
      <c r="R47" s="72">
        <f>COUNTIFS(缺陷明细!$A$2:$A$50000,$B$4,缺陷明细!$G$2:$G$50000,$C47,缺陷明细!$AA$2:$AA$50000,"丢弃",缺陷明细!$J$2:$J$50000,"系统测试")+COUNTIFS(缺陷明细!$A$2:$A$50000,$B$4,缺陷明细!$G$2:$G$50000,$C47,缺陷明细!$AA$2:$AA$50000,"设计如此",缺陷明细!$J$2:$J$50000,"系统测试"+COUNTIFS(缺陷明细!$A$2:$A$50000,$B$4,缺陷明细!$G$2:$G$50000,$C47,缺陷明细!$AA$2:$AA$50000,"重复Bug",缺陷明细!$J$2:$J$50000,"系统测试"))</f>
        <v>0</v>
      </c>
      <c r="S47" s="72">
        <f>COUNTIFS(缺陷明细!$A$2:$A$50000,$B$4,缺陷明细!$G$2:$G$50000,$C47,缺陷明细!$J$2:$J$50000,"系统测试",缺陷明细!$K$2:$K$50000,"致命",缺陷明细!$AA$2:$AA$50000,"&lt;&gt;丢弃",缺陷明细!$AA$2:$AA$50000,"&lt;&gt;设计如此",缺陷明细!$AA$2:$AA$50000,"&lt;&gt;重复Bug")+COUNTIFS(缺陷明细!$A$2:$A$50000,$B$4,缺陷明细!$G$2:$G$50000,$C47,缺陷明细!$J$2:$J$50000,"系统测试",缺陷明细!$K$2:$K$50000,"严重",缺陷明细!$AA$2:$AA$50000,"&lt;&gt;丢弃",缺陷明细!$AA$2:$AA$50000,"&lt;&gt;设计如此",缺陷明细!$AA$2:$AA$50000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COUNTIFS(缺陷明细!$A$2:$A$50000,$B$4,缺陷明细!$G$2:$G$50000,$C47,缺陷明细!$J$2:$J$50000,"验收测试",缺陷明细!$AA$2:$AA$50000,"&lt;&gt;丢弃",缺陷明细!$AA$2:$AA$50000,"&lt;&gt;设计如此",缺陷明细!$AA$2:$AA$50000,"&lt;&gt;重复Bug")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A$2:$AA$50000,"&lt;&gt;丢弃",缺陷明细!$AA$2:$AA$50000,"&lt;&gt;设计如此",缺陷明细!$AA$2:$AA$50000,"&lt;&gt;重复Bug")+COUNTIFS(缺陷明细!$A$2:$A$50000,$B$4,缺陷明细!$G$2:$G$50000,$C47,缺陷明细!$J$2:$J$50000,"验收测试",缺陷明细!$K$2:$K$50000,"严重",缺陷明细!$AA$2:$AA$50000,"&lt;&gt;丢弃",缺陷明细!$AA$2:$AA$50000,"&lt;&gt;设计如此",缺陷明细!$AA$2:$AA$50000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COUNTIFS(缺陷明细!$A$2:$A$50000,$B$4,缺陷明细!$G$2:$G$50000,$C47,缺陷明细!$J$2:$J$50000,"运维测试",缺陷明细!$AA$2:$AA$50000,"&lt;&gt;丢弃",缺陷明细!$AA$2:$AA$50000,"&lt;&gt;设计如此",缺陷明细!$AA$2:$AA$50000,"&lt;&gt;重复Bug")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A$2:$AA$50000,"&lt;&gt;丢弃",缺陷明细!$AA$2:$AA$50000,"&lt;&gt;设计如此",缺陷明细!$AA$2:$AA$50000,"&lt;&gt;重复Bug")+COUNTIFS(缺陷明细!$A$2:$A$50000,$B$4,缺陷明细!$G$2:$G$50000,$C47,缺陷明细!$J$2:$J$50000,"运维测试",缺陷明细!$K$2:$K$50000,"严重",缺陷明细!$AA$2:$AA$50000,"&lt;&gt;丢弃",缺陷明细!$AA$2:$AA$50000,"&lt;&gt;设计如此",缺陷明细!$AA$2:$AA$50000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51"/>
    </row>
    <row r="48" spans="1:37">
      <c r="A48">
        <v>44</v>
      </c>
      <c r="B48" s="57"/>
      <c r="C48" s="58"/>
      <c r="D48" s="84"/>
      <c r="E48" s="82"/>
      <c r="F48" s="165"/>
      <c r="G48" s="166"/>
      <c r="H48" s="305">
        <f>COUNTIFS(缺陷明细!$A$2:$A$50000,$B$4,缺陷明细!$G$2:$G$50000,$C48,缺陷明细!$J$2:$J$50000,"评审",缺陷明细!$AA$2:$AA$50000,"&lt;&gt;丢弃",缺陷明细!$AA$2:$AA$50000,"&lt;&gt;设计如此",缺陷明细!$AA$2:$AA$50000,"&lt;&gt;重复Bug")</f>
        <v>0</v>
      </c>
      <c r="I48" s="161">
        <f>COUNTIFS(缺陷明细!$A$2:$A$50000,$B$4,缺陷明细!$G$2:$G$50000,$C48,缺陷明细!$Q$2:$Q$50000,"已关闭",缺陷明细!$J$2:$J$50000,"评审")</f>
        <v>0</v>
      </c>
      <c r="J48" s="161">
        <f>COUNTIFS(缺陷明细!$A$2:$A$50000,$B$4,缺陷明细!$G$2:$G$50000,$C48,缺陷明细!$J$2:$J$50000,"单元测试",缺陷明细!$AA$2:$AA$50000,"&lt;&gt;丢弃",缺陷明细!$AA$2:$AA$50000,"&lt;&gt;设计如此",缺陷明细!$AA$2:$AA$50000,"&lt;&gt;重复Bug")</f>
        <v>0</v>
      </c>
      <c r="K48" s="162">
        <f>COUNTIFS(缺陷明细!$A$2:$A$50000,$B$4,缺陷明细!$G$2:$G$50000,$C48,缺陷明细!$Q$2:$Q$50000,"已关闭",缺陷明细!$J$2:$J$50000,"单元测试")</f>
        <v>0</v>
      </c>
      <c r="L48" s="163"/>
      <c r="M48" s="164"/>
      <c r="N48" s="72">
        <f>COUNTIFS(缺陷明细!$A$2:$A$50000,$B$4,缺陷明细!$G$2:$G$50000,$C48,缺陷明细!$J$2:$J$50000,"系统测试案例评审",缺陷明细!$AA$2:$AA$50000,"&lt;&gt;丢弃",缺陷明细!$AA$2:$AA$50000,"&lt;&gt;设计如此",缺陷明细!$AA$2:$AA$50000,"&lt;&gt;重复Bug")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COUNTIFS(缺陷明细!$A$2:$A$50000,$B$4,缺陷明细!$G$2:$G$50000,$C48,缺陷明细!$J$2:$J$50000,"系统测试",缺陷明细!$AA$2:$AA$50000,"&lt;&gt;丢弃",缺陷明细!$AA$2:$AA$50000,"&lt;&gt;设计如此",缺陷明细!$AA$2:$AA$50000,"&lt;&gt;重复Bug")</f>
        <v>0</v>
      </c>
      <c r="Q48" s="72">
        <f>COUNTIFS(缺陷明细!$A$2:$A$50000,$B$4,缺陷明细!$G$2:$G$50000,$C48,缺陷明细!$Q$2:$Q$50000,"已关闭",缺陷明细!$J$2:$J$50000,"系统测试")</f>
        <v>0</v>
      </c>
      <c r="R48" s="72">
        <f>COUNTIFS(缺陷明细!$A$2:$A$50000,$B$4,缺陷明细!$G$2:$G$50000,$C48,缺陷明细!$AA$2:$AA$50000,"丢弃",缺陷明细!$J$2:$J$50000,"系统测试")+COUNTIFS(缺陷明细!$A$2:$A$50000,$B$4,缺陷明细!$G$2:$G$50000,$C48,缺陷明细!$AA$2:$AA$50000,"设计如此",缺陷明细!$J$2:$J$50000,"系统测试"+COUNTIFS(缺陷明细!$A$2:$A$50000,$B$4,缺陷明细!$G$2:$G$50000,$C48,缺陷明细!$AA$2:$AA$50000,"重复Bug",缺陷明细!$J$2:$J$50000,"系统测试"))</f>
        <v>0</v>
      </c>
      <c r="S48" s="72">
        <f>COUNTIFS(缺陷明细!$A$2:$A$50000,$B$4,缺陷明细!$G$2:$G$50000,$C48,缺陷明细!$J$2:$J$50000,"系统测试",缺陷明细!$K$2:$K$50000,"致命",缺陷明细!$AA$2:$AA$50000,"&lt;&gt;丢弃",缺陷明细!$AA$2:$AA$50000,"&lt;&gt;设计如此",缺陷明细!$AA$2:$AA$50000,"&lt;&gt;重复Bug")+COUNTIFS(缺陷明细!$A$2:$A$50000,$B$4,缺陷明细!$G$2:$G$50000,$C48,缺陷明细!$J$2:$J$50000,"系统测试",缺陷明细!$K$2:$K$50000,"严重",缺陷明细!$AA$2:$AA$50000,"&lt;&gt;丢弃",缺陷明细!$AA$2:$AA$50000,"&lt;&gt;设计如此",缺陷明细!$AA$2:$AA$50000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COUNTIFS(缺陷明细!$A$2:$A$50000,$B$4,缺陷明细!$G$2:$G$50000,$C48,缺陷明细!$J$2:$J$50000,"验收测试",缺陷明细!$AA$2:$AA$50000,"&lt;&gt;丢弃",缺陷明细!$AA$2:$AA$50000,"&lt;&gt;设计如此",缺陷明细!$AA$2:$AA$50000,"&lt;&gt;重复Bug")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A$2:$AA$50000,"&lt;&gt;丢弃",缺陷明细!$AA$2:$AA$50000,"&lt;&gt;设计如此",缺陷明细!$AA$2:$AA$50000,"&lt;&gt;重复Bug")+COUNTIFS(缺陷明细!$A$2:$A$50000,$B$4,缺陷明细!$G$2:$G$50000,$C48,缺陷明细!$J$2:$J$50000,"验收测试",缺陷明细!$K$2:$K$50000,"严重",缺陷明细!$AA$2:$AA$50000,"&lt;&gt;丢弃",缺陷明细!$AA$2:$AA$50000,"&lt;&gt;设计如此",缺陷明细!$AA$2:$AA$50000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COUNTIFS(缺陷明细!$A$2:$A$50000,$B$4,缺陷明细!$G$2:$G$50000,$C48,缺陷明细!$J$2:$J$50000,"运维测试",缺陷明细!$AA$2:$AA$50000,"&lt;&gt;丢弃",缺陷明细!$AA$2:$AA$50000,"&lt;&gt;设计如此",缺陷明细!$AA$2:$AA$50000,"&lt;&gt;重复Bug")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A$2:$AA$50000,"&lt;&gt;丢弃",缺陷明细!$AA$2:$AA$50000,"&lt;&gt;设计如此",缺陷明细!$AA$2:$AA$50000,"&lt;&gt;重复Bug")+COUNTIFS(缺陷明细!$A$2:$A$50000,$B$4,缺陷明细!$G$2:$G$50000,$C48,缺陷明细!$J$2:$J$50000,"运维测试",缺陷明细!$K$2:$K$50000,"严重",缺陷明细!$AA$2:$AA$50000,"&lt;&gt;丢弃",缺陷明细!$AA$2:$AA$50000,"&lt;&gt;设计如此",缺陷明细!$AA$2:$AA$50000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51"/>
    </row>
    <row r="49" spans="1:37">
      <c r="A49">
        <v>45</v>
      </c>
      <c r="B49" s="57"/>
      <c r="C49" s="58"/>
      <c r="D49" s="84"/>
      <c r="E49" s="82"/>
      <c r="F49" s="165"/>
      <c r="G49" s="166"/>
      <c r="H49" s="305">
        <f>COUNTIFS(缺陷明细!$A$2:$A$50000,$B$4,缺陷明细!$G$2:$G$50000,$C49,缺陷明细!$J$2:$J$50000,"评审",缺陷明细!$AA$2:$AA$50000,"&lt;&gt;丢弃",缺陷明细!$AA$2:$AA$50000,"&lt;&gt;设计如此",缺陷明细!$AA$2:$AA$50000,"&lt;&gt;重复Bug")</f>
        <v>0</v>
      </c>
      <c r="I49" s="161">
        <f>COUNTIFS(缺陷明细!$A$2:$A$50000,$B$4,缺陷明细!$G$2:$G$50000,$C49,缺陷明细!$Q$2:$Q$50000,"已关闭",缺陷明细!$J$2:$J$50000,"评审")</f>
        <v>0</v>
      </c>
      <c r="J49" s="161">
        <f>COUNTIFS(缺陷明细!$A$2:$A$50000,$B$4,缺陷明细!$G$2:$G$50000,$C49,缺陷明细!$J$2:$J$50000,"单元测试",缺陷明细!$AA$2:$AA$50000,"&lt;&gt;丢弃",缺陷明细!$AA$2:$AA$50000,"&lt;&gt;设计如此",缺陷明细!$AA$2:$AA$50000,"&lt;&gt;重复Bug")</f>
        <v>0</v>
      </c>
      <c r="K49" s="162">
        <f>COUNTIFS(缺陷明细!$A$2:$A$50000,$B$4,缺陷明细!$G$2:$G$50000,$C49,缺陷明细!$Q$2:$Q$50000,"已关闭",缺陷明细!$J$2:$J$50000,"单元测试")</f>
        <v>0</v>
      </c>
      <c r="L49" s="163"/>
      <c r="M49" s="164"/>
      <c r="N49" s="72">
        <f>COUNTIFS(缺陷明细!$A$2:$A$50000,$B$4,缺陷明细!$G$2:$G$50000,$C49,缺陷明细!$J$2:$J$50000,"系统测试案例评审",缺陷明细!$AA$2:$AA$50000,"&lt;&gt;丢弃",缺陷明细!$AA$2:$AA$50000,"&lt;&gt;设计如此",缺陷明细!$AA$2:$AA$50000,"&lt;&gt;重复Bug")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COUNTIFS(缺陷明细!$A$2:$A$50000,$B$4,缺陷明细!$G$2:$G$50000,$C49,缺陷明细!$J$2:$J$50000,"系统测试",缺陷明细!$AA$2:$AA$50000,"&lt;&gt;丢弃",缺陷明细!$AA$2:$AA$50000,"&lt;&gt;设计如此",缺陷明细!$AA$2:$AA$50000,"&lt;&gt;重复Bug")</f>
        <v>0</v>
      </c>
      <c r="Q49" s="72">
        <f>COUNTIFS(缺陷明细!$A$2:$A$50000,$B$4,缺陷明细!$G$2:$G$50000,$C49,缺陷明细!$Q$2:$Q$50000,"已关闭",缺陷明细!$J$2:$J$50000,"系统测试")</f>
        <v>0</v>
      </c>
      <c r="R49" s="72">
        <f>COUNTIFS(缺陷明细!$A$2:$A$50000,$B$4,缺陷明细!$G$2:$G$50000,$C49,缺陷明细!$AA$2:$AA$50000,"丢弃",缺陷明细!$J$2:$J$50000,"系统测试")+COUNTIFS(缺陷明细!$A$2:$A$50000,$B$4,缺陷明细!$G$2:$G$50000,$C49,缺陷明细!$AA$2:$AA$50000,"设计如此",缺陷明细!$J$2:$J$50000,"系统测试"+COUNTIFS(缺陷明细!$A$2:$A$50000,$B$4,缺陷明细!$G$2:$G$50000,$C49,缺陷明细!$AA$2:$AA$50000,"重复Bug",缺陷明细!$J$2:$J$50000,"系统测试"))</f>
        <v>0</v>
      </c>
      <c r="S49" s="72">
        <f>COUNTIFS(缺陷明细!$A$2:$A$50000,$B$4,缺陷明细!$G$2:$G$50000,$C49,缺陷明细!$J$2:$J$50000,"系统测试",缺陷明细!$K$2:$K$50000,"致命",缺陷明细!$AA$2:$AA$50000,"&lt;&gt;丢弃",缺陷明细!$AA$2:$AA$50000,"&lt;&gt;设计如此",缺陷明细!$AA$2:$AA$50000,"&lt;&gt;重复Bug")+COUNTIFS(缺陷明细!$A$2:$A$50000,$B$4,缺陷明细!$G$2:$G$50000,$C49,缺陷明细!$J$2:$J$50000,"系统测试",缺陷明细!$K$2:$K$50000,"严重",缺陷明细!$AA$2:$AA$50000,"&lt;&gt;丢弃",缺陷明细!$AA$2:$AA$50000,"&lt;&gt;设计如此",缺陷明细!$AA$2:$AA$50000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COUNTIFS(缺陷明细!$A$2:$A$50000,$B$4,缺陷明细!$G$2:$G$50000,$C49,缺陷明细!$J$2:$J$50000,"验收测试",缺陷明细!$AA$2:$AA$50000,"&lt;&gt;丢弃",缺陷明细!$AA$2:$AA$50000,"&lt;&gt;设计如此",缺陷明细!$AA$2:$AA$50000,"&lt;&gt;重复Bug")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A$2:$AA$50000,"&lt;&gt;丢弃",缺陷明细!$AA$2:$AA$50000,"&lt;&gt;设计如此",缺陷明细!$AA$2:$AA$50000,"&lt;&gt;重复Bug")+COUNTIFS(缺陷明细!$A$2:$A$50000,$B$4,缺陷明细!$G$2:$G$50000,$C49,缺陷明细!$J$2:$J$50000,"验收测试",缺陷明细!$K$2:$K$50000,"严重",缺陷明细!$AA$2:$AA$50000,"&lt;&gt;丢弃",缺陷明细!$AA$2:$AA$50000,"&lt;&gt;设计如此",缺陷明细!$AA$2:$AA$50000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COUNTIFS(缺陷明细!$A$2:$A$50000,$B$4,缺陷明细!$G$2:$G$50000,$C49,缺陷明细!$J$2:$J$50000,"运维测试",缺陷明细!$AA$2:$AA$50000,"&lt;&gt;丢弃",缺陷明细!$AA$2:$AA$50000,"&lt;&gt;设计如此",缺陷明细!$AA$2:$AA$50000,"&lt;&gt;重复Bug")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A$2:$AA$50000,"&lt;&gt;丢弃",缺陷明细!$AA$2:$AA$50000,"&lt;&gt;设计如此",缺陷明细!$AA$2:$AA$50000,"&lt;&gt;重复Bug")+COUNTIFS(缺陷明细!$A$2:$A$50000,$B$4,缺陷明细!$G$2:$G$50000,$C49,缺陷明细!$J$2:$J$50000,"运维测试",缺陷明细!$K$2:$K$50000,"严重",缺陷明细!$AA$2:$AA$50000,"&lt;&gt;丢弃",缺陷明细!$AA$2:$AA$50000,"&lt;&gt;设计如此",缺陷明细!$AA$2:$AA$50000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51"/>
    </row>
    <row r="50" spans="1:37">
      <c r="A50">
        <v>46</v>
      </c>
      <c r="B50" s="57"/>
      <c r="C50" s="58"/>
      <c r="D50" s="84"/>
      <c r="E50" s="82"/>
      <c r="F50" s="165"/>
      <c r="G50" s="166"/>
      <c r="H50" s="305">
        <f>COUNTIFS(缺陷明细!$A$2:$A$50000,$B$4,缺陷明细!$G$2:$G$50000,$C50,缺陷明细!$J$2:$J$50000,"评审",缺陷明细!$AA$2:$AA$50000,"&lt;&gt;丢弃",缺陷明细!$AA$2:$AA$50000,"&lt;&gt;设计如此",缺陷明细!$AA$2:$AA$50000,"&lt;&gt;重复Bug")</f>
        <v>0</v>
      </c>
      <c r="I50" s="161">
        <f>COUNTIFS(缺陷明细!$A$2:$A$50000,$B$4,缺陷明细!$G$2:$G$50000,$C50,缺陷明细!$Q$2:$Q$50000,"已关闭",缺陷明细!$J$2:$J$50000,"评审")</f>
        <v>0</v>
      </c>
      <c r="J50" s="161">
        <f>COUNTIFS(缺陷明细!$A$2:$A$50000,$B$4,缺陷明细!$G$2:$G$50000,$C50,缺陷明细!$J$2:$J$50000,"单元测试",缺陷明细!$AA$2:$AA$50000,"&lt;&gt;丢弃",缺陷明细!$AA$2:$AA$50000,"&lt;&gt;设计如此",缺陷明细!$AA$2:$AA$50000,"&lt;&gt;重复Bug")</f>
        <v>0</v>
      </c>
      <c r="K50" s="162">
        <f>COUNTIFS(缺陷明细!$A$2:$A$50000,$B$4,缺陷明细!$G$2:$G$50000,$C50,缺陷明细!$Q$2:$Q$50000,"已关闭",缺陷明细!$J$2:$J$50000,"单元测试")</f>
        <v>0</v>
      </c>
      <c r="L50" s="163"/>
      <c r="M50" s="164"/>
      <c r="N50" s="72">
        <f>COUNTIFS(缺陷明细!$A$2:$A$50000,$B$4,缺陷明细!$G$2:$G$50000,$C50,缺陷明细!$J$2:$J$50000,"系统测试案例评审",缺陷明细!$AA$2:$AA$50000,"&lt;&gt;丢弃",缺陷明细!$AA$2:$AA$50000,"&lt;&gt;设计如此",缺陷明细!$AA$2:$AA$50000,"&lt;&gt;重复Bug")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COUNTIFS(缺陷明细!$A$2:$A$50000,$B$4,缺陷明细!$G$2:$G$50000,$C50,缺陷明细!$J$2:$J$50000,"系统测试",缺陷明细!$AA$2:$AA$50000,"&lt;&gt;丢弃",缺陷明细!$AA$2:$AA$50000,"&lt;&gt;设计如此",缺陷明细!$AA$2:$AA$50000,"&lt;&gt;重复Bug")</f>
        <v>0</v>
      </c>
      <c r="Q50" s="72">
        <f>COUNTIFS(缺陷明细!$A$2:$A$50000,$B$4,缺陷明细!$G$2:$G$50000,$C50,缺陷明细!$Q$2:$Q$50000,"已关闭",缺陷明细!$J$2:$J$50000,"系统测试")</f>
        <v>0</v>
      </c>
      <c r="R50" s="72">
        <f>COUNTIFS(缺陷明细!$A$2:$A$50000,$B$4,缺陷明细!$G$2:$G$50000,$C50,缺陷明细!$AA$2:$AA$50000,"丢弃",缺陷明细!$J$2:$J$50000,"系统测试")+COUNTIFS(缺陷明细!$A$2:$A$50000,$B$4,缺陷明细!$G$2:$G$50000,$C50,缺陷明细!$AA$2:$AA$50000,"设计如此",缺陷明细!$J$2:$J$50000,"系统测试"+COUNTIFS(缺陷明细!$A$2:$A$50000,$B$4,缺陷明细!$G$2:$G$50000,$C50,缺陷明细!$AA$2:$AA$50000,"重复Bug",缺陷明细!$J$2:$J$50000,"系统测试"))</f>
        <v>0</v>
      </c>
      <c r="S50" s="72">
        <f>COUNTIFS(缺陷明细!$A$2:$A$50000,$B$4,缺陷明细!$G$2:$G$50000,$C50,缺陷明细!$J$2:$J$50000,"系统测试",缺陷明细!$K$2:$K$50000,"致命",缺陷明细!$AA$2:$AA$50000,"&lt;&gt;丢弃",缺陷明细!$AA$2:$AA$50000,"&lt;&gt;设计如此",缺陷明细!$AA$2:$AA$50000,"&lt;&gt;重复Bug")+COUNTIFS(缺陷明细!$A$2:$A$50000,$B$4,缺陷明细!$G$2:$G$50000,$C50,缺陷明细!$J$2:$J$50000,"系统测试",缺陷明细!$K$2:$K$50000,"严重",缺陷明细!$AA$2:$AA$50000,"&lt;&gt;丢弃",缺陷明细!$AA$2:$AA$50000,"&lt;&gt;设计如此",缺陷明细!$AA$2:$AA$50000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COUNTIFS(缺陷明细!$A$2:$A$50000,$B$4,缺陷明细!$G$2:$G$50000,$C50,缺陷明细!$J$2:$J$50000,"验收测试",缺陷明细!$AA$2:$AA$50000,"&lt;&gt;丢弃",缺陷明细!$AA$2:$AA$50000,"&lt;&gt;设计如此",缺陷明细!$AA$2:$AA$50000,"&lt;&gt;重复Bug")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A$2:$AA$50000,"&lt;&gt;丢弃",缺陷明细!$AA$2:$AA$50000,"&lt;&gt;设计如此",缺陷明细!$AA$2:$AA$50000,"&lt;&gt;重复Bug")+COUNTIFS(缺陷明细!$A$2:$A$50000,$B$4,缺陷明细!$G$2:$G$50000,$C50,缺陷明细!$J$2:$J$50000,"验收测试",缺陷明细!$K$2:$K$50000,"严重",缺陷明细!$AA$2:$AA$50000,"&lt;&gt;丢弃",缺陷明细!$AA$2:$AA$50000,"&lt;&gt;设计如此",缺陷明细!$AA$2:$AA$50000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COUNTIFS(缺陷明细!$A$2:$A$50000,$B$4,缺陷明细!$G$2:$G$50000,$C50,缺陷明细!$J$2:$J$50000,"运维测试",缺陷明细!$AA$2:$AA$50000,"&lt;&gt;丢弃",缺陷明细!$AA$2:$AA$50000,"&lt;&gt;设计如此",缺陷明细!$AA$2:$AA$50000,"&lt;&gt;重复Bug")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A$2:$AA$50000,"&lt;&gt;丢弃",缺陷明细!$AA$2:$AA$50000,"&lt;&gt;设计如此",缺陷明细!$AA$2:$AA$50000,"&lt;&gt;重复Bug")+COUNTIFS(缺陷明细!$A$2:$A$50000,$B$4,缺陷明细!$G$2:$G$50000,$C50,缺陷明细!$J$2:$J$50000,"运维测试",缺陷明细!$K$2:$K$50000,"严重",缺陷明细!$AA$2:$AA$50000,"&lt;&gt;丢弃",缺陷明细!$AA$2:$AA$50000,"&lt;&gt;设计如此",缺陷明细!$AA$2:$AA$50000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51"/>
    </row>
    <row r="51" spans="1:37">
      <c r="A51">
        <v>47</v>
      </c>
      <c r="B51" s="57"/>
      <c r="C51" s="58"/>
      <c r="D51" s="84"/>
      <c r="E51" s="82"/>
      <c r="F51" s="165"/>
      <c r="G51" s="166"/>
      <c r="H51" s="305">
        <f>COUNTIFS(缺陷明细!$A$2:$A$50000,$B$4,缺陷明细!$G$2:$G$50000,$C51,缺陷明细!$J$2:$J$50000,"评审",缺陷明细!$AA$2:$AA$50000,"&lt;&gt;丢弃",缺陷明细!$AA$2:$AA$50000,"&lt;&gt;设计如此",缺陷明细!$AA$2:$AA$50000,"&lt;&gt;重复Bug")</f>
        <v>0</v>
      </c>
      <c r="I51" s="161">
        <f>COUNTIFS(缺陷明细!$A$2:$A$50000,$B$4,缺陷明细!$G$2:$G$50000,$C51,缺陷明细!$Q$2:$Q$50000,"已关闭",缺陷明细!$J$2:$J$50000,"评审")</f>
        <v>0</v>
      </c>
      <c r="J51" s="161">
        <f>COUNTIFS(缺陷明细!$A$2:$A$50000,$B$4,缺陷明细!$G$2:$G$50000,$C51,缺陷明细!$J$2:$J$50000,"单元测试",缺陷明细!$AA$2:$AA$50000,"&lt;&gt;丢弃",缺陷明细!$AA$2:$AA$50000,"&lt;&gt;设计如此",缺陷明细!$AA$2:$AA$50000,"&lt;&gt;重复Bug")</f>
        <v>0</v>
      </c>
      <c r="K51" s="162">
        <f>COUNTIFS(缺陷明细!$A$2:$A$50000,$B$4,缺陷明细!$G$2:$G$50000,$C51,缺陷明细!$Q$2:$Q$50000,"已关闭",缺陷明细!$J$2:$J$50000,"单元测试")</f>
        <v>0</v>
      </c>
      <c r="L51" s="163"/>
      <c r="M51" s="164"/>
      <c r="N51" s="72">
        <f>COUNTIFS(缺陷明细!$A$2:$A$50000,$B$4,缺陷明细!$G$2:$G$50000,$C51,缺陷明细!$J$2:$J$50000,"系统测试案例评审",缺陷明细!$AA$2:$AA$50000,"&lt;&gt;丢弃",缺陷明细!$AA$2:$AA$50000,"&lt;&gt;设计如此",缺陷明细!$AA$2:$AA$50000,"&lt;&gt;重复Bug")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COUNTIFS(缺陷明细!$A$2:$A$50000,$B$4,缺陷明细!$G$2:$G$50000,$C51,缺陷明细!$J$2:$J$50000,"系统测试",缺陷明细!$AA$2:$AA$50000,"&lt;&gt;丢弃",缺陷明细!$AA$2:$AA$50000,"&lt;&gt;设计如此",缺陷明细!$AA$2:$AA$50000,"&lt;&gt;重复Bug")</f>
        <v>0</v>
      </c>
      <c r="Q51" s="72">
        <f>COUNTIFS(缺陷明细!$A$2:$A$50000,$B$4,缺陷明细!$G$2:$G$50000,$C51,缺陷明细!$Q$2:$Q$50000,"已关闭",缺陷明细!$J$2:$J$50000,"系统测试")</f>
        <v>0</v>
      </c>
      <c r="R51" s="72">
        <f>COUNTIFS(缺陷明细!$A$2:$A$50000,$B$4,缺陷明细!$G$2:$G$50000,$C51,缺陷明细!$AA$2:$AA$50000,"丢弃",缺陷明细!$J$2:$J$50000,"系统测试")+COUNTIFS(缺陷明细!$A$2:$A$50000,$B$4,缺陷明细!$G$2:$G$50000,$C51,缺陷明细!$AA$2:$AA$50000,"设计如此",缺陷明细!$J$2:$J$50000,"系统测试"+COUNTIFS(缺陷明细!$A$2:$A$50000,$B$4,缺陷明细!$G$2:$G$50000,$C51,缺陷明细!$AA$2:$AA$50000,"重复Bug",缺陷明细!$J$2:$J$50000,"系统测试"))</f>
        <v>0</v>
      </c>
      <c r="S51" s="72">
        <f>COUNTIFS(缺陷明细!$A$2:$A$50000,$B$4,缺陷明细!$G$2:$G$50000,$C51,缺陷明细!$J$2:$J$50000,"系统测试",缺陷明细!$K$2:$K$50000,"致命",缺陷明细!$AA$2:$AA$50000,"&lt;&gt;丢弃",缺陷明细!$AA$2:$AA$50000,"&lt;&gt;设计如此",缺陷明细!$AA$2:$AA$50000,"&lt;&gt;重复Bug")+COUNTIFS(缺陷明细!$A$2:$A$50000,$B$4,缺陷明细!$G$2:$G$50000,$C51,缺陷明细!$J$2:$J$50000,"系统测试",缺陷明细!$K$2:$K$50000,"严重",缺陷明细!$AA$2:$AA$50000,"&lt;&gt;丢弃",缺陷明细!$AA$2:$AA$50000,"&lt;&gt;设计如此",缺陷明细!$AA$2:$AA$50000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COUNTIFS(缺陷明细!$A$2:$A$50000,$B$4,缺陷明细!$G$2:$G$50000,$C51,缺陷明细!$J$2:$J$50000,"验收测试",缺陷明细!$AA$2:$AA$50000,"&lt;&gt;丢弃",缺陷明细!$AA$2:$AA$50000,"&lt;&gt;设计如此",缺陷明细!$AA$2:$AA$50000,"&lt;&gt;重复Bug")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A$2:$AA$50000,"&lt;&gt;丢弃",缺陷明细!$AA$2:$AA$50000,"&lt;&gt;设计如此",缺陷明细!$AA$2:$AA$50000,"&lt;&gt;重复Bug")+COUNTIFS(缺陷明细!$A$2:$A$50000,$B$4,缺陷明细!$G$2:$G$50000,$C51,缺陷明细!$J$2:$J$50000,"验收测试",缺陷明细!$K$2:$K$50000,"严重",缺陷明细!$AA$2:$AA$50000,"&lt;&gt;丢弃",缺陷明细!$AA$2:$AA$50000,"&lt;&gt;设计如此",缺陷明细!$AA$2:$AA$50000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COUNTIFS(缺陷明细!$A$2:$A$50000,$B$4,缺陷明细!$G$2:$G$50000,$C51,缺陷明细!$J$2:$J$50000,"运维测试",缺陷明细!$AA$2:$AA$50000,"&lt;&gt;丢弃",缺陷明细!$AA$2:$AA$50000,"&lt;&gt;设计如此",缺陷明细!$AA$2:$AA$50000,"&lt;&gt;重复Bug")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A$2:$AA$50000,"&lt;&gt;丢弃",缺陷明细!$AA$2:$AA$50000,"&lt;&gt;设计如此",缺陷明细!$AA$2:$AA$50000,"&lt;&gt;重复Bug")+COUNTIFS(缺陷明细!$A$2:$A$50000,$B$4,缺陷明细!$G$2:$G$50000,$C51,缺陷明细!$J$2:$J$50000,"运维测试",缺陷明细!$K$2:$K$50000,"严重",缺陷明细!$AA$2:$AA$50000,"&lt;&gt;丢弃",缺陷明细!$AA$2:$AA$50000,"&lt;&gt;设计如此",缺陷明细!$AA$2:$AA$50000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51"/>
    </row>
    <row r="52" spans="1:37">
      <c r="A52">
        <v>48</v>
      </c>
      <c r="B52" s="57"/>
      <c r="C52" s="58"/>
      <c r="D52" s="84"/>
      <c r="E52" s="82"/>
      <c r="F52" s="165"/>
      <c r="G52" s="166"/>
      <c r="H52" s="305">
        <f>COUNTIFS(缺陷明细!$A$2:$A$50000,$B$4,缺陷明细!$G$2:$G$50000,$C52,缺陷明细!$J$2:$J$50000,"评审",缺陷明细!$AA$2:$AA$50000,"&lt;&gt;丢弃",缺陷明细!$AA$2:$AA$50000,"&lt;&gt;设计如此",缺陷明细!$AA$2:$AA$50000,"&lt;&gt;重复Bug")</f>
        <v>0</v>
      </c>
      <c r="I52" s="161">
        <f>COUNTIFS(缺陷明细!$A$2:$A$50000,$B$4,缺陷明细!$G$2:$G$50000,$C52,缺陷明细!$Q$2:$Q$50000,"已关闭",缺陷明细!$J$2:$J$50000,"评审")</f>
        <v>0</v>
      </c>
      <c r="J52" s="161">
        <f>COUNTIFS(缺陷明细!$A$2:$A$50000,$B$4,缺陷明细!$G$2:$G$50000,$C52,缺陷明细!$J$2:$J$50000,"单元测试",缺陷明细!$AA$2:$AA$50000,"&lt;&gt;丢弃",缺陷明细!$AA$2:$AA$50000,"&lt;&gt;设计如此",缺陷明细!$AA$2:$AA$50000,"&lt;&gt;重复Bug")</f>
        <v>0</v>
      </c>
      <c r="K52" s="162">
        <f>COUNTIFS(缺陷明细!$A$2:$A$50000,$B$4,缺陷明细!$G$2:$G$50000,$C52,缺陷明细!$Q$2:$Q$50000,"已关闭",缺陷明细!$J$2:$J$50000,"单元测试")</f>
        <v>0</v>
      </c>
      <c r="L52" s="163"/>
      <c r="M52" s="164"/>
      <c r="N52" s="72">
        <f>COUNTIFS(缺陷明细!$A$2:$A$50000,$B$4,缺陷明细!$G$2:$G$50000,$C52,缺陷明细!$J$2:$J$50000,"系统测试案例评审",缺陷明细!$AA$2:$AA$50000,"&lt;&gt;丢弃",缺陷明细!$AA$2:$AA$50000,"&lt;&gt;设计如此",缺陷明细!$AA$2:$AA$50000,"&lt;&gt;重复Bug")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COUNTIFS(缺陷明细!$A$2:$A$50000,$B$4,缺陷明细!$G$2:$G$50000,$C52,缺陷明细!$J$2:$J$50000,"系统测试",缺陷明细!$AA$2:$AA$50000,"&lt;&gt;丢弃",缺陷明细!$AA$2:$AA$50000,"&lt;&gt;设计如此",缺陷明细!$AA$2:$AA$50000,"&lt;&gt;重复Bug")</f>
        <v>0</v>
      </c>
      <c r="Q52" s="72">
        <f>COUNTIFS(缺陷明细!$A$2:$A$50000,$B$4,缺陷明细!$G$2:$G$50000,$C52,缺陷明细!$Q$2:$Q$50000,"已关闭",缺陷明细!$J$2:$J$50000,"系统测试")</f>
        <v>0</v>
      </c>
      <c r="R52" s="72">
        <f>COUNTIFS(缺陷明细!$A$2:$A$50000,$B$4,缺陷明细!$G$2:$G$50000,$C52,缺陷明细!$AA$2:$AA$50000,"丢弃",缺陷明细!$J$2:$J$50000,"系统测试")+COUNTIFS(缺陷明细!$A$2:$A$50000,$B$4,缺陷明细!$G$2:$G$50000,$C52,缺陷明细!$AA$2:$AA$50000,"设计如此",缺陷明细!$J$2:$J$50000,"系统测试"+COUNTIFS(缺陷明细!$A$2:$A$50000,$B$4,缺陷明细!$G$2:$G$50000,$C52,缺陷明细!$AA$2:$AA$50000,"重复Bug",缺陷明细!$J$2:$J$50000,"系统测试"))</f>
        <v>0</v>
      </c>
      <c r="S52" s="72">
        <f>COUNTIFS(缺陷明细!$A$2:$A$50000,$B$4,缺陷明细!$G$2:$G$50000,$C52,缺陷明细!$J$2:$J$50000,"系统测试",缺陷明细!$K$2:$K$50000,"致命",缺陷明细!$AA$2:$AA$50000,"&lt;&gt;丢弃",缺陷明细!$AA$2:$AA$50000,"&lt;&gt;设计如此",缺陷明细!$AA$2:$AA$50000,"&lt;&gt;重复Bug")+COUNTIFS(缺陷明细!$A$2:$A$50000,$B$4,缺陷明细!$G$2:$G$50000,$C52,缺陷明细!$J$2:$J$50000,"系统测试",缺陷明细!$K$2:$K$50000,"严重",缺陷明细!$AA$2:$AA$50000,"&lt;&gt;丢弃",缺陷明细!$AA$2:$AA$50000,"&lt;&gt;设计如此",缺陷明细!$AA$2:$AA$50000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COUNTIFS(缺陷明细!$A$2:$A$50000,$B$4,缺陷明细!$G$2:$G$50000,$C52,缺陷明细!$J$2:$J$50000,"验收测试",缺陷明细!$AA$2:$AA$50000,"&lt;&gt;丢弃",缺陷明细!$AA$2:$AA$50000,"&lt;&gt;设计如此",缺陷明细!$AA$2:$AA$50000,"&lt;&gt;重复Bug")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A$2:$AA$50000,"&lt;&gt;丢弃",缺陷明细!$AA$2:$AA$50000,"&lt;&gt;设计如此",缺陷明细!$AA$2:$AA$50000,"&lt;&gt;重复Bug")+COUNTIFS(缺陷明细!$A$2:$A$50000,$B$4,缺陷明细!$G$2:$G$50000,$C52,缺陷明细!$J$2:$J$50000,"验收测试",缺陷明细!$K$2:$K$50000,"严重",缺陷明细!$AA$2:$AA$50000,"&lt;&gt;丢弃",缺陷明细!$AA$2:$AA$50000,"&lt;&gt;设计如此",缺陷明细!$AA$2:$AA$50000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COUNTIFS(缺陷明细!$A$2:$A$50000,$B$4,缺陷明细!$G$2:$G$50000,$C52,缺陷明细!$J$2:$J$50000,"运维测试",缺陷明细!$AA$2:$AA$50000,"&lt;&gt;丢弃",缺陷明细!$AA$2:$AA$50000,"&lt;&gt;设计如此",缺陷明细!$AA$2:$AA$50000,"&lt;&gt;重复Bug")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A$2:$AA$50000,"&lt;&gt;丢弃",缺陷明细!$AA$2:$AA$50000,"&lt;&gt;设计如此",缺陷明细!$AA$2:$AA$50000,"&lt;&gt;重复Bug")+COUNTIFS(缺陷明细!$A$2:$A$50000,$B$4,缺陷明细!$G$2:$G$50000,$C52,缺陷明细!$J$2:$J$50000,"运维测试",缺陷明细!$K$2:$K$50000,"严重",缺陷明细!$AA$2:$AA$50000,"&lt;&gt;丢弃",缺陷明细!$AA$2:$AA$50000,"&lt;&gt;设计如此",缺陷明细!$AA$2:$AA$50000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51"/>
    </row>
    <row r="53" spans="1:37">
      <c r="A53">
        <v>49</v>
      </c>
      <c r="B53" s="57"/>
      <c r="C53" s="58"/>
      <c r="D53" s="84"/>
      <c r="E53" s="82"/>
      <c r="F53" s="165"/>
      <c r="G53" s="166"/>
      <c r="H53" s="305">
        <f>COUNTIFS(缺陷明细!$A$2:$A$50000,$B$4,缺陷明细!$G$2:$G$50000,$C53,缺陷明细!$J$2:$J$50000,"评审",缺陷明细!$AA$2:$AA$50000,"&lt;&gt;丢弃",缺陷明细!$AA$2:$AA$50000,"&lt;&gt;设计如此",缺陷明细!$AA$2:$AA$50000,"&lt;&gt;重复Bug")</f>
        <v>0</v>
      </c>
      <c r="I53" s="161">
        <f>COUNTIFS(缺陷明细!$A$2:$A$50000,$B$4,缺陷明细!$G$2:$G$50000,$C53,缺陷明细!$Q$2:$Q$50000,"已关闭",缺陷明细!$J$2:$J$50000,"评审")</f>
        <v>0</v>
      </c>
      <c r="J53" s="161">
        <f>COUNTIFS(缺陷明细!$A$2:$A$50000,$B$4,缺陷明细!$G$2:$G$50000,$C53,缺陷明细!$J$2:$J$50000,"单元测试",缺陷明细!$AA$2:$AA$50000,"&lt;&gt;丢弃",缺陷明细!$AA$2:$AA$50000,"&lt;&gt;设计如此",缺陷明细!$AA$2:$AA$50000,"&lt;&gt;重复Bug")</f>
        <v>0</v>
      </c>
      <c r="K53" s="162">
        <f>COUNTIFS(缺陷明细!$A$2:$A$50000,$B$4,缺陷明细!$G$2:$G$50000,$C53,缺陷明细!$Q$2:$Q$50000,"已关闭",缺陷明细!$J$2:$J$50000,"单元测试")</f>
        <v>0</v>
      </c>
      <c r="L53" s="163"/>
      <c r="M53" s="164"/>
      <c r="N53" s="72">
        <f>COUNTIFS(缺陷明细!$A$2:$A$50000,$B$4,缺陷明细!$G$2:$G$50000,$C53,缺陷明细!$J$2:$J$50000,"系统测试案例评审",缺陷明细!$AA$2:$AA$50000,"&lt;&gt;丢弃",缺陷明细!$AA$2:$AA$50000,"&lt;&gt;设计如此",缺陷明细!$AA$2:$AA$50000,"&lt;&gt;重复Bug")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COUNTIFS(缺陷明细!$A$2:$A$50000,$B$4,缺陷明细!$G$2:$G$50000,$C53,缺陷明细!$J$2:$J$50000,"系统测试",缺陷明细!$AA$2:$AA$50000,"&lt;&gt;丢弃",缺陷明细!$AA$2:$AA$50000,"&lt;&gt;设计如此",缺陷明细!$AA$2:$AA$50000,"&lt;&gt;重复Bug")</f>
        <v>0</v>
      </c>
      <c r="Q53" s="72">
        <f>COUNTIFS(缺陷明细!$A$2:$A$50000,$B$4,缺陷明细!$G$2:$G$50000,$C53,缺陷明细!$Q$2:$Q$50000,"已关闭",缺陷明细!$J$2:$J$50000,"系统测试")</f>
        <v>0</v>
      </c>
      <c r="R53" s="72">
        <f>COUNTIFS(缺陷明细!$A$2:$A$50000,$B$4,缺陷明细!$G$2:$G$50000,$C53,缺陷明细!$AA$2:$AA$50000,"丢弃",缺陷明细!$J$2:$J$50000,"系统测试")+COUNTIFS(缺陷明细!$A$2:$A$50000,$B$4,缺陷明细!$G$2:$G$50000,$C53,缺陷明细!$AA$2:$AA$50000,"设计如此",缺陷明细!$J$2:$J$50000,"系统测试"+COUNTIFS(缺陷明细!$A$2:$A$50000,$B$4,缺陷明细!$G$2:$G$50000,$C53,缺陷明细!$AA$2:$AA$50000,"重复Bug",缺陷明细!$J$2:$J$50000,"系统测试"))</f>
        <v>0</v>
      </c>
      <c r="S53" s="72">
        <f>COUNTIFS(缺陷明细!$A$2:$A$50000,$B$4,缺陷明细!$G$2:$G$50000,$C53,缺陷明细!$J$2:$J$50000,"系统测试",缺陷明细!$K$2:$K$50000,"致命",缺陷明细!$AA$2:$AA$50000,"&lt;&gt;丢弃",缺陷明细!$AA$2:$AA$50000,"&lt;&gt;设计如此",缺陷明细!$AA$2:$AA$50000,"&lt;&gt;重复Bug")+COUNTIFS(缺陷明细!$A$2:$A$50000,$B$4,缺陷明细!$G$2:$G$50000,$C53,缺陷明细!$J$2:$J$50000,"系统测试",缺陷明细!$K$2:$K$50000,"严重",缺陷明细!$AA$2:$AA$50000,"&lt;&gt;丢弃",缺陷明细!$AA$2:$AA$50000,"&lt;&gt;设计如此",缺陷明细!$AA$2:$AA$50000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COUNTIFS(缺陷明细!$A$2:$A$50000,$B$4,缺陷明细!$G$2:$G$50000,$C53,缺陷明细!$J$2:$J$50000,"验收测试",缺陷明细!$AA$2:$AA$50000,"&lt;&gt;丢弃",缺陷明细!$AA$2:$AA$50000,"&lt;&gt;设计如此",缺陷明细!$AA$2:$AA$50000,"&lt;&gt;重复Bug")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A$2:$AA$50000,"&lt;&gt;丢弃",缺陷明细!$AA$2:$AA$50000,"&lt;&gt;设计如此",缺陷明细!$AA$2:$AA$50000,"&lt;&gt;重复Bug")+COUNTIFS(缺陷明细!$A$2:$A$50000,$B$4,缺陷明细!$G$2:$G$50000,$C53,缺陷明细!$J$2:$J$50000,"验收测试",缺陷明细!$K$2:$K$50000,"严重",缺陷明细!$AA$2:$AA$50000,"&lt;&gt;丢弃",缺陷明细!$AA$2:$AA$50000,"&lt;&gt;设计如此",缺陷明细!$AA$2:$AA$50000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COUNTIFS(缺陷明细!$A$2:$A$50000,$B$4,缺陷明细!$G$2:$G$50000,$C53,缺陷明细!$J$2:$J$50000,"运维测试",缺陷明细!$AA$2:$AA$50000,"&lt;&gt;丢弃",缺陷明细!$AA$2:$AA$50000,"&lt;&gt;设计如此",缺陷明细!$AA$2:$AA$50000,"&lt;&gt;重复Bug")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A$2:$AA$50000,"&lt;&gt;丢弃",缺陷明细!$AA$2:$AA$50000,"&lt;&gt;设计如此",缺陷明细!$AA$2:$AA$50000,"&lt;&gt;重复Bug")+COUNTIFS(缺陷明细!$A$2:$A$50000,$B$4,缺陷明细!$G$2:$G$50000,$C53,缺陷明细!$J$2:$J$50000,"运维测试",缺陷明细!$K$2:$K$50000,"严重",缺陷明细!$AA$2:$AA$50000,"&lt;&gt;丢弃",缺陷明细!$AA$2:$AA$50000,"&lt;&gt;设计如此",缺陷明细!$AA$2:$AA$50000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51"/>
    </row>
    <row r="54" spans="1:37">
      <c r="A54">
        <v>50</v>
      </c>
      <c r="B54" s="57"/>
      <c r="C54" s="58"/>
      <c r="D54" s="84"/>
      <c r="E54" s="82"/>
      <c r="F54" s="165"/>
      <c r="G54" s="166"/>
      <c r="H54" s="305">
        <f>COUNTIFS(缺陷明细!$A$2:$A$50000,$B$4,缺陷明细!$G$2:$G$50000,$C54,缺陷明细!$J$2:$J$50000,"评审",缺陷明细!$AA$2:$AA$50000,"&lt;&gt;丢弃",缺陷明细!$AA$2:$AA$50000,"&lt;&gt;设计如此",缺陷明细!$AA$2:$AA$50000,"&lt;&gt;重复Bug")</f>
        <v>0</v>
      </c>
      <c r="I54" s="161">
        <f>COUNTIFS(缺陷明细!$A$2:$A$50000,$B$4,缺陷明细!$G$2:$G$50000,$C54,缺陷明细!$Q$2:$Q$50000,"已关闭",缺陷明细!$J$2:$J$50000,"评审")</f>
        <v>0</v>
      </c>
      <c r="J54" s="161">
        <f>COUNTIFS(缺陷明细!$A$2:$A$50000,$B$4,缺陷明细!$G$2:$G$50000,$C54,缺陷明细!$J$2:$J$50000,"单元测试",缺陷明细!$AA$2:$AA$50000,"&lt;&gt;丢弃",缺陷明细!$AA$2:$AA$50000,"&lt;&gt;设计如此",缺陷明细!$AA$2:$AA$50000,"&lt;&gt;重复Bug")</f>
        <v>0</v>
      </c>
      <c r="K54" s="162">
        <f>COUNTIFS(缺陷明细!$A$2:$A$50000,$B$4,缺陷明细!$G$2:$G$50000,$C54,缺陷明细!$Q$2:$Q$50000,"已关闭",缺陷明细!$J$2:$J$50000,"单元测试")</f>
        <v>0</v>
      </c>
      <c r="L54" s="163"/>
      <c r="M54" s="164"/>
      <c r="N54" s="72">
        <f>COUNTIFS(缺陷明细!$A$2:$A$50000,$B$4,缺陷明细!$G$2:$G$50000,$C54,缺陷明细!$J$2:$J$50000,"系统测试案例评审",缺陷明细!$AA$2:$AA$50000,"&lt;&gt;丢弃",缺陷明细!$AA$2:$AA$50000,"&lt;&gt;设计如此",缺陷明细!$AA$2:$AA$50000,"&lt;&gt;重复Bug")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COUNTIFS(缺陷明细!$A$2:$A$50000,$B$4,缺陷明细!$G$2:$G$50000,$C54,缺陷明细!$J$2:$J$50000,"系统测试",缺陷明细!$AA$2:$AA$50000,"&lt;&gt;丢弃",缺陷明细!$AA$2:$AA$50000,"&lt;&gt;设计如此",缺陷明细!$AA$2:$AA$50000,"&lt;&gt;重复Bug")</f>
        <v>0</v>
      </c>
      <c r="Q54" s="72">
        <f>COUNTIFS(缺陷明细!$A$2:$A$50000,$B$4,缺陷明细!$G$2:$G$50000,$C54,缺陷明细!$Q$2:$Q$50000,"已关闭",缺陷明细!$J$2:$J$50000,"系统测试")</f>
        <v>0</v>
      </c>
      <c r="R54" s="72">
        <f>COUNTIFS(缺陷明细!$A$2:$A$50000,$B$4,缺陷明细!$G$2:$G$50000,$C54,缺陷明细!$AA$2:$AA$50000,"丢弃",缺陷明细!$J$2:$J$50000,"系统测试")+COUNTIFS(缺陷明细!$A$2:$A$50000,$B$4,缺陷明细!$G$2:$G$50000,$C54,缺陷明细!$AA$2:$AA$50000,"设计如此",缺陷明细!$J$2:$J$50000,"系统测试"+COUNTIFS(缺陷明细!$A$2:$A$50000,$B$4,缺陷明细!$G$2:$G$50000,$C54,缺陷明细!$AA$2:$AA$50000,"重复Bug",缺陷明细!$J$2:$J$50000,"系统测试"))</f>
        <v>0</v>
      </c>
      <c r="S54" s="72">
        <f>COUNTIFS(缺陷明细!$A$2:$A$50000,$B$4,缺陷明细!$G$2:$G$50000,$C54,缺陷明细!$J$2:$J$50000,"系统测试",缺陷明细!$K$2:$K$50000,"致命",缺陷明细!$AA$2:$AA$50000,"&lt;&gt;丢弃",缺陷明细!$AA$2:$AA$50000,"&lt;&gt;设计如此",缺陷明细!$AA$2:$AA$50000,"&lt;&gt;重复Bug")+COUNTIFS(缺陷明细!$A$2:$A$50000,$B$4,缺陷明细!$G$2:$G$50000,$C54,缺陷明细!$J$2:$J$50000,"系统测试",缺陷明细!$K$2:$K$50000,"严重",缺陷明细!$AA$2:$AA$50000,"&lt;&gt;丢弃",缺陷明细!$AA$2:$AA$50000,"&lt;&gt;设计如此",缺陷明细!$AA$2:$AA$50000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COUNTIFS(缺陷明细!$A$2:$A$50000,$B$4,缺陷明细!$G$2:$G$50000,$C54,缺陷明细!$J$2:$J$50000,"验收测试",缺陷明细!$AA$2:$AA$50000,"&lt;&gt;丢弃",缺陷明细!$AA$2:$AA$50000,"&lt;&gt;设计如此",缺陷明细!$AA$2:$AA$50000,"&lt;&gt;重复Bug")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A$2:$AA$50000,"&lt;&gt;丢弃",缺陷明细!$AA$2:$AA$50000,"&lt;&gt;设计如此",缺陷明细!$AA$2:$AA$50000,"&lt;&gt;重复Bug")+COUNTIFS(缺陷明细!$A$2:$A$50000,$B$4,缺陷明细!$G$2:$G$50000,$C54,缺陷明细!$J$2:$J$50000,"验收测试",缺陷明细!$K$2:$K$50000,"严重",缺陷明细!$AA$2:$AA$50000,"&lt;&gt;丢弃",缺陷明细!$AA$2:$AA$50000,"&lt;&gt;设计如此",缺陷明细!$AA$2:$AA$50000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COUNTIFS(缺陷明细!$A$2:$A$50000,$B$4,缺陷明细!$G$2:$G$50000,$C54,缺陷明细!$J$2:$J$50000,"运维测试",缺陷明细!$AA$2:$AA$50000,"&lt;&gt;丢弃",缺陷明细!$AA$2:$AA$50000,"&lt;&gt;设计如此",缺陷明细!$AA$2:$AA$50000,"&lt;&gt;重复Bug")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A$2:$AA$50000,"&lt;&gt;丢弃",缺陷明细!$AA$2:$AA$50000,"&lt;&gt;设计如此",缺陷明细!$AA$2:$AA$50000,"&lt;&gt;重复Bug")+COUNTIFS(缺陷明细!$A$2:$A$50000,$B$4,缺陷明细!$G$2:$G$50000,$C54,缺陷明细!$J$2:$J$50000,"运维测试",缺陷明细!$K$2:$K$50000,"严重",缺陷明细!$AA$2:$AA$50000,"&lt;&gt;丢弃",缺陷明细!$AA$2:$AA$50000,"&lt;&gt;设计如此",缺陷明细!$AA$2:$AA$50000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51"/>
    </row>
    <row r="55" spans="1:37" ht="13.8" thickBot="1">
      <c r="B55" s="147"/>
      <c r="C55" s="109"/>
      <c r="D55" s="85"/>
      <c r="E55" s="156"/>
      <c r="F55" s="169"/>
      <c r="G55" s="170"/>
      <c r="H55" s="306">
        <f>COUNTIFS(缺陷明细!$A$2:$A$50000,$B$4,缺陷明细!$G$2:$G$50000,$C55,缺陷明细!$J$2:$J$50000,"评审",缺陷明细!$AA$2:$AA$50000,"&lt;&gt;丢弃",缺陷明细!$AA$2:$AA$50000,"&lt;&gt;设计如此",缺陷明细!$AA$2:$AA$50000,"&lt;&gt;重复Bug")</f>
        <v>0</v>
      </c>
      <c r="I55" s="307">
        <f>COUNTIFS(缺陷明细!$A$2:$A$50000,$B$4,缺陷明细!$G$2:$G$50000,$C55,缺陷明细!$Q$2:$Q$50000,"已关闭",缺陷明细!$J$2:$J$50000,"评审")</f>
        <v>0</v>
      </c>
      <c r="J55" s="307">
        <f>COUNTIFS(缺陷明细!$A$2:$A$50000,$B$4,缺陷明细!$G$2:$G$50000,$C55,缺陷明细!$J$2:$J$50000,"单元测试",缺陷明细!$AA$2:$AA$50000,"&lt;&gt;丢弃",缺陷明细!$AA$2:$AA$50000,"&lt;&gt;设计如此",缺陷明细!$AA$2:$AA$50000,"&lt;&gt;重复Bug")</f>
        <v>0</v>
      </c>
      <c r="K55" s="308">
        <f>COUNTIFS(缺陷明细!$A$2:$A$50000,$B$4,缺陷明细!$G$2:$G$50000,$C55,缺陷明细!$Q$2:$Q$50000,"已关闭",缺陷明细!$J$2:$J$50000,"单元测试")</f>
        <v>0</v>
      </c>
      <c r="L55" s="309"/>
      <c r="M55" s="310"/>
      <c r="N55" s="311">
        <f>COUNTIFS(缺陷明细!$A$2:$A$50000,$B$4,缺陷明细!$G$2:$G$50000,$C55,缺陷明细!$J$2:$J$50000,"系统测试案例评审",缺陷明细!$AA$2:$AA$50000,"&lt;&gt;丢弃",缺陷明细!$AA$2:$AA$50000,"&lt;&gt;设计如此",缺陷明细!$AA$2:$AA$50000,"&lt;&gt;重复Bug")</f>
        <v>0</v>
      </c>
      <c r="O55" s="311">
        <f>COUNTIFS(缺陷明细!$A$2:$A$50000,$B$4,缺陷明细!$G$2:$G$50000,$C55,缺陷明细!$Q$2:$Q$50000,"已关闭",缺陷明细!$J$2:$J$50000,"系统测试案例评审")</f>
        <v>0</v>
      </c>
      <c r="P55" s="311">
        <f>COUNTIFS(缺陷明细!$A$2:$A$50000,$B$4,缺陷明细!$G$2:$G$50000,$C55,缺陷明细!$J$2:$J$50000,"系统测试",缺陷明细!$AA$2:$AA$50000,"&lt;&gt;丢弃",缺陷明细!$AA$2:$AA$50000,"&lt;&gt;设计如此",缺陷明细!$AA$2:$AA$50000,"&lt;&gt;重复Bug")</f>
        <v>0</v>
      </c>
      <c r="Q55" s="311">
        <f>COUNTIFS(缺陷明细!$A$2:$A$50000,$B$4,缺陷明细!$G$2:$G$50000,$C55,缺陷明细!$Q$2:$Q$50000,"已关闭",缺陷明细!$J$2:$J$50000,"系统测试")</f>
        <v>0</v>
      </c>
      <c r="R55" s="311">
        <f>COUNTIFS(缺陷明细!$A$2:$A$50000,$B$4,缺陷明细!$G$2:$G$50000,$C55,缺陷明细!$AA$2:$AA$50000,"丢弃",缺陷明细!$J$2:$J$50000,"系统测试")+COUNTIFS(缺陷明细!$A$2:$A$50000,$B$4,缺陷明细!$G$2:$G$50000,$C55,缺陷明细!$AA$2:$AA$50000,"设计如此",缺陷明细!$J$2:$J$50000,"系统测试"+COUNTIFS(缺陷明细!$A$2:$A$50000,$B$4,缺陷明细!$G$2:$G$50000,$C55,缺陷明细!$AA$2:$AA$50000,"重复Bug",缺陷明细!$J$2:$J$50000,"系统测试"))</f>
        <v>0</v>
      </c>
      <c r="S55" s="311">
        <f>COUNTIFS(缺陷明细!$A$2:$A$50000,$B$4,缺陷明细!$G$2:$G$50000,$C55,缺陷明细!$J$2:$J$50000,"系统测试",缺陷明细!$K$2:$K$50000,"致命",缺陷明细!$AA$2:$AA$50000,"&lt;&gt;丢弃",缺陷明细!$AA$2:$AA$50000,"&lt;&gt;设计如此",缺陷明细!$AA$2:$AA$50000,"&lt;&gt;重复Bug")+COUNTIFS(缺陷明细!$A$2:$A$50000,$B$4,缺陷明细!$G$2:$G$50000,$C55,缺陷明细!$J$2:$J$50000,"系统测试",缺陷明细!$K$2:$K$50000,"严重",缺陷明细!$AA$2:$AA$50000,"&lt;&gt;丢弃",缺陷明细!$AA$2:$AA$50000,"&lt;&gt;设计如此",缺陷明细!$AA$2:$AA$50000,"&lt;&gt;重复Bug")</f>
        <v>0</v>
      </c>
      <c r="T55" s="312">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313">
        <f>COUNTIFS(缺陷明细!$A$2:$A$50000,$B$4,缺陷明细!$G$2:$G$50000,$C55,缺陷明细!$J$2:$J$50000,"验收测试",缺陷明细!$AA$2:$AA$50000,"&lt;&gt;丢弃",缺陷明细!$AA$2:$AA$50000,"&lt;&gt;设计如此",缺陷明细!$AA$2:$AA$50000,"&lt;&gt;重复Bug")</f>
        <v>0</v>
      </c>
      <c r="V55" s="314">
        <f>COUNTIFS(缺陷明细!$A$2:$A$50000,$B$4,缺陷明细!$G$2:$G$50000,$C55,缺陷明细!$Q$2:$Q$50000,"已关闭",缺陷明细!$J$2:$J$50000,"验收测试")</f>
        <v>0</v>
      </c>
      <c r="W55" s="314">
        <f>COUNTIFS(缺陷明细!$A$2:$A$50000,$B$4,缺陷明细!$G$2:$G$50000,$C55,缺陷明细!$J$2:$J$50000,"验收测试",缺陷明细!$K$2:$K$50000,"致命",缺陷明细!$AA$2:$AA$50000,"&lt;&gt;丢弃",缺陷明细!$AA$2:$AA$50000,"&lt;&gt;设计如此",缺陷明细!$AA$2:$AA$50000,"&lt;&gt;重复Bug")+COUNTIFS(缺陷明细!$A$2:$A$50000,$B$4,缺陷明细!$G$2:$G$50000,$C55,缺陷明细!$J$2:$J$50000,"验收测试",缺陷明细!$K$2:$K$50000,"严重",缺陷明细!$AA$2:$AA$50000,"&lt;&gt;丢弃",缺陷明细!$AA$2:$AA$50000,"&lt;&gt;设计如此",缺陷明细!$AA$2:$AA$50000,"&lt;&gt;重复Bug")</f>
        <v>0</v>
      </c>
      <c r="X55" s="315">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316">
        <f>COUNTIFS(缺陷明细!$A$2:$A$50000,$B$4,缺陷明细!$G$2:$G$50000,$C55,缺陷明细!$J$2:$J$50000,"运维测试",缺陷明细!$AA$2:$AA$50000,"&lt;&gt;丢弃",缺陷明细!$AA$2:$AA$50000,"&lt;&gt;设计如此",缺陷明细!$AA$2:$AA$50000,"&lt;&gt;重复Bug")</f>
        <v>0</v>
      </c>
      <c r="Z55" s="317">
        <f>COUNTIFS(缺陷明细!$A$2:$A$50000,$B$4,缺陷明细!$G$2:$G$50000,$C55,缺陷明细!$Q$2:$Q$50000,"已关闭",缺陷明细!$J$2:$J$50000,"运维测试")</f>
        <v>0</v>
      </c>
      <c r="AA55" s="311">
        <f>COUNTIFS(缺陷明细!$A$2:$A$50000,$B$4,缺陷明细!$G$2:$G$50000,$C55,缺陷明细!$J$2:$J$50000,"运维测试",缺陷明细!$K$2:$K$50000,"致命",缺陷明细!$AA$2:$AA$50000,"&lt;&gt;丢弃",缺陷明细!$AA$2:$AA$50000,"&lt;&gt;设计如此",缺陷明细!$AA$2:$AA$50000,"&lt;&gt;重复Bug")+COUNTIFS(缺陷明细!$A$2:$A$50000,$B$4,缺陷明细!$G$2:$G$50000,$C55,缺陷明细!$J$2:$J$50000,"运维测试",缺陷明细!$K$2:$K$50000,"严重",缺陷明细!$AA$2:$AA$50000,"&lt;&gt;丢弃",缺陷明细!$AA$2:$AA$50000,"&lt;&gt;设计如此",缺陷明细!$AA$2:$AA$50000,"&lt;&gt;重复Bug")</f>
        <v>0</v>
      </c>
      <c r="AB55" s="312">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7">
        <f t="shared" si="0"/>
        <v>0</v>
      </c>
      <c r="AD55" s="158">
        <f t="shared" si="0"/>
        <v>0</v>
      </c>
      <c r="AE55" s="158">
        <f t="shared" si="1"/>
        <v>0</v>
      </c>
      <c r="AF55" s="158">
        <f t="shared" si="1"/>
        <v>0</v>
      </c>
      <c r="AG55" s="158">
        <f t="shared" si="2"/>
        <v>0</v>
      </c>
      <c r="AH55" s="158">
        <f t="shared" si="2"/>
        <v>0</v>
      </c>
      <c r="AI55" s="158">
        <f t="shared" si="3"/>
        <v>0</v>
      </c>
      <c r="AJ55" s="148">
        <f t="shared" si="3"/>
        <v>0</v>
      </c>
      <c r="AK55" s="152"/>
    </row>
    <row r="56" spans="1:37">
      <c r="B56" s="397" t="s">
        <v>209</v>
      </c>
      <c r="C56" s="398"/>
      <c r="D56" s="142">
        <f>COUNTA(D5:D55)</f>
        <v>0</v>
      </c>
      <c r="E56" s="142">
        <f>COUNTIF(E2:E55,"是")</f>
        <v>0</v>
      </c>
      <c r="F56" s="142">
        <f>SUMIFS(F5:F500,$E$5:$E$500,"是")</f>
        <v>0</v>
      </c>
      <c r="G56" s="142">
        <f t="shared" ref="G56:AJ56" si="4">SUMIFS(G5:G500,$E$5:$E$500,"是")</f>
        <v>0</v>
      </c>
      <c r="H56" s="142">
        <f t="shared" si="4"/>
        <v>0</v>
      </c>
      <c r="I56" s="142">
        <f t="shared" si="4"/>
        <v>0</v>
      </c>
      <c r="J56" s="142">
        <f t="shared" si="4"/>
        <v>0</v>
      </c>
      <c r="K56" s="142">
        <f t="shared" si="4"/>
        <v>0</v>
      </c>
      <c r="L56" s="142">
        <f t="shared" si="4"/>
        <v>0</v>
      </c>
      <c r="M56" s="142">
        <f t="shared" si="4"/>
        <v>0</v>
      </c>
      <c r="N56" s="142">
        <f t="shared" si="4"/>
        <v>0</v>
      </c>
      <c r="O56" s="142">
        <f t="shared" si="4"/>
        <v>0</v>
      </c>
      <c r="P56" s="142">
        <f t="shared" si="4"/>
        <v>0</v>
      </c>
      <c r="Q56" s="142">
        <f t="shared" si="4"/>
        <v>0</v>
      </c>
      <c r="R56" s="142">
        <f t="shared" si="4"/>
        <v>0</v>
      </c>
      <c r="S56" s="142">
        <f t="shared" si="4"/>
        <v>0</v>
      </c>
      <c r="T56" s="142">
        <f t="shared" si="4"/>
        <v>0</v>
      </c>
      <c r="U56" s="142">
        <f t="shared" si="4"/>
        <v>0</v>
      </c>
      <c r="V56" s="142">
        <f t="shared" si="4"/>
        <v>0</v>
      </c>
      <c r="W56" s="142">
        <f t="shared" si="4"/>
        <v>0</v>
      </c>
      <c r="X56" s="142">
        <f t="shared" si="4"/>
        <v>0</v>
      </c>
      <c r="Y56" s="142">
        <f t="shared" si="4"/>
        <v>0</v>
      </c>
      <c r="Z56" s="142">
        <f t="shared" si="4"/>
        <v>0</v>
      </c>
      <c r="AA56" s="142">
        <f t="shared" si="4"/>
        <v>0</v>
      </c>
      <c r="AB56" s="142">
        <f t="shared" si="4"/>
        <v>0</v>
      </c>
      <c r="AC56" s="142">
        <f t="shared" si="4"/>
        <v>0</v>
      </c>
      <c r="AD56" s="142">
        <f t="shared" si="4"/>
        <v>0</v>
      </c>
      <c r="AE56" s="142">
        <f t="shared" si="4"/>
        <v>0</v>
      </c>
      <c r="AF56" s="142">
        <f t="shared" si="4"/>
        <v>0</v>
      </c>
      <c r="AG56" s="142">
        <f t="shared" si="4"/>
        <v>0</v>
      </c>
      <c r="AH56" s="142">
        <f t="shared" si="4"/>
        <v>0</v>
      </c>
      <c r="AI56" s="142">
        <f t="shared" si="4"/>
        <v>0</v>
      </c>
      <c r="AJ56" s="142">
        <f t="shared" si="4"/>
        <v>0</v>
      </c>
      <c r="AK56" s="30"/>
    </row>
    <row r="57" spans="1:37">
      <c r="C57" s="153"/>
      <c r="D57" s="154"/>
      <c r="E57" s="143"/>
      <c r="F57" s="143"/>
      <c r="G57" s="143"/>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row>
    <row r="59" spans="1:37">
      <c r="F59" s="98"/>
    </row>
  </sheetData>
  <mergeCells count="13">
    <mergeCell ref="AC2:AJ2"/>
    <mergeCell ref="AK2:AK3"/>
    <mergeCell ref="U2:X2"/>
    <mergeCell ref="H1:AB1"/>
    <mergeCell ref="F2:G2"/>
    <mergeCell ref="H2:K2"/>
    <mergeCell ref="L2:T2"/>
    <mergeCell ref="Y2:AB2"/>
    <mergeCell ref="B56:C56"/>
    <mergeCell ref="B2:B3"/>
    <mergeCell ref="C2:C3"/>
    <mergeCell ref="D2:D3"/>
    <mergeCell ref="E2:E3"/>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C2" sqref="C2:C3"/>
    </sheetView>
  </sheetViews>
  <sheetFormatPr defaultColWidth="9" defaultRowHeight="13.2"/>
  <cols>
    <col min="1" max="1" width="5.109375" customWidth="1"/>
    <col min="3" max="3" width="29.33203125" customWidth="1"/>
    <col min="4" max="4" width="6.33203125" customWidth="1"/>
    <col min="5" max="5" width="5.88671875" style="38" customWidth="1"/>
    <col min="6" max="7" width="5.6640625" style="38" customWidth="1"/>
    <col min="8" max="36" width="5.6640625" customWidth="1"/>
    <col min="37" max="37" width="20" customWidth="1"/>
    <col min="38" max="38" width="8.109375" customWidth="1"/>
  </cols>
  <sheetData>
    <row r="1" spans="1:37" ht="13.5" customHeight="1" thickBot="1">
      <c r="A1" s="29"/>
      <c r="B1" s="272" t="s">
        <v>61</v>
      </c>
      <c r="C1" s="272"/>
      <c r="D1" s="272"/>
      <c r="E1" s="272"/>
      <c r="F1" s="273"/>
      <c r="G1" s="273"/>
      <c r="H1" s="407" t="s">
        <v>63</v>
      </c>
      <c r="I1" s="407"/>
      <c r="J1" s="407"/>
      <c r="K1" s="407"/>
      <c r="L1" s="407"/>
      <c r="M1" s="407"/>
      <c r="N1" s="407"/>
      <c r="O1" s="407"/>
      <c r="P1" s="407"/>
      <c r="Q1" s="407"/>
      <c r="R1" s="407"/>
      <c r="S1" s="407"/>
      <c r="T1" s="407"/>
      <c r="U1" s="407"/>
      <c r="V1" s="407"/>
      <c r="W1" s="407"/>
      <c r="X1" s="407"/>
      <c r="Y1" s="407"/>
      <c r="Z1" s="407"/>
      <c r="AA1" s="407"/>
      <c r="AB1" s="407"/>
      <c r="AC1" s="145"/>
      <c r="AD1" s="145"/>
      <c r="AE1" s="145"/>
      <c r="AF1" s="145"/>
      <c r="AG1" s="145"/>
      <c r="AH1" s="145"/>
      <c r="AI1" s="145"/>
      <c r="AJ1" s="146"/>
      <c r="AK1" s="155"/>
    </row>
    <row r="2" spans="1:37" ht="12.75" customHeight="1" thickBot="1">
      <c r="B2" s="399" t="s">
        <v>180</v>
      </c>
      <c r="C2" s="408" t="s">
        <v>60</v>
      </c>
      <c r="D2" s="410" t="s">
        <v>104</v>
      </c>
      <c r="E2" s="401" t="s">
        <v>181</v>
      </c>
      <c r="F2" s="408" t="s">
        <v>182</v>
      </c>
      <c r="G2" s="409"/>
      <c r="H2" s="403" t="s">
        <v>210</v>
      </c>
      <c r="I2" s="403"/>
      <c r="J2" s="403"/>
      <c r="K2" s="403"/>
      <c r="L2" s="404" t="s">
        <v>183</v>
      </c>
      <c r="M2" s="405"/>
      <c r="N2" s="405"/>
      <c r="O2" s="405"/>
      <c r="P2" s="405"/>
      <c r="Q2" s="405"/>
      <c r="R2" s="405"/>
      <c r="S2" s="405"/>
      <c r="T2" s="406"/>
      <c r="U2" s="395" t="s">
        <v>44</v>
      </c>
      <c r="V2" s="396"/>
      <c r="W2" s="396"/>
      <c r="X2" s="396"/>
      <c r="Y2" s="413" t="s">
        <v>64</v>
      </c>
      <c r="Z2" s="414"/>
      <c r="AA2" s="414"/>
      <c r="AB2" s="414"/>
      <c r="AC2" s="390" t="s">
        <v>2</v>
      </c>
      <c r="AD2" s="391"/>
      <c r="AE2" s="391"/>
      <c r="AF2" s="391"/>
      <c r="AG2" s="391"/>
      <c r="AH2" s="391"/>
      <c r="AI2" s="391"/>
      <c r="AJ2" s="392"/>
      <c r="AK2" s="393" t="s">
        <v>4</v>
      </c>
    </row>
    <row r="3" spans="1:37" ht="84.6" thickBot="1">
      <c r="B3" s="400"/>
      <c r="C3" s="412"/>
      <c r="D3" s="411"/>
      <c r="E3" s="402"/>
      <c r="F3" s="274" t="s">
        <v>273</v>
      </c>
      <c r="G3" s="275" t="s">
        <v>274</v>
      </c>
      <c r="H3" s="34" t="s">
        <v>105</v>
      </c>
      <c r="I3" s="34" t="s">
        <v>106</v>
      </c>
      <c r="J3" s="34" t="s">
        <v>107</v>
      </c>
      <c r="K3" s="34" t="s">
        <v>108</v>
      </c>
      <c r="L3" s="33" t="s">
        <v>185</v>
      </c>
      <c r="M3" s="34" t="s">
        <v>186</v>
      </c>
      <c r="N3" s="31" t="s">
        <v>45</v>
      </c>
      <c r="O3" s="31" t="s">
        <v>46</v>
      </c>
      <c r="P3" s="31" t="s">
        <v>34</v>
      </c>
      <c r="Q3" s="31" t="s">
        <v>36</v>
      </c>
      <c r="R3" s="31" t="s">
        <v>187</v>
      </c>
      <c r="S3" s="31" t="s">
        <v>35</v>
      </c>
      <c r="T3" s="32" t="s">
        <v>37</v>
      </c>
      <c r="U3" s="106" t="s">
        <v>110</v>
      </c>
      <c r="V3" s="35" t="s">
        <v>111</v>
      </c>
      <c r="W3" s="35" t="s">
        <v>188</v>
      </c>
      <c r="X3" s="35" t="s">
        <v>112</v>
      </c>
      <c r="Y3" s="106" t="s">
        <v>65</v>
      </c>
      <c r="Z3" s="35" t="s">
        <v>66</v>
      </c>
      <c r="AA3" s="35" t="s">
        <v>67</v>
      </c>
      <c r="AB3" s="36" t="s">
        <v>190</v>
      </c>
      <c r="AC3" s="33" t="s">
        <v>38</v>
      </c>
      <c r="AD3" s="31" t="s">
        <v>39</v>
      </c>
      <c r="AE3" s="31" t="s">
        <v>40</v>
      </c>
      <c r="AF3" s="31" t="s">
        <v>41</v>
      </c>
      <c r="AG3" s="31" t="s">
        <v>113</v>
      </c>
      <c r="AH3" s="31" t="s">
        <v>115</v>
      </c>
      <c r="AI3" s="31" t="s">
        <v>116</v>
      </c>
      <c r="AJ3" s="32" t="s">
        <v>114</v>
      </c>
      <c r="AK3" s="394"/>
    </row>
    <row r="4" spans="1:37" ht="13.8" thickBot="1">
      <c r="B4" s="102" t="s">
        <v>253</v>
      </c>
      <c r="C4" s="80" t="s">
        <v>207</v>
      </c>
      <c r="D4" s="141"/>
      <c r="E4" s="137"/>
      <c r="F4" s="107"/>
      <c r="G4" s="81"/>
      <c r="H4" s="69"/>
      <c r="I4" s="63"/>
      <c r="J4" s="63"/>
      <c r="K4" s="64"/>
      <c r="L4" s="77"/>
      <c r="M4" s="108"/>
      <c r="N4" s="63"/>
      <c r="O4" s="63"/>
      <c r="P4" s="63"/>
      <c r="Q4" s="63"/>
      <c r="R4" s="63"/>
      <c r="S4" s="63"/>
      <c r="T4" s="64"/>
      <c r="U4" s="62"/>
      <c r="V4" s="63"/>
      <c r="W4" s="63"/>
      <c r="X4" s="64"/>
      <c r="Y4" s="62"/>
      <c r="Z4" s="63"/>
      <c r="AA4" s="63"/>
      <c r="AB4" s="64"/>
      <c r="AC4" s="69"/>
      <c r="AD4" s="63"/>
      <c r="AE4" s="63"/>
      <c r="AF4" s="63"/>
      <c r="AG4" s="63"/>
      <c r="AH4" s="63"/>
      <c r="AI4" s="63"/>
      <c r="AJ4" s="64"/>
      <c r="AK4" s="149"/>
    </row>
    <row r="5" spans="1:37">
      <c r="A5">
        <v>1</v>
      </c>
      <c r="B5" s="78"/>
      <c r="C5" s="79"/>
      <c r="D5" s="82"/>
      <c r="E5" s="82"/>
      <c r="F5" s="159"/>
      <c r="G5" s="160"/>
      <c r="H5" s="293">
        <f>COUNTIFS(缺陷明细!$A$2:$A$50000,$B$4,缺陷明细!$G$2:$G$50000,$C5,缺陷明细!$J$2:$J$50000,"评审",缺陷明细!$AA$2:$AA$50000,"&lt;&gt;丢弃",缺陷明细!$AA$2:$AA$50000,"&lt;&gt;设计如此",缺陷明细!$AA$2:$AA$50000,"&lt;&gt;重复Bug")</f>
        <v>0</v>
      </c>
      <c r="I5" s="294">
        <f>COUNTIFS(缺陷明细!$A$2:$A$50000,$B$4,缺陷明细!$G$2:$G$50000,$C5,缺陷明细!$Q$2:$Q$50000,"已关闭",缺陷明细!$J$2:$J$50000,"评审")</f>
        <v>0</v>
      </c>
      <c r="J5" s="294">
        <f>COUNTIFS(缺陷明细!$A$2:$A$50000,$B$4,缺陷明细!$G$2:$G$50000,$C5,缺陷明细!$J$2:$J$50000,"单元测试",缺陷明细!$AA$2:$AA$50000,"&lt;&gt;丢弃",缺陷明细!$AA$2:$AA$50000,"&lt;&gt;设计如此",缺陷明细!$AA$2:$AA$50000,"&lt;&gt;重复Bug")</f>
        <v>0</v>
      </c>
      <c r="K5" s="295">
        <f>COUNTIFS(缺陷明细!$A$2:$A$50000,$B$4,缺陷明细!$G$2:$G$50000,$C5,缺陷明细!$Q$2:$Q$50000,"已关闭",缺陷明细!$J$2:$J$50000,"单元测试")</f>
        <v>0</v>
      </c>
      <c r="L5" s="296"/>
      <c r="M5" s="297"/>
      <c r="N5" s="298">
        <f>COUNTIFS(缺陷明细!$A$2:$A$50000,$B$4,缺陷明细!$G$2:$G$50000,$C5,缺陷明细!$J$2:$J$50000,"系统测试案例评审",缺陷明细!$AA$2:$AA$50000,"&lt;&gt;丢弃",缺陷明细!$AA$2:$AA$50000,"&lt;&gt;设计如此",缺陷明细!$AA$2:$AA$50000,"&lt;&gt;重复Bug")</f>
        <v>0</v>
      </c>
      <c r="O5" s="298">
        <f>COUNTIFS(缺陷明细!$A$2:$A$50000,$B$4,缺陷明细!$G$2:$G$50000,$C5,缺陷明细!$Q$2:$Q$50000,"已关闭",缺陷明细!$J$2:$J$50000,"系统测试案例评审")</f>
        <v>0</v>
      </c>
      <c r="P5" s="298">
        <f>COUNTIFS(缺陷明细!$A$2:$A$50000,$B$4,缺陷明细!$G$2:$G$50000,$C5,缺陷明细!$J$2:$J$50000,"系统测试",缺陷明细!$AA$2:$AA$50000,"&lt;&gt;丢弃",缺陷明细!$AA$2:$AA$50000,"&lt;&gt;设计如此",缺陷明细!$AA$2:$AA$50000,"&lt;&gt;重复Bug")</f>
        <v>0</v>
      </c>
      <c r="Q5" s="298">
        <f>COUNTIFS(缺陷明细!$A$2:$A$50000,$B$4,缺陷明细!$G$2:$G$50000,$C5,缺陷明细!$Q$2:$Q$50000,"已关闭",缺陷明细!$J$2:$J$50000,"系统测试")</f>
        <v>0</v>
      </c>
      <c r="R5" s="298">
        <f>COUNTIFS(缺陷明细!$A$2:$A$50000,$B$4,缺陷明细!$G$2:$G$50000,$C5,缺陷明细!$AA$2:$AA$50000,"丢弃",缺陷明细!$J$2:$J$50000,"系统测试")+COUNTIFS(缺陷明细!$A$2:$A$50000,$B$4,缺陷明细!$G$2:$G$50000,$C5,缺陷明细!$AA$2:$AA$50000,"设计如此",缺陷明细!$J$2:$J$50000,"系统测试"+COUNTIFS(缺陷明细!$A$2:$A$50000,$B$4,缺陷明细!$G$2:$G$50000,$C5,缺陷明细!$AA$2:$AA$50000,"重复Bug",缺陷明细!$J$2:$J$50000,"系统测试"))</f>
        <v>0</v>
      </c>
      <c r="S5" s="298">
        <f>COUNTIFS(缺陷明细!$A$2:$A$50000,$B$4,缺陷明细!$G$2:$G$50000,$C5,缺陷明细!$J$2:$J$50000,"系统测试",缺陷明细!$K$2:$K$50000,"致命",缺陷明细!$AA$2:$AA$50000,"&lt;&gt;丢弃",缺陷明细!$AA$2:$AA$50000,"&lt;&gt;设计如此",缺陷明细!$AA$2:$AA$50000,"&lt;&gt;重复Bug")+COUNTIFS(缺陷明细!$A$2:$A$50000,$B$4,缺陷明细!$G$2:$G$50000,$C5,缺陷明细!$J$2:$J$50000,"系统测试",缺陷明细!$K$2:$K$50000,"严重",缺陷明细!$AA$2:$AA$50000,"&lt;&gt;丢弃",缺陷明细!$AA$2:$AA$50000,"&lt;&gt;设计如此",缺陷明细!$AA$2:$AA$50000,"&lt;&gt;重复Bug")</f>
        <v>0</v>
      </c>
      <c r="T5" s="299">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300">
        <f>COUNTIFS(缺陷明细!$A$2:$A$50000,$B$4,缺陷明细!$G$2:$G$50000,$C5,缺陷明细!$J$2:$J$50000,"验收测试",缺陷明细!$AA$2:$AA$50000,"&lt;&gt;丢弃",缺陷明细!$AA$2:$AA$50000,"&lt;&gt;设计如此",缺陷明细!$AA$2:$AA$50000,"&lt;&gt;重复Bug")</f>
        <v>0</v>
      </c>
      <c r="V5" s="301">
        <f>COUNTIFS(缺陷明细!$A$2:$A$50000,$B$4,缺陷明细!$G$2:$G$50000,$C5,缺陷明细!$Q$2:$Q$50000,"已关闭",缺陷明细!$J$2:$J$50000,"验收测试")</f>
        <v>0</v>
      </c>
      <c r="W5" s="301">
        <f>COUNTIFS(缺陷明细!$A$2:$A$50000,$B$4,缺陷明细!$G$2:$G$50000,$C5,缺陷明细!$J$2:$J$50000,"验收测试",缺陷明细!$K$2:$K$50000,"致命",缺陷明细!$AA$2:$AA$50000,"&lt;&gt;丢弃",缺陷明细!$AA$2:$AA$50000,"&lt;&gt;设计如此",缺陷明细!$AA$2:$AA$50000,"&lt;&gt;重复Bug")+COUNTIFS(缺陷明细!$A$2:$A$50000,$B$4,缺陷明细!$G$2:$G$50000,$C5,缺陷明细!$J$2:$J$50000,"验收测试",缺陷明细!$K$2:$K$50000,"严重",缺陷明细!$AA$2:$AA$50000,"&lt;&gt;丢弃",缺陷明细!$AA$2:$AA$50000,"&lt;&gt;设计如此",缺陷明细!$AA$2:$AA$50000,"&lt;&gt;重复Bug")</f>
        <v>0</v>
      </c>
      <c r="X5" s="302">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303">
        <f>COUNTIFS(缺陷明细!$A$2:$A$50000,$B$4,缺陷明细!$G$2:$G$50000,$C5,缺陷明细!$J$2:$J$50000,"运维测试",缺陷明细!$AA$2:$AA$50000,"&lt;&gt;丢弃",缺陷明细!$AA$2:$AA$50000,"&lt;&gt;设计如此",缺陷明细!$AA$2:$AA$50000,"&lt;&gt;重复Bug")</f>
        <v>0</v>
      </c>
      <c r="Z5" s="304">
        <f>COUNTIFS(缺陷明细!$A$2:$A$50000,$B$4,缺陷明细!$G$2:$G$50000,$C5,缺陷明细!$Q$2:$Q$50000,"已关闭",缺陷明细!$J$2:$J$50000,"运维测试")</f>
        <v>0</v>
      </c>
      <c r="AA5" s="298">
        <f>COUNTIFS(缺陷明细!$A$2:$A$50000,$B$4,缺陷明细!$G$2:$G$50000,$C5,缺陷明细!$J$2:$J$50000,"运维测试",缺陷明细!$K$2:$K$50000,"致命",缺陷明细!$AA$2:$AA$50000,"&lt;&gt;丢弃",缺陷明细!$AA$2:$AA$50000,"&lt;&gt;设计如此",缺陷明细!$AA$2:$AA$50000,"&lt;&gt;重复Bug")+COUNTIFS(缺陷明细!$A$2:$A$50000,$B$4,缺陷明细!$G$2:$G$50000,$C5,缺陷明细!$J$2:$J$50000,"运维测试",缺陷明细!$K$2:$K$50000,"严重",缺陷明细!$AA$2:$AA$50000,"&lt;&gt;丢弃",缺陷明细!$AA$2:$AA$50000,"&lt;&gt;设计如此",缺陷明细!$AA$2:$AA$50000,"&lt;&gt;重复Bug")</f>
        <v>0</v>
      </c>
      <c r="AB5" s="299">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50"/>
    </row>
    <row r="6" spans="1:37">
      <c r="A6">
        <v>2</v>
      </c>
      <c r="B6" s="57"/>
      <c r="C6" s="58"/>
      <c r="D6" s="83"/>
      <c r="E6" s="82"/>
      <c r="F6" s="165"/>
      <c r="G6" s="166"/>
      <c r="H6" s="305">
        <f>COUNTIFS(缺陷明细!$A$2:$A$50000,$B$4,缺陷明细!$G$2:$G$50000,$C6,缺陷明细!$J$2:$J$50000,"评审",缺陷明细!$AA$2:$AA$50000,"&lt;&gt;丢弃",缺陷明细!$AA$2:$AA$50000,"&lt;&gt;设计如此",缺陷明细!$AA$2:$AA$50000,"&lt;&gt;重复Bug")</f>
        <v>0</v>
      </c>
      <c r="I6" s="161">
        <f>COUNTIFS(缺陷明细!$A$2:$A$50000,$B$4,缺陷明细!$G$2:$G$50000,$C6,缺陷明细!$Q$2:$Q$50000,"已关闭",缺陷明细!$J$2:$J$50000,"评审")</f>
        <v>0</v>
      </c>
      <c r="J6" s="161">
        <f>COUNTIFS(缺陷明细!$A$2:$A$50000,$B$4,缺陷明细!$G$2:$G$50000,$C6,缺陷明细!$J$2:$J$50000,"单元测试",缺陷明细!$AA$2:$AA$50000,"&lt;&gt;丢弃",缺陷明细!$AA$2:$AA$50000,"&lt;&gt;设计如此",缺陷明细!$AA$2:$AA$50000,"&lt;&gt;重复Bug")</f>
        <v>0</v>
      </c>
      <c r="K6" s="162">
        <f>COUNTIFS(缺陷明细!$A$2:$A$50000,$B$4,缺陷明细!$G$2:$G$50000,$C6,缺陷明细!$Q$2:$Q$50000,"已关闭",缺陷明细!$J$2:$J$50000,"单元测试")</f>
        <v>0</v>
      </c>
      <c r="L6" s="163"/>
      <c r="M6" s="164"/>
      <c r="N6" s="72">
        <f>COUNTIFS(缺陷明细!$A$2:$A$50000,$B$4,缺陷明细!$G$2:$G$50000,$C6,缺陷明细!$J$2:$J$50000,"系统测试案例评审",缺陷明细!$AA$2:$AA$50000,"&lt;&gt;丢弃",缺陷明细!$AA$2:$AA$50000,"&lt;&gt;设计如此",缺陷明细!$AA$2:$AA$50000,"&lt;&gt;重复Bug")</f>
        <v>0</v>
      </c>
      <c r="O6" s="72">
        <f>COUNTIFS(缺陷明细!$A$2:$A$50000,$B$4,缺陷明细!$G$2:$G$50000,$C6,缺陷明细!$Q$2:$Q$50000,"已关闭",缺陷明细!$J$2:$J$50000,"系统测试案例评审")</f>
        <v>0</v>
      </c>
      <c r="P6" s="72">
        <f>COUNTIFS(缺陷明细!$A$2:$A$50000,$B$4,缺陷明细!$G$2:$G$50000,$C6,缺陷明细!$J$2:$J$50000,"系统测试",缺陷明细!$AA$2:$AA$50000,"&lt;&gt;丢弃",缺陷明细!$AA$2:$AA$50000,"&lt;&gt;设计如此",缺陷明细!$AA$2:$AA$50000,"&lt;&gt;重复Bug")</f>
        <v>0</v>
      </c>
      <c r="Q6" s="72">
        <f>COUNTIFS(缺陷明细!$A$2:$A$50000,$B$4,缺陷明细!$G$2:$G$50000,$C6,缺陷明细!$Q$2:$Q$50000,"已关闭",缺陷明细!$J$2:$J$50000,"系统测试")</f>
        <v>0</v>
      </c>
      <c r="R6" s="72">
        <f>COUNTIFS(缺陷明细!$A$2:$A$50000,$B$4,缺陷明细!$G$2:$G$50000,$C6,缺陷明细!$AA$2:$AA$50000,"丢弃",缺陷明细!$J$2:$J$50000,"系统测试")+COUNTIFS(缺陷明细!$A$2:$A$50000,$B$4,缺陷明细!$G$2:$G$50000,$C6,缺陷明细!$AA$2:$AA$50000,"设计如此",缺陷明细!$J$2:$J$50000,"系统测试"+COUNTIFS(缺陷明细!$A$2:$A$50000,$B$4,缺陷明细!$G$2:$G$50000,$C6,缺陷明细!$AA$2:$AA$50000,"重复Bug",缺陷明细!$J$2:$J$50000,"系统测试"))</f>
        <v>0</v>
      </c>
      <c r="S6" s="72">
        <f>COUNTIFS(缺陷明细!$A$2:$A$50000,$B$4,缺陷明细!$G$2:$G$50000,$C6,缺陷明细!$J$2:$J$50000,"系统测试",缺陷明细!$K$2:$K$50000,"致命",缺陷明细!$AA$2:$AA$50000,"&lt;&gt;丢弃",缺陷明细!$AA$2:$AA$50000,"&lt;&gt;设计如此",缺陷明细!$AA$2:$AA$50000,"&lt;&gt;重复Bug")+COUNTIFS(缺陷明细!$A$2:$A$50000,$B$4,缺陷明细!$G$2:$G$50000,$C6,缺陷明细!$J$2:$J$50000,"系统测试",缺陷明细!$K$2:$K$50000,"严重",缺陷明细!$AA$2:$AA$50000,"&lt;&gt;丢弃",缺陷明细!$AA$2:$AA$50000,"&lt;&gt;设计如此",缺陷明细!$AA$2:$AA$50000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COUNTIFS(缺陷明细!$A$2:$A$50000,$B$4,缺陷明细!$G$2:$G$50000,$C6,缺陷明细!$J$2:$J$50000,"验收测试",缺陷明细!$AA$2:$AA$50000,"&lt;&gt;丢弃",缺陷明细!$AA$2:$AA$50000,"&lt;&gt;设计如此",缺陷明细!$AA$2:$AA$50000,"&lt;&gt;重复Bug")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A$2:$AA$50000,"&lt;&gt;丢弃",缺陷明细!$AA$2:$AA$50000,"&lt;&gt;设计如此",缺陷明细!$AA$2:$AA$50000,"&lt;&gt;重复Bug")+COUNTIFS(缺陷明细!$A$2:$A$50000,$B$4,缺陷明细!$G$2:$G$50000,$C6,缺陷明细!$J$2:$J$50000,"验收测试",缺陷明细!$K$2:$K$50000,"严重",缺陷明细!$AA$2:$AA$50000,"&lt;&gt;丢弃",缺陷明细!$AA$2:$AA$50000,"&lt;&gt;设计如此",缺陷明细!$AA$2:$AA$50000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COUNTIFS(缺陷明细!$A$2:$A$50000,$B$4,缺陷明细!$G$2:$G$50000,$C6,缺陷明细!$J$2:$J$50000,"运维测试",缺陷明细!$AA$2:$AA$50000,"&lt;&gt;丢弃",缺陷明细!$AA$2:$AA$50000,"&lt;&gt;设计如此",缺陷明细!$AA$2:$AA$50000,"&lt;&gt;重复Bug")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A$2:$AA$50000,"&lt;&gt;丢弃",缺陷明细!$AA$2:$AA$50000,"&lt;&gt;设计如此",缺陷明细!$AA$2:$AA$50000,"&lt;&gt;重复Bug")+COUNTIFS(缺陷明细!$A$2:$A$50000,$B$4,缺陷明细!$G$2:$G$50000,$C6,缺陷明细!$J$2:$J$50000,"运维测试",缺陷明细!$K$2:$K$50000,"严重",缺陷明细!$AA$2:$AA$50000,"&lt;&gt;丢弃",缺陷明细!$AA$2:$AA$50000,"&lt;&gt;设计如此",缺陷明细!$AA$2:$AA$50000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51"/>
    </row>
    <row r="7" spans="1:37">
      <c r="A7">
        <v>3</v>
      </c>
      <c r="B7" s="57"/>
      <c r="C7" s="58"/>
      <c r="D7" s="83"/>
      <c r="E7" s="82"/>
      <c r="F7" s="165"/>
      <c r="G7" s="166"/>
      <c r="H7" s="305">
        <f>COUNTIFS(缺陷明细!$A$2:$A$50000,$B$4,缺陷明细!$G$2:$G$50000,$C7,缺陷明细!$J$2:$J$50000,"评审",缺陷明细!$AA$2:$AA$50000,"&lt;&gt;丢弃",缺陷明细!$AA$2:$AA$50000,"&lt;&gt;设计如此",缺陷明细!$AA$2:$AA$50000,"&lt;&gt;重复Bug")</f>
        <v>0</v>
      </c>
      <c r="I7" s="161">
        <f>COUNTIFS(缺陷明细!$A$2:$A$50000,$B$4,缺陷明细!$G$2:$G$50000,$C7,缺陷明细!$Q$2:$Q$50000,"已关闭",缺陷明细!$J$2:$J$50000,"评审")</f>
        <v>0</v>
      </c>
      <c r="J7" s="161">
        <f>COUNTIFS(缺陷明细!$A$2:$A$50000,$B$4,缺陷明细!$G$2:$G$50000,$C7,缺陷明细!$J$2:$J$50000,"单元测试",缺陷明细!$AA$2:$AA$50000,"&lt;&gt;丢弃",缺陷明细!$AA$2:$AA$50000,"&lt;&gt;设计如此",缺陷明细!$AA$2:$AA$50000,"&lt;&gt;重复Bug")</f>
        <v>0</v>
      </c>
      <c r="K7" s="162">
        <f>COUNTIFS(缺陷明细!$A$2:$A$50000,$B$4,缺陷明细!$G$2:$G$50000,$C7,缺陷明细!$Q$2:$Q$50000,"已关闭",缺陷明细!$J$2:$J$50000,"单元测试")</f>
        <v>0</v>
      </c>
      <c r="L7" s="163"/>
      <c r="M7" s="164"/>
      <c r="N7" s="72">
        <f>COUNTIFS(缺陷明细!$A$2:$A$50000,$B$4,缺陷明细!$G$2:$G$50000,$C7,缺陷明细!$J$2:$J$50000,"系统测试案例评审",缺陷明细!$AA$2:$AA$50000,"&lt;&gt;丢弃",缺陷明细!$AA$2:$AA$50000,"&lt;&gt;设计如此",缺陷明细!$AA$2:$AA$50000,"&lt;&gt;重复Bug")</f>
        <v>0</v>
      </c>
      <c r="O7" s="72">
        <f>COUNTIFS(缺陷明细!$A$2:$A$50000,$B$4,缺陷明细!$G$2:$G$50000,$C7,缺陷明细!$Q$2:$Q$50000,"已关闭",缺陷明细!$J$2:$J$50000,"系统测试案例评审")</f>
        <v>0</v>
      </c>
      <c r="P7" s="72">
        <f>COUNTIFS(缺陷明细!$A$2:$A$50000,$B$4,缺陷明细!$G$2:$G$50000,$C7,缺陷明细!$J$2:$J$50000,"系统测试",缺陷明细!$AA$2:$AA$50000,"&lt;&gt;丢弃",缺陷明细!$AA$2:$AA$50000,"&lt;&gt;设计如此",缺陷明细!$AA$2:$AA$50000,"&lt;&gt;重复Bug")</f>
        <v>0</v>
      </c>
      <c r="Q7" s="72">
        <f>COUNTIFS(缺陷明细!$A$2:$A$50000,$B$4,缺陷明细!$G$2:$G$50000,$C7,缺陷明细!$Q$2:$Q$50000,"已关闭",缺陷明细!$J$2:$J$50000,"系统测试")</f>
        <v>0</v>
      </c>
      <c r="R7" s="72">
        <f>COUNTIFS(缺陷明细!$A$2:$A$50000,$B$4,缺陷明细!$G$2:$G$50000,$C7,缺陷明细!$AA$2:$AA$50000,"丢弃",缺陷明细!$J$2:$J$50000,"系统测试")+COUNTIFS(缺陷明细!$A$2:$A$50000,$B$4,缺陷明细!$G$2:$G$50000,$C7,缺陷明细!$AA$2:$AA$50000,"设计如此",缺陷明细!$J$2:$J$50000,"系统测试"+COUNTIFS(缺陷明细!$A$2:$A$50000,$B$4,缺陷明细!$G$2:$G$50000,$C7,缺陷明细!$AA$2:$AA$50000,"重复Bug",缺陷明细!$J$2:$J$50000,"系统测试"))</f>
        <v>0</v>
      </c>
      <c r="S7" s="72">
        <f>COUNTIFS(缺陷明细!$A$2:$A$50000,$B$4,缺陷明细!$G$2:$G$50000,$C7,缺陷明细!$J$2:$J$50000,"系统测试",缺陷明细!$K$2:$K$50000,"致命",缺陷明细!$AA$2:$AA$50000,"&lt;&gt;丢弃",缺陷明细!$AA$2:$AA$50000,"&lt;&gt;设计如此",缺陷明细!$AA$2:$AA$50000,"&lt;&gt;重复Bug")+COUNTIFS(缺陷明细!$A$2:$A$50000,$B$4,缺陷明细!$G$2:$G$50000,$C7,缺陷明细!$J$2:$J$50000,"系统测试",缺陷明细!$K$2:$K$50000,"严重",缺陷明细!$AA$2:$AA$50000,"&lt;&gt;丢弃",缺陷明细!$AA$2:$AA$50000,"&lt;&gt;设计如此",缺陷明细!$AA$2:$AA$50000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COUNTIFS(缺陷明细!$A$2:$A$50000,$B$4,缺陷明细!$G$2:$G$50000,$C7,缺陷明细!$J$2:$J$50000,"验收测试",缺陷明细!$AA$2:$AA$50000,"&lt;&gt;丢弃",缺陷明细!$AA$2:$AA$50000,"&lt;&gt;设计如此",缺陷明细!$AA$2:$AA$50000,"&lt;&gt;重复Bug")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A$2:$AA$50000,"&lt;&gt;丢弃",缺陷明细!$AA$2:$AA$50000,"&lt;&gt;设计如此",缺陷明细!$AA$2:$AA$50000,"&lt;&gt;重复Bug")+COUNTIFS(缺陷明细!$A$2:$A$50000,$B$4,缺陷明细!$G$2:$G$50000,$C7,缺陷明细!$J$2:$J$50000,"验收测试",缺陷明细!$K$2:$K$50000,"严重",缺陷明细!$AA$2:$AA$50000,"&lt;&gt;丢弃",缺陷明细!$AA$2:$AA$50000,"&lt;&gt;设计如此",缺陷明细!$AA$2:$AA$50000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COUNTIFS(缺陷明细!$A$2:$A$50000,$B$4,缺陷明细!$G$2:$G$50000,$C7,缺陷明细!$J$2:$J$50000,"运维测试",缺陷明细!$AA$2:$AA$50000,"&lt;&gt;丢弃",缺陷明细!$AA$2:$AA$50000,"&lt;&gt;设计如此",缺陷明细!$AA$2:$AA$50000,"&lt;&gt;重复Bug")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A$2:$AA$50000,"&lt;&gt;丢弃",缺陷明细!$AA$2:$AA$50000,"&lt;&gt;设计如此",缺陷明细!$AA$2:$AA$50000,"&lt;&gt;重复Bug")+COUNTIFS(缺陷明细!$A$2:$A$50000,$B$4,缺陷明细!$G$2:$G$50000,$C7,缺陷明细!$J$2:$J$50000,"运维测试",缺陷明细!$K$2:$K$50000,"严重",缺陷明细!$AA$2:$AA$50000,"&lt;&gt;丢弃",缺陷明细!$AA$2:$AA$50000,"&lt;&gt;设计如此",缺陷明细!$AA$2:$AA$50000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51"/>
    </row>
    <row r="8" spans="1:37">
      <c r="A8">
        <v>4</v>
      </c>
      <c r="B8" s="57"/>
      <c r="C8" s="58"/>
      <c r="D8" s="83"/>
      <c r="E8" s="82"/>
      <c r="F8" s="165"/>
      <c r="G8" s="166"/>
      <c r="H8" s="305">
        <f>COUNTIFS(缺陷明细!$A$2:$A$50000,$B$4,缺陷明细!$G$2:$G$50000,$C8,缺陷明细!$J$2:$J$50000,"评审",缺陷明细!$AA$2:$AA$50000,"&lt;&gt;丢弃",缺陷明细!$AA$2:$AA$50000,"&lt;&gt;设计如此",缺陷明细!$AA$2:$AA$50000,"&lt;&gt;重复Bug")</f>
        <v>0</v>
      </c>
      <c r="I8" s="161">
        <f>COUNTIFS(缺陷明细!$A$2:$A$50000,$B$4,缺陷明细!$G$2:$G$50000,$C8,缺陷明细!$Q$2:$Q$50000,"已关闭",缺陷明细!$J$2:$J$50000,"评审")</f>
        <v>0</v>
      </c>
      <c r="J8" s="161">
        <f>COUNTIFS(缺陷明细!$A$2:$A$50000,$B$4,缺陷明细!$G$2:$G$50000,$C8,缺陷明细!$J$2:$J$50000,"单元测试",缺陷明细!$AA$2:$AA$50000,"&lt;&gt;丢弃",缺陷明细!$AA$2:$AA$50000,"&lt;&gt;设计如此",缺陷明细!$AA$2:$AA$50000,"&lt;&gt;重复Bug")</f>
        <v>0</v>
      </c>
      <c r="K8" s="162">
        <f>COUNTIFS(缺陷明细!$A$2:$A$50000,$B$4,缺陷明细!$G$2:$G$50000,$C8,缺陷明细!$Q$2:$Q$50000,"已关闭",缺陷明细!$J$2:$J$50000,"单元测试")</f>
        <v>0</v>
      </c>
      <c r="L8" s="163"/>
      <c r="M8" s="164"/>
      <c r="N8" s="72">
        <f>COUNTIFS(缺陷明细!$A$2:$A$50000,$B$4,缺陷明细!$G$2:$G$50000,$C8,缺陷明细!$J$2:$J$50000,"系统测试案例评审",缺陷明细!$AA$2:$AA$50000,"&lt;&gt;丢弃",缺陷明细!$AA$2:$AA$50000,"&lt;&gt;设计如此",缺陷明细!$AA$2:$AA$50000,"&lt;&gt;重复Bug")</f>
        <v>0</v>
      </c>
      <c r="O8" s="72">
        <f>COUNTIFS(缺陷明细!$A$2:$A$50000,$B$4,缺陷明细!$G$2:$G$50000,$C8,缺陷明细!$Q$2:$Q$50000,"已关闭",缺陷明细!$J$2:$J$50000,"系统测试案例评审")</f>
        <v>0</v>
      </c>
      <c r="P8" s="72">
        <f>COUNTIFS(缺陷明细!$A$2:$A$50000,$B$4,缺陷明细!$G$2:$G$50000,$C8,缺陷明细!$J$2:$J$50000,"系统测试",缺陷明细!$AA$2:$AA$50000,"&lt;&gt;丢弃",缺陷明细!$AA$2:$AA$50000,"&lt;&gt;设计如此",缺陷明细!$AA$2:$AA$50000,"&lt;&gt;重复Bug")</f>
        <v>0</v>
      </c>
      <c r="Q8" s="72">
        <f>COUNTIFS(缺陷明细!$A$2:$A$50000,$B$4,缺陷明细!$G$2:$G$50000,$C8,缺陷明细!$Q$2:$Q$50000,"已关闭",缺陷明细!$J$2:$J$50000,"系统测试")</f>
        <v>0</v>
      </c>
      <c r="R8" s="72">
        <f>COUNTIFS(缺陷明细!$A$2:$A$50000,$B$4,缺陷明细!$G$2:$G$50000,$C8,缺陷明细!$AA$2:$AA$50000,"丢弃",缺陷明细!$J$2:$J$50000,"系统测试")+COUNTIFS(缺陷明细!$A$2:$A$50000,$B$4,缺陷明细!$G$2:$G$50000,$C8,缺陷明细!$AA$2:$AA$50000,"设计如此",缺陷明细!$J$2:$J$50000,"系统测试"+COUNTIFS(缺陷明细!$A$2:$A$50000,$B$4,缺陷明细!$G$2:$G$50000,$C8,缺陷明细!$AA$2:$AA$50000,"重复Bug",缺陷明细!$J$2:$J$50000,"系统测试"))</f>
        <v>0</v>
      </c>
      <c r="S8" s="72">
        <f>COUNTIFS(缺陷明细!$A$2:$A$50000,$B$4,缺陷明细!$G$2:$G$50000,$C8,缺陷明细!$J$2:$J$50000,"系统测试",缺陷明细!$K$2:$K$50000,"致命",缺陷明细!$AA$2:$AA$50000,"&lt;&gt;丢弃",缺陷明细!$AA$2:$AA$50000,"&lt;&gt;设计如此",缺陷明细!$AA$2:$AA$50000,"&lt;&gt;重复Bug")+COUNTIFS(缺陷明细!$A$2:$A$50000,$B$4,缺陷明细!$G$2:$G$50000,$C8,缺陷明细!$J$2:$J$50000,"系统测试",缺陷明细!$K$2:$K$50000,"严重",缺陷明细!$AA$2:$AA$50000,"&lt;&gt;丢弃",缺陷明细!$AA$2:$AA$50000,"&lt;&gt;设计如此",缺陷明细!$AA$2:$AA$50000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COUNTIFS(缺陷明细!$A$2:$A$50000,$B$4,缺陷明细!$G$2:$G$50000,$C8,缺陷明细!$J$2:$J$50000,"验收测试",缺陷明细!$AA$2:$AA$50000,"&lt;&gt;丢弃",缺陷明细!$AA$2:$AA$50000,"&lt;&gt;设计如此",缺陷明细!$AA$2:$AA$50000,"&lt;&gt;重复Bug")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A$2:$AA$50000,"&lt;&gt;丢弃",缺陷明细!$AA$2:$AA$50000,"&lt;&gt;设计如此",缺陷明细!$AA$2:$AA$50000,"&lt;&gt;重复Bug")+COUNTIFS(缺陷明细!$A$2:$A$50000,$B$4,缺陷明细!$G$2:$G$50000,$C8,缺陷明细!$J$2:$J$50000,"验收测试",缺陷明细!$K$2:$K$50000,"严重",缺陷明细!$AA$2:$AA$50000,"&lt;&gt;丢弃",缺陷明细!$AA$2:$AA$50000,"&lt;&gt;设计如此",缺陷明细!$AA$2:$AA$50000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COUNTIFS(缺陷明细!$A$2:$A$50000,$B$4,缺陷明细!$G$2:$G$50000,$C8,缺陷明细!$J$2:$J$50000,"运维测试",缺陷明细!$AA$2:$AA$50000,"&lt;&gt;丢弃",缺陷明细!$AA$2:$AA$50000,"&lt;&gt;设计如此",缺陷明细!$AA$2:$AA$50000,"&lt;&gt;重复Bug")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A$2:$AA$50000,"&lt;&gt;丢弃",缺陷明细!$AA$2:$AA$50000,"&lt;&gt;设计如此",缺陷明细!$AA$2:$AA$50000,"&lt;&gt;重复Bug")+COUNTIFS(缺陷明细!$A$2:$A$50000,$B$4,缺陷明细!$G$2:$G$50000,$C8,缺陷明细!$J$2:$J$50000,"运维测试",缺陷明细!$K$2:$K$50000,"严重",缺陷明细!$AA$2:$AA$50000,"&lt;&gt;丢弃",缺陷明细!$AA$2:$AA$50000,"&lt;&gt;设计如此",缺陷明细!$AA$2:$AA$50000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51"/>
    </row>
    <row r="9" spans="1:37">
      <c r="A9">
        <v>5</v>
      </c>
      <c r="B9" s="57"/>
      <c r="C9" s="59"/>
      <c r="D9" s="84"/>
      <c r="E9" s="82"/>
      <c r="F9" s="167"/>
      <c r="G9" s="168"/>
      <c r="H9" s="305">
        <f>COUNTIFS(缺陷明细!$A$2:$A$50000,$B$4,缺陷明细!$G$2:$G$50000,$C9,缺陷明细!$J$2:$J$50000,"评审",缺陷明细!$AA$2:$AA$50000,"&lt;&gt;丢弃",缺陷明细!$AA$2:$AA$50000,"&lt;&gt;设计如此",缺陷明细!$AA$2:$AA$50000,"&lt;&gt;重复Bug")</f>
        <v>0</v>
      </c>
      <c r="I9" s="161">
        <f>COUNTIFS(缺陷明细!$A$2:$A$50000,$B$4,缺陷明细!$G$2:$G$50000,$C9,缺陷明细!$Q$2:$Q$50000,"已关闭",缺陷明细!$J$2:$J$50000,"评审")</f>
        <v>0</v>
      </c>
      <c r="J9" s="161">
        <f>COUNTIFS(缺陷明细!$A$2:$A$50000,$B$4,缺陷明细!$G$2:$G$50000,$C9,缺陷明细!$J$2:$J$50000,"单元测试",缺陷明细!$AA$2:$AA$50000,"&lt;&gt;丢弃",缺陷明细!$AA$2:$AA$50000,"&lt;&gt;设计如此",缺陷明细!$AA$2:$AA$50000,"&lt;&gt;重复Bug")</f>
        <v>0</v>
      </c>
      <c r="K9" s="162">
        <f>COUNTIFS(缺陷明细!$A$2:$A$50000,$B$4,缺陷明细!$G$2:$G$50000,$C9,缺陷明细!$Q$2:$Q$50000,"已关闭",缺陷明细!$J$2:$J$50000,"单元测试")</f>
        <v>0</v>
      </c>
      <c r="L9" s="163"/>
      <c r="M9" s="164"/>
      <c r="N9" s="72">
        <f>COUNTIFS(缺陷明细!$A$2:$A$50000,$B$4,缺陷明细!$G$2:$G$50000,$C9,缺陷明细!$J$2:$J$50000,"系统测试案例评审",缺陷明细!$AA$2:$AA$50000,"&lt;&gt;丢弃",缺陷明细!$AA$2:$AA$50000,"&lt;&gt;设计如此",缺陷明细!$AA$2:$AA$50000,"&lt;&gt;重复Bug")</f>
        <v>0</v>
      </c>
      <c r="O9" s="72">
        <f>COUNTIFS(缺陷明细!$A$2:$A$50000,$B$4,缺陷明细!$G$2:$G$50000,$C9,缺陷明细!$Q$2:$Q$50000,"已关闭",缺陷明细!$J$2:$J$50000,"系统测试案例评审")</f>
        <v>0</v>
      </c>
      <c r="P9" s="72">
        <f>COUNTIFS(缺陷明细!$A$2:$A$50000,$B$4,缺陷明细!$G$2:$G$50000,$C9,缺陷明细!$J$2:$J$50000,"系统测试",缺陷明细!$AA$2:$AA$50000,"&lt;&gt;丢弃",缺陷明细!$AA$2:$AA$50000,"&lt;&gt;设计如此",缺陷明细!$AA$2:$AA$50000,"&lt;&gt;重复Bug")</f>
        <v>0</v>
      </c>
      <c r="Q9" s="72">
        <f>COUNTIFS(缺陷明细!$A$2:$A$50000,$B$4,缺陷明细!$G$2:$G$50000,$C9,缺陷明细!$Q$2:$Q$50000,"已关闭",缺陷明细!$J$2:$J$50000,"系统测试")</f>
        <v>0</v>
      </c>
      <c r="R9" s="72">
        <f>COUNTIFS(缺陷明细!$A$2:$A$50000,$B$4,缺陷明细!$G$2:$G$50000,$C9,缺陷明细!$AA$2:$AA$50000,"丢弃",缺陷明细!$J$2:$J$50000,"系统测试")+COUNTIFS(缺陷明细!$A$2:$A$50000,$B$4,缺陷明细!$G$2:$G$50000,$C9,缺陷明细!$AA$2:$AA$50000,"设计如此",缺陷明细!$J$2:$J$50000,"系统测试"+COUNTIFS(缺陷明细!$A$2:$A$50000,$B$4,缺陷明细!$G$2:$G$50000,$C9,缺陷明细!$AA$2:$AA$50000,"重复Bug",缺陷明细!$J$2:$J$50000,"系统测试"))</f>
        <v>0</v>
      </c>
      <c r="S9" s="72">
        <f>COUNTIFS(缺陷明细!$A$2:$A$50000,$B$4,缺陷明细!$G$2:$G$50000,$C9,缺陷明细!$J$2:$J$50000,"系统测试",缺陷明细!$K$2:$K$50000,"致命",缺陷明细!$AA$2:$AA$50000,"&lt;&gt;丢弃",缺陷明细!$AA$2:$AA$50000,"&lt;&gt;设计如此",缺陷明细!$AA$2:$AA$50000,"&lt;&gt;重复Bug")+COUNTIFS(缺陷明细!$A$2:$A$50000,$B$4,缺陷明细!$G$2:$G$50000,$C9,缺陷明细!$J$2:$J$50000,"系统测试",缺陷明细!$K$2:$K$50000,"严重",缺陷明细!$AA$2:$AA$50000,"&lt;&gt;丢弃",缺陷明细!$AA$2:$AA$50000,"&lt;&gt;设计如此",缺陷明细!$AA$2:$AA$50000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COUNTIFS(缺陷明细!$A$2:$A$50000,$B$4,缺陷明细!$G$2:$G$50000,$C9,缺陷明细!$J$2:$J$50000,"验收测试",缺陷明细!$AA$2:$AA$50000,"&lt;&gt;丢弃",缺陷明细!$AA$2:$AA$50000,"&lt;&gt;设计如此",缺陷明细!$AA$2:$AA$50000,"&lt;&gt;重复Bug")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A$2:$AA$50000,"&lt;&gt;丢弃",缺陷明细!$AA$2:$AA$50000,"&lt;&gt;设计如此",缺陷明细!$AA$2:$AA$50000,"&lt;&gt;重复Bug")+COUNTIFS(缺陷明细!$A$2:$A$50000,$B$4,缺陷明细!$G$2:$G$50000,$C9,缺陷明细!$J$2:$J$50000,"验收测试",缺陷明细!$K$2:$K$50000,"严重",缺陷明细!$AA$2:$AA$50000,"&lt;&gt;丢弃",缺陷明细!$AA$2:$AA$50000,"&lt;&gt;设计如此",缺陷明细!$AA$2:$AA$50000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COUNTIFS(缺陷明细!$A$2:$A$50000,$B$4,缺陷明细!$G$2:$G$50000,$C9,缺陷明细!$J$2:$J$50000,"运维测试",缺陷明细!$AA$2:$AA$50000,"&lt;&gt;丢弃",缺陷明细!$AA$2:$AA$50000,"&lt;&gt;设计如此",缺陷明细!$AA$2:$AA$50000,"&lt;&gt;重复Bug")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A$2:$AA$50000,"&lt;&gt;丢弃",缺陷明细!$AA$2:$AA$50000,"&lt;&gt;设计如此",缺陷明细!$AA$2:$AA$50000,"&lt;&gt;重复Bug")+COUNTIFS(缺陷明细!$A$2:$A$50000,$B$4,缺陷明细!$G$2:$G$50000,$C9,缺陷明细!$J$2:$J$50000,"运维测试",缺陷明细!$K$2:$K$50000,"严重",缺陷明细!$AA$2:$AA$50000,"&lt;&gt;丢弃",缺陷明细!$AA$2:$AA$50000,"&lt;&gt;设计如此",缺陷明细!$AA$2:$AA$50000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51"/>
    </row>
    <row r="10" spans="1:37">
      <c r="A10">
        <v>6</v>
      </c>
      <c r="B10" s="57"/>
      <c r="C10" s="58"/>
      <c r="D10" s="84"/>
      <c r="E10" s="82"/>
      <c r="F10" s="165"/>
      <c r="G10" s="166"/>
      <c r="H10" s="305">
        <f>COUNTIFS(缺陷明细!$A$2:$A$50000,$B$4,缺陷明细!$G$2:$G$50000,$C10,缺陷明细!$J$2:$J$50000,"评审",缺陷明细!$AA$2:$AA$50000,"&lt;&gt;丢弃",缺陷明细!$AA$2:$AA$50000,"&lt;&gt;设计如此",缺陷明细!$AA$2:$AA$50000,"&lt;&gt;重复Bug")</f>
        <v>0</v>
      </c>
      <c r="I10" s="161">
        <f>COUNTIFS(缺陷明细!$A$2:$A$50000,$B$4,缺陷明细!$G$2:$G$50000,$C10,缺陷明细!$Q$2:$Q$50000,"已关闭",缺陷明细!$J$2:$J$50000,"评审")</f>
        <v>0</v>
      </c>
      <c r="J10" s="161">
        <f>COUNTIFS(缺陷明细!$A$2:$A$50000,$B$4,缺陷明细!$G$2:$G$50000,$C10,缺陷明细!$J$2:$J$50000,"单元测试",缺陷明细!$AA$2:$AA$50000,"&lt;&gt;丢弃",缺陷明细!$AA$2:$AA$50000,"&lt;&gt;设计如此",缺陷明细!$AA$2:$AA$50000,"&lt;&gt;重复Bug")</f>
        <v>0</v>
      </c>
      <c r="K10" s="162">
        <f>COUNTIFS(缺陷明细!$A$2:$A$50000,$B$4,缺陷明细!$G$2:$G$50000,$C10,缺陷明细!$Q$2:$Q$50000,"已关闭",缺陷明细!$J$2:$J$50000,"单元测试")</f>
        <v>0</v>
      </c>
      <c r="L10" s="163"/>
      <c r="M10" s="164"/>
      <c r="N10" s="72">
        <f>COUNTIFS(缺陷明细!$A$2:$A$50000,$B$4,缺陷明细!$G$2:$G$50000,$C10,缺陷明细!$J$2:$J$50000,"系统测试案例评审",缺陷明细!$AA$2:$AA$50000,"&lt;&gt;丢弃",缺陷明细!$AA$2:$AA$50000,"&lt;&gt;设计如此",缺陷明细!$AA$2:$AA$50000,"&lt;&gt;重复Bug")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COUNTIFS(缺陷明细!$A$2:$A$50000,$B$4,缺陷明细!$G$2:$G$50000,$C10,缺陷明细!$J$2:$J$50000,"系统测试",缺陷明细!$AA$2:$AA$50000,"&lt;&gt;丢弃",缺陷明细!$AA$2:$AA$50000,"&lt;&gt;设计如此",缺陷明细!$AA$2:$AA$50000,"&lt;&gt;重复Bug")</f>
        <v>0</v>
      </c>
      <c r="Q10" s="72">
        <f>COUNTIFS(缺陷明细!$A$2:$A$50000,$B$4,缺陷明细!$G$2:$G$50000,$C10,缺陷明细!$Q$2:$Q$50000,"已关闭",缺陷明细!$J$2:$J$50000,"系统测试")</f>
        <v>0</v>
      </c>
      <c r="R10" s="72">
        <f>COUNTIFS(缺陷明细!$A$2:$A$50000,$B$4,缺陷明细!$G$2:$G$50000,$C10,缺陷明细!$AA$2:$AA$50000,"丢弃",缺陷明细!$J$2:$J$50000,"系统测试")+COUNTIFS(缺陷明细!$A$2:$A$50000,$B$4,缺陷明细!$G$2:$G$50000,$C10,缺陷明细!$AA$2:$AA$50000,"设计如此",缺陷明细!$J$2:$J$50000,"系统测试"+COUNTIFS(缺陷明细!$A$2:$A$50000,$B$4,缺陷明细!$G$2:$G$50000,$C10,缺陷明细!$AA$2:$AA$50000,"重复Bug",缺陷明细!$J$2:$J$50000,"系统测试"))</f>
        <v>0</v>
      </c>
      <c r="S10" s="72">
        <f>COUNTIFS(缺陷明细!$A$2:$A$50000,$B$4,缺陷明细!$G$2:$G$50000,$C10,缺陷明细!$J$2:$J$50000,"系统测试",缺陷明细!$K$2:$K$50000,"致命",缺陷明细!$AA$2:$AA$50000,"&lt;&gt;丢弃",缺陷明细!$AA$2:$AA$50000,"&lt;&gt;设计如此",缺陷明细!$AA$2:$AA$50000,"&lt;&gt;重复Bug")+COUNTIFS(缺陷明细!$A$2:$A$50000,$B$4,缺陷明细!$G$2:$G$50000,$C10,缺陷明细!$J$2:$J$50000,"系统测试",缺陷明细!$K$2:$K$50000,"严重",缺陷明细!$AA$2:$AA$50000,"&lt;&gt;丢弃",缺陷明细!$AA$2:$AA$50000,"&lt;&gt;设计如此",缺陷明细!$AA$2:$AA$50000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COUNTIFS(缺陷明细!$A$2:$A$50000,$B$4,缺陷明细!$G$2:$G$50000,$C10,缺陷明细!$J$2:$J$50000,"验收测试",缺陷明细!$AA$2:$AA$50000,"&lt;&gt;丢弃",缺陷明细!$AA$2:$AA$50000,"&lt;&gt;设计如此",缺陷明细!$AA$2:$AA$50000,"&lt;&gt;重复Bug")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A$2:$AA$50000,"&lt;&gt;丢弃",缺陷明细!$AA$2:$AA$50000,"&lt;&gt;设计如此",缺陷明细!$AA$2:$AA$50000,"&lt;&gt;重复Bug")+COUNTIFS(缺陷明细!$A$2:$A$50000,$B$4,缺陷明细!$G$2:$G$50000,$C10,缺陷明细!$J$2:$J$50000,"验收测试",缺陷明细!$K$2:$K$50000,"严重",缺陷明细!$AA$2:$AA$50000,"&lt;&gt;丢弃",缺陷明细!$AA$2:$AA$50000,"&lt;&gt;设计如此",缺陷明细!$AA$2:$AA$50000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COUNTIFS(缺陷明细!$A$2:$A$50000,$B$4,缺陷明细!$G$2:$G$50000,$C10,缺陷明细!$J$2:$J$50000,"运维测试",缺陷明细!$AA$2:$AA$50000,"&lt;&gt;丢弃",缺陷明细!$AA$2:$AA$50000,"&lt;&gt;设计如此",缺陷明细!$AA$2:$AA$50000,"&lt;&gt;重复Bug")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A$2:$AA$50000,"&lt;&gt;丢弃",缺陷明细!$AA$2:$AA$50000,"&lt;&gt;设计如此",缺陷明细!$AA$2:$AA$50000,"&lt;&gt;重复Bug")+COUNTIFS(缺陷明细!$A$2:$A$50000,$B$4,缺陷明细!$G$2:$G$50000,$C10,缺陷明细!$J$2:$J$50000,"运维测试",缺陷明细!$K$2:$K$50000,"严重",缺陷明细!$AA$2:$AA$50000,"&lt;&gt;丢弃",缺陷明细!$AA$2:$AA$50000,"&lt;&gt;设计如此",缺陷明细!$AA$2:$AA$50000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51"/>
    </row>
    <row r="11" spans="1:37">
      <c r="A11">
        <v>7</v>
      </c>
      <c r="B11" s="57"/>
      <c r="C11" s="58"/>
      <c r="D11" s="84"/>
      <c r="E11" s="82"/>
      <c r="F11" s="165"/>
      <c r="G11" s="166"/>
      <c r="H11" s="305">
        <f>COUNTIFS(缺陷明细!$A$2:$A$50000,$B$4,缺陷明细!$G$2:$G$50000,$C11,缺陷明细!$J$2:$J$50000,"评审",缺陷明细!$AA$2:$AA$50000,"&lt;&gt;丢弃",缺陷明细!$AA$2:$AA$50000,"&lt;&gt;设计如此",缺陷明细!$AA$2:$AA$50000,"&lt;&gt;重复Bug")</f>
        <v>0</v>
      </c>
      <c r="I11" s="161">
        <f>COUNTIFS(缺陷明细!$A$2:$A$50000,$B$4,缺陷明细!$G$2:$G$50000,$C11,缺陷明细!$Q$2:$Q$50000,"已关闭",缺陷明细!$J$2:$J$50000,"评审")</f>
        <v>0</v>
      </c>
      <c r="J11" s="161">
        <f>COUNTIFS(缺陷明细!$A$2:$A$50000,$B$4,缺陷明细!$G$2:$G$50000,$C11,缺陷明细!$J$2:$J$50000,"单元测试",缺陷明细!$AA$2:$AA$50000,"&lt;&gt;丢弃",缺陷明细!$AA$2:$AA$50000,"&lt;&gt;设计如此",缺陷明细!$AA$2:$AA$50000,"&lt;&gt;重复Bug")</f>
        <v>0</v>
      </c>
      <c r="K11" s="162">
        <f>COUNTIFS(缺陷明细!$A$2:$A$50000,$B$4,缺陷明细!$G$2:$G$50000,$C11,缺陷明细!$Q$2:$Q$50000,"已关闭",缺陷明细!$J$2:$J$50000,"单元测试")</f>
        <v>0</v>
      </c>
      <c r="L11" s="163"/>
      <c r="M11" s="164"/>
      <c r="N11" s="72">
        <f>COUNTIFS(缺陷明细!$A$2:$A$50000,$B$4,缺陷明细!$G$2:$G$50000,$C11,缺陷明细!$J$2:$J$50000,"系统测试案例评审",缺陷明细!$AA$2:$AA$50000,"&lt;&gt;丢弃",缺陷明细!$AA$2:$AA$50000,"&lt;&gt;设计如此",缺陷明细!$AA$2:$AA$50000,"&lt;&gt;重复Bug")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COUNTIFS(缺陷明细!$A$2:$A$50000,$B$4,缺陷明细!$G$2:$G$50000,$C11,缺陷明细!$J$2:$J$50000,"系统测试",缺陷明细!$AA$2:$AA$50000,"&lt;&gt;丢弃",缺陷明细!$AA$2:$AA$50000,"&lt;&gt;设计如此",缺陷明细!$AA$2:$AA$50000,"&lt;&gt;重复Bug")</f>
        <v>0</v>
      </c>
      <c r="Q11" s="72">
        <f>COUNTIFS(缺陷明细!$A$2:$A$50000,$B$4,缺陷明细!$G$2:$G$50000,$C11,缺陷明细!$Q$2:$Q$50000,"已关闭",缺陷明细!$J$2:$J$50000,"系统测试")</f>
        <v>0</v>
      </c>
      <c r="R11" s="72">
        <f>COUNTIFS(缺陷明细!$A$2:$A$50000,$B$4,缺陷明细!$G$2:$G$50000,$C11,缺陷明细!$AA$2:$AA$50000,"丢弃",缺陷明细!$J$2:$J$50000,"系统测试")+COUNTIFS(缺陷明细!$A$2:$A$50000,$B$4,缺陷明细!$G$2:$G$50000,$C11,缺陷明细!$AA$2:$AA$50000,"设计如此",缺陷明细!$J$2:$J$50000,"系统测试"+COUNTIFS(缺陷明细!$A$2:$A$50000,$B$4,缺陷明细!$G$2:$G$50000,$C11,缺陷明细!$AA$2:$AA$50000,"重复Bug",缺陷明细!$J$2:$J$50000,"系统测试"))</f>
        <v>0</v>
      </c>
      <c r="S11" s="72">
        <f>COUNTIFS(缺陷明细!$A$2:$A$50000,$B$4,缺陷明细!$G$2:$G$50000,$C11,缺陷明细!$J$2:$J$50000,"系统测试",缺陷明细!$K$2:$K$50000,"致命",缺陷明细!$AA$2:$AA$50000,"&lt;&gt;丢弃",缺陷明细!$AA$2:$AA$50000,"&lt;&gt;设计如此",缺陷明细!$AA$2:$AA$50000,"&lt;&gt;重复Bug")+COUNTIFS(缺陷明细!$A$2:$A$50000,$B$4,缺陷明细!$G$2:$G$50000,$C11,缺陷明细!$J$2:$J$50000,"系统测试",缺陷明细!$K$2:$K$50000,"严重",缺陷明细!$AA$2:$AA$50000,"&lt;&gt;丢弃",缺陷明细!$AA$2:$AA$50000,"&lt;&gt;设计如此",缺陷明细!$AA$2:$AA$50000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COUNTIFS(缺陷明细!$A$2:$A$50000,$B$4,缺陷明细!$G$2:$G$50000,$C11,缺陷明细!$J$2:$J$50000,"验收测试",缺陷明细!$AA$2:$AA$50000,"&lt;&gt;丢弃",缺陷明细!$AA$2:$AA$50000,"&lt;&gt;设计如此",缺陷明细!$AA$2:$AA$50000,"&lt;&gt;重复Bug")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A$2:$AA$50000,"&lt;&gt;丢弃",缺陷明细!$AA$2:$AA$50000,"&lt;&gt;设计如此",缺陷明细!$AA$2:$AA$50000,"&lt;&gt;重复Bug")+COUNTIFS(缺陷明细!$A$2:$A$50000,$B$4,缺陷明细!$G$2:$G$50000,$C11,缺陷明细!$J$2:$J$50000,"验收测试",缺陷明细!$K$2:$K$50000,"严重",缺陷明细!$AA$2:$AA$50000,"&lt;&gt;丢弃",缺陷明细!$AA$2:$AA$50000,"&lt;&gt;设计如此",缺陷明细!$AA$2:$AA$50000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COUNTIFS(缺陷明细!$A$2:$A$50000,$B$4,缺陷明细!$G$2:$G$50000,$C11,缺陷明细!$J$2:$J$50000,"运维测试",缺陷明细!$AA$2:$AA$50000,"&lt;&gt;丢弃",缺陷明细!$AA$2:$AA$50000,"&lt;&gt;设计如此",缺陷明细!$AA$2:$AA$50000,"&lt;&gt;重复Bug")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A$2:$AA$50000,"&lt;&gt;丢弃",缺陷明细!$AA$2:$AA$50000,"&lt;&gt;设计如此",缺陷明细!$AA$2:$AA$50000,"&lt;&gt;重复Bug")+COUNTIFS(缺陷明细!$A$2:$A$50000,$B$4,缺陷明细!$G$2:$G$50000,$C11,缺陷明细!$J$2:$J$50000,"运维测试",缺陷明细!$K$2:$K$50000,"严重",缺陷明细!$AA$2:$AA$50000,"&lt;&gt;丢弃",缺陷明细!$AA$2:$AA$50000,"&lt;&gt;设计如此",缺陷明细!$AA$2:$AA$50000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51"/>
    </row>
    <row r="12" spans="1:37">
      <c r="A12">
        <v>8</v>
      </c>
      <c r="B12" s="57"/>
      <c r="C12" s="58"/>
      <c r="D12" s="84"/>
      <c r="E12" s="82"/>
      <c r="F12" s="165"/>
      <c r="G12" s="166"/>
      <c r="H12" s="305">
        <f>COUNTIFS(缺陷明细!$A$2:$A$50000,$B$4,缺陷明细!$G$2:$G$50000,$C12,缺陷明细!$J$2:$J$50000,"评审",缺陷明细!$AA$2:$AA$50000,"&lt;&gt;丢弃",缺陷明细!$AA$2:$AA$50000,"&lt;&gt;设计如此",缺陷明细!$AA$2:$AA$50000,"&lt;&gt;重复Bug")</f>
        <v>0</v>
      </c>
      <c r="I12" s="161">
        <f>COUNTIFS(缺陷明细!$A$2:$A$50000,$B$4,缺陷明细!$G$2:$G$50000,$C12,缺陷明细!$Q$2:$Q$50000,"已关闭",缺陷明细!$J$2:$J$50000,"评审")</f>
        <v>0</v>
      </c>
      <c r="J12" s="161">
        <f>COUNTIFS(缺陷明细!$A$2:$A$50000,$B$4,缺陷明细!$G$2:$G$50000,$C12,缺陷明细!$J$2:$J$50000,"单元测试",缺陷明细!$AA$2:$AA$50000,"&lt;&gt;丢弃",缺陷明细!$AA$2:$AA$50000,"&lt;&gt;设计如此",缺陷明细!$AA$2:$AA$50000,"&lt;&gt;重复Bug")</f>
        <v>0</v>
      </c>
      <c r="K12" s="162">
        <f>COUNTIFS(缺陷明细!$A$2:$A$50000,$B$4,缺陷明细!$G$2:$G$50000,$C12,缺陷明细!$Q$2:$Q$50000,"已关闭",缺陷明细!$J$2:$J$50000,"单元测试")</f>
        <v>0</v>
      </c>
      <c r="L12" s="163"/>
      <c r="M12" s="164"/>
      <c r="N12" s="72">
        <f>COUNTIFS(缺陷明细!$A$2:$A$50000,$B$4,缺陷明细!$G$2:$G$50000,$C12,缺陷明细!$J$2:$J$50000,"系统测试案例评审",缺陷明细!$AA$2:$AA$50000,"&lt;&gt;丢弃",缺陷明细!$AA$2:$AA$50000,"&lt;&gt;设计如此",缺陷明细!$AA$2:$AA$50000,"&lt;&gt;重复Bug")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COUNTIFS(缺陷明细!$A$2:$A$50000,$B$4,缺陷明细!$G$2:$G$50000,$C12,缺陷明细!$J$2:$J$50000,"系统测试",缺陷明细!$AA$2:$AA$50000,"&lt;&gt;丢弃",缺陷明细!$AA$2:$AA$50000,"&lt;&gt;设计如此",缺陷明细!$AA$2:$AA$50000,"&lt;&gt;重复Bug")</f>
        <v>0</v>
      </c>
      <c r="Q12" s="72">
        <f>COUNTIFS(缺陷明细!$A$2:$A$50000,$B$4,缺陷明细!$G$2:$G$50000,$C12,缺陷明细!$Q$2:$Q$50000,"已关闭",缺陷明细!$J$2:$J$50000,"系统测试")</f>
        <v>0</v>
      </c>
      <c r="R12" s="72">
        <f>COUNTIFS(缺陷明细!$A$2:$A$50000,$B$4,缺陷明细!$G$2:$G$50000,$C12,缺陷明细!$AA$2:$AA$50000,"丢弃",缺陷明细!$J$2:$J$50000,"系统测试")+COUNTIFS(缺陷明细!$A$2:$A$50000,$B$4,缺陷明细!$G$2:$G$50000,$C12,缺陷明细!$AA$2:$AA$50000,"设计如此",缺陷明细!$J$2:$J$50000,"系统测试"+COUNTIFS(缺陷明细!$A$2:$A$50000,$B$4,缺陷明细!$G$2:$G$50000,$C12,缺陷明细!$AA$2:$AA$50000,"重复Bug",缺陷明细!$J$2:$J$50000,"系统测试"))</f>
        <v>0</v>
      </c>
      <c r="S12" s="72">
        <f>COUNTIFS(缺陷明细!$A$2:$A$50000,$B$4,缺陷明细!$G$2:$G$50000,$C12,缺陷明细!$J$2:$J$50000,"系统测试",缺陷明细!$K$2:$K$50000,"致命",缺陷明细!$AA$2:$AA$50000,"&lt;&gt;丢弃",缺陷明细!$AA$2:$AA$50000,"&lt;&gt;设计如此",缺陷明细!$AA$2:$AA$50000,"&lt;&gt;重复Bug")+COUNTIFS(缺陷明细!$A$2:$A$50000,$B$4,缺陷明细!$G$2:$G$50000,$C12,缺陷明细!$J$2:$J$50000,"系统测试",缺陷明细!$K$2:$K$50000,"严重",缺陷明细!$AA$2:$AA$50000,"&lt;&gt;丢弃",缺陷明细!$AA$2:$AA$50000,"&lt;&gt;设计如此",缺陷明细!$AA$2:$AA$50000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COUNTIFS(缺陷明细!$A$2:$A$50000,$B$4,缺陷明细!$G$2:$G$50000,$C12,缺陷明细!$J$2:$J$50000,"验收测试",缺陷明细!$AA$2:$AA$50000,"&lt;&gt;丢弃",缺陷明细!$AA$2:$AA$50000,"&lt;&gt;设计如此",缺陷明细!$AA$2:$AA$50000,"&lt;&gt;重复Bug")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A$2:$AA$50000,"&lt;&gt;丢弃",缺陷明细!$AA$2:$AA$50000,"&lt;&gt;设计如此",缺陷明细!$AA$2:$AA$50000,"&lt;&gt;重复Bug")+COUNTIFS(缺陷明细!$A$2:$A$50000,$B$4,缺陷明细!$G$2:$G$50000,$C12,缺陷明细!$J$2:$J$50000,"验收测试",缺陷明细!$K$2:$K$50000,"严重",缺陷明细!$AA$2:$AA$50000,"&lt;&gt;丢弃",缺陷明细!$AA$2:$AA$50000,"&lt;&gt;设计如此",缺陷明细!$AA$2:$AA$50000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COUNTIFS(缺陷明细!$A$2:$A$50000,$B$4,缺陷明细!$G$2:$G$50000,$C12,缺陷明细!$J$2:$J$50000,"运维测试",缺陷明细!$AA$2:$AA$50000,"&lt;&gt;丢弃",缺陷明细!$AA$2:$AA$50000,"&lt;&gt;设计如此",缺陷明细!$AA$2:$AA$50000,"&lt;&gt;重复Bug")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A$2:$AA$50000,"&lt;&gt;丢弃",缺陷明细!$AA$2:$AA$50000,"&lt;&gt;设计如此",缺陷明细!$AA$2:$AA$50000,"&lt;&gt;重复Bug")+COUNTIFS(缺陷明细!$A$2:$A$50000,$B$4,缺陷明细!$G$2:$G$50000,$C12,缺陷明细!$J$2:$J$50000,"运维测试",缺陷明细!$K$2:$K$50000,"严重",缺陷明细!$AA$2:$AA$50000,"&lt;&gt;丢弃",缺陷明细!$AA$2:$AA$50000,"&lt;&gt;设计如此",缺陷明细!$AA$2:$AA$50000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51"/>
    </row>
    <row r="13" spans="1:37">
      <c r="A13">
        <v>9</v>
      </c>
      <c r="B13" s="57"/>
      <c r="C13" s="58"/>
      <c r="D13" s="84"/>
      <c r="E13" s="82"/>
      <c r="F13" s="165"/>
      <c r="G13" s="166"/>
      <c r="H13" s="305">
        <f>COUNTIFS(缺陷明细!$A$2:$A$50000,$B$4,缺陷明细!$G$2:$G$50000,$C13,缺陷明细!$J$2:$J$50000,"评审",缺陷明细!$AA$2:$AA$50000,"&lt;&gt;丢弃",缺陷明细!$AA$2:$AA$50000,"&lt;&gt;设计如此",缺陷明细!$AA$2:$AA$50000,"&lt;&gt;重复Bug")</f>
        <v>0</v>
      </c>
      <c r="I13" s="161">
        <f>COUNTIFS(缺陷明细!$A$2:$A$50000,$B$4,缺陷明细!$G$2:$G$50000,$C13,缺陷明细!$Q$2:$Q$50000,"已关闭",缺陷明细!$J$2:$J$50000,"评审")</f>
        <v>0</v>
      </c>
      <c r="J13" s="161">
        <f>COUNTIFS(缺陷明细!$A$2:$A$50000,$B$4,缺陷明细!$G$2:$G$50000,$C13,缺陷明细!$J$2:$J$50000,"单元测试",缺陷明细!$AA$2:$AA$50000,"&lt;&gt;丢弃",缺陷明细!$AA$2:$AA$50000,"&lt;&gt;设计如此",缺陷明细!$AA$2:$AA$50000,"&lt;&gt;重复Bug")</f>
        <v>0</v>
      </c>
      <c r="K13" s="162">
        <f>COUNTIFS(缺陷明细!$A$2:$A$50000,$B$4,缺陷明细!$G$2:$G$50000,$C13,缺陷明细!$Q$2:$Q$50000,"已关闭",缺陷明细!$J$2:$J$50000,"单元测试")</f>
        <v>0</v>
      </c>
      <c r="L13" s="163"/>
      <c r="M13" s="164"/>
      <c r="N13" s="72">
        <f>COUNTIFS(缺陷明细!$A$2:$A$50000,$B$4,缺陷明细!$G$2:$G$50000,$C13,缺陷明细!$J$2:$J$50000,"系统测试案例评审",缺陷明细!$AA$2:$AA$50000,"&lt;&gt;丢弃",缺陷明细!$AA$2:$AA$50000,"&lt;&gt;设计如此",缺陷明细!$AA$2:$AA$50000,"&lt;&gt;重复Bug")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COUNTIFS(缺陷明细!$A$2:$A$50000,$B$4,缺陷明细!$G$2:$G$50000,$C13,缺陷明细!$J$2:$J$50000,"系统测试",缺陷明细!$AA$2:$AA$50000,"&lt;&gt;丢弃",缺陷明细!$AA$2:$AA$50000,"&lt;&gt;设计如此",缺陷明细!$AA$2:$AA$50000,"&lt;&gt;重复Bug")</f>
        <v>0</v>
      </c>
      <c r="Q13" s="72">
        <f>COUNTIFS(缺陷明细!$A$2:$A$50000,$B$4,缺陷明细!$G$2:$G$50000,$C13,缺陷明细!$Q$2:$Q$50000,"已关闭",缺陷明细!$J$2:$J$50000,"系统测试")</f>
        <v>0</v>
      </c>
      <c r="R13" s="72">
        <f>COUNTIFS(缺陷明细!$A$2:$A$50000,$B$4,缺陷明细!$G$2:$G$50000,$C13,缺陷明细!$AA$2:$AA$50000,"丢弃",缺陷明细!$J$2:$J$50000,"系统测试")+COUNTIFS(缺陷明细!$A$2:$A$50000,$B$4,缺陷明细!$G$2:$G$50000,$C13,缺陷明细!$AA$2:$AA$50000,"设计如此",缺陷明细!$J$2:$J$50000,"系统测试"+COUNTIFS(缺陷明细!$A$2:$A$50000,$B$4,缺陷明细!$G$2:$G$50000,$C13,缺陷明细!$AA$2:$AA$50000,"重复Bug",缺陷明细!$J$2:$J$50000,"系统测试"))</f>
        <v>0</v>
      </c>
      <c r="S13" s="72">
        <f>COUNTIFS(缺陷明细!$A$2:$A$50000,$B$4,缺陷明细!$G$2:$G$50000,$C13,缺陷明细!$J$2:$J$50000,"系统测试",缺陷明细!$K$2:$K$50000,"致命",缺陷明细!$AA$2:$AA$50000,"&lt;&gt;丢弃",缺陷明细!$AA$2:$AA$50000,"&lt;&gt;设计如此",缺陷明细!$AA$2:$AA$50000,"&lt;&gt;重复Bug")+COUNTIFS(缺陷明细!$A$2:$A$50000,$B$4,缺陷明细!$G$2:$G$50000,$C13,缺陷明细!$J$2:$J$50000,"系统测试",缺陷明细!$K$2:$K$50000,"严重",缺陷明细!$AA$2:$AA$50000,"&lt;&gt;丢弃",缺陷明细!$AA$2:$AA$50000,"&lt;&gt;设计如此",缺陷明细!$AA$2:$AA$50000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COUNTIFS(缺陷明细!$A$2:$A$50000,$B$4,缺陷明细!$G$2:$G$50000,$C13,缺陷明细!$J$2:$J$50000,"验收测试",缺陷明细!$AA$2:$AA$50000,"&lt;&gt;丢弃",缺陷明细!$AA$2:$AA$50000,"&lt;&gt;设计如此",缺陷明细!$AA$2:$AA$50000,"&lt;&gt;重复Bug")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A$2:$AA$50000,"&lt;&gt;丢弃",缺陷明细!$AA$2:$AA$50000,"&lt;&gt;设计如此",缺陷明细!$AA$2:$AA$50000,"&lt;&gt;重复Bug")+COUNTIFS(缺陷明细!$A$2:$A$50000,$B$4,缺陷明细!$G$2:$G$50000,$C13,缺陷明细!$J$2:$J$50000,"验收测试",缺陷明细!$K$2:$K$50000,"严重",缺陷明细!$AA$2:$AA$50000,"&lt;&gt;丢弃",缺陷明细!$AA$2:$AA$50000,"&lt;&gt;设计如此",缺陷明细!$AA$2:$AA$50000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COUNTIFS(缺陷明细!$A$2:$A$50000,$B$4,缺陷明细!$G$2:$G$50000,$C13,缺陷明细!$J$2:$J$50000,"运维测试",缺陷明细!$AA$2:$AA$50000,"&lt;&gt;丢弃",缺陷明细!$AA$2:$AA$50000,"&lt;&gt;设计如此",缺陷明细!$AA$2:$AA$50000,"&lt;&gt;重复Bug")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A$2:$AA$50000,"&lt;&gt;丢弃",缺陷明细!$AA$2:$AA$50000,"&lt;&gt;设计如此",缺陷明细!$AA$2:$AA$50000,"&lt;&gt;重复Bug")+COUNTIFS(缺陷明细!$A$2:$A$50000,$B$4,缺陷明细!$G$2:$G$50000,$C13,缺陷明细!$J$2:$J$50000,"运维测试",缺陷明细!$K$2:$K$50000,"严重",缺陷明细!$AA$2:$AA$50000,"&lt;&gt;丢弃",缺陷明细!$AA$2:$AA$50000,"&lt;&gt;设计如此",缺陷明细!$AA$2:$AA$50000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51"/>
    </row>
    <row r="14" spans="1:37">
      <c r="A14">
        <v>10</v>
      </c>
      <c r="B14" s="57"/>
      <c r="C14" s="58"/>
      <c r="D14" s="84"/>
      <c r="E14" s="82"/>
      <c r="F14" s="165"/>
      <c r="G14" s="166"/>
      <c r="H14" s="305">
        <f>COUNTIFS(缺陷明细!$A$2:$A$50000,$B$4,缺陷明细!$G$2:$G$50000,$C14,缺陷明细!$J$2:$J$50000,"评审",缺陷明细!$AA$2:$AA$50000,"&lt;&gt;丢弃",缺陷明细!$AA$2:$AA$50000,"&lt;&gt;设计如此",缺陷明细!$AA$2:$AA$50000,"&lt;&gt;重复Bug")</f>
        <v>0</v>
      </c>
      <c r="I14" s="161">
        <f>COUNTIFS(缺陷明细!$A$2:$A$50000,$B$4,缺陷明细!$G$2:$G$50000,$C14,缺陷明细!$Q$2:$Q$50000,"已关闭",缺陷明细!$J$2:$J$50000,"评审")</f>
        <v>0</v>
      </c>
      <c r="J14" s="161">
        <f>COUNTIFS(缺陷明细!$A$2:$A$50000,$B$4,缺陷明细!$G$2:$G$50000,$C14,缺陷明细!$J$2:$J$50000,"单元测试",缺陷明细!$AA$2:$AA$50000,"&lt;&gt;丢弃",缺陷明细!$AA$2:$AA$50000,"&lt;&gt;设计如此",缺陷明细!$AA$2:$AA$50000,"&lt;&gt;重复Bug")</f>
        <v>0</v>
      </c>
      <c r="K14" s="162">
        <f>COUNTIFS(缺陷明细!$A$2:$A$50000,$B$4,缺陷明细!$G$2:$G$50000,$C14,缺陷明细!$Q$2:$Q$50000,"已关闭",缺陷明细!$J$2:$J$50000,"单元测试")</f>
        <v>0</v>
      </c>
      <c r="L14" s="163"/>
      <c r="M14" s="164"/>
      <c r="N14" s="72">
        <f>COUNTIFS(缺陷明细!$A$2:$A$50000,$B$4,缺陷明细!$G$2:$G$50000,$C14,缺陷明细!$J$2:$J$50000,"系统测试案例评审",缺陷明细!$AA$2:$AA$50000,"&lt;&gt;丢弃",缺陷明细!$AA$2:$AA$50000,"&lt;&gt;设计如此",缺陷明细!$AA$2:$AA$50000,"&lt;&gt;重复Bug")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COUNTIFS(缺陷明细!$A$2:$A$50000,$B$4,缺陷明细!$G$2:$G$50000,$C14,缺陷明细!$J$2:$J$50000,"系统测试",缺陷明细!$AA$2:$AA$50000,"&lt;&gt;丢弃",缺陷明细!$AA$2:$AA$50000,"&lt;&gt;设计如此",缺陷明细!$AA$2:$AA$50000,"&lt;&gt;重复Bug")</f>
        <v>0</v>
      </c>
      <c r="Q14" s="72">
        <f>COUNTIFS(缺陷明细!$A$2:$A$50000,$B$4,缺陷明细!$G$2:$G$50000,$C14,缺陷明细!$Q$2:$Q$50000,"已关闭",缺陷明细!$J$2:$J$50000,"系统测试")</f>
        <v>0</v>
      </c>
      <c r="R14" s="72">
        <f>COUNTIFS(缺陷明细!$A$2:$A$50000,$B$4,缺陷明细!$G$2:$G$50000,$C14,缺陷明细!$AA$2:$AA$50000,"丢弃",缺陷明细!$J$2:$J$50000,"系统测试")+COUNTIFS(缺陷明细!$A$2:$A$50000,$B$4,缺陷明细!$G$2:$G$50000,$C14,缺陷明细!$AA$2:$AA$50000,"设计如此",缺陷明细!$J$2:$J$50000,"系统测试"+COUNTIFS(缺陷明细!$A$2:$A$50000,$B$4,缺陷明细!$G$2:$G$50000,$C14,缺陷明细!$AA$2:$AA$50000,"重复Bug",缺陷明细!$J$2:$J$50000,"系统测试"))</f>
        <v>0</v>
      </c>
      <c r="S14" s="72">
        <f>COUNTIFS(缺陷明细!$A$2:$A$50000,$B$4,缺陷明细!$G$2:$G$50000,$C14,缺陷明细!$J$2:$J$50000,"系统测试",缺陷明细!$K$2:$K$50000,"致命",缺陷明细!$AA$2:$AA$50000,"&lt;&gt;丢弃",缺陷明细!$AA$2:$AA$50000,"&lt;&gt;设计如此",缺陷明细!$AA$2:$AA$50000,"&lt;&gt;重复Bug")+COUNTIFS(缺陷明细!$A$2:$A$50000,$B$4,缺陷明细!$G$2:$G$50000,$C14,缺陷明细!$J$2:$J$50000,"系统测试",缺陷明细!$K$2:$K$50000,"严重",缺陷明细!$AA$2:$AA$50000,"&lt;&gt;丢弃",缺陷明细!$AA$2:$AA$50000,"&lt;&gt;设计如此",缺陷明细!$AA$2:$AA$50000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COUNTIFS(缺陷明细!$A$2:$A$50000,$B$4,缺陷明细!$G$2:$G$50000,$C14,缺陷明细!$J$2:$J$50000,"验收测试",缺陷明细!$AA$2:$AA$50000,"&lt;&gt;丢弃",缺陷明细!$AA$2:$AA$50000,"&lt;&gt;设计如此",缺陷明细!$AA$2:$AA$50000,"&lt;&gt;重复Bug")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A$2:$AA$50000,"&lt;&gt;丢弃",缺陷明细!$AA$2:$AA$50000,"&lt;&gt;设计如此",缺陷明细!$AA$2:$AA$50000,"&lt;&gt;重复Bug")+COUNTIFS(缺陷明细!$A$2:$A$50000,$B$4,缺陷明细!$G$2:$G$50000,$C14,缺陷明细!$J$2:$J$50000,"验收测试",缺陷明细!$K$2:$K$50000,"严重",缺陷明细!$AA$2:$AA$50000,"&lt;&gt;丢弃",缺陷明细!$AA$2:$AA$50000,"&lt;&gt;设计如此",缺陷明细!$AA$2:$AA$50000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COUNTIFS(缺陷明细!$A$2:$A$50000,$B$4,缺陷明细!$G$2:$G$50000,$C14,缺陷明细!$J$2:$J$50000,"运维测试",缺陷明细!$AA$2:$AA$50000,"&lt;&gt;丢弃",缺陷明细!$AA$2:$AA$50000,"&lt;&gt;设计如此",缺陷明细!$AA$2:$AA$50000,"&lt;&gt;重复Bug")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A$2:$AA$50000,"&lt;&gt;丢弃",缺陷明细!$AA$2:$AA$50000,"&lt;&gt;设计如此",缺陷明细!$AA$2:$AA$50000,"&lt;&gt;重复Bug")+COUNTIFS(缺陷明细!$A$2:$A$50000,$B$4,缺陷明细!$G$2:$G$50000,$C14,缺陷明细!$J$2:$J$50000,"运维测试",缺陷明细!$K$2:$K$50000,"严重",缺陷明细!$AA$2:$AA$50000,"&lt;&gt;丢弃",缺陷明细!$AA$2:$AA$50000,"&lt;&gt;设计如此",缺陷明细!$AA$2:$AA$50000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51"/>
    </row>
    <row r="15" spans="1:37">
      <c r="A15">
        <v>11</v>
      </c>
      <c r="B15" s="57"/>
      <c r="C15" s="58"/>
      <c r="D15" s="84"/>
      <c r="E15" s="82"/>
      <c r="F15" s="165"/>
      <c r="G15" s="166"/>
      <c r="H15" s="305">
        <f>COUNTIFS(缺陷明细!$A$2:$A$50000,$B$4,缺陷明细!$G$2:$G$50000,$C15,缺陷明细!$J$2:$J$50000,"评审",缺陷明细!$AA$2:$AA$50000,"&lt;&gt;丢弃",缺陷明细!$AA$2:$AA$50000,"&lt;&gt;设计如此",缺陷明细!$AA$2:$AA$50000,"&lt;&gt;重复Bug")</f>
        <v>0</v>
      </c>
      <c r="I15" s="161">
        <f>COUNTIFS(缺陷明细!$A$2:$A$50000,$B$4,缺陷明细!$G$2:$G$50000,$C15,缺陷明细!$Q$2:$Q$50000,"已关闭",缺陷明细!$J$2:$J$50000,"评审")</f>
        <v>0</v>
      </c>
      <c r="J15" s="161">
        <f>COUNTIFS(缺陷明细!$A$2:$A$50000,$B$4,缺陷明细!$G$2:$G$50000,$C15,缺陷明细!$J$2:$J$50000,"单元测试",缺陷明细!$AA$2:$AA$50000,"&lt;&gt;丢弃",缺陷明细!$AA$2:$AA$50000,"&lt;&gt;设计如此",缺陷明细!$AA$2:$AA$50000,"&lt;&gt;重复Bug")</f>
        <v>0</v>
      </c>
      <c r="K15" s="162">
        <f>COUNTIFS(缺陷明细!$A$2:$A$50000,$B$4,缺陷明细!$G$2:$G$50000,$C15,缺陷明细!$Q$2:$Q$50000,"已关闭",缺陷明细!$J$2:$J$50000,"单元测试")</f>
        <v>0</v>
      </c>
      <c r="L15" s="163"/>
      <c r="M15" s="164"/>
      <c r="N15" s="72">
        <f>COUNTIFS(缺陷明细!$A$2:$A$50000,$B$4,缺陷明细!$G$2:$G$50000,$C15,缺陷明细!$J$2:$J$50000,"系统测试案例评审",缺陷明细!$AA$2:$AA$50000,"&lt;&gt;丢弃",缺陷明细!$AA$2:$AA$50000,"&lt;&gt;设计如此",缺陷明细!$AA$2:$AA$50000,"&lt;&gt;重复Bug")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COUNTIFS(缺陷明细!$A$2:$A$50000,$B$4,缺陷明细!$G$2:$G$50000,$C15,缺陷明细!$J$2:$J$50000,"系统测试",缺陷明细!$AA$2:$AA$50000,"&lt;&gt;丢弃",缺陷明细!$AA$2:$AA$50000,"&lt;&gt;设计如此",缺陷明细!$AA$2:$AA$50000,"&lt;&gt;重复Bug")</f>
        <v>0</v>
      </c>
      <c r="Q15" s="72">
        <f>COUNTIFS(缺陷明细!$A$2:$A$50000,$B$4,缺陷明细!$G$2:$G$50000,$C15,缺陷明细!$Q$2:$Q$50000,"已关闭",缺陷明细!$J$2:$J$50000,"系统测试")</f>
        <v>0</v>
      </c>
      <c r="R15" s="72">
        <f>COUNTIFS(缺陷明细!$A$2:$A$50000,$B$4,缺陷明细!$G$2:$G$50000,$C15,缺陷明细!$AA$2:$AA$50000,"丢弃",缺陷明细!$J$2:$J$50000,"系统测试")+COUNTIFS(缺陷明细!$A$2:$A$50000,$B$4,缺陷明细!$G$2:$G$50000,$C15,缺陷明细!$AA$2:$AA$50000,"设计如此",缺陷明细!$J$2:$J$50000,"系统测试"+COUNTIFS(缺陷明细!$A$2:$A$50000,$B$4,缺陷明细!$G$2:$G$50000,$C15,缺陷明细!$AA$2:$AA$50000,"重复Bug",缺陷明细!$J$2:$J$50000,"系统测试"))</f>
        <v>0</v>
      </c>
      <c r="S15" s="72">
        <f>COUNTIFS(缺陷明细!$A$2:$A$50000,$B$4,缺陷明细!$G$2:$G$50000,$C15,缺陷明细!$J$2:$J$50000,"系统测试",缺陷明细!$K$2:$K$50000,"致命",缺陷明细!$AA$2:$AA$50000,"&lt;&gt;丢弃",缺陷明细!$AA$2:$AA$50000,"&lt;&gt;设计如此",缺陷明细!$AA$2:$AA$50000,"&lt;&gt;重复Bug")+COUNTIFS(缺陷明细!$A$2:$A$50000,$B$4,缺陷明细!$G$2:$G$50000,$C15,缺陷明细!$J$2:$J$50000,"系统测试",缺陷明细!$K$2:$K$50000,"严重",缺陷明细!$AA$2:$AA$50000,"&lt;&gt;丢弃",缺陷明细!$AA$2:$AA$50000,"&lt;&gt;设计如此",缺陷明细!$AA$2:$AA$50000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COUNTIFS(缺陷明细!$A$2:$A$50000,$B$4,缺陷明细!$G$2:$G$50000,$C15,缺陷明细!$J$2:$J$50000,"验收测试",缺陷明细!$AA$2:$AA$50000,"&lt;&gt;丢弃",缺陷明细!$AA$2:$AA$50000,"&lt;&gt;设计如此",缺陷明细!$AA$2:$AA$50000,"&lt;&gt;重复Bug")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A$2:$AA$50000,"&lt;&gt;丢弃",缺陷明细!$AA$2:$AA$50000,"&lt;&gt;设计如此",缺陷明细!$AA$2:$AA$50000,"&lt;&gt;重复Bug")+COUNTIFS(缺陷明细!$A$2:$A$50000,$B$4,缺陷明细!$G$2:$G$50000,$C15,缺陷明细!$J$2:$J$50000,"验收测试",缺陷明细!$K$2:$K$50000,"严重",缺陷明细!$AA$2:$AA$50000,"&lt;&gt;丢弃",缺陷明细!$AA$2:$AA$50000,"&lt;&gt;设计如此",缺陷明细!$AA$2:$AA$50000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COUNTIFS(缺陷明细!$A$2:$A$50000,$B$4,缺陷明细!$G$2:$G$50000,$C15,缺陷明细!$J$2:$J$50000,"运维测试",缺陷明细!$AA$2:$AA$50000,"&lt;&gt;丢弃",缺陷明细!$AA$2:$AA$50000,"&lt;&gt;设计如此",缺陷明细!$AA$2:$AA$50000,"&lt;&gt;重复Bug")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A$2:$AA$50000,"&lt;&gt;丢弃",缺陷明细!$AA$2:$AA$50000,"&lt;&gt;设计如此",缺陷明细!$AA$2:$AA$50000,"&lt;&gt;重复Bug")+COUNTIFS(缺陷明细!$A$2:$A$50000,$B$4,缺陷明细!$G$2:$G$50000,$C15,缺陷明细!$J$2:$J$50000,"运维测试",缺陷明细!$K$2:$K$50000,"严重",缺陷明细!$AA$2:$AA$50000,"&lt;&gt;丢弃",缺陷明细!$AA$2:$AA$50000,"&lt;&gt;设计如此",缺陷明细!$AA$2:$AA$50000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51"/>
    </row>
    <row r="16" spans="1:37">
      <c r="A16">
        <v>12</v>
      </c>
      <c r="B16" s="57"/>
      <c r="C16" s="58"/>
      <c r="D16" s="84"/>
      <c r="E16" s="82"/>
      <c r="F16" s="165"/>
      <c r="G16" s="166"/>
      <c r="H16" s="305">
        <f>COUNTIFS(缺陷明细!$A$2:$A$50000,$B$4,缺陷明细!$G$2:$G$50000,$C16,缺陷明细!$J$2:$J$50000,"评审",缺陷明细!$AA$2:$AA$50000,"&lt;&gt;丢弃",缺陷明细!$AA$2:$AA$50000,"&lt;&gt;设计如此",缺陷明细!$AA$2:$AA$50000,"&lt;&gt;重复Bug")</f>
        <v>0</v>
      </c>
      <c r="I16" s="161">
        <f>COUNTIFS(缺陷明细!$A$2:$A$50000,$B$4,缺陷明细!$G$2:$G$50000,$C16,缺陷明细!$Q$2:$Q$50000,"已关闭",缺陷明细!$J$2:$J$50000,"评审")</f>
        <v>0</v>
      </c>
      <c r="J16" s="161">
        <f>COUNTIFS(缺陷明细!$A$2:$A$50000,$B$4,缺陷明细!$G$2:$G$50000,$C16,缺陷明细!$J$2:$J$50000,"单元测试",缺陷明细!$AA$2:$AA$50000,"&lt;&gt;丢弃",缺陷明细!$AA$2:$AA$50000,"&lt;&gt;设计如此",缺陷明细!$AA$2:$AA$50000,"&lt;&gt;重复Bug")</f>
        <v>0</v>
      </c>
      <c r="K16" s="162">
        <f>COUNTIFS(缺陷明细!$A$2:$A$50000,$B$4,缺陷明细!$G$2:$G$50000,$C16,缺陷明细!$Q$2:$Q$50000,"已关闭",缺陷明细!$J$2:$J$50000,"单元测试")</f>
        <v>0</v>
      </c>
      <c r="L16" s="163"/>
      <c r="M16" s="164"/>
      <c r="N16" s="72">
        <f>COUNTIFS(缺陷明细!$A$2:$A$50000,$B$4,缺陷明细!$G$2:$G$50000,$C16,缺陷明细!$J$2:$J$50000,"系统测试案例评审",缺陷明细!$AA$2:$AA$50000,"&lt;&gt;丢弃",缺陷明细!$AA$2:$AA$50000,"&lt;&gt;设计如此",缺陷明细!$AA$2:$AA$50000,"&lt;&gt;重复Bug")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COUNTIFS(缺陷明细!$A$2:$A$50000,$B$4,缺陷明细!$G$2:$G$50000,$C16,缺陷明细!$J$2:$J$50000,"系统测试",缺陷明细!$AA$2:$AA$50000,"&lt;&gt;丢弃",缺陷明细!$AA$2:$AA$50000,"&lt;&gt;设计如此",缺陷明细!$AA$2:$AA$50000,"&lt;&gt;重复Bug")</f>
        <v>0</v>
      </c>
      <c r="Q16" s="72">
        <f>COUNTIFS(缺陷明细!$A$2:$A$50000,$B$4,缺陷明细!$G$2:$G$50000,$C16,缺陷明细!$Q$2:$Q$50000,"已关闭",缺陷明细!$J$2:$J$50000,"系统测试")</f>
        <v>0</v>
      </c>
      <c r="R16" s="72">
        <f>COUNTIFS(缺陷明细!$A$2:$A$50000,$B$4,缺陷明细!$G$2:$G$50000,$C16,缺陷明细!$AA$2:$AA$50000,"丢弃",缺陷明细!$J$2:$J$50000,"系统测试")+COUNTIFS(缺陷明细!$A$2:$A$50000,$B$4,缺陷明细!$G$2:$G$50000,$C16,缺陷明细!$AA$2:$AA$50000,"设计如此",缺陷明细!$J$2:$J$50000,"系统测试"+COUNTIFS(缺陷明细!$A$2:$A$50000,$B$4,缺陷明细!$G$2:$G$50000,$C16,缺陷明细!$AA$2:$AA$50000,"重复Bug",缺陷明细!$J$2:$J$50000,"系统测试"))</f>
        <v>0</v>
      </c>
      <c r="S16" s="72">
        <f>COUNTIFS(缺陷明细!$A$2:$A$50000,$B$4,缺陷明细!$G$2:$G$50000,$C16,缺陷明细!$J$2:$J$50000,"系统测试",缺陷明细!$K$2:$K$50000,"致命",缺陷明细!$AA$2:$AA$50000,"&lt;&gt;丢弃",缺陷明细!$AA$2:$AA$50000,"&lt;&gt;设计如此",缺陷明细!$AA$2:$AA$50000,"&lt;&gt;重复Bug")+COUNTIFS(缺陷明细!$A$2:$A$50000,$B$4,缺陷明细!$G$2:$G$50000,$C16,缺陷明细!$J$2:$J$50000,"系统测试",缺陷明细!$K$2:$K$50000,"严重",缺陷明细!$AA$2:$AA$50000,"&lt;&gt;丢弃",缺陷明细!$AA$2:$AA$50000,"&lt;&gt;设计如此",缺陷明细!$AA$2:$AA$50000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COUNTIFS(缺陷明细!$A$2:$A$50000,$B$4,缺陷明细!$G$2:$G$50000,$C16,缺陷明细!$J$2:$J$50000,"验收测试",缺陷明细!$AA$2:$AA$50000,"&lt;&gt;丢弃",缺陷明细!$AA$2:$AA$50000,"&lt;&gt;设计如此",缺陷明细!$AA$2:$AA$50000,"&lt;&gt;重复Bug")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A$2:$AA$50000,"&lt;&gt;丢弃",缺陷明细!$AA$2:$AA$50000,"&lt;&gt;设计如此",缺陷明细!$AA$2:$AA$50000,"&lt;&gt;重复Bug")+COUNTIFS(缺陷明细!$A$2:$A$50000,$B$4,缺陷明细!$G$2:$G$50000,$C16,缺陷明细!$J$2:$J$50000,"验收测试",缺陷明细!$K$2:$K$50000,"严重",缺陷明细!$AA$2:$AA$50000,"&lt;&gt;丢弃",缺陷明细!$AA$2:$AA$50000,"&lt;&gt;设计如此",缺陷明细!$AA$2:$AA$50000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COUNTIFS(缺陷明细!$A$2:$A$50000,$B$4,缺陷明细!$G$2:$G$50000,$C16,缺陷明细!$J$2:$J$50000,"运维测试",缺陷明细!$AA$2:$AA$50000,"&lt;&gt;丢弃",缺陷明细!$AA$2:$AA$50000,"&lt;&gt;设计如此",缺陷明细!$AA$2:$AA$50000,"&lt;&gt;重复Bug")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A$2:$AA$50000,"&lt;&gt;丢弃",缺陷明细!$AA$2:$AA$50000,"&lt;&gt;设计如此",缺陷明细!$AA$2:$AA$50000,"&lt;&gt;重复Bug")+COUNTIFS(缺陷明细!$A$2:$A$50000,$B$4,缺陷明细!$G$2:$G$50000,$C16,缺陷明细!$J$2:$J$50000,"运维测试",缺陷明细!$K$2:$K$50000,"严重",缺陷明细!$AA$2:$AA$50000,"&lt;&gt;丢弃",缺陷明细!$AA$2:$AA$50000,"&lt;&gt;设计如此",缺陷明细!$AA$2:$AA$50000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51"/>
    </row>
    <row r="17" spans="1:37">
      <c r="A17">
        <v>13</v>
      </c>
      <c r="B17" s="57"/>
      <c r="C17" s="58"/>
      <c r="D17" s="84"/>
      <c r="E17" s="82"/>
      <c r="F17" s="165"/>
      <c r="G17" s="166"/>
      <c r="H17" s="305">
        <f>COUNTIFS(缺陷明细!$A$2:$A$50000,$B$4,缺陷明细!$G$2:$G$50000,$C17,缺陷明细!$J$2:$J$50000,"评审",缺陷明细!$AA$2:$AA$50000,"&lt;&gt;丢弃",缺陷明细!$AA$2:$AA$50000,"&lt;&gt;设计如此",缺陷明细!$AA$2:$AA$50000,"&lt;&gt;重复Bug")</f>
        <v>0</v>
      </c>
      <c r="I17" s="161">
        <f>COUNTIFS(缺陷明细!$A$2:$A$50000,$B$4,缺陷明细!$G$2:$G$50000,$C17,缺陷明细!$Q$2:$Q$50000,"已关闭",缺陷明细!$J$2:$J$50000,"评审")</f>
        <v>0</v>
      </c>
      <c r="J17" s="161">
        <f>COUNTIFS(缺陷明细!$A$2:$A$50000,$B$4,缺陷明细!$G$2:$G$50000,$C17,缺陷明细!$J$2:$J$50000,"单元测试",缺陷明细!$AA$2:$AA$50000,"&lt;&gt;丢弃",缺陷明细!$AA$2:$AA$50000,"&lt;&gt;设计如此",缺陷明细!$AA$2:$AA$50000,"&lt;&gt;重复Bug")</f>
        <v>0</v>
      </c>
      <c r="K17" s="162">
        <f>COUNTIFS(缺陷明细!$A$2:$A$50000,$B$4,缺陷明细!$G$2:$G$50000,$C17,缺陷明细!$Q$2:$Q$50000,"已关闭",缺陷明细!$J$2:$J$50000,"单元测试")</f>
        <v>0</v>
      </c>
      <c r="L17" s="163"/>
      <c r="M17" s="164"/>
      <c r="N17" s="72">
        <f>COUNTIFS(缺陷明细!$A$2:$A$50000,$B$4,缺陷明细!$G$2:$G$50000,$C17,缺陷明细!$J$2:$J$50000,"系统测试案例评审",缺陷明细!$AA$2:$AA$50000,"&lt;&gt;丢弃",缺陷明细!$AA$2:$AA$50000,"&lt;&gt;设计如此",缺陷明细!$AA$2:$AA$50000,"&lt;&gt;重复Bug")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COUNTIFS(缺陷明细!$A$2:$A$50000,$B$4,缺陷明细!$G$2:$G$50000,$C17,缺陷明细!$J$2:$J$50000,"系统测试",缺陷明细!$AA$2:$AA$50000,"&lt;&gt;丢弃",缺陷明细!$AA$2:$AA$50000,"&lt;&gt;设计如此",缺陷明细!$AA$2:$AA$50000,"&lt;&gt;重复Bug")</f>
        <v>0</v>
      </c>
      <c r="Q17" s="72">
        <f>COUNTIFS(缺陷明细!$A$2:$A$50000,$B$4,缺陷明细!$G$2:$G$50000,$C17,缺陷明细!$Q$2:$Q$50000,"已关闭",缺陷明细!$J$2:$J$50000,"系统测试")</f>
        <v>0</v>
      </c>
      <c r="R17" s="72">
        <f>COUNTIFS(缺陷明细!$A$2:$A$50000,$B$4,缺陷明细!$G$2:$G$50000,$C17,缺陷明细!$AA$2:$AA$50000,"丢弃",缺陷明细!$J$2:$J$50000,"系统测试")+COUNTIFS(缺陷明细!$A$2:$A$50000,$B$4,缺陷明细!$G$2:$G$50000,$C17,缺陷明细!$AA$2:$AA$50000,"设计如此",缺陷明细!$J$2:$J$50000,"系统测试"+COUNTIFS(缺陷明细!$A$2:$A$50000,$B$4,缺陷明细!$G$2:$G$50000,$C17,缺陷明细!$AA$2:$AA$50000,"重复Bug",缺陷明细!$J$2:$J$50000,"系统测试"))</f>
        <v>0</v>
      </c>
      <c r="S17" s="72">
        <f>COUNTIFS(缺陷明细!$A$2:$A$50000,$B$4,缺陷明细!$G$2:$G$50000,$C17,缺陷明细!$J$2:$J$50000,"系统测试",缺陷明细!$K$2:$K$50000,"致命",缺陷明细!$AA$2:$AA$50000,"&lt;&gt;丢弃",缺陷明细!$AA$2:$AA$50000,"&lt;&gt;设计如此",缺陷明细!$AA$2:$AA$50000,"&lt;&gt;重复Bug")+COUNTIFS(缺陷明细!$A$2:$A$50000,$B$4,缺陷明细!$G$2:$G$50000,$C17,缺陷明细!$J$2:$J$50000,"系统测试",缺陷明细!$K$2:$K$50000,"严重",缺陷明细!$AA$2:$AA$50000,"&lt;&gt;丢弃",缺陷明细!$AA$2:$AA$50000,"&lt;&gt;设计如此",缺陷明细!$AA$2:$AA$50000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COUNTIFS(缺陷明细!$A$2:$A$50000,$B$4,缺陷明细!$G$2:$G$50000,$C17,缺陷明细!$J$2:$J$50000,"验收测试",缺陷明细!$AA$2:$AA$50000,"&lt;&gt;丢弃",缺陷明细!$AA$2:$AA$50000,"&lt;&gt;设计如此",缺陷明细!$AA$2:$AA$50000,"&lt;&gt;重复Bug")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A$2:$AA$50000,"&lt;&gt;丢弃",缺陷明细!$AA$2:$AA$50000,"&lt;&gt;设计如此",缺陷明细!$AA$2:$AA$50000,"&lt;&gt;重复Bug")+COUNTIFS(缺陷明细!$A$2:$A$50000,$B$4,缺陷明细!$G$2:$G$50000,$C17,缺陷明细!$J$2:$J$50000,"验收测试",缺陷明细!$K$2:$K$50000,"严重",缺陷明细!$AA$2:$AA$50000,"&lt;&gt;丢弃",缺陷明细!$AA$2:$AA$50000,"&lt;&gt;设计如此",缺陷明细!$AA$2:$AA$50000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COUNTIFS(缺陷明细!$A$2:$A$50000,$B$4,缺陷明细!$G$2:$G$50000,$C17,缺陷明细!$J$2:$J$50000,"运维测试",缺陷明细!$AA$2:$AA$50000,"&lt;&gt;丢弃",缺陷明细!$AA$2:$AA$50000,"&lt;&gt;设计如此",缺陷明细!$AA$2:$AA$50000,"&lt;&gt;重复Bug")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A$2:$AA$50000,"&lt;&gt;丢弃",缺陷明细!$AA$2:$AA$50000,"&lt;&gt;设计如此",缺陷明细!$AA$2:$AA$50000,"&lt;&gt;重复Bug")+COUNTIFS(缺陷明细!$A$2:$A$50000,$B$4,缺陷明细!$G$2:$G$50000,$C17,缺陷明细!$J$2:$J$50000,"运维测试",缺陷明细!$K$2:$K$50000,"严重",缺陷明细!$AA$2:$AA$50000,"&lt;&gt;丢弃",缺陷明细!$AA$2:$AA$50000,"&lt;&gt;设计如此",缺陷明细!$AA$2:$AA$50000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51"/>
    </row>
    <row r="18" spans="1:37">
      <c r="A18">
        <v>14</v>
      </c>
      <c r="B18" s="57"/>
      <c r="C18" s="58"/>
      <c r="D18" s="84"/>
      <c r="E18" s="82"/>
      <c r="F18" s="165"/>
      <c r="G18" s="166"/>
      <c r="H18" s="305">
        <f>COUNTIFS(缺陷明细!$A$2:$A$50000,$B$4,缺陷明细!$G$2:$G$50000,$C18,缺陷明细!$J$2:$J$50000,"评审",缺陷明细!$AA$2:$AA$50000,"&lt;&gt;丢弃",缺陷明细!$AA$2:$AA$50000,"&lt;&gt;设计如此",缺陷明细!$AA$2:$AA$50000,"&lt;&gt;重复Bug")</f>
        <v>0</v>
      </c>
      <c r="I18" s="161">
        <f>COUNTIFS(缺陷明细!$A$2:$A$50000,$B$4,缺陷明细!$G$2:$G$50000,$C18,缺陷明细!$Q$2:$Q$50000,"已关闭",缺陷明细!$J$2:$J$50000,"评审")</f>
        <v>0</v>
      </c>
      <c r="J18" s="161">
        <f>COUNTIFS(缺陷明细!$A$2:$A$50000,$B$4,缺陷明细!$G$2:$G$50000,$C18,缺陷明细!$J$2:$J$50000,"单元测试",缺陷明细!$AA$2:$AA$50000,"&lt;&gt;丢弃",缺陷明细!$AA$2:$AA$50000,"&lt;&gt;设计如此",缺陷明细!$AA$2:$AA$50000,"&lt;&gt;重复Bug")</f>
        <v>0</v>
      </c>
      <c r="K18" s="162">
        <f>COUNTIFS(缺陷明细!$A$2:$A$50000,$B$4,缺陷明细!$G$2:$G$50000,$C18,缺陷明细!$Q$2:$Q$50000,"已关闭",缺陷明细!$J$2:$J$50000,"单元测试")</f>
        <v>0</v>
      </c>
      <c r="L18" s="163"/>
      <c r="M18" s="164"/>
      <c r="N18" s="72">
        <f>COUNTIFS(缺陷明细!$A$2:$A$50000,$B$4,缺陷明细!$G$2:$G$50000,$C18,缺陷明细!$J$2:$J$50000,"系统测试案例评审",缺陷明细!$AA$2:$AA$50000,"&lt;&gt;丢弃",缺陷明细!$AA$2:$AA$50000,"&lt;&gt;设计如此",缺陷明细!$AA$2:$AA$50000,"&lt;&gt;重复Bug")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COUNTIFS(缺陷明细!$A$2:$A$50000,$B$4,缺陷明细!$G$2:$G$50000,$C18,缺陷明细!$J$2:$J$50000,"系统测试",缺陷明细!$AA$2:$AA$50000,"&lt;&gt;丢弃",缺陷明细!$AA$2:$AA$50000,"&lt;&gt;设计如此",缺陷明细!$AA$2:$AA$50000,"&lt;&gt;重复Bug")</f>
        <v>0</v>
      </c>
      <c r="Q18" s="72">
        <f>COUNTIFS(缺陷明细!$A$2:$A$50000,$B$4,缺陷明细!$G$2:$G$50000,$C18,缺陷明细!$Q$2:$Q$50000,"已关闭",缺陷明细!$J$2:$J$50000,"系统测试")</f>
        <v>0</v>
      </c>
      <c r="R18" s="72">
        <f>COUNTIFS(缺陷明细!$A$2:$A$50000,$B$4,缺陷明细!$G$2:$G$50000,$C18,缺陷明细!$AA$2:$AA$50000,"丢弃",缺陷明细!$J$2:$J$50000,"系统测试")+COUNTIFS(缺陷明细!$A$2:$A$50000,$B$4,缺陷明细!$G$2:$G$50000,$C18,缺陷明细!$AA$2:$AA$50000,"设计如此",缺陷明细!$J$2:$J$50000,"系统测试"+COUNTIFS(缺陷明细!$A$2:$A$50000,$B$4,缺陷明细!$G$2:$G$50000,$C18,缺陷明细!$AA$2:$AA$50000,"重复Bug",缺陷明细!$J$2:$J$50000,"系统测试"))</f>
        <v>0</v>
      </c>
      <c r="S18" s="72">
        <f>COUNTIFS(缺陷明细!$A$2:$A$50000,$B$4,缺陷明细!$G$2:$G$50000,$C18,缺陷明细!$J$2:$J$50000,"系统测试",缺陷明细!$K$2:$K$50000,"致命",缺陷明细!$AA$2:$AA$50000,"&lt;&gt;丢弃",缺陷明细!$AA$2:$AA$50000,"&lt;&gt;设计如此",缺陷明细!$AA$2:$AA$50000,"&lt;&gt;重复Bug")+COUNTIFS(缺陷明细!$A$2:$A$50000,$B$4,缺陷明细!$G$2:$G$50000,$C18,缺陷明细!$J$2:$J$50000,"系统测试",缺陷明细!$K$2:$K$50000,"严重",缺陷明细!$AA$2:$AA$50000,"&lt;&gt;丢弃",缺陷明细!$AA$2:$AA$50000,"&lt;&gt;设计如此",缺陷明细!$AA$2:$AA$50000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COUNTIFS(缺陷明细!$A$2:$A$50000,$B$4,缺陷明细!$G$2:$G$50000,$C18,缺陷明细!$J$2:$J$50000,"验收测试",缺陷明细!$AA$2:$AA$50000,"&lt;&gt;丢弃",缺陷明细!$AA$2:$AA$50000,"&lt;&gt;设计如此",缺陷明细!$AA$2:$AA$50000,"&lt;&gt;重复Bug")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A$2:$AA$50000,"&lt;&gt;丢弃",缺陷明细!$AA$2:$AA$50000,"&lt;&gt;设计如此",缺陷明细!$AA$2:$AA$50000,"&lt;&gt;重复Bug")+COUNTIFS(缺陷明细!$A$2:$A$50000,$B$4,缺陷明细!$G$2:$G$50000,$C18,缺陷明细!$J$2:$J$50000,"验收测试",缺陷明细!$K$2:$K$50000,"严重",缺陷明细!$AA$2:$AA$50000,"&lt;&gt;丢弃",缺陷明细!$AA$2:$AA$50000,"&lt;&gt;设计如此",缺陷明细!$AA$2:$AA$50000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COUNTIFS(缺陷明细!$A$2:$A$50000,$B$4,缺陷明细!$G$2:$G$50000,$C18,缺陷明细!$J$2:$J$50000,"运维测试",缺陷明细!$AA$2:$AA$50000,"&lt;&gt;丢弃",缺陷明细!$AA$2:$AA$50000,"&lt;&gt;设计如此",缺陷明细!$AA$2:$AA$50000,"&lt;&gt;重复Bug")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A$2:$AA$50000,"&lt;&gt;丢弃",缺陷明细!$AA$2:$AA$50000,"&lt;&gt;设计如此",缺陷明细!$AA$2:$AA$50000,"&lt;&gt;重复Bug")+COUNTIFS(缺陷明细!$A$2:$A$50000,$B$4,缺陷明细!$G$2:$G$50000,$C18,缺陷明细!$J$2:$J$50000,"运维测试",缺陷明细!$K$2:$K$50000,"严重",缺陷明细!$AA$2:$AA$50000,"&lt;&gt;丢弃",缺陷明细!$AA$2:$AA$50000,"&lt;&gt;设计如此",缺陷明细!$AA$2:$AA$50000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51"/>
    </row>
    <row r="19" spans="1:37">
      <c r="A19">
        <v>15</v>
      </c>
      <c r="B19" s="57"/>
      <c r="C19" s="58"/>
      <c r="D19" s="84"/>
      <c r="E19" s="82"/>
      <c r="F19" s="165"/>
      <c r="G19" s="166"/>
      <c r="H19" s="305">
        <f>COUNTIFS(缺陷明细!$A$2:$A$50000,$B$4,缺陷明细!$G$2:$G$50000,$C19,缺陷明细!$J$2:$J$50000,"评审",缺陷明细!$AA$2:$AA$50000,"&lt;&gt;丢弃",缺陷明细!$AA$2:$AA$50000,"&lt;&gt;设计如此",缺陷明细!$AA$2:$AA$50000,"&lt;&gt;重复Bug")</f>
        <v>0</v>
      </c>
      <c r="I19" s="161">
        <f>COUNTIFS(缺陷明细!$A$2:$A$50000,$B$4,缺陷明细!$G$2:$G$50000,$C19,缺陷明细!$Q$2:$Q$50000,"已关闭",缺陷明细!$J$2:$J$50000,"评审")</f>
        <v>0</v>
      </c>
      <c r="J19" s="161">
        <f>COUNTIFS(缺陷明细!$A$2:$A$50000,$B$4,缺陷明细!$G$2:$G$50000,$C19,缺陷明细!$J$2:$J$50000,"单元测试",缺陷明细!$AA$2:$AA$50000,"&lt;&gt;丢弃",缺陷明细!$AA$2:$AA$50000,"&lt;&gt;设计如此",缺陷明细!$AA$2:$AA$50000,"&lt;&gt;重复Bug")</f>
        <v>0</v>
      </c>
      <c r="K19" s="162">
        <f>COUNTIFS(缺陷明细!$A$2:$A$50000,$B$4,缺陷明细!$G$2:$G$50000,$C19,缺陷明细!$Q$2:$Q$50000,"已关闭",缺陷明细!$J$2:$J$50000,"单元测试")</f>
        <v>0</v>
      </c>
      <c r="L19" s="163"/>
      <c r="M19" s="164"/>
      <c r="N19" s="72">
        <f>COUNTIFS(缺陷明细!$A$2:$A$50000,$B$4,缺陷明细!$G$2:$G$50000,$C19,缺陷明细!$J$2:$J$50000,"系统测试案例评审",缺陷明细!$AA$2:$AA$50000,"&lt;&gt;丢弃",缺陷明细!$AA$2:$AA$50000,"&lt;&gt;设计如此",缺陷明细!$AA$2:$AA$50000,"&lt;&gt;重复Bug")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COUNTIFS(缺陷明细!$A$2:$A$50000,$B$4,缺陷明细!$G$2:$G$50000,$C19,缺陷明细!$J$2:$J$50000,"系统测试",缺陷明细!$AA$2:$AA$50000,"&lt;&gt;丢弃",缺陷明细!$AA$2:$AA$50000,"&lt;&gt;设计如此",缺陷明细!$AA$2:$AA$50000,"&lt;&gt;重复Bug")</f>
        <v>0</v>
      </c>
      <c r="Q19" s="72">
        <f>COUNTIFS(缺陷明细!$A$2:$A$50000,$B$4,缺陷明细!$G$2:$G$50000,$C19,缺陷明细!$Q$2:$Q$50000,"已关闭",缺陷明细!$J$2:$J$50000,"系统测试")</f>
        <v>0</v>
      </c>
      <c r="R19" s="72">
        <f>COUNTIFS(缺陷明细!$A$2:$A$50000,$B$4,缺陷明细!$G$2:$G$50000,$C19,缺陷明细!$AA$2:$AA$50000,"丢弃",缺陷明细!$J$2:$J$50000,"系统测试")+COUNTIFS(缺陷明细!$A$2:$A$50000,$B$4,缺陷明细!$G$2:$G$50000,$C19,缺陷明细!$AA$2:$AA$50000,"设计如此",缺陷明细!$J$2:$J$50000,"系统测试"+COUNTIFS(缺陷明细!$A$2:$A$50000,$B$4,缺陷明细!$G$2:$G$50000,$C19,缺陷明细!$AA$2:$AA$50000,"重复Bug",缺陷明细!$J$2:$J$50000,"系统测试"))</f>
        <v>0</v>
      </c>
      <c r="S19" s="72">
        <f>COUNTIFS(缺陷明细!$A$2:$A$50000,$B$4,缺陷明细!$G$2:$G$50000,$C19,缺陷明细!$J$2:$J$50000,"系统测试",缺陷明细!$K$2:$K$50000,"致命",缺陷明细!$AA$2:$AA$50000,"&lt;&gt;丢弃",缺陷明细!$AA$2:$AA$50000,"&lt;&gt;设计如此",缺陷明细!$AA$2:$AA$50000,"&lt;&gt;重复Bug")+COUNTIFS(缺陷明细!$A$2:$A$50000,$B$4,缺陷明细!$G$2:$G$50000,$C19,缺陷明细!$J$2:$J$50000,"系统测试",缺陷明细!$K$2:$K$50000,"严重",缺陷明细!$AA$2:$AA$50000,"&lt;&gt;丢弃",缺陷明细!$AA$2:$AA$50000,"&lt;&gt;设计如此",缺陷明细!$AA$2:$AA$50000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COUNTIFS(缺陷明细!$A$2:$A$50000,$B$4,缺陷明细!$G$2:$G$50000,$C19,缺陷明细!$J$2:$J$50000,"验收测试",缺陷明细!$AA$2:$AA$50000,"&lt;&gt;丢弃",缺陷明细!$AA$2:$AA$50000,"&lt;&gt;设计如此",缺陷明细!$AA$2:$AA$50000,"&lt;&gt;重复Bug")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A$2:$AA$50000,"&lt;&gt;丢弃",缺陷明细!$AA$2:$AA$50000,"&lt;&gt;设计如此",缺陷明细!$AA$2:$AA$50000,"&lt;&gt;重复Bug")+COUNTIFS(缺陷明细!$A$2:$A$50000,$B$4,缺陷明细!$G$2:$G$50000,$C19,缺陷明细!$J$2:$J$50000,"验收测试",缺陷明细!$K$2:$K$50000,"严重",缺陷明细!$AA$2:$AA$50000,"&lt;&gt;丢弃",缺陷明细!$AA$2:$AA$50000,"&lt;&gt;设计如此",缺陷明细!$AA$2:$AA$50000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COUNTIFS(缺陷明细!$A$2:$A$50000,$B$4,缺陷明细!$G$2:$G$50000,$C19,缺陷明细!$J$2:$J$50000,"运维测试",缺陷明细!$AA$2:$AA$50000,"&lt;&gt;丢弃",缺陷明细!$AA$2:$AA$50000,"&lt;&gt;设计如此",缺陷明细!$AA$2:$AA$50000,"&lt;&gt;重复Bug")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A$2:$AA$50000,"&lt;&gt;丢弃",缺陷明细!$AA$2:$AA$50000,"&lt;&gt;设计如此",缺陷明细!$AA$2:$AA$50000,"&lt;&gt;重复Bug")+COUNTIFS(缺陷明细!$A$2:$A$50000,$B$4,缺陷明细!$G$2:$G$50000,$C19,缺陷明细!$J$2:$J$50000,"运维测试",缺陷明细!$K$2:$K$50000,"严重",缺陷明细!$AA$2:$AA$50000,"&lt;&gt;丢弃",缺陷明细!$AA$2:$AA$50000,"&lt;&gt;设计如此",缺陷明细!$AA$2:$AA$50000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51"/>
    </row>
    <row r="20" spans="1:37">
      <c r="A20">
        <v>16</v>
      </c>
      <c r="B20" s="57"/>
      <c r="C20" s="58"/>
      <c r="D20" s="84"/>
      <c r="E20" s="82"/>
      <c r="F20" s="165"/>
      <c r="G20" s="166"/>
      <c r="H20" s="305">
        <f>COUNTIFS(缺陷明细!$A$2:$A$50000,$B$4,缺陷明细!$G$2:$G$50000,$C20,缺陷明细!$J$2:$J$50000,"评审",缺陷明细!$AA$2:$AA$50000,"&lt;&gt;丢弃",缺陷明细!$AA$2:$AA$50000,"&lt;&gt;设计如此",缺陷明细!$AA$2:$AA$50000,"&lt;&gt;重复Bug")</f>
        <v>0</v>
      </c>
      <c r="I20" s="161">
        <f>COUNTIFS(缺陷明细!$A$2:$A$50000,$B$4,缺陷明细!$G$2:$G$50000,$C20,缺陷明细!$Q$2:$Q$50000,"已关闭",缺陷明细!$J$2:$J$50000,"评审")</f>
        <v>0</v>
      </c>
      <c r="J20" s="161">
        <f>COUNTIFS(缺陷明细!$A$2:$A$50000,$B$4,缺陷明细!$G$2:$G$50000,$C20,缺陷明细!$J$2:$J$50000,"单元测试",缺陷明细!$AA$2:$AA$50000,"&lt;&gt;丢弃",缺陷明细!$AA$2:$AA$50000,"&lt;&gt;设计如此",缺陷明细!$AA$2:$AA$50000,"&lt;&gt;重复Bug")</f>
        <v>0</v>
      </c>
      <c r="K20" s="162">
        <f>COUNTIFS(缺陷明细!$A$2:$A$50000,$B$4,缺陷明细!$G$2:$G$50000,$C20,缺陷明细!$Q$2:$Q$50000,"已关闭",缺陷明细!$J$2:$J$50000,"单元测试")</f>
        <v>0</v>
      </c>
      <c r="L20" s="163"/>
      <c r="M20" s="164"/>
      <c r="N20" s="72">
        <f>COUNTIFS(缺陷明细!$A$2:$A$50000,$B$4,缺陷明细!$G$2:$G$50000,$C20,缺陷明细!$J$2:$J$50000,"系统测试案例评审",缺陷明细!$AA$2:$AA$50000,"&lt;&gt;丢弃",缺陷明细!$AA$2:$AA$50000,"&lt;&gt;设计如此",缺陷明细!$AA$2:$AA$50000,"&lt;&gt;重复Bug")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COUNTIFS(缺陷明细!$A$2:$A$50000,$B$4,缺陷明细!$G$2:$G$50000,$C20,缺陷明细!$J$2:$J$50000,"系统测试",缺陷明细!$AA$2:$AA$50000,"&lt;&gt;丢弃",缺陷明细!$AA$2:$AA$50000,"&lt;&gt;设计如此",缺陷明细!$AA$2:$AA$50000,"&lt;&gt;重复Bug")</f>
        <v>0</v>
      </c>
      <c r="Q20" s="72">
        <f>COUNTIFS(缺陷明细!$A$2:$A$50000,$B$4,缺陷明细!$G$2:$G$50000,$C20,缺陷明细!$Q$2:$Q$50000,"已关闭",缺陷明细!$J$2:$J$50000,"系统测试")</f>
        <v>0</v>
      </c>
      <c r="R20" s="72">
        <f>COUNTIFS(缺陷明细!$A$2:$A$50000,$B$4,缺陷明细!$G$2:$G$50000,$C20,缺陷明细!$AA$2:$AA$50000,"丢弃",缺陷明细!$J$2:$J$50000,"系统测试")+COUNTIFS(缺陷明细!$A$2:$A$50000,$B$4,缺陷明细!$G$2:$G$50000,$C20,缺陷明细!$AA$2:$AA$50000,"设计如此",缺陷明细!$J$2:$J$50000,"系统测试"+COUNTIFS(缺陷明细!$A$2:$A$50000,$B$4,缺陷明细!$G$2:$G$50000,$C20,缺陷明细!$AA$2:$AA$50000,"重复Bug",缺陷明细!$J$2:$J$50000,"系统测试"))</f>
        <v>0</v>
      </c>
      <c r="S20" s="72">
        <f>COUNTIFS(缺陷明细!$A$2:$A$50000,$B$4,缺陷明细!$G$2:$G$50000,$C20,缺陷明细!$J$2:$J$50000,"系统测试",缺陷明细!$K$2:$K$50000,"致命",缺陷明细!$AA$2:$AA$50000,"&lt;&gt;丢弃",缺陷明细!$AA$2:$AA$50000,"&lt;&gt;设计如此",缺陷明细!$AA$2:$AA$50000,"&lt;&gt;重复Bug")+COUNTIFS(缺陷明细!$A$2:$A$50000,$B$4,缺陷明细!$G$2:$G$50000,$C20,缺陷明细!$J$2:$J$50000,"系统测试",缺陷明细!$K$2:$K$50000,"严重",缺陷明细!$AA$2:$AA$50000,"&lt;&gt;丢弃",缺陷明细!$AA$2:$AA$50000,"&lt;&gt;设计如此",缺陷明细!$AA$2:$AA$50000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COUNTIFS(缺陷明细!$A$2:$A$50000,$B$4,缺陷明细!$G$2:$G$50000,$C20,缺陷明细!$J$2:$J$50000,"验收测试",缺陷明细!$AA$2:$AA$50000,"&lt;&gt;丢弃",缺陷明细!$AA$2:$AA$50000,"&lt;&gt;设计如此",缺陷明细!$AA$2:$AA$50000,"&lt;&gt;重复Bug")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A$2:$AA$50000,"&lt;&gt;丢弃",缺陷明细!$AA$2:$AA$50000,"&lt;&gt;设计如此",缺陷明细!$AA$2:$AA$50000,"&lt;&gt;重复Bug")+COUNTIFS(缺陷明细!$A$2:$A$50000,$B$4,缺陷明细!$G$2:$G$50000,$C20,缺陷明细!$J$2:$J$50000,"验收测试",缺陷明细!$K$2:$K$50000,"严重",缺陷明细!$AA$2:$AA$50000,"&lt;&gt;丢弃",缺陷明细!$AA$2:$AA$50000,"&lt;&gt;设计如此",缺陷明细!$AA$2:$AA$50000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COUNTIFS(缺陷明细!$A$2:$A$50000,$B$4,缺陷明细!$G$2:$G$50000,$C20,缺陷明细!$J$2:$J$50000,"运维测试",缺陷明细!$AA$2:$AA$50000,"&lt;&gt;丢弃",缺陷明细!$AA$2:$AA$50000,"&lt;&gt;设计如此",缺陷明细!$AA$2:$AA$50000,"&lt;&gt;重复Bug")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A$2:$AA$50000,"&lt;&gt;丢弃",缺陷明细!$AA$2:$AA$50000,"&lt;&gt;设计如此",缺陷明细!$AA$2:$AA$50000,"&lt;&gt;重复Bug")+COUNTIFS(缺陷明细!$A$2:$A$50000,$B$4,缺陷明细!$G$2:$G$50000,$C20,缺陷明细!$J$2:$J$50000,"运维测试",缺陷明细!$K$2:$K$50000,"严重",缺陷明细!$AA$2:$AA$50000,"&lt;&gt;丢弃",缺陷明细!$AA$2:$AA$50000,"&lt;&gt;设计如此",缺陷明细!$AA$2:$AA$50000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51"/>
    </row>
    <row r="21" spans="1:37">
      <c r="A21">
        <v>17</v>
      </c>
      <c r="B21" s="57"/>
      <c r="C21" s="58"/>
      <c r="D21" s="84"/>
      <c r="E21" s="82"/>
      <c r="F21" s="165"/>
      <c r="G21" s="166"/>
      <c r="H21" s="305">
        <f>COUNTIFS(缺陷明细!$A$2:$A$50000,$B$4,缺陷明细!$G$2:$G$50000,$C21,缺陷明细!$J$2:$J$50000,"评审",缺陷明细!$AA$2:$AA$50000,"&lt;&gt;丢弃",缺陷明细!$AA$2:$AA$50000,"&lt;&gt;设计如此",缺陷明细!$AA$2:$AA$50000,"&lt;&gt;重复Bug")</f>
        <v>0</v>
      </c>
      <c r="I21" s="161">
        <f>COUNTIFS(缺陷明细!$A$2:$A$50000,$B$4,缺陷明细!$G$2:$G$50000,$C21,缺陷明细!$Q$2:$Q$50000,"已关闭",缺陷明细!$J$2:$J$50000,"评审")</f>
        <v>0</v>
      </c>
      <c r="J21" s="161">
        <f>COUNTIFS(缺陷明细!$A$2:$A$50000,$B$4,缺陷明细!$G$2:$G$50000,$C21,缺陷明细!$J$2:$J$50000,"单元测试",缺陷明细!$AA$2:$AA$50000,"&lt;&gt;丢弃",缺陷明细!$AA$2:$AA$50000,"&lt;&gt;设计如此",缺陷明细!$AA$2:$AA$50000,"&lt;&gt;重复Bug")</f>
        <v>0</v>
      </c>
      <c r="K21" s="162">
        <f>COUNTIFS(缺陷明细!$A$2:$A$50000,$B$4,缺陷明细!$G$2:$G$50000,$C21,缺陷明细!$Q$2:$Q$50000,"已关闭",缺陷明细!$J$2:$J$50000,"单元测试")</f>
        <v>0</v>
      </c>
      <c r="L21" s="163"/>
      <c r="M21" s="164"/>
      <c r="N21" s="72">
        <f>COUNTIFS(缺陷明细!$A$2:$A$50000,$B$4,缺陷明细!$G$2:$G$50000,$C21,缺陷明细!$J$2:$J$50000,"系统测试案例评审",缺陷明细!$AA$2:$AA$50000,"&lt;&gt;丢弃",缺陷明细!$AA$2:$AA$50000,"&lt;&gt;设计如此",缺陷明细!$AA$2:$AA$50000,"&lt;&gt;重复Bug")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COUNTIFS(缺陷明细!$A$2:$A$50000,$B$4,缺陷明细!$G$2:$G$50000,$C21,缺陷明细!$J$2:$J$50000,"系统测试",缺陷明细!$AA$2:$AA$50000,"&lt;&gt;丢弃",缺陷明细!$AA$2:$AA$50000,"&lt;&gt;设计如此",缺陷明细!$AA$2:$AA$50000,"&lt;&gt;重复Bug")</f>
        <v>0</v>
      </c>
      <c r="Q21" s="72">
        <f>COUNTIFS(缺陷明细!$A$2:$A$50000,$B$4,缺陷明细!$G$2:$G$50000,$C21,缺陷明细!$Q$2:$Q$50000,"已关闭",缺陷明细!$J$2:$J$50000,"系统测试")</f>
        <v>0</v>
      </c>
      <c r="R21" s="72">
        <f>COUNTIFS(缺陷明细!$A$2:$A$50000,$B$4,缺陷明细!$G$2:$G$50000,$C21,缺陷明细!$AA$2:$AA$50000,"丢弃",缺陷明细!$J$2:$J$50000,"系统测试")+COUNTIFS(缺陷明细!$A$2:$A$50000,$B$4,缺陷明细!$G$2:$G$50000,$C21,缺陷明细!$AA$2:$AA$50000,"设计如此",缺陷明细!$J$2:$J$50000,"系统测试"+COUNTIFS(缺陷明细!$A$2:$A$50000,$B$4,缺陷明细!$G$2:$G$50000,$C21,缺陷明细!$AA$2:$AA$50000,"重复Bug",缺陷明细!$J$2:$J$50000,"系统测试"))</f>
        <v>0</v>
      </c>
      <c r="S21" s="72">
        <f>COUNTIFS(缺陷明细!$A$2:$A$50000,$B$4,缺陷明细!$G$2:$G$50000,$C21,缺陷明细!$J$2:$J$50000,"系统测试",缺陷明细!$K$2:$K$50000,"致命",缺陷明细!$AA$2:$AA$50000,"&lt;&gt;丢弃",缺陷明细!$AA$2:$AA$50000,"&lt;&gt;设计如此",缺陷明细!$AA$2:$AA$50000,"&lt;&gt;重复Bug")+COUNTIFS(缺陷明细!$A$2:$A$50000,$B$4,缺陷明细!$G$2:$G$50000,$C21,缺陷明细!$J$2:$J$50000,"系统测试",缺陷明细!$K$2:$K$50000,"严重",缺陷明细!$AA$2:$AA$50000,"&lt;&gt;丢弃",缺陷明细!$AA$2:$AA$50000,"&lt;&gt;设计如此",缺陷明细!$AA$2:$AA$50000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COUNTIFS(缺陷明细!$A$2:$A$50000,$B$4,缺陷明细!$G$2:$G$50000,$C21,缺陷明细!$J$2:$J$50000,"验收测试",缺陷明细!$AA$2:$AA$50000,"&lt;&gt;丢弃",缺陷明细!$AA$2:$AA$50000,"&lt;&gt;设计如此",缺陷明细!$AA$2:$AA$50000,"&lt;&gt;重复Bug")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A$2:$AA$50000,"&lt;&gt;丢弃",缺陷明细!$AA$2:$AA$50000,"&lt;&gt;设计如此",缺陷明细!$AA$2:$AA$50000,"&lt;&gt;重复Bug")+COUNTIFS(缺陷明细!$A$2:$A$50000,$B$4,缺陷明细!$G$2:$G$50000,$C21,缺陷明细!$J$2:$J$50000,"验收测试",缺陷明细!$K$2:$K$50000,"严重",缺陷明细!$AA$2:$AA$50000,"&lt;&gt;丢弃",缺陷明细!$AA$2:$AA$50000,"&lt;&gt;设计如此",缺陷明细!$AA$2:$AA$50000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COUNTIFS(缺陷明细!$A$2:$A$50000,$B$4,缺陷明细!$G$2:$G$50000,$C21,缺陷明细!$J$2:$J$50000,"运维测试",缺陷明细!$AA$2:$AA$50000,"&lt;&gt;丢弃",缺陷明细!$AA$2:$AA$50000,"&lt;&gt;设计如此",缺陷明细!$AA$2:$AA$50000,"&lt;&gt;重复Bug")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A$2:$AA$50000,"&lt;&gt;丢弃",缺陷明细!$AA$2:$AA$50000,"&lt;&gt;设计如此",缺陷明细!$AA$2:$AA$50000,"&lt;&gt;重复Bug")+COUNTIFS(缺陷明细!$A$2:$A$50000,$B$4,缺陷明细!$G$2:$G$50000,$C21,缺陷明细!$J$2:$J$50000,"运维测试",缺陷明细!$K$2:$K$50000,"严重",缺陷明细!$AA$2:$AA$50000,"&lt;&gt;丢弃",缺陷明细!$AA$2:$AA$50000,"&lt;&gt;设计如此",缺陷明细!$AA$2:$AA$50000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51"/>
    </row>
    <row r="22" spans="1:37">
      <c r="A22">
        <v>18</v>
      </c>
      <c r="B22" s="57"/>
      <c r="C22" s="58"/>
      <c r="D22" s="84"/>
      <c r="E22" s="82"/>
      <c r="F22" s="165"/>
      <c r="G22" s="166"/>
      <c r="H22" s="305">
        <f>COUNTIFS(缺陷明细!$A$2:$A$50000,$B$4,缺陷明细!$G$2:$G$50000,$C22,缺陷明细!$J$2:$J$50000,"评审",缺陷明细!$AA$2:$AA$50000,"&lt;&gt;丢弃",缺陷明细!$AA$2:$AA$50000,"&lt;&gt;设计如此",缺陷明细!$AA$2:$AA$50000,"&lt;&gt;重复Bug")</f>
        <v>0</v>
      </c>
      <c r="I22" s="161">
        <f>COUNTIFS(缺陷明细!$A$2:$A$50000,$B$4,缺陷明细!$G$2:$G$50000,$C22,缺陷明细!$Q$2:$Q$50000,"已关闭",缺陷明细!$J$2:$J$50000,"评审")</f>
        <v>0</v>
      </c>
      <c r="J22" s="161">
        <f>COUNTIFS(缺陷明细!$A$2:$A$50000,$B$4,缺陷明细!$G$2:$G$50000,$C22,缺陷明细!$J$2:$J$50000,"单元测试",缺陷明细!$AA$2:$AA$50000,"&lt;&gt;丢弃",缺陷明细!$AA$2:$AA$50000,"&lt;&gt;设计如此",缺陷明细!$AA$2:$AA$50000,"&lt;&gt;重复Bug")</f>
        <v>0</v>
      </c>
      <c r="K22" s="162">
        <f>COUNTIFS(缺陷明细!$A$2:$A$50000,$B$4,缺陷明细!$G$2:$G$50000,$C22,缺陷明细!$Q$2:$Q$50000,"已关闭",缺陷明细!$J$2:$J$50000,"单元测试")</f>
        <v>0</v>
      </c>
      <c r="L22" s="163"/>
      <c r="M22" s="164"/>
      <c r="N22" s="72">
        <f>COUNTIFS(缺陷明细!$A$2:$A$50000,$B$4,缺陷明细!$G$2:$G$50000,$C22,缺陷明细!$J$2:$J$50000,"系统测试案例评审",缺陷明细!$AA$2:$AA$50000,"&lt;&gt;丢弃",缺陷明细!$AA$2:$AA$50000,"&lt;&gt;设计如此",缺陷明细!$AA$2:$AA$50000,"&lt;&gt;重复Bug")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COUNTIFS(缺陷明细!$A$2:$A$50000,$B$4,缺陷明细!$G$2:$G$50000,$C22,缺陷明细!$J$2:$J$50000,"系统测试",缺陷明细!$AA$2:$AA$50000,"&lt;&gt;丢弃",缺陷明细!$AA$2:$AA$50000,"&lt;&gt;设计如此",缺陷明细!$AA$2:$AA$50000,"&lt;&gt;重复Bug")</f>
        <v>0</v>
      </c>
      <c r="Q22" s="72">
        <f>COUNTIFS(缺陷明细!$A$2:$A$50000,$B$4,缺陷明细!$G$2:$G$50000,$C22,缺陷明细!$Q$2:$Q$50000,"已关闭",缺陷明细!$J$2:$J$50000,"系统测试")</f>
        <v>0</v>
      </c>
      <c r="R22" s="72">
        <f>COUNTIFS(缺陷明细!$A$2:$A$50000,$B$4,缺陷明细!$G$2:$G$50000,$C22,缺陷明细!$AA$2:$AA$50000,"丢弃",缺陷明细!$J$2:$J$50000,"系统测试")+COUNTIFS(缺陷明细!$A$2:$A$50000,$B$4,缺陷明细!$G$2:$G$50000,$C22,缺陷明细!$AA$2:$AA$50000,"设计如此",缺陷明细!$J$2:$J$50000,"系统测试"+COUNTIFS(缺陷明细!$A$2:$A$50000,$B$4,缺陷明细!$G$2:$G$50000,$C22,缺陷明细!$AA$2:$AA$50000,"重复Bug",缺陷明细!$J$2:$J$50000,"系统测试"))</f>
        <v>0</v>
      </c>
      <c r="S22" s="72">
        <f>COUNTIFS(缺陷明细!$A$2:$A$50000,$B$4,缺陷明细!$G$2:$G$50000,$C22,缺陷明细!$J$2:$J$50000,"系统测试",缺陷明细!$K$2:$K$50000,"致命",缺陷明细!$AA$2:$AA$50000,"&lt;&gt;丢弃",缺陷明细!$AA$2:$AA$50000,"&lt;&gt;设计如此",缺陷明细!$AA$2:$AA$50000,"&lt;&gt;重复Bug")+COUNTIFS(缺陷明细!$A$2:$A$50000,$B$4,缺陷明细!$G$2:$G$50000,$C22,缺陷明细!$J$2:$J$50000,"系统测试",缺陷明细!$K$2:$K$50000,"严重",缺陷明细!$AA$2:$AA$50000,"&lt;&gt;丢弃",缺陷明细!$AA$2:$AA$50000,"&lt;&gt;设计如此",缺陷明细!$AA$2:$AA$50000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COUNTIFS(缺陷明细!$A$2:$A$50000,$B$4,缺陷明细!$G$2:$G$50000,$C22,缺陷明细!$J$2:$J$50000,"验收测试",缺陷明细!$AA$2:$AA$50000,"&lt;&gt;丢弃",缺陷明细!$AA$2:$AA$50000,"&lt;&gt;设计如此",缺陷明细!$AA$2:$AA$50000,"&lt;&gt;重复Bug")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A$2:$AA$50000,"&lt;&gt;丢弃",缺陷明细!$AA$2:$AA$50000,"&lt;&gt;设计如此",缺陷明细!$AA$2:$AA$50000,"&lt;&gt;重复Bug")+COUNTIFS(缺陷明细!$A$2:$A$50000,$B$4,缺陷明细!$G$2:$G$50000,$C22,缺陷明细!$J$2:$J$50000,"验收测试",缺陷明细!$K$2:$K$50000,"严重",缺陷明细!$AA$2:$AA$50000,"&lt;&gt;丢弃",缺陷明细!$AA$2:$AA$50000,"&lt;&gt;设计如此",缺陷明细!$AA$2:$AA$50000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COUNTIFS(缺陷明细!$A$2:$A$50000,$B$4,缺陷明细!$G$2:$G$50000,$C22,缺陷明细!$J$2:$J$50000,"运维测试",缺陷明细!$AA$2:$AA$50000,"&lt;&gt;丢弃",缺陷明细!$AA$2:$AA$50000,"&lt;&gt;设计如此",缺陷明细!$AA$2:$AA$50000,"&lt;&gt;重复Bug")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A$2:$AA$50000,"&lt;&gt;丢弃",缺陷明细!$AA$2:$AA$50000,"&lt;&gt;设计如此",缺陷明细!$AA$2:$AA$50000,"&lt;&gt;重复Bug")+COUNTIFS(缺陷明细!$A$2:$A$50000,$B$4,缺陷明细!$G$2:$G$50000,$C22,缺陷明细!$J$2:$J$50000,"运维测试",缺陷明细!$K$2:$K$50000,"严重",缺陷明细!$AA$2:$AA$50000,"&lt;&gt;丢弃",缺陷明细!$AA$2:$AA$50000,"&lt;&gt;设计如此",缺陷明细!$AA$2:$AA$50000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51"/>
    </row>
    <row r="23" spans="1:37">
      <c r="A23">
        <v>19</v>
      </c>
      <c r="B23" s="57"/>
      <c r="C23" s="58"/>
      <c r="D23" s="84"/>
      <c r="E23" s="82"/>
      <c r="F23" s="165"/>
      <c r="G23" s="166"/>
      <c r="H23" s="305">
        <f>COUNTIFS(缺陷明细!$A$2:$A$50000,$B$4,缺陷明细!$G$2:$G$50000,$C23,缺陷明细!$J$2:$J$50000,"评审",缺陷明细!$AA$2:$AA$50000,"&lt;&gt;丢弃",缺陷明细!$AA$2:$AA$50000,"&lt;&gt;设计如此",缺陷明细!$AA$2:$AA$50000,"&lt;&gt;重复Bug")</f>
        <v>0</v>
      </c>
      <c r="I23" s="161">
        <f>COUNTIFS(缺陷明细!$A$2:$A$50000,$B$4,缺陷明细!$G$2:$G$50000,$C23,缺陷明细!$Q$2:$Q$50000,"已关闭",缺陷明细!$J$2:$J$50000,"评审")</f>
        <v>0</v>
      </c>
      <c r="J23" s="161">
        <f>COUNTIFS(缺陷明细!$A$2:$A$50000,$B$4,缺陷明细!$G$2:$G$50000,$C23,缺陷明细!$J$2:$J$50000,"单元测试",缺陷明细!$AA$2:$AA$50000,"&lt;&gt;丢弃",缺陷明细!$AA$2:$AA$50000,"&lt;&gt;设计如此",缺陷明细!$AA$2:$AA$50000,"&lt;&gt;重复Bug")</f>
        <v>0</v>
      </c>
      <c r="K23" s="162">
        <f>COUNTIFS(缺陷明细!$A$2:$A$50000,$B$4,缺陷明细!$G$2:$G$50000,$C23,缺陷明细!$Q$2:$Q$50000,"已关闭",缺陷明细!$J$2:$J$50000,"单元测试")</f>
        <v>0</v>
      </c>
      <c r="L23" s="163"/>
      <c r="M23" s="164"/>
      <c r="N23" s="72">
        <f>COUNTIFS(缺陷明细!$A$2:$A$50000,$B$4,缺陷明细!$G$2:$G$50000,$C23,缺陷明细!$J$2:$J$50000,"系统测试案例评审",缺陷明细!$AA$2:$AA$50000,"&lt;&gt;丢弃",缺陷明细!$AA$2:$AA$50000,"&lt;&gt;设计如此",缺陷明细!$AA$2:$AA$50000,"&lt;&gt;重复Bug")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COUNTIFS(缺陷明细!$A$2:$A$50000,$B$4,缺陷明细!$G$2:$G$50000,$C23,缺陷明细!$J$2:$J$50000,"系统测试",缺陷明细!$AA$2:$AA$50000,"&lt;&gt;丢弃",缺陷明细!$AA$2:$AA$50000,"&lt;&gt;设计如此",缺陷明细!$AA$2:$AA$50000,"&lt;&gt;重复Bug")</f>
        <v>0</v>
      </c>
      <c r="Q23" s="72">
        <f>COUNTIFS(缺陷明细!$A$2:$A$50000,$B$4,缺陷明细!$G$2:$G$50000,$C23,缺陷明细!$Q$2:$Q$50000,"已关闭",缺陷明细!$J$2:$J$50000,"系统测试")</f>
        <v>0</v>
      </c>
      <c r="R23" s="72">
        <f>COUNTIFS(缺陷明细!$A$2:$A$50000,$B$4,缺陷明细!$G$2:$G$50000,$C23,缺陷明细!$AA$2:$AA$50000,"丢弃",缺陷明细!$J$2:$J$50000,"系统测试")+COUNTIFS(缺陷明细!$A$2:$A$50000,$B$4,缺陷明细!$G$2:$G$50000,$C23,缺陷明细!$AA$2:$AA$50000,"设计如此",缺陷明细!$J$2:$J$50000,"系统测试"+COUNTIFS(缺陷明细!$A$2:$A$50000,$B$4,缺陷明细!$G$2:$G$50000,$C23,缺陷明细!$AA$2:$AA$50000,"重复Bug",缺陷明细!$J$2:$J$50000,"系统测试"))</f>
        <v>0</v>
      </c>
      <c r="S23" s="72">
        <f>COUNTIFS(缺陷明细!$A$2:$A$50000,$B$4,缺陷明细!$G$2:$G$50000,$C23,缺陷明细!$J$2:$J$50000,"系统测试",缺陷明细!$K$2:$K$50000,"致命",缺陷明细!$AA$2:$AA$50000,"&lt;&gt;丢弃",缺陷明细!$AA$2:$AA$50000,"&lt;&gt;设计如此",缺陷明细!$AA$2:$AA$50000,"&lt;&gt;重复Bug")+COUNTIFS(缺陷明细!$A$2:$A$50000,$B$4,缺陷明细!$G$2:$G$50000,$C23,缺陷明细!$J$2:$J$50000,"系统测试",缺陷明细!$K$2:$K$50000,"严重",缺陷明细!$AA$2:$AA$50000,"&lt;&gt;丢弃",缺陷明细!$AA$2:$AA$50000,"&lt;&gt;设计如此",缺陷明细!$AA$2:$AA$50000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COUNTIFS(缺陷明细!$A$2:$A$50000,$B$4,缺陷明细!$G$2:$G$50000,$C23,缺陷明细!$J$2:$J$50000,"验收测试",缺陷明细!$AA$2:$AA$50000,"&lt;&gt;丢弃",缺陷明细!$AA$2:$AA$50000,"&lt;&gt;设计如此",缺陷明细!$AA$2:$AA$50000,"&lt;&gt;重复Bug")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A$2:$AA$50000,"&lt;&gt;丢弃",缺陷明细!$AA$2:$AA$50000,"&lt;&gt;设计如此",缺陷明细!$AA$2:$AA$50000,"&lt;&gt;重复Bug")+COUNTIFS(缺陷明细!$A$2:$A$50000,$B$4,缺陷明细!$G$2:$G$50000,$C23,缺陷明细!$J$2:$J$50000,"验收测试",缺陷明细!$K$2:$K$50000,"严重",缺陷明细!$AA$2:$AA$50000,"&lt;&gt;丢弃",缺陷明细!$AA$2:$AA$50000,"&lt;&gt;设计如此",缺陷明细!$AA$2:$AA$50000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COUNTIFS(缺陷明细!$A$2:$A$50000,$B$4,缺陷明细!$G$2:$G$50000,$C23,缺陷明细!$J$2:$J$50000,"运维测试",缺陷明细!$AA$2:$AA$50000,"&lt;&gt;丢弃",缺陷明细!$AA$2:$AA$50000,"&lt;&gt;设计如此",缺陷明细!$AA$2:$AA$50000,"&lt;&gt;重复Bug")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A$2:$AA$50000,"&lt;&gt;丢弃",缺陷明细!$AA$2:$AA$50000,"&lt;&gt;设计如此",缺陷明细!$AA$2:$AA$50000,"&lt;&gt;重复Bug")+COUNTIFS(缺陷明细!$A$2:$A$50000,$B$4,缺陷明细!$G$2:$G$50000,$C23,缺陷明细!$J$2:$J$50000,"运维测试",缺陷明细!$K$2:$K$50000,"严重",缺陷明细!$AA$2:$AA$50000,"&lt;&gt;丢弃",缺陷明细!$AA$2:$AA$50000,"&lt;&gt;设计如此",缺陷明细!$AA$2:$AA$50000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51"/>
    </row>
    <row r="24" spans="1:37">
      <c r="A24">
        <v>20</v>
      </c>
      <c r="B24" s="57"/>
      <c r="C24" s="58"/>
      <c r="D24" s="84"/>
      <c r="E24" s="82"/>
      <c r="F24" s="165"/>
      <c r="G24" s="166"/>
      <c r="H24" s="305">
        <f>COUNTIFS(缺陷明细!$A$2:$A$50000,$B$4,缺陷明细!$G$2:$G$50000,$C24,缺陷明细!$J$2:$J$50000,"评审",缺陷明细!$AA$2:$AA$50000,"&lt;&gt;丢弃",缺陷明细!$AA$2:$AA$50000,"&lt;&gt;设计如此",缺陷明细!$AA$2:$AA$50000,"&lt;&gt;重复Bug")</f>
        <v>0</v>
      </c>
      <c r="I24" s="161">
        <f>COUNTIFS(缺陷明细!$A$2:$A$50000,$B$4,缺陷明细!$G$2:$G$50000,$C24,缺陷明细!$Q$2:$Q$50000,"已关闭",缺陷明细!$J$2:$J$50000,"评审")</f>
        <v>0</v>
      </c>
      <c r="J24" s="161">
        <f>COUNTIFS(缺陷明细!$A$2:$A$50000,$B$4,缺陷明细!$G$2:$G$50000,$C24,缺陷明细!$J$2:$J$50000,"单元测试",缺陷明细!$AA$2:$AA$50000,"&lt;&gt;丢弃",缺陷明细!$AA$2:$AA$50000,"&lt;&gt;设计如此",缺陷明细!$AA$2:$AA$50000,"&lt;&gt;重复Bug")</f>
        <v>0</v>
      </c>
      <c r="K24" s="162">
        <f>COUNTIFS(缺陷明细!$A$2:$A$50000,$B$4,缺陷明细!$G$2:$G$50000,$C24,缺陷明细!$Q$2:$Q$50000,"已关闭",缺陷明细!$J$2:$J$50000,"单元测试")</f>
        <v>0</v>
      </c>
      <c r="L24" s="163"/>
      <c r="M24" s="164"/>
      <c r="N24" s="72">
        <f>COUNTIFS(缺陷明细!$A$2:$A$50000,$B$4,缺陷明细!$G$2:$G$50000,$C24,缺陷明细!$J$2:$J$50000,"系统测试案例评审",缺陷明细!$AA$2:$AA$50000,"&lt;&gt;丢弃",缺陷明细!$AA$2:$AA$50000,"&lt;&gt;设计如此",缺陷明细!$AA$2:$AA$50000,"&lt;&gt;重复Bug")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COUNTIFS(缺陷明细!$A$2:$A$50000,$B$4,缺陷明细!$G$2:$G$50000,$C24,缺陷明细!$J$2:$J$50000,"系统测试",缺陷明细!$AA$2:$AA$50000,"&lt;&gt;丢弃",缺陷明细!$AA$2:$AA$50000,"&lt;&gt;设计如此",缺陷明细!$AA$2:$AA$50000,"&lt;&gt;重复Bug")</f>
        <v>0</v>
      </c>
      <c r="Q24" s="72">
        <f>COUNTIFS(缺陷明细!$A$2:$A$50000,$B$4,缺陷明细!$G$2:$G$50000,$C24,缺陷明细!$Q$2:$Q$50000,"已关闭",缺陷明细!$J$2:$J$50000,"系统测试")</f>
        <v>0</v>
      </c>
      <c r="R24" s="72">
        <f>COUNTIFS(缺陷明细!$A$2:$A$50000,$B$4,缺陷明细!$G$2:$G$50000,$C24,缺陷明细!$AA$2:$AA$50000,"丢弃",缺陷明细!$J$2:$J$50000,"系统测试")+COUNTIFS(缺陷明细!$A$2:$A$50000,$B$4,缺陷明细!$G$2:$G$50000,$C24,缺陷明细!$AA$2:$AA$50000,"设计如此",缺陷明细!$J$2:$J$50000,"系统测试"+COUNTIFS(缺陷明细!$A$2:$A$50000,$B$4,缺陷明细!$G$2:$G$50000,$C24,缺陷明细!$AA$2:$AA$50000,"重复Bug",缺陷明细!$J$2:$J$50000,"系统测试"))</f>
        <v>0</v>
      </c>
      <c r="S24" s="72">
        <f>COUNTIFS(缺陷明细!$A$2:$A$50000,$B$4,缺陷明细!$G$2:$G$50000,$C24,缺陷明细!$J$2:$J$50000,"系统测试",缺陷明细!$K$2:$K$50000,"致命",缺陷明细!$AA$2:$AA$50000,"&lt;&gt;丢弃",缺陷明细!$AA$2:$AA$50000,"&lt;&gt;设计如此",缺陷明细!$AA$2:$AA$50000,"&lt;&gt;重复Bug")+COUNTIFS(缺陷明细!$A$2:$A$50000,$B$4,缺陷明细!$G$2:$G$50000,$C24,缺陷明细!$J$2:$J$50000,"系统测试",缺陷明细!$K$2:$K$50000,"严重",缺陷明细!$AA$2:$AA$50000,"&lt;&gt;丢弃",缺陷明细!$AA$2:$AA$50000,"&lt;&gt;设计如此",缺陷明细!$AA$2:$AA$50000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COUNTIFS(缺陷明细!$A$2:$A$50000,$B$4,缺陷明细!$G$2:$G$50000,$C24,缺陷明细!$J$2:$J$50000,"验收测试",缺陷明细!$AA$2:$AA$50000,"&lt;&gt;丢弃",缺陷明细!$AA$2:$AA$50000,"&lt;&gt;设计如此",缺陷明细!$AA$2:$AA$50000,"&lt;&gt;重复Bug")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A$2:$AA$50000,"&lt;&gt;丢弃",缺陷明细!$AA$2:$AA$50000,"&lt;&gt;设计如此",缺陷明细!$AA$2:$AA$50000,"&lt;&gt;重复Bug")+COUNTIFS(缺陷明细!$A$2:$A$50000,$B$4,缺陷明细!$G$2:$G$50000,$C24,缺陷明细!$J$2:$J$50000,"验收测试",缺陷明细!$K$2:$K$50000,"严重",缺陷明细!$AA$2:$AA$50000,"&lt;&gt;丢弃",缺陷明细!$AA$2:$AA$50000,"&lt;&gt;设计如此",缺陷明细!$AA$2:$AA$50000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COUNTIFS(缺陷明细!$A$2:$A$50000,$B$4,缺陷明细!$G$2:$G$50000,$C24,缺陷明细!$J$2:$J$50000,"运维测试",缺陷明细!$AA$2:$AA$50000,"&lt;&gt;丢弃",缺陷明细!$AA$2:$AA$50000,"&lt;&gt;设计如此",缺陷明细!$AA$2:$AA$50000,"&lt;&gt;重复Bug")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A$2:$AA$50000,"&lt;&gt;丢弃",缺陷明细!$AA$2:$AA$50000,"&lt;&gt;设计如此",缺陷明细!$AA$2:$AA$50000,"&lt;&gt;重复Bug")+COUNTIFS(缺陷明细!$A$2:$A$50000,$B$4,缺陷明细!$G$2:$G$50000,$C24,缺陷明细!$J$2:$J$50000,"运维测试",缺陷明细!$K$2:$K$50000,"严重",缺陷明细!$AA$2:$AA$50000,"&lt;&gt;丢弃",缺陷明细!$AA$2:$AA$50000,"&lt;&gt;设计如此",缺陷明细!$AA$2:$AA$50000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51"/>
    </row>
    <row r="25" spans="1:37">
      <c r="A25">
        <v>21</v>
      </c>
      <c r="B25" s="57"/>
      <c r="C25" s="58"/>
      <c r="D25" s="84"/>
      <c r="E25" s="82"/>
      <c r="F25" s="165"/>
      <c r="G25" s="166"/>
      <c r="H25" s="305">
        <f>COUNTIFS(缺陷明细!$A$2:$A$50000,$B$4,缺陷明细!$G$2:$G$50000,$C25,缺陷明细!$J$2:$J$50000,"评审",缺陷明细!$AA$2:$AA$50000,"&lt;&gt;丢弃",缺陷明细!$AA$2:$AA$50000,"&lt;&gt;设计如此",缺陷明细!$AA$2:$AA$50000,"&lt;&gt;重复Bug")</f>
        <v>0</v>
      </c>
      <c r="I25" s="161">
        <f>COUNTIFS(缺陷明细!$A$2:$A$50000,$B$4,缺陷明细!$G$2:$G$50000,$C25,缺陷明细!$Q$2:$Q$50000,"已关闭",缺陷明细!$J$2:$J$50000,"评审")</f>
        <v>0</v>
      </c>
      <c r="J25" s="161">
        <f>COUNTIFS(缺陷明细!$A$2:$A$50000,$B$4,缺陷明细!$G$2:$G$50000,$C25,缺陷明细!$J$2:$J$50000,"单元测试",缺陷明细!$AA$2:$AA$50000,"&lt;&gt;丢弃",缺陷明细!$AA$2:$AA$50000,"&lt;&gt;设计如此",缺陷明细!$AA$2:$AA$50000,"&lt;&gt;重复Bug")</f>
        <v>0</v>
      </c>
      <c r="K25" s="162">
        <f>COUNTIFS(缺陷明细!$A$2:$A$50000,$B$4,缺陷明细!$G$2:$G$50000,$C25,缺陷明细!$Q$2:$Q$50000,"已关闭",缺陷明细!$J$2:$J$50000,"单元测试")</f>
        <v>0</v>
      </c>
      <c r="L25" s="163"/>
      <c r="M25" s="164"/>
      <c r="N25" s="72">
        <f>COUNTIFS(缺陷明细!$A$2:$A$50000,$B$4,缺陷明细!$G$2:$G$50000,$C25,缺陷明细!$J$2:$J$50000,"系统测试案例评审",缺陷明细!$AA$2:$AA$50000,"&lt;&gt;丢弃",缺陷明细!$AA$2:$AA$50000,"&lt;&gt;设计如此",缺陷明细!$AA$2:$AA$50000,"&lt;&gt;重复Bug")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COUNTIFS(缺陷明细!$A$2:$A$50000,$B$4,缺陷明细!$G$2:$G$50000,$C25,缺陷明细!$J$2:$J$50000,"系统测试",缺陷明细!$AA$2:$AA$50000,"&lt;&gt;丢弃",缺陷明细!$AA$2:$AA$50000,"&lt;&gt;设计如此",缺陷明细!$AA$2:$AA$50000,"&lt;&gt;重复Bug")</f>
        <v>0</v>
      </c>
      <c r="Q25" s="72">
        <f>COUNTIFS(缺陷明细!$A$2:$A$50000,$B$4,缺陷明细!$G$2:$G$50000,$C25,缺陷明细!$Q$2:$Q$50000,"已关闭",缺陷明细!$J$2:$J$50000,"系统测试")</f>
        <v>0</v>
      </c>
      <c r="R25" s="72">
        <f>COUNTIFS(缺陷明细!$A$2:$A$50000,$B$4,缺陷明细!$G$2:$G$50000,$C25,缺陷明细!$AA$2:$AA$50000,"丢弃",缺陷明细!$J$2:$J$50000,"系统测试")+COUNTIFS(缺陷明细!$A$2:$A$50000,$B$4,缺陷明细!$G$2:$G$50000,$C25,缺陷明细!$AA$2:$AA$50000,"设计如此",缺陷明细!$J$2:$J$50000,"系统测试"+COUNTIFS(缺陷明细!$A$2:$A$50000,$B$4,缺陷明细!$G$2:$G$50000,$C25,缺陷明细!$AA$2:$AA$50000,"重复Bug",缺陷明细!$J$2:$J$50000,"系统测试"))</f>
        <v>0</v>
      </c>
      <c r="S25" s="72">
        <f>COUNTIFS(缺陷明细!$A$2:$A$50000,$B$4,缺陷明细!$G$2:$G$50000,$C25,缺陷明细!$J$2:$J$50000,"系统测试",缺陷明细!$K$2:$K$50000,"致命",缺陷明细!$AA$2:$AA$50000,"&lt;&gt;丢弃",缺陷明细!$AA$2:$AA$50000,"&lt;&gt;设计如此",缺陷明细!$AA$2:$AA$50000,"&lt;&gt;重复Bug")+COUNTIFS(缺陷明细!$A$2:$A$50000,$B$4,缺陷明细!$G$2:$G$50000,$C25,缺陷明细!$J$2:$J$50000,"系统测试",缺陷明细!$K$2:$K$50000,"严重",缺陷明细!$AA$2:$AA$50000,"&lt;&gt;丢弃",缺陷明细!$AA$2:$AA$50000,"&lt;&gt;设计如此",缺陷明细!$AA$2:$AA$50000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COUNTIFS(缺陷明细!$A$2:$A$50000,$B$4,缺陷明细!$G$2:$G$50000,$C25,缺陷明细!$J$2:$J$50000,"验收测试",缺陷明细!$AA$2:$AA$50000,"&lt;&gt;丢弃",缺陷明细!$AA$2:$AA$50000,"&lt;&gt;设计如此",缺陷明细!$AA$2:$AA$50000,"&lt;&gt;重复Bug")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A$2:$AA$50000,"&lt;&gt;丢弃",缺陷明细!$AA$2:$AA$50000,"&lt;&gt;设计如此",缺陷明细!$AA$2:$AA$50000,"&lt;&gt;重复Bug")+COUNTIFS(缺陷明细!$A$2:$A$50000,$B$4,缺陷明细!$G$2:$G$50000,$C25,缺陷明细!$J$2:$J$50000,"验收测试",缺陷明细!$K$2:$K$50000,"严重",缺陷明细!$AA$2:$AA$50000,"&lt;&gt;丢弃",缺陷明细!$AA$2:$AA$50000,"&lt;&gt;设计如此",缺陷明细!$AA$2:$AA$50000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COUNTIFS(缺陷明细!$A$2:$A$50000,$B$4,缺陷明细!$G$2:$G$50000,$C25,缺陷明细!$J$2:$J$50000,"运维测试",缺陷明细!$AA$2:$AA$50000,"&lt;&gt;丢弃",缺陷明细!$AA$2:$AA$50000,"&lt;&gt;设计如此",缺陷明细!$AA$2:$AA$50000,"&lt;&gt;重复Bug")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A$2:$AA$50000,"&lt;&gt;丢弃",缺陷明细!$AA$2:$AA$50000,"&lt;&gt;设计如此",缺陷明细!$AA$2:$AA$50000,"&lt;&gt;重复Bug")+COUNTIFS(缺陷明细!$A$2:$A$50000,$B$4,缺陷明细!$G$2:$G$50000,$C25,缺陷明细!$J$2:$J$50000,"运维测试",缺陷明细!$K$2:$K$50000,"严重",缺陷明细!$AA$2:$AA$50000,"&lt;&gt;丢弃",缺陷明细!$AA$2:$AA$50000,"&lt;&gt;设计如此",缺陷明细!$AA$2:$AA$50000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51"/>
    </row>
    <row r="26" spans="1:37">
      <c r="A26">
        <v>22</v>
      </c>
      <c r="B26" s="57"/>
      <c r="C26" s="58"/>
      <c r="D26" s="84"/>
      <c r="E26" s="82"/>
      <c r="F26" s="165"/>
      <c r="G26" s="166"/>
      <c r="H26" s="305">
        <f>COUNTIFS(缺陷明细!$A$2:$A$50000,$B$4,缺陷明细!$G$2:$G$50000,$C26,缺陷明细!$J$2:$J$50000,"评审",缺陷明细!$AA$2:$AA$50000,"&lt;&gt;丢弃",缺陷明细!$AA$2:$AA$50000,"&lt;&gt;设计如此",缺陷明细!$AA$2:$AA$50000,"&lt;&gt;重复Bug")</f>
        <v>0</v>
      </c>
      <c r="I26" s="161">
        <f>COUNTIFS(缺陷明细!$A$2:$A$50000,$B$4,缺陷明细!$G$2:$G$50000,$C26,缺陷明细!$Q$2:$Q$50000,"已关闭",缺陷明细!$J$2:$J$50000,"评审")</f>
        <v>0</v>
      </c>
      <c r="J26" s="161">
        <f>COUNTIFS(缺陷明细!$A$2:$A$50000,$B$4,缺陷明细!$G$2:$G$50000,$C26,缺陷明细!$J$2:$J$50000,"单元测试",缺陷明细!$AA$2:$AA$50000,"&lt;&gt;丢弃",缺陷明细!$AA$2:$AA$50000,"&lt;&gt;设计如此",缺陷明细!$AA$2:$AA$50000,"&lt;&gt;重复Bug")</f>
        <v>0</v>
      </c>
      <c r="K26" s="162">
        <f>COUNTIFS(缺陷明细!$A$2:$A$50000,$B$4,缺陷明细!$G$2:$G$50000,$C26,缺陷明细!$Q$2:$Q$50000,"已关闭",缺陷明细!$J$2:$J$50000,"单元测试")</f>
        <v>0</v>
      </c>
      <c r="L26" s="163"/>
      <c r="M26" s="164"/>
      <c r="N26" s="72">
        <f>COUNTIFS(缺陷明细!$A$2:$A$50000,$B$4,缺陷明细!$G$2:$G$50000,$C26,缺陷明细!$J$2:$J$50000,"系统测试案例评审",缺陷明细!$AA$2:$AA$50000,"&lt;&gt;丢弃",缺陷明细!$AA$2:$AA$50000,"&lt;&gt;设计如此",缺陷明细!$AA$2:$AA$50000,"&lt;&gt;重复Bug")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COUNTIFS(缺陷明细!$A$2:$A$50000,$B$4,缺陷明细!$G$2:$G$50000,$C26,缺陷明细!$J$2:$J$50000,"系统测试",缺陷明细!$AA$2:$AA$50000,"&lt;&gt;丢弃",缺陷明细!$AA$2:$AA$50000,"&lt;&gt;设计如此",缺陷明细!$AA$2:$AA$50000,"&lt;&gt;重复Bug")</f>
        <v>0</v>
      </c>
      <c r="Q26" s="72">
        <f>COUNTIFS(缺陷明细!$A$2:$A$50000,$B$4,缺陷明细!$G$2:$G$50000,$C26,缺陷明细!$Q$2:$Q$50000,"已关闭",缺陷明细!$J$2:$J$50000,"系统测试")</f>
        <v>0</v>
      </c>
      <c r="R26" s="72">
        <f>COUNTIFS(缺陷明细!$A$2:$A$50000,$B$4,缺陷明细!$G$2:$G$50000,$C26,缺陷明细!$AA$2:$AA$50000,"丢弃",缺陷明细!$J$2:$J$50000,"系统测试")+COUNTIFS(缺陷明细!$A$2:$A$50000,$B$4,缺陷明细!$G$2:$G$50000,$C26,缺陷明细!$AA$2:$AA$50000,"设计如此",缺陷明细!$J$2:$J$50000,"系统测试"+COUNTIFS(缺陷明细!$A$2:$A$50000,$B$4,缺陷明细!$G$2:$G$50000,$C26,缺陷明细!$AA$2:$AA$50000,"重复Bug",缺陷明细!$J$2:$J$50000,"系统测试"))</f>
        <v>0</v>
      </c>
      <c r="S26" s="72">
        <f>COUNTIFS(缺陷明细!$A$2:$A$50000,$B$4,缺陷明细!$G$2:$G$50000,$C26,缺陷明细!$J$2:$J$50000,"系统测试",缺陷明细!$K$2:$K$50000,"致命",缺陷明细!$AA$2:$AA$50000,"&lt;&gt;丢弃",缺陷明细!$AA$2:$AA$50000,"&lt;&gt;设计如此",缺陷明细!$AA$2:$AA$50000,"&lt;&gt;重复Bug")+COUNTIFS(缺陷明细!$A$2:$A$50000,$B$4,缺陷明细!$G$2:$G$50000,$C26,缺陷明细!$J$2:$J$50000,"系统测试",缺陷明细!$K$2:$K$50000,"严重",缺陷明细!$AA$2:$AA$50000,"&lt;&gt;丢弃",缺陷明细!$AA$2:$AA$50000,"&lt;&gt;设计如此",缺陷明细!$AA$2:$AA$50000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COUNTIFS(缺陷明细!$A$2:$A$50000,$B$4,缺陷明细!$G$2:$G$50000,$C26,缺陷明细!$J$2:$J$50000,"验收测试",缺陷明细!$AA$2:$AA$50000,"&lt;&gt;丢弃",缺陷明细!$AA$2:$AA$50000,"&lt;&gt;设计如此",缺陷明细!$AA$2:$AA$50000,"&lt;&gt;重复Bug")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A$2:$AA$50000,"&lt;&gt;丢弃",缺陷明细!$AA$2:$AA$50000,"&lt;&gt;设计如此",缺陷明细!$AA$2:$AA$50000,"&lt;&gt;重复Bug")+COUNTIFS(缺陷明细!$A$2:$A$50000,$B$4,缺陷明细!$G$2:$G$50000,$C26,缺陷明细!$J$2:$J$50000,"验收测试",缺陷明细!$K$2:$K$50000,"严重",缺陷明细!$AA$2:$AA$50000,"&lt;&gt;丢弃",缺陷明细!$AA$2:$AA$50000,"&lt;&gt;设计如此",缺陷明细!$AA$2:$AA$50000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COUNTIFS(缺陷明细!$A$2:$A$50000,$B$4,缺陷明细!$G$2:$G$50000,$C26,缺陷明细!$J$2:$J$50000,"运维测试",缺陷明细!$AA$2:$AA$50000,"&lt;&gt;丢弃",缺陷明细!$AA$2:$AA$50000,"&lt;&gt;设计如此",缺陷明细!$AA$2:$AA$50000,"&lt;&gt;重复Bug")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A$2:$AA$50000,"&lt;&gt;丢弃",缺陷明细!$AA$2:$AA$50000,"&lt;&gt;设计如此",缺陷明细!$AA$2:$AA$50000,"&lt;&gt;重复Bug")+COUNTIFS(缺陷明细!$A$2:$A$50000,$B$4,缺陷明细!$G$2:$G$50000,$C26,缺陷明细!$J$2:$J$50000,"运维测试",缺陷明细!$K$2:$K$50000,"严重",缺陷明细!$AA$2:$AA$50000,"&lt;&gt;丢弃",缺陷明细!$AA$2:$AA$50000,"&lt;&gt;设计如此",缺陷明细!$AA$2:$AA$50000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51"/>
    </row>
    <row r="27" spans="1:37">
      <c r="A27">
        <v>23</v>
      </c>
      <c r="B27" s="57"/>
      <c r="C27" s="58"/>
      <c r="D27" s="84"/>
      <c r="E27" s="82"/>
      <c r="F27" s="165"/>
      <c r="G27" s="166"/>
      <c r="H27" s="305">
        <f>COUNTIFS(缺陷明细!$A$2:$A$50000,$B$4,缺陷明细!$G$2:$G$50000,$C27,缺陷明细!$J$2:$J$50000,"评审",缺陷明细!$AA$2:$AA$50000,"&lt;&gt;丢弃",缺陷明细!$AA$2:$AA$50000,"&lt;&gt;设计如此",缺陷明细!$AA$2:$AA$50000,"&lt;&gt;重复Bug")</f>
        <v>0</v>
      </c>
      <c r="I27" s="161">
        <f>COUNTIFS(缺陷明细!$A$2:$A$50000,$B$4,缺陷明细!$G$2:$G$50000,$C27,缺陷明细!$Q$2:$Q$50000,"已关闭",缺陷明细!$J$2:$J$50000,"评审")</f>
        <v>0</v>
      </c>
      <c r="J27" s="161">
        <f>COUNTIFS(缺陷明细!$A$2:$A$50000,$B$4,缺陷明细!$G$2:$G$50000,$C27,缺陷明细!$J$2:$J$50000,"单元测试",缺陷明细!$AA$2:$AA$50000,"&lt;&gt;丢弃",缺陷明细!$AA$2:$AA$50000,"&lt;&gt;设计如此",缺陷明细!$AA$2:$AA$50000,"&lt;&gt;重复Bug")</f>
        <v>0</v>
      </c>
      <c r="K27" s="162">
        <f>COUNTIFS(缺陷明细!$A$2:$A$50000,$B$4,缺陷明细!$G$2:$G$50000,$C27,缺陷明细!$Q$2:$Q$50000,"已关闭",缺陷明细!$J$2:$J$50000,"单元测试")</f>
        <v>0</v>
      </c>
      <c r="L27" s="163"/>
      <c r="M27" s="164"/>
      <c r="N27" s="72">
        <f>COUNTIFS(缺陷明细!$A$2:$A$50000,$B$4,缺陷明细!$G$2:$G$50000,$C27,缺陷明细!$J$2:$J$50000,"系统测试案例评审",缺陷明细!$AA$2:$AA$50000,"&lt;&gt;丢弃",缺陷明细!$AA$2:$AA$50000,"&lt;&gt;设计如此",缺陷明细!$AA$2:$AA$50000,"&lt;&gt;重复Bug")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COUNTIFS(缺陷明细!$A$2:$A$50000,$B$4,缺陷明细!$G$2:$G$50000,$C27,缺陷明细!$J$2:$J$50000,"系统测试",缺陷明细!$AA$2:$AA$50000,"&lt;&gt;丢弃",缺陷明细!$AA$2:$AA$50000,"&lt;&gt;设计如此",缺陷明细!$AA$2:$AA$50000,"&lt;&gt;重复Bug")</f>
        <v>0</v>
      </c>
      <c r="Q27" s="72">
        <f>COUNTIFS(缺陷明细!$A$2:$A$50000,$B$4,缺陷明细!$G$2:$G$50000,$C27,缺陷明细!$Q$2:$Q$50000,"已关闭",缺陷明细!$J$2:$J$50000,"系统测试")</f>
        <v>0</v>
      </c>
      <c r="R27" s="72">
        <f>COUNTIFS(缺陷明细!$A$2:$A$50000,$B$4,缺陷明细!$G$2:$G$50000,$C27,缺陷明细!$AA$2:$AA$50000,"丢弃",缺陷明细!$J$2:$J$50000,"系统测试")+COUNTIFS(缺陷明细!$A$2:$A$50000,$B$4,缺陷明细!$G$2:$G$50000,$C27,缺陷明细!$AA$2:$AA$50000,"设计如此",缺陷明细!$J$2:$J$50000,"系统测试"+COUNTIFS(缺陷明细!$A$2:$A$50000,$B$4,缺陷明细!$G$2:$G$50000,$C27,缺陷明细!$AA$2:$AA$50000,"重复Bug",缺陷明细!$J$2:$J$50000,"系统测试"))</f>
        <v>0</v>
      </c>
      <c r="S27" s="72">
        <f>COUNTIFS(缺陷明细!$A$2:$A$50000,$B$4,缺陷明细!$G$2:$G$50000,$C27,缺陷明细!$J$2:$J$50000,"系统测试",缺陷明细!$K$2:$K$50000,"致命",缺陷明细!$AA$2:$AA$50000,"&lt;&gt;丢弃",缺陷明细!$AA$2:$AA$50000,"&lt;&gt;设计如此",缺陷明细!$AA$2:$AA$50000,"&lt;&gt;重复Bug")+COUNTIFS(缺陷明细!$A$2:$A$50000,$B$4,缺陷明细!$G$2:$G$50000,$C27,缺陷明细!$J$2:$J$50000,"系统测试",缺陷明细!$K$2:$K$50000,"严重",缺陷明细!$AA$2:$AA$50000,"&lt;&gt;丢弃",缺陷明细!$AA$2:$AA$50000,"&lt;&gt;设计如此",缺陷明细!$AA$2:$AA$50000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COUNTIFS(缺陷明细!$A$2:$A$50000,$B$4,缺陷明细!$G$2:$G$50000,$C27,缺陷明细!$J$2:$J$50000,"验收测试",缺陷明细!$AA$2:$AA$50000,"&lt;&gt;丢弃",缺陷明细!$AA$2:$AA$50000,"&lt;&gt;设计如此",缺陷明细!$AA$2:$AA$50000,"&lt;&gt;重复Bug")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A$2:$AA$50000,"&lt;&gt;丢弃",缺陷明细!$AA$2:$AA$50000,"&lt;&gt;设计如此",缺陷明细!$AA$2:$AA$50000,"&lt;&gt;重复Bug")+COUNTIFS(缺陷明细!$A$2:$A$50000,$B$4,缺陷明细!$G$2:$G$50000,$C27,缺陷明细!$J$2:$J$50000,"验收测试",缺陷明细!$K$2:$K$50000,"严重",缺陷明细!$AA$2:$AA$50000,"&lt;&gt;丢弃",缺陷明细!$AA$2:$AA$50000,"&lt;&gt;设计如此",缺陷明细!$AA$2:$AA$50000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COUNTIFS(缺陷明细!$A$2:$A$50000,$B$4,缺陷明细!$G$2:$G$50000,$C27,缺陷明细!$J$2:$J$50000,"运维测试",缺陷明细!$AA$2:$AA$50000,"&lt;&gt;丢弃",缺陷明细!$AA$2:$AA$50000,"&lt;&gt;设计如此",缺陷明细!$AA$2:$AA$50000,"&lt;&gt;重复Bug")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A$2:$AA$50000,"&lt;&gt;丢弃",缺陷明细!$AA$2:$AA$50000,"&lt;&gt;设计如此",缺陷明细!$AA$2:$AA$50000,"&lt;&gt;重复Bug")+COUNTIFS(缺陷明细!$A$2:$A$50000,$B$4,缺陷明细!$G$2:$G$50000,$C27,缺陷明细!$J$2:$J$50000,"运维测试",缺陷明细!$K$2:$K$50000,"严重",缺陷明细!$AA$2:$AA$50000,"&lt;&gt;丢弃",缺陷明细!$AA$2:$AA$50000,"&lt;&gt;设计如此",缺陷明细!$AA$2:$AA$50000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51"/>
    </row>
    <row r="28" spans="1:37">
      <c r="A28">
        <v>24</v>
      </c>
      <c r="B28" s="57"/>
      <c r="C28" s="58"/>
      <c r="D28" s="84"/>
      <c r="E28" s="82"/>
      <c r="F28" s="165"/>
      <c r="G28" s="166"/>
      <c r="H28" s="305">
        <f>COUNTIFS(缺陷明细!$A$2:$A$50000,$B$4,缺陷明细!$G$2:$G$50000,$C28,缺陷明细!$J$2:$J$50000,"评审",缺陷明细!$AA$2:$AA$50000,"&lt;&gt;丢弃",缺陷明细!$AA$2:$AA$50000,"&lt;&gt;设计如此",缺陷明细!$AA$2:$AA$50000,"&lt;&gt;重复Bug")</f>
        <v>0</v>
      </c>
      <c r="I28" s="161">
        <f>COUNTIFS(缺陷明细!$A$2:$A$50000,$B$4,缺陷明细!$G$2:$G$50000,$C28,缺陷明细!$Q$2:$Q$50000,"已关闭",缺陷明细!$J$2:$J$50000,"评审")</f>
        <v>0</v>
      </c>
      <c r="J28" s="161">
        <f>COUNTIFS(缺陷明细!$A$2:$A$50000,$B$4,缺陷明细!$G$2:$G$50000,$C28,缺陷明细!$J$2:$J$50000,"单元测试",缺陷明细!$AA$2:$AA$50000,"&lt;&gt;丢弃",缺陷明细!$AA$2:$AA$50000,"&lt;&gt;设计如此",缺陷明细!$AA$2:$AA$50000,"&lt;&gt;重复Bug")</f>
        <v>0</v>
      </c>
      <c r="K28" s="162">
        <f>COUNTIFS(缺陷明细!$A$2:$A$50000,$B$4,缺陷明细!$G$2:$G$50000,$C28,缺陷明细!$Q$2:$Q$50000,"已关闭",缺陷明细!$J$2:$J$50000,"单元测试")</f>
        <v>0</v>
      </c>
      <c r="L28" s="163"/>
      <c r="M28" s="164"/>
      <c r="N28" s="72">
        <f>COUNTIFS(缺陷明细!$A$2:$A$50000,$B$4,缺陷明细!$G$2:$G$50000,$C28,缺陷明细!$J$2:$J$50000,"系统测试案例评审",缺陷明细!$AA$2:$AA$50000,"&lt;&gt;丢弃",缺陷明细!$AA$2:$AA$50000,"&lt;&gt;设计如此",缺陷明细!$AA$2:$AA$50000,"&lt;&gt;重复Bug")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COUNTIFS(缺陷明细!$A$2:$A$50000,$B$4,缺陷明细!$G$2:$G$50000,$C28,缺陷明细!$J$2:$J$50000,"系统测试",缺陷明细!$AA$2:$AA$50000,"&lt;&gt;丢弃",缺陷明细!$AA$2:$AA$50000,"&lt;&gt;设计如此",缺陷明细!$AA$2:$AA$50000,"&lt;&gt;重复Bug")</f>
        <v>0</v>
      </c>
      <c r="Q28" s="72">
        <f>COUNTIFS(缺陷明细!$A$2:$A$50000,$B$4,缺陷明细!$G$2:$G$50000,$C28,缺陷明细!$Q$2:$Q$50000,"已关闭",缺陷明细!$J$2:$J$50000,"系统测试")</f>
        <v>0</v>
      </c>
      <c r="R28" s="72">
        <f>COUNTIFS(缺陷明细!$A$2:$A$50000,$B$4,缺陷明细!$G$2:$G$50000,$C28,缺陷明细!$AA$2:$AA$50000,"丢弃",缺陷明细!$J$2:$J$50000,"系统测试")+COUNTIFS(缺陷明细!$A$2:$A$50000,$B$4,缺陷明细!$G$2:$G$50000,$C28,缺陷明细!$AA$2:$AA$50000,"设计如此",缺陷明细!$J$2:$J$50000,"系统测试"+COUNTIFS(缺陷明细!$A$2:$A$50000,$B$4,缺陷明细!$G$2:$G$50000,$C28,缺陷明细!$AA$2:$AA$50000,"重复Bug",缺陷明细!$J$2:$J$50000,"系统测试"))</f>
        <v>0</v>
      </c>
      <c r="S28" s="72">
        <f>COUNTIFS(缺陷明细!$A$2:$A$50000,$B$4,缺陷明细!$G$2:$G$50000,$C28,缺陷明细!$J$2:$J$50000,"系统测试",缺陷明细!$K$2:$K$50000,"致命",缺陷明细!$AA$2:$AA$50000,"&lt;&gt;丢弃",缺陷明细!$AA$2:$AA$50000,"&lt;&gt;设计如此",缺陷明细!$AA$2:$AA$50000,"&lt;&gt;重复Bug")+COUNTIFS(缺陷明细!$A$2:$A$50000,$B$4,缺陷明细!$G$2:$G$50000,$C28,缺陷明细!$J$2:$J$50000,"系统测试",缺陷明细!$K$2:$K$50000,"严重",缺陷明细!$AA$2:$AA$50000,"&lt;&gt;丢弃",缺陷明细!$AA$2:$AA$50000,"&lt;&gt;设计如此",缺陷明细!$AA$2:$AA$50000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COUNTIFS(缺陷明细!$A$2:$A$50000,$B$4,缺陷明细!$G$2:$G$50000,$C28,缺陷明细!$J$2:$J$50000,"验收测试",缺陷明细!$AA$2:$AA$50000,"&lt;&gt;丢弃",缺陷明细!$AA$2:$AA$50000,"&lt;&gt;设计如此",缺陷明细!$AA$2:$AA$50000,"&lt;&gt;重复Bug")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A$2:$AA$50000,"&lt;&gt;丢弃",缺陷明细!$AA$2:$AA$50000,"&lt;&gt;设计如此",缺陷明细!$AA$2:$AA$50000,"&lt;&gt;重复Bug")+COUNTIFS(缺陷明细!$A$2:$A$50000,$B$4,缺陷明细!$G$2:$G$50000,$C28,缺陷明细!$J$2:$J$50000,"验收测试",缺陷明细!$K$2:$K$50000,"严重",缺陷明细!$AA$2:$AA$50000,"&lt;&gt;丢弃",缺陷明细!$AA$2:$AA$50000,"&lt;&gt;设计如此",缺陷明细!$AA$2:$AA$50000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COUNTIFS(缺陷明细!$A$2:$A$50000,$B$4,缺陷明细!$G$2:$G$50000,$C28,缺陷明细!$J$2:$J$50000,"运维测试",缺陷明细!$AA$2:$AA$50000,"&lt;&gt;丢弃",缺陷明细!$AA$2:$AA$50000,"&lt;&gt;设计如此",缺陷明细!$AA$2:$AA$50000,"&lt;&gt;重复Bug")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A$2:$AA$50000,"&lt;&gt;丢弃",缺陷明细!$AA$2:$AA$50000,"&lt;&gt;设计如此",缺陷明细!$AA$2:$AA$50000,"&lt;&gt;重复Bug")+COUNTIFS(缺陷明细!$A$2:$A$50000,$B$4,缺陷明细!$G$2:$G$50000,$C28,缺陷明细!$J$2:$J$50000,"运维测试",缺陷明细!$K$2:$K$50000,"严重",缺陷明细!$AA$2:$AA$50000,"&lt;&gt;丢弃",缺陷明细!$AA$2:$AA$50000,"&lt;&gt;设计如此",缺陷明细!$AA$2:$AA$50000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51"/>
    </row>
    <row r="29" spans="1:37">
      <c r="A29">
        <v>25</v>
      </c>
      <c r="B29" s="57"/>
      <c r="C29" s="58"/>
      <c r="D29" s="84"/>
      <c r="E29" s="82"/>
      <c r="F29" s="165"/>
      <c r="G29" s="166"/>
      <c r="H29" s="305">
        <f>COUNTIFS(缺陷明细!$A$2:$A$50000,$B$4,缺陷明细!$G$2:$G$50000,$C29,缺陷明细!$J$2:$J$50000,"评审",缺陷明细!$AA$2:$AA$50000,"&lt;&gt;丢弃",缺陷明细!$AA$2:$AA$50000,"&lt;&gt;设计如此",缺陷明细!$AA$2:$AA$50000,"&lt;&gt;重复Bug")</f>
        <v>0</v>
      </c>
      <c r="I29" s="161">
        <f>COUNTIFS(缺陷明细!$A$2:$A$50000,$B$4,缺陷明细!$G$2:$G$50000,$C29,缺陷明细!$Q$2:$Q$50000,"已关闭",缺陷明细!$J$2:$J$50000,"评审")</f>
        <v>0</v>
      </c>
      <c r="J29" s="161">
        <f>COUNTIFS(缺陷明细!$A$2:$A$50000,$B$4,缺陷明细!$G$2:$G$50000,$C29,缺陷明细!$J$2:$J$50000,"单元测试",缺陷明细!$AA$2:$AA$50000,"&lt;&gt;丢弃",缺陷明细!$AA$2:$AA$50000,"&lt;&gt;设计如此",缺陷明细!$AA$2:$AA$50000,"&lt;&gt;重复Bug")</f>
        <v>0</v>
      </c>
      <c r="K29" s="162">
        <f>COUNTIFS(缺陷明细!$A$2:$A$50000,$B$4,缺陷明细!$G$2:$G$50000,$C29,缺陷明细!$Q$2:$Q$50000,"已关闭",缺陷明细!$J$2:$J$50000,"单元测试")</f>
        <v>0</v>
      </c>
      <c r="L29" s="163"/>
      <c r="M29" s="164"/>
      <c r="N29" s="72">
        <f>COUNTIFS(缺陷明细!$A$2:$A$50000,$B$4,缺陷明细!$G$2:$G$50000,$C29,缺陷明细!$J$2:$J$50000,"系统测试案例评审",缺陷明细!$AA$2:$AA$50000,"&lt;&gt;丢弃",缺陷明细!$AA$2:$AA$50000,"&lt;&gt;设计如此",缺陷明细!$AA$2:$AA$50000,"&lt;&gt;重复Bug")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COUNTIFS(缺陷明细!$A$2:$A$50000,$B$4,缺陷明细!$G$2:$G$50000,$C29,缺陷明细!$J$2:$J$50000,"系统测试",缺陷明细!$AA$2:$AA$50000,"&lt;&gt;丢弃",缺陷明细!$AA$2:$AA$50000,"&lt;&gt;设计如此",缺陷明细!$AA$2:$AA$50000,"&lt;&gt;重复Bug")</f>
        <v>0</v>
      </c>
      <c r="Q29" s="72">
        <f>COUNTIFS(缺陷明细!$A$2:$A$50000,$B$4,缺陷明细!$G$2:$G$50000,$C29,缺陷明细!$Q$2:$Q$50000,"已关闭",缺陷明细!$J$2:$J$50000,"系统测试")</f>
        <v>0</v>
      </c>
      <c r="R29" s="72">
        <f>COUNTIFS(缺陷明细!$A$2:$A$50000,$B$4,缺陷明细!$G$2:$G$50000,$C29,缺陷明细!$AA$2:$AA$50000,"丢弃",缺陷明细!$J$2:$J$50000,"系统测试")+COUNTIFS(缺陷明细!$A$2:$A$50000,$B$4,缺陷明细!$G$2:$G$50000,$C29,缺陷明细!$AA$2:$AA$50000,"设计如此",缺陷明细!$J$2:$J$50000,"系统测试"+COUNTIFS(缺陷明细!$A$2:$A$50000,$B$4,缺陷明细!$G$2:$G$50000,$C29,缺陷明细!$AA$2:$AA$50000,"重复Bug",缺陷明细!$J$2:$J$50000,"系统测试"))</f>
        <v>0</v>
      </c>
      <c r="S29" s="72">
        <f>COUNTIFS(缺陷明细!$A$2:$A$50000,$B$4,缺陷明细!$G$2:$G$50000,$C29,缺陷明细!$J$2:$J$50000,"系统测试",缺陷明细!$K$2:$K$50000,"致命",缺陷明细!$AA$2:$AA$50000,"&lt;&gt;丢弃",缺陷明细!$AA$2:$AA$50000,"&lt;&gt;设计如此",缺陷明细!$AA$2:$AA$50000,"&lt;&gt;重复Bug")+COUNTIFS(缺陷明细!$A$2:$A$50000,$B$4,缺陷明细!$G$2:$G$50000,$C29,缺陷明细!$J$2:$J$50000,"系统测试",缺陷明细!$K$2:$K$50000,"严重",缺陷明细!$AA$2:$AA$50000,"&lt;&gt;丢弃",缺陷明细!$AA$2:$AA$50000,"&lt;&gt;设计如此",缺陷明细!$AA$2:$AA$50000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COUNTIFS(缺陷明细!$A$2:$A$50000,$B$4,缺陷明细!$G$2:$G$50000,$C29,缺陷明细!$J$2:$J$50000,"验收测试",缺陷明细!$AA$2:$AA$50000,"&lt;&gt;丢弃",缺陷明细!$AA$2:$AA$50000,"&lt;&gt;设计如此",缺陷明细!$AA$2:$AA$50000,"&lt;&gt;重复Bug")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A$2:$AA$50000,"&lt;&gt;丢弃",缺陷明细!$AA$2:$AA$50000,"&lt;&gt;设计如此",缺陷明细!$AA$2:$AA$50000,"&lt;&gt;重复Bug")+COUNTIFS(缺陷明细!$A$2:$A$50000,$B$4,缺陷明细!$G$2:$G$50000,$C29,缺陷明细!$J$2:$J$50000,"验收测试",缺陷明细!$K$2:$K$50000,"严重",缺陷明细!$AA$2:$AA$50000,"&lt;&gt;丢弃",缺陷明细!$AA$2:$AA$50000,"&lt;&gt;设计如此",缺陷明细!$AA$2:$AA$50000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COUNTIFS(缺陷明细!$A$2:$A$50000,$B$4,缺陷明细!$G$2:$G$50000,$C29,缺陷明细!$J$2:$J$50000,"运维测试",缺陷明细!$AA$2:$AA$50000,"&lt;&gt;丢弃",缺陷明细!$AA$2:$AA$50000,"&lt;&gt;设计如此",缺陷明细!$AA$2:$AA$50000,"&lt;&gt;重复Bug")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A$2:$AA$50000,"&lt;&gt;丢弃",缺陷明细!$AA$2:$AA$50000,"&lt;&gt;设计如此",缺陷明细!$AA$2:$AA$50000,"&lt;&gt;重复Bug")+COUNTIFS(缺陷明细!$A$2:$A$50000,$B$4,缺陷明细!$G$2:$G$50000,$C29,缺陷明细!$J$2:$J$50000,"运维测试",缺陷明细!$K$2:$K$50000,"严重",缺陷明细!$AA$2:$AA$50000,"&lt;&gt;丢弃",缺陷明细!$AA$2:$AA$50000,"&lt;&gt;设计如此",缺陷明细!$AA$2:$AA$50000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51"/>
    </row>
    <row r="30" spans="1:37">
      <c r="A30">
        <v>26</v>
      </c>
      <c r="B30" s="57"/>
      <c r="C30" s="58"/>
      <c r="D30" s="84"/>
      <c r="E30" s="82"/>
      <c r="F30" s="165"/>
      <c r="G30" s="166"/>
      <c r="H30" s="305">
        <f>COUNTIFS(缺陷明细!$A$2:$A$50000,$B$4,缺陷明细!$G$2:$G$50000,$C30,缺陷明细!$J$2:$J$50000,"评审",缺陷明细!$AA$2:$AA$50000,"&lt;&gt;丢弃",缺陷明细!$AA$2:$AA$50000,"&lt;&gt;设计如此",缺陷明细!$AA$2:$AA$50000,"&lt;&gt;重复Bug")</f>
        <v>0</v>
      </c>
      <c r="I30" s="161">
        <f>COUNTIFS(缺陷明细!$A$2:$A$50000,$B$4,缺陷明细!$G$2:$G$50000,$C30,缺陷明细!$Q$2:$Q$50000,"已关闭",缺陷明细!$J$2:$J$50000,"评审")</f>
        <v>0</v>
      </c>
      <c r="J30" s="161">
        <f>COUNTIFS(缺陷明细!$A$2:$A$50000,$B$4,缺陷明细!$G$2:$G$50000,$C30,缺陷明细!$J$2:$J$50000,"单元测试",缺陷明细!$AA$2:$AA$50000,"&lt;&gt;丢弃",缺陷明细!$AA$2:$AA$50000,"&lt;&gt;设计如此",缺陷明细!$AA$2:$AA$50000,"&lt;&gt;重复Bug")</f>
        <v>0</v>
      </c>
      <c r="K30" s="162">
        <f>COUNTIFS(缺陷明细!$A$2:$A$50000,$B$4,缺陷明细!$G$2:$G$50000,$C30,缺陷明细!$Q$2:$Q$50000,"已关闭",缺陷明细!$J$2:$J$50000,"单元测试")</f>
        <v>0</v>
      </c>
      <c r="L30" s="163"/>
      <c r="M30" s="164"/>
      <c r="N30" s="72">
        <f>COUNTIFS(缺陷明细!$A$2:$A$50000,$B$4,缺陷明细!$G$2:$G$50000,$C30,缺陷明细!$J$2:$J$50000,"系统测试案例评审",缺陷明细!$AA$2:$AA$50000,"&lt;&gt;丢弃",缺陷明细!$AA$2:$AA$50000,"&lt;&gt;设计如此",缺陷明细!$AA$2:$AA$50000,"&lt;&gt;重复Bug")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COUNTIFS(缺陷明细!$A$2:$A$50000,$B$4,缺陷明细!$G$2:$G$50000,$C30,缺陷明细!$J$2:$J$50000,"系统测试",缺陷明细!$AA$2:$AA$50000,"&lt;&gt;丢弃",缺陷明细!$AA$2:$AA$50000,"&lt;&gt;设计如此",缺陷明细!$AA$2:$AA$50000,"&lt;&gt;重复Bug")</f>
        <v>0</v>
      </c>
      <c r="Q30" s="72">
        <f>COUNTIFS(缺陷明细!$A$2:$A$50000,$B$4,缺陷明细!$G$2:$G$50000,$C30,缺陷明细!$Q$2:$Q$50000,"已关闭",缺陷明细!$J$2:$J$50000,"系统测试")</f>
        <v>0</v>
      </c>
      <c r="R30" s="72">
        <f>COUNTIFS(缺陷明细!$A$2:$A$50000,$B$4,缺陷明细!$G$2:$G$50000,$C30,缺陷明细!$AA$2:$AA$50000,"丢弃",缺陷明细!$J$2:$J$50000,"系统测试")+COUNTIFS(缺陷明细!$A$2:$A$50000,$B$4,缺陷明细!$G$2:$G$50000,$C30,缺陷明细!$AA$2:$AA$50000,"设计如此",缺陷明细!$J$2:$J$50000,"系统测试"+COUNTIFS(缺陷明细!$A$2:$A$50000,$B$4,缺陷明细!$G$2:$G$50000,$C30,缺陷明细!$AA$2:$AA$50000,"重复Bug",缺陷明细!$J$2:$J$50000,"系统测试"))</f>
        <v>0</v>
      </c>
      <c r="S30" s="72">
        <f>COUNTIFS(缺陷明细!$A$2:$A$50000,$B$4,缺陷明细!$G$2:$G$50000,$C30,缺陷明细!$J$2:$J$50000,"系统测试",缺陷明细!$K$2:$K$50000,"致命",缺陷明细!$AA$2:$AA$50000,"&lt;&gt;丢弃",缺陷明细!$AA$2:$AA$50000,"&lt;&gt;设计如此",缺陷明细!$AA$2:$AA$50000,"&lt;&gt;重复Bug")+COUNTIFS(缺陷明细!$A$2:$A$50000,$B$4,缺陷明细!$G$2:$G$50000,$C30,缺陷明细!$J$2:$J$50000,"系统测试",缺陷明细!$K$2:$K$50000,"严重",缺陷明细!$AA$2:$AA$50000,"&lt;&gt;丢弃",缺陷明细!$AA$2:$AA$50000,"&lt;&gt;设计如此",缺陷明细!$AA$2:$AA$50000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COUNTIFS(缺陷明细!$A$2:$A$50000,$B$4,缺陷明细!$G$2:$G$50000,$C30,缺陷明细!$J$2:$J$50000,"验收测试",缺陷明细!$AA$2:$AA$50000,"&lt;&gt;丢弃",缺陷明细!$AA$2:$AA$50000,"&lt;&gt;设计如此",缺陷明细!$AA$2:$AA$50000,"&lt;&gt;重复Bug")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A$2:$AA$50000,"&lt;&gt;丢弃",缺陷明细!$AA$2:$AA$50000,"&lt;&gt;设计如此",缺陷明细!$AA$2:$AA$50000,"&lt;&gt;重复Bug")+COUNTIFS(缺陷明细!$A$2:$A$50000,$B$4,缺陷明细!$G$2:$G$50000,$C30,缺陷明细!$J$2:$J$50000,"验收测试",缺陷明细!$K$2:$K$50000,"严重",缺陷明细!$AA$2:$AA$50000,"&lt;&gt;丢弃",缺陷明细!$AA$2:$AA$50000,"&lt;&gt;设计如此",缺陷明细!$AA$2:$AA$50000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COUNTIFS(缺陷明细!$A$2:$A$50000,$B$4,缺陷明细!$G$2:$G$50000,$C30,缺陷明细!$J$2:$J$50000,"运维测试",缺陷明细!$AA$2:$AA$50000,"&lt;&gt;丢弃",缺陷明细!$AA$2:$AA$50000,"&lt;&gt;设计如此",缺陷明细!$AA$2:$AA$50000,"&lt;&gt;重复Bug")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A$2:$AA$50000,"&lt;&gt;丢弃",缺陷明细!$AA$2:$AA$50000,"&lt;&gt;设计如此",缺陷明细!$AA$2:$AA$50000,"&lt;&gt;重复Bug")+COUNTIFS(缺陷明细!$A$2:$A$50000,$B$4,缺陷明细!$G$2:$G$50000,$C30,缺陷明细!$J$2:$J$50000,"运维测试",缺陷明细!$K$2:$K$50000,"严重",缺陷明细!$AA$2:$AA$50000,"&lt;&gt;丢弃",缺陷明细!$AA$2:$AA$50000,"&lt;&gt;设计如此",缺陷明细!$AA$2:$AA$50000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51"/>
    </row>
    <row r="31" spans="1:37">
      <c r="A31">
        <v>27</v>
      </c>
      <c r="B31" s="57"/>
      <c r="C31" s="58"/>
      <c r="D31" s="84"/>
      <c r="E31" s="82"/>
      <c r="F31" s="165"/>
      <c r="G31" s="166"/>
      <c r="H31" s="305">
        <f>COUNTIFS(缺陷明细!$A$2:$A$50000,$B$4,缺陷明细!$G$2:$G$50000,$C31,缺陷明细!$J$2:$J$50000,"评审",缺陷明细!$AA$2:$AA$50000,"&lt;&gt;丢弃",缺陷明细!$AA$2:$AA$50000,"&lt;&gt;设计如此",缺陷明细!$AA$2:$AA$50000,"&lt;&gt;重复Bug")</f>
        <v>0</v>
      </c>
      <c r="I31" s="161">
        <f>COUNTIFS(缺陷明细!$A$2:$A$50000,$B$4,缺陷明细!$G$2:$G$50000,$C31,缺陷明细!$Q$2:$Q$50000,"已关闭",缺陷明细!$J$2:$J$50000,"评审")</f>
        <v>0</v>
      </c>
      <c r="J31" s="161">
        <f>COUNTIFS(缺陷明细!$A$2:$A$50000,$B$4,缺陷明细!$G$2:$G$50000,$C31,缺陷明细!$J$2:$J$50000,"单元测试",缺陷明细!$AA$2:$AA$50000,"&lt;&gt;丢弃",缺陷明细!$AA$2:$AA$50000,"&lt;&gt;设计如此",缺陷明细!$AA$2:$AA$50000,"&lt;&gt;重复Bug")</f>
        <v>0</v>
      </c>
      <c r="K31" s="162">
        <f>COUNTIFS(缺陷明细!$A$2:$A$50000,$B$4,缺陷明细!$G$2:$G$50000,$C31,缺陷明细!$Q$2:$Q$50000,"已关闭",缺陷明细!$J$2:$J$50000,"单元测试")</f>
        <v>0</v>
      </c>
      <c r="L31" s="163"/>
      <c r="M31" s="164"/>
      <c r="N31" s="72">
        <f>COUNTIFS(缺陷明细!$A$2:$A$50000,$B$4,缺陷明细!$G$2:$G$50000,$C31,缺陷明细!$J$2:$J$50000,"系统测试案例评审",缺陷明细!$AA$2:$AA$50000,"&lt;&gt;丢弃",缺陷明细!$AA$2:$AA$50000,"&lt;&gt;设计如此",缺陷明细!$AA$2:$AA$50000,"&lt;&gt;重复Bug")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COUNTIFS(缺陷明细!$A$2:$A$50000,$B$4,缺陷明细!$G$2:$G$50000,$C31,缺陷明细!$J$2:$J$50000,"系统测试",缺陷明细!$AA$2:$AA$50000,"&lt;&gt;丢弃",缺陷明细!$AA$2:$AA$50000,"&lt;&gt;设计如此",缺陷明细!$AA$2:$AA$50000,"&lt;&gt;重复Bug")</f>
        <v>0</v>
      </c>
      <c r="Q31" s="72">
        <f>COUNTIFS(缺陷明细!$A$2:$A$50000,$B$4,缺陷明细!$G$2:$G$50000,$C31,缺陷明细!$Q$2:$Q$50000,"已关闭",缺陷明细!$J$2:$J$50000,"系统测试")</f>
        <v>0</v>
      </c>
      <c r="R31" s="72">
        <f>COUNTIFS(缺陷明细!$A$2:$A$50000,$B$4,缺陷明细!$G$2:$G$50000,$C31,缺陷明细!$AA$2:$AA$50000,"丢弃",缺陷明细!$J$2:$J$50000,"系统测试")+COUNTIFS(缺陷明细!$A$2:$A$50000,$B$4,缺陷明细!$G$2:$G$50000,$C31,缺陷明细!$AA$2:$AA$50000,"设计如此",缺陷明细!$J$2:$J$50000,"系统测试"+COUNTIFS(缺陷明细!$A$2:$A$50000,$B$4,缺陷明细!$G$2:$G$50000,$C31,缺陷明细!$AA$2:$AA$50000,"重复Bug",缺陷明细!$J$2:$J$50000,"系统测试"))</f>
        <v>0</v>
      </c>
      <c r="S31" s="72">
        <f>COUNTIFS(缺陷明细!$A$2:$A$50000,$B$4,缺陷明细!$G$2:$G$50000,$C31,缺陷明细!$J$2:$J$50000,"系统测试",缺陷明细!$K$2:$K$50000,"致命",缺陷明细!$AA$2:$AA$50000,"&lt;&gt;丢弃",缺陷明细!$AA$2:$AA$50000,"&lt;&gt;设计如此",缺陷明细!$AA$2:$AA$50000,"&lt;&gt;重复Bug")+COUNTIFS(缺陷明细!$A$2:$A$50000,$B$4,缺陷明细!$G$2:$G$50000,$C31,缺陷明细!$J$2:$J$50000,"系统测试",缺陷明细!$K$2:$K$50000,"严重",缺陷明细!$AA$2:$AA$50000,"&lt;&gt;丢弃",缺陷明细!$AA$2:$AA$50000,"&lt;&gt;设计如此",缺陷明细!$AA$2:$AA$50000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COUNTIFS(缺陷明细!$A$2:$A$50000,$B$4,缺陷明细!$G$2:$G$50000,$C31,缺陷明细!$J$2:$J$50000,"验收测试",缺陷明细!$AA$2:$AA$50000,"&lt;&gt;丢弃",缺陷明细!$AA$2:$AA$50000,"&lt;&gt;设计如此",缺陷明细!$AA$2:$AA$50000,"&lt;&gt;重复Bug")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A$2:$AA$50000,"&lt;&gt;丢弃",缺陷明细!$AA$2:$AA$50000,"&lt;&gt;设计如此",缺陷明细!$AA$2:$AA$50000,"&lt;&gt;重复Bug")+COUNTIFS(缺陷明细!$A$2:$A$50000,$B$4,缺陷明细!$G$2:$G$50000,$C31,缺陷明细!$J$2:$J$50000,"验收测试",缺陷明细!$K$2:$K$50000,"严重",缺陷明细!$AA$2:$AA$50000,"&lt;&gt;丢弃",缺陷明细!$AA$2:$AA$50000,"&lt;&gt;设计如此",缺陷明细!$AA$2:$AA$50000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COUNTIFS(缺陷明细!$A$2:$A$50000,$B$4,缺陷明细!$G$2:$G$50000,$C31,缺陷明细!$J$2:$J$50000,"运维测试",缺陷明细!$AA$2:$AA$50000,"&lt;&gt;丢弃",缺陷明细!$AA$2:$AA$50000,"&lt;&gt;设计如此",缺陷明细!$AA$2:$AA$50000,"&lt;&gt;重复Bug")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A$2:$AA$50000,"&lt;&gt;丢弃",缺陷明细!$AA$2:$AA$50000,"&lt;&gt;设计如此",缺陷明细!$AA$2:$AA$50000,"&lt;&gt;重复Bug")+COUNTIFS(缺陷明细!$A$2:$A$50000,$B$4,缺陷明细!$G$2:$G$50000,$C31,缺陷明细!$J$2:$J$50000,"运维测试",缺陷明细!$K$2:$K$50000,"严重",缺陷明细!$AA$2:$AA$50000,"&lt;&gt;丢弃",缺陷明细!$AA$2:$AA$50000,"&lt;&gt;设计如此",缺陷明细!$AA$2:$AA$50000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51"/>
    </row>
    <row r="32" spans="1:37">
      <c r="A32">
        <v>28</v>
      </c>
      <c r="B32" s="57"/>
      <c r="C32" s="58"/>
      <c r="D32" s="84"/>
      <c r="E32" s="82"/>
      <c r="F32" s="165"/>
      <c r="G32" s="166"/>
      <c r="H32" s="305">
        <f>COUNTIFS(缺陷明细!$A$2:$A$50000,$B$4,缺陷明细!$G$2:$G$50000,$C32,缺陷明细!$J$2:$J$50000,"评审",缺陷明细!$AA$2:$AA$50000,"&lt;&gt;丢弃",缺陷明细!$AA$2:$AA$50000,"&lt;&gt;设计如此",缺陷明细!$AA$2:$AA$50000,"&lt;&gt;重复Bug")</f>
        <v>0</v>
      </c>
      <c r="I32" s="161">
        <f>COUNTIFS(缺陷明细!$A$2:$A$50000,$B$4,缺陷明细!$G$2:$G$50000,$C32,缺陷明细!$Q$2:$Q$50000,"已关闭",缺陷明细!$J$2:$J$50000,"评审")</f>
        <v>0</v>
      </c>
      <c r="J32" s="161">
        <f>COUNTIFS(缺陷明细!$A$2:$A$50000,$B$4,缺陷明细!$G$2:$G$50000,$C32,缺陷明细!$J$2:$J$50000,"单元测试",缺陷明细!$AA$2:$AA$50000,"&lt;&gt;丢弃",缺陷明细!$AA$2:$AA$50000,"&lt;&gt;设计如此",缺陷明细!$AA$2:$AA$50000,"&lt;&gt;重复Bug")</f>
        <v>0</v>
      </c>
      <c r="K32" s="162">
        <f>COUNTIFS(缺陷明细!$A$2:$A$50000,$B$4,缺陷明细!$G$2:$G$50000,$C32,缺陷明细!$Q$2:$Q$50000,"已关闭",缺陷明细!$J$2:$J$50000,"单元测试")</f>
        <v>0</v>
      </c>
      <c r="L32" s="163"/>
      <c r="M32" s="164"/>
      <c r="N32" s="72">
        <f>COUNTIFS(缺陷明细!$A$2:$A$50000,$B$4,缺陷明细!$G$2:$G$50000,$C32,缺陷明细!$J$2:$J$50000,"系统测试案例评审",缺陷明细!$AA$2:$AA$50000,"&lt;&gt;丢弃",缺陷明细!$AA$2:$AA$50000,"&lt;&gt;设计如此",缺陷明细!$AA$2:$AA$50000,"&lt;&gt;重复Bug")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COUNTIFS(缺陷明细!$A$2:$A$50000,$B$4,缺陷明细!$G$2:$G$50000,$C32,缺陷明细!$J$2:$J$50000,"系统测试",缺陷明细!$AA$2:$AA$50000,"&lt;&gt;丢弃",缺陷明细!$AA$2:$AA$50000,"&lt;&gt;设计如此",缺陷明细!$AA$2:$AA$50000,"&lt;&gt;重复Bug")</f>
        <v>0</v>
      </c>
      <c r="Q32" s="72">
        <f>COUNTIFS(缺陷明细!$A$2:$A$50000,$B$4,缺陷明细!$G$2:$G$50000,$C32,缺陷明细!$Q$2:$Q$50000,"已关闭",缺陷明细!$J$2:$J$50000,"系统测试")</f>
        <v>0</v>
      </c>
      <c r="R32" s="72">
        <f>COUNTIFS(缺陷明细!$A$2:$A$50000,$B$4,缺陷明细!$G$2:$G$50000,$C32,缺陷明细!$AA$2:$AA$50000,"丢弃",缺陷明细!$J$2:$J$50000,"系统测试")+COUNTIFS(缺陷明细!$A$2:$A$50000,$B$4,缺陷明细!$G$2:$G$50000,$C32,缺陷明细!$AA$2:$AA$50000,"设计如此",缺陷明细!$J$2:$J$50000,"系统测试"+COUNTIFS(缺陷明细!$A$2:$A$50000,$B$4,缺陷明细!$G$2:$G$50000,$C32,缺陷明细!$AA$2:$AA$50000,"重复Bug",缺陷明细!$J$2:$J$50000,"系统测试"))</f>
        <v>0</v>
      </c>
      <c r="S32" s="72">
        <f>COUNTIFS(缺陷明细!$A$2:$A$50000,$B$4,缺陷明细!$G$2:$G$50000,$C32,缺陷明细!$J$2:$J$50000,"系统测试",缺陷明细!$K$2:$K$50000,"致命",缺陷明细!$AA$2:$AA$50000,"&lt;&gt;丢弃",缺陷明细!$AA$2:$AA$50000,"&lt;&gt;设计如此",缺陷明细!$AA$2:$AA$50000,"&lt;&gt;重复Bug")+COUNTIFS(缺陷明细!$A$2:$A$50000,$B$4,缺陷明细!$G$2:$G$50000,$C32,缺陷明细!$J$2:$J$50000,"系统测试",缺陷明细!$K$2:$K$50000,"严重",缺陷明细!$AA$2:$AA$50000,"&lt;&gt;丢弃",缺陷明细!$AA$2:$AA$50000,"&lt;&gt;设计如此",缺陷明细!$AA$2:$AA$50000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COUNTIFS(缺陷明细!$A$2:$A$50000,$B$4,缺陷明细!$G$2:$G$50000,$C32,缺陷明细!$J$2:$J$50000,"验收测试",缺陷明细!$AA$2:$AA$50000,"&lt;&gt;丢弃",缺陷明细!$AA$2:$AA$50000,"&lt;&gt;设计如此",缺陷明细!$AA$2:$AA$50000,"&lt;&gt;重复Bug")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A$2:$AA$50000,"&lt;&gt;丢弃",缺陷明细!$AA$2:$AA$50000,"&lt;&gt;设计如此",缺陷明细!$AA$2:$AA$50000,"&lt;&gt;重复Bug")+COUNTIFS(缺陷明细!$A$2:$A$50000,$B$4,缺陷明细!$G$2:$G$50000,$C32,缺陷明细!$J$2:$J$50000,"验收测试",缺陷明细!$K$2:$K$50000,"严重",缺陷明细!$AA$2:$AA$50000,"&lt;&gt;丢弃",缺陷明细!$AA$2:$AA$50000,"&lt;&gt;设计如此",缺陷明细!$AA$2:$AA$50000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COUNTIFS(缺陷明细!$A$2:$A$50000,$B$4,缺陷明细!$G$2:$G$50000,$C32,缺陷明细!$J$2:$J$50000,"运维测试",缺陷明细!$AA$2:$AA$50000,"&lt;&gt;丢弃",缺陷明细!$AA$2:$AA$50000,"&lt;&gt;设计如此",缺陷明细!$AA$2:$AA$50000,"&lt;&gt;重复Bug")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A$2:$AA$50000,"&lt;&gt;丢弃",缺陷明细!$AA$2:$AA$50000,"&lt;&gt;设计如此",缺陷明细!$AA$2:$AA$50000,"&lt;&gt;重复Bug")+COUNTIFS(缺陷明细!$A$2:$A$50000,$B$4,缺陷明细!$G$2:$G$50000,$C32,缺陷明细!$J$2:$J$50000,"运维测试",缺陷明细!$K$2:$K$50000,"严重",缺陷明细!$AA$2:$AA$50000,"&lt;&gt;丢弃",缺陷明细!$AA$2:$AA$50000,"&lt;&gt;设计如此",缺陷明细!$AA$2:$AA$50000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51"/>
    </row>
    <row r="33" spans="1:37">
      <c r="A33">
        <v>29</v>
      </c>
      <c r="B33" s="57"/>
      <c r="C33" s="58"/>
      <c r="D33" s="84"/>
      <c r="E33" s="82"/>
      <c r="F33" s="165"/>
      <c r="G33" s="166"/>
      <c r="H33" s="305">
        <f>COUNTIFS(缺陷明细!$A$2:$A$50000,$B$4,缺陷明细!$G$2:$G$50000,$C33,缺陷明细!$J$2:$J$50000,"评审",缺陷明细!$AA$2:$AA$50000,"&lt;&gt;丢弃",缺陷明细!$AA$2:$AA$50000,"&lt;&gt;设计如此",缺陷明细!$AA$2:$AA$50000,"&lt;&gt;重复Bug")</f>
        <v>0</v>
      </c>
      <c r="I33" s="161">
        <f>COUNTIFS(缺陷明细!$A$2:$A$50000,$B$4,缺陷明细!$G$2:$G$50000,$C33,缺陷明细!$Q$2:$Q$50000,"已关闭",缺陷明细!$J$2:$J$50000,"评审")</f>
        <v>0</v>
      </c>
      <c r="J33" s="161">
        <f>COUNTIFS(缺陷明细!$A$2:$A$50000,$B$4,缺陷明细!$G$2:$G$50000,$C33,缺陷明细!$J$2:$J$50000,"单元测试",缺陷明细!$AA$2:$AA$50000,"&lt;&gt;丢弃",缺陷明细!$AA$2:$AA$50000,"&lt;&gt;设计如此",缺陷明细!$AA$2:$AA$50000,"&lt;&gt;重复Bug")</f>
        <v>0</v>
      </c>
      <c r="K33" s="162">
        <f>COUNTIFS(缺陷明细!$A$2:$A$50000,$B$4,缺陷明细!$G$2:$G$50000,$C33,缺陷明细!$Q$2:$Q$50000,"已关闭",缺陷明细!$J$2:$J$50000,"单元测试")</f>
        <v>0</v>
      </c>
      <c r="L33" s="163"/>
      <c r="M33" s="164"/>
      <c r="N33" s="72">
        <f>COUNTIFS(缺陷明细!$A$2:$A$50000,$B$4,缺陷明细!$G$2:$G$50000,$C33,缺陷明细!$J$2:$J$50000,"系统测试案例评审",缺陷明细!$AA$2:$AA$50000,"&lt;&gt;丢弃",缺陷明细!$AA$2:$AA$50000,"&lt;&gt;设计如此",缺陷明细!$AA$2:$AA$50000,"&lt;&gt;重复Bug")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COUNTIFS(缺陷明细!$A$2:$A$50000,$B$4,缺陷明细!$G$2:$G$50000,$C33,缺陷明细!$J$2:$J$50000,"系统测试",缺陷明细!$AA$2:$AA$50000,"&lt;&gt;丢弃",缺陷明细!$AA$2:$AA$50000,"&lt;&gt;设计如此",缺陷明细!$AA$2:$AA$50000,"&lt;&gt;重复Bug")</f>
        <v>0</v>
      </c>
      <c r="Q33" s="72">
        <f>COUNTIFS(缺陷明细!$A$2:$A$50000,$B$4,缺陷明细!$G$2:$G$50000,$C33,缺陷明细!$Q$2:$Q$50000,"已关闭",缺陷明细!$J$2:$J$50000,"系统测试")</f>
        <v>0</v>
      </c>
      <c r="R33" s="72">
        <f>COUNTIFS(缺陷明细!$A$2:$A$50000,$B$4,缺陷明细!$G$2:$G$50000,$C33,缺陷明细!$AA$2:$AA$50000,"丢弃",缺陷明细!$J$2:$J$50000,"系统测试")+COUNTIFS(缺陷明细!$A$2:$A$50000,$B$4,缺陷明细!$G$2:$G$50000,$C33,缺陷明细!$AA$2:$AA$50000,"设计如此",缺陷明细!$J$2:$J$50000,"系统测试"+COUNTIFS(缺陷明细!$A$2:$A$50000,$B$4,缺陷明细!$G$2:$G$50000,$C33,缺陷明细!$AA$2:$AA$50000,"重复Bug",缺陷明细!$J$2:$J$50000,"系统测试"))</f>
        <v>0</v>
      </c>
      <c r="S33" s="72">
        <f>COUNTIFS(缺陷明细!$A$2:$A$50000,$B$4,缺陷明细!$G$2:$G$50000,$C33,缺陷明细!$J$2:$J$50000,"系统测试",缺陷明细!$K$2:$K$50000,"致命",缺陷明细!$AA$2:$AA$50000,"&lt;&gt;丢弃",缺陷明细!$AA$2:$AA$50000,"&lt;&gt;设计如此",缺陷明细!$AA$2:$AA$50000,"&lt;&gt;重复Bug")+COUNTIFS(缺陷明细!$A$2:$A$50000,$B$4,缺陷明细!$G$2:$G$50000,$C33,缺陷明细!$J$2:$J$50000,"系统测试",缺陷明细!$K$2:$K$50000,"严重",缺陷明细!$AA$2:$AA$50000,"&lt;&gt;丢弃",缺陷明细!$AA$2:$AA$50000,"&lt;&gt;设计如此",缺陷明细!$AA$2:$AA$50000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COUNTIFS(缺陷明细!$A$2:$A$50000,$B$4,缺陷明细!$G$2:$G$50000,$C33,缺陷明细!$J$2:$J$50000,"验收测试",缺陷明细!$AA$2:$AA$50000,"&lt;&gt;丢弃",缺陷明细!$AA$2:$AA$50000,"&lt;&gt;设计如此",缺陷明细!$AA$2:$AA$50000,"&lt;&gt;重复Bug")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A$2:$AA$50000,"&lt;&gt;丢弃",缺陷明细!$AA$2:$AA$50000,"&lt;&gt;设计如此",缺陷明细!$AA$2:$AA$50000,"&lt;&gt;重复Bug")+COUNTIFS(缺陷明细!$A$2:$A$50000,$B$4,缺陷明细!$G$2:$G$50000,$C33,缺陷明细!$J$2:$J$50000,"验收测试",缺陷明细!$K$2:$K$50000,"严重",缺陷明细!$AA$2:$AA$50000,"&lt;&gt;丢弃",缺陷明细!$AA$2:$AA$50000,"&lt;&gt;设计如此",缺陷明细!$AA$2:$AA$50000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COUNTIFS(缺陷明细!$A$2:$A$50000,$B$4,缺陷明细!$G$2:$G$50000,$C33,缺陷明细!$J$2:$J$50000,"运维测试",缺陷明细!$AA$2:$AA$50000,"&lt;&gt;丢弃",缺陷明细!$AA$2:$AA$50000,"&lt;&gt;设计如此",缺陷明细!$AA$2:$AA$50000,"&lt;&gt;重复Bug")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A$2:$AA$50000,"&lt;&gt;丢弃",缺陷明细!$AA$2:$AA$50000,"&lt;&gt;设计如此",缺陷明细!$AA$2:$AA$50000,"&lt;&gt;重复Bug")+COUNTIFS(缺陷明细!$A$2:$A$50000,$B$4,缺陷明细!$G$2:$G$50000,$C33,缺陷明细!$J$2:$J$50000,"运维测试",缺陷明细!$K$2:$K$50000,"严重",缺陷明细!$AA$2:$AA$50000,"&lt;&gt;丢弃",缺陷明细!$AA$2:$AA$50000,"&lt;&gt;设计如此",缺陷明细!$AA$2:$AA$50000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51"/>
    </row>
    <row r="34" spans="1:37">
      <c r="A34">
        <v>30</v>
      </c>
      <c r="B34" s="57"/>
      <c r="C34" s="58"/>
      <c r="D34" s="84"/>
      <c r="E34" s="82"/>
      <c r="F34" s="165"/>
      <c r="G34" s="166"/>
      <c r="H34" s="305">
        <f>COUNTIFS(缺陷明细!$A$2:$A$50000,$B$4,缺陷明细!$G$2:$G$50000,$C34,缺陷明细!$J$2:$J$50000,"评审",缺陷明细!$AA$2:$AA$50000,"&lt;&gt;丢弃",缺陷明细!$AA$2:$AA$50000,"&lt;&gt;设计如此",缺陷明细!$AA$2:$AA$50000,"&lt;&gt;重复Bug")</f>
        <v>0</v>
      </c>
      <c r="I34" s="161">
        <f>COUNTIFS(缺陷明细!$A$2:$A$50000,$B$4,缺陷明细!$G$2:$G$50000,$C34,缺陷明细!$Q$2:$Q$50000,"已关闭",缺陷明细!$J$2:$J$50000,"评审")</f>
        <v>0</v>
      </c>
      <c r="J34" s="161">
        <f>COUNTIFS(缺陷明细!$A$2:$A$50000,$B$4,缺陷明细!$G$2:$G$50000,$C34,缺陷明细!$J$2:$J$50000,"单元测试",缺陷明细!$AA$2:$AA$50000,"&lt;&gt;丢弃",缺陷明细!$AA$2:$AA$50000,"&lt;&gt;设计如此",缺陷明细!$AA$2:$AA$50000,"&lt;&gt;重复Bug")</f>
        <v>0</v>
      </c>
      <c r="K34" s="162">
        <f>COUNTIFS(缺陷明细!$A$2:$A$50000,$B$4,缺陷明细!$G$2:$G$50000,$C34,缺陷明细!$Q$2:$Q$50000,"已关闭",缺陷明细!$J$2:$J$50000,"单元测试")</f>
        <v>0</v>
      </c>
      <c r="L34" s="163"/>
      <c r="M34" s="164"/>
      <c r="N34" s="72">
        <f>COUNTIFS(缺陷明细!$A$2:$A$50000,$B$4,缺陷明细!$G$2:$G$50000,$C34,缺陷明细!$J$2:$J$50000,"系统测试案例评审",缺陷明细!$AA$2:$AA$50000,"&lt;&gt;丢弃",缺陷明细!$AA$2:$AA$50000,"&lt;&gt;设计如此",缺陷明细!$AA$2:$AA$50000,"&lt;&gt;重复Bug")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COUNTIFS(缺陷明细!$A$2:$A$50000,$B$4,缺陷明细!$G$2:$G$50000,$C34,缺陷明细!$J$2:$J$50000,"系统测试",缺陷明细!$AA$2:$AA$50000,"&lt;&gt;丢弃",缺陷明细!$AA$2:$AA$50000,"&lt;&gt;设计如此",缺陷明细!$AA$2:$AA$50000,"&lt;&gt;重复Bug")</f>
        <v>0</v>
      </c>
      <c r="Q34" s="72">
        <f>COUNTIFS(缺陷明细!$A$2:$A$50000,$B$4,缺陷明细!$G$2:$G$50000,$C34,缺陷明细!$Q$2:$Q$50000,"已关闭",缺陷明细!$J$2:$J$50000,"系统测试")</f>
        <v>0</v>
      </c>
      <c r="R34" s="72">
        <f>COUNTIFS(缺陷明细!$A$2:$A$50000,$B$4,缺陷明细!$G$2:$G$50000,$C34,缺陷明细!$AA$2:$AA$50000,"丢弃",缺陷明细!$J$2:$J$50000,"系统测试")+COUNTIFS(缺陷明细!$A$2:$A$50000,$B$4,缺陷明细!$G$2:$G$50000,$C34,缺陷明细!$AA$2:$AA$50000,"设计如此",缺陷明细!$J$2:$J$50000,"系统测试"+COUNTIFS(缺陷明细!$A$2:$A$50000,$B$4,缺陷明细!$G$2:$G$50000,$C34,缺陷明细!$AA$2:$AA$50000,"重复Bug",缺陷明细!$J$2:$J$50000,"系统测试"))</f>
        <v>0</v>
      </c>
      <c r="S34" s="72">
        <f>COUNTIFS(缺陷明细!$A$2:$A$50000,$B$4,缺陷明细!$G$2:$G$50000,$C34,缺陷明细!$J$2:$J$50000,"系统测试",缺陷明细!$K$2:$K$50000,"致命",缺陷明细!$AA$2:$AA$50000,"&lt;&gt;丢弃",缺陷明细!$AA$2:$AA$50000,"&lt;&gt;设计如此",缺陷明细!$AA$2:$AA$50000,"&lt;&gt;重复Bug")+COUNTIFS(缺陷明细!$A$2:$A$50000,$B$4,缺陷明细!$G$2:$G$50000,$C34,缺陷明细!$J$2:$J$50000,"系统测试",缺陷明细!$K$2:$K$50000,"严重",缺陷明细!$AA$2:$AA$50000,"&lt;&gt;丢弃",缺陷明细!$AA$2:$AA$50000,"&lt;&gt;设计如此",缺陷明细!$AA$2:$AA$50000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COUNTIFS(缺陷明细!$A$2:$A$50000,$B$4,缺陷明细!$G$2:$G$50000,$C34,缺陷明细!$J$2:$J$50000,"验收测试",缺陷明细!$AA$2:$AA$50000,"&lt;&gt;丢弃",缺陷明细!$AA$2:$AA$50000,"&lt;&gt;设计如此",缺陷明细!$AA$2:$AA$50000,"&lt;&gt;重复Bug")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A$2:$AA$50000,"&lt;&gt;丢弃",缺陷明细!$AA$2:$AA$50000,"&lt;&gt;设计如此",缺陷明细!$AA$2:$AA$50000,"&lt;&gt;重复Bug")+COUNTIFS(缺陷明细!$A$2:$A$50000,$B$4,缺陷明细!$G$2:$G$50000,$C34,缺陷明细!$J$2:$J$50000,"验收测试",缺陷明细!$K$2:$K$50000,"严重",缺陷明细!$AA$2:$AA$50000,"&lt;&gt;丢弃",缺陷明细!$AA$2:$AA$50000,"&lt;&gt;设计如此",缺陷明细!$AA$2:$AA$50000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COUNTIFS(缺陷明细!$A$2:$A$50000,$B$4,缺陷明细!$G$2:$G$50000,$C34,缺陷明细!$J$2:$J$50000,"运维测试",缺陷明细!$AA$2:$AA$50000,"&lt;&gt;丢弃",缺陷明细!$AA$2:$AA$50000,"&lt;&gt;设计如此",缺陷明细!$AA$2:$AA$50000,"&lt;&gt;重复Bug")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A$2:$AA$50000,"&lt;&gt;丢弃",缺陷明细!$AA$2:$AA$50000,"&lt;&gt;设计如此",缺陷明细!$AA$2:$AA$50000,"&lt;&gt;重复Bug")+COUNTIFS(缺陷明细!$A$2:$A$50000,$B$4,缺陷明细!$G$2:$G$50000,$C34,缺陷明细!$J$2:$J$50000,"运维测试",缺陷明细!$K$2:$K$50000,"严重",缺陷明细!$AA$2:$AA$50000,"&lt;&gt;丢弃",缺陷明细!$AA$2:$AA$50000,"&lt;&gt;设计如此",缺陷明细!$AA$2:$AA$50000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51"/>
    </row>
    <row r="35" spans="1:37">
      <c r="A35">
        <v>31</v>
      </c>
      <c r="B35" s="57"/>
      <c r="C35" s="58"/>
      <c r="D35" s="84"/>
      <c r="E35" s="82"/>
      <c r="F35" s="165"/>
      <c r="G35" s="166"/>
      <c r="H35" s="305">
        <f>COUNTIFS(缺陷明细!$A$2:$A$50000,$B$4,缺陷明细!$G$2:$G$50000,$C35,缺陷明细!$J$2:$J$50000,"评审",缺陷明细!$AA$2:$AA$50000,"&lt;&gt;丢弃",缺陷明细!$AA$2:$AA$50000,"&lt;&gt;设计如此",缺陷明细!$AA$2:$AA$50000,"&lt;&gt;重复Bug")</f>
        <v>0</v>
      </c>
      <c r="I35" s="161">
        <f>COUNTIFS(缺陷明细!$A$2:$A$50000,$B$4,缺陷明细!$G$2:$G$50000,$C35,缺陷明细!$Q$2:$Q$50000,"已关闭",缺陷明细!$J$2:$J$50000,"评审")</f>
        <v>0</v>
      </c>
      <c r="J35" s="161">
        <f>COUNTIFS(缺陷明细!$A$2:$A$50000,$B$4,缺陷明细!$G$2:$G$50000,$C35,缺陷明细!$J$2:$J$50000,"单元测试",缺陷明细!$AA$2:$AA$50000,"&lt;&gt;丢弃",缺陷明细!$AA$2:$AA$50000,"&lt;&gt;设计如此",缺陷明细!$AA$2:$AA$50000,"&lt;&gt;重复Bug")</f>
        <v>0</v>
      </c>
      <c r="K35" s="162">
        <f>COUNTIFS(缺陷明细!$A$2:$A$50000,$B$4,缺陷明细!$G$2:$G$50000,$C35,缺陷明细!$Q$2:$Q$50000,"已关闭",缺陷明细!$J$2:$J$50000,"单元测试")</f>
        <v>0</v>
      </c>
      <c r="L35" s="163"/>
      <c r="M35" s="164"/>
      <c r="N35" s="72">
        <f>COUNTIFS(缺陷明细!$A$2:$A$50000,$B$4,缺陷明细!$G$2:$G$50000,$C35,缺陷明细!$J$2:$J$50000,"系统测试案例评审",缺陷明细!$AA$2:$AA$50000,"&lt;&gt;丢弃",缺陷明细!$AA$2:$AA$50000,"&lt;&gt;设计如此",缺陷明细!$AA$2:$AA$50000,"&lt;&gt;重复Bug")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COUNTIFS(缺陷明细!$A$2:$A$50000,$B$4,缺陷明细!$G$2:$G$50000,$C35,缺陷明细!$J$2:$J$50000,"系统测试",缺陷明细!$AA$2:$AA$50000,"&lt;&gt;丢弃",缺陷明细!$AA$2:$AA$50000,"&lt;&gt;设计如此",缺陷明细!$AA$2:$AA$50000,"&lt;&gt;重复Bug")</f>
        <v>0</v>
      </c>
      <c r="Q35" s="72">
        <f>COUNTIFS(缺陷明细!$A$2:$A$50000,$B$4,缺陷明细!$G$2:$G$50000,$C35,缺陷明细!$Q$2:$Q$50000,"已关闭",缺陷明细!$J$2:$J$50000,"系统测试")</f>
        <v>0</v>
      </c>
      <c r="R35" s="72">
        <f>COUNTIFS(缺陷明细!$A$2:$A$50000,$B$4,缺陷明细!$G$2:$G$50000,$C35,缺陷明细!$AA$2:$AA$50000,"丢弃",缺陷明细!$J$2:$J$50000,"系统测试")+COUNTIFS(缺陷明细!$A$2:$A$50000,$B$4,缺陷明细!$G$2:$G$50000,$C35,缺陷明细!$AA$2:$AA$50000,"设计如此",缺陷明细!$J$2:$J$50000,"系统测试"+COUNTIFS(缺陷明细!$A$2:$A$50000,$B$4,缺陷明细!$G$2:$G$50000,$C35,缺陷明细!$AA$2:$AA$50000,"重复Bug",缺陷明细!$J$2:$J$50000,"系统测试"))</f>
        <v>0</v>
      </c>
      <c r="S35" s="72">
        <f>COUNTIFS(缺陷明细!$A$2:$A$50000,$B$4,缺陷明细!$G$2:$G$50000,$C35,缺陷明细!$J$2:$J$50000,"系统测试",缺陷明细!$K$2:$K$50000,"致命",缺陷明细!$AA$2:$AA$50000,"&lt;&gt;丢弃",缺陷明细!$AA$2:$AA$50000,"&lt;&gt;设计如此",缺陷明细!$AA$2:$AA$50000,"&lt;&gt;重复Bug")+COUNTIFS(缺陷明细!$A$2:$A$50000,$B$4,缺陷明细!$G$2:$G$50000,$C35,缺陷明细!$J$2:$J$50000,"系统测试",缺陷明细!$K$2:$K$50000,"严重",缺陷明细!$AA$2:$AA$50000,"&lt;&gt;丢弃",缺陷明细!$AA$2:$AA$50000,"&lt;&gt;设计如此",缺陷明细!$AA$2:$AA$50000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COUNTIFS(缺陷明细!$A$2:$A$50000,$B$4,缺陷明细!$G$2:$G$50000,$C35,缺陷明细!$J$2:$J$50000,"验收测试",缺陷明细!$AA$2:$AA$50000,"&lt;&gt;丢弃",缺陷明细!$AA$2:$AA$50000,"&lt;&gt;设计如此",缺陷明细!$AA$2:$AA$50000,"&lt;&gt;重复Bug")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A$2:$AA$50000,"&lt;&gt;丢弃",缺陷明细!$AA$2:$AA$50000,"&lt;&gt;设计如此",缺陷明细!$AA$2:$AA$50000,"&lt;&gt;重复Bug")+COUNTIFS(缺陷明细!$A$2:$A$50000,$B$4,缺陷明细!$G$2:$G$50000,$C35,缺陷明细!$J$2:$J$50000,"验收测试",缺陷明细!$K$2:$K$50000,"严重",缺陷明细!$AA$2:$AA$50000,"&lt;&gt;丢弃",缺陷明细!$AA$2:$AA$50000,"&lt;&gt;设计如此",缺陷明细!$AA$2:$AA$50000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COUNTIFS(缺陷明细!$A$2:$A$50000,$B$4,缺陷明细!$G$2:$G$50000,$C35,缺陷明细!$J$2:$J$50000,"运维测试",缺陷明细!$AA$2:$AA$50000,"&lt;&gt;丢弃",缺陷明细!$AA$2:$AA$50000,"&lt;&gt;设计如此",缺陷明细!$AA$2:$AA$50000,"&lt;&gt;重复Bug")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A$2:$AA$50000,"&lt;&gt;丢弃",缺陷明细!$AA$2:$AA$50000,"&lt;&gt;设计如此",缺陷明细!$AA$2:$AA$50000,"&lt;&gt;重复Bug")+COUNTIFS(缺陷明细!$A$2:$A$50000,$B$4,缺陷明细!$G$2:$G$50000,$C35,缺陷明细!$J$2:$J$50000,"运维测试",缺陷明细!$K$2:$K$50000,"严重",缺陷明细!$AA$2:$AA$50000,"&lt;&gt;丢弃",缺陷明细!$AA$2:$AA$50000,"&lt;&gt;设计如此",缺陷明细!$AA$2:$AA$50000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51"/>
    </row>
    <row r="36" spans="1:37">
      <c r="A36">
        <v>32</v>
      </c>
      <c r="B36" s="57"/>
      <c r="C36" s="58"/>
      <c r="D36" s="84"/>
      <c r="E36" s="82"/>
      <c r="F36" s="165"/>
      <c r="G36" s="166"/>
      <c r="H36" s="305">
        <f>COUNTIFS(缺陷明细!$A$2:$A$50000,$B$4,缺陷明细!$G$2:$G$50000,$C36,缺陷明细!$J$2:$J$50000,"评审",缺陷明细!$AA$2:$AA$50000,"&lt;&gt;丢弃",缺陷明细!$AA$2:$AA$50000,"&lt;&gt;设计如此",缺陷明细!$AA$2:$AA$50000,"&lt;&gt;重复Bug")</f>
        <v>0</v>
      </c>
      <c r="I36" s="161">
        <f>COUNTIFS(缺陷明细!$A$2:$A$50000,$B$4,缺陷明细!$G$2:$G$50000,$C36,缺陷明细!$Q$2:$Q$50000,"已关闭",缺陷明细!$J$2:$J$50000,"评审")</f>
        <v>0</v>
      </c>
      <c r="J36" s="161">
        <f>COUNTIFS(缺陷明细!$A$2:$A$50000,$B$4,缺陷明细!$G$2:$G$50000,$C36,缺陷明细!$J$2:$J$50000,"单元测试",缺陷明细!$AA$2:$AA$50000,"&lt;&gt;丢弃",缺陷明细!$AA$2:$AA$50000,"&lt;&gt;设计如此",缺陷明细!$AA$2:$AA$50000,"&lt;&gt;重复Bug")</f>
        <v>0</v>
      </c>
      <c r="K36" s="162">
        <f>COUNTIFS(缺陷明细!$A$2:$A$50000,$B$4,缺陷明细!$G$2:$G$50000,$C36,缺陷明细!$Q$2:$Q$50000,"已关闭",缺陷明细!$J$2:$J$50000,"单元测试")</f>
        <v>0</v>
      </c>
      <c r="L36" s="163"/>
      <c r="M36" s="164"/>
      <c r="N36" s="72">
        <f>COUNTIFS(缺陷明细!$A$2:$A$50000,$B$4,缺陷明细!$G$2:$G$50000,$C36,缺陷明细!$J$2:$J$50000,"系统测试案例评审",缺陷明细!$AA$2:$AA$50000,"&lt;&gt;丢弃",缺陷明细!$AA$2:$AA$50000,"&lt;&gt;设计如此",缺陷明细!$AA$2:$AA$50000,"&lt;&gt;重复Bug")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COUNTIFS(缺陷明细!$A$2:$A$50000,$B$4,缺陷明细!$G$2:$G$50000,$C36,缺陷明细!$J$2:$J$50000,"系统测试",缺陷明细!$AA$2:$AA$50000,"&lt;&gt;丢弃",缺陷明细!$AA$2:$AA$50000,"&lt;&gt;设计如此",缺陷明细!$AA$2:$AA$50000,"&lt;&gt;重复Bug")</f>
        <v>0</v>
      </c>
      <c r="Q36" s="72">
        <f>COUNTIFS(缺陷明细!$A$2:$A$50000,$B$4,缺陷明细!$G$2:$G$50000,$C36,缺陷明细!$Q$2:$Q$50000,"已关闭",缺陷明细!$J$2:$J$50000,"系统测试")</f>
        <v>0</v>
      </c>
      <c r="R36" s="72">
        <f>COUNTIFS(缺陷明细!$A$2:$A$50000,$B$4,缺陷明细!$G$2:$G$50000,$C36,缺陷明细!$AA$2:$AA$50000,"丢弃",缺陷明细!$J$2:$J$50000,"系统测试")+COUNTIFS(缺陷明细!$A$2:$A$50000,$B$4,缺陷明细!$G$2:$G$50000,$C36,缺陷明细!$AA$2:$AA$50000,"设计如此",缺陷明细!$J$2:$J$50000,"系统测试"+COUNTIFS(缺陷明细!$A$2:$A$50000,$B$4,缺陷明细!$G$2:$G$50000,$C36,缺陷明细!$AA$2:$AA$50000,"重复Bug",缺陷明细!$J$2:$J$50000,"系统测试"))</f>
        <v>0</v>
      </c>
      <c r="S36" s="72">
        <f>COUNTIFS(缺陷明细!$A$2:$A$50000,$B$4,缺陷明细!$G$2:$G$50000,$C36,缺陷明细!$J$2:$J$50000,"系统测试",缺陷明细!$K$2:$K$50000,"致命",缺陷明细!$AA$2:$AA$50000,"&lt;&gt;丢弃",缺陷明细!$AA$2:$AA$50000,"&lt;&gt;设计如此",缺陷明细!$AA$2:$AA$50000,"&lt;&gt;重复Bug")+COUNTIFS(缺陷明细!$A$2:$A$50000,$B$4,缺陷明细!$G$2:$G$50000,$C36,缺陷明细!$J$2:$J$50000,"系统测试",缺陷明细!$K$2:$K$50000,"严重",缺陷明细!$AA$2:$AA$50000,"&lt;&gt;丢弃",缺陷明细!$AA$2:$AA$50000,"&lt;&gt;设计如此",缺陷明细!$AA$2:$AA$50000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COUNTIFS(缺陷明细!$A$2:$A$50000,$B$4,缺陷明细!$G$2:$G$50000,$C36,缺陷明细!$J$2:$J$50000,"验收测试",缺陷明细!$AA$2:$AA$50000,"&lt;&gt;丢弃",缺陷明细!$AA$2:$AA$50000,"&lt;&gt;设计如此",缺陷明细!$AA$2:$AA$50000,"&lt;&gt;重复Bug")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A$2:$AA$50000,"&lt;&gt;丢弃",缺陷明细!$AA$2:$AA$50000,"&lt;&gt;设计如此",缺陷明细!$AA$2:$AA$50000,"&lt;&gt;重复Bug")+COUNTIFS(缺陷明细!$A$2:$A$50000,$B$4,缺陷明细!$G$2:$G$50000,$C36,缺陷明细!$J$2:$J$50000,"验收测试",缺陷明细!$K$2:$K$50000,"严重",缺陷明细!$AA$2:$AA$50000,"&lt;&gt;丢弃",缺陷明细!$AA$2:$AA$50000,"&lt;&gt;设计如此",缺陷明细!$AA$2:$AA$50000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COUNTIFS(缺陷明细!$A$2:$A$50000,$B$4,缺陷明细!$G$2:$G$50000,$C36,缺陷明细!$J$2:$J$50000,"运维测试",缺陷明细!$AA$2:$AA$50000,"&lt;&gt;丢弃",缺陷明细!$AA$2:$AA$50000,"&lt;&gt;设计如此",缺陷明细!$AA$2:$AA$50000,"&lt;&gt;重复Bug")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A$2:$AA$50000,"&lt;&gt;丢弃",缺陷明细!$AA$2:$AA$50000,"&lt;&gt;设计如此",缺陷明细!$AA$2:$AA$50000,"&lt;&gt;重复Bug")+COUNTIFS(缺陷明细!$A$2:$A$50000,$B$4,缺陷明细!$G$2:$G$50000,$C36,缺陷明细!$J$2:$J$50000,"运维测试",缺陷明细!$K$2:$K$50000,"严重",缺陷明细!$AA$2:$AA$50000,"&lt;&gt;丢弃",缺陷明细!$AA$2:$AA$50000,"&lt;&gt;设计如此",缺陷明细!$AA$2:$AA$50000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51"/>
    </row>
    <row r="37" spans="1:37">
      <c r="A37">
        <v>33</v>
      </c>
      <c r="B37" s="57"/>
      <c r="C37" s="58"/>
      <c r="D37" s="84"/>
      <c r="E37" s="82"/>
      <c r="F37" s="165"/>
      <c r="G37" s="166"/>
      <c r="H37" s="305">
        <f>COUNTIFS(缺陷明细!$A$2:$A$50000,$B$4,缺陷明细!$G$2:$G$50000,$C37,缺陷明细!$J$2:$J$50000,"评审",缺陷明细!$AA$2:$AA$50000,"&lt;&gt;丢弃",缺陷明细!$AA$2:$AA$50000,"&lt;&gt;设计如此",缺陷明细!$AA$2:$AA$50000,"&lt;&gt;重复Bug")</f>
        <v>0</v>
      </c>
      <c r="I37" s="161">
        <f>COUNTIFS(缺陷明细!$A$2:$A$50000,$B$4,缺陷明细!$G$2:$G$50000,$C37,缺陷明细!$Q$2:$Q$50000,"已关闭",缺陷明细!$J$2:$J$50000,"评审")</f>
        <v>0</v>
      </c>
      <c r="J37" s="161">
        <f>COUNTIFS(缺陷明细!$A$2:$A$50000,$B$4,缺陷明细!$G$2:$G$50000,$C37,缺陷明细!$J$2:$J$50000,"单元测试",缺陷明细!$AA$2:$AA$50000,"&lt;&gt;丢弃",缺陷明细!$AA$2:$AA$50000,"&lt;&gt;设计如此",缺陷明细!$AA$2:$AA$50000,"&lt;&gt;重复Bug")</f>
        <v>0</v>
      </c>
      <c r="K37" s="162">
        <f>COUNTIFS(缺陷明细!$A$2:$A$50000,$B$4,缺陷明细!$G$2:$G$50000,$C37,缺陷明细!$Q$2:$Q$50000,"已关闭",缺陷明细!$J$2:$J$50000,"单元测试")</f>
        <v>0</v>
      </c>
      <c r="L37" s="163"/>
      <c r="M37" s="164"/>
      <c r="N37" s="72">
        <f>COUNTIFS(缺陷明细!$A$2:$A$50000,$B$4,缺陷明细!$G$2:$G$50000,$C37,缺陷明细!$J$2:$J$50000,"系统测试案例评审",缺陷明细!$AA$2:$AA$50000,"&lt;&gt;丢弃",缺陷明细!$AA$2:$AA$50000,"&lt;&gt;设计如此",缺陷明细!$AA$2:$AA$50000,"&lt;&gt;重复Bug")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COUNTIFS(缺陷明细!$A$2:$A$50000,$B$4,缺陷明细!$G$2:$G$50000,$C37,缺陷明细!$J$2:$J$50000,"系统测试",缺陷明细!$AA$2:$AA$50000,"&lt;&gt;丢弃",缺陷明细!$AA$2:$AA$50000,"&lt;&gt;设计如此",缺陷明细!$AA$2:$AA$50000,"&lt;&gt;重复Bug")</f>
        <v>0</v>
      </c>
      <c r="Q37" s="72">
        <f>COUNTIFS(缺陷明细!$A$2:$A$50000,$B$4,缺陷明细!$G$2:$G$50000,$C37,缺陷明细!$Q$2:$Q$50000,"已关闭",缺陷明细!$J$2:$J$50000,"系统测试")</f>
        <v>0</v>
      </c>
      <c r="R37" s="72">
        <f>COUNTIFS(缺陷明细!$A$2:$A$50000,$B$4,缺陷明细!$G$2:$G$50000,$C37,缺陷明细!$AA$2:$AA$50000,"丢弃",缺陷明细!$J$2:$J$50000,"系统测试")+COUNTIFS(缺陷明细!$A$2:$A$50000,$B$4,缺陷明细!$G$2:$G$50000,$C37,缺陷明细!$AA$2:$AA$50000,"设计如此",缺陷明细!$J$2:$J$50000,"系统测试"+COUNTIFS(缺陷明细!$A$2:$A$50000,$B$4,缺陷明细!$G$2:$G$50000,$C37,缺陷明细!$AA$2:$AA$50000,"重复Bug",缺陷明细!$J$2:$J$50000,"系统测试"))</f>
        <v>0</v>
      </c>
      <c r="S37" s="72">
        <f>COUNTIFS(缺陷明细!$A$2:$A$50000,$B$4,缺陷明细!$G$2:$G$50000,$C37,缺陷明细!$J$2:$J$50000,"系统测试",缺陷明细!$K$2:$K$50000,"致命",缺陷明细!$AA$2:$AA$50000,"&lt;&gt;丢弃",缺陷明细!$AA$2:$AA$50000,"&lt;&gt;设计如此",缺陷明细!$AA$2:$AA$50000,"&lt;&gt;重复Bug")+COUNTIFS(缺陷明细!$A$2:$A$50000,$B$4,缺陷明细!$G$2:$G$50000,$C37,缺陷明细!$J$2:$J$50000,"系统测试",缺陷明细!$K$2:$K$50000,"严重",缺陷明细!$AA$2:$AA$50000,"&lt;&gt;丢弃",缺陷明细!$AA$2:$AA$50000,"&lt;&gt;设计如此",缺陷明细!$AA$2:$AA$50000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COUNTIFS(缺陷明细!$A$2:$A$50000,$B$4,缺陷明细!$G$2:$G$50000,$C37,缺陷明细!$J$2:$J$50000,"验收测试",缺陷明细!$AA$2:$AA$50000,"&lt;&gt;丢弃",缺陷明细!$AA$2:$AA$50000,"&lt;&gt;设计如此",缺陷明细!$AA$2:$AA$50000,"&lt;&gt;重复Bug")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A$2:$AA$50000,"&lt;&gt;丢弃",缺陷明细!$AA$2:$AA$50000,"&lt;&gt;设计如此",缺陷明细!$AA$2:$AA$50000,"&lt;&gt;重复Bug")+COUNTIFS(缺陷明细!$A$2:$A$50000,$B$4,缺陷明细!$G$2:$G$50000,$C37,缺陷明细!$J$2:$J$50000,"验收测试",缺陷明细!$K$2:$K$50000,"严重",缺陷明细!$AA$2:$AA$50000,"&lt;&gt;丢弃",缺陷明细!$AA$2:$AA$50000,"&lt;&gt;设计如此",缺陷明细!$AA$2:$AA$50000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COUNTIFS(缺陷明细!$A$2:$A$50000,$B$4,缺陷明细!$G$2:$G$50000,$C37,缺陷明细!$J$2:$J$50000,"运维测试",缺陷明细!$AA$2:$AA$50000,"&lt;&gt;丢弃",缺陷明细!$AA$2:$AA$50000,"&lt;&gt;设计如此",缺陷明细!$AA$2:$AA$50000,"&lt;&gt;重复Bug")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A$2:$AA$50000,"&lt;&gt;丢弃",缺陷明细!$AA$2:$AA$50000,"&lt;&gt;设计如此",缺陷明细!$AA$2:$AA$50000,"&lt;&gt;重复Bug")+COUNTIFS(缺陷明细!$A$2:$A$50000,$B$4,缺陷明细!$G$2:$G$50000,$C37,缺陷明细!$J$2:$J$50000,"运维测试",缺陷明细!$K$2:$K$50000,"严重",缺陷明细!$AA$2:$AA$50000,"&lt;&gt;丢弃",缺陷明细!$AA$2:$AA$50000,"&lt;&gt;设计如此",缺陷明细!$AA$2:$AA$50000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51"/>
    </row>
    <row r="38" spans="1:37">
      <c r="A38">
        <v>34</v>
      </c>
      <c r="B38" s="57"/>
      <c r="C38" s="58"/>
      <c r="D38" s="84"/>
      <c r="E38" s="82"/>
      <c r="F38" s="165"/>
      <c r="G38" s="166"/>
      <c r="H38" s="305">
        <f>COUNTIFS(缺陷明细!$A$2:$A$50000,$B$4,缺陷明细!$G$2:$G$50000,$C38,缺陷明细!$J$2:$J$50000,"评审",缺陷明细!$AA$2:$AA$50000,"&lt;&gt;丢弃",缺陷明细!$AA$2:$AA$50000,"&lt;&gt;设计如此",缺陷明细!$AA$2:$AA$50000,"&lt;&gt;重复Bug")</f>
        <v>0</v>
      </c>
      <c r="I38" s="161">
        <f>COUNTIFS(缺陷明细!$A$2:$A$50000,$B$4,缺陷明细!$G$2:$G$50000,$C38,缺陷明细!$Q$2:$Q$50000,"已关闭",缺陷明细!$J$2:$J$50000,"评审")</f>
        <v>0</v>
      </c>
      <c r="J38" s="161">
        <f>COUNTIFS(缺陷明细!$A$2:$A$50000,$B$4,缺陷明细!$G$2:$G$50000,$C38,缺陷明细!$J$2:$J$50000,"单元测试",缺陷明细!$AA$2:$AA$50000,"&lt;&gt;丢弃",缺陷明细!$AA$2:$AA$50000,"&lt;&gt;设计如此",缺陷明细!$AA$2:$AA$50000,"&lt;&gt;重复Bug")</f>
        <v>0</v>
      </c>
      <c r="K38" s="162">
        <f>COUNTIFS(缺陷明细!$A$2:$A$50000,$B$4,缺陷明细!$G$2:$G$50000,$C38,缺陷明细!$Q$2:$Q$50000,"已关闭",缺陷明细!$J$2:$J$50000,"单元测试")</f>
        <v>0</v>
      </c>
      <c r="L38" s="163"/>
      <c r="M38" s="164"/>
      <c r="N38" s="72">
        <f>COUNTIFS(缺陷明细!$A$2:$A$50000,$B$4,缺陷明细!$G$2:$G$50000,$C38,缺陷明细!$J$2:$J$50000,"系统测试案例评审",缺陷明细!$AA$2:$AA$50000,"&lt;&gt;丢弃",缺陷明细!$AA$2:$AA$50000,"&lt;&gt;设计如此",缺陷明细!$AA$2:$AA$50000,"&lt;&gt;重复Bug")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COUNTIFS(缺陷明细!$A$2:$A$50000,$B$4,缺陷明细!$G$2:$G$50000,$C38,缺陷明细!$J$2:$J$50000,"系统测试",缺陷明细!$AA$2:$AA$50000,"&lt;&gt;丢弃",缺陷明细!$AA$2:$AA$50000,"&lt;&gt;设计如此",缺陷明细!$AA$2:$AA$50000,"&lt;&gt;重复Bug")</f>
        <v>0</v>
      </c>
      <c r="Q38" s="72">
        <f>COUNTIFS(缺陷明细!$A$2:$A$50000,$B$4,缺陷明细!$G$2:$G$50000,$C38,缺陷明细!$Q$2:$Q$50000,"已关闭",缺陷明细!$J$2:$J$50000,"系统测试")</f>
        <v>0</v>
      </c>
      <c r="R38" s="72">
        <f>COUNTIFS(缺陷明细!$A$2:$A$50000,$B$4,缺陷明细!$G$2:$G$50000,$C38,缺陷明细!$AA$2:$AA$50000,"丢弃",缺陷明细!$J$2:$J$50000,"系统测试")+COUNTIFS(缺陷明细!$A$2:$A$50000,$B$4,缺陷明细!$G$2:$G$50000,$C38,缺陷明细!$AA$2:$AA$50000,"设计如此",缺陷明细!$J$2:$J$50000,"系统测试"+COUNTIFS(缺陷明细!$A$2:$A$50000,$B$4,缺陷明细!$G$2:$G$50000,$C38,缺陷明细!$AA$2:$AA$50000,"重复Bug",缺陷明细!$J$2:$J$50000,"系统测试"))</f>
        <v>0</v>
      </c>
      <c r="S38" s="72">
        <f>COUNTIFS(缺陷明细!$A$2:$A$50000,$B$4,缺陷明细!$G$2:$G$50000,$C38,缺陷明细!$J$2:$J$50000,"系统测试",缺陷明细!$K$2:$K$50000,"致命",缺陷明细!$AA$2:$AA$50000,"&lt;&gt;丢弃",缺陷明细!$AA$2:$AA$50000,"&lt;&gt;设计如此",缺陷明细!$AA$2:$AA$50000,"&lt;&gt;重复Bug")+COUNTIFS(缺陷明细!$A$2:$A$50000,$B$4,缺陷明细!$G$2:$G$50000,$C38,缺陷明细!$J$2:$J$50000,"系统测试",缺陷明细!$K$2:$K$50000,"严重",缺陷明细!$AA$2:$AA$50000,"&lt;&gt;丢弃",缺陷明细!$AA$2:$AA$50000,"&lt;&gt;设计如此",缺陷明细!$AA$2:$AA$50000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COUNTIFS(缺陷明细!$A$2:$A$50000,$B$4,缺陷明细!$G$2:$G$50000,$C38,缺陷明细!$J$2:$J$50000,"验收测试",缺陷明细!$AA$2:$AA$50000,"&lt;&gt;丢弃",缺陷明细!$AA$2:$AA$50000,"&lt;&gt;设计如此",缺陷明细!$AA$2:$AA$50000,"&lt;&gt;重复Bug")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A$2:$AA$50000,"&lt;&gt;丢弃",缺陷明细!$AA$2:$AA$50000,"&lt;&gt;设计如此",缺陷明细!$AA$2:$AA$50000,"&lt;&gt;重复Bug")+COUNTIFS(缺陷明细!$A$2:$A$50000,$B$4,缺陷明细!$G$2:$G$50000,$C38,缺陷明细!$J$2:$J$50000,"验收测试",缺陷明细!$K$2:$K$50000,"严重",缺陷明细!$AA$2:$AA$50000,"&lt;&gt;丢弃",缺陷明细!$AA$2:$AA$50000,"&lt;&gt;设计如此",缺陷明细!$AA$2:$AA$50000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COUNTIFS(缺陷明细!$A$2:$A$50000,$B$4,缺陷明细!$G$2:$G$50000,$C38,缺陷明细!$J$2:$J$50000,"运维测试",缺陷明细!$AA$2:$AA$50000,"&lt;&gt;丢弃",缺陷明细!$AA$2:$AA$50000,"&lt;&gt;设计如此",缺陷明细!$AA$2:$AA$50000,"&lt;&gt;重复Bug")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A$2:$AA$50000,"&lt;&gt;丢弃",缺陷明细!$AA$2:$AA$50000,"&lt;&gt;设计如此",缺陷明细!$AA$2:$AA$50000,"&lt;&gt;重复Bug")+COUNTIFS(缺陷明细!$A$2:$A$50000,$B$4,缺陷明细!$G$2:$G$50000,$C38,缺陷明细!$J$2:$J$50000,"运维测试",缺陷明细!$K$2:$K$50000,"严重",缺陷明细!$AA$2:$AA$50000,"&lt;&gt;丢弃",缺陷明细!$AA$2:$AA$50000,"&lt;&gt;设计如此",缺陷明细!$AA$2:$AA$50000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51"/>
    </row>
    <row r="39" spans="1:37">
      <c r="A39">
        <v>35</v>
      </c>
      <c r="B39" s="57"/>
      <c r="C39" s="58"/>
      <c r="D39" s="84"/>
      <c r="E39" s="82"/>
      <c r="F39" s="165"/>
      <c r="G39" s="166"/>
      <c r="H39" s="305">
        <f>COUNTIFS(缺陷明细!$A$2:$A$50000,$B$4,缺陷明细!$G$2:$G$50000,$C39,缺陷明细!$J$2:$J$50000,"评审",缺陷明细!$AA$2:$AA$50000,"&lt;&gt;丢弃",缺陷明细!$AA$2:$AA$50000,"&lt;&gt;设计如此",缺陷明细!$AA$2:$AA$50000,"&lt;&gt;重复Bug")</f>
        <v>0</v>
      </c>
      <c r="I39" s="161">
        <f>COUNTIFS(缺陷明细!$A$2:$A$50000,$B$4,缺陷明细!$G$2:$G$50000,$C39,缺陷明细!$Q$2:$Q$50000,"已关闭",缺陷明细!$J$2:$J$50000,"评审")</f>
        <v>0</v>
      </c>
      <c r="J39" s="161">
        <f>COUNTIFS(缺陷明细!$A$2:$A$50000,$B$4,缺陷明细!$G$2:$G$50000,$C39,缺陷明细!$J$2:$J$50000,"单元测试",缺陷明细!$AA$2:$AA$50000,"&lt;&gt;丢弃",缺陷明细!$AA$2:$AA$50000,"&lt;&gt;设计如此",缺陷明细!$AA$2:$AA$50000,"&lt;&gt;重复Bug")</f>
        <v>0</v>
      </c>
      <c r="K39" s="162">
        <f>COUNTIFS(缺陷明细!$A$2:$A$50000,$B$4,缺陷明细!$G$2:$G$50000,$C39,缺陷明细!$Q$2:$Q$50000,"已关闭",缺陷明细!$J$2:$J$50000,"单元测试")</f>
        <v>0</v>
      </c>
      <c r="L39" s="163"/>
      <c r="M39" s="164"/>
      <c r="N39" s="72">
        <f>COUNTIFS(缺陷明细!$A$2:$A$50000,$B$4,缺陷明细!$G$2:$G$50000,$C39,缺陷明细!$J$2:$J$50000,"系统测试案例评审",缺陷明细!$AA$2:$AA$50000,"&lt;&gt;丢弃",缺陷明细!$AA$2:$AA$50000,"&lt;&gt;设计如此",缺陷明细!$AA$2:$AA$50000,"&lt;&gt;重复Bug")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COUNTIFS(缺陷明细!$A$2:$A$50000,$B$4,缺陷明细!$G$2:$G$50000,$C39,缺陷明细!$J$2:$J$50000,"系统测试",缺陷明细!$AA$2:$AA$50000,"&lt;&gt;丢弃",缺陷明细!$AA$2:$AA$50000,"&lt;&gt;设计如此",缺陷明细!$AA$2:$AA$50000,"&lt;&gt;重复Bug")</f>
        <v>0</v>
      </c>
      <c r="Q39" s="72">
        <f>COUNTIFS(缺陷明细!$A$2:$A$50000,$B$4,缺陷明细!$G$2:$G$50000,$C39,缺陷明细!$Q$2:$Q$50000,"已关闭",缺陷明细!$J$2:$J$50000,"系统测试")</f>
        <v>0</v>
      </c>
      <c r="R39" s="72">
        <f>COUNTIFS(缺陷明细!$A$2:$A$50000,$B$4,缺陷明细!$G$2:$G$50000,$C39,缺陷明细!$AA$2:$AA$50000,"丢弃",缺陷明细!$J$2:$J$50000,"系统测试")+COUNTIFS(缺陷明细!$A$2:$A$50000,$B$4,缺陷明细!$G$2:$G$50000,$C39,缺陷明细!$AA$2:$AA$50000,"设计如此",缺陷明细!$J$2:$J$50000,"系统测试"+COUNTIFS(缺陷明细!$A$2:$A$50000,$B$4,缺陷明细!$G$2:$G$50000,$C39,缺陷明细!$AA$2:$AA$50000,"重复Bug",缺陷明细!$J$2:$J$50000,"系统测试"))</f>
        <v>0</v>
      </c>
      <c r="S39" s="72">
        <f>COUNTIFS(缺陷明细!$A$2:$A$50000,$B$4,缺陷明细!$G$2:$G$50000,$C39,缺陷明细!$J$2:$J$50000,"系统测试",缺陷明细!$K$2:$K$50000,"致命",缺陷明细!$AA$2:$AA$50000,"&lt;&gt;丢弃",缺陷明细!$AA$2:$AA$50000,"&lt;&gt;设计如此",缺陷明细!$AA$2:$AA$50000,"&lt;&gt;重复Bug")+COUNTIFS(缺陷明细!$A$2:$A$50000,$B$4,缺陷明细!$G$2:$G$50000,$C39,缺陷明细!$J$2:$J$50000,"系统测试",缺陷明细!$K$2:$K$50000,"严重",缺陷明细!$AA$2:$AA$50000,"&lt;&gt;丢弃",缺陷明细!$AA$2:$AA$50000,"&lt;&gt;设计如此",缺陷明细!$AA$2:$AA$50000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COUNTIFS(缺陷明细!$A$2:$A$50000,$B$4,缺陷明细!$G$2:$G$50000,$C39,缺陷明细!$J$2:$J$50000,"验收测试",缺陷明细!$AA$2:$AA$50000,"&lt;&gt;丢弃",缺陷明细!$AA$2:$AA$50000,"&lt;&gt;设计如此",缺陷明细!$AA$2:$AA$50000,"&lt;&gt;重复Bug")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A$2:$AA$50000,"&lt;&gt;丢弃",缺陷明细!$AA$2:$AA$50000,"&lt;&gt;设计如此",缺陷明细!$AA$2:$AA$50000,"&lt;&gt;重复Bug")+COUNTIFS(缺陷明细!$A$2:$A$50000,$B$4,缺陷明细!$G$2:$G$50000,$C39,缺陷明细!$J$2:$J$50000,"验收测试",缺陷明细!$K$2:$K$50000,"严重",缺陷明细!$AA$2:$AA$50000,"&lt;&gt;丢弃",缺陷明细!$AA$2:$AA$50000,"&lt;&gt;设计如此",缺陷明细!$AA$2:$AA$50000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COUNTIFS(缺陷明细!$A$2:$A$50000,$B$4,缺陷明细!$G$2:$G$50000,$C39,缺陷明细!$J$2:$J$50000,"运维测试",缺陷明细!$AA$2:$AA$50000,"&lt;&gt;丢弃",缺陷明细!$AA$2:$AA$50000,"&lt;&gt;设计如此",缺陷明细!$AA$2:$AA$50000,"&lt;&gt;重复Bug")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A$2:$AA$50000,"&lt;&gt;丢弃",缺陷明细!$AA$2:$AA$50000,"&lt;&gt;设计如此",缺陷明细!$AA$2:$AA$50000,"&lt;&gt;重复Bug")+COUNTIFS(缺陷明细!$A$2:$A$50000,$B$4,缺陷明细!$G$2:$G$50000,$C39,缺陷明细!$J$2:$J$50000,"运维测试",缺陷明细!$K$2:$K$50000,"严重",缺陷明细!$AA$2:$AA$50000,"&lt;&gt;丢弃",缺陷明细!$AA$2:$AA$50000,"&lt;&gt;设计如此",缺陷明细!$AA$2:$AA$50000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51"/>
    </row>
    <row r="40" spans="1:37">
      <c r="A40">
        <v>36</v>
      </c>
      <c r="B40" s="57"/>
      <c r="C40" s="58"/>
      <c r="D40" s="84"/>
      <c r="E40" s="82"/>
      <c r="F40" s="165"/>
      <c r="G40" s="166"/>
      <c r="H40" s="305">
        <f>COUNTIFS(缺陷明细!$A$2:$A$50000,$B$4,缺陷明细!$G$2:$G$50000,$C40,缺陷明细!$J$2:$J$50000,"评审",缺陷明细!$AA$2:$AA$50000,"&lt;&gt;丢弃",缺陷明细!$AA$2:$AA$50000,"&lt;&gt;设计如此",缺陷明细!$AA$2:$AA$50000,"&lt;&gt;重复Bug")</f>
        <v>0</v>
      </c>
      <c r="I40" s="161">
        <f>COUNTIFS(缺陷明细!$A$2:$A$50000,$B$4,缺陷明细!$G$2:$G$50000,$C40,缺陷明细!$Q$2:$Q$50000,"已关闭",缺陷明细!$J$2:$J$50000,"评审")</f>
        <v>0</v>
      </c>
      <c r="J40" s="161">
        <f>COUNTIFS(缺陷明细!$A$2:$A$50000,$B$4,缺陷明细!$G$2:$G$50000,$C40,缺陷明细!$J$2:$J$50000,"单元测试",缺陷明细!$AA$2:$AA$50000,"&lt;&gt;丢弃",缺陷明细!$AA$2:$AA$50000,"&lt;&gt;设计如此",缺陷明细!$AA$2:$AA$50000,"&lt;&gt;重复Bug")</f>
        <v>0</v>
      </c>
      <c r="K40" s="162">
        <f>COUNTIFS(缺陷明细!$A$2:$A$50000,$B$4,缺陷明细!$G$2:$G$50000,$C40,缺陷明细!$Q$2:$Q$50000,"已关闭",缺陷明细!$J$2:$J$50000,"单元测试")</f>
        <v>0</v>
      </c>
      <c r="L40" s="163"/>
      <c r="M40" s="164"/>
      <c r="N40" s="72">
        <f>COUNTIFS(缺陷明细!$A$2:$A$50000,$B$4,缺陷明细!$G$2:$G$50000,$C40,缺陷明细!$J$2:$J$50000,"系统测试案例评审",缺陷明细!$AA$2:$AA$50000,"&lt;&gt;丢弃",缺陷明细!$AA$2:$AA$50000,"&lt;&gt;设计如此",缺陷明细!$AA$2:$AA$50000,"&lt;&gt;重复Bug")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COUNTIFS(缺陷明细!$A$2:$A$50000,$B$4,缺陷明细!$G$2:$G$50000,$C40,缺陷明细!$J$2:$J$50000,"系统测试",缺陷明细!$AA$2:$AA$50000,"&lt;&gt;丢弃",缺陷明细!$AA$2:$AA$50000,"&lt;&gt;设计如此",缺陷明细!$AA$2:$AA$50000,"&lt;&gt;重复Bug")</f>
        <v>0</v>
      </c>
      <c r="Q40" s="72">
        <f>COUNTIFS(缺陷明细!$A$2:$A$50000,$B$4,缺陷明细!$G$2:$G$50000,$C40,缺陷明细!$Q$2:$Q$50000,"已关闭",缺陷明细!$J$2:$J$50000,"系统测试")</f>
        <v>0</v>
      </c>
      <c r="R40" s="72">
        <f>COUNTIFS(缺陷明细!$A$2:$A$50000,$B$4,缺陷明细!$G$2:$G$50000,$C40,缺陷明细!$AA$2:$AA$50000,"丢弃",缺陷明细!$J$2:$J$50000,"系统测试")+COUNTIFS(缺陷明细!$A$2:$A$50000,$B$4,缺陷明细!$G$2:$G$50000,$C40,缺陷明细!$AA$2:$AA$50000,"设计如此",缺陷明细!$J$2:$J$50000,"系统测试"+COUNTIFS(缺陷明细!$A$2:$A$50000,$B$4,缺陷明细!$G$2:$G$50000,$C40,缺陷明细!$AA$2:$AA$50000,"重复Bug",缺陷明细!$J$2:$J$50000,"系统测试"))</f>
        <v>0</v>
      </c>
      <c r="S40" s="72">
        <f>COUNTIFS(缺陷明细!$A$2:$A$50000,$B$4,缺陷明细!$G$2:$G$50000,$C40,缺陷明细!$J$2:$J$50000,"系统测试",缺陷明细!$K$2:$K$50000,"致命",缺陷明细!$AA$2:$AA$50000,"&lt;&gt;丢弃",缺陷明细!$AA$2:$AA$50000,"&lt;&gt;设计如此",缺陷明细!$AA$2:$AA$50000,"&lt;&gt;重复Bug")+COUNTIFS(缺陷明细!$A$2:$A$50000,$B$4,缺陷明细!$G$2:$G$50000,$C40,缺陷明细!$J$2:$J$50000,"系统测试",缺陷明细!$K$2:$K$50000,"严重",缺陷明细!$AA$2:$AA$50000,"&lt;&gt;丢弃",缺陷明细!$AA$2:$AA$50000,"&lt;&gt;设计如此",缺陷明细!$AA$2:$AA$50000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COUNTIFS(缺陷明细!$A$2:$A$50000,$B$4,缺陷明细!$G$2:$G$50000,$C40,缺陷明细!$J$2:$J$50000,"验收测试",缺陷明细!$AA$2:$AA$50000,"&lt;&gt;丢弃",缺陷明细!$AA$2:$AA$50000,"&lt;&gt;设计如此",缺陷明细!$AA$2:$AA$50000,"&lt;&gt;重复Bug")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A$2:$AA$50000,"&lt;&gt;丢弃",缺陷明细!$AA$2:$AA$50000,"&lt;&gt;设计如此",缺陷明细!$AA$2:$AA$50000,"&lt;&gt;重复Bug")+COUNTIFS(缺陷明细!$A$2:$A$50000,$B$4,缺陷明细!$G$2:$G$50000,$C40,缺陷明细!$J$2:$J$50000,"验收测试",缺陷明细!$K$2:$K$50000,"严重",缺陷明细!$AA$2:$AA$50000,"&lt;&gt;丢弃",缺陷明细!$AA$2:$AA$50000,"&lt;&gt;设计如此",缺陷明细!$AA$2:$AA$50000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COUNTIFS(缺陷明细!$A$2:$A$50000,$B$4,缺陷明细!$G$2:$G$50000,$C40,缺陷明细!$J$2:$J$50000,"运维测试",缺陷明细!$AA$2:$AA$50000,"&lt;&gt;丢弃",缺陷明细!$AA$2:$AA$50000,"&lt;&gt;设计如此",缺陷明细!$AA$2:$AA$50000,"&lt;&gt;重复Bug")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A$2:$AA$50000,"&lt;&gt;丢弃",缺陷明细!$AA$2:$AA$50000,"&lt;&gt;设计如此",缺陷明细!$AA$2:$AA$50000,"&lt;&gt;重复Bug")+COUNTIFS(缺陷明细!$A$2:$A$50000,$B$4,缺陷明细!$G$2:$G$50000,$C40,缺陷明细!$J$2:$J$50000,"运维测试",缺陷明细!$K$2:$K$50000,"严重",缺陷明细!$AA$2:$AA$50000,"&lt;&gt;丢弃",缺陷明细!$AA$2:$AA$50000,"&lt;&gt;设计如此",缺陷明细!$AA$2:$AA$50000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51"/>
    </row>
    <row r="41" spans="1:37">
      <c r="A41">
        <v>37</v>
      </c>
      <c r="B41" s="57"/>
      <c r="C41" s="58"/>
      <c r="D41" s="84"/>
      <c r="E41" s="82"/>
      <c r="F41" s="165"/>
      <c r="G41" s="166"/>
      <c r="H41" s="305">
        <f>COUNTIFS(缺陷明细!$A$2:$A$50000,$B$4,缺陷明细!$G$2:$G$50000,$C41,缺陷明细!$J$2:$J$50000,"评审",缺陷明细!$AA$2:$AA$50000,"&lt;&gt;丢弃",缺陷明细!$AA$2:$AA$50000,"&lt;&gt;设计如此",缺陷明细!$AA$2:$AA$50000,"&lt;&gt;重复Bug")</f>
        <v>0</v>
      </c>
      <c r="I41" s="161">
        <f>COUNTIFS(缺陷明细!$A$2:$A$50000,$B$4,缺陷明细!$G$2:$G$50000,$C41,缺陷明细!$Q$2:$Q$50000,"已关闭",缺陷明细!$J$2:$J$50000,"评审")</f>
        <v>0</v>
      </c>
      <c r="J41" s="161">
        <f>COUNTIFS(缺陷明细!$A$2:$A$50000,$B$4,缺陷明细!$G$2:$G$50000,$C41,缺陷明细!$J$2:$J$50000,"单元测试",缺陷明细!$AA$2:$AA$50000,"&lt;&gt;丢弃",缺陷明细!$AA$2:$AA$50000,"&lt;&gt;设计如此",缺陷明细!$AA$2:$AA$50000,"&lt;&gt;重复Bug")</f>
        <v>0</v>
      </c>
      <c r="K41" s="162">
        <f>COUNTIFS(缺陷明细!$A$2:$A$50000,$B$4,缺陷明细!$G$2:$G$50000,$C41,缺陷明细!$Q$2:$Q$50000,"已关闭",缺陷明细!$J$2:$J$50000,"单元测试")</f>
        <v>0</v>
      </c>
      <c r="L41" s="163"/>
      <c r="M41" s="164"/>
      <c r="N41" s="72">
        <f>COUNTIFS(缺陷明细!$A$2:$A$50000,$B$4,缺陷明细!$G$2:$G$50000,$C41,缺陷明细!$J$2:$J$50000,"系统测试案例评审",缺陷明细!$AA$2:$AA$50000,"&lt;&gt;丢弃",缺陷明细!$AA$2:$AA$50000,"&lt;&gt;设计如此",缺陷明细!$AA$2:$AA$50000,"&lt;&gt;重复Bug")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COUNTIFS(缺陷明细!$A$2:$A$50000,$B$4,缺陷明细!$G$2:$G$50000,$C41,缺陷明细!$J$2:$J$50000,"系统测试",缺陷明细!$AA$2:$AA$50000,"&lt;&gt;丢弃",缺陷明细!$AA$2:$AA$50000,"&lt;&gt;设计如此",缺陷明细!$AA$2:$AA$50000,"&lt;&gt;重复Bug")</f>
        <v>0</v>
      </c>
      <c r="Q41" s="72">
        <f>COUNTIFS(缺陷明细!$A$2:$A$50000,$B$4,缺陷明细!$G$2:$G$50000,$C41,缺陷明细!$Q$2:$Q$50000,"已关闭",缺陷明细!$J$2:$J$50000,"系统测试")</f>
        <v>0</v>
      </c>
      <c r="R41" s="72">
        <f>COUNTIFS(缺陷明细!$A$2:$A$50000,$B$4,缺陷明细!$G$2:$G$50000,$C41,缺陷明细!$AA$2:$AA$50000,"丢弃",缺陷明细!$J$2:$J$50000,"系统测试")+COUNTIFS(缺陷明细!$A$2:$A$50000,$B$4,缺陷明细!$G$2:$G$50000,$C41,缺陷明细!$AA$2:$AA$50000,"设计如此",缺陷明细!$J$2:$J$50000,"系统测试"+COUNTIFS(缺陷明细!$A$2:$A$50000,$B$4,缺陷明细!$G$2:$G$50000,$C41,缺陷明细!$AA$2:$AA$50000,"重复Bug",缺陷明细!$J$2:$J$50000,"系统测试"))</f>
        <v>0</v>
      </c>
      <c r="S41" s="72">
        <f>COUNTIFS(缺陷明细!$A$2:$A$50000,$B$4,缺陷明细!$G$2:$G$50000,$C41,缺陷明细!$J$2:$J$50000,"系统测试",缺陷明细!$K$2:$K$50000,"致命",缺陷明细!$AA$2:$AA$50000,"&lt;&gt;丢弃",缺陷明细!$AA$2:$AA$50000,"&lt;&gt;设计如此",缺陷明细!$AA$2:$AA$50000,"&lt;&gt;重复Bug")+COUNTIFS(缺陷明细!$A$2:$A$50000,$B$4,缺陷明细!$G$2:$G$50000,$C41,缺陷明细!$J$2:$J$50000,"系统测试",缺陷明细!$K$2:$K$50000,"严重",缺陷明细!$AA$2:$AA$50000,"&lt;&gt;丢弃",缺陷明细!$AA$2:$AA$50000,"&lt;&gt;设计如此",缺陷明细!$AA$2:$AA$50000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COUNTIFS(缺陷明细!$A$2:$A$50000,$B$4,缺陷明细!$G$2:$G$50000,$C41,缺陷明细!$J$2:$J$50000,"验收测试",缺陷明细!$AA$2:$AA$50000,"&lt;&gt;丢弃",缺陷明细!$AA$2:$AA$50000,"&lt;&gt;设计如此",缺陷明细!$AA$2:$AA$50000,"&lt;&gt;重复Bug")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A$2:$AA$50000,"&lt;&gt;丢弃",缺陷明细!$AA$2:$AA$50000,"&lt;&gt;设计如此",缺陷明细!$AA$2:$AA$50000,"&lt;&gt;重复Bug")+COUNTIFS(缺陷明细!$A$2:$A$50000,$B$4,缺陷明细!$G$2:$G$50000,$C41,缺陷明细!$J$2:$J$50000,"验收测试",缺陷明细!$K$2:$K$50000,"严重",缺陷明细!$AA$2:$AA$50000,"&lt;&gt;丢弃",缺陷明细!$AA$2:$AA$50000,"&lt;&gt;设计如此",缺陷明细!$AA$2:$AA$50000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COUNTIFS(缺陷明细!$A$2:$A$50000,$B$4,缺陷明细!$G$2:$G$50000,$C41,缺陷明细!$J$2:$J$50000,"运维测试",缺陷明细!$AA$2:$AA$50000,"&lt;&gt;丢弃",缺陷明细!$AA$2:$AA$50000,"&lt;&gt;设计如此",缺陷明细!$AA$2:$AA$50000,"&lt;&gt;重复Bug")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A$2:$AA$50000,"&lt;&gt;丢弃",缺陷明细!$AA$2:$AA$50000,"&lt;&gt;设计如此",缺陷明细!$AA$2:$AA$50000,"&lt;&gt;重复Bug")+COUNTIFS(缺陷明细!$A$2:$A$50000,$B$4,缺陷明细!$G$2:$G$50000,$C41,缺陷明细!$J$2:$J$50000,"运维测试",缺陷明细!$K$2:$K$50000,"严重",缺陷明细!$AA$2:$AA$50000,"&lt;&gt;丢弃",缺陷明细!$AA$2:$AA$50000,"&lt;&gt;设计如此",缺陷明细!$AA$2:$AA$50000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51"/>
    </row>
    <row r="42" spans="1:37">
      <c r="A42">
        <v>38</v>
      </c>
      <c r="B42" s="57"/>
      <c r="C42" s="58"/>
      <c r="D42" s="84"/>
      <c r="E42" s="82"/>
      <c r="F42" s="165"/>
      <c r="G42" s="166"/>
      <c r="H42" s="305">
        <f>COUNTIFS(缺陷明细!$A$2:$A$50000,$B$4,缺陷明细!$G$2:$G$50000,$C42,缺陷明细!$J$2:$J$50000,"评审",缺陷明细!$AA$2:$AA$50000,"&lt;&gt;丢弃",缺陷明细!$AA$2:$AA$50000,"&lt;&gt;设计如此",缺陷明细!$AA$2:$AA$50000,"&lt;&gt;重复Bug")</f>
        <v>0</v>
      </c>
      <c r="I42" s="161">
        <f>COUNTIFS(缺陷明细!$A$2:$A$50000,$B$4,缺陷明细!$G$2:$G$50000,$C42,缺陷明细!$Q$2:$Q$50000,"已关闭",缺陷明细!$J$2:$J$50000,"评审")</f>
        <v>0</v>
      </c>
      <c r="J42" s="161">
        <f>COUNTIFS(缺陷明细!$A$2:$A$50000,$B$4,缺陷明细!$G$2:$G$50000,$C42,缺陷明细!$J$2:$J$50000,"单元测试",缺陷明细!$AA$2:$AA$50000,"&lt;&gt;丢弃",缺陷明细!$AA$2:$AA$50000,"&lt;&gt;设计如此",缺陷明细!$AA$2:$AA$50000,"&lt;&gt;重复Bug")</f>
        <v>0</v>
      </c>
      <c r="K42" s="162">
        <f>COUNTIFS(缺陷明细!$A$2:$A$50000,$B$4,缺陷明细!$G$2:$G$50000,$C42,缺陷明细!$Q$2:$Q$50000,"已关闭",缺陷明细!$J$2:$J$50000,"单元测试")</f>
        <v>0</v>
      </c>
      <c r="L42" s="163"/>
      <c r="M42" s="164"/>
      <c r="N42" s="72">
        <f>COUNTIFS(缺陷明细!$A$2:$A$50000,$B$4,缺陷明细!$G$2:$G$50000,$C42,缺陷明细!$J$2:$J$50000,"系统测试案例评审",缺陷明细!$AA$2:$AA$50000,"&lt;&gt;丢弃",缺陷明细!$AA$2:$AA$50000,"&lt;&gt;设计如此",缺陷明细!$AA$2:$AA$50000,"&lt;&gt;重复Bug")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COUNTIFS(缺陷明细!$A$2:$A$50000,$B$4,缺陷明细!$G$2:$G$50000,$C42,缺陷明细!$J$2:$J$50000,"系统测试",缺陷明细!$AA$2:$AA$50000,"&lt;&gt;丢弃",缺陷明细!$AA$2:$AA$50000,"&lt;&gt;设计如此",缺陷明细!$AA$2:$AA$50000,"&lt;&gt;重复Bug")</f>
        <v>0</v>
      </c>
      <c r="Q42" s="72">
        <f>COUNTIFS(缺陷明细!$A$2:$A$50000,$B$4,缺陷明细!$G$2:$G$50000,$C42,缺陷明细!$Q$2:$Q$50000,"已关闭",缺陷明细!$J$2:$J$50000,"系统测试")</f>
        <v>0</v>
      </c>
      <c r="R42" s="72">
        <f>COUNTIFS(缺陷明细!$A$2:$A$50000,$B$4,缺陷明细!$G$2:$G$50000,$C42,缺陷明细!$AA$2:$AA$50000,"丢弃",缺陷明细!$J$2:$J$50000,"系统测试")+COUNTIFS(缺陷明细!$A$2:$A$50000,$B$4,缺陷明细!$G$2:$G$50000,$C42,缺陷明细!$AA$2:$AA$50000,"设计如此",缺陷明细!$J$2:$J$50000,"系统测试"+COUNTIFS(缺陷明细!$A$2:$A$50000,$B$4,缺陷明细!$G$2:$G$50000,$C42,缺陷明细!$AA$2:$AA$50000,"重复Bug",缺陷明细!$J$2:$J$50000,"系统测试"))</f>
        <v>0</v>
      </c>
      <c r="S42" s="72">
        <f>COUNTIFS(缺陷明细!$A$2:$A$50000,$B$4,缺陷明细!$G$2:$G$50000,$C42,缺陷明细!$J$2:$J$50000,"系统测试",缺陷明细!$K$2:$K$50000,"致命",缺陷明细!$AA$2:$AA$50000,"&lt;&gt;丢弃",缺陷明细!$AA$2:$AA$50000,"&lt;&gt;设计如此",缺陷明细!$AA$2:$AA$50000,"&lt;&gt;重复Bug")+COUNTIFS(缺陷明细!$A$2:$A$50000,$B$4,缺陷明细!$G$2:$G$50000,$C42,缺陷明细!$J$2:$J$50000,"系统测试",缺陷明细!$K$2:$K$50000,"严重",缺陷明细!$AA$2:$AA$50000,"&lt;&gt;丢弃",缺陷明细!$AA$2:$AA$50000,"&lt;&gt;设计如此",缺陷明细!$AA$2:$AA$50000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COUNTIFS(缺陷明细!$A$2:$A$50000,$B$4,缺陷明细!$G$2:$G$50000,$C42,缺陷明细!$J$2:$J$50000,"验收测试",缺陷明细!$AA$2:$AA$50000,"&lt;&gt;丢弃",缺陷明细!$AA$2:$AA$50000,"&lt;&gt;设计如此",缺陷明细!$AA$2:$AA$50000,"&lt;&gt;重复Bug")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A$2:$AA$50000,"&lt;&gt;丢弃",缺陷明细!$AA$2:$AA$50000,"&lt;&gt;设计如此",缺陷明细!$AA$2:$AA$50000,"&lt;&gt;重复Bug")+COUNTIFS(缺陷明细!$A$2:$A$50000,$B$4,缺陷明细!$G$2:$G$50000,$C42,缺陷明细!$J$2:$J$50000,"验收测试",缺陷明细!$K$2:$K$50000,"严重",缺陷明细!$AA$2:$AA$50000,"&lt;&gt;丢弃",缺陷明细!$AA$2:$AA$50000,"&lt;&gt;设计如此",缺陷明细!$AA$2:$AA$50000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COUNTIFS(缺陷明细!$A$2:$A$50000,$B$4,缺陷明细!$G$2:$G$50000,$C42,缺陷明细!$J$2:$J$50000,"运维测试",缺陷明细!$AA$2:$AA$50000,"&lt;&gt;丢弃",缺陷明细!$AA$2:$AA$50000,"&lt;&gt;设计如此",缺陷明细!$AA$2:$AA$50000,"&lt;&gt;重复Bug")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A$2:$AA$50000,"&lt;&gt;丢弃",缺陷明细!$AA$2:$AA$50000,"&lt;&gt;设计如此",缺陷明细!$AA$2:$AA$50000,"&lt;&gt;重复Bug")+COUNTIFS(缺陷明细!$A$2:$A$50000,$B$4,缺陷明细!$G$2:$G$50000,$C42,缺陷明细!$J$2:$J$50000,"运维测试",缺陷明细!$K$2:$K$50000,"严重",缺陷明细!$AA$2:$AA$50000,"&lt;&gt;丢弃",缺陷明细!$AA$2:$AA$50000,"&lt;&gt;设计如此",缺陷明细!$AA$2:$AA$50000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51"/>
    </row>
    <row r="43" spans="1:37">
      <c r="A43">
        <v>39</v>
      </c>
      <c r="B43" s="57"/>
      <c r="C43" s="58"/>
      <c r="D43" s="84"/>
      <c r="E43" s="82"/>
      <c r="F43" s="165"/>
      <c r="G43" s="166"/>
      <c r="H43" s="305">
        <f>COUNTIFS(缺陷明细!$A$2:$A$50000,$B$4,缺陷明细!$G$2:$G$50000,$C43,缺陷明细!$J$2:$J$50000,"评审",缺陷明细!$AA$2:$AA$50000,"&lt;&gt;丢弃",缺陷明细!$AA$2:$AA$50000,"&lt;&gt;设计如此",缺陷明细!$AA$2:$AA$50000,"&lt;&gt;重复Bug")</f>
        <v>0</v>
      </c>
      <c r="I43" s="161">
        <f>COUNTIFS(缺陷明细!$A$2:$A$50000,$B$4,缺陷明细!$G$2:$G$50000,$C43,缺陷明细!$Q$2:$Q$50000,"已关闭",缺陷明细!$J$2:$J$50000,"评审")</f>
        <v>0</v>
      </c>
      <c r="J43" s="161">
        <f>COUNTIFS(缺陷明细!$A$2:$A$50000,$B$4,缺陷明细!$G$2:$G$50000,$C43,缺陷明细!$J$2:$J$50000,"单元测试",缺陷明细!$AA$2:$AA$50000,"&lt;&gt;丢弃",缺陷明细!$AA$2:$AA$50000,"&lt;&gt;设计如此",缺陷明细!$AA$2:$AA$50000,"&lt;&gt;重复Bug")</f>
        <v>0</v>
      </c>
      <c r="K43" s="162">
        <f>COUNTIFS(缺陷明细!$A$2:$A$50000,$B$4,缺陷明细!$G$2:$G$50000,$C43,缺陷明细!$Q$2:$Q$50000,"已关闭",缺陷明细!$J$2:$J$50000,"单元测试")</f>
        <v>0</v>
      </c>
      <c r="L43" s="163"/>
      <c r="M43" s="164"/>
      <c r="N43" s="72">
        <f>COUNTIFS(缺陷明细!$A$2:$A$50000,$B$4,缺陷明细!$G$2:$G$50000,$C43,缺陷明细!$J$2:$J$50000,"系统测试案例评审",缺陷明细!$AA$2:$AA$50000,"&lt;&gt;丢弃",缺陷明细!$AA$2:$AA$50000,"&lt;&gt;设计如此",缺陷明细!$AA$2:$AA$50000,"&lt;&gt;重复Bug")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COUNTIFS(缺陷明细!$A$2:$A$50000,$B$4,缺陷明细!$G$2:$G$50000,$C43,缺陷明细!$J$2:$J$50000,"系统测试",缺陷明细!$AA$2:$AA$50000,"&lt;&gt;丢弃",缺陷明细!$AA$2:$AA$50000,"&lt;&gt;设计如此",缺陷明细!$AA$2:$AA$50000,"&lt;&gt;重复Bug")</f>
        <v>0</v>
      </c>
      <c r="Q43" s="72">
        <f>COUNTIFS(缺陷明细!$A$2:$A$50000,$B$4,缺陷明细!$G$2:$G$50000,$C43,缺陷明细!$Q$2:$Q$50000,"已关闭",缺陷明细!$J$2:$J$50000,"系统测试")</f>
        <v>0</v>
      </c>
      <c r="R43" s="72">
        <f>COUNTIFS(缺陷明细!$A$2:$A$50000,$B$4,缺陷明细!$G$2:$G$50000,$C43,缺陷明细!$AA$2:$AA$50000,"丢弃",缺陷明细!$J$2:$J$50000,"系统测试")+COUNTIFS(缺陷明细!$A$2:$A$50000,$B$4,缺陷明细!$G$2:$G$50000,$C43,缺陷明细!$AA$2:$AA$50000,"设计如此",缺陷明细!$J$2:$J$50000,"系统测试"+COUNTIFS(缺陷明细!$A$2:$A$50000,$B$4,缺陷明细!$G$2:$G$50000,$C43,缺陷明细!$AA$2:$AA$50000,"重复Bug",缺陷明细!$J$2:$J$50000,"系统测试"))</f>
        <v>0</v>
      </c>
      <c r="S43" s="72">
        <f>COUNTIFS(缺陷明细!$A$2:$A$50000,$B$4,缺陷明细!$G$2:$G$50000,$C43,缺陷明细!$J$2:$J$50000,"系统测试",缺陷明细!$K$2:$K$50000,"致命",缺陷明细!$AA$2:$AA$50000,"&lt;&gt;丢弃",缺陷明细!$AA$2:$AA$50000,"&lt;&gt;设计如此",缺陷明细!$AA$2:$AA$50000,"&lt;&gt;重复Bug")+COUNTIFS(缺陷明细!$A$2:$A$50000,$B$4,缺陷明细!$G$2:$G$50000,$C43,缺陷明细!$J$2:$J$50000,"系统测试",缺陷明细!$K$2:$K$50000,"严重",缺陷明细!$AA$2:$AA$50000,"&lt;&gt;丢弃",缺陷明细!$AA$2:$AA$50000,"&lt;&gt;设计如此",缺陷明细!$AA$2:$AA$50000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COUNTIFS(缺陷明细!$A$2:$A$50000,$B$4,缺陷明细!$G$2:$G$50000,$C43,缺陷明细!$J$2:$J$50000,"验收测试",缺陷明细!$AA$2:$AA$50000,"&lt;&gt;丢弃",缺陷明细!$AA$2:$AA$50000,"&lt;&gt;设计如此",缺陷明细!$AA$2:$AA$50000,"&lt;&gt;重复Bug")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A$2:$AA$50000,"&lt;&gt;丢弃",缺陷明细!$AA$2:$AA$50000,"&lt;&gt;设计如此",缺陷明细!$AA$2:$AA$50000,"&lt;&gt;重复Bug")+COUNTIFS(缺陷明细!$A$2:$A$50000,$B$4,缺陷明细!$G$2:$G$50000,$C43,缺陷明细!$J$2:$J$50000,"验收测试",缺陷明细!$K$2:$K$50000,"严重",缺陷明细!$AA$2:$AA$50000,"&lt;&gt;丢弃",缺陷明细!$AA$2:$AA$50000,"&lt;&gt;设计如此",缺陷明细!$AA$2:$AA$50000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COUNTIFS(缺陷明细!$A$2:$A$50000,$B$4,缺陷明细!$G$2:$G$50000,$C43,缺陷明细!$J$2:$J$50000,"运维测试",缺陷明细!$AA$2:$AA$50000,"&lt;&gt;丢弃",缺陷明细!$AA$2:$AA$50000,"&lt;&gt;设计如此",缺陷明细!$AA$2:$AA$50000,"&lt;&gt;重复Bug")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A$2:$AA$50000,"&lt;&gt;丢弃",缺陷明细!$AA$2:$AA$50000,"&lt;&gt;设计如此",缺陷明细!$AA$2:$AA$50000,"&lt;&gt;重复Bug")+COUNTIFS(缺陷明细!$A$2:$A$50000,$B$4,缺陷明细!$G$2:$G$50000,$C43,缺陷明细!$J$2:$J$50000,"运维测试",缺陷明细!$K$2:$K$50000,"严重",缺陷明细!$AA$2:$AA$50000,"&lt;&gt;丢弃",缺陷明细!$AA$2:$AA$50000,"&lt;&gt;设计如此",缺陷明细!$AA$2:$AA$50000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51"/>
    </row>
    <row r="44" spans="1:37">
      <c r="A44">
        <v>40</v>
      </c>
      <c r="B44" s="57"/>
      <c r="C44" s="58"/>
      <c r="D44" s="84"/>
      <c r="E44" s="82"/>
      <c r="F44" s="165"/>
      <c r="G44" s="166"/>
      <c r="H44" s="305">
        <f>COUNTIFS(缺陷明细!$A$2:$A$50000,$B$4,缺陷明细!$G$2:$G$50000,$C44,缺陷明细!$J$2:$J$50000,"评审",缺陷明细!$AA$2:$AA$50000,"&lt;&gt;丢弃",缺陷明细!$AA$2:$AA$50000,"&lt;&gt;设计如此",缺陷明细!$AA$2:$AA$50000,"&lt;&gt;重复Bug")</f>
        <v>0</v>
      </c>
      <c r="I44" s="161">
        <f>COUNTIFS(缺陷明细!$A$2:$A$50000,$B$4,缺陷明细!$G$2:$G$50000,$C44,缺陷明细!$Q$2:$Q$50000,"已关闭",缺陷明细!$J$2:$J$50000,"评审")</f>
        <v>0</v>
      </c>
      <c r="J44" s="161">
        <f>COUNTIFS(缺陷明细!$A$2:$A$50000,$B$4,缺陷明细!$G$2:$G$50000,$C44,缺陷明细!$J$2:$J$50000,"单元测试",缺陷明细!$AA$2:$AA$50000,"&lt;&gt;丢弃",缺陷明细!$AA$2:$AA$50000,"&lt;&gt;设计如此",缺陷明细!$AA$2:$AA$50000,"&lt;&gt;重复Bug")</f>
        <v>0</v>
      </c>
      <c r="K44" s="162">
        <f>COUNTIFS(缺陷明细!$A$2:$A$50000,$B$4,缺陷明细!$G$2:$G$50000,$C44,缺陷明细!$Q$2:$Q$50000,"已关闭",缺陷明细!$J$2:$J$50000,"单元测试")</f>
        <v>0</v>
      </c>
      <c r="L44" s="163"/>
      <c r="M44" s="164"/>
      <c r="N44" s="72">
        <f>COUNTIFS(缺陷明细!$A$2:$A$50000,$B$4,缺陷明细!$G$2:$G$50000,$C44,缺陷明细!$J$2:$J$50000,"系统测试案例评审",缺陷明细!$AA$2:$AA$50000,"&lt;&gt;丢弃",缺陷明细!$AA$2:$AA$50000,"&lt;&gt;设计如此",缺陷明细!$AA$2:$AA$50000,"&lt;&gt;重复Bug")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COUNTIFS(缺陷明细!$A$2:$A$50000,$B$4,缺陷明细!$G$2:$G$50000,$C44,缺陷明细!$J$2:$J$50000,"系统测试",缺陷明细!$AA$2:$AA$50000,"&lt;&gt;丢弃",缺陷明细!$AA$2:$AA$50000,"&lt;&gt;设计如此",缺陷明细!$AA$2:$AA$50000,"&lt;&gt;重复Bug")</f>
        <v>0</v>
      </c>
      <c r="Q44" s="72">
        <f>COUNTIFS(缺陷明细!$A$2:$A$50000,$B$4,缺陷明细!$G$2:$G$50000,$C44,缺陷明细!$Q$2:$Q$50000,"已关闭",缺陷明细!$J$2:$J$50000,"系统测试")</f>
        <v>0</v>
      </c>
      <c r="R44" s="72">
        <f>COUNTIFS(缺陷明细!$A$2:$A$50000,$B$4,缺陷明细!$G$2:$G$50000,$C44,缺陷明细!$AA$2:$AA$50000,"丢弃",缺陷明细!$J$2:$J$50000,"系统测试")+COUNTIFS(缺陷明细!$A$2:$A$50000,$B$4,缺陷明细!$G$2:$G$50000,$C44,缺陷明细!$AA$2:$AA$50000,"设计如此",缺陷明细!$J$2:$J$50000,"系统测试"+COUNTIFS(缺陷明细!$A$2:$A$50000,$B$4,缺陷明细!$G$2:$G$50000,$C44,缺陷明细!$AA$2:$AA$50000,"重复Bug",缺陷明细!$J$2:$J$50000,"系统测试"))</f>
        <v>0</v>
      </c>
      <c r="S44" s="72">
        <f>COUNTIFS(缺陷明细!$A$2:$A$50000,$B$4,缺陷明细!$G$2:$G$50000,$C44,缺陷明细!$J$2:$J$50000,"系统测试",缺陷明细!$K$2:$K$50000,"致命",缺陷明细!$AA$2:$AA$50000,"&lt;&gt;丢弃",缺陷明细!$AA$2:$AA$50000,"&lt;&gt;设计如此",缺陷明细!$AA$2:$AA$50000,"&lt;&gt;重复Bug")+COUNTIFS(缺陷明细!$A$2:$A$50000,$B$4,缺陷明细!$G$2:$G$50000,$C44,缺陷明细!$J$2:$J$50000,"系统测试",缺陷明细!$K$2:$K$50000,"严重",缺陷明细!$AA$2:$AA$50000,"&lt;&gt;丢弃",缺陷明细!$AA$2:$AA$50000,"&lt;&gt;设计如此",缺陷明细!$AA$2:$AA$50000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COUNTIFS(缺陷明细!$A$2:$A$50000,$B$4,缺陷明细!$G$2:$G$50000,$C44,缺陷明细!$J$2:$J$50000,"验收测试",缺陷明细!$AA$2:$AA$50000,"&lt;&gt;丢弃",缺陷明细!$AA$2:$AA$50000,"&lt;&gt;设计如此",缺陷明细!$AA$2:$AA$50000,"&lt;&gt;重复Bug")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A$2:$AA$50000,"&lt;&gt;丢弃",缺陷明细!$AA$2:$AA$50000,"&lt;&gt;设计如此",缺陷明细!$AA$2:$AA$50000,"&lt;&gt;重复Bug")+COUNTIFS(缺陷明细!$A$2:$A$50000,$B$4,缺陷明细!$G$2:$G$50000,$C44,缺陷明细!$J$2:$J$50000,"验收测试",缺陷明细!$K$2:$K$50000,"严重",缺陷明细!$AA$2:$AA$50000,"&lt;&gt;丢弃",缺陷明细!$AA$2:$AA$50000,"&lt;&gt;设计如此",缺陷明细!$AA$2:$AA$50000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COUNTIFS(缺陷明细!$A$2:$A$50000,$B$4,缺陷明细!$G$2:$G$50000,$C44,缺陷明细!$J$2:$J$50000,"运维测试",缺陷明细!$AA$2:$AA$50000,"&lt;&gt;丢弃",缺陷明细!$AA$2:$AA$50000,"&lt;&gt;设计如此",缺陷明细!$AA$2:$AA$50000,"&lt;&gt;重复Bug")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A$2:$AA$50000,"&lt;&gt;丢弃",缺陷明细!$AA$2:$AA$50000,"&lt;&gt;设计如此",缺陷明细!$AA$2:$AA$50000,"&lt;&gt;重复Bug")+COUNTIFS(缺陷明细!$A$2:$A$50000,$B$4,缺陷明细!$G$2:$G$50000,$C44,缺陷明细!$J$2:$J$50000,"运维测试",缺陷明细!$K$2:$K$50000,"严重",缺陷明细!$AA$2:$AA$50000,"&lt;&gt;丢弃",缺陷明细!$AA$2:$AA$50000,"&lt;&gt;设计如此",缺陷明细!$AA$2:$AA$50000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51"/>
    </row>
    <row r="45" spans="1:37">
      <c r="A45">
        <v>41</v>
      </c>
      <c r="B45" s="57"/>
      <c r="C45" s="58"/>
      <c r="D45" s="84"/>
      <c r="E45" s="82"/>
      <c r="F45" s="165"/>
      <c r="G45" s="166"/>
      <c r="H45" s="305">
        <f>COUNTIFS(缺陷明细!$A$2:$A$50000,$B$4,缺陷明细!$G$2:$G$50000,$C45,缺陷明细!$J$2:$J$50000,"评审",缺陷明细!$AA$2:$AA$50000,"&lt;&gt;丢弃",缺陷明细!$AA$2:$AA$50000,"&lt;&gt;设计如此",缺陷明细!$AA$2:$AA$50000,"&lt;&gt;重复Bug")</f>
        <v>0</v>
      </c>
      <c r="I45" s="161">
        <f>COUNTIFS(缺陷明细!$A$2:$A$50000,$B$4,缺陷明细!$G$2:$G$50000,$C45,缺陷明细!$Q$2:$Q$50000,"已关闭",缺陷明细!$J$2:$J$50000,"评审")</f>
        <v>0</v>
      </c>
      <c r="J45" s="161">
        <f>COUNTIFS(缺陷明细!$A$2:$A$50000,$B$4,缺陷明细!$G$2:$G$50000,$C45,缺陷明细!$J$2:$J$50000,"单元测试",缺陷明细!$AA$2:$AA$50000,"&lt;&gt;丢弃",缺陷明细!$AA$2:$AA$50000,"&lt;&gt;设计如此",缺陷明细!$AA$2:$AA$50000,"&lt;&gt;重复Bug")</f>
        <v>0</v>
      </c>
      <c r="K45" s="162">
        <f>COUNTIFS(缺陷明细!$A$2:$A$50000,$B$4,缺陷明细!$G$2:$G$50000,$C45,缺陷明细!$Q$2:$Q$50000,"已关闭",缺陷明细!$J$2:$J$50000,"单元测试")</f>
        <v>0</v>
      </c>
      <c r="L45" s="163"/>
      <c r="M45" s="164"/>
      <c r="N45" s="72">
        <f>COUNTIFS(缺陷明细!$A$2:$A$50000,$B$4,缺陷明细!$G$2:$G$50000,$C45,缺陷明细!$J$2:$J$50000,"系统测试案例评审",缺陷明细!$AA$2:$AA$50000,"&lt;&gt;丢弃",缺陷明细!$AA$2:$AA$50000,"&lt;&gt;设计如此",缺陷明细!$AA$2:$AA$50000,"&lt;&gt;重复Bug")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COUNTIFS(缺陷明细!$A$2:$A$50000,$B$4,缺陷明细!$G$2:$G$50000,$C45,缺陷明细!$J$2:$J$50000,"系统测试",缺陷明细!$AA$2:$AA$50000,"&lt;&gt;丢弃",缺陷明细!$AA$2:$AA$50000,"&lt;&gt;设计如此",缺陷明细!$AA$2:$AA$50000,"&lt;&gt;重复Bug")</f>
        <v>0</v>
      </c>
      <c r="Q45" s="72">
        <f>COUNTIFS(缺陷明细!$A$2:$A$50000,$B$4,缺陷明细!$G$2:$G$50000,$C45,缺陷明细!$Q$2:$Q$50000,"已关闭",缺陷明细!$J$2:$J$50000,"系统测试")</f>
        <v>0</v>
      </c>
      <c r="R45" s="72">
        <f>COUNTIFS(缺陷明细!$A$2:$A$50000,$B$4,缺陷明细!$G$2:$G$50000,$C45,缺陷明细!$AA$2:$AA$50000,"丢弃",缺陷明细!$J$2:$J$50000,"系统测试")+COUNTIFS(缺陷明细!$A$2:$A$50000,$B$4,缺陷明细!$G$2:$G$50000,$C45,缺陷明细!$AA$2:$AA$50000,"设计如此",缺陷明细!$J$2:$J$50000,"系统测试"+COUNTIFS(缺陷明细!$A$2:$A$50000,$B$4,缺陷明细!$G$2:$G$50000,$C45,缺陷明细!$AA$2:$AA$50000,"重复Bug",缺陷明细!$J$2:$J$50000,"系统测试"))</f>
        <v>0</v>
      </c>
      <c r="S45" s="72">
        <f>COUNTIFS(缺陷明细!$A$2:$A$50000,$B$4,缺陷明细!$G$2:$G$50000,$C45,缺陷明细!$J$2:$J$50000,"系统测试",缺陷明细!$K$2:$K$50000,"致命",缺陷明细!$AA$2:$AA$50000,"&lt;&gt;丢弃",缺陷明细!$AA$2:$AA$50000,"&lt;&gt;设计如此",缺陷明细!$AA$2:$AA$50000,"&lt;&gt;重复Bug")+COUNTIFS(缺陷明细!$A$2:$A$50000,$B$4,缺陷明细!$G$2:$G$50000,$C45,缺陷明细!$J$2:$J$50000,"系统测试",缺陷明细!$K$2:$K$50000,"严重",缺陷明细!$AA$2:$AA$50000,"&lt;&gt;丢弃",缺陷明细!$AA$2:$AA$50000,"&lt;&gt;设计如此",缺陷明细!$AA$2:$AA$50000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COUNTIFS(缺陷明细!$A$2:$A$50000,$B$4,缺陷明细!$G$2:$G$50000,$C45,缺陷明细!$J$2:$J$50000,"验收测试",缺陷明细!$AA$2:$AA$50000,"&lt;&gt;丢弃",缺陷明细!$AA$2:$AA$50000,"&lt;&gt;设计如此",缺陷明细!$AA$2:$AA$50000,"&lt;&gt;重复Bug")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A$2:$AA$50000,"&lt;&gt;丢弃",缺陷明细!$AA$2:$AA$50000,"&lt;&gt;设计如此",缺陷明细!$AA$2:$AA$50000,"&lt;&gt;重复Bug")+COUNTIFS(缺陷明细!$A$2:$A$50000,$B$4,缺陷明细!$G$2:$G$50000,$C45,缺陷明细!$J$2:$J$50000,"验收测试",缺陷明细!$K$2:$K$50000,"严重",缺陷明细!$AA$2:$AA$50000,"&lt;&gt;丢弃",缺陷明细!$AA$2:$AA$50000,"&lt;&gt;设计如此",缺陷明细!$AA$2:$AA$50000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COUNTIFS(缺陷明细!$A$2:$A$50000,$B$4,缺陷明细!$G$2:$G$50000,$C45,缺陷明细!$J$2:$J$50000,"运维测试",缺陷明细!$AA$2:$AA$50000,"&lt;&gt;丢弃",缺陷明细!$AA$2:$AA$50000,"&lt;&gt;设计如此",缺陷明细!$AA$2:$AA$50000,"&lt;&gt;重复Bug")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A$2:$AA$50000,"&lt;&gt;丢弃",缺陷明细!$AA$2:$AA$50000,"&lt;&gt;设计如此",缺陷明细!$AA$2:$AA$50000,"&lt;&gt;重复Bug")+COUNTIFS(缺陷明细!$A$2:$A$50000,$B$4,缺陷明细!$G$2:$G$50000,$C45,缺陷明细!$J$2:$J$50000,"运维测试",缺陷明细!$K$2:$K$50000,"严重",缺陷明细!$AA$2:$AA$50000,"&lt;&gt;丢弃",缺陷明细!$AA$2:$AA$50000,"&lt;&gt;设计如此",缺陷明细!$AA$2:$AA$50000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51"/>
    </row>
    <row r="46" spans="1:37">
      <c r="A46">
        <v>42</v>
      </c>
      <c r="B46" s="57"/>
      <c r="C46" s="58"/>
      <c r="D46" s="84"/>
      <c r="E46" s="82"/>
      <c r="F46" s="165"/>
      <c r="G46" s="166"/>
      <c r="H46" s="305">
        <f>COUNTIFS(缺陷明细!$A$2:$A$50000,$B$4,缺陷明细!$G$2:$G$50000,$C46,缺陷明细!$J$2:$J$50000,"评审",缺陷明细!$AA$2:$AA$50000,"&lt;&gt;丢弃",缺陷明细!$AA$2:$AA$50000,"&lt;&gt;设计如此",缺陷明细!$AA$2:$AA$50000,"&lt;&gt;重复Bug")</f>
        <v>0</v>
      </c>
      <c r="I46" s="161">
        <f>COUNTIFS(缺陷明细!$A$2:$A$50000,$B$4,缺陷明细!$G$2:$G$50000,$C46,缺陷明细!$Q$2:$Q$50000,"已关闭",缺陷明细!$J$2:$J$50000,"评审")</f>
        <v>0</v>
      </c>
      <c r="J46" s="161">
        <f>COUNTIFS(缺陷明细!$A$2:$A$50000,$B$4,缺陷明细!$G$2:$G$50000,$C46,缺陷明细!$J$2:$J$50000,"单元测试",缺陷明细!$AA$2:$AA$50000,"&lt;&gt;丢弃",缺陷明细!$AA$2:$AA$50000,"&lt;&gt;设计如此",缺陷明细!$AA$2:$AA$50000,"&lt;&gt;重复Bug")</f>
        <v>0</v>
      </c>
      <c r="K46" s="162">
        <f>COUNTIFS(缺陷明细!$A$2:$A$50000,$B$4,缺陷明细!$G$2:$G$50000,$C46,缺陷明细!$Q$2:$Q$50000,"已关闭",缺陷明细!$J$2:$J$50000,"单元测试")</f>
        <v>0</v>
      </c>
      <c r="L46" s="163"/>
      <c r="M46" s="164"/>
      <c r="N46" s="72">
        <f>COUNTIFS(缺陷明细!$A$2:$A$50000,$B$4,缺陷明细!$G$2:$G$50000,$C46,缺陷明细!$J$2:$J$50000,"系统测试案例评审",缺陷明细!$AA$2:$AA$50000,"&lt;&gt;丢弃",缺陷明细!$AA$2:$AA$50000,"&lt;&gt;设计如此",缺陷明细!$AA$2:$AA$50000,"&lt;&gt;重复Bug")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COUNTIFS(缺陷明细!$A$2:$A$50000,$B$4,缺陷明细!$G$2:$G$50000,$C46,缺陷明细!$J$2:$J$50000,"系统测试",缺陷明细!$AA$2:$AA$50000,"&lt;&gt;丢弃",缺陷明细!$AA$2:$AA$50000,"&lt;&gt;设计如此",缺陷明细!$AA$2:$AA$50000,"&lt;&gt;重复Bug")</f>
        <v>0</v>
      </c>
      <c r="Q46" s="72">
        <f>COUNTIFS(缺陷明细!$A$2:$A$50000,$B$4,缺陷明细!$G$2:$G$50000,$C46,缺陷明细!$Q$2:$Q$50000,"已关闭",缺陷明细!$J$2:$J$50000,"系统测试")</f>
        <v>0</v>
      </c>
      <c r="R46" s="72">
        <f>COUNTIFS(缺陷明细!$A$2:$A$50000,$B$4,缺陷明细!$G$2:$G$50000,$C46,缺陷明细!$AA$2:$AA$50000,"丢弃",缺陷明细!$J$2:$J$50000,"系统测试")+COUNTIFS(缺陷明细!$A$2:$A$50000,$B$4,缺陷明细!$G$2:$G$50000,$C46,缺陷明细!$AA$2:$AA$50000,"设计如此",缺陷明细!$J$2:$J$50000,"系统测试"+COUNTIFS(缺陷明细!$A$2:$A$50000,$B$4,缺陷明细!$G$2:$G$50000,$C46,缺陷明细!$AA$2:$AA$50000,"重复Bug",缺陷明细!$J$2:$J$50000,"系统测试"))</f>
        <v>0</v>
      </c>
      <c r="S46" s="72">
        <f>COUNTIFS(缺陷明细!$A$2:$A$50000,$B$4,缺陷明细!$G$2:$G$50000,$C46,缺陷明细!$J$2:$J$50000,"系统测试",缺陷明细!$K$2:$K$50000,"致命",缺陷明细!$AA$2:$AA$50000,"&lt;&gt;丢弃",缺陷明细!$AA$2:$AA$50000,"&lt;&gt;设计如此",缺陷明细!$AA$2:$AA$50000,"&lt;&gt;重复Bug")+COUNTIFS(缺陷明细!$A$2:$A$50000,$B$4,缺陷明细!$G$2:$G$50000,$C46,缺陷明细!$J$2:$J$50000,"系统测试",缺陷明细!$K$2:$K$50000,"严重",缺陷明细!$AA$2:$AA$50000,"&lt;&gt;丢弃",缺陷明细!$AA$2:$AA$50000,"&lt;&gt;设计如此",缺陷明细!$AA$2:$AA$50000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COUNTIFS(缺陷明细!$A$2:$A$50000,$B$4,缺陷明细!$G$2:$G$50000,$C46,缺陷明细!$J$2:$J$50000,"验收测试",缺陷明细!$AA$2:$AA$50000,"&lt;&gt;丢弃",缺陷明细!$AA$2:$AA$50000,"&lt;&gt;设计如此",缺陷明细!$AA$2:$AA$50000,"&lt;&gt;重复Bug")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A$2:$AA$50000,"&lt;&gt;丢弃",缺陷明细!$AA$2:$AA$50000,"&lt;&gt;设计如此",缺陷明细!$AA$2:$AA$50000,"&lt;&gt;重复Bug")+COUNTIFS(缺陷明细!$A$2:$A$50000,$B$4,缺陷明细!$G$2:$G$50000,$C46,缺陷明细!$J$2:$J$50000,"验收测试",缺陷明细!$K$2:$K$50000,"严重",缺陷明细!$AA$2:$AA$50000,"&lt;&gt;丢弃",缺陷明细!$AA$2:$AA$50000,"&lt;&gt;设计如此",缺陷明细!$AA$2:$AA$50000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COUNTIFS(缺陷明细!$A$2:$A$50000,$B$4,缺陷明细!$G$2:$G$50000,$C46,缺陷明细!$J$2:$J$50000,"运维测试",缺陷明细!$AA$2:$AA$50000,"&lt;&gt;丢弃",缺陷明细!$AA$2:$AA$50000,"&lt;&gt;设计如此",缺陷明细!$AA$2:$AA$50000,"&lt;&gt;重复Bug")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A$2:$AA$50000,"&lt;&gt;丢弃",缺陷明细!$AA$2:$AA$50000,"&lt;&gt;设计如此",缺陷明细!$AA$2:$AA$50000,"&lt;&gt;重复Bug")+COUNTIFS(缺陷明细!$A$2:$A$50000,$B$4,缺陷明细!$G$2:$G$50000,$C46,缺陷明细!$J$2:$J$50000,"运维测试",缺陷明细!$K$2:$K$50000,"严重",缺陷明细!$AA$2:$AA$50000,"&lt;&gt;丢弃",缺陷明细!$AA$2:$AA$50000,"&lt;&gt;设计如此",缺陷明细!$AA$2:$AA$50000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51"/>
    </row>
    <row r="47" spans="1:37">
      <c r="A47">
        <v>43</v>
      </c>
      <c r="B47" s="57"/>
      <c r="C47" s="58"/>
      <c r="D47" s="84"/>
      <c r="E47" s="82"/>
      <c r="F47" s="165"/>
      <c r="G47" s="166"/>
      <c r="H47" s="305">
        <f>COUNTIFS(缺陷明细!$A$2:$A$50000,$B$4,缺陷明细!$G$2:$G$50000,$C47,缺陷明细!$J$2:$J$50000,"评审",缺陷明细!$AA$2:$AA$50000,"&lt;&gt;丢弃",缺陷明细!$AA$2:$AA$50000,"&lt;&gt;设计如此",缺陷明细!$AA$2:$AA$50000,"&lt;&gt;重复Bug")</f>
        <v>0</v>
      </c>
      <c r="I47" s="161">
        <f>COUNTIFS(缺陷明细!$A$2:$A$50000,$B$4,缺陷明细!$G$2:$G$50000,$C47,缺陷明细!$Q$2:$Q$50000,"已关闭",缺陷明细!$J$2:$J$50000,"评审")</f>
        <v>0</v>
      </c>
      <c r="J47" s="161">
        <f>COUNTIFS(缺陷明细!$A$2:$A$50000,$B$4,缺陷明细!$G$2:$G$50000,$C47,缺陷明细!$J$2:$J$50000,"单元测试",缺陷明细!$AA$2:$AA$50000,"&lt;&gt;丢弃",缺陷明细!$AA$2:$AA$50000,"&lt;&gt;设计如此",缺陷明细!$AA$2:$AA$50000,"&lt;&gt;重复Bug")</f>
        <v>0</v>
      </c>
      <c r="K47" s="162">
        <f>COUNTIFS(缺陷明细!$A$2:$A$50000,$B$4,缺陷明细!$G$2:$G$50000,$C47,缺陷明细!$Q$2:$Q$50000,"已关闭",缺陷明细!$J$2:$J$50000,"单元测试")</f>
        <v>0</v>
      </c>
      <c r="L47" s="163"/>
      <c r="M47" s="164"/>
      <c r="N47" s="72">
        <f>COUNTIFS(缺陷明细!$A$2:$A$50000,$B$4,缺陷明细!$G$2:$G$50000,$C47,缺陷明细!$J$2:$J$50000,"系统测试案例评审",缺陷明细!$AA$2:$AA$50000,"&lt;&gt;丢弃",缺陷明细!$AA$2:$AA$50000,"&lt;&gt;设计如此",缺陷明细!$AA$2:$AA$50000,"&lt;&gt;重复Bug")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COUNTIFS(缺陷明细!$A$2:$A$50000,$B$4,缺陷明细!$G$2:$G$50000,$C47,缺陷明细!$J$2:$J$50000,"系统测试",缺陷明细!$AA$2:$AA$50000,"&lt;&gt;丢弃",缺陷明细!$AA$2:$AA$50000,"&lt;&gt;设计如此",缺陷明细!$AA$2:$AA$50000,"&lt;&gt;重复Bug")</f>
        <v>0</v>
      </c>
      <c r="Q47" s="72">
        <f>COUNTIFS(缺陷明细!$A$2:$A$50000,$B$4,缺陷明细!$G$2:$G$50000,$C47,缺陷明细!$Q$2:$Q$50000,"已关闭",缺陷明细!$J$2:$J$50000,"系统测试")</f>
        <v>0</v>
      </c>
      <c r="R47" s="72">
        <f>COUNTIFS(缺陷明细!$A$2:$A$50000,$B$4,缺陷明细!$G$2:$G$50000,$C47,缺陷明细!$AA$2:$AA$50000,"丢弃",缺陷明细!$J$2:$J$50000,"系统测试")+COUNTIFS(缺陷明细!$A$2:$A$50000,$B$4,缺陷明细!$G$2:$G$50000,$C47,缺陷明细!$AA$2:$AA$50000,"设计如此",缺陷明细!$J$2:$J$50000,"系统测试"+COUNTIFS(缺陷明细!$A$2:$A$50000,$B$4,缺陷明细!$G$2:$G$50000,$C47,缺陷明细!$AA$2:$AA$50000,"重复Bug",缺陷明细!$J$2:$J$50000,"系统测试"))</f>
        <v>0</v>
      </c>
      <c r="S47" s="72">
        <f>COUNTIFS(缺陷明细!$A$2:$A$50000,$B$4,缺陷明细!$G$2:$G$50000,$C47,缺陷明细!$J$2:$J$50000,"系统测试",缺陷明细!$K$2:$K$50000,"致命",缺陷明细!$AA$2:$AA$50000,"&lt;&gt;丢弃",缺陷明细!$AA$2:$AA$50000,"&lt;&gt;设计如此",缺陷明细!$AA$2:$AA$50000,"&lt;&gt;重复Bug")+COUNTIFS(缺陷明细!$A$2:$A$50000,$B$4,缺陷明细!$G$2:$G$50000,$C47,缺陷明细!$J$2:$J$50000,"系统测试",缺陷明细!$K$2:$K$50000,"严重",缺陷明细!$AA$2:$AA$50000,"&lt;&gt;丢弃",缺陷明细!$AA$2:$AA$50000,"&lt;&gt;设计如此",缺陷明细!$AA$2:$AA$50000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COUNTIFS(缺陷明细!$A$2:$A$50000,$B$4,缺陷明细!$G$2:$G$50000,$C47,缺陷明细!$J$2:$J$50000,"验收测试",缺陷明细!$AA$2:$AA$50000,"&lt;&gt;丢弃",缺陷明细!$AA$2:$AA$50000,"&lt;&gt;设计如此",缺陷明细!$AA$2:$AA$50000,"&lt;&gt;重复Bug")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A$2:$AA$50000,"&lt;&gt;丢弃",缺陷明细!$AA$2:$AA$50000,"&lt;&gt;设计如此",缺陷明细!$AA$2:$AA$50000,"&lt;&gt;重复Bug")+COUNTIFS(缺陷明细!$A$2:$A$50000,$B$4,缺陷明细!$G$2:$G$50000,$C47,缺陷明细!$J$2:$J$50000,"验收测试",缺陷明细!$K$2:$K$50000,"严重",缺陷明细!$AA$2:$AA$50000,"&lt;&gt;丢弃",缺陷明细!$AA$2:$AA$50000,"&lt;&gt;设计如此",缺陷明细!$AA$2:$AA$50000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COUNTIFS(缺陷明细!$A$2:$A$50000,$B$4,缺陷明细!$G$2:$G$50000,$C47,缺陷明细!$J$2:$J$50000,"运维测试",缺陷明细!$AA$2:$AA$50000,"&lt;&gt;丢弃",缺陷明细!$AA$2:$AA$50000,"&lt;&gt;设计如此",缺陷明细!$AA$2:$AA$50000,"&lt;&gt;重复Bug")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A$2:$AA$50000,"&lt;&gt;丢弃",缺陷明细!$AA$2:$AA$50000,"&lt;&gt;设计如此",缺陷明细!$AA$2:$AA$50000,"&lt;&gt;重复Bug")+COUNTIFS(缺陷明细!$A$2:$A$50000,$B$4,缺陷明细!$G$2:$G$50000,$C47,缺陷明细!$J$2:$J$50000,"运维测试",缺陷明细!$K$2:$K$50000,"严重",缺陷明细!$AA$2:$AA$50000,"&lt;&gt;丢弃",缺陷明细!$AA$2:$AA$50000,"&lt;&gt;设计如此",缺陷明细!$AA$2:$AA$50000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51"/>
    </row>
    <row r="48" spans="1:37">
      <c r="A48">
        <v>44</v>
      </c>
      <c r="B48" s="57"/>
      <c r="C48" s="58"/>
      <c r="D48" s="84"/>
      <c r="E48" s="82"/>
      <c r="F48" s="165"/>
      <c r="G48" s="166"/>
      <c r="H48" s="305">
        <f>COUNTIFS(缺陷明细!$A$2:$A$50000,$B$4,缺陷明细!$G$2:$G$50000,$C48,缺陷明细!$J$2:$J$50000,"评审",缺陷明细!$AA$2:$AA$50000,"&lt;&gt;丢弃",缺陷明细!$AA$2:$AA$50000,"&lt;&gt;设计如此",缺陷明细!$AA$2:$AA$50000,"&lt;&gt;重复Bug")</f>
        <v>0</v>
      </c>
      <c r="I48" s="161">
        <f>COUNTIFS(缺陷明细!$A$2:$A$50000,$B$4,缺陷明细!$G$2:$G$50000,$C48,缺陷明细!$Q$2:$Q$50000,"已关闭",缺陷明细!$J$2:$J$50000,"评审")</f>
        <v>0</v>
      </c>
      <c r="J48" s="161">
        <f>COUNTIFS(缺陷明细!$A$2:$A$50000,$B$4,缺陷明细!$G$2:$G$50000,$C48,缺陷明细!$J$2:$J$50000,"单元测试",缺陷明细!$AA$2:$AA$50000,"&lt;&gt;丢弃",缺陷明细!$AA$2:$AA$50000,"&lt;&gt;设计如此",缺陷明细!$AA$2:$AA$50000,"&lt;&gt;重复Bug")</f>
        <v>0</v>
      </c>
      <c r="K48" s="162">
        <f>COUNTIFS(缺陷明细!$A$2:$A$50000,$B$4,缺陷明细!$G$2:$G$50000,$C48,缺陷明细!$Q$2:$Q$50000,"已关闭",缺陷明细!$J$2:$J$50000,"单元测试")</f>
        <v>0</v>
      </c>
      <c r="L48" s="163"/>
      <c r="M48" s="164"/>
      <c r="N48" s="72">
        <f>COUNTIFS(缺陷明细!$A$2:$A$50000,$B$4,缺陷明细!$G$2:$G$50000,$C48,缺陷明细!$J$2:$J$50000,"系统测试案例评审",缺陷明细!$AA$2:$AA$50000,"&lt;&gt;丢弃",缺陷明细!$AA$2:$AA$50000,"&lt;&gt;设计如此",缺陷明细!$AA$2:$AA$50000,"&lt;&gt;重复Bug")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COUNTIFS(缺陷明细!$A$2:$A$50000,$B$4,缺陷明细!$G$2:$G$50000,$C48,缺陷明细!$J$2:$J$50000,"系统测试",缺陷明细!$AA$2:$AA$50000,"&lt;&gt;丢弃",缺陷明细!$AA$2:$AA$50000,"&lt;&gt;设计如此",缺陷明细!$AA$2:$AA$50000,"&lt;&gt;重复Bug")</f>
        <v>0</v>
      </c>
      <c r="Q48" s="72">
        <f>COUNTIFS(缺陷明细!$A$2:$A$50000,$B$4,缺陷明细!$G$2:$G$50000,$C48,缺陷明细!$Q$2:$Q$50000,"已关闭",缺陷明细!$J$2:$J$50000,"系统测试")</f>
        <v>0</v>
      </c>
      <c r="R48" s="72">
        <f>COUNTIFS(缺陷明细!$A$2:$A$50000,$B$4,缺陷明细!$G$2:$G$50000,$C48,缺陷明细!$AA$2:$AA$50000,"丢弃",缺陷明细!$J$2:$J$50000,"系统测试")+COUNTIFS(缺陷明细!$A$2:$A$50000,$B$4,缺陷明细!$G$2:$G$50000,$C48,缺陷明细!$AA$2:$AA$50000,"设计如此",缺陷明细!$J$2:$J$50000,"系统测试"+COUNTIFS(缺陷明细!$A$2:$A$50000,$B$4,缺陷明细!$G$2:$G$50000,$C48,缺陷明细!$AA$2:$AA$50000,"重复Bug",缺陷明细!$J$2:$J$50000,"系统测试"))</f>
        <v>0</v>
      </c>
      <c r="S48" s="72">
        <f>COUNTIFS(缺陷明细!$A$2:$A$50000,$B$4,缺陷明细!$G$2:$G$50000,$C48,缺陷明细!$J$2:$J$50000,"系统测试",缺陷明细!$K$2:$K$50000,"致命",缺陷明细!$AA$2:$AA$50000,"&lt;&gt;丢弃",缺陷明细!$AA$2:$AA$50000,"&lt;&gt;设计如此",缺陷明细!$AA$2:$AA$50000,"&lt;&gt;重复Bug")+COUNTIFS(缺陷明细!$A$2:$A$50000,$B$4,缺陷明细!$G$2:$G$50000,$C48,缺陷明细!$J$2:$J$50000,"系统测试",缺陷明细!$K$2:$K$50000,"严重",缺陷明细!$AA$2:$AA$50000,"&lt;&gt;丢弃",缺陷明细!$AA$2:$AA$50000,"&lt;&gt;设计如此",缺陷明细!$AA$2:$AA$50000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COUNTIFS(缺陷明细!$A$2:$A$50000,$B$4,缺陷明细!$G$2:$G$50000,$C48,缺陷明细!$J$2:$J$50000,"验收测试",缺陷明细!$AA$2:$AA$50000,"&lt;&gt;丢弃",缺陷明细!$AA$2:$AA$50000,"&lt;&gt;设计如此",缺陷明细!$AA$2:$AA$50000,"&lt;&gt;重复Bug")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A$2:$AA$50000,"&lt;&gt;丢弃",缺陷明细!$AA$2:$AA$50000,"&lt;&gt;设计如此",缺陷明细!$AA$2:$AA$50000,"&lt;&gt;重复Bug")+COUNTIFS(缺陷明细!$A$2:$A$50000,$B$4,缺陷明细!$G$2:$G$50000,$C48,缺陷明细!$J$2:$J$50000,"验收测试",缺陷明细!$K$2:$K$50000,"严重",缺陷明细!$AA$2:$AA$50000,"&lt;&gt;丢弃",缺陷明细!$AA$2:$AA$50000,"&lt;&gt;设计如此",缺陷明细!$AA$2:$AA$50000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COUNTIFS(缺陷明细!$A$2:$A$50000,$B$4,缺陷明细!$G$2:$G$50000,$C48,缺陷明细!$J$2:$J$50000,"运维测试",缺陷明细!$AA$2:$AA$50000,"&lt;&gt;丢弃",缺陷明细!$AA$2:$AA$50000,"&lt;&gt;设计如此",缺陷明细!$AA$2:$AA$50000,"&lt;&gt;重复Bug")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A$2:$AA$50000,"&lt;&gt;丢弃",缺陷明细!$AA$2:$AA$50000,"&lt;&gt;设计如此",缺陷明细!$AA$2:$AA$50000,"&lt;&gt;重复Bug")+COUNTIFS(缺陷明细!$A$2:$A$50000,$B$4,缺陷明细!$G$2:$G$50000,$C48,缺陷明细!$J$2:$J$50000,"运维测试",缺陷明细!$K$2:$K$50000,"严重",缺陷明细!$AA$2:$AA$50000,"&lt;&gt;丢弃",缺陷明细!$AA$2:$AA$50000,"&lt;&gt;设计如此",缺陷明细!$AA$2:$AA$50000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51"/>
    </row>
    <row r="49" spans="1:37">
      <c r="A49">
        <v>45</v>
      </c>
      <c r="B49" s="57"/>
      <c r="C49" s="58"/>
      <c r="D49" s="84"/>
      <c r="E49" s="82"/>
      <c r="F49" s="165"/>
      <c r="G49" s="166"/>
      <c r="H49" s="305">
        <f>COUNTIFS(缺陷明细!$A$2:$A$50000,$B$4,缺陷明细!$G$2:$G$50000,$C49,缺陷明细!$J$2:$J$50000,"评审",缺陷明细!$AA$2:$AA$50000,"&lt;&gt;丢弃",缺陷明细!$AA$2:$AA$50000,"&lt;&gt;设计如此",缺陷明细!$AA$2:$AA$50000,"&lt;&gt;重复Bug")</f>
        <v>0</v>
      </c>
      <c r="I49" s="161">
        <f>COUNTIFS(缺陷明细!$A$2:$A$50000,$B$4,缺陷明细!$G$2:$G$50000,$C49,缺陷明细!$Q$2:$Q$50000,"已关闭",缺陷明细!$J$2:$J$50000,"评审")</f>
        <v>0</v>
      </c>
      <c r="J49" s="161">
        <f>COUNTIFS(缺陷明细!$A$2:$A$50000,$B$4,缺陷明细!$G$2:$G$50000,$C49,缺陷明细!$J$2:$J$50000,"单元测试",缺陷明细!$AA$2:$AA$50000,"&lt;&gt;丢弃",缺陷明细!$AA$2:$AA$50000,"&lt;&gt;设计如此",缺陷明细!$AA$2:$AA$50000,"&lt;&gt;重复Bug")</f>
        <v>0</v>
      </c>
      <c r="K49" s="162">
        <f>COUNTIFS(缺陷明细!$A$2:$A$50000,$B$4,缺陷明细!$G$2:$G$50000,$C49,缺陷明细!$Q$2:$Q$50000,"已关闭",缺陷明细!$J$2:$J$50000,"单元测试")</f>
        <v>0</v>
      </c>
      <c r="L49" s="163"/>
      <c r="M49" s="164"/>
      <c r="N49" s="72">
        <f>COUNTIFS(缺陷明细!$A$2:$A$50000,$B$4,缺陷明细!$G$2:$G$50000,$C49,缺陷明细!$J$2:$J$50000,"系统测试案例评审",缺陷明细!$AA$2:$AA$50000,"&lt;&gt;丢弃",缺陷明细!$AA$2:$AA$50000,"&lt;&gt;设计如此",缺陷明细!$AA$2:$AA$50000,"&lt;&gt;重复Bug")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COUNTIFS(缺陷明细!$A$2:$A$50000,$B$4,缺陷明细!$G$2:$G$50000,$C49,缺陷明细!$J$2:$J$50000,"系统测试",缺陷明细!$AA$2:$AA$50000,"&lt;&gt;丢弃",缺陷明细!$AA$2:$AA$50000,"&lt;&gt;设计如此",缺陷明细!$AA$2:$AA$50000,"&lt;&gt;重复Bug")</f>
        <v>0</v>
      </c>
      <c r="Q49" s="72">
        <f>COUNTIFS(缺陷明细!$A$2:$A$50000,$B$4,缺陷明细!$G$2:$G$50000,$C49,缺陷明细!$Q$2:$Q$50000,"已关闭",缺陷明细!$J$2:$J$50000,"系统测试")</f>
        <v>0</v>
      </c>
      <c r="R49" s="72">
        <f>COUNTIFS(缺陷明细!$A$2:$A$50000,$B$4,缺陷明细!$G$2:$G$50000,$C49,缺陷明细!$AA$2:$AA$50000,"丢弃",缺陷明细!$J$2:$J$50000,"系统测试")+COUNTIFS(缺陷明细!$A$2:$A$50000,$B$4,缺陷明细!$G$2:$G$50000,$C49,缺陷明细!$AA$2:$AA$50000,"设计如此",缺陷明细!$J$2:$J$50000,"系统测试"+COUNTIFS(缺陷明细!$A$2:$A$50000,$B$4,缺陷明细!$G$2:$G$50000,$C49,缺陷明细!$AA$2:$AA$50000,"重复Bug",缺陷明细!$J$2:$J$50000,"系统测试"))</f>
        <v>0</v>
      </c>
      <c r="S49" s="72">
        <f>COUNTIFS(缺陷明细!$A$2:$A$50000,$B$4,缺陷明细!$G$2:$G$50000,$C49,缺陷明细!$J$2:$J$50000,"系统测试",缺陷明细!$K$2:$K$50000,"致命",缺陷明细!$AA$2:$AA$50000,"&lt;&gt;丢弃",缺陷明细!$AA$2:$AA$50000,"&lt;&gt;设计如此",缺陷明细!$AA$2:$AA$50000,"&lt;&gt;重复Bug")+COUNTIFS(缺陷明细!$A$2:$A$50000,$B$4,缺陷明细!$G$2:$G$50000,$C49,缺陷明细!$J$2:$J$50000,"系统测试",缺陷明细!$K$2:$K$50000,"严重",缺陷明细!$AA$2:$AA$50000,"&lt;&gt;丢弃",缺陷明细!$AA$2:$AA$50000,"&lt;&gt;设计如此",缺陷明细!$AA$2:$AA$50000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COUNTIFS(缺陷明细!$A$2:$A$50000,$B$4,缺陷明细!$G$2:$G$50000,$C49,缺陷明细!$J$2:$J$50000,"验收测试",缺陷明细!$AA$2:$AA$50000,"&lt;&gt;丢弃",缺陷明细!$AA$2:$AA$50000,"&lt;&gt;设计如此",缺陷明细!$AA$2:$AA$50000,"&lt;&gt;重复Bug")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A$2:$AA$50000,"&lt;&gt;丢弃",缺陷明细!$AA$2:$AA$50000,"&lt;&gt;设计如此",缺陷明细!$AA$2:$AA$50000,"&lt;&gt;重复Bug")+COUNTIFS(缺陷明细!$A$2:$A$50000,$B$4,缺陷明细!$G$2:$G$50000,$C49,缺陷明细!$J$2:$J$50000,"验收测试",缺陷明细!$K$2:$K$50000,"严重",缺陷明细!$AA$2:$AA$50000,"&lt;&gt;丢弃",缺陷明细!$AA$2:$AA$50000,"&lt;&gt;设计如此",缺陷明细!$AA$2:$AA$50000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COUNTIFS(缺陷明细!$A$2:$A$50000,$B$4,缺陷明细!$G$2:$G$50000,$C49,缺陷明细!$J$2:$J$50000,"运维测试",缺陷明细!$AA$2:$AA$50000,"&lt;&gt;丢弃",缺陷明细!$AA$2:$AA$50000,"&lt;&gt;设计如此",缺陷明细!$AA$2:$AA$50000,"&lt;&gt;重复Bug")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A$2:$AA$50000,"&lt;&gt;丢弃",缺陷明细!$AA$2:$AA$50000,"&lt;&gt;设计如此",缺陷明细!$AA$2:$AA$50000,"&lt;&gt;重复Bug")+COUNTIFS(缺陷明细!$A$2:$A$50000,$B$4,缺陷明细!$G$2:$G$50000,$C49,缺陷明细!$J$2:$J$50000,"运维测试",缺陷明细!$K$2:$K$50000,"严重",缺陷明细!$AA$2:$AA$50000,"&lt;&gt;丢弃",缺陷明细!$AA$2:$AA$50000,"&lt;&gt;设计如此",缺陷明细!$AA$2:$AA$50000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51"/>
    </row>
    <row r="50" spans="1:37">
      <c r="A50">
        <v>46</v>
      </c>
      <c r="B50" s="57"/>
      <c r="C50" s="58"/>
      <c r="D50" s="84"/>
      <c r="E50" s="82"/>
      <c r="F50" s="165"/>
      <c r="G50" s="166"/>
      <c r="H50" s="305">
        <f>COUNTIFS(缺陷明细!$A$2:$A$50000,$B$4,缺陷明细!$G$2:$G$50000,$C50,缺陷明细!$J$2:$J$50000,"评审",缺陷明细!$AA$2:$AA$50000,"&lt;&gt;丢弃",缺陷明细!$AA$2:$AA$50000,"&lt;&gt;设计如此",缺陷明细!$AA$2:$AA$50000,"&lt;&gt;重复Bug")</f>
        <v>0</v>
      </c>
      <c r="I50" s="161">
        <f>COUNTIFS(缺陷明细!$A$2:$A$50000,$B$4,缺陷明细!$G$2:$G$50000,$C50,缺陷明细!$Q$2:$Q$50000,"已关闭",缺陷明细!$J$2:$J$50000,"评审")</f>
        <v>0</v>
      </c>
      <c r="J50" s="161">
        <f>COUNTIFS(缺陷明细!$A$2:$A$50000,$B$4,缺陷明细!$G$2:$G$50000,$C50,缺陷明细!$J$2:$J$50000,"单元测试",缺陷明细!$AA$2:$AA$50000,"&lt;&gt;丢弃",缺陷明细!$AA$2:$AA$50000,"&lt;&gt;设计如此",缺陷明细!$AA$2:$AA$50000,"&lt;&gt;重复Bug")</f>
        <v>0</v>
      </c>
      <c r="K50" s="162">
        <f>COUNTIFS(缺陷明细!$A$2:$A$50000,$B$4,缺陷明细!$G$2:$G$50000,$C50,缺陷明细!$Q$2:$Q$50000,"已关闭",缺陷明细!$J$2:$J$50000,"单元测试")</f>
        <v>0</v>
      </c>
      <c r="L50" s="163"/>
      <c r="M50" s="164"/>
      <c r="N50" s="72">
        <f>COUNTIFS(缺陷明细!$A$2:$A$50000,$B$4,缺陷明细!$G$2:$G$50000,$C50,缺陷明细!$J$2:$J$50000,"系统测试案例评审",缺陷明细!$AA$2:$AA$50000,"&lt;&gt;丢弃",缺陷明细!$AA$2:$AA$50000,"&lt;&gt;设计如此",缺陷明细!$AA$2:$AA$50000,"&lt;&gt;重复Bug")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COUNTIFS(缺陷明细!$A$2:$A$50000,$B$4,缺陷明细!$G$2:$G$50000,$C50,缺陷明细!$J$2:$J$50000,"系统测试",缺陷明细!$AA$2:$AA$50000,"&lt;&gt;丢弃",缺陷明细!$AA$2:$AA$50000,"&lt;&gt;设计如此",缺陷明细!$AA$2:$AA$50000,"&lt;&gt;重复Bug")</f>
        <v>0</v>
      </c>
      <c r="Q50" s="72">
        <f>COUNTIFS(缺陷明细!$A$2:$A$50000,$B$4,缺陷明细!$G$2:$G$50000,$C50,缺陷明细!$Q$2:$Q$50000,"已关闭",缺陷明细!$J$2:$J$50000,"系统测试")</f>
        <v>0</v>
      </c>
      <c r="R50" s="72">
        <f>COUNTIFS(缺陷明细!$A$2:$A$50000,$B$4,缺陷明细!$G$2:$G$50000,$C50,缺陷明细!$AA$2:$AA$50000,"丢弃",缺陷明细!$J$2:$J$50000,"系统测试")+COUNTIFS(缺陷明细!$A$2:$A$50000,$B$4,缺陷明细!$G$2:$G$50000,$C50,缺陷明细!$AA$2:$AA$50000,"设计如此",缺陷明细!$J$2:$J$50000,"系统测试"+COUNTIFS(缺陷明细!$A$2:$A$50000,$B$4,缺陷明细!$G$2:$G$50000,$C50,缺陷明细!$AA$2:$AA$50000,"重复Bug",缺陷明细!$J$2:$J$50000,"系统测试"))</f>
        <v>0</v>
      </c>
      <c r="S50" s="72">
        <f>COUNTIFS(缺陷明细!$A$2:$A$50000,$B$4,缺陷明细!$G$2:$G$50000,$C50,缺陷明细!$J$2:$J$50000,"系统测试",缺陷明细!$K$2:$K$50000,"致命",缺陷明细!$AA$2:$AA$50000,"&lt;&gt;丢弃",缺陷明细!$AA$2:$AA$50000,"&lt;&gt;设计如此",缺陷明细!$AA$2:$AA$50000,"&lt;&gt;重复Bug")+COUNTIFS(缺陷明细!$A$2:$A$50000,$B$4,缺陷明细!$G$2:$G$50000,$C50,缺陷明细!$J$2:$J$50000,"系统测试",缺陷明细!$K$2:$K$50000,"严重",缺陷明细!$AA$2:$AA$50000,"&lt;&gt;丢弃",缺陷明细!$AA$2:$AA$50000,"&lt;&gt;设计如此",缺陷明细!$AA$2:$AA$50000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COUNTIFS(缺陷明细!$A$2:$A$50000,$B$4,缺陷明细!$G$2:$G$50000,$C50,缺陷明细!$J$2:$J$50000,"验收测试",缺陷明细!$AA$2:$AA$50000,"&lt;&gt;丢弃",缺陷明细!$AA$2:$AA$50000,"&lt;&gt;设计如此",缺陷明细!$AA$2:$AA$50000,"&lt;&gt;重复Bug")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A$2:$AA$50000,"&lt;&gt;丢弃",缺陷明细!$AA$2:$AA$50000,"&lt;&gt;设计如此",缺陷明细!$AA$2:$AA$50000,"&lt;&gt;重复Bug")+COUNTIFS(缺陷明细!$A$2:$A$50000,$B$4,缺陷明细!$G$2:$G$50000,$C50,缺陷明细!$J$2:$J$50000,"验收测试",缺陷明细!$K$2:$K$50000,"严重",缺陷明细!$AA$2:$AA$50000,"&lt;&gt;丢弃",缺陷明细!$AA$2:$AA$50000,"&lt;&gt;设计如此",缺陷明细!$AA$2:$AA$50000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COUNTIFS(缺陷明细!$A$2:$A$50000,$B$4,缺陷明细!$G$2:$G$50000,$C50,缺陷明细!$J$2:$J$50000,"运维测试",缺陷明细!$AA$2:$AA$50000,"&lt;&gt;丢弃",缺陷明细!$AA$2:$AA$50000,"&lt;&gt;设计如此",缺陷明细!$AA$2:$AA$50000,"&lt;&gt;重复Bug")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A$2:$AA$50000,"&lt;&gt;丢弃",缺陷明细!$AA$2:$AA$50000,"&lt;&gt;设计如此",缺陷明细!$AA$2:$AA$50000,"&lt;&gt;重复Bug")+COUNTIFS(缺陷明细!$A$2:$A$50000,$B$4,缺陷明细!$G$2:$G$50000,$C50,缺陷明细!$J$2:$J$50000,"运维测试",缺陷明细!$K$2:$K$50000,"严重",缺陷明细!$AA$2:$AA$50000,"&lt;&gt;丢弃",缺陷明细!$AA$2:$AA$50000,"&lt;&gt;设计如此",缺陷明细!$AA$2:$AA$50000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51"/>
    </row>
    <row r="51" spans="1:37">
      <c r="A51">
        <v>47</v>
      </c>
      <c r="B51" s="57"/>
      <c r="C51" s="58"/>
      <c r="D51" s="84"/>
      <c r="E51" s="82"/>
      <c r="F51" s="165"/>
      <c r="G51" s="166"/>
      <c r="H51" s="305">
        <f>COUNTIFS(缺陷明细!$A$2:$A$50000,$B$4,缺陷明细!$G$2:$G$50000,$C51,缺陷明细!$J$2:$J$50000,"评审",缺陷明细!$AA$2:$AA$50000,"&lt;&gt;丢弃",缺陷明细!$AA$2:$AA$50000,"&lt;&gt;设计如此",缺陷明细!$AA$2:$AA$50000,"&lt;&gt;重复Bug")</f>
        <v>0</v>
      </c>
      <c r="I51" s="161">
        <f>COUNTIFS(缺陷明细!$A$2:$A$50000,$B$4,缺陷明细!$G$2:$G$50000,$C51,缺陷明细!$Q$2:$Q$50000,"已关闭",缺陷明细!$J$2:$J$50000,"评审")</f>
        <v>0</v>
      </c>
      <c r="J51" s="161">
        <f>COUNTIFS(缺陷明细!$A$2:$A$50000,$B$4,缺陷明细!$G$2:$G$50000,$C51,缺陷明细!$J$2:$J$50000,"单元测试",缺陷明细!$AA$2:$AA$50000,"&lt;&gt;丢弃",缺陷明细!$AA$2:$AA$50000,"&lt;&gt;设计如此",缺陷明细!$AA$2:$AA$50000,"&lt;&gt;重复Bug")</f>
        <v>0</v>
      </c>
      <c r="K51" s="162">
        <f>COUNTIFS(缺陷明细!$A$2:$A$50000,$B$4,缺陷明细!$G$2:$G$50000,$C51,缺陷明细!$Q$2:$Q$50000,"已关闭",缺陷明细!$J$2:$J$50000,"单元测试")</f>
        <v>0</v>
      </c>
      <c r="L51" s="163"/>
      <c r="M51" s="164"/>
      <c r="N51" s="72">
        <f>COUNTIFS(缺陷明细!$A$2:$A$50000,$B$4,缺陷明细!$G$2:$G$50000,$C51,缺陷明细!$J$2:$J$50000,"系统测试案例评审",缺陷明细!$AA$2:$AA$50000,"&lt;&gt;丢弃",缺陷明细!$AA$2:$AA$50000,"&lt;&gt;设计如此",缺陷明细!$AA$2:$AA$50000,"&lt;&gt;重复Bug")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COUNTIFS(缺陷明细!$A$2:$A$50000,$B$4,缺陷明细!$G$2:$G$50000,$C51,缺陷明细!$J$2:$J$50000,"系统测试",缺陷明细!$AA$2:$AA$50000,"&lt;&gt;丢弃",缺陷明细!$AA$2:$AA$50000,"&lt;&gt;设计如此",缺陷明细!$AA$2:$AA$50000,"&lt;&gt;重复Bug")</f>
        <v>0</v>
      </c>
      <c r="Q51" s="72">
        <f>COUNTIFS(缺陷明细!$A$2:$A$50000,$B$4,缺陷明细!$G$2:$G$50000,$C51,缺陷明细!$Q$2:$Q$50000,"已关闭",缺陷明细!$J$2:$J$50000,"系统测试")</f>
        <v>0</v>
      </c>
      <c r="R51" s="72">
        <f>COUNTIFS(缺陷明细!$A$2:$A$50000,$B$4,缺陷明细!$G$2:$G$50000,$C51,缺陷明细!$AA$2:$AA$50000,"丢弃",缺陷明细!$J$2:$J$50000,"系统测试")+COUNTIFS(缺陷明细!$A$2:$A$50000,$B$4,缺陷明细!$G$2:$G$50000,$C51,缺陷明细!$AA$2:$AA$50000,"设计如此",缺陷明细!$J$2:$J$50000,"系统测试"+COUNTIFS(缺陷明细!$A$2:$A$50000,$B$4,缺陷明细!$G$2:$G$50000,$C51,缺陷明细!$AA$2:$AA$50000,"重复Bug",缺陷明细!$J$2:$J$50000,"系统测试"))</f>
        <v>0</v>
      </c>
      <c r="S51" s="72">
        <f>COUNTIFS(缺陷明细!$A$2:$A$50000,$B$4,缺陷明细!$G$2:$G$50000,$C51,缺陷明细!$J$2:$J$50000,"系统测试",缺陷明细!$K$2:$K$50000,"致命",缺陷明细!$AA$2:$AA$50000,"&lt;&gt;丢弃",缺陷明细!$AA$2:$AA$50000,"&lt;&gt;设计如此",缺陷明细!$AA$2:$AA$50000,"&lt;&gt;重复Bug")+COUNTIFS(缺陷明细!$A$2:$A$50000,$B$4,缺陷明细!$G$2:$G$50000,$C51,缺陷明细!$J$2:$J$50000,"系统测试",缺陷明细!$K$2:$K$50000,"严重",缺陷明细!$AA$2:$AA$50000,"&lt;&gt;丢弃",缺陷明细!$AA$2:$AA$50000,"&lt;&gt;设计如此",缺陷明细!$AA$2:$AA$50000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COUNTIFS(缺陷明细!$A$2:$A$50000,$B$4,缺陷明细!$G$2:$G$50000,$C51,缺陷明细!$J$2:$J$50000,"验收测试",缺陷明细!$AA$2:$AA$50000,"&lt;&gt;丢弃",缺陷明细!$AA$2:$AA$50000,"&lt;&gt;设计如此",缺陷明细!$AA$2:$AA$50000,"&lt;&gt;重复Bug")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A$2:$AA$50000,"&lt;&gt;丢弃",缺陷明细!$AA$2:$AA$50000,"&lt;&gt;设计如此",缺陷明细!$AA$2:$AA$50000,"&lt;&gt;重复Bug")+COUNTIFS(缺陷明细!$A$2:$A$50000,$B$4,缺陷明细!$G$2:$G$50000,$C51,缺陷明细!$J$2:$J$50000,"验收测试",缺陷明细!$K$2:$K$50000,"严重",缺陷明细!$AA$2:$AA$50000,"&lt;&gt;丢弃",缺陷明细!$AA$2:$AA$50000,"&lt;&gt;设计如此",缺陷明细!$AA$2:$AA$50000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COUNTIFS(缺陷明细!$A$2:$A$50000,$B$4,缺陷明细!$G$2:$G$50000,$C51,缺陷明细!$J$2:$J$50000,"运维测试",缺陷明细!$AA$2:$AA$50000,"&lt;&gt;丢弃",缺陷明细!$AA$2:$AA$50000,"&lt;&gt;设计如此",缺陷明细!$AA$2:$AA$50000,"&lt;&gt;重复Bug")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A$2:$AA$50000,"&lt;&gt;丢弃",缺陷明细!$AA$2:$AA$50000,"&lt;&gt;设计如此",缺陷明细!$AA$2:$AA$50000,"&lt;&gt;重复Bug")+COUNTIFS(缺陷明细!$A$2:$A$50000,$B$4,缺陷明细!$G$2:$G$50000,$C51,缺陷明细!$J$2:$J$50000,"运维测试",缺陷明细!$K$2:$K$50000,"严重",缺陷明细!$AA$2:$AA$50000,"&lt;&gt;丢弃",缺陷明细!$AA$2:$AA$50000,"&lt;&gt;设计如此",缺陷明细!$AA$2:$AA$50000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51"/>
    </row>
    <row r="52" spans="1:37">
      <c r="A52">
        <v>48</v>
      </c>
      <c r="B52" s="57"/>
      <c r="C52" s="58"/>
      <c r="D52" s="84"/>
      <c r="E52" s="82"/>
      <c r="F52" s="165"/>
      <c r="G52" s="166"/>
      <c r="H52" s="305">
        <f>COUNTIFS(缺陷明细!$A$2:$A$50000,$B$4,缺陷明细!$G$2:$G$50000,$C52,缺陷明细!$J$2:$J$50000,"评审",缺陷明细!$AA$2:$AA$50000,"&lt;&gt;丢弃",缺陷明细!$AA$2:$AA$50000,"&lt;&gt;设计如此",缺陷明细!$AA$2:$AA$50000,"&lt;&gt;重复Bug")</f>
        <v>0</v>
      </c>
      <c r="I52" s="161">
        <f>COUNTIFS(缺陷明细!$A$2:$A$50000,$B$4,缺陷明细!$G$2:$G$50000,$C52,缺陷明细!$Q$2:$Q$50000,"已关闭",缺陷明细!$J$2:$J$50000,"评审")</f>
        <v>0</v>
      </c>
      <c r="J52" s="161">
        <f>COUNTIFS(缺陷明细!$A$2:$A$50000,$B$4,缺陷明细!$G$2:$G$50000,$C52,缺陷明细!$J$2:$J$50000,"单元测试",缺陷明细!$AA$2:$AA$50000,"&lt;&gt;丢弃",缺陷明细!$AA$2:$AA$50000,"&lt;&gt;设计如此",缺陷明细!$AA$2:$AA$50000,"&lt;&gt;重复Bug")</f>
        <v>0</v>
      </c>
      <c r="K52" s="162">
        <f>COUNTIFS(缺陷明细!$A$2:$A$50000,$B$4,缺陷明细!$G$2:$G$50000,$C52,缺陷明细!$Q$2:$Q$50000,"已关闭",缺陷明细!$J$2:$J$50000,"单元测试")</f>
        <v>0</v>
      </c>
      <c r="L52" s="163"/>
      <c r="M52" s="164"/>
      <c r="N52" s="72">
        <f>COUNTIFS(缺陷明细!$A$2:$A$50000,$B$4,缺陷明细!$G$2:$G$50000,$C52,缺陷明细!$J$2:$J$50000,"系统测试案例评审",缺陷明细!$AA$2:$AA$50000,"&lt;&gt;丢弃",缺陷明细!$AA$2:$AA$50000,"&lt;&gt;设计如此",缺陷明细!$AA$2:$AA$50000,"&lt;&gt;重复Bug")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COUNTIFS(缺陷明细!$A$2:$A$50000,$B$4,缺陷明细!$G$2:$G$50000,$C52,缺陷明细!$J$2:$J$50000,"系统测试",缺陷明细!$AA$2:$AA$50000,"&lt;&gt;丢弃",缺陷明细!$AA$2:$AA$50000,"&lt;&gt;设计如此",缺陷明细!$AA$2:$AA$50000,"&lt;&gt;重复Bug")</f>
        <v>0</v>
      </c>
      <c r="Q52" s="72">
        <f>COUNTIFS(缺陷明细!$A$2:$A$50000,$B$4,缺陷明细!$G$2:$G$50000,$C52,缺陷明细!$Q$2:$Q$50000,"已关闭",缺陷明细!$J$2:$J$50000,"系统测试")</f>
        <v>0</v>
      </c>
      <c r="R52" s="72">
        <f>COUNTIFS(缺陷明细!$A$2:$A$50000,$B$4,缺陷明细!$G$2:$G$50000,$C52,缺陷明细!$AA$2:$AA$50000,"丢弃",缺陷明细!$J$2:$J$50000,"系统测试")+COUNTIFS(缺陷明细!$A$2:$A$50000,$B$4,缺陷明细!$G$2:$G$50000,$C52,缺陷明细!$AA$2:$AA$50000,"设计如此",缺陷明细!$J$2:$J$50000,"系统测试"+COUNTIFS(缺陷明细!$A$2:$A$50000,$B$4,缺陷明细!$G$2:$G$50000,$C52,缺陷明细!$AA$2:$AA$50000,"重复Bug",缺陷明细!$J$2:$J$50000,"系统测试"))</f>
        <v>0</v>
      </c>
      <c r="S52" s="72">
        <f>COUNTIFS(缺陷明细!$A$2:$A$50000,$B$4,缺陷明细!$G$2:$G$50000,$C52,缺陷明细!$J$2:$J$50000,"系统测试",缺陷明细!$K$2:$K$50000,"致命",缺陷明细!$AA$2:$AA$50000,"&lt;&gt;丢弃",缺陷明细!$AA$2:$AA$50000,"&lt;&gt;设计如此",缺陷明细!$AA$2:$AA$50000,"&lt;&gt;重复Bug")+COUNTIFS(缺陷明细!$A$2:$A$50000,$B$4,缺陷明细!$G$2:$G$50000,$C52,缺陷明细!$J$2:$J$50000,"系统测试",缺陷明细!$K$2:$K$50000,"严重",缺陷明细!$AA$2:$AA$50000,"&lt;&gt;丢弃",缺陷明细!$AA$2:$AA$50000,"&lt;&gt;设计如此",缺陷明细!$AA$2:$AA$50000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COUNTIFS(缺陷明细!$A$2:$A$50000,$B$4,缺陷明细!$G$2:$G$50000,$C52,缺陷明细!$J$2:$J$50000,"验收测试",缺陷明细!$AA$2:$AA$50000,"&lt;&gt;丢弃",缺陷明细!$AA$2:$AA$50000,"&lt;&gt;设计如此",缺陷明细!$AA$2:$AA$50000,"&lt;&gt;重复Bug")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A$2:$AA$50000,"&lt;&gt;丢弃",缺陷明细!$AA$2:$AA$50000,"&lt;&gt;设计如此",缺陷明细!$AA$2:$AA$50000,"&lt;&gt;重复Bug")+COUNTIFS(缺陷明细!$A$2:$A$50000,$B$4,缺陷明细!$G$2:$G$50000,$C52,缺陷明细!$J$2:$J$50000,"验收测试",缺陷明细!$K$2:$K$50000,"严重",缺陷明细!$AA$2:$AA$50000,"&lt;&gt;丢弃",缺陷明细!$AA$2:$AA$50000,"&lt;&gt;设计如此",缺陷明细!$AA$2:$AA$50000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COUNTIFS(缺陷明细!$A$2:$A$50000,$B$4,缺陷明细!$G$2:$G$50000,$C52,缺陷明细!$J$2:$J$50000,"运维测试",缺陷明细!$AA$2:$AA$50000,"&lt;&gt;丢弃",缺陷明细!$AA$2:$AA$50000,"&lt;&gt;设计如此",缺陷明细!$AA$2:$AA$50000,"&lt;&gt;重复Bug")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A$2:$AA$50000,"&lt;&gt;丢弃",缺陷明细!$AA$2:$AA$50000,"&lt;&gt;设计如此",缺陷明细!$AA$2:$AA$50000,"&lt;&gt;重复Bug")+COUNTIFS(缺陷明细!$A$2:$A$50000,$B$4,缺陷明细!$G$2:$G$50000,$C52,缺陷明细!$J$2:$J$50000,"运维测试",缺陷明细!$K$2:$K$50000,"严重",缺陷明细!$AA$2:$AA$50000,"&lt;&gt;丢弃",缺陷明细!$AA$2:$AA$50000,"&lt;&gt;设计如此",缺陷明细!$AA$2:$AA$50000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51"/>
    </row>
    <row r="53" spans="1:37">
      <c r="A53">
        <v>49</v>
      </c>
      <c r="B53" s="57"/>
      <c r="C53" s="58"/>
      <c r="D53" s="84"/>
      <c r="E53" s="82"/>
      <c r="F53" s="165"/>
      <c r="G53" s="166"/>
      <c r="H53" s="305">
        <f>COUNTIFS(缺陷明细!$A$2:$A$50000,$B$4,缺陷明细!$G$2:$G$50000,$C53,缺陷明细!$J$2:$J$50000,"评审",缺陷明细!$AA$2:$AA$50000,"&lt;&gt;丢弃",缺陷明细!$AA$2:$AA$50000,"&lt;&gt;设计如此",缺陷明细!$AA$2:$AA$50000,"&lt;&gt;重复Bug")</f>
        <v>0</v>
      </c>
      <c r="I53" s="161">
        <f>COUNTIFS(缺陷明细!$A$2:$A$50000,$B$4,缺陷明细!$G$2:$G$50000,$C53,缺陷明细!$Q$2:$Q$50000,"已关闭",缺陷明细!$J$2:$J$50000,"评审")</f>
        <v>0</v>
      </c>
      <c r="J53" s="161">
        <f>COUNTIFS(缺陷明细!$A$2:$A$50000,$B$4,缺陷明细!$G$2:$G$50000,$C53,缺陷明细!$J$2:$J$50000,"单元测试",缺陷明细!$AA$2:$AA$50000,"&lt;&gt;丢弃",缺陷明细!$AA$2:$AA$50000,"&lt;&gt;设计如此",缺陷明细!$AA$2:$AA$50000,"&lt;&gt;重复Bug")</f>
        <v>0</v>
      </c>
      <c r="K53" s="162">
        <f>COUNTIFS(缺陷明细!$A$2:$A$50000,$B$4,缺陷明细!$G$2:$G$50000,$C53,缺陷明细!$Q$2:$Q$50000,"已关闭",缺陷明细!$J$2:$J$50000,"单元测试")</f>
        <v>0</v>
      </c>
      <c r="L53" s="163"/>
      <c r="M53" s="164"/>
      <c r="N53" s="72">
        <f>COUNTIFS(缺陷明细!$A$2:$A$50000,$B$4,缺陷明细!$G$2:$G$50000,$C53,缺陷明细!$J$2:$J$50000,"系统测试案例评审",缺陷明细!$AA$2:$AA$50000,"&lt;&gt;丢弃",缺陷明细!$AA$2:$AA$50000,"&lt;&gt;设计如此",缺陷明细!$AA$2:$AA$50000,"&lt;&gt;重复Bug")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COUNTIFS(缺陷明细!$A$2:$A$50000,$B$4,缺陷明细!$G$2:$G$50000,$C53,缺陷明细!$J$2:$J$50000,"系统测试",缺陷明细!$AA$2:$AA$50000,"&lt;&gt;丢弃",缺陷明细!$AA$2:$AA$50000,"&lt;&gt;设计如此",缺陷明细!$AA$2:$AA$50000,"&lt;&gt;重复Bug")</f>
        <v>0</v>
      </c>
      <c r="Q53" s="72">
        <f>COUNTIFS(缺陷明细!$A$2:$A$50000,$B$4,缺陷明细!$G$2:$G$50000,$C53,缺陷明细!$Q$2:$Q$50000,"已关闭",缺陷明细!$J$2:$J$50000,"系统测试")</f>
        <v>0</v>
      </c>
      <c r="R53" s="72">
        <f>COUNTIFS(缺陷明细!$A$2:$A$50000,$B$4,缺陷明细!$G$2:$G$50000,$C53,缺陷明细!$AA$2:$AA$50000,"丢弃",缺陷明细!$J$2:$J$50000,"系统测试")+COUNTIFS(缺陷明细!$A$2:$A$50000,$B$4,缺陷明细!$G$2:$G$50000,$C53,缺陷明细!$AA$2:$AA$50000,"设计如此",缺陷明细!$J$2:$J$50000,"系统测试"+COUNTIFS(缺陷明细!$A$2:$A$50000,$B$4,缺陷明细!$G$2:$G$50000,$C53,缺陷明细!$AA$2:$AA$50000,"重复Bug",缺陷明细!$J$2:$J$50000,"系统测试"))</f>
        <v>0</v>
      </c>
      <c r="S53" s="72">
        <f>COUNTIFS(缺陷明细!$A$2:$A$50000,$B$4,缺陷明细!$G$2:$G$50000,$C53,缺陷明细!$J$2:$J$50000,"系统测试",缺陷明细!$K$2:$K$50000,"致命",缺陷明细!$AA$2:$AA$50000,"&lt;&gt;丢弃",缺陷明细!$AA$2:$AA$50000,"&lt;&gt;设计如此",缺陷明细!$AA$2:$AA$50000,"&lt;&gt;重复Bug")+COUNTIFS(缺陷明细!$A$2:$A$50000,$B$4,缺陷明细!$G$2:$G$50000,$C53,缺陷明细!$J$2:$J$50000,"系统测试",缺陷明细!$K$2:$K$50000,"严重",缺陷明细!$AA$2:$AA$50000,"&lt;&gt;丢弃",缺陷明细!$AA$2:$AA$50000,"&lt;&gt;设计如此",缺陷明细!$AA$2:$AA$50000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COUNTIFS(缺陷明细!$A$2:$A$50000,$B$4,缺陷明细!$G$2:$G$50000,$C53,缺陷明细!$J$2:$J$50000,"验收测试",缺陷明细!$AA$2:$AA$50000,"&lt;&gt;丢弃",缺陷明细!$AA$2:$AA$50000,"&lt;&gt;设计如此",缺陷明细!$AA$2:$AA$50000,"&lt;&gt;重复Bug")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A$2:$AA$50000,"&lt;&gt;丢弃",缺陷明细!$AA$2:$AA$50000,"&lt;&gt;设计如此",缺陷明细!$AA$2:$AA$50000,"&lt;&gt;重复Bug")+COUNTIFS(缺陷明细!$A$2:$A$50000,$B$4,缺陷明细!$G$2:$G$50000,$C53,缺陷明细!$J$2:$J$50000,"验收测试",缺陷明细!$K$2:$K$50000,"严重",缺陷明细!$AA$2:$AA$50000,"&lt;&gt;丢弃",缺陷明细!$AA$2:$AA$50000,"&lt;&gt;设计如此",缺陷明细!$AA$2:$AA$50000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COUNTIFS(缺陷明细!$A$2:$A$50000,$B$4,缺陷明细!$G$2:$G$50000,$C53,缺陷明细!$J$2:$J$50000,"运维测试",缺陷明细!$AA$2:$AA$50000,"&lt;&gt;丢弃",缺陷明细!$AA$2:$AA$50000,"&lt;&gt;设计如此",缺陷明细!$AA$2:$AA$50000,"&lt;&gt;重复Bug")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A$2:$AA$50000,"&lt;&gt;丢弃",缺陷明细!$AA$2:$AA$50000,"&lt;&gt;设计如此",缺陷明细!$AA$2:$AA$50000,"&lt;&gt;重复Bug")+COUNTIFS(缺陷明细!$A$2:$A$50000,$B$4,缺陷明细!$G$2:$G$50000,$C53,缺陷明细!$J$2:$J$50000,"运维测试",缺陷明细!$K$2:$K$50000,"严重",缺陷明细!$AA$2:$AA$50000,"&lt;&gt;丢弃",缺陷明细!$AA$2:$AA$50000,"&lt;&gt;设计如此",缺陷明细!$AA$2:$AA$50000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51"/>
    </row>
    <row r="54" spans="1:37">
      <c r="A54">
        <v>50</v>
      </c>
      <c r="B54" s="57"/>
      <c r="C54" s="58"/>
      <c r="D54" s="84"/>
      <c r="E54" s="82"/>
      <c r="F54" s="165"/>
      <c r="G54" s="166"/>
      <c r="H54" s="305">
        <f>COUNTIFS(缺陷明细!$A$2:$A$50000,$B$4,缺陷明细!$G$2:$G$50000,$C54,缺陷明细!$J$2:$J$50000,"评审",缺陷明细!$AA$2:$AA$50000,"&lt;&gt;丢弃",缺陷明细!$AA$2:$AA$50000,"&lt;&gt;设计如此",缺陷明细!$AA$2:$AA$50000,"&lt;&gt;重复Bug")</f>
        <v>0</v>
      </c>
      <c r="I54" s="161">
        <f>COUNTIFS(缺陷明细!$A$2:$A$50000,$B$4,缺陷明细!$G$2:$G$50000,$C54,缺陷明细!$Q$2:$Q$50000,"已关闭",缺陷明细!$J$2:$J$50000,"评审")</f>
        <v>0</v>
      </c>
      <c r="J54" s="161">
        <f>COUNTIFS(缺陷明细!$A$2:$A$50000,$B$4,缺陷明细!$G$2:$G$50000,$C54,缺陷明细!$J$2:$J$50000,"单元测试",缺陷明细!$AA$2:$AA$50000,"&lt;&gt;丢弃",缺陷明细!$AA$2:$AA$50000,"&lt;&gt;设计如此",缺陷明细!$AA$2:$AA$50000,"&lt;&gt;重复Bug")</f>
        <v>0</v>
      </c>
      <c r="K54" s="162">
        <f>COUNTIFS(缺陷明细!$A$2:$A$50000,$B$4,缺陷明细!$G$2:$G$50000,$C54,缺陷明细!$Q$2:$Q$50000,"已关闭",缺陷明细!$J$2:$J$50000,"单元测试")</f>
        <v>0</v>
      </c>
      <c r="L54" s="163"/>
      <c r="M54" s="164"/>
      <c r="N54" s="72">
        <f>COUNTIFS(缺陷明细!$A$2:$A$50000,$B$4,缺陷明细!$G$2:$G$50000,$C54,缺陷明细!$J$2:$J$50000,"系统测试案例评审",缺陷明细!$AA$2:$AA$50000,"&lt;&gt;丢弃",缺陷明细!$AA$2:$AA$50000,"&lt;&gt;设计如此",缺陷明细!$AA$2:$AA$50000,"&lt;&gt;重复Bug")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COUNTIFS(缺陷明细!$A$2:$A$50000,$B$4,缺陷明细!$G$2:$G$50000,$C54,缺陷明细!$J$2:$J$50000,"系统测试",缺陷明细!$AA$2:$AA$50000,"&lt;&gt;丢弃",缺陷明细!$AA$2:$AA$50000,"&lt;&gt;设计如此",缺陷明细!$AA$2:$AA$50000,"&lt;&gt;重复Bug")</f>
        <v>0</v>
      </c>
      <c r="Q54" s="72">
        <f>COUNTIFS(缺陷明细!$A$2:$A$50000,$B$4,缺陷明细!$G$2:$G$50000,$C54,缺陷明细!$Q$2:$Q$50000,"已关闭",缺陷明细!$J$2:$J$50000,"系统测试")</f>
        <v>0</v>
      </c>
      <c r="R54" s="72">
        <f>COUNTIFS(缺陷明细!$A$2:$A$50000,$B$4,缺陷明细!$G$2:$G$50000,$C54,缺陷明细!$AA$2:$AA$50000,"丢弃",缺陷明细!$J$2:$J$50000,"系统测试")+COUNTIFS(缺陷明细!$A$2:$A$50000,$B$4,缺陷明细!$G$2:$G$50000,$C54,缺陷明细!$AA$2:$AA$50000,"设计如此",缺陷明细!$J$2:$J$50000,"系统测试"+COUNTIFS(缺陷明细!$A$2:$A$50000,$B$4,缺陷明细!$G$2:$G$50000,$C54,缺陷明细!$AA$2:$AA$50000,"重复Bug",缺陷明细!$J$2:$J$50000,"系统测试"))</f>
        <v>0</v>
      </c>
      <c r="S54" s="72">
        <f>COUNTIFS(缺陷明细!$A$2:$A$50000,$B$4,缺陷明细!$G$2:$G$50000,$C54,缺陷明细!$J$2:$J$50000,"系统测试",缺陷明细!$K$2:$K$50000,"致命",缺陷明细!$AA$2:$AA$50000,"&lt;&gt;丢弃",缺陷明细!$AA$2:$AA$50000,"&lt;&gt;设计如此",缺陷明细!$AA$2:$AA$50000,"&lt;&gt;重复Bug")+COUNTIFS(缺陷明细!$A$2:$A$50000,$B$4,缺陷明细!$G$2:$G$50000,$C54,缺陷明细!$J$2:$J$50000,"系统测试",缺陷明细!$K$2:$K$50000,"严重",缺陷明细!$AA$2:$AA$50000,"&lt;&gt;丢弃",缺陷明细!$AA$2:$AA$50000,"&lt;&gt;设计如此",缺陷明细!$AA$2:$AA$50000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COUNTIFS(缺陷明细!$A$2:$A$50000,$B$4,缺陷明细!$G$2:$G$50000,$C54,缺陷明细!$J$2:$J$50000,"验收测试",缺陷明细!$AA$2:$AA$50000,"&lt;&gt;丢弃",缺陷明细!$AA$2:$AA$50000,"&lt;&gt;设计如此",缺陷明细!$AA$2:$AA$50000,"&lt;&gt;重复Bug")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A$2:$AA$50000,"&lt;&gt;丢弃",缺陷明细!$AA$2:$AA$50000,"&lt;&gt;设计如此",缺陷明细!$AA$2:$AA$50000,"&lt;&gt;重复Bug")+COUNTIFS(缺陷明细!$A$2:$A$50000,$B$4,缺陷明细!$G$2:$G$50000,$C54,缺陷明细!$J$2:$J$50000,"验收测试",缺陷明细!$K$2:$K$50000,"严重",缺陷明细!$AA$2:$AA$50000,"&lt;&gt;丢弃",缺陷明细!$AA$2:$AA$50000,"&lt;&gt;设计如此",缺陷明细!$AA$2:$AA$50000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COUNTIFS(缺陷明细!$A$2:$A$50000,$B$4,缺陷明细!$G$2:$G$50000,$C54,缺陷明细!$J$2:$J$50000,"运维测试",缺陷明细!$AA$2:$AA$50000,"&lt;&gt;丢弃",缺陷明细!$AA$2:$AA$50000,"&lt;&gt;设计如此",缺陷明细!$AA$2:$AA$50000,"&lt;&gt;重复Bug")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A$2:$AA$50000,"&lt;&gt;丢弃",缺陷明细!$AA$2:$AA$50000,"&lt;&gt;设计如此",缺陷明细!$AA$2:$AA$50000,"&lt;&gt;重复Bug")+COUNTIFS(缺陷明细!$A$2:$A$50000,$B$4,缺陷明细!$G$2:$G$50000,$C54,缺陷明细!$J$2:$J$50000,"运维测试",缺陷明细!$K$2:$K$50000,"严重",缺陷明细!$AA$2:$AA$50000,"&lt;&gt;丢弃",缺陷明细!$AA$2:$AA$50000,"&lt;&gt;设计如此",缺陷明细!$AA$2:$AA$50000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51"/>
    </row>
    <row r="55" spans="1:37" ht="13.8" thickBot="1">
      <c r="B55" s="147"/>
      <c r="C55" s="109"/>
      <c r="D55" s="85"/>
      <c r="E55" s="156"/>
      <c r="F55" s="169"/>
      <c r="G55" s="170"/>
      <c r="H55" s="306">
        <f>COUNTIFS(缺陷明细!$A$2:$A$50000,$B$4,缺陷明细!$G$2:$G$50000,$C55,缺陷明细!$J$2:$J$50000,"评审",缺陷明细!$AA$2:$AA$50000,"&lt;&gt;丢弃",缺陷明细!$AA$2:$AA$50000,"&lt;&gt;设计如此",缺陷明细!$AA$2:$AA$50000,"&lt;&gt;重复Bug")</f>
        <v>0</v>
      </c>
      <c r="I55" s="307">
        <f>COUNTIFS(缺陷明细!$A$2:$A$50000,$B$4,缺陷明细!$G$2:$G$50000,$C55,缺陷明细!$Q$2:$Q$50000,"已关闭",缺陷明细!$J$2:$J$50000,"评审")</f>
        <v>0</v>
      </c>
      <c r="J55" s="307">
        <f>COUNTIFS(缺陷明细!$A$2:$A$50000,$B$4,缺陷明细!$G$2:$G$50000,$C55,缺陷明细!$J$2:$J$50000,"单元测试",缺陷明细!$AA$2:$AA$50000,"&lt;&gt;丢弃",缺陷明细!$AA$2:$AA$50000,"&lt;&gt;设计如此",缺陷明细!$AA$2:$AA$50000,"&lt;&gt;重复Bug")</f>
        <v>0</v>
      </c>
      <c r="K55" s="308">
        <f>COUNTIFS(缺陷明细!$A$2:$A$50000,$B$4,缺陷明细!$G$2:$G$50000,$C55,缺陷明细!$Q$2:$Q$50000,"已关闭",缺陷明细!$J$2:$J$50000,"单元测试")</f>
        <v>0</v>
      </c>
      <c r="L55" s="309"/>
      <c r="M55" s="310"/>
      <c r="N55" s="311">
        <f>COUNTIFS(缺陷明细!$A$2:$A$50000,$B$4,缺陷明细!$G$2:$G$50000,$C55,缺陷明细!$J$2:$J$50000,"系统测试案例评审",缺陷明细!$AA$2:$AA$50000,"&lt;&gt;丢弃",缺陷明细!$AA$2:$AA$50000,"&lt;&gt;设计如此",缺陷明细!$AA$2:$AA$50000,"&lt;&gt;重复Bug")</f>
        <v>0</v>
      </c>
      <c r="O55" s="311">
        <f>COUNTIFS(缺陷明细!$A$2:$A$50000,$B$4,缺陷明细!$G$2:$G$50000,$C55,缺陷明细!$Q$2:$Q$50000,"已关闭",缺陷明细!$J$2:$J$50000,"系统测试案例评审")</f>
        <v>0</v>
      </c>
      <c r="P55" s="311">
        <f>COUNTIFS(缺陷明细!$A$2:$A$50000,$B$4,缺陷明细!$G$2:$G$50000,$C55,缺陷明细!$J$2:$J$50000,"系统测试",缺陷明细!$AA$2:$AA$50000,"&lt;&gt;丢弃",缺陷明细!$AA$2:$AA$50000,"&lt;&gt;设计如此",缺陷明细!$AA$2:$AA$50000,"&lt;&gt;重复Bug")</f>
        <v>0</v>
      </c>
      <c r="Q55" s="311">
        <f>COUNTIFS(缺陷明细!$A$2:$A$50000,$B$4,缺陷明细!$G$2:$G$50000,$C55,缺陷明细!$Q$2:$Q$50000,"已关闭",缺陷明细!$J$2:$J$50000,"系统测试")</f>
        <v>0</v>
      </c>
      <c r="R55" s="311">
        <f>COUNTIFS(缺陷明细!$A$2:$A$50000,$B$4,缺陷明细!$G$2:$G$50000,$C55,缺陷明细!$AA$2:$AA$50000,"丢弃",缺陷明细!$J$2:$J$50000,"系统测试")+COUNTIFS(缺陷明细!$A$2:$A$50000,$B$4,缺陷明细!$G$2:$G$50000,$C55,缺陷明细!$AA$2:$AA$50000,"设计如此",缺陷明细!$J$2:$J$50000,"系统测试"+COUNTIFS(缺陷明细!$A$2:$A$50000,$B$4,缺陷明细!$G$2:$G$50000,$C55,缺陷明细!$AA$2:$AA$50000,"重复Bug",缺陷明细!$J$2:$J$50000,"系统测试"))</f>
        <v>0</v>
      </c>
      <c r="S55" s="311">
        <f>COUNTIFS(缺陷明细!$A$2:$A$50000,$B$4,缺陷明细!$G$2:$G$50000,$C55,缺陷明细!$J$2:$J$50000,"系统测试",缺陷明细!$K$2:$K$50000,"致命",缺陷明细!$AA$2:$AA$50000,"&lt;&gt;丢弃",缺陷明细!$AA$2:$AA$50000,"&lt;&gt;设计如此",缺陷明细!$AA$2:$AA$50000,"&lt;&gt;重复Bug")+COUNTIFS(缺陷明细!$A$2:$A$50000,$B$4,缺陷明细!$G$2:$G$50000,$C55,缺陷明细!$J$2:$J$50000,"系统测试",缺陷明细!$K$2:$K$50000,"严重",缺陷明细!$AA$2:$AA$50000,"&lt;&gt;丢弃",缺陷明细!$AA$2:$AA$50000,"&lt;&gt;设计如此",缺陷明细!$AA$2:$AA$50000,"&lt;&gt;重复Bug")</f>
        <v>0</v>
      </c>
      <c r="T55" s="312">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313">
        <f>COUNTIFS(缺陷明细!$A$2:$A$50000,$B$4,缺陷明细!$G$2:$G$50000,$C55,缺陷明细!$J$2:$J$50000,"验收测试",缺陷明细!$AA$2:$AA$50000,"&lt;&gt;丢弃",缺陷明细!$AA$2:$AA$50000,"&lt;&gt;设计如此",缺陷明细!$AA$2:$AA$50000,"&lt;&gt;重复Bug")</f>
        <v>0</v>
      </c>
      <c r="V55" s="314">
        <f>COUNTIFS(缺陷明细!$A$2:$A$50000,$B$4,缺陷明细!$G$2:$G$50000,$C55,缺陷明细!$Q$2:$Q$50000,"已关闭",缺陷明细!$J$2:$J$50000,"验收测试")</f>
        <v>0</v>
      </c>
      <c r="W55" s="314">
        <f>COUNTIFS(缺陷明细!$A$2:$A$50000,$B$4,缺陷明细!$G$2:$G$50000,$C55,缺陷明细!$J$2:$J$50000,"验收测试",缺陷明细!$K$2:$K$50000,"致命",缺陷明细!$AA$2:$AA$50000,"&lt;&gt;丢弃",缺陷明细!$AA$2:$AA$50000,"&lt;&gt;设计如此",缺陷明细!$AA$2:$AA$50000,"&lt;&gt;重复Bug")+COUNTIFS(缺陷明细!$A$2:$A$50000,$B$4,缺陷明细!$G$2:$G$50000,$C55,缺陷明细!$J$2:$J$50000,"验收测试",缺陷明细!$K$2:$K$50000,"严重",缺陷明细!$AA$2:$AA$50000,"&lt;&gt;丢弃",缺陷明细!$AA$2:$AA$50000,"&lt;&gt;设计如此",缺陷明细!$AA$2:$AA$50000,"&lt;&gt;重复Bug")</f>
        <v>0</v>
      </c>
      <c r="X55" s="315">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316">
        <f>COUNTIFS(缺陷明细!$A$2:$A$50000,$B$4,缺陷明细!$G$2:$G$50000,$C55,缺陷明细!$J$2:$J$50000,"运维测试",缺陷明细!$AA$2:$AA$50000,"&lt;&gt;丢弃",缺陷明细!$AA$2:$AA$50000,"&lt;&gt;设计如此",缺陷明细!$AA$2:$AA$50000,"&lt;&gt;重复Bug")</f>
        <v>0</v>
      </c>
      <c r="Z55" s="317">
        <f>COUNTIFS(缺陷明细!$A$2:$A$50000,$B$4,缺陷明细!$G$2:$G$50000,$C55,缺陷明细!$Q$2:$Q$50000,"已关闭",缺陷明细!$J$2:$J$50000,"运维测试")</f>
        <v>0</v>
      </c>
      <c r="AA55" s="311">
        <f>COUNTIFS(缺陷明细!$A$2:$A$50000,$B$4,缺陷明细!$G$2:$G$50000,$C55,缺陷明细!$J$2:$J$50000,"运维测试",缺陷明细!$K$2:$K$50000,"致命",缺陷明细!$AA$2:$AA$50000,"&lt;&gt;丢弃",缺陷明细!$AA$2:$AA$50000,"&lt;&gt;设计如此",缺陷明细!$AA$2:$AA$50000,"&lt;&gt;重复Bug")+COUNTIFS(缺陷明细!$A$2:$A$50000,$B$4,缺陷明细!$G$2:$G$50000,$C55,缺陷明细!$J$2:$J$50000,"运维测试",缺陷明细!$K$2:$K$50000,"严重",缺陷明细!$AA$2:$AA$50000,"&lt;&gt;丢弃",缺陷明细!$AA$2:$AA$50000,"&lt;&gt;设计如此",缺陷明细!$AA$2:$AA$50000,"&lt;&gt;重复Bug")</f>
        <v>0</v>
      </c>
      <c r="AB55" s="312">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7">
        <f t="shared" si="0"/>
        <v>0</v>
      </c>
      <c r="AD55" s="158">
        <f t="shared" si="0"/>
        <v>0</v>
      </c>
      <c r="AE55" s="158">
        <f t="shared" si="1"/>
        <v>0</v>
      </c>
      <c r="AF55" s="158">
        <f t="shared" si="1"/>
        <v>0</v>
      </c>
      <c r="AG55" s="158">
        <f t="shared" si="2"/>
        <v>0</v>
      </c>
      <c r="AH55" s="158">
        <f t="shared" si="2"/>
        <v>0</v>
      </c>
      <c r="AI55" s="158">
        <f t="shared" si="3"/>
        <v>0</v>
      </c>
      <c r="AJ55" s="148">
        <f t="shared" si="3"/>
        <v>0</v>
      </c>
      <c r="AK55" s="152"/>
    </row>
    <row r="56" spans="1:37">
      <c r="B56" s="397" t="s">
        <v>209</v>
      </c>
      <c r="C56" s="398"/>
      <c r="D56" s="142">
        <f>COUNTA(D5:D55)</f>
        <v>0</v>
      </c>
      <c r="E56" s="142">
        <f>COUNTIF(E2:E55,"是")</f>
        <v>0</v>
      </c>
      <c r="F56" s="142">
        <f>SUMIFS(F5:F500,$E$5:$E$500,"是")</f>
        <v>0</v>
      </c>
      <c r="G56" s="142">
        <f t="shared" ref="G56:AJ56" si="4">SUMIFS(G5:G500,$E$5:$E$500,"是")</f>
        <v>0</v>
      </c>
      <c r="H56" s="142">
        <f t="shared" si="4"/>
        <v>0</v>
      </c>
      <c r="I56" s="142">
        <f t="shared" si="4"/>
        <v>0</v>
      </c>
      <c r="J56" s="142">
        <f t="shared" si="4"/>
        <v>0</v>
      </c>
      <c r="K56" s="142">
        <f t="shared" si="4"/>
        <v>0</v>
      </c>
      <c r="L56" s="142">
        <f t="shared" si="4"/>
        <v>0</v>
      </c>
      <c r="M56" s="142">
        <f t="shared" si="4"/>
        <v>0</v>
      </c>
      <c r="N56" s="142">
        <f t="shared" si="4"/>
        <v>0</v>
      </c>
      <c r="O56" s="142">
        <f t="shared" si="4"/>
        <v>0</v>
      </c>
      <c r="P56" s="142">
        <f t="shared" si="4"/>
        <v>0</v>
      </c>
      <c r="Q56" s="142">
        <f t="shared" si="4"/>
        <v>0</v>
      </c>
      <c r="R56" s="142">
        <f t="shared" si="4"/>
        <v>0</v>
      </c>
      <c r="S56" s="142">
        <f t="shared" si="4"/>
        <v>0</v>
      </c>
      <c r="T56" s="142">
        <f t="shared" si="4"/>
        <v>0</v>
      </c>
      <c r="U56" s="142">
        <f t="shared" si="4"/>
        <v>0</v>
      </c>
      <c r="V56" s="142">
        <f t="shared" si="4"/>
        <v>0</v>
      </c>
      <c r="W56" s="142">
        <f t="shared" si="4"/>
        <v>0</v>
      </c>
      <c r="X56" s="142">
        <f t="shared" si="4"/>
        <v>0</v>
      </c>
      <c r="Y56" s="142">
        <f t="shared" si="4"/>
        <v>0</v>
      </c>
      <c r="Z56" s="142">
        <f t="shared" si="4"/>
        <v>0</v>
      </c>
      <c r="AA56" s="142">
        <f t="shared" si="4"/>
        <v>0</v>
      </c>
      <c r="AB56" s="142">
        <f t="shared" si="4"/>
        <v>0</v>
      </c>
      <c r="AC56" s="142">
        <f t="shared" si="4"/>
        <v>0</v>
      </c>
      <c r="AD56" s="142">
        <f t="shared" si="4"/>
        <v>0</v>
      </c>
      <c r="AE56" s="142">
        <f t="shared" si="4"/>
        <v>0</v>
      </c>
      <c r="AF56" s="142">
        <f t="shared" si="4"/>
        <v>0</v>
      </c>
      <c r="AG56" s="142">
        <f t="shared" si="4"/>
        <v>0</v>
      </c>
      <c r="AH56" s="142">
        <f t="shared" si="4"/>
        <v>0</v>
      </c>
      <c r="AI56" s="142">
        <f t="shared" si="4"/>
        <v>0</v>
      </c>
      <c r="AJ56" s="142">
        <f t="shared" si="4"/>
        <v>0</v>
      </c>
      <c r="AK56" s="30"/>
    </row>
    <row r="57" spans="1:37">
      <c r="C57" s="153"/>
      <c r="D57" s="154"/>
      <c r="E57" s="143"/>
      <c r="F57" s="143"/>
      <c r="G57" s="143"/>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row>
    <row r="59" spans="1:37">
      <c r="F59" s="98"/>
    </row>
  </sheetData>
  <mergeCells count="13">
    <mergeCell ref="AC2:AJ2"/>
    <mergeCell ref="AK2:AK3"/>
    <mergeCell ref="U2:X2"/>
    <mergeCell ref="H1:AB1"/>
    <mergeCell ref="F2:G2"/>
    <mergeCell ref="H2:K2"/>
    <mergeCell ref="L2:T2"/>
    <mergeCell ref="Y2:AB2"/>
    <mergeCell ref="B56:C56"/>
    <mergeCell ref="B2:B3"/>
    <mergeCell ref="C2:C3"/>
    <mergeCell ref="D2:D3"/>
    <mergeCell ref="E2:E3"/>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C9" sqref="C9"/>
    </sheetView>
  </sheetViews>
  <sheetFormatPr defaultColWidth="9" defaultRowHeight="13.2"/>
  <cols>
    <col min="1" max="1" width="5.109375" customWidth="1"/>
    <col min="3" max="3" width="29.33203125" customWidth="1"/>
    <col min="4" max="4" width="6.33203125" customWidth="1"/>
    <col min="5" max="5" width="5.88671875" style="38" customWidth="1"/>
    <col min="6" max="7" width="5.6640625" style="38" customWidth="1"/>
    <col min="8" max="36" width="5.6640625" customWidth="1"/>
    <col min="37" max="37" width="20" customWidth="1"/>
    <col min="38" max="38" width="8.109375" customWidth="1"/>
  </cols>
  <sheetData>
    <row r="1" spans="1:37" ht="13.5" customHeight="1" thickBot="1">
      <c r="A1" s="29"/>
      <c r="B1" s="272" t="s">
        <v>61</v>
      </c>
      <c r="C1" s="272"/>
      <c r="D1" s="272"/>
      <c r="E1" s="272"/>
      <c r="F1" s="273"/>
      <c r="G1" s="273"/>
      <c r="H1" s="407" t="s">
        <v>63</v>
      </c>
      <c r="I1" s="407"/>
      <c r="J1" s="407"/>
      <c r="K1" s="407"/>
      <c r="L1" s="407"/>
      <c r="M1" s="407"/>
      <c r="N1" s="407"/>
      <c r="O1" s="407"/>
      <c r="P1" s="407"/>
      <c r="Q1" s="407"/>
      <c r="R1" s="407"/>
      <c r="S1" s="407"/>
      <c r="T1" s="407"/>
      <c r="U1" s="407"/>
      <c r="V1" s="407"/>
      <c r="W1" s="407"/>
      <c r="X1" s="407"/>
      <c r="Y1" s="407"/>
      <c r="Z1" s="407"/>
      <c r="AA1" s="407"/>
      <c r="AB1" s="407"/>
      <c r="AC1" s="145"/>
      <c r="AD1" s="145"/>
      <c r="AE1" s="145"/>
      <c r="AF1" s="145"/>
      <c r="AG1" s="145"/>
      <c r="AH1" s="145"/>
      <c r="AI1" s="145"/>
      <c r="AJ1" s="146"/>
      <c r="AK1" s="155"/>
    </row>
    <row r="2" spans="1:37" ht="12.75" customHeight="1" thickBot="1">
      <c r="B2" s="399" t="s">
        <v>180</v>
      </c>
      <c r="C2" s="408" t="s">
        <v>60</v>
      </c>
      <c r="D2" s="410" t="s">
        <v>104</v>
      </c>
      <c r="E2" s="401" t="s">
        <v>181</v>
      </c>
      <c r="F2" s="408" t="s">
        <v>182</v>
      </c>
      <c r="G2" s="409"/>
      <c r="H2" s="403" t="s">
        <v>210</v>
      </c>
      <c r="I2" s="403"/>
      <c r="J2" s="403"/>
      <c r="K2" s="403"/>
      <c r="L2" s="404" t="s">
        <v>183</v>
      </c>
      <c r="M2" s="405"/>
      <c r="N2" s="405"/>
      <c r="O2" s="405"/>
      <c r="P2" s="405"/>
      <c r="Q2" s="405"/>
      <c r="R2" s="405"/>
      <c r="S2" s="405"/>
      <c r="T2" s="406"/>
      <c r="U2" s="395" t="s">
        <v>44</v>
      </c>
      <c r="V2" s="396"/>
      <c r="W2" s="396"/>
      <c r="X2" s="396"/>
      <c r="Y2" s="413" t="s">
        <v>64</v>
      </c>
      <c r="Z2" s="414"/>
      <c r="AA2" s="414"/>
      <c r="AB2" s="414"/>
      <c r="AC2" s="390" t="s">
        <v>2</v>
      </c>
      <c r="AD2" s="391"/>
      <c r="AE2" s="391"/>
      <c r="AF2" s="391"/>
      <c r="AG2" s="391"/>
      <c r="AH2" s="391"/>
      <c r="AI2" s="391"/>
      <c r="AJ2" s="392"/>
      <c r="AK2" s="393" t="s">
        <v>4</v>
      </c>
    </row>
    <row r="3" spans="1:37" ht="84.6" thickBot="1">
      <c r="B3" s="400"/>
      <c r="C3" s="412"/>
      <c r="D3" s="411"/>
      <c r="E3" s="402"/>
      <c r="F3" s="274" t="s">
        <v>273</v>
      </c>
      <c r="G3" s="275" t="s">
        <v>274</v>
      </c>
      <c r="H3" s="34" t="s">
        <v>105</v>
      </c>
      <c r="I3" s="34" t="s">
        <v>106</v>
      </c>
      <c r="J3" s="34" t="s">
        <v>107</v>
      </c>
      <c r="K3" s="34" t="s">
        <v>108</v>
      </c>
      <c r="L3" s="33" t="s">
        <v>185</v>
      </c>
      <c r="M3" s="34" t="s">
        <v>186</v>
      </c>
      <c r="N3" s="31" t="s">
        <v>45</v>
      </c>
      <c r="O3" s="31" t="s">
        <v>46</v>
      </c>
      <c r="P3" s="31" t="s">
        <v>34</v>
      </c>
      <c r="Q3" s="31" t="s">
        <v>36</v>
      </c>
      <c r="R3" s="31" t="s">
        <v>187</v>
      </c>
      <c r="S3" s="31" t="s">
        <v>35</v>
      </c>
      <c r="T3" s="32" t="s">
        <v>37</v>
      </c>
      <c r="U3" s="106" t="s">
        <v>110</v>
      </c>
      <c r="V3" s="35" t="s">
        <v>111</v>
      </c>
      <c r="W3" s="35" t="s">
        <v>188</v>
      </c>
      <c r="X3" s="35" t="s">
        <v>112</v>
      </c>
      <c r="Y3" s="106" t="s">
        <v>65</v>
      </c>
      <c r="Z3" s="35" t="s">
        <v>66</v>
      </c>
      <c r="AA3" s="35" t="s">
        <v>67</v>
      </c>
      <c r="AB3" s="36" t="s">
        <v>190</v>
      </c>
      <c r="AC3" s="33" t="s">
        <v>38</v>
      </c>
      <c r="AD3" s="31" t="s">
        <v>39</v>
      </c>
      <c r="AE3" s="31" t="s">
        <v>40</v>
      </c>
      <c r="AF3" s="31" t="s">
        <v>41</v>
      </c>
      <c r="AG3" s="31" t="s">
        <v>113</v>
      </c>
      <c r="AH3" s="31" t="s">
        <v>115</v>
      </c>
      <c r="AI3" s="31" t="s">
        <v>116</v>
      </c>
      <c r="AJ3" s="32" t="s">
        <v>114</v>
      </c>
      <c r="AK3" s="394"/>
    </row>
    <row r="4" spans="1:37" ht="13.8" thickBot="1">
      <c r="B4" s="102" t="s">
        <v>252</v>
      </c>
      <c r="C4" s="80" t="s">
        <v>207</v>
      </c>
      <c r="D4" s="141"/>
      <c r="E4" s="137"/>
      <c r="F4" s="107"/>
      <c r="G4" s="81"/>
      <c r="H4" s="69"/>
      <c r="I4" s="63"/>
      <c r="J4" s="63"/>
      <c r="K4" s="64"/>
      <c r="L4" s="77"/>
      <c r="M4" s="108"/>
      <c r="N4" s="63"/>
      <c r="O4" s="63"/>
      <c r="P4" s="63"/>
      <c r="Q4" s="63"/>
      <c r="R4" s="63"/>
      <c r="S4" s="63"/>
      <c r="T4" s="64"/>
      <c r="U4" s="62"/>
      <c r="V4" s="63"/>
      <c r="W4" s="63"/>
      <c r="X4" s="64"/>
      <c r="Y4" s="62"/>
      <c r="Z4" s="63"/>
      <c r="AA4" s="63"/>
      <c r="AB4" s="64"/>
      <c r="AC4" s="69"/>
      <c r="AD4" s="63"/>
      <c r="AE4" s="63"/>
      <c r="AF4" s="63"/>
      <c r="AG4" s="63"/>
      <c r="AH4" s="63"/>
      <c r="AI4" s="63"/>
      <c r="AJ4" s="64"/>
      <c r="AK4" s="149"/>
    </row>
    <row r="5" spans="1:37">
      <c r="A5">
        <v>1</v>
      </c>
      <c r="B5" s="78"/>
      <c r="C5" s="79"/>
      <c r="D5" s="82"/>
      <c r="E5" s="82"/>
      <c r="F5" s="159"/>
      <c r="G5" s="160"/>
      <c r="H5" s="293">
        <f>COUNTIFS(缺陷明细!$A$2:$A$50000,$B$4,缺陷明细!$G$2:$G$50000,$C5,缺陷明细!$J$2:$J$50000,"评审",缺陷明细!$AA$2:$AA$50000,"&lt;&gt;丢弃",缺陷明细!$AA$2:$AA$50000,"&lt;&gt;设计如此",缺陷明细!$AA$2:$AA$50000,"&lt;&gt;重复Bug")</f>
        <v>0</v>
      </c>
      <c r="I5" s="294">
        <f>COUNTIFS(缺陷明细!$A$2:$A$50000,$B$4,缺陷明细!$G$2:$G$50000,$C5,缺陷明细!$Q$2:$Q$50000,"已关闭",缺陷明细!$J$2:$J$50000,"评审")</f>
        <v>0</v>
      </c>
      <c r="J5" s="294">
        <f>COUNTIFS(缺陷明细!$A$2:$A$50000,$B$4,缺陷明细!$G$2:$G$50000,$C5,缺陷明细!$J$2:$J$50000,"单元测试",缺陷明细!$AA$2:$AA$50000,"&lt;&gt;丢弃",缺陷明细!$AA$2:$AA$50000,"&lt;&gt;设计如此",缺陷明细!$AA$2:$AA$50000,"&lt;&gt;重复Bug")</f>
        <v>0</v>
      </c>
      <c r="K5" s="295">
        <f>COUNTIFS(缺陷明细!$A$2:$A$50000,$B$4,缺陷明细!$G$2:$G$50000,$C5,缺陷明细!$Q$2:$Q$50000,"已关闭",缺陷明细!$J$2:$J$50000,"单元测试")</f>
        <v>0</v>
      </c>
      <c r="L5" s="296"/>
      <c r="M5" s="297"/>
      <c r="N5" s="298">
        <f>COUNTIFS(缺陷明细!$A$2:$A$50000,$B$4,缺陷明细!$G$2:$G$50000,$C5,缺陷明细!$J$2:$J$50000,"系统测试案例评审",缺陷明细!$AA$2:$AA$50000,"&lt;&gt;丢弃",缺陷明细!$AA$2:$AA$50000,"&lt;&gt;设计如此",缺陷明细!$AA$2:$AA$50000,"&lt;&gt;重复Bug")</f>
        <v>0</v>
      </c>
      <c r="O5" s="298">
        <f>COUNTIFS(缺陷明细!$A$2:$A$50000,$B$4,缺陷明细!$G$2:$G$50000,$C5,缺陷明细!$Q$2:$Q$50000,"已关闭",缺陷明细!$J$2:$J$50000,"系统测试案例评审")</f>
        <v>0</v>
      </c>
      <c r="P5" s="298">
        <f>COUNTIFS(缺陷明细!$A$2:$A$50000,$B$4,缺陷明细!$G$2:$G$50000,$C5,缺陷明细!$J$2:$J$50000,"系统测试",缺陷明细!$AA$2:$AA$50000,"&lt;&gt;丢弃",缺陷明细!$AA$2:$AA$50000,"&lt;&gt;设计如此",缺陷明细!$AA$2:$AA$50000,"&lt;&gt;重复Bug")</f>
        <v>0</v>
      </c>
      <c r="Q5" s="298">
        <f>COUNTIFS(缺陷明细!$A$2:$A$50000,$B$4,缺陷明细!$G$2:$G$50000,$C5,缺陷明细!$Q$2:$Q$50000,"已关闭",缺陷明细!$J$2:$J$50000,"系统测试")</f>
        <v>0</v>
      </c>
      <c r="R5" s="298">
        <f>COUNTIFS(缺陷明细!$A$2:$A$50000,$B$4,缺陷明细!$G$2:$G$50000,$C5,缺陷明细!$AA$2:$AA$50000,"丢弃",缺陷明细!$J$2:$J$50000,"系统测试")+COUNTIFS(缺陷明细!$A$2:$A$50000,$B$4,缺陷明细!$G$2:$G$50000,$C5,缺陷明细!$AA$2:$AA$50000,"设计如此",缺陷明细!$J$2:$J$50000,"系统测试"+COUNTIFS(缺陷明细!$A$2:$A$50000,$B$4,缺陷明细!$G$2:$G$50000,$C5,缺陷明细!$AA$2:$AA$50000,"重复Bug",缺陷明细!$J$2:$J$50000,"系统测试"))</f>
        <v>0</v>
      </c>
      <c r="S5" s="298">
        <f>COUNTIFS(缺陷明细!$A$2:$A$50000,$B$4,缺陷明细!$G$2:$G$50000,$C5,缺陷明细!$J$2:$J$50000,"系统测试",缺陷明细!$K$2:$K$50000,"致命",缺陷明细!$AA$2:$AA$50000,"&lt;&gt;丢弃",缺陷明细!$AA$2:$AA$50000,"&lt;&gt;设计如此",缺陷明细!$AA$2:$AA$50000,"&lt;&gt;重复Bug")+COUNTIFS(缺陷明细!$A$2:$A$50000,$B$4,缺陷明细!$G$2:$G$50000,$C5,缺陷明细!$J$2:$J$50000,"系统测试",缺陷明细!$K$2:$K$50000,"严重",缺陷明细!$AA$2:$AA$50000,"&lt;&gt;丢弃",缺陷明细!$AA$2:$AA$50000,"&lt;&gt;设计如此",缺陷明细!$AA$2:$AA$50000,"&lt;&gt;重复Bug")</f>
        <v>0</v>
      </c>
      <c r="T5" s="299">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300">
        <f>COUNTIFS(缺陷明细!$A$2:$A$50000,$B$4,缺陷明细!$G$2:$G$50000,$C5,缺陷明细!$J$2:$J$50000,"验收测试",缺陷明细!$AA$2:$AA$50000,"&lt;&gt;丢弃",缺陷明细!$AA$2:$AA$50000,"&lt;&gt;设计如此",缺陷明细!$AA$2:$AA$50000,"&lt;&gt;重复Bug")</f>
        <v>0</v>
      </c>
      <c r="V5" s="301">
        <f>COUNTIFS(缺陷明细!$A$2:$A$50000,$B$4,缺陷明细!$G$2:$G$50000,$C5,缺陷明细!$Q$2:$Q$50000,"已关闭",缺陷明细!$J$2:$J$50000,"验收测试")</f>
        <v>0</v>
      </c>
      <c r="W5" s="301">
        <f>COUNTIFS(缺陷明细!$A$2:$A$50000,$B$4,缺陷明细!$G$2:$G$50000,$C5,缺陷明细!$J$2:$J$50000,"验收测试",缺陷明细!$K$2:$K$50000,"致命",缺陷明细!$AA$2:$AA$50000,"&lt;&gt;丢弃",缺陷明细!$AA$2:$AA$50000,"&lt;&gt;设计如此",缺陷明细!$AA$2:$AA$50000,"&lt;&gt;重复Bug")+COUNTIFS(缺陷明细!$A$2:$A$50000,$B$4,缺陷明细!$G$2:$G$50000,$C5,缺陷明细!$J$2:$J$50000,"验收测试",缺陷明细!$K$2:$K$50000,"严重",缺陷明细!$AA$2:$AA$50000,"&lt;&gt;丢弃",缺陷明细!$AA$2:$AA$50000,"&lt;&gt;设计如此",缺陷明细!$AA$2:$AA$50000,"&lt;&gt;重复Bug")</f>
        <v>0</v>
      </c>
      <c r="X5" s="302">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303">
        <f>COUNTIFS(缺陷明细!$A$2:$A$50000,$B$4,缺陷明细!$G$2:$G$50000,$C5,缺陷明细!$J$2:$J$50000,"运维测试",缺陷明细!$AA$2:$AA$50000,"&lt;&gt;丢弃",缺陷明细!$AA$2:$AA$50000,"&lt;&gt;设计如此",缺陷明细!$AA$2:$AA$50000,"&lt;&gt;重复Bug")</f>
        <v>0</v>
      </c>
      <c r="Z5" s="304">
        <f>COUNTIFS(缺陷明细!$A$2:$A$50000,$B$4,缺陷明细!$G$2:$G$50000,$C5,缺陷明细!$Q$2:$Q$50000,"已关闭",缺陷明细!$J$2:$J$50000,"运维测试")</f>
        <v>0</v>
      </c>
      <c r="AA5" s="298">
        <f>COUNTIFS(缺陷明细!$A$2:$A$50000,$B$4,缺陷明细!$G$2:$G$50000,$C5,缺陷明细!$J$2:$J$50000,"运维测试",缺陷明细!$K$2:$K$50000,"致命",缺陷明细!$AA$2:$AA$50000,"&lt;&gt;丢弃",缺陷明细!$AA$2:$AA$50000,"&lt;&gt;设计如此",缺陷明细!$AA$2:$AA$50000,"&lt;&gt;重复Bug")+COUNTIFS(缺陷明细!$A$2:$A$50000,$B$4,缺陷明细!$G$2:$G$50000,$C5,缺陷明细!$J$2:$J$50000,"运维测试",缺陷明细!$K$2:$K$50000,"严重",缺陷明细!$AA$2:$AA$50000,"&lt;&gt;丢弃",缺陷明细!$AA$2:$AA$50000,"&lt;&gt;设计如此",缺陷明细!$AA$2:$AA$50000,"&lt;&gt;重复Bug")</f>
        <v>0</v>
      </c>
      <c r="AB5" s="299">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50"/>
    </row>
    <row r="6" spans="1:37">
      <c r="A6">
        <v>2</v>
      </c>
      <c r="B6" s="57"/>
      <c r="C6" s="58"/>
      <c r="D6" s="83"/>
      <c r="E6" s="82"/>
      <c r="F6" s="165"/>
      <c r="G6" s="166"/>
      <c r="H6" s="305">
        <f>COUNTIFS(缺陷明细!$A$2:$A$50000,$B$4,缺陷明细!$G$2:$G$50000,$C6,缺陷明细!$J$2:$J$50000,"评审",缺陷明细!$AA$2:$AA$50000,"&lt;&gt;丢弃",缺陷明细!$AA$2:$AA$50000,"&lt;&gt;设计如此",缺陷明细!$AA$2:$AA$50000,"&lt;&gt;重复Bug")</f>
        <v>0</v>
      </c>
      <c r="I6" s="161">
        <f>COUNTIFS(缺陷明细!$A$2:$A$50000,$B$4,缺陷明细!$G$2:$G$50000,$C6,缺陷明细!$Q$2:$Q$50000,"已关闭",缺陷明细!$J$2:$J$50000,"评审")</f>
        <v>0</v>
      </c>
      <c r="J6" s="161">
        <f>COUNTIFS(缺陷明细!$A$2:$A$50000,$B$4,缺陷明细!$G$2:$G$50000,$C6,缺陷明细!$J$2:$J$50000,"单元测试",缺陷明细!$AA$2:$AA$50000,"&lt;&gt;丢弃",缺陷明细!$AA$2:$AA$50000,"&lt;&gt;设计如此",缺陷明细!$AA$2:$AA$50000,"&lt;&gt;重复Bug")</f>
        <v>0</v>
      </c>
      <c r="K6" s="162">
        <f>COUNTIFS(缺陷明细!$A$2:$A$50000,$B$4,缺陷明细!$G$2:$G$50000,$C6,缺陷明细!$Q$2:$Q$50000,"已关闭",缺陷明细!$J$2:$J$50000,"单元测试")</f>
        <v>0</v>
      </c>
      <c r="L6" s="163"/>
      <c r="M6" s="164"/>
      <c r="N6" s="72">
        <f>COUNTIFS(缺陷明细!$A$2:$A$50000,$B$4,缺陷明细!$G$2:$G$50000,$C6,缺陷明细!$J$2:$J$50000,"系统测试案例评审",缺陷明细!$AA$2:$AA$50000,"&lt;&gt;丢弃",缺陷明细!$AA$2:$AA$50000,"&lt;&gt;设计如此",缺陷明细!$AA$2:$AA$50000,"&lt;&gt;重复Bug")</f>
        <v>0</v>
      </c>
      <c r="O6" s="72">
        <f>COUNTIFS(缺陷明细!$A$2:$A$50000,$B$4,缺陷明细!$G$2:$G$50000,$C6,缺陷明细!$Q$2:$Q$50000,"已关闭",缺陷明细!$J$2:$J$50000,"系统测试案例评审")</f>
        <v>0</v>
      </c>
      <c r="P6" s="72">
        <f>COUNTIFS(缺陷明细!$A$2:$A$50000,$B$4,缺陷明细!$G$2:$G$50000,$C6,缺陷明细!$J$2:$J$50000,"系统测试",缺陷明细!$AA$2:$AA$50000,"&lt;&gt;丢弃",缺陷明细!$AA$2:$AA$50000,"&lt;&gt;设计如此",缺陷明细!$AA$2:$AA$50000,"&lt;&gt;重复Bug")</f>
        <v>0</v>
      </c>
      <c r="Q6" s="72">
        <f>COUNTIFS(缺陷明细!$A$2:$A$50000,$B$4,缺陷明细!$G$2:$G$50000,$C6,缺陷明细!$Q$2:$Q$50000,"已关闭",缺陷明细!$J$2:$J$50000,"系统测试")</f>
        <v>0</v>
      </c>
      <c r="R6" s="72">
        <f>COUNTIFS(缺陷明细!$A$2:$A$50000,$B$4,缺陷明细!$G$2:$G$50000,$C6,缺陷明细!$AA$2:$AA$50000,"丢弃",缺陷明细!$J$2:$J$50000,"系统测试")+COUNTIFS(缺陷明细!$A$2:$A$50000,$B$4,缺陷明细!$G$2:$G$50000,$C6,缺陷明细!$AA$2:$AA$50000,"设计如此",缺陷明细!$J$2:$J$50000,"系统测试"+COUNTIFS(缺陷明细!$A$2:$A$50000,$B$4,缺陷明细!$G$2:$G$50000,$C6,缺陷明细!$AA$2:$AA$50000,"重复Bug",缺陷明细!$J$2:$J$50000,"系统测试"))</f>
        <v>0</v>
      </c>
      <c r="S6" s="72">
        <f>COUNTIFS(缺陷明细!$A$2:$A$50000,$B$4,缺陷明细!$G$2:$G$50000,$C6,缺陷明细!$J$2:$J$50000,"系统测试",缺陷明细!$K$2:$K$50000,"致命",缺陷明细!$AA$2:$AA$50000,"&lt;&gt;丢弃",缺陷明细!$AA$2:$AA$50000,"&lt;&gt;设计如此",缺陷明细!$AA$2:$AA$50000,"&lt;&gt;重复Bug")+COUNTIFS(缺陷明细!$A$2:$A$50000,$B$4,缺陷明细!$G$2:$G$50000,$C6,缺陷明细!$J$2:$J$50000,"系统测试",缺陷明细!$K$2:$K$50000,"严重",缺陷明细!$AA$2:$AA$50000,"&lt;&gt;丢弃",缺陷明细!$AA$2:$AA$50000,"&lt;&gt;设计如此",缺陷明细!$AA$2:$AA$50000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COUNTIFS(缺陷明细!$A$2:$A$50000,$B$4,缺陷明细!$G$2:$G$50000,$C6,缺陷明细!$J$2:$J$50000,"验收测试",缺陷明细!$AA$2:$AA$50000,"&lt;&gt;丢弃",缺陷明细!$AA$2:$AA$50000,"&lt;&gt;设计如此",缺陷明细!$AA$2:$AA$50000,"&lt;&gt;重复Bug")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A$2:$AA$50000,"&lt;&gt;丢弃",缺陷明细!$AA$2:$AA$50000,"&lt;&gt;设计如此",缺陷明细!$AA$2:$AA$50000,"&lt;&gt;重复Bug")+COUNTIFS(缺陷明细!$A$2:$A$50000,$B$4,缺陷明细!$G$2:$G$50000,$C6,缺陷明细!$J$2:$J$50000,"验收测试",缺陷明细!$K$2:$K$50000,"严重",缺陷明细!$AA$2:$AA$50000,"&lt;&gt;丢弃",缺陷明细!$AA$2:$AA$50000,"&lt;&gt;设计如此",缺陷明细!$AA$2:$AA$50000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COUNTIFS(缺陷明细!$A$2:$A$50000,$B$4,缺陷明细!$G$2:$G$50000,$C6,缺陷明细!$J$2:$J$50000,"运维测试",缺陷明细!$AA$2:$AA$50000,"&lt;&gt;丢弃",缺陷明细!$AA$2:$AA$50000,"&lt;&gt;设计如此",缺陷明细!$AA$2:$AA$50000,"&lt;&gt;重复Bug")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A$2:$AA$50000,"&lt;&gt;丢弃",缺陷明细!$AA$2:$AA$50000,"&lt;&gt;设计如此",缺陷明细!$AA$2:$AA$50000,"&lt;&gt;重复Bug")+COUNTIFS(缺陷明细!$A$2:$A$50000,$B$4,缺陷明细!$G$2:$G$50000,$C6,缺陷明细!$J$2:$J$50000,"运维测试",缺陷明细!$K$2:$K$50000,"严重",缺陷明细!$AA$2:$AA$50000,"&lt;&gt;丢弃",缺陷明细!$AA$2:$AA$50000,"&lt;&gt;设计如此",缺陷明细!$AA$2:$AA$50000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51"/>
    </row>
    <row r="7" spans="1:37">
      <c r="A7">
        <v>3</v>
      </c>
      <c r="B7" s="57"/>
      <c r="C7" s="58"/>
      <c r="D7" s="83"/>
      <c r="E7" s="82"/>
      <c r="F7" s="165"/>
      <c r="G7" s="166"/>
      <c r="H7" s="305">
        <f>COUNTIFS(缺陷明细!$A$2:$A$50000,$B$4,缺陷明细!$G$2:$G$50000,$C7,缺陷明细!$J$2:$J$50000,"评审",缺陷明细!$AA$2:$AA$50000,"&lt;&gt;丢弃",缺陷明细!$AA$2:$AA$50000,"&lt;&gt;设计如此",缺陷明细!$AA$2:$AA$50000,"&lt;&gt;重复Bug")</f>
        <v>0</v>
      </c>
      <c r="I7" s="161">
        <f>COUNTIFS(缺陷明细!$A$2:$A$50000,$B$4,缺陷明细!$G$2:$G$50000,$C7,缺陷明细!$Q$2:$Q$50000,"已关闭",缺陷明细!$J$2:$J$50000,"评审")</f>
        <v>0</v>
      </c>
      <c r="J7" s="161">
        <f>COUNTIFS(缺陷明细!$A$2:$A$50000,$B$4,缺陷明细!$G$2:$G$50000,$C7,缺陷明细!$J$2:$J$50000,"单元测试",缺陷明细!$AA$2:$AA$50000,"&lt;&gt;丢弃",缺陷明细!$AA$2:$AA$50000,"&lt;&gt;设计如此",缺陷明细!$AA$2:$AA$50000,"&lt;&gt;重复Bug")</f>
        <v>0</v>
      </c>
      <c r="K7" s="162">
        <f>COUNTIFS(缺陷明细!$A$2:$A$50000,$B$4,缺陷明细!$G$2:$G$50000,$C7,缺陷明细!$Q$2:$Q$50000,"已关闭",缺陷明细!$J$2:$J$50000,"单元测试")</f>
        <v>0</v>
      </c>
      <c r="L7" s="163"/>
      <c r="M7" s="164"/>
      <c r="N7" s="72">
        <f>COUNTIFS(缺陷明细!$A$2:$A$50000,$B$4,缺陷明细!$G$2:$G$50000,$C7,缺陷明细!$J$2:$J$50000,"系统测试案例评审",缺陷明细!$AA$2:$AA$50000,"&lt;&gt;丢弃",缺陷明细!$AA$2:$AA$50000,"&lt;&gt;设计如此",缺陷明细!$AA$2:$AA$50000,"&lt;&gt;重复Bug")</f>
        <v>0</v>
      </c>
      <c r="O7" s="72">
        <f>COUNTIFS(缺陷明细!$A$2:$A$50000,$B$4,缺陷明细!$G$2:$G$50000,$C7,缺陷明细!$Q$2:$Q$50000,"已关闭",缺陷明细!$J$2:$J$50000,"系统测试案例评审")</f>
        <v>0</v>
      </c>
      <c r="P7" s="72">
        <f>COUNTIFS(缺陷明细!$A$2:$A$50000,$B$4,缺陷明细!$G$2:$G$50000,$C7,缺陷明细!$J$2:$J$50000,"系统测试",缺陷明细!$AA$2:$AA$50000,"&lt;&gt;丢弃",缺陷明细!$AA$2:$AA$50000,"&lt;&gt;设计如此",缺陷明细!$AA$2:$AA$50000,"&lt;&gt;重复Bug")</f>
        <v>0</v>
      </c>
      <c r="Q7" s="72">
        <f>COUNTIFS(缺陷明细!$A$2:$A$50000,$B$4,缺陷明细!$G$2:$G$50000,$C7,缺陷明细!$Q$2:$Q$50000,"已关闭",缺陷明细!$J$2:$J$50000,"系统测试")</f>
        <v>0</v>
      </c>
      <c r="R7" s="72">
        <f>COUNTIFS(缺陷明细!$A$2:$A$50000,$B$4,缺陷明细!$G$2:$G$50000,$C7,缺陷明细!$AA$2:$AA$50000,"丢弃",缺陷明细!$J$2:$J$50000,"系统测试")+COUNTIFS(缺陷明细!$A$2:$A$50000,$B$4,缺陷明细!$G$2:$G$50000,$C7,缺陷明细!$AA$2:$AA$50000,"设计如此",缺陷明细!$J$2:$J$50000,"系统测试"+COUNTIFS(缺陷明细!$A$2:$A$50000,$B$4,缺陷明细!$G$2:$G$50000,$C7,缺陷明细!$AA$2:$AA$50000,"重复Bug",缺陷明细!$J$2:$J$50000,"系统测试"))</f>
        <v>0</v>
      </c>
      <c r="S7" s="72">
        <f>COUNTIFS(缺陷明细!$A$2:$A$50000,$B$4,缺陷明细!$G$2:$G$50000,$C7,缺陷明细!$J$2:$J$50000,"系统测试",缺陷明细!$K$2:$K$50000,"致命",缺陷明细!$AA$2:$AA$50000,"&lt;&gt;丢弃",缺陷明细!$AA$2:$AA$50000,"&lt;&gt;设计如此",缺陷明细!$AA$2:$AA$50000,"&lt;&gt;重复Bug")+COUNTIFS(缺陷明细!$A$2:$A$50000,$B$4,缺陷明细!$G$2:$G$50000,$C7,缺陷明细!$J$2:$J$50000,"系统测试",缺陷明细!$K$2:$K$50000,"严重",缺陷明细!$AA$2:$AA$50000,"&lt;&gt;丢弃",缺陷明细!$AA$2:$AA$50000,"&lt;&gt;设计如此",缺陷明细!$AA$2:$AA$50000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COUNTIFS(缺陷明细!$A$2:$A$50000,$B$4,缺陷明细!$G$2:$G$50000,$C7,缺陷明细!$J$2:$J$50000,"验收测试",缺陷明细!$AA$2:$AA$50000,"&lt;&gt;丢弃",缺陷明细!$AA$2:$AA$50000,"&lt;&gt;设计如此",缺陷明细!$AA$2:$AA$50000,"&lt;&gt;重复Bug")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A$2:$AA$50000,"&lt;&gt;丢弃",缺陷明细!$AA$2:$AA$50000,"&lt;&gt;设计如此",缺陷明细!$AA$2:$AA$50000,"&lt;&gt;重复Bug")+COUNTIFS(缺陷明细!$A$2:$A$50000,$B$4,缺陷明细!$G$2:$G$50000,$C7,缺陷明细!$J$2:$J$50000,"验收测试",缺陷明细!$K$2:$K$50000,"严重",缺陷明细!$AA$2:$AA$50000,"&lt;&gt;丢弃",缺陷明细!$AA$2:$AA$50000,"&lt;&gt;设计如此",缺陷明细!$AA$2:$AA$50000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COUNTIFS(缺陷明细!$A$2:$A$50000,$B$4,缺陷明细!$G$2:$G$50000,$C7,缺陷明细!$J$2:$J$50000,"运维测试",缺陷明细!$AA$2:$AA$50000,"&lt;&gt;丢弃",缺陷明细!$AA$2:$AA$50000,"&lt;&gt;设计如此",缺陷明细!$AA$2:$AA$50000,"&lt;&gt;重复Bug")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A$2:$AA$50000,"&lt;&gt;丢弃",缺陷明细!$AA$2:$AA$50000,"&lt;&gt;设计如此",缺陷明细!$AA$2:$AA$50000,"&lt;&gt;重复Bug")+COUNTIFS(缺陷明细!$A$2:$A$50000,$B$4,缺陷明细!$G$2:$G$50000,$C7,缺陷明细!$J$2:$J$50000,"运维测试",缺陷明细!$K$2:$K$50000,"严重",缺陷明细!$AA$2:$AA$50000,"&lt;&gt;丢弃",缺陷明细!$AA$2:$AA$50000,"&lt;&gt;设计如此",缺陷明细!$AA$2:$AA$50000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51"/>
    </row>
    <row r="8" spans="1:37">
      <c r="A8">
        <v>4</v>
      </c>
      <c r="B8" s="57"/>
      <c r="C8" s="58"/>
      <c r="D8" s="83"/>
      <c r="E8" s="82"/>
      <c r="F8" s="165"/>
      <c r="G8" s="166"/>
      <c r="H8" s="305">
        <f>COUNTIFS(缺陷明细!$A$2:$A$50000,$B$4,缺陷明细!$G$2:$G$50000,$C8,缺陷明细!$J$2:$J$50000,"评审",缺陷明细!$AA$2:$AA$50000,"&lt;&gt;丢弃",缺陷明细!$AA$2:$AA$50000,"&lt;&gt;设计如此",缺陷明细!$AA$2:$AA$50000,"&lt;&gt;重复Bug")</f>
        <v>0</v>
      </c>
      <c r="I8" s="161">
        <f>COUNTIFS(缺陷明细!$A$2:$A$50000,$B$4,缺陷明细!$G$2:$G$50000,$C8,缺陷明细!$Q$2:$Q$50000,"已关闭",缺陷明细!$J$2:$J$50000,"评审")</f>
        <v>0</v>
      </c>
      <c r="J8" s="161">
        <f>COUNTIFS(缺陷明细!$A$2:$A$50000,$B$4,缺陷明细!$G$2:$G$50000,$C8,缺陷明细!$J$2:$J$50000,"单元测试",缺陷明细!$AA$2:$AA$50000,"&lt;&gt;丢弃",缺陷明细!$AA$2:$AA$50000,"&lt;&gt;设计如此",缺陷明细!$AA$2:$AA$50000,"&lt;&gt;重复Bug")</f>
        <v>0</v>
      </c>
      <c r="K8" s="162">
        <f>COUNTIFS(缺陷明细!$A$2:$A$50000,$B$4,缺陷明细!$G$2:$G$50000,$C8,缺陷明细!$Q$2:$Q$50000,"已关闭",缺陷明细!$J$2:$J$50000,"单元测试")</f>
        <v>0</v>
      </c>
      <c r="L8" s="163"/>
      <c r="M8" s="164"/>
      <c r="N8" s="72">
        <f>COUNTIFS(缺陷明细!$A$2:$A$50000,$B$4,缺陷明细!$G$2:$G$50000,$C8,缺陷明细!$J$2:$J$50000,"系统测试案例评审",缺陷明细!$AA$2:$AA$50000,"&lt;&gt;丢弃",缺陷明细!$AA$2:$AA$50000,"&lt;&gt;设计如此",缺陷明细!$AA$2:$AA$50000,"&lt;&gt;重复Bug")</f>
        <v>0</v>
      </c>
      <c r="O8" s="72">
        <f>COUNTIFS(缺陷明细!$A$2:$A$50000,$B$4,缺陷明细!$G$2:$G$50000,$C8,缺陷明细!$Q$2:$Q$50000,"已关闭",缺陷明细!$J$2:$J$50000,"系统测试案例评审")</f>
        <v>0</v>
      </c>
      <c r="P8" s="72">
        <f>COUNTIFS(缺陷明细!$A$2:$A$50000,$B$4,缺陷明细!$G$2:$G$50000,$C8,缺陷明细!$J$2:$J$50000,"系统测试",缺陷明细!$AA$2:$AA$50000,"&lt;&gt;丢弃",缺陷明细!$AA$2:$AA$50000,"&lt;&gt;设计如此",缺陷明细!$AA$2:$AA$50000,"&lt;&gt;重复Bug")</f>
        <v>0</v>
      </c>
      <c r="Q8" s="72">
        <f>COUNTIFS(缺陷明细!$A$2:$A$50000,$B$4,缺陷明细!$G$2:$G$50000,$C8,缺陷明细!$Q$2:$Q$50000,"已关闭",缺陷明细!$J$2:$J$50000,"系统测试")</f>
        <v>0</v>
      </c>
      <c r="R8" s="72">
        <f>COUNTIFS(缺陷明细!$A$2:$A$50000,$B$4,缺陷明细!$G$2:$G$50000,$C8,缺陷明细!$AA$2:$AA$50000,"丢弃",缺陷明细!$J$2:$J$50000,"系统测试")+COUNTIFS(缺陷明细!$A$2:$A$50000,$B$4,缺陷明细!$G$2:$G$50000,$C8,缺陷明细!$AA$2:$AA$50000,"设计如此",缺陷明细!$J$2:$J$50000,"系统测试"+COUNTIFS(缺陷明细!$A$2:$A$50000,$B$4,缺陷明细!$G$2:$G$50000,$C8,缺陷明细!$AA$2:$AA$50000,"重复Bug",缺陷明细!$J$2:$J$50000,"系统测试"))</f>
        <v>0</v>
      </c>
      <c r="S8" s="72">
        <f>COUNTIFS(缺陷明细!$A$2:$A$50000,$B$4,缺陷明细!$G$2:$G$50000,$C8,缺陷明细!$J$2:$J$50000,"系统测试",缺陷明细!$K$2:$K$50000,"致命",缺陷明细!$AA$2:$AA$50000,"&lt;&gt;丢弃",缺陷明细!$AA$2:$AA$50000,"&lt;&gt;设计如此",缺陷明细!$AA$2:$AA$50000,"&lt;&gt;重复Bug")+COUNTIFS(缺陷明细!$A$2:$A$50000,$B$4,缺陷明细!$G$2:$G$50000,$C8,缺陷明细!$J$2:$J$50000,"系统测试",缺陷明细!$K$2:$K$50000,"严重",缺陷明细!$AA$2:$AA$50000,"&lt;&gt;丢弃",缺陷明细!$AA$2:$AA$50000,"&lt;&gt;设计如此",缺陷明细!$AA$2:$AA$50000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COUNTIFS(缺陷明细!$A$2:$A$50000,$B$4,缺陷明细!$G$2:$G$50000,$C8,缺陷明细!$J$2:$J$50000,"验收测试",缺陷明细!$AA$2:$AA$50000,"&lt;&gt;丢弃",缺陷明细!$AA$2:$AA$50000,"&lt;&gt;设计如此",缺陷明细!$AA$2:$AA$50000,"&lt;&gt;重复Bug")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A$2:$AA$50000,"&lt;&gt;丢弃",缺陷明细!$AA$2:$AA$50000,"&lt;&gt;设计如此",缺陷明细!$AA$2:$AA$50000,"&lt;&gt;重复Bug")+COUNTIFS(缺陷明细!$A$2:$A$50000,$B$4,缺陷明细!$G$2:$G$50000,$C8,缺陷明细!$J$2:$J$50000,"验收测试",缺陷明细!$K$2:$K$50000,"严重",缺陷明细!$AA$2:$AA$50000,"&lt;&gt;丢弃",缺陷明细!$AA$2:$AA$50000,"&lt;&gt;设计如此",缺陷明细!$AA$2:$AA$50000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COUNTIFS(缺陷明细!$A$2:$A$50000,$B$4,缺陷明细!$G$2:$G$50000,$C8,缺陷明细!$J$2:$J$50000,"运维测试",缺陷明细!$AA$2:$AA$50000,"&lt;&gt;丢弃",缺陷明细!$AA$2:$AA$50000,"&lt;&gt;设计如此",缺陷明细!$AA$2:$AA$50000,"&lt;&gt;重复Bug")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A$2:$AA$50000,"&lt;&gt;丢弃",缺陷明细!$AA$2:$AA$50000,"&lt;&gt;设计如此",缺陷明细!$AA$2:$AA$50000,"&lt;&gt;重复Bug")+COUNTIFS(缺陷明细!$A$2:$A$50000,$B$4,缺陷明细!$G$2:$G$50000,$C8,缺陷明细!$J$2:$J$50000,"运维测试",缺陷明细!$K$2:$K$50000,"严重",缺陷明细!$AA$2:$AA$50000,"&lt;&gt;丢弃",缺陷明细!$AA$2:$AA$50000,"&lt;&gt;设计如此",缺陷明细!$AA$2:$AA$50000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51"/>
    </row>
    <row r="9" spans="1:37">
      <c r="A9">
        <v>5</v>
      </c>
      <c r="B9" s="57"/>
      <c r="C9" s="59"/>
      <c r="D9" s="84"/>
      <c r="E9" s="82"/>
      <c r="F9" s="167"/>
      <c r="G9" s="168"/>
      <c r="H9" s="305">
        <f>COUNTIFS(缺陷明细!$A$2:$A$50000,$B$4,缺陷明细!$G$2:$G$50000,$C9,缺陷明细!$J$2:$J$50000,"评审",缺陷明细!$AA$2:$AA$50000,"&lt;&gt;丢弃",缺陷明细!$AA$2:$AA$50000,"&lt;&gt;设计如此",缺陷明细!$AA$2:$AA$50000,"&lt;&gt;重复Bug")</f>
        <v>0</v>
      </c>
      <c r="I9" s="161">
        <f>COUNTIFS(缺陷明细!$A$2:$A$50000,$B$4,缺陷明细!$G$2:$G$50000,$C9,缺陷明细!$Q$2:$Q$50000,"已关闭",缺陷明细!$J$2:$J$50000,"评审")</f>
        <v>0</v>
      </c>
      <c r="J9" s="161">
        <f>COUNTIFS(缺陷明细!$A$2:$A$50000,$B$4,缺陷明细!$G$2:$G$50000,$C9,缺陷明细!$J$2:$J$50000,"单元测试",缺陷明细!$AA$2:$AA$50000,"&lt;&gt;丢弃",缺陷明细!$AA$2:$AA$50000,"&lt;&gt;设计如此",缺陷明细!$AA$2:$AA$50000,"&lt;&gt;重复Bug")</f>
        <v>0</v>
      </c>
      <c r="K9" s="162">
        <f>COUNTIFS(缺陷明细!$A$2:$A$50000,$B$4,缺陷明细!$G$2:$G$50000,$C9,缺陷明细!$Q$2:$Q$50000,"已关闭",缺陷明细!$J$2:$J$50000,"单元测试")</f>
        <v>0</v>
      </c>
      <c r="L9" s="163"/>
      <c r="M9" s="164"/>
      <c r="N9" s="72">
        <f>COUNTIFS(缺陷明细!$A$2:$A$50000,$B$4,缺陷明细!$G$2:$G$50000,$C9,缺陷明细!$J$2:$J$50000,"系统测试案例评审",缺陷明细!$AA$2:$AA$50000,"&lt;&gt;丢弃",缺陷明细!$AA$2:$AA$50000,"&lt;&gt;设计如此",缺陷明细!$AA$2:$AA$50000,"&lt;&gt;重复Bug")</f>
        <v>0</v>
      </c>
      <c r="O9" s="72">
        <f>COUNTIFS(缺陷明细!$A$2:$A$50000,$B$4,缺陷明细!$G$2:$G$50000,$C9,缺陷明细!$Q$2:$Q$50000,"已关闭",缺陷明细!$J$2:$J$50000,"系统测试案例评审")</f>
        <v>0</v>
      </c>
      <c r="P9" s="72">
        <f>COUNTIFS(缺陷明细!$A$2:$A$50000,$B$4,缺陷明细!$G$2:$G$50000,$C9,缺陷明细!$J$2:$J$50000,"系统测试",缺陷明细!$AA$2:$AA$50000,"&lt;&gt;丢弃",缺陷明细!$AA$2:$AA$50000,"&lt;&gt;设计如此",缺陷明细!$AA$2:$AA$50000,"&lt;&gt;重复Bug")</f>
        <v>0</v>
      </c>
      <c r="Q9" s="72">
        <f>COUNTIFS(缺陷明细!$A$2:$A$50000,$B$4,缺陷明细!$G$2:$G$50000,$C9,缺陷明细!$Q$2:$Q$50000,"已关闭",缺陷明细!$J$2:$J$50000,"系统测试")</f>
        <v>0</v>
      </c>
      <c r="R9" s="72">
        <f>COUNTIFS(缺陷明细!$A$2:$A$50000,$B$4,缺陷明细!$G$2:$G$50000,$C9,缺陷明细!$AA$2:$AA$50000,"丢弃",缺陷明细!$J$2:$J$50000,"系统测试")+COUNTIFS(缺陷明细!$A$2:$A$50000,$B$4,缺陷明细!$G$2:$G$50000,$C9,缺陷明细!$AA$2:$AA$50000,"设计如此",缺陷明细!$J$2:$J$50000,"系统测试"+COUNTIFS(缺陷明细!$A$2:$A$50000,$B$4,缺陷明细!$G$2:$G$50000,$C9,缺陷明细!$AA$2:$AA$50000,"重复Bug",缺陷明细!$J$2:$J$50000,"系统测试"))</f>
        <v>0</v>
      </c>
      <c r="S9" s="72">
        <f>COUNTIFS(缺陷明细!$A$2:$A$50000,$B$4,缺陷明细!$G$2:$G$50000,$C9,缺陷明细!$J$2:$J$50000,"系统测试",缺陷明细!$K$2:$K$50000,"致命",缺陷明细!$AA$2:$AA$50000,"&lt;&gt;丢弃",缺陷明细!$AA$2:$AA$50000,"&lt;&gt;设计如此",缺陷明细!$AA$2:$AA$50000,"&lt;&gt;重复Bug")+COUNTIFS(缺陷明细!$A$2:$A$50000,$B$4,缺陷明细!$G$2:$G$50000,$C9,缺陷明细!$J$2:$J$50000,"系统测试",缺陷明细!$K$2:$K$50000,"严重",缺陷明细!$AA$2:$AA$50000,"&lt;&gt;丢弃",缺陷明细!$AA$2:$AA$50000,"&lt;&gt;设计如此",缺陷明细!$AA$2:$AA$50000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COUNTIFS(缺陷明细!$A$2:$A$50000,$B$4,缺陷明细!$G$2:$G$50000,$C9,缺陷明细!$J$2:$J$50000,"验收测试",缺陷明细!$AA$2:$AA$50000,"&lt;&gt;丢弃",缺陷明细!$AA$2:$AA$50000,"&lt;&gt;设计如此",缺陷明细!$AA$2:$AA$50000,"&lt;&gt;重复Bug")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A$2:$AA$50000,"&lt;&gt;丢弃",缺陷明细!$AA$2:$AA$50000,"&lt;&gt;设计如此",缺陷明细!$AA$2:$AA$50000,"&lt;&gt;重复Bug")+COUNTIFS(缺陷明细!$A$2:$A$50000,$B$4,缺陷明细!$G$2:$G$50000,$C9,缺陷明细!$J$2:$J$50000,"验收测试",缺陷明细!$K$2:$K$50000,"严重",缺陷明细!$AA$2:$AA$50000,"&lt;&gt;丢弃",缺陷明细!$AA$2:$AA$50000,"&lt;&gt;设计如此",缺陷明细!$AA$2:$AA$50000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COUNTIFS(缺陷明细!$A$2:$A$50000,$B$4,缺陷明细!$G$2:$G$50000,$C9,缺陷明细!$J$2:$J$50000,"运维测试",缺陷明细!$AA$2:$AA$50000,"&lt;&gt;丢弃",缺陷明细!$AA$2:$AA$50000,"&lt;&gt;设计如此",缺陷明细!$AA$2:$AA$50000,"&lt;&gt;重复Bug")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A$2:$AA$50000,"&lt;&gt;丢弃",缺陷明细!$AA$2:$AA$50000,"&lt;&gt;设计如此",缺陷明细!$AA$2:$AA$50000,"&lt;&gt;重复Bug")+COUNTIFS(缺陷明细!$A$2:$A$50000,$B$4,缺陷明细!$G$2:$G$50000,$C9,缺陷明细!$J$2:$J$50000,"运维测试",缺陷明细!$K$2:$K$50000,"严重",缺陷明细!$AA$2:$AA$50000,"&lt;&gt;丢弃",缺陷明细!$AA$2:$AA$50000,"&lt;&gt;设计如此",缺陷明细!$AA$2:$AA$50000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51"/>
    </row>
    <row r="10" spans="1:37">
      <c r="A10">
        <v>6</v>
      </c>
      <c r="B10" s="57"/>
      <c r="C10" s="58"/>
      <c r="D10" s="84"/>
      <c r="E10" s="82"/>
      <c r="F10" s="165"/>
      <c r="G10" s="166"/>
      <c r="H10" s="305">
        <f>COUNTIFS(缺陷明细!$A$2:$A$50000,$B$4,缺陷明细!$G$2:$G$50000,$C10,缺陷明细!$J$2:$J$50000,"评审",缺陷明细!$AA$2:$AA$50000,"&lt;&gt;丢弃",缺陷明细!$AA$2:$AA$50000,"&lt;&gt;设计如此",缺陷明细!$AA$2:$AA$50000,"&lt;&gt;重复Bug")</f>
        <v>0</v>
      </c>
      <c r="I10" s="161">
        <f>COUNTIFS(缺陷明细!$A$2:$A$50000,$B$4,缺陷明细!$G$2:$G$50000,$C10,缺陷明细!$Q$2:$Q$50000,"已关闭",缺陷明细!$J$2:$J$50000,"评审")</f>
        <v>0</v>
      </c>
      <c r="J10" s="161">
        <f>COUNTIFS(缺陷明细!$A$2:$A$50000,$B$4,缺陷明细!$G$2:$G$50000,$C10,缺陷明细!$J$2:$J$50000,"单元测试",缺陷明细!$AA$2:$AA$50000,"&lt;&gt;丢弃",缺陷明细!$AA$2:$AA$50000,"&lt;&gt;设计如此",缺陷明细!$AA$2:$AA$50000,"&lt;&gt;重复Bug")</f>
        <v>0</v>
      </c>
      <c r="K10" s="162">
        <f>COUNTIFS(缺陷明细!$A$2:$A$50000,$B$4,缺陷明细!$G$2:$G$50000,$C10,缺陷明细!$Q$2:$Q$50000,"已关闭",缺陷明细!$J$2:$J$50000,"单元测试")</f>
        <v>0</v>
      </c>
      <c r="L10" s="163"/>
      <c r="M10" s="164"/>
      <c r="N10" s="72">
        <f>COUNTIFS(缺陷明细!$A$2:$A$50000,$B$4,缺陷明细!$G$2:$G$50000,$C10,缺陷明细!$J$2:$J$50000,"系统测试案例评审",缺陷明细!$AA$2:$AA$50000,"&lt;&gt;丢弃",缺陷明细!$AA$2:$AA$50000,"&lt;&gt;设计如此",缺陷明细!$AA$2:$AA$50000,"&lt;&gt;重复Bug")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COUNTIFS(缺陷明细!$A$2:$A$50000,$B$4,缺陷明细!$G$2:$G$50000,$C10,缺陷明细!$J$2:$J$50000,"系统测试",缺陷明细!$AA$2:$AA$50000,"&lt;&gt;丢弃",缺陷明细!$AA$2:$AA$50000,"&lt;&gt;设计如此",缺陷明细!$AA$2:$AA$50000,"&lt;&gt;重复Bug")</f>
        <v>0</v>
      </c>
      <c r="Q10" s="72">
        <f>COUNTIFS(缺陷明细!$A$2:$A$50000,$B$4,缺陷明细!$G$2:$G$50000,$C10,缺陷明细!$Q$2:$Q$50000,"已关闭",缺陷明细!$J$2:$J$50000,"系统测试")</f>
        <v>0</v>
      </c>
      <c r="R10" s="72">
        <f>COUNTIFS(缺陷明细!$A$2:$A$50000,$B$4,缺陷明细!$G$2:$G$50000,$C10,缺陷明细!$AA$2:$AA$50000,"丢弃",缺陷明细!$J$2:$J$50000,"系统测试")+COUNTIFS(缺陷明细!$A$2:$A$50000,$B$4,缺陷明细!$G$2:$G$50000,$C10,缺陷明细!$AA$2:$AA$50000,"设计如此",缺陷明细!$J$2:$J$50000,"系统测试"+COUNTIFS(缺陷明细!$A$2:$A$50000,$B$4,缺陷明细!$G$2:$G$50000,$C10,缺陷明细!$AA$2:$AA$50000,"重复Bug",缺陷明细!$J$2:$J$50000,"系统测试"))</f>
        <v>0</v>
      </c>
      <c r="S10" s="72">
        <f>COUNTIFS(缺陷明细!$A$2:$A$50000,$B$4,缺陷明细!$G$2:$G$50000,$C10,缺陷明细!$J$2:$J$50000,"系统测试",缺陷明细!$K$2:$K$50000,"致命",缺陷明细!$AA$2:$AA$50000,"&lt;&gt;丢弃",缺陷明细!$AA$2:$AA$50000,"&lt;&gt;设计如此",缺陷明细!$AA$2:$AA$50000,"&lt;&gt;重复Bug")+COUNTIFS(缺陷明细!$A$2:$A$50000,$B$4,缺陷明细!$G$2:$G$50000,$C10,缺陷明细!$J$2:$J$50000,"系统测试",缺陷明细!$K$2:$K$50000,"严重",缺陷明细!$AA$2:$AA$50000,"&lt;&gt;丢弃",缺陷明细!$AA$2:$AA$50000,"&lt;&gt;设计如此",缺陷明细!$AA$2:$AA$50000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COUNTIFS(缺陷明细!$A$2:$A$50000,$B$4,缺陷明细!$G$2:$G$50000,$C10,缺陷明细!$J$2:$J$50000,"验收测试",缺陷明细!$AA$2:$AA$50000,"&lt;&gt;丢弃",缺陷明细!$AA$2:$AA$50000,"&lt;&gt;设计如此",缺陷明细!$AA$2:$AA$50000,"&lt;&gt;重复Bug")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A$2:$AA$50000,"&lt;&gt;丢弃",缺陷明细!$AA$2:$AA$50000,"&lt;&gt;设计如此",缺陷明细!$AA$2:$AA$50000,"&lt;&gt;重复Bug")+COUNTIFS(缺陷明细!$A$2:$A$50000,$B$4,缺陷明细!$G$2:$G$50000,$C10,缺陷明细!$J$2:$J$50000,"验收测试",缺陷明细!$K$2:$K$50000,"严重",缺陷明细!$AA$2:$AA$50000,"&lt;&gt;丢弃",缺陷明细!$AA$2:$AA$50000,"&lt;&gt;设计如此",缺陷明细!$AA$2:$AA$50000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COUNTIFS(缺陷明细!$A$2:$A$50000,$B$4,缺陷明细!$G$2:$G$50000,$C10,缺陷明细!$J$2:$J$50000,"运维测试",缺陷明细!$AA$2:$AA$50000,"&lt;&gt;丢弃",缺陷明细!$AA$2:$AA$50000,"&lt;&gt;设计如此",缺陷明细!$AA$2:$AA$50000,"&lt;&gt;重复Bug")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A$2:$AA$50000,"&lt;&gt;丢弃",缺陷明细!$AA$2:$AA$50000,"&lt;&gt;设计如此",缺陷明细!$AA$2:$AA$50000,"&lt;&gt;重复Bug")+COUNTIFS(缺陷明细!$A$2:$A$50000,$B$4,缺陷明细!$G$2:$G$50000,$C10,缺陷明细!$J$2:$J$50000,"运维测试",缺陷明细!$K$2:$K$50000,"严重",缺陷明细!$AA$2:$AA$50000,"&lt;&gt;丢弃",缺陷明细!$AA$2:$AA$50000,"&lt;&gt;设计如此",缺陷明细!$AA$2:$AA$50000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51"/>
    </row>
    <row r="11" spans="1:37">
      <c r="A11">
        <v>7</v>
      </c>
      <c r="B11" s="57"/>
      <c r="C11" s="58"/>
      <c r="D11" s="84"/>
      <c r="E11" s="82"/>
      <c r="F11" s="165"/>
      <c r="G11" s="166"/>
      <c r="H11" s="305">
        <f>COUNTIFS(缺陷明细!$A$2:$A$50000,$B$4,缺陷明细!$G$2:$G$50000,$C11,缺陷明细!$J$2:$J$50000,"评审",缺陷明细!$AA$2:$AA$50000,"&lt;&gt;丢弃",缺陷明细!$AA$2:$AA$50000,"&lt;&gt;设计如此",缺陷明细!$AA$2:$AA$50000,"&lt;&gt;重复Bug")</f>
        <v>0</v>
      </c>
      <c r="I11" s="161">
        <f>COUNTIFS(缺陷明细!$A$2:$A$50000,$B$4,缺陷明细!$G$2:$G$50000,$C11,缺陷明细!$Q$2:$Q$50000,"已关闭",缺陷明细!$J$2:$J$50000,"评审")</f>
        <v>0</v>
      </c>
      <c r="J11" s="161">
        <f>COUNTIFS(缺陷明细!$A$2:$A$50000,$B$4,缺陷明细!$G$2:$G$50000,$C11,缺陷明细!$J$2:$J$50000,"单元测试",缺陷明细!$AA$2:$AA$50000,"&lt;&gt;丢弃",缺陷明细!$AA$2:$AA$50000,"&lt;&gt;设计如此",缺陷明细!$AA$2:$AA$50000,"&lt;&gt;重复Bug")</f>
        <v>0</v>
      </c>
      <c r="K11" s="162">
        <f>COUNTIFS(缺陷明细!$A$2:$A$50000,$B$4,缺陷明细!$G$2:$G$50000,$C11,缺陷明细!$Q$2:$Q$50000,"已关闭",缺陷明细!$J$2:$J$50000,"单元测试")</f>
        <v>0</v>
      </c>
      <c r="L11" s="163"/>
      <c r="M11" s="164"/>
      <c r="N11" s="72">
        <f>COUNTIFS(缺陷明细!$A$2:$A$50000,$B$4,缺陷明细!$G$2:$G$50000,$C11,缺陷明细!$J$2:$J$50000,"系统测试案例评审",缺陷明细!$AA$2:$AA$50000,"&lt;&gt;丢弃",缺陷明细!$AA$2:$AA$50000,"&lt;&gt;设计如此",缺陷明细!$AA$2:$AA$50000,"&lt;&gt;重复Bug")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COUNTIFS(缺陷明细!$A$2:$A$50000,$B$4,缺陷明细!$G$2:$G$50000,$C11,缺陷明细!$J$2:$J$50000,"系统测试",缺陷明细!$AA$2:$AA$50000,"&lt;&gt;丢弃",缺陷明细!$AA$2:$AA$50000,"&lt;&gt;设计如此",缺陷明细!$AA$2:$AA$50000,"&lt;&gt;重复Bug")</f>
        <v>0</v>
      </c>
      <c r="Q11" s="72">
        <f>COUNTIFS(缺陷明细!$A$2:$A$50000,$B$4,缺陷明细!$G$2:$G$50000,$C11,缺陷明细!$Q$2:$Q$50000,"已关闭",缺陷明细!$J$2:$J$50000,"系统测试")</f>
        <v>0</v>
      </c>
      <c r="R11" s="72">
        <f>COUNTIFS(缺陷明细!$A$2:$A$50000,$B$4,缺陷明细!$G$2:$G$50000,$C11,缺陷明细!$AA$2:$AA$50000,"丢弃",缺陷明细!$J$2:$J$50000,"系统测试")+COUNTIFS(缺陷明细!$A$2:$A$50000,$B$4,缺陷明细!$G$2:$G$50000,$C11,缺陷明细!$AA$2:$AA$50000,"设计如此",缺陷明细!$J$2:$J$50000,"系统测试"+COUNTIFS(缺陷明细!$A$2:$A$50000,$B$4,缺陷明细!$G$2:$G$50000,$C11,缺陷明细!$AA$2:$AA$50000,"重复Bug",缺陷明细!$J$2:$J$50000,"系统测试"))</f>
        <v>0</v>
      </c>
      <c r="S11" s="72">
        <f>COUNTIFS(缺陷明细!$A$2:$A$50000,$B$4,缺陷明细!$G$2:$G$50000,$C11,缺陷明细!$J$2:$J$50000,"系统测试",缺陷明细!$K$2:$K$50000,"致命",缺陷明细!$AA$2:$AA$50000,"&lt;&gt;丢弃",缺陷明细!$AA$2:$AA$50000,"&lt;&gt;设计如此",缺陷明细!$AA$2:$AA$50000,"&lt;&gt;重复Bug")+COUNTIFS(缺陷明细!$A$2:$A$50000,$B$4,缺陷明细!$G$2:$G$50000,$C11,缺陷明细!$J$2:$J$50000,"系统测试",缺陷明细!$K$2:$K$50000,"严重",缺陷明细!$AA$2:$AA$50000,"&lt;&gt;丢弃",缺陷明细!$AA$2:$AA$50000,"&lt;&gt;设计如此",缺陷明细!$AA$2:$AA$50000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COUNTIFS(缺陷明细!$A$2:$A$50000,$B$4,缺陷明细!$G$2:$G$50000,$C11,缺陷明细!$J$2:$J$50000,"验收测试",缺陷明细!$AA$2:$AA$50000,"&lt;&gt;丢弃",缺陷明细!$AA$2:$AA$50000,"&lt;&gt;设计如此",缺陷明细!$AA$2:$AA$50000,"&lt;&gt;重复Bug")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A$2:$AA$50000,"&lt;&gt;丢弃",缺陷明细!$AA$2:$AA$50000,"&lt;&gt;设计如此",缺陷明细!$AA$2:$AA$50000,"&lt;&gt;重复Bug")+COUNTIFS(缺陷明细!$A$2:$A$50000,$B$4,缺陷明细!$G$2:$G$50000,$C11,缺陷明细!$J$2:$J$50000,"验收测试",缺陷明细!$K$2:$K$50000,"严重",缺陷明细!$AA$2:$AA$50000,"&lt;&gt;丢弃",缺陷明细!$AA$2:$AA$50000,"&lt;&gt;设计如此",缺陷明细!$AA$2:$AA$50000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COUNTIFS(缺陷明细!$A$2:$A$50000,$B$4,缺陷明细!$G$2:$G$50000,$C11,缺陷明细!$J$2:$J$50000,"运维测试",缺陷明细!$AA$2:$AA$50000,"&lt;&gt;丢弃",缺陷明细!$AA$2:$AA$50000,"&lt;&gt;设计如此",缺陷明细!$AA$2:$AA$50000,"&lt;&gt;重复Bug")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A$2:$AA$50000,"&lt;&gt;丢弃",缺陷明细!$AA$2:$AA$50000,"&lt;&gt;设计如此",缺陷明细!$AA$2:$AA$50000,"&lt;&gt;重复Bug")+COUNTIFS(缺陷明细!$A$2:$A$50000,$B$4,缺陷明细!$G$2:$G$50000,$C11,缺陷明细!$J$2:$J$50000,"运维测试",缺陷明细!$K$2:$K$50000,"严重",缺陷明细!$AA$2:$AA$50000,"&lt;&gt;丢弃",缺陷明细!$AA$2:$AA$50000,"&lt;&gt;设计如此",缺陷明细!$AA$2:$AA$50000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51"/>
    </row>
    <row r="12" spans="1:37">
      <c r="A12">
        <v>8</v>
      </c>
      <c r="B12" s="57"/>
      <c r="C12" s="58"/>
      <c r="D12" s="84"/>
      <c r="E12" s="82"/>
      <c r="F12" s="165"/>
      <c r="G12" s="166"/>
      <c r="H12" s="305">
        <f>COUNTIFS(缺陷明细!$A$2:$A$50000,$B$4,缺陷明细!$G$2:$G$50000,$C12,缺陷明细!$J$2:$J$50000,"评审",缺陷明细!$AA$2:$AA$50000,"&lt;&gt;丢弃",缺陷明细!$AA$2:$AA$50000,"&lt;&gt;设计如此",缺陷明细!$AA$2:$AA$50000,"&lt;&gt;重复Bug")</f>
        <v>0</v>
      </c>
      <c r="I12" s="161">
        <f>COUNTIFS(缺陷明细!$A$2:$A$50000,$B$4,缺陷明细!$G$2:$G$50000,$C12,缺陷明细!$Q$2:$Q$50000,"已关闭",缺陷明细!$J$2:$J$50000,"评审")</f>
        <v>0</v>
      </c>
      <c r="J12" s="161">
        <f>COUNTIFS(缺陷明细!$A$2:$A$50000,$B$4,缺陷明细!$G$2:$G$50000,$C12,缺陷明细!$J$2:$J$50000,"单元测试",缺陷明细!$AA$2:$AA$50000,"&lt;&gt;丢弃",缺陷明细!$AA$2:$AA$50000,"&lt;&gt;设计如此",缺陷明细!$AA$2:$AA$50000,"&lt;&gt;重复Bug")</f>
        <v>0</v>
      </c>
      <c r="K12" s="162">
        <f>COUNTIFS(缺陷明细!$A$2:$A$50000,$B$4,缺陷明细!$G$2:$G$50000,$C12,缺陷明细!$Q$2:$Q$50000,"已关闭",缺陷明细!$J$2:$J$50000,"单元测试")</f>
        <v>0</v>
      </c>
      <c r="L12" s="163"/>
      <c r="M12" s="164"/>
      <c r="N12" s="72">
        <f>COUNTIFS(缺陷明细!$A$2:$A$50000,$B$4,缺陷明细!$G$2:$G$50000,$C12,缺陷明细!$J$2:$J$50000,"系统测试案例评审",缺陷明细!$AA$2:$AA$50000,"&lt;&gt;丢弃",缺陷明细!$AA$2:$AA$50000,"&lt;&gt;设计如此",缺陷明细!$AA$2:$AA$50000,"&lt;&gt;重复Bug")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COUNTIFS(缺陷明细!$A$2:$A$50000,$B$4,缺陷明细!$G$2:$G$50000,$C12,缺陷明细!$J$2:$J$50000,"系统测试",缺陷明细!$AA$2:$AA$50000,"&lt;&gt;丢弃",缺陷明细!$AA$2:$AA$50000,"&lt;&gt;设计如此",缺陷明细!$AA$2:$AA$50000,"&lt;&gt;重复Bug")</f>
        <v>0</v>
      </c>
      <c r="Q12" s="72">
        <f>COUNTIFS(缺陷明细!$A$2:$A$50000,$B$4,缺陷明细!$G$2:$G$50000,$C12,缺陷明细!$Q$2:$Q$50000,"已关闭",缺陷明细!$J$2:$J$50000,"系统测试")</f>
        <v>0</v>
      </c>
      <c r="R12" s="72">
        <f>COUNTIFS(缺陷明细!$A$2:$A$50000,$B$4,缺陷明细!$G$2:$G$50000,$C12,缺陷明细!$AA$2:$AA$50000,"丢弃",缺陷明细!$J$2:$J$50000,"系统测试")+COUNTIFS(缺陷明细!$A$2:$A$50000,$B$4,缺陷明细!$G$2:$G$50000,$C12,缺陷明细!$AA$2:$AA$50000,"设计如此",缺陷明细!$J$2:$J$50000,"系统测试"+COUNTIFS(缺陷明细!$A$2:$A$50000,$B$4,缺陷明细!$G$2:$G$50000,$C12,缺陷明细!$AA$2:$AA$50000,"重复Bug",缺陷明细!$J$2:$J$50000,"系统测试"))</f>
        <v>0</v>
      </c>
      <c r="S12" s="72">
        <f>COUNTIFS(缺陷明细!$A$2:$A$50000,$B$4,缺陷明细!$G$2:$G$50000,$C12,缺陷明细!$J$2:$J$50000,"系统测试",缺陷明细!$K$2:$K$50000,"致命",缺陷明细!$AA$2:$AA$50000,"&lt;&gt;丢弃",缺陷明细!$AA$2:$AA$50000,"&lt;&gt;设计如此",缺陷明细!$AA$2:$AA$50000,"&lt;&gt;重复Bug")+COUNTIFS(缺陷明细!$A$2:$A$50000,$B$4,缺陷明细!$G$2:$G$50000,$C12,缺陷明细!$J$2:$J$50000,"系统测试",缺陷明细!$K$2:$K$50000,"严重",缺陷明细!$AA$2:$AA$50000,"&lt;&gt;丢弃",缺陷明细!$AA$2:$AA$50000,"&lt;&gt;设计如此",缺陷明细!$AA$2:$AA$50000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COUNTIFS(缺陷明细!$A$2:$A$50000,$B$4,缺陷明细!$G$2:$G$50000,$C12,缺陷明细!$J$2:$J$50000,"验收测试",缺陷明细!$AA$2:$AA$50000,"&lt;&gt;丢弃",缺陷明细!$AA$2:$AA$50000,"&lt;&gt;设计如此",缺陷明细!$AA$2:$AA$50000,"&lt;&gt;重复Bug")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A$2:$AA$50000,"&lt;&gt;丢弃",缺陷明细!$AA$2:$AA$50000,"&lt;&gt;设计如此",缺陷明细!$AA$2:$AA$50000,"&lt;&gt;重复Bug")+COUNTIFS(缺陷明细!$A$2:$A$50000,$B$4,缺陷明细!$G$2:$G$50000,$C12,缺陷明细!$J$2:$J$50000,"验收测试",缺陷明细!$K$2:$K$50000,"严重",缺陷明细!$AA$2:$AA$50000,"&lt;&gt;丢弃",缺陷明细!$AA$2:$AA$50000,"&lt;&gt;设计如此",缺陷明细!$AA$2:$AA$50000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COUNTIFS(缺陷明细!$A$2:$A$50000,$B$4,缺陷明细!$G$2:$G$50000,$C12,缺陷明细!$J$2:$J$50000,"运维测试",缺陷明细!$AA$2:$AA$50000,"&lt;&gt;丢弃",缺陷明细!$AA$2:$AA$50000,"&lt;&gt;设计如此",缺陷明细!$AA$2:$AA$50000,"&lt;&gt;重复Bug")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A$2:$AA$50000,"&lt;&gt;丢弃",缺陷明细!$AA$2:$AA$50000,"&lt;&gt;设计如此",缺陷明细!$AA$2:$AA$50000,"&lt;&gt;重复Bug")+COUNTIFS(缺陷明细!$A$2:$A$50000,$B$4,缺陷明细!$G$2:$G$50000,$C12,缺陷明细!$J$2:$J$50000,"运维测试",缺陷明细!$K$2:$K$50000,"严重",缺陷明细!$AA$2:$AA$50000,"&lt;&gt;丢弃",缺陷明细!$AA$2:$AA$50000,"&lt;&gt;设计如此",缺陷明细!$AA$2:$AA$50000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51"/>
    </row>
    <row r="13" spans="1:37">
      <c r="A13">
        <v>9</v>
      </c>
      <c r="B13" s="57"/>
      <c r="C13" s="58"/>
      <c r="D13" s="84"/>
      <c r="E13" s="82"/>
      <c r="F13" s="165"/>
      <c r="G13" s="166"/>
      <c r="H13" s="305">
        <f>COUNTIFS(缺陷明细!$A$2:$A$50000,$B$4,缺陷明细!$G$2:$G$50000,$C13,缺陷明细!$J$2:$J$50000,"评审",缺陷明细!$AA$2:$AA$50000,"&lt;&gt;丢弃",缺陷明细!$AA$2:$AA$50000,"&lt;&gt;设计如此",缺陷明细!$AA$2:$AA$50000,"&lt;&gt;重复Bug")</f>
        <v>0</v>
      </c>
      <c r="I13" s="161">
        <f>COUNTIFS(缺陷明细!$A$2:$A$50000,$B$4,缺陷明细!$G$2:$G$50000,$C13,缺陷明细!$Q$2:$Q$50000,"已关闭",缺陷明细!$J$2:$J$50000,"评审")</f>
        <v>0</v>
      </c>
      <c r="J13" s="161">
        <f>COUNTIFS(缺陷明细!$A$2:$A$50000,$B$4,缺陷明细!$G$2:$G$50000,$C13,缺陷明细!$J$2:$J$50000,"单元测试",缺陷明细!$AA$2:$AA$50000,"&lt;&gt;丢弃",缺陷明细!$AA$2:$AA$50000,"&lt;&gt;设计如此",缺陷明细!$AA$2:$AA$50000,"&lt;&gt;重复Bug")</f>
        <v>0</v>
      </c>
      <c r="K13" s="162">
        <f>COUNTIFS(缺陷明细!$A$2:$A$50000,$B$4,缺陷明细!$G$2:$G$50000,$C13,缺陷明细!$Q$2:$Q$50000,"已关闭",缺陷明细!$J$2:$J$50000,"单元测试")</f>
        <v>0</v>
      </c>
      <c r="L13" s="163"/>
      <c r="M13" s="164"/>
      <c r="N13" s="72">
        <f>COUNTIFS(缺陷明细!$A$2:$A$50000,$B$4,缺陷明细!$G$2:$G$50000,$C13,缺陷明细!$J$2:$J$50000,"系统测试案例评审",缺陷明细!$AA$2:$AA$50000,"&lt;&gt;丢弃",缺陷明细!$AA$2:$AA$50000,"&lt;&gt;设计如此",缺陷明细!$AA$2:$AA$50000,"&lt;&gt;重复Bug")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COUNTIFS(缺陷明细!$A$2:$A$50000,$B$4,缺陷明细!$G$2:$G$50000,$C13,缺陷明细!$J$2:$J$50000,"系统测试",缺陷明细!$AA$2:$AA$50000,"&lt;&gt;丢弃",缺陷明细!$AA$2:$AA$50000,"&lt;&gt;设计如此",缺陷明细!$AA$2:$AA$50000,"&lt;&gt;重复Bug")</f>
        <v>0</v>
      </c>
      <c r="Q13" s="72">
        <f>COUNTIFS(缺陷明细!$A$2:$A$50000,$B$4,缺陷明细!$G$2:$G$50000,$C13,缺陷明细!$Q$2:$Q$50000,"已关闭",缺陷明细!$J$2:$J$50000,"系统测试")</f>
        <v>0</v>
      </c>
      <c r="R13" s="72">
        <f>COUNTIFS(缺陷明细!$A$2:$A$50000,$B$4,缺陷明细!$G$2:$G$50000,$C13,缺陷明细!$AA$2:$AA$50000,"丢弃",缺陷明细!$J$2:$J$50000,"系统测试")+COUNTIFS(缺陷明细!$A$2:$A$50000,$B$4,缺陷明细!$G$2:$G$50000,$C13,缺陷明细!$AA$2:$AA$50000,"设计如此",缺陷明细!$J$2:$J$50000,"系统测试"+COUNTIFS(缺陷明细!$A$2:$A$50000,$B$4,缺陷明细!$G$2:$G$50000,$C13,缺陷明细!$AA$2:$AA$50000,"重复Bug",缺陷明细!$J$2:$J$50000,"系统测试"))</f>
        <v>0</v>
      </c>
      <c r="S13" s="72">
        <f>COUNTIFS(缺陷明细!$A$2:$A$50000,$B$4,缺陷明细!$G$2:$G$50000,$C13,缺陷明细!$J$2:$J$50000,"系统测试",缺陷明细!$K$2:$K$50000,"致命",缺陷明细!$AA$2:$AA$50000,"&lt;&gt;丢弃",缺陷明细!$AA$2:$AA$50000,"&lt;&gt;设计如此",缺陷明细!$AA$2:$AA$50000,"&lt;&gt;重复Bug")+COUNTIFS(缺陷明细!$A$2:$A$50000,$B$4,缺陷明细!$G$2:$G$50000,$C13,缺陷明细!$J$2:$J$50000,"系统测试",缺陷明细!$K$2:$K$50000,"严重",缺陷明细!$AA$2:$AA$50000,"&lt;&gt;丢弃",缺陷明细!$AA$2:$AA$50000,"&lt;&gt;设计如此",缺陷明细!$AA$2:$AA$50000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COUNTIFS(缺陷明细!$A$2:$A$50000,$B$4,缺陷明细!$G$2:$G$50000,$C13,缺陷明细!$J$2:$J$50000,"验收测试",缺陷明细!$AA$2:$AA$50000,"&lt;&gt;丢弃",缺陷明细!$AA$2:$AA$50000,"&lt;&gt;设计如此",缺陷明细!$AA$2:$AA$50000,"&lt;&gt;重复Bug")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A$2:$AA$50000,"&lt;&gt;丢弃",缺陷明细!$AA$2:$AA$50000,"&lt;&gt;设计如此",缺陷明细!$AA$2:$AA$50000,"&lt;&gt;重复Bug")+COUNTIFS(缺陷明细!$A$2:$A$50000,$B$4,缺陷明细!$G$2:$G$50000,$C13,缺陷明细!$J$2:$J$50000,"验收测试",缺陷明细!$K$2:$K$50000,"严重",缺陷明细!$AA$2:$AA$50000,"&lt;&gt;丢弃",缺陷明细!$AA$2:$AA$50000,"&lt;&gt;设计如此",缺陷明细!$AA$2:$AA$50000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COUNTIFS(缺陷明细!$A$2:$A$50000,$B$4,缺陷明细!$G$2:$G$50000,$C13,缺陷明细!$J$2:$J$50000,"运维测试",缺陷明细!$AA$2:$AA$50000,"&lt;&gt;丢弃",缺陷明细!$AA$2:$AA$50000,"&lt;&gt;设计如此",缺陷明细!$AA$2:$AA$50000,"&lt;&gt;重复Bug")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A$2:$AA$50000,"&lt;&gt;丢弃",缺陷明细!$AA$2:$AA$50000,"&lt;&gt;设计如此",缺陷明细!$AA$2:$AA$50000,"&lt;&gt;重复Bug")+COUNTIFS(缺陷明细!$A$2:$A$50000,$B$4,缺陷明细!$G$2:$G$50000,$C13,缺陷明细!$J$2:$J$50000,"运维测试",缺陷明细!$K$2:$K$50000,"严重",缺陷明细!$AA$2:$AA$50000,"&lt;&gt;丢弃",缺陷明细!$AA$2:$AA$50000,"&lt;&gt;设计如此",缺陷明细!$AA$2:$AA$50000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51"/>
    </row>
    <row r="14" spans="1:37">
      <c r="A14">
        <v>10</v>
      </c>
      <c r="B14" s="57"/>
      <c r="C14" s="58"/>
      <c r="D14" s="84"/>
      <c r="E14" s="82"/>
      <c r="F14" s="165"/>
      <c r="G14" s="166"/>
      <c r="H14" s="305">
        <f>COUNTIFS(缺陷明细!$A$2:$A$50000,$B$4,缺陷明细!$G$2:$G$50000,$C14,缺陷明细!$J$2:$J$50000,"评审",缺陷明细!$AA$2:$AA$50000,"&lt;&gt;丢弃",缺陷明细!$AA$2:$AA$50000,"&lt;&gt;设计如此",缺陷明细!$AA$2:$AA$50000,"&lt;&gt;重复Bug")</f>
        <v>0</v>
      </c>
      <c r="I14" s="161">
        <f>COUNTIFS(缺陷明细!$A$2:$A$50000,$B$4,缺陷明细!$G$2:$G$50000,$C14,缺陷明细!$Q$2:$Q$50000,"已关闭",缺陷明细!$J$2:$J$50000,"评审")</f>
        <v>0</v>
      </c>
      <c r="J14" s="161">
        <f>COUNTIFS(缺陷明细!$A$2:$A$50000,$B$4,缺陷明细!$G$2:$G$50000,$C14,缺陷明细!$J$2:$J$50000,"单元测试",缺陷明细!$AA$2:$AA$50000,"&lt;&gt;丢弃",缺陷明细!$AA$2:$AA$50000,"&lt;&gt;设计如此",缺陷明细!$AA$2:$AA$50000,"&lt;&gt;重复Bug")</f>
        <v>0</v>
      </c>
      <c r="K14" s="162">
        <f>COUNTIFS(缺陷明细!$A$2:$A$50000,$B$4,缺陷明细!$G$2:$G$50000,$C14,缺陷明细!$Q$2:$Q$50000,"已关闭",缺陷明细!$J$2:$J$50000,"单元测试")</f>
        <v>0</v>
      </c>
      <c r="L14" s="163"/>
      <c r="M14" s="164"/>
      <c r="N14" s="72">
        <f>COUNTIFS(缺陷明细!$A$2:$A$50000,$B$4,缺陷明细!$G$2:$G$50000,$C14,缺陷明细!$J$2:$J$50000,"系统测试案例评审",缺陷明细!$AA$2:$AA$50000,"&lt;&gt;丢弃",缺陷明细!$AA$2:$AA$50000,"&lt;&gt;设计如此",缺陷明细!$AA$2:$AA$50000,"&lt;&gt;重复Bug")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COUNTIFS(缺陷明细!$A$2:$A$50000,$B$4,缺陷明细!$G$2:$G$50000,$C14,缺陷明细!$J$2:$J$50000,"系统测试",缺陷明细!$AA$2:$AA$50000,"&lt;&gt;丢弃",缺陷明细!$AA$2:$AA$50000,"&lt;&gt;设计如此",缺陷明细!$AA$2:$AA$50000,"&lt;&gt;重复Bug")</f>
        <v>0</v>
      </c>
      <c r="Q14" s="72">
        <f>COUNTIFS(缺陷明细!$A$2:$A$50000,$B$4,缺陷明细!$G$2:$G$50000,$C14,缺陷明细!$Q$2:$Q$50000,"已关闭",缺陷明细!$J$2:$J$50000,"系统测试")</f>
        <v>0</v>
      </c>
      <c r="R14" s="72">
        <f>COUNTIFS(缺陷明细!$A$2:$A$50000,$B$4,缺陷明细!$G$2:$G$50000,$C14,缺陷明细!$AA$2:$AA$50000,"丢弃",缺陷明细!$J$2:$J$50000,"系统测试")+COUNTIFS(缺陷明细!$A$2:$A$50000,$B$4,缺陷明细!$G$2:$G$50000,$C14,缺陷明细!$AA$2:$AA$50000,"设计如此",缺陷明细!$J$2:$J$50000,"系统测试"+COUNTIFS(缺陷明细!$A$2:$A$50000,$B$4,缺陷明细!$G$2:$G$50000,$C14,缺陷明细!$AA$2:$AA$50000,"重复Bug",缺陷明细!$J$2:$J$50000,"系统测试"))</f>
        <v>0</v>
      </c>
      <c r="S14" s="72">
        <f>COUNTIFS(缺陷明细!$A$2:$A$50000,$B$4,缺陷明细!$G$2:$G$50000,$C14,缺陷明细!$J$2:$J$50000,"系统测试",缺陷明细!$K$2:$K$50000,"致命",缺陷明细!$AA$2:$AA$50000,"&lt;&gt;丢弃",缺陷明细!$AA$2:$AA$50000,"&lt;&gt;设计如此",缺陷明细!$AA$2:$AA$50000,"&lt;&gt;重复Bug")+COUNTIFS(缺陷明细!$A$2:$A$50000,$B$4,缺陷明细!$G$2:$G$50000,$C14,缺陷明细!$J$2:$J$50000,"系统测试",缺陷明细!$K$2:$K$50000,"严重",缺陷明细!$AA$2:$AA$50000,"&lt;&gt;丢弃",缺陷明细!$AA$2:$AA$50000,"&lt;&gt;设计如此",缺陷明细!$AA$2:$AA$50000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COUNTIFS(缺陷明细!$A$2:$A$50000,$B$4,缺陷明细!$G$2:$G$50000,$C14,缺陷明细!$J$2:$J$50000,"验收测试",缺陷明细!$AA$2:$AA$50000,"&lt;&gt;丢弃",缺陷明细!$AA$2:$AA$50000,"&lt;&gt;设计如此",缺陷明细!$AA$2:$AA$50000,"&lt;&gt;重复Bug")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A$2:$AA$50000,"&lt;&gt;丢弃",缺陷明细!$AA$2:$AA$50000,"&lt;&gt;设计如此",缺陷明细!$AA$2:$AA$50000,"&lt;&gt;重复Bug")+COUNTIFS(缺陷明细!$A$2:$A$50000,$B$4,缺陷明细!$G$2:$G$50000,$C14,缺陷明细!$J$2:$J$50000,"验收测试",缺陷明细!$K$2:$K$50000,"严重",缺陷明细!$AA$2:$AA$50000,"&lt;&gt;丢弃",缺陷明细!$AA$2:$AA$50000,"&lt;&gt;设计如此",缺陷明细!$AA$2:$AA$50000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COUNTIFS(缺陷明细!$A$2:$A$50000,$B$4,缺陷明细!$G$2:$G$50000,$C14,缺陷明细!$J$2:$J$50000,"运维测试",缺陷明细!$AA$2:$AA$50000,"&lt;&gt;丢弃",缺陷明细!$AA$2:$AA$50000,"&lt;&gt;设计如此",缺陷明细!$AA$2:$AA$50000,"&lt;&gt;重复Bug")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A$2:$AA$50000,"&lt;&gt;丢弃",缺陷明细!$AA$2:$AA$50000,"&lt;&gt;设计如此",缺陷明细!$AA$2:$AA$50000,"&lt;&gt;重复Bug")+COUNTIFS(缺陷明细!$A$2:$A$50000,$B$4,缺陷明细!$G$2:$G$50000,$C14,缺陷明细!$J$2:$J$50000,"运维测试",缺陷明细!$K$2:$K$50000,"严重",缺陷明细!$AA$2:$AA$50000,"&lt;&gt;丢弃",缺陷明细!$AA$2:$AA$50000,"&lt;&gt;设计如此",缺陷明细!$AA$2:$AA$50000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51"/>
    </row>
    <row r="15" spans="1:37">
      <c r="A15">
        <v>11</v>
      </c>
      <c r="B15" s="57"/>
      <c r="C15" s="58"/>
      <c r="D15" s="84"/>
      <c r="E15" s="82"/>
      <c r="F15" s="165"/>
      <c r="G15" s="166"/>
      <c r="H15" s="305">
        <f>COUNTIFS(缺陷明细!$A$2:$A$50000,$B$4,缺陷明细!$G$2:$G$50000,$C15,缺陷明细!$J$2:$J$50000,"评审",缺陷明细!$AA$2:$AA$50000,"&lt;&gt;丢弃",缺陷明细!$AA$2:$AA$50000,"&lt;&gt;设计如此",缺陷明细!$AA$2:$AA$50000,"&lt;&gt;重复Bug")</f>
        <v>0</v>
      </c>
      <c r="I15" s="161">
        <f>COUNTIFS(缺陷明细!$A$2:$A$50000,$B$4,缺陷明细!$G$2:$G$50000,$C15,缺陷明细!$Q$2:$Q$50000,"已关闭",缺陷明细!$J$2:$J$50000,"评审")</f>
        <v>0</v>
      </c>
      <c r="J15" s="161">
        <f>COUNTIFS(缺陷明细!$A$2:$A$50000,$B$4,缺陷明细!$G$2:$G$50000,$C15,缺陷明细!$J$2:$J$50000,"单元测试",缺陷明细!$AA$2:$AA$50000,"&lt;&gt;丢弃",缺陷明细!$AA$2:$AA$50000,"&lt;&gt;设计如此",缺陷明细!$AA$2:$AA$50000,"&lt;&gt;重复Bug")</f>
        <v>0</v>
      </c>
      <c r="K15" s="162">
        <f>COUNTIFS(缺陷明细!$A$2:$A$50000,$B$4,缺陷明细!$G$2:$G$50000,$C15,缺陷明细!$Q$2:$Q$50000,"已关闭",缺陷明细!$J$2:$J$50000,"单元测试")</f>
        <v>0</v>
      </c>
      <c r="L15" s="163"/>
      <c r="M15" s="164"/>
      <c r="N15" s="72">
        <f>COUNTIFS(缺陷明细!$A$2:$A$50000,$B$4,缺陷明细!$G$2:$G$50000,$C15,缺陷明细!$J$2:$J$50000,"系统测试案例评审",缺陷明细!$AA$2:$AA$50000,"&lt;&gt;丢弃",缺陷明细!$AA$2:$AA$50000,"&lt;&gt;设计如此",缺陷明细!$AA$2:$AA$50000,"&lt;&gt;重复Bug")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COUNTIFS(缺陷明细!$A$2:$A$50000,$B$4,缺陷明细!$G$2:$G$50000,$C15,缺陷明细!$J$2:$J$50000,"系统测试",缺陷明细!$AA$2:$AA$50000,"&lt;&gt;丢弃",缺陷明细!$AA$2:$AA$50000,"&lt;&gt;设计如此",缺陷明细!$AA$2:$AA$50000,"&lt;&gt;重复Bug")</f>
        <v>0</v>
      </c>
      <c r="Q15" s="72">
        <f>COUNTIFS(缺陷明细!$A$2:$A$50000,$B$4,缺陷明细!$G$2:$G$50000,$C15,缺陷明细!$Q$2:$Q$50000,"已关闭",缺陷明细!$J$2:$J$50000,"系统测试")</f>
        <v>0</v>
      </c>
      <c r="R15" s="72">
        <f>COUNTIFS(缺陷明细!$A$2:$A$50000,$B$4,缺陷明细!$G$2:$G$50000,$C15,缺陷明细!$AA$2:$AA$50000,"丢弃",缺陷明细!$J$2:$J$50000,"系统测试")+COUNTIFS(缺陷明细!$A$2:$A$50000,$B$4,缺陷明细!$G$2:$G$50000,$C15,缺陷明细!$AA$2:$AA$50000,"设计如此",缺陷明细!$J$2:$J$50000,"系统测试"+COUNTIFS(缺陷明细!$A$2:$A$50000,$B$4,缺陷明细!$G$2:$G$50000,$C15,缺陷明细!$AA$2:$AA$50000,"重复Bug",缺陷明细!$J$2:$J$50000,"系统测试"))</f>
        <v>0</v>
      </c>
      <c r="S15" s="72">
        <f>COUNTIFS(缺陷明细!$A$2:$A$50000,$B$4,缺陷明细!$G$2:$G$50000,$C15,缺陷明细!$J$2:$J$50000,"系统测试",缺陷明细!$K$2:$K$50000,"致命",缺陷明细!$AA$2:$AA$50000,"&lt;&gt;丢弃",缺陷明细!$AA$2:$AA$50000,"&lt;&gt;设计如此",缺陷明细!$AA$2:$AA$50000,"&lt;&gt;重复Bug")+COUNTIFS(缺陷明细!$A$2:$A$50000,$B$4,缺陷明细!$G$2:$G$50000,$C15,缺陷明细!$J$2:$J$50000,"系统测试",缺陷明细!$K$2:$K$50000,"严重",缺陷明细!$AA$2:$AA$50000,"&lt;&gt;丢弃",缺陷明细!$AA$2:$AA$50000,"&lt;&gt;设计如此",缺陷明细!$AA$2:$AA$50000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COUNTIFS(缺陷明细!$A$2:$A$50000,$B$4,缺陷明细!$G$2:$G$50000,$C15,缺陷明细!$J$2:$J$50000,"验收测试",缺陷明细!$AA$2:$AA$50000,"&lt;&gt;丢弃",缺陷明细!$AA$2:$AA$50000,"&lt;&gt;设计如此",缺陷明细!$AA$2:$AA$50000,"&lt;&gt;重复Bug")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A$2:$AA$50000,"&lt;&gt;丢弃",缺陷明细!$AA$2:$AA$50000,"&lt;&gt;设计如此",缺陷明细!$AA$2:$AA$50000,"&lt;&gt;重复Bug")+COUNTIFS(缺陷明细!$A$2:$A$50000,$B$4,缺陷明细!$G$2:$G$50000,$C15,缺陷明细!$J$2:$J$50000,"验收测试",缺陷明细!$K$2:$K$50000,"严重",缺陷明细!$AA$2:$AA$50000,"&lt;&gt;丢弃",缺陷明细!$AA$2:$AA$50000,"&lt;&gt;设计如此",缺陷明细!$AA$2:$AA$50000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COUNTIFS(缺陷明细!$A$2:$A$50000,$B$4,缺陷明细!$G$2:$G$50000,$C15,缺陷明细!$J$2:$J$50000,"运维测试",缺陷明细!$AA$2:$AA$50000,"&lt;&gt;丢弃",缺陷明细!$AA$2:$AA$50000,"&lt;&gt;设计如此",缺陷明细!$AA$2:$AA$50000,"&lt;&gt;重复Bug")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A$2:$AA$50000,"&lt;&gt;丢弃",缺陷明细!$AA$2:$AA$50000,"&lt;&gt;设计如此",缺陷明细!$AA$2:$AA$50000,"&lt;&gt;重复Bug")+COUNTIFS(缺陷明细!$A$2:$A$50000,$B$4,缺陷明细!$G$2:$G$50000,$C15,缺陷明细!$J$2:$J$50000,"运维测试",缺陷明细!$K$2:$K$50000,"严重",缺陷明细!$AA$2:$AA$50000,"&lt;&gt;丢弃",缺陷明细!$AA$2:$AA$50000,"&lt;&gt;设计如此",缺陷明细!$AA$2:$AA$50000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51"/>
    </row>
    <row r="16" spans="1:37">
      <c r="A16">
        <v>12</v>
      </c>
      <c r="B16" s="57"/>
      <c r="C16" s="58"/>
      <c r="D16" s="84"/>
      <c r="E16" s="82"/>
      <c r="F16" s="165"/>
      <c r="G16" s="166"/>
      <c r="H16" s="305">
        <f>COUNTIFS(缺陷明细!$A$2:$A$50000,$B$4,缺陷明细!$G$2:$G$50000,$C16,缺陷明细!$J$2:$J$50000,"评审",缺陷明细!$AA$2:$AA$50000,"&lt;&gt;丢弃",缺陷明细!$AA$2:$AA$50000,"&lt;&gt;设计如此",缺陷明细!$AA$2:$AA$50000,"&lt;&gt;重复Bug")</f>
        <v>0</v>
      </c>
      <c r="I16" s="161">
        <f>COUNTIFS(缺陷明细!$A$2:$A$50000,$B$4,缺陷明细!$G$2:$G$50000,$C16,缺陷明细!$Q$2:$Q$50000,"已关闭",缺陷明细!$J$2:$J$50000,"评审")</f>
        <v>0</v>
      </c>
      <c r="J16" s="161">
        <f>COUNTIFS(缺陷明细!$A$2:$A$50000,$B$4,缺陷明细!$G$2:$G$50000,$C16,缺陷明细!$J$2:$J$50000,"单元测试",缺陷明细!$AA$2:$AA$50000,"&lt;&gt;丢弃",缺陷明细!$AA$2:$AA$50000,"&lt;&gt;设计如此",缺陷明细!$AA$2:$AA$50000,"&lt;&gt;重复Bug")</f>
        <v>0</v>
      </c>
      <c r="K16" s="162">
        <f>COUNTIFS(缺陷明细!$A$2:$A$50000,$B$4,缺陷明细!$G$2:$G$50000,$C16,缺陷明细!$Q$2:$Q$50000,"已关闭",缺陷明细!$J$2:$J$50000,"单元测试")</f>
        <v>0</v>
      </c>
      <c r="L16" s="163"/>
      <c r="M16" s="164"/>
      <c r="N16" s="72">
        <f>COUNTIFS(缺陷明细!$A$2:$A$50000,$B$4,缺陷明细!$G$2:$G$50000,$C16,缺陷明细!$J$2:$J$50000,"系统测试案例评审",缺陷明细!$AA$2:$AA$50000,"&lt;&gt;丢弃",缺陷明细!$AA$2:$AA$50000,"&lt;&gt;设计如此",缺陷明细!$AA$2:$AA$50000,"&lt;&gt;重复Bug")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COUNTIFS(缺陷明细!$A$2:$A$50000,$B$4,缺陷明细!$G$2:$G$50000,$C16,缺陷明细!$J$2:$J$50000,"系统测试",缺陷明细!$AA$2:$AA$50000,"&lt;&gt;丢弃",缺陷明细!$AA$2:$AA$50000,"&lt;&gt;设计如此",缺陷明细!$AA$2:$AA$50000,"&lt;&gt;重复Bug")</f>
        <v>0</v>
      </c>
      <c r="Q16" s="72">
        <f>COUNTIFS(缺陷明细!$A$2:$A$50000,$B$4,缺陷明细!$G$2:$G$50000,$C16,缺陷明细!$Q$2:$Q$50000,"已关闭",缺陷明细!$J$2:$J$50000,"系统测试")</f>
        <v>0</v>
      </c>
      <c r="R16" s="72">
        <f>COUNTIFS(缺陷明细!$A$2:$A$50000,$B$4,缺陷明细!$G$2:$G$50000,$C16,缺陷明细!$AA$2:$AA$50000,"丢弃",缺陷明细!$J$2:$J$50000,"系统测试")+COUNTIFS(缺陷明细!$A$2:$A$50000,$B$4,缺陷明细!$G$2:$G$50000,$C16,缺陷明细!$AA$2:$AA$50000,"设计如此",缺陷明细!$J$2:$J$50000,"系统测试"+COUNTIFS(缺陷明细!$A$2:$A$50000,$B$4,缺陷明细!$G$2:$G$50000,$C16,缺陷明细!$AA$2:$AA$50000,"重复Bug",缺陷明细!$J$2:$J$50000,"系统测试"))</f>
        <v>0</v>
      </c>
      <c r="S16" s="72">
        <f>COUNTIFS(缺陷明细!$A$2:$A$50000,$B$4,缺陷明细!$G$2:$G$50000,$C16,缺陷明细!$J$2:$J$50000,"系统测试",缺陷明细!$K$2:$K$50000,"致命",缺陷明细!$AA$2:$AA$50000,"&lt;&gt;丢弃",缺陷明细!$AA$2:$AA$50000,"&lt;&gt;设计如此",缺陷明细!$AA$2:$AA$50000,"&lt;&gt;重复Bug")+COUNTIFS(缺陷明细!$A$2:$A$50000,$B$4,缺陷明细!$G$2:$G$50000,$C16,缺陷明细!$J$2:$J$50000,"系统测试",缺陷明细!$K$2:$K$50000,"严重",缺陷明细!$AA$2:$AA$50000,"&lt;&gt;丢弃",缺陷明细!$AA$2:$AA$50000,"&lt;&gt;设计如此",缺陷明细!$AA$2:$AA$50000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COUNTIFS(缺陷明细!$A$2:$A$50000,$B$4,缺陷明细!$G$2:$G$50000,$C16,缺陷明细!$J$2:$J$50000,"验收测试",缺陷明细!$AA$2:$AA$50000,"&lt;&gt;丢弃",缺陷明细!$AA$2:$AA$50000,"&lt;&gt;设计如此",缺陷明细!$AA$2:$AA$50000,"&lt;&gt;重复Bug")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A$2:$AA$50000,"&lt;&gt;丢弃",缺陷明细!$AA$2:$AA$50000,"&lt;&gt;设计如此",缺陷明细!$AA$2:$AA$50000,"&lt;&gt;重复Bug")+COUNTIFS(缺陷明细!$A$2:$A$50000,$B$4,缺陷明细!$G$2:$G$50000,$C16,缺陷明细!$J$2:$J$50000,"验收测试",缺陷明细!$K$2:$K$50000,"严重",缺陷明细!$AA$2:$AA$50000,"&lt;&gt;丢弃",缺陷明细!$AA$2:$AA$50000,"&lt;&gt;设计如此",缺陷明细!$AA$2:$AA$50000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COUNTIFS(缺陷明细!$A$2:$A$50000,$B$4,缺陷明细!$G$2:$G$50000,$C16,缺陷明细!$J$2:$J$50000,"运维测试",缺陷明细!$AA$2:$AA$50000,"&lt;&gt;丢弃",缺陷明细!$AA$2:$AA$50000,"&lt;&gt;设计如此",缺陷明细!$AA$2:$AA$50000,"&lt;&gt;重复Bug")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A$2:$AA$50000,"&lt;&gt;丢弃",缺陷明细!$AA$2:$AA$50000,"&lt;&gt;设计如此",缺陷明细!$AA$2:$AA$50000,"&lt;&gt;重复Bug")+COUNTIFS(缺陷明细!$A$2:$A$50000,$B$4,缺陷明细!$G$2:$G$50000,$C16,缺陷明细!$J$2:$J$50000,"运维测试",缺陷明细!$K$2:$K$50000,"严重",缺陷明细!$AA$2:$AA$50000,"&lt;&gt;丢弃",缺陷明细!$AA$2:$AA$50000,"&lt;&gt;设计如此",缺陷明细!$AA$2:$AA$50000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51"/>
    </row>
    <row r="17" spans="1:37">
      <c r="A17">
        <v>13</v>
      </c>
      <c r="B17" s="57"/>
      <c r="C17" s="58"/>
      <c r="D17" s="84"/>
      <c r="E17" s="82"/>
      <c r="F17" s="165"/>
      <c r="G17" s="166"/>
      <c r="H17" s="305">
        <f>COUNTIFS(缺陷明细!$A$2:$A$50000,$B$4,缺陷明细!$G$2:$G$50000,$C17,缺陷明细!$J$2:$J$50000,"评审",缺陷明细!$AA$2:$AA$50000,"&lt;&gt;丢弃",缺陷明细!$AA$2:$AA$50000,"&lt;&gt;设计如此",缺陷明细!$AA$2:$AA$50000,"&lt;&gt;重复Bug")</f>
        <v>0</v>
      </c>
      <c r="I17" s="161">
        <f>COUNTIFS(缺陷明细!$A$2:$A$50000,$B$4,缺陷明细!$G$2:$G$50000,$C17,缺陷明细!$Q$2:$Q$50000,"已关闭",缺陷明细!$J$2:$J$50000,"评审")</f>
        <v>0</v>
      </c>
      <c r="J17" s="161">
        <f>COUNTIFS(缺陷明细!$A$2:$A$50000,$B$4,缺陷明细!$G$2:$G$50000,$C17,缺陷明细!$J$2:$J$50000,"单元测试",缺陷明细!$AA$2:$AA$50000,"&lt;&gt;丢弃",缺陷明细!$AA$2:$AA$50000,"&lt;&gt;设计如此",缺陷明细!$AA$2:$AA$50000,"&lt;&gt;重复Bug")</f>
        <v>0</v>
      </c>
      <c r="K17" s="162">
        <f>COUNTIFS(缺陷明细!$A$2:$A$50000,$B$4,缺陷明细!$G$2:$G$50000,$C17,缺陷明细!$Q$2:$Q$50000,"已关闭",缺陷明细!$J$2:$J$50000,"单元测试")</f>
        <v>0</v>
      </c>
      <c r="L17" s="163"/>
      <c r="M17" s="164"/>
      <c r="N17" s="72">
        <f>COUNTIFS(缺陷明细!$A$2:$A$50000,$B$4,缺陷明细!$G$2:$G$50000,$C17,缺陷明细!$J$2:$J$50000,"系统测试案例评审",缺陷明细!$AA$2:$AA$50000,"&lt;&gt;丢弃",缺陷明细!$AA$2:$AA$50000,"&lt;&gt;设计如此",缺陷明细!$AA$2:$AA$50000,"&lt;&gt;重复Bug")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COUNTIFS(缺陷明细!$A$2:$A$50000,$B$4,缺陷明细!$G$2:$G$50000,$C17,缺陷明细!$J$2:$J$50000,"系统测试",缺陷明细!$AA$2:$AA$50000,"&lt;&gt;丢弃",缺陷明细!$AA$2:$AA$50000,"&lt;&gt;设计如此",缺陷明细!$AA$2:$AA$50000,"&lt;&gt;重复Bug")</f>
        <v>0</v>
      </c>
      <c r="Q17" s="72">
        <f>COUNTIFS(缺陷明细!$A$2:$A$50000,$B$4,缺陷明细!$G$2:$G$50000,$C17,缺陷明细!$Q$2:$Q$50000,"已关闭",缺陷明细!$J$2:$J$50000,"系统测试")</f>
        <v>0</v>
      </c>
      <c r="R17" s="72">
        <f>COUNTIFS(缺陷明细!$A$2:$A$50000,$B$4,缺陷明细!$G$2:$G$50000,$C17,缺陷明细!$AA$2:$AA$50000,"丢弃",缺陷明细!$J$2:$J$50000,"系统测试")+COUNTIFS(缺陷明细!$A$2:$A$50000,$B$4,缺陷明细!$G$2:$G$50000,$C17,缺陷明细!$AA$2:$AA$50000,"设计如此",缺陷明细!$J$2:$J$50000,"系统测试"+COUNTIFS(缺陷明细!$A$2:$A$50000,$B$4,缺陷明细!$G$2:$G$50000,$C17,缺陷明细!$AA$2:$AA$50000,"重复Bug",缺陷明细!$J$2:$J$50000,"系统测试"))</f>
        <v>0</v>
      </c>
      <c r="S17" s="72">
        <f>COUNTIFS(缺陷明细!$A$2:$A$50000,$B$4,缺陷明细!$G$2:$G$50000,$C17,缺陷明细!$J$2:$J$50000,"系统测试",缺陷明细!$K$2:$K$50000,"致命",缺陷明细!$AA$2:$AA$50000,"&lt;&gt;丢弃",缺陷明细!$AA$2:$AA$50000,"&lt;&gt;设计如此",缺陷明细!$AA$2:$AA$50000,"&lt;&gt;重复Bug")+COUNTIFS(缺陷明细!$A$2:$A$50000,$B$4,缺陷明细!$G$2:$G$50000,$C17,缺陷明细!$J$2:$J$50000,"系统测试",缺陷明细!$K$2:$K$50000,"严重",缺陷明细!$AA$2:$AA$50000,"&lt;&gt;丢弃",缺陷明细!$AA$2:$AA$50000,"&lt;&gt;设计如此",缺陷明细!$AA$2:$AA$50000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COUNTIFS(缺陷明细!$A$2:$A$50000,$B$4,缺陷明细!$G$2:$G$50000,$C17,缺陷明细!$J$2:$J$50000,"验收测试",缺陷明细!$AA$2:$AA$50000,"&lt;&gt;丢弃",缺陷明细!$AA$2:$AA$50000,"&lt;&gt;设计如此",缺陷明细!$AA$2:$AA$50000,"&lt;&gt;重复Bug")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A$2:$AA$50000,"&lt;&gt;丢弃",缺陷明细!$AA$2:$AA$50000,"&lt;&gt;设计如此",缺陷明细!$AA$2:$AA$50000,"&lt;&gt;重复Bug")+COUNTIFS(缺陷明细!$A$2:$A$50000,$B$4,缺陷明细!$G$2:$G$50000,$C17,缺陷明细!$J$2:$J$50000,"验收测试",缺陷明细!$K$2:$K$50000,"严重",缺陷明细!$AA$2:$AA$50000,"&lt;&gt;丢弃",缺陷明细!$AA$2:$AA$50000,"&lt;&gt;设计如此",缺陷明细!$AA$2:$AA$50000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COUNTIFS(缺陷明细!$A$2:$A$50000,$B$4,缺陷明细!$G$2:$G$50000,$C17,缺陷明细!$J$2:$J$50000,"运维测试",缺陷明细!$AA$2:$AA$50000,"&lt;&gt;丢弃",缺陷明细!$AA$2:$AA$50000,"&lt;&gt;设计如此",缺陷明细!$AA$2:$AA$50000,"&lt;&gt;重复Bug")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A$2:$AA$50000,"&lt;&gt;丢弃",缺陷明细!$AA$2:$AA$50000,"&lt;&gt;设计如此",缺陷明细!$AA$2:$AA$50000,"&lt;&gt;重复Bug")+COUNTIFS(缺陷明细!$A$2:$A$50000,$B$4,缺陷明细!$G$2:$G$50000,$C17,缺陷明细!$J$2:$J$50000,"运维测试",缺陷明细!$K$2:$K$50000,"严重",缺陷明细!$AA$2:$AA$50000,"&lt;&gt;丢弃",缺陷明细!$AA$2:$AA$50000,"&lt;&gt;设计如此",缺陷明细!$AA$2:$AA$50000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51"/>
    </row>
    <row r="18" spans="1:37">
      <c r="A18">
        <v>14</v>
      </c>
      <c r="B18" s="57"/>
      <c r="C18" s="58"/>
      <c r="D18" s="84"/>
      <c r="E18" s="82"/>
      <c r="F18" s="165"/>
      <c r="G18" s="166"/>
      <c r="H18" s="305">
        <f>COUNTIFS(缺陷明细!$A$2:$A$50000,$B$4,缺陷明细!$G$2:$G$50000,$C18,缺陷明细!$J$2:$J$50000,"评审",缺陷明细!$AA$2:$AA$50000,"&lt;&gt;丢弃",缺陷明细!$AA$2:$AA$50000,"&lt;&gt;设计如此",缺陷明细!$AA$2:$AA$50000,"&lt;&gt;重复Bug")</f>
        <v>0</v>
      </c>
      <c r="I18" s="161">
        <f>COUNTIFS(缺陷明细!$A$2:$A$50000,$B$4,缺陷明细!$G$2:$G$50000,$C18,缺陷明细!$Q$2:$Q$50000,"已关闭",缺陷明细!$J$2:$J$50000,"评审")</f>
        <v>0</v>
      </c>
      <c r="J18" s="161">
        <f>COUNTIFS(缺陷明细!$A$2:$A$50000,$B$4,缺陷明细!$G$2:$G$50000,$C18,缺陷明细!$J$2:$J$50000,"单元测试",缺陷明细!$AA$2:$AA$50000,"&lt;&gt;丢弃",缺陷明细!$AA$2:$AA$50000,"&lt;&gt;设计如此",缺陷明细!$AA$2:$AA$50000,"&lt;&gt;重复Bug")</f>
        <v>0</v>
      </c>
      <c r="K18" s="162">
        <f>COUNTIFS(缺陷明细!$A$2:$A$50000,$B$4,缺陷明细!$G$2:$G$50000,$C18,缺陷明细!$Q$2:$Q$50000,"已关闭",缺陷明细!$J$2:$J$50000,"单元测试")</f>
        <v>0</v>
      </c>
      <c r="L18" s="163"/>
      <c r="M18" s="164"/>
      <c r="N18" s="72">
        <f>COUNTIFS(缺陷明细!$A$2:$A$50000,$B$4,缺陷明细!$G$2:$G$50000,$C18,缺陷明细!$J$2:$J$50000,"系统测试案例评审",缺陷明细!$AA$2:$AA$50000,"&lt;&gt;丢弃",缺陷明细!$AA$2:$AA$50000,"&lt;&gt;设计如此",缺陷明细!$AA$2:$AA$50000,"&lt;&gt;重复Bug")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COUNTIFS(缺陷明细!$A$2:$A$50000,$B$4,缺陷明细!$G$2:$G$50000,$C18,缺陷明细!$J$2:$J$50000,"系统测试",缺陷明细!$AA$2:$AA$50000,"&lt;&gt;丢弃",缺陷明细!$AA$2:$AA$50000,"&lt;&gt;设计如此",缺陷明细!$AA$2:$AA$50000,"&lt;&gt;重复Bug")</f>
        <v>0</v>
      </c>
      <c r="Q18" s="72">
        <f>COUNTIFS(缺陷明细!$A$2:$A$50000,$B$4,缺陷明细!$G$2:$G$50000,$C18,缺陷明细!$Q$2:$Q$50000,"已关闭",缺陷明细!$J$2:$J$50000,"系统测试")</f>
        <v>0</v>
      </c>
      <c r="R18" s="72">
        <f>COUNTIFS(缺陷明细!$A$2:$A$50000,$B$4,缺陷明细!$G$2:$G$50000,$C18,缺陷明细!$AA$2:$AA$50000,"丢弃",缺陷明细!$J$2:$J$50000,"系统测试")+COUNTIFS(缺陷明细!$A$2:$A$50000,$B$4,缺陷明细!$G$2:$G$50000,$C18,缺陷明细!$AA$2:$AA$50000,"设计如此",缺陷明细!$J$2:$J$50000,"系统测试"+COUNTIFS(缺陷明细!$A$2:$A$50000,$B$4,缺陷明细!$G$2:$G$50000,$C18,缺陷明细!$AA$2:$AA$50000,"重复Bug",缺陷明细!$J$2:$J$50000,"系统测试"))</f>
        <v>0</v>
      </c>
      <c r="S18" s="72">
        <f>COUNTIFS(缺陷明细!$A$2:$A$50000,$B$4,缺陷明细!$G$2:$G$50000,$C18,缺陷明细!$J$2:$J$50000,"系统测试",缺陷明细!$K$2:$K$50000,"致命",缺陷明细!$AA$2:$AA$50000,"&lt;&gt;丢弃",缺陷明细!$AA$2:$AA$50000,"&lt;&gt;设计如此",缺陷明细!$AA$2:$AA$50000,"&lt;&gt;重复Bug")+COUNTIFS(缺陷明细!$A$2:$A$50000,$B$4,缺陷明细!$G$2:$G$50000,$C18,缺陷明细!$J$2:$J$50000,"系统测试",缺陷明细!$K$2:$K$50000,"严重",缺陷明细!$AA$2:$AA$50000,"&lt;&gt;丢弃",缺陷明细!$AA$2:$AA$50000,"&lt;&gt;设计如此",缺陷明细!$AA$2:$AA$50000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COUNTIFS(缺陷明细!$A$2:$A$50000,$B$4,缺陷明细!$G$2:$G$50000,$C18,缺陷明细!$J$2:$J$50000,"验收测试",缺陷明细!$AA$2:$AA$50000,"&lt;&gt;丢弃",缺陷明细!$AA$2:$AA$50000,"&lt;&gt;设计如此",缺陷明细!$AA$2:$AA$50000,"&lt;&gt;重复Bug")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A$2:$AA$50000,"&lt;&gt;丢弃",缺陷明细!$AA$2:$AA$50000,"&lt;&gt;设计如此",缺陷明细!$AA$2:$AA$50000,"&lt;&gt;重复Bug")+COUNTIFS(缺陷明细!$A$2:$A$50000,$B$4,缺陷明细!$G$2:$G$50000,$C18,缺陷明细!$J$2:$J$50000,"验收测试",缺陷明细!$K$2:$K$50000,"严重",缺陷明细!$AA$2:$AA$50000,"&lt;&gt;丢弃",缺陷明细!$AA$2:$AA$50000,"&lt;&gt;设计如此",缺陷明细!$AA$2:$AA$50000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COUNTIFS(缺陷明细!$A$2:$A$50000,$B$4,缺陷明细!$G$2:$G$50000,$C18,缺陷明细!$J$2:$J$50000,"运维测试",缺陷明细!$AA$2:$AA$50000,"&lt;&gt;丢弃",缺陷明细!$AA$2:$AA$50000,"&lt;&gt;设计如此",缺陷明细!$AA$2:$AA$50000,"&lt;&gt;重复Bug")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A$2:$AA$50000,"&lt;&gt;丢弃",缺陷明细!$AA$2:$AA$50000,"&lt;&gt;设计如此",缺陷明细!$AA$2:$AA$50000,"&lt;&gt;重复Bug")+COUNTIFS(缺陷明细!$A$2:$A$50000,$B$4,缺陷明细!$G$2:$G$50000,$C18,缺陷明细!$J$2:$J$50000,"运维测试",缺陷明细!$K$2:$K$50000,"严重",缺陷明细!$AA$2:$AA$50000,"&lt;&gt;丢弃",缺陷明细!$AA$2:$AA$50000,"&lt;&gt;设计如此",缺陷明细!$AA$2:$AA$50000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51"/>
    </row>
    <row r="19" spans="1:37">
      <c r="A19">
        <v>15</v>
      </c>
      <c r="B19" s="57"/>
      <c r="C19" s="58"/>
      <c r="D19" s="84"/>
      <c r="E19" s="82"/>
      <c r="F19" s="165"/>
      <c r="G19" s="166"/>
      <c r="H19" s="305">
        <f>COUNTIFS(缺陷明细!$A$2:$A$50000,$B$4,缺陷明细!$G$2:$G$50000,$C19,缺陷明细!$J$2:$J$50000,"评审",缺陷明细!$AA$2:$AA$50000,"&lt;&gt;丢弃",缺陷明细!$AA$2:$AA$50000,"&lt;&gt;设计如此",缺陷明细!$AA$2:$AA$50000,"&lt;&gt;重复Bug")</f>
        <v>0</v>
      </c>
      <c r="I19" s="161">
        <f>COUNTIFS(缺陷明细!$A$2:$A$50000,$B$4,缺陷明细!$G$2:$G$50000,$C19,缺陷明细!$Q$2:$Q$50000,"已关闭",缺陷明细!$J$2:$J$50000,"评审")</f>
        <v>0</v>
      </c>
      <c r="J19" s="161">
        <f>COUNTIFS(缺陷明细!$A$2:$A$50000,$B$4,缺陷明细!$G$2:$G$50000,$C19,缺陷明细!$J$2:$J$50000,"单元测试",缺陷明细!$AA$2:$AA$50000,"&lt;&gt;丢弃",缺陷明细!$AA$2:$AA$50000,"&lt;&gt;设计如此",缺陷明细!$AA$2:$AA$50000,"&lt;&gt;重复Bug")</f>
        <v>0</v>
      </c>
      <c r="K19" s="162">
        <f>COUNTIFS(缺陷明细!$A$2:$A$50000,$B$4,缺陷明细!$G$2:$G$50000,$C19,缺陷明细!$Q$2:$Q$50000,"已关闭",缺陷明细!$J$2:$J$50000,"单元测试")</f>
        <v>0</v>
      </c>
      <c r="L19" s="163"/>
      <c r="M19" s="164"/>
      <c r="N19" s="72">
        <f>COUNTIFS(缺陷明细!$A$2:$A$50000,$B$4,缺陷明细!$G$2:$G$50000,$C19,缺陷明细!$J$2:$J$50000,"系统测试案例评审",缺陷明细!$AA$2:$AA$50000,"&lt;&gt;丢弃",缺陷明细!$AA$2:$AA$50000,"&lt;&gt;设计如此",缺陷明细!$AA$2:$AA$50000,"&lt;&gt;重复Bug")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COUNTIFS(缺陷明细!$A$2:$A$50000,$B$4,缺陷明细!$G$2:$G$50000,$C19,缺陷明细!$J$2:$J$50000,"系统测试",缺陷明细!$AA$2:$AA$50000,"&lt;&gt;丢弃",缺陷明细!$AA$2:$AA$50000,"&lt;&gt;设计如此",缺陷明细!$AA$2:$AA$50000,"&lt;&gt;重复Bug")</f>
        <v>0</v>
      </c>
      <c r="Q19" s="72">
        <f>COUNTIFS(缺陷明细!$A$2:$A$50000,$B$4,缺陷明细!$G$2:$G$50000,$C19,缺陷明细!$Q$2:$Q$50000,"已关闭",缺陷明细!$J$2:$J$50000,"系统测试")</f>
        <v>0</v>
      </c>
      <c r="R19" s="72">
        <f>COUNTIFS(缺陷明细!$A$2:$A$50000,$B$4,缺陷明细!$G$2:$G$50000,$C19,缺陷明细!$AA$2:$AA$50000,"丢弃",缺陷明细!$J$2:$J$50000,"系统测试")+COUNTIFS(缺陷明细!$A$2:$A$50000,$B$4,缺陷明细!$G$2:$G$50000,$C19,缺陷明细!$AA$2:$AA$50000,"设计如此",缺陷明细!$J$2:$J$50000,"系统测试"+COUNTIFS(缺陷明细!$A$2:$A$50000,$B$4,缺陷明细!$G$2:$G$50000,$C19,缺陷明细!$AA$2:$AA$50000,"重复Bug",缺陷明细!$J$2:$J$50000,"系统测试"))</f>
        <v>0</v>
      </c>
      <c r="S19" s="72">
        <f>COUNTIFS(缺陷明细!$A$2:$A$50000,$B$4,缺陷明细!$G$2:$G$50000,$C19,缺陷明细!$J$2:$J$50000,"系统测试",缺陷明细!$K$2:$K$50000,"致命",缺陷明细!$AA$2:$AA$50000,"&lt;&gt;丢弃",缺陷明细!$AA$2:$AA$50000,"&lt;&gt;设计如此",缺陷明细!$AA$2:$AA$50000,"&lt;&gt;重复Bug")+COUNTIFS(缺陷明细!$A$2:$A$50000,$B$4,缺陷明细!$G$2:$G$50000,$C19,缺陷明细!$J$2:$J$50000,"系统测试",缺陷明细!$K$2:$K$50000,"严重",缺陷明细!$AA$2:$AA$50000,"&lt;&gt;丢弃",缺陷明细!$AA$2:$AA$50000,"&lt;&gt;设计如此",缺陷明细!$AA$2:$AA$50000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COUNTIFS(缺陷明细!$A$2:$A$50000,$B$4,缺陷明细!$G$2:$G$50000,$C19,缺陷明细!$J$2:$J$50000,"验收测试",缺陷明细!$AA$2:$AA$50000,"&lt;&gt;丢弃",缺陷明细!$AA$2:$AA$50000,"&lt;&gt;设计如此",缺陷明细!$AA$2:$AA$50000,"&lt;&gt;重复Bug")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A$2:$AA$50000,"&lt;&gt;丢弃",缺陷明细!$AA$2:$AA$50000,"&lt;&gt;设计如此",缺陷明细!$AA$2:$AA$50000,"&lt;&gt;重复Bug")+COUNTIFS(缺陷明细!$A$2:$A$50000,$B$4,缺陷明细!$G$2:$G$50000,$C19,缺陷明细!$J$2:$J$50000,"验收测试",缺陷明细!$K$2:$K$50000,"严重",缺陷明细!$AA$2:$AA$50000,"&lt;&gt;丢弃",缺陷明细!$AA$2:$AA$50000,"&lt;&gt;设计如此",缺陷明细!$AA$2:$AA$50000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COUNTIFS(缺陷明细!$A$2:$A$50000,$B$4,缺陷明细!$G$2:$G$50000,$C19,缺陷明细!$J$2:$J$50000,"运维测试",缺陷明细!$AA$2:$AA$50000,"&lt;&gt;丢弃",缺陷明细!$AA$2:$AA$50000,"&lt;&gt;设计如此",缺陷明细!$AA$2:$AA$50000,"&lt;&gt;重复Bug")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A$2:$AA$50000,"&lt;&gt;丢弃",缺陷明细!$AA$2:$AA$50000,"&lt;&gt;设计如此",缺陷明细!$AA$2:$AA$50000,"&lt;&gt;重复Bug")+COUNTIFS(缺陷明细!$A$2:$A$50000,$B$4,缺陷明细!$G$2:$G$50000,$C19,缺陷明细!$J$2:$J$50000,"运维测试",缺陷明细!$K$2:$K$50000,"严重",缺陷明细!$AA$2:$AA$50000,"&lt;&gt;丢弃",缺陷明细!$AA$2:$AA$50000,"&lt;&gt;设计如此",缺陷明细!$AA$2:$AA$50000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51"/>
    </row>
    <row r="20" spans="1:37">
      <c r="A20">
        <v>16</v>
      </c>
      <c r="B20" s="57"/>
      <c r="C20" s="58"/>
      <c r="D20" s="84"/>
      <c r="E20" s="82"/>
      <c r="F20" s="165"/>
      <c r="G20" s="166"/>
      <c r="H20" s="305">
        <f>COUNTIFS(缺陷明细!$A$2:$A$50000,$B$4,缺陷明细!$G$2:$G$50000,$C20,缺陷明细!$J$2:$J$50000,"评审",缺陷明细!$AA$2:$AA$50000,"&lt;&gt;丢弃",缺陷明细!$AA$2:$AA$50000,"&lt;&gt;设计如此",缺陷明细!$AA$2:$AA$50000,"&lt;&gt;重复Bug")</f>
        <v>0</v>
      </c>
      <c r="I20" s="161">
        <f>COUNTIFS(缺陷明细!$A$2:$A$50000,$B$4,缺陷明细!$G$2:$G$50000,$C20,缺陷明细!$Q$2:$Q$50000,"已关闭",缺陷明细!$J$2:$J$50000,"评审")</f>
        <v>0</v>
      </c>
      <c r="J20" s="161">
        <f>COUNTIFS(缺陷明细!$A$2:$A$50000,$B$4,缺陷明细!$G$2:$G$50000,$C20,缺陷明细!$J$2:$J$50000,"单元测试",缺陷明细!$AA$2:$AA$50000,"&lt;&gt;丢弃",缺陷明细!$AA$2:$AA$50000,"&lt;&gt;设计如此",缺陷明细!$AA$2:$AA$50000,"&lt;&gt;重复Bug")</f>
        <v>0</v>
      </c>
      <c r="K20" s="162">
        <f>COUNTIFS(缺陷明细!$A$2:$A$50000,$B$4,缺陷明细!$G$2:$G$50000,$C20,缺陷明细!$Q$2:$Q$50000,"已关闭",缺陷明细!$J$2:$J$50000,"单元测试")</f>
        <v>0</v>
      </c>
      <c r="L20" s="163"/>
      <c r="M20" s="164"/>
      <c r="N20" s="72">
        <f>COUNTIFS(缺陷明细!$A$2:$A$50000,$B$4,缺陷明细!$G$2:$G$50000,$C20,缺陷明细!$J$2:$J$50000,"系统测试案例评审",缺陷明细!$AA$2:$AA$50000,"&lt;&gt;丢弃",缺陷明细!$AA$2:$AA$50000,"&lt;&gt;设计如此",缺陷明细!$AA$2:$AA$50000,"&lt;&gt;重复Bug")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COUNTIFS(缺陷明细!$A$2:$A$50000,$B$4,缺陷明细!$G$2:$G$50000,$C20,缺陷明细!$J$2:$J$50000,"系统测试",缺陷明细!$AA$2:$AA$50000,"&lt;&gt;丢弃",缺陷明细!$AA$2:$AA$50000,"&lt;&gt;设计如此",缺陷明细!$AA$2:$AA$50000,"&lt;&gt;重复Bug")</f>
        <v>0</v>
      </c>
      <c r="Q20" s="72">
        <f>COUNTIFS(缺陷明细!$A$2:$A$50000,$B$4,缺陷明细!$G$2:$G$50000,$C20,缺陷明细!$Q$2:$Q$50000,"已关闭",缺陷明细!$J$2:$J$50000,"系统测试")</f>
        <v>0</v>
      </c>
      <c r="R20" s="72">
        <f>COUNTIFS(缺陷明细!$A$2:$A$50000,$B$4,缺陷明细!$G$2:$G$50000,$C20,缺陷明细!$AA$2:$AA$50000,"丢弃",缺陷明细!$J$2:$J$50000,"系统测试")+COUNTIFS(缺陷明细!$A$2:$A$50000,$B$4,缺陷明细!$G$2:$G$50000,$C20,缺陷明细!$AA$2:$AA$50000,"设计如此",缺陷明细!$J$2:$J$50000,"系统测试"+COUNTIFS(缺陷明细!$A$2:$A$50000,$B$4,缺陷明细!$G$2:$G$50000,$C20,缺陷明细!$AA$2:$AA$50000,"重复Bug",缺陷明细!$J$2:$J$50000,"系统测试"))</f>
        <v>0</v>
      </c>
      <c r="S20" s="72">
        <f>COUNTIFS(缺陷明细!$A$2:$A$50000,$B$4,缺陷明细!$G$2:$G$50000,$C20,缺陷明细!$J$2:$J$50000,"系统测试",缺陷明细!$K$2:$K$50000,"致命",缺陷明细!$AA$2:$AA$50000,"&lt;&gt;丢弃",缺陷明细!$AA$2:$AA$50000,"&lt;&gt;设计如此",缺陷明细!$AA$2:$AA$50000,"&lt;&gt;重复Bug")+COUNTIFS(缺陷明细!$A$2:$A$50000,$B$4,缺陷明细!$G$2:$G$50000,$C20,缺陷明细!$J$2:$J$50000,"系统测试",缺陷明细!$K$2:$K$50000,"严重",缺陷明细!$AA$2:$AA$50000,"&lt;&gt;丢弃",缺陷明细!$AA$2:$AA$50000,"&lt;&gt;设计如此",缺陷明细!$AA$2:$AA$50000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COUNTIFS(缺陷明细!$A$2:$A$50000,$B$4,缺陷明细!$G$2:$G$50000,$C20,缺陷明细!$J$2:$J$50000,"验收测试",缺陷明细!$AA$2:$AA$50000,"&lt;&gt;丢弃",缺陷明细!$AA$2:$AA$50000,"&lt;&gt;设计如此",缺陷明细!$AA$2:$AA$50000,"&lt;&gt;重复Bug")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A$2:$AA$50000,"&lt;&gt;丢弃",缺陷明细!$AA$2:$AA$50000,"&lt;&gt;设计如此",缺陷明细!$AA$2:$AA$50000,"&lt;&gt;重复Bug")+COUNTIFS(缺陷明细!$A$2:$A$50000,$B$4,缺陷明细!$G$2:$G$50000,$C20,缺陷明细!$J$2:$J$50000,"验收测试",缺陷明细!$K$2:$K$50000,"严重",缺陷明细!$AA$2:$AA$50000,"&lt;&gt;丢弃",缺陷明细!$AA$2:$AA$50000,"&lt;&gt;设计如此",缺陷明细!$AA$2:$AA$50000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COUNTIFS(缺陷明细!$A$2:$A$50000,$B$4,缺陷明细!$G$2:$G$50000,$C20,缺陷明细!$J$2:$J$50000,"运维测试",缺陷明细!$AA$2:$AA$50000,"&lt;&gt;丢弃",缺陷明细!$AA$2:$AA$50000,"&lt;&gt;设计如此",缺陷明细!$AA$2:$AA$50000,"&lt;&gt;重复Bug")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A$2:$AA$50000,"&lt;&gt;丢弃",缺陷明细!$AA$2:$AA$50000,"&lt;&gt;设计如此",缺陷明细!$AA$2:$AA$50000,"&lt;&gt;重复Bug")+COUNTIFS(缺陷明细!$A$2:$A$50000,$B$4,缺陷明细!$G$2:$G$50000,$C20,缺陷明细!$J$2:$J$50000,"运维测试",缺陷明细!$K$2:$K$50000,"严重",缺陷明细!$AA$2:$AA$50000,"&lt;&gt;丢弃",缺陷明细!$AA$2:$AA$50000,"&lt;&gt;设计如此",缺陷明细!$AA$2:$AA$50000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51"/>
    </row>
    <row r="21" spans="1:37">
      <c r="A21">
        <v>17</v>
      </c>
      <c r="B21" s="57"/>
      <c r="C21" s="58"/>
      <c r="D21" s="84"/>
      <c r="E21" s="82"/>
      <c r="F21" s="165"/>
      <c r="G21" s="166"/>
      <c r="H21" s="305">
        <f>COUNTIFS(缺陷明细!$A$2:$A$50000,$B$4,缺陷明细!$G$2:$G$50000,$C21,缺陷明细!$J$2:$J$50000,"评审",缺陷明细!$AA$2:$AA$50000,"&lt;&gt;丢弃",缺陷明细!$AA$2:$AA$50000,"&lt;&gt;设计如此",缺陷明细!$AA$2:$AA$50000,"&lt;&gt;重复Bug")</f>
        <v>0</v>
      </c>
      <c r="I21" s="161">
        <f>COUNTIFS(缺陷明细!$A$2:$A$50000,$B$4,缺陷明细!$G$2:$G$50000,$C21,缺陷明细!$Q$2:$Q$50000,"已关闭",缺陷明细!$J$2:$J$50000,"评审")</f>
        <v>0</v>
      </c>
      <c r="J21" s="161">
        <f>COUNTIFS(缺陷明细!$A$2:$A$50000,$B$4,缺陷明细!$G$2:$G$50000,$C21,缺陷明细!$J$2:$J$50000,"单元测试",缺陷明细!$AA$2:$AA$50000,"&lt;&gt;丢弃",缺陷明细!$AA$2:$AA$50000,"&lt;&gt;设计如此",缺陷明细!$AA$2:$AA$50000,"&lt;&gt;重复Bug")</f>
        <v>0</v>
      </c>
      <c r="K21" s="162">
        <f>COUNTIFS(缺陷明细!$A$2:$A$50000,$B$4,缺陷明细!$G$2:$G$50000,$C21,缺陷明细!$Q$2:$Q$50000,"已关闭",缺陷明细!$J$2:$J$50000,"单元测试")</f>
        <v>0</v>
      </c>
      <c r="L21" s="163"/>
      <c r="M21" s="164"/>
      <c r="N21" s="72">
        <f>COUNTIFS(缺陷明细!$A$2:$A$50000,$B$4,缺陷明细!$G$2:$G$50000,$C21,缺陷明细!$J$2:$J$50000,"系统测试案例评审",缺陷明细!$AA$2:$AA$50000,"&lt;&gt;丢弃",缺陷明细!$AA$2:$AA$50000,"&lt;&gt;设计如此",缺陷明细!$AA$2:$AA$50000,"&lt;&gt;重复Bug")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COUNTIFS(缺陷明细!$A$2:$A$50000,$B$4,缺陷明细!$G$2:$G$50000,$C21,缺陷明细!$J$2:$J$50000,"系统测试",缺陷明细!$AA$2:$AA$50000,"&lt;&gt;丢弃",缺陷明细!$AA$2:$AA$50000,"&lt;&gt;设计如此",缺陷明细!$AA$2:$AA$50000,"&lt;&gt;重复Bug")</f>
        <v>0</v>
      </c>
      <c r="Q21" s="72">
        <f>COUNTIFS(缺陷明细!$A$2:$A$50000,$B$4,缺陷明细!$G$2:$G$50000,$C21,缺陷明细!$Q$2:$Q$50000,"已关闭",缺陷明细!$J$2:$J$50000,"系统测试")</f>
        <v>0</v>
      </c>
      <c r="R21" s="72">
        <f>COUNTIFS(缺陷明细!$A$2:$A$50000,$B$4,缺陷明细!$G$2:$G$50000,$C21,缺陷明细!$AA$2:$AA$50000,"丢弃",缺陷明细!$J$2:$J$50000,"系统测试")+COUNTIFS(缺陷明细!$A$2:$A$50000,$B$4,缺陷明细!$G$2:$G$50000,$C21,缺陷明细!$AA$2:$AA$50000,"设计如此",缺陷明细!$J$2:$J$50000,"系统测试"+COUNTIFS(缺陷明细!$A$2:$A$50000,$B$4,缺陷明细!$G$2:$G$50000,$C21,缺陷明细!$AA$2:$AA$50000,"重复Bug",缺陷明细!$J$2:$J$50000,"系统测试"))</f>
        <v>0</v>
      </c>
      <c r="S21" s="72">
        <f>COUNTIFS(缺陷明细!$A$2:$A$50000,$B$4,缺陷明细!$G$2:$G$50000,$C21,缺陷明细!$J$2:$J$50000,"系统测试",缺陷明细!$K$2:$K$50000,"致命",缺陷明细!$AA$2:$AA$50000,"&lt;&gt;丢弃",缺陷明细!$AA$2:$AA$50000,"&lt;&gt;设计如此",缺陷明细!$AA$2:$AA$50000,"&lt;&gt;重复Bug")+COUNTIFS(缺陷明细!$A$2:$A$50000,$B$4,缺陷明细!$G$2:$G$50000,$C21,缺陷明细!$J$2:$J$50000,"系统测试",缺陷明细!$K$2:$K$50000,"严重",缺陷明细!$AA$2:$AA$50000,"&lt;&gt;丢弃",缺陷明细!$AA$2:$AA$50000,"&lt;&gt;设计如此",缺陷明细!$AA$2:$AA$50000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COUNTIFS(缺陷明细!$A$2:$A$50000,$B$4,缺陷明细!$G$2:$G$50000,$C21,缺陷明细!$J$2:$J$50000,"验收测试",缺陷明细!$AA$2:$AA$50000,"&lt;&gt;丢弃",缺陷明细!$AA$2:$AA$50000,"&lt;&gt;设计如此",缺陷明细!$AA$2:$AA$50000,"&lt;&gt;重复Bug")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A$2:$AA$50000,"&lt;&gt;丢弃",缺陷明细!$AA$2:$AA$50000,"&lt;&gt;设计如此",缺陷明细!$AA$2:$AA$50000,"&lt;&gt;重复Bug")+COUNTIFS(缺陷明细!$A$2:$A$50000,$B$4,缺陷明细!$G$2:$G$50000,$C21,缺陷明细!$J$2:$J$50000,"验收测试",缺陷明细!$K$2:$K$50000,"严重",缺陷明细!$AA$2:$AA$50000,"&lt;&gt;丢弃",缺陷明细!$AA$2:$AA$50000,"&lt;&gt;设计如此",缺陷明细!$AA$2:$AA$50000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COUNTIFS(缺陷明细!$A$2:$A$50000,$B$4,缺陷明细!$G$2:$G$50000,$C21,缺陷明细!$J$2:$J$50000,"运维测试",缺陷明细!$AA$2:$AA$50000,"&lt;&gt;丢弃",缺陷明细!$AA$2:$AA$50000,"&lt;&gt;设计如此",缺陷明细!$AA$2:$AA$50000,"&lt;&gt;重复Bug")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A$2:$AA$50000,"&lt;&gt;丢弃",缺陷明细!$AA$2:$AA$50000,"&lt;&gt;设计如此",缺陷明细!$AA$2:$AA$50000,"&lt;&gt;重复Bug")+COUNTIFS(缺陷明细!$A$2:$A$50000,$B$4,缺陷明细!$G$2:$G$50000,$C21,缺陷明细!$J$2:$J$50000,"运维测试",缺陷明细!$K$2:$K$50000,"严重",缺陷明细!$AA$2:$AA$50000,"&lt;&gt;丢弃",缺陷明细!$AA$2:$AA$50000,"&lt;&gt;设计如此",缺陷明细!$AA$2:$AA$50000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51"/>
    </row>
    <row r="22" spans="1:37">
      <c r="A22">
        <v>18</v>
      </c>
      <c r="B22" s="57"/>
      <c r="C22" s="58"/>
      <c r="D22" s="84"/>
      <c r="E22" s="82"/>
      <c r="F22" s="165"/>
      <c r="G22" s="166"/>
      <c r="H22" s="305">
        <f>COUNTIFS(缺陷明细!$A$2:$A$50000,$B$4,缺陷明细!$G$2:$G$50000,$C22,缺陷明细!$J$2:$J$50000,"评审",缺陷明细!$AA$2:$AA$50000,"&lt;&gt;丢弃",缺陷明细!$AA$2:$AA$50000,"&lt;&gt;设计如此",缺陷明细!$AA$2:$AA$50000,"&lt;&gt;重复Bug")</f>
        <v>0</v>
      </c>
      <c r="I22" s="161">
        <f>COUNTIFS(缺陷明细!$A$2:$A$50000,$B$4,缺陷明细!$G$2:$G$50000,$C22,缺陷明细!$Q$2:$Q$50000,"已关闭",缺陷明细!$J$2:$J$50000,"评审")</f>
        <v>0</v>
      </c>
      <c r="J22" s="161">
        <f>COUNTIFS(缺陷明细!$A$2:$A$50000,$B$4,缺陷明细!$G$2:$G$50000,$C22,缺陷明细!$J$2:$J$50000,"单元测试",缺陷明细!$AA$2:$AA$50000,"&lt;&gt;丢弃",缺陷明细!$AA$2:$AA$50000,"&lt;&gt;设计如此",缺陷明细!$AA$2:$AA$50000,"&lt;&gt;重复Bug")</f>
        <v>0</v>
      </c>
      <c r="K22" s="162">
        <f>COUNTIFS(缺陷明细!$A$2:$A$50000,$B$4,缺陷明细!$G$2:$G$50000,$C22,缺陷明细!$Q$2:$Q$50000,"已关闭",缺陷明细!$J$2:$J$50000,"单元测试")</f>
        <v>0</v>
      </c>
      <c r="L22" s="163"/>
      <c r="M22" s="164"/>
      <c r="N22" s="72">
        <f>COUNTIFS(缺陷明细!$A$2:$A$50000,$B$4,缺陷明细!$G$2:$G$50000,$C22,缺陷明细!$J$2:$J$50000,"系统测试案例评审",缺陷明细!$AA$2:$AA$50000,"&lt;&gt;丢弃",缺陷明细!$AA$2:$AA$50000,"&lt;&gt;设计如此",缺陷明细!$AA$2:$AA$50000,"&lt;&gt;重复Bug")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COUNTIFS(缺陷明细!$A$2:$A$50000,$B$4,缺陷明细!$G$2:$G$50000,$C22,缺陷明细!$J$2:$J$50000,"系统测试",缺陷明细!$AA$2:$AA$50000,"&lt;&gt;丢弃",缺陷明细!$AA$2:$AA$50000,"&lt;&gt;设计如此",缺陷明细!$AA$2:$AA$50000,"&lt;&gt;重复Bug")</f>
        <v>0</v>
      </c>
      <c r="Q22" s="72">
        <f>COUNTIFS(缺陷明细!$A$2:$A$50000,$B$4,缺陷明细!$G$2:$G$50000,$C22,缺陷明细!$Q$2:$Q$50000,"已关闭",缺陷明细!$J$2:$J$50000,"系统测试")</f>
        <v>0</v>
      </c>
      <c r="R22" s="72">
        <f>COUNTIFS(缺陷明细!$A$2:$A$50000,$B$4,缺陷明细!$G$2:$G$50000,$C22,缺陷明细!$AA$2:$AA$50000,"丢弃",缺陷明细!$J$2:$J$50000,"系统测试")+COUNTIFS(缺陷明细!$A$2:$A$50000,$B$4,缺陷明细!$G$2:$G$50000,$C22,缺陷明细!$AA$2:$AA$50000,"设计如此",缺陷明细!$J$2:$J$50000,"系统测试"+COUNTIFS(缺陷明细!$A$2:$A$50000,$B$4,缺陷明细!$G$2:$G$50000,$C22,缺陷明细!$AA$2:$AA$50000,"重复Bug",缺陷明细!$J$2:$J$50000,"系统测试"))</f>
        <v>0</v>
      </c>
      <c r="S22" s="72">
        <f>COUNTIFS(缺陷明细!$A$2:$A$50000,$B$4,缺陷明细!$G$2:$G$50000,$C22,缺陷明细!$J$2:$J$50000,"系统测试",缺陷明细!$K$2:$K$50000,"致命",缺陷明细!$AA$2:$AA$50000,"&lt;&gt;丢弃",缺陷明细!$AA$2:$AA$50000,"&lt;&gt;设计如此",缺陷明细!$AA$2:$AA$50000,"&lt;&gt;重复Bug")+COUNTIFS(缺陷明细!$A$2:$A$50000,$B$4,缺陷明细!$G$2:$G$50000,$C22,缺陷明细!$J$2:$J$50000,"系统测试",缺陷明细!$K$2:$K$50000,"严重",缺陷明细!$AA$2:$AA$50000,"&lt;&gt;丢弃",缺陷明细!$AA$2:$AA$50000,"&lt;&gt;设计如此",缺陷明细!$AA$2:$AA$50000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COUNTIFS(缺陷明细!$A$2:$A$50000,$B$4,缺陷明细!$G$2:$G$50000,$C22,缺陷明细!$J$2:$J$50000,"验收测试",缺陷明细!$AA$2:$AA$50000,"&lt;&gt;丢弃",缺陷明细!$AA$2:$AA$50000,"&lt;&gt;设计如此",缺陷明细!$AA$2:$AA$50000,"&lt;&gt;重复Bug")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A$2:$AA$50000,"&lt;&gt;丢弃",缺陷明细!$AA$2:$AA$50000,"&lt;&gt;设计如此",缺陷明细!$AA$2:$AA$50000,"&lt;&gt;重复Bug")+COUNTIFS(缺陷明细!$A$2:$A$50000,$B$4,缺陷明细!$G$2:$G$50000,$C22,缺陷明细!$J$2:$J$50000,"验收测试",缺陷明细!$K$2:$K$50000,"严重",缺陷明细!$AA$2:$AA$50000,"&lt;&gt;丢弃",缺陷明细!$AA$2:$AA$50000,"&lt;&gt;设计如此",缺陷明细!$AA$2:$AA$50000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COUNTIFS(缺陷明细!$A$2:$A$50000,$B$4,缺陷明细!$G$2:$G$50000,$C22,缺陷明细!$J$2:$J$50000,"运维测试",缺陷明细!$AA$2:$AA$50000,"&lt;&gt;丢弃",缺陷明细!$AA$2:$AA$50000,"&lt;&gt;设计如此",缺陷明细!$AA$2:$AA$50000,"&lt;&gt;重复Bug")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A$2:$AA$50000,"&lt;&gt;丢弃",缺陷明细!$AA$2:$AA$50000,"&lt;&gt;设计如此",缺陷明细!$AA$2:$AA$50000,"&lt;&gt;重复Bug")+COUNTIFS(缺陷明细!$A$2:$A$50000,$B$4,缺陷明细!$G$2:$G$50000,$C22,缺陷明细!$J$2:$J$50000,"运维测试",缺陷明细!$K$2:$K$50000,"严重",缺陷明细!$AA$2:$AA$50000,"&lt;&gt;丢弃",缺陷明细!$AA$2:$AA$50000,"&lt;&gt;设计如此",缺陷明细!$AA$2:$AA$50000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51"/>
    </row>
    <row r="23" spans="1:37">
      <c r="A23">
        <v>19</v>
      </c>
      <c r="B23" s="57"/>
      <c r="C23" s="58"/>
      <c r="D23" s="84"/>
      <c r="E23" s="82"/>
      <c r="F23" s="165"/>
      <c r="G23" s="166"/>
      <c r="H23" s="305">
        <f>COUNTIFS(缺陷明细!$A$2:$A$50000,$B$4,缺陷明细!$G$2:$G$50000,$C23,缺陷明细!$J$2:$J$50000,"评审",缺陷明细!$AA$2:$AA$50000,"&lt;&gt;丢弃",缺陷明细!$AA$2:$AA$50000,"&lt;&gt;设计如此",缺陷明细!$AA$2:$AA$50000,"&lt;&gt;重复Bug")</f>
        <v>0</v>
      </c>
      <c r="I23" s="161">
        <f>COUNTIFS(缺陷明细!$A$2:$A$50000,$B$4,缺陷明细!$G$2:$G$50000,$C23,缺陷明细!$Q$2:$Q$50000,"已关闭",缺陷明细!$J$2:$J$50000,"评审")</f>
        <v>0</v>
      </c>
      <c r="J23" s="161">
        <f>COUNTIFS(缺陷明细!$A$2:$A$50000,$B$4,缺陷明细!$G$2:$G$50000,$C23,缺陷明细!$J$2:$J$50000,"单元测试",缺陷明细!$AA$2:$AA$50000,"&lt;&gt;丢弃",缺陷明细!$AA$2:$AA$50000,"&lt;&gt;设计如此",缺陷明细!$AA$2:$AA$50000,"&lt;&gt;重复Bug")</f>
        <v>0</v>
      </c>
      <c r="K23" s="162">
        <f>COUNTIFS(缺陷明细!$A$2:$A$50000,$B$4,缺陷明细!$G$2:$G$50000,$C23,缺陷明细!$Q$2:$Q$50000,"已关闭",缺陷明细!$J$2:$J$50000,"单元测试")</f>
        <v>0</v>
      </c>
      <c r="L23" s="163"/>
      <c r="M23" s="164"/>
      <c r="N23" s="72">
        <f>COUNTIFS(缺陷明细!$A$2:$A$50000,$B$4,缺陷明细!$G$2:$G$50000,$C23,缺陷明细!$J$2:$J$50000,"系统测试案例评审",缺陷明细!$AA$2:$AA$50000,"&lt;&gt;丢弃",缺陷明细!$AA$2:$AA$50000,"&lt;&gt;设计如此",缺陷明细!$AA$2:$AA$50000,"&lt;&gt;重复Bug")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COUNTIFS(缺陷明细!$A$2:$A$50000,$B$4,缺陷明细!$G$2:$G$50000,$C23,缺陷明细!$J$2:$J$50000,"系统测试",缺陷明细!$AA$2:$AA$50000,"&lt;&gt;丢弃",缺陷明细!$AA$2:$AA$50000,"&lt;&gt;设计如此",缺陷明细!$AA$2:$AA$50000,"&lt;&gt;重复Bug")</f>
        <v>0</v>
      </c>
      <c r="Q23" s="72">
        <f>COUNTIFS(缺陷明细!$A$2:$A$50000,$B$4,缺陷明细!$G$2:$G$50000,$C23,缺陷明细!$Q$2:$Q$50000,"已关闭",缺陷明细!$J$2:$J$50000,"系统测试")</f>
        <v>0</v>
      </c>
      <c r="R23" s="72">
        <f>COUNTIFS(缺陷明细!$A$2:$A$50000,$B$4,缺陷明细!$G$2:$G$50000,$C23,缺陷明细!$AA$2:$AA$50000,"丢弃",缺陷明细!$J$2:$J$50000,"系统测试")+COUNTIFS(缺陷明细!$A$2:$A$50000,$B$4,缺陷明细!$G$2:$G$50000,$C23,缺陷明细!$AA$2:$AA$50000,"设计如此",缺陷明细!$J$2:$J$50000,"系统测试"+COUNTIFS(缺陷明细!$A$2:$A$50000,$B$4,缺陷明细!$G$2:$G$50000,$C23,缺陷明细!$AA$2:$AA$50000,"重复Bug",缺陷明细!$J$2:$J$50000,"系统测试"))</f>
        <v>0</v>
      </c>
      <c r="S23" s="72">
        <f>COUNTIFS(缺陷明细!$A$2:$A$50000,$B$4,缺陷明细!$G$2:$G$50000,$C23,缺陷明细!$J$2:$J$50000,"系统测试",缺陷明细!$K$2:$K$50000,"致命",缺陷明细!$AA$2:$AA$50000,"&lt;&gt;丢弃",缺陷明细!$AA$2:$AA$50000,"&lt;&gt;设计如此",缺陷明细!$AA$2:$AA$50000,"&lt;&gt;重复Bug")+COUNTIFS(缺陷明细!$A$2:$A$50000,$B$4,缺陷明细!$G$2:$G$50000,$C23,缺陷明细!$J$2:$J$50000,"系统测试",缺陷明细!$K$2:$K$50000,"严重",缺陷明细!$AA$2:$AA$50000,"&lt;&gt;丢弃",缺陷明细!$AA$2:$AA$50000,"&lt;&gt;设计如此",缺陷明细!$AA$2:$AA$50000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COUNTIFS(缺陷明细!$A$2:$A$50000,$B$4,缺陷明细!$G$2:$G$50000,$C23,缺陷明细!$J$2:$J$50000,"验收测试",缺陷明细!$AA$2:$AA$50000,"&lt;&gt;丢弃",缺陷明细!$AA$2:$AA$50000,"&lt;&gt;设计如此",缺陷明细!$AA$2:$AA$50000,"&lt;&gt;重复Bug")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A$2:$AA$50000,"&lt;&gt;丢弃",缺陷明细!$AA$2:$AA$50000,"&lt;&gt;设计如此",缺陷明细!$AA$2:$AA$50000,"&lt;&gt;重复Bug")+COUNTIFS(缺陷明细!$A$2:$A$50000,$B$4,缺陷明细!$G$2:$G$50000,$C23,缺陷明细!$J$2:$J$50000,"验收测试",缺陷明细!$K$2:$K$50000,"严重",缺陷明细!$AA$2:$AA$50000,"&lt;&gt;丢弃",缺陷明细!$AA$2:$AA$50000,"&lt;&gt;设计如此",缺陷明细!$AA$2:$AA$50000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COUNTIFS(缺陷明细!$A$2:$A$50000,$B$4,缺陷明细!$G$2:$G$50000,$C23,缺陷明细!$J$2:$J$50000,"运维测试",缺陷明细!$AA$2:$AA$50000,"&lt;&gt;丢弃",缺陷明细!$AA$2:$AA$50000,"&lt;&gt;设计如此",缺陷明细!$AA$2:$AA$50000,"&lt;&gt;重复Bug")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A$2:$AA$50000,"&lt;&gt;丢弃",缺陷明细!$AA$2:$AA$50000,"&lt;&gt;设计如此",缺陷明细!$AA$2:$AA$50000,"&lt;&gt;重复Bug")+COUNTIFS(缺陷明细!$A$2:$A$50000,$B$4,缺陷明细!$G$2:$G$50000,$C23,缺陷明细!$J$2:$J$50000,"运维测试",缺陷明细!$K$2:$K$50000,"严重",缺陷明细!$AA$2:$AA$50000,"&lt;&gt;丢弃",缺陷明细!$AA$2:$AA$50000,"&lt;&gt;设计如此",缺陷明细!$AA$2:$AA$50000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51"/>
    </row>
    <row r="24" spans="1:37">
      <c r="A24">
        <v>20</v>
      </c>
      <c r="B24" s="57"/>
      <c r="C24" s="58"/>
      <c r="D24" s="84"/>
      <c r="E24" s="82"/>
      <c r="F24" s="165"/>
      <c r="G24" s="166"/>
      <c r="H24" s="305">
        <f>COUNTIFS(缺陷明细!$A$2:$A$50000,$B$4,缺陷明细!$G$2:$G$50000,$C24,缺陷明细!$J$2:$J$50000,"评审",缺陷明细!$AA$2:$AA$50000,"&lt;&gt;丢弃",缺陷明细!$AA$2:$AA$50000,"&lt;&gt;设计如此",缺陷明细!$AA$2:$AA$50000,"&lt;&gt;重复Bug")</f>
        <v>0</v>
      </c>
      <c r="I24" s="161">
        <f>COUNTIFS(缺陷明细!$A$2:$A$50000,$B$4,缺陷明细!$G$2:$G$50000,$C24,缺陷明细!$Q$2:$Q$50000,"已关闭",缺陷明细!$J$2:$J$50000,"评审")</f>
        <v>0</v>
      </c>
      <c r="J24" s="161">
        <f>COUNTIFS(缺陷明细!$A$2:$A$50000,$B$4,缺陷明细!$G$2:$G$50000,$C24,缺陷明细!$J$2:$J$50000,"单元测试",缺陷明细!$AA$2:$AA$50000,"&lt;&gt;丢弃",缺陷明细!$AA$2:$AA$50000,"&lt;&gt;设计如此",缺陷明细!$AA$2:$AA$50000,"&lt;&gt;重复Bug")</f>
        <v>0</v>
      </c>
      <c r="K24" s="162">
        <f>COUNTIFS(缺陷明细!$A$2:$A$50000,$B$4,缺陷明细!$G$2:$G$50000,$C24,缺陷明细!$Q$2:$Q$50000,"已关闭",缺陷明细!$J$2:$J$50000,"单元测试")</f>
        <v>0</v>
      </c>
      <c r="L24" s="163"/>
      <c r="M24" s="164"/>
      <c r="N24" s="72">
        <f>COUNTIFS(缺陷明细!$A$2:$A$50000,$B$4,缺陷明细!$G$2:$G$50000,$C24,缺陷明细!$J$2:$J$50000,"系统测试案例评审",缺陷明细!$AA$2:$AA$50000,"&lt;&gt;丢弃",缺陷明细!$AA$2:$AA$50000,"&lt;&gt;设计如此",缺陷明细!$AA$2:$AA$50000,"&lt;&gt;重复Bug")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COUNTIFS(缺陷明细!$A$2:$A$50000,$B$4,缺陷明细!$G$2:$G$50000,$C24,缺陷明细!$J$2:$J$50000,"系统测试",缺陷明细!$AA$2:$AA$50000,"&lt;&gt;丢弃",缺陷明细!$AA$2:$AA$50000,"&lt;&gt;设计如此",缺陷明细!$AA$2:$AA$50000,"&lt;&gt;重复Bug")</f>
        <v>0</v>
      </c>
      <c r="Q24" s="72">
        <f>COUNTIFS(缺陷明细!$A$2:$A$50000,$B$4,缺陷明细!$G$2:$G$50000,$C24,缺陷明细!$Q$2:$Q$50000,"已关闭",缺陷明细!$J$2:$J$50000,"系统测试")</f>
        <v>0</v>
      </c>
      <c r="R24" s="72">
        <f>COUNTIFS(缺陷明细!$A$2:$A$50000,$B$4,缺陷明细!$G$2:$G$50000,$C24,缺陷明细!$AA$2:$AA$50000,"丢弃",缺陷明细!$J$2:$J$50000,"系统测试")+COUNTIFS(缺陷明细!$A$2:$A$50000,$B$4,缺陷明细!$G$2:$G$50000,$C24,缺陷明细!$AA$2:$AA$50000,"设计如此",缺陷明细!$J$2:$J$50000,"系统测试"+COUNTIFS(缺陷明细!$A$2:$A$50000,$B$4,缺陷明细!$G$2:$G$50000,$C24,缺陷明细!$AA$2:$AA$50000,"重复Bug",缺陷明细!$J$2:$J$50000,"系统测试"))</f>
        <v>0</v>
      </c>
      <c r="S24" s="72">
        <f>COUNTIFS(缺陷明细!$A$2:$A$50000,$B$4,缺陷明细!$G$2:$G$50000,$C24,缺陷明细!$J$2:$J$50000,"系统测试",缺陷明细!$K$2:$K$50000,"致命",缺陷明细!$AA$2:$AA$50000,"&lt;&gt;丢弃",缺陷明细!$AA$2:$AA$50000,"&lt;&gt;设计如此",缺陷明细!$AA$2:$AA$50000,"&lt;&gt;重复Bug")+COUNTIFS(缺陷明细!$A$2:$A$50000,$B$4,缺陷明细!$G$2:$G$50000,$C24,缺陷明细!$J$2:$J$50000,"系统测试",缺陷明细!$K$2:$K$50000,"严重",缺陷明细!$AA$2:$AA$50000,"&lt;&gt;丢弃",缺陷明细!$AA$2:$AA$50000,"&lt;&gt;设计如此",缺陷明细!$AA$2:$AA$50000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COUNTIFS(缺陷明细!$A$2:$A$50000,$B$4,缺陷明细!$G$2:$G$50000,$C24,缺陷明细!$J$2:$J$50000,"验收测试",缺陷明细!$AA$2:$AA$50000,"&lt;&gt;丢弃",缺陷明细!$AA$2:$AA$50000,"&lt;&gt;设计如此",缺陷明细!$AA$2:$AA$50000,"&lt;&gt;重复Bug")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A$2:$AA$50000,"&lt;&gt;丢弃",缺陷明细!$AA$2:$AA$50000,"&lt;&gt;设计如此",缺陷明细!$AA$2:$AA$50000,"&lt;&gt;重复Bug")+COUNTIFS(缺陷明细!$A$2:$A$50000,$B$4,缺陷明细!$G$2:$G$50000,$C24,缺陷明细!$J$2:$J$50000,"验收测试",缺陷明细!$K$2:$K$50000,"严重",缺陷明细!$AA$2:$AA$50000,"&lt;&gt;丢弃",缺陷明细!$AA$2:$AA$50000,"&lt;&gt;设计如此",缺陷明细!$AA$2:$AA$50000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COUNTIFS(缺陷明细!$A$2:$A$50000,$B$4,缺陷明细!$G$2:$G$50000,$C24,缺陷明细!$J$2:$J$50000,"运维测试",缺陷明细!$AA$2:$AA$50000,"&lt;&gt;丢弃",缺陷明细!$AA$2:$AA$50000,"&lt;&gt;设计如此",缺陷明细!$AA$2:$AA$50000,"&lt;&gt;重复Bug")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A$2:$AA$50000,"&lt;&gt;丢弃",缺陷明细!$AA$2:$AA$50000,"&lt;&gt;设计如此",缺陷明细!$AA$2:$AA$50000,"&lt;&gt;重复Bug")+COUNTIFS(缺陷明细!$A$2:$A$50000,$B$4,缺陷明细!$G$2:$G$50000,$C24,缺陷明细!$J$2:$J$50000,"运维测试",缺陷明细!$K$2:$K$50000,"严重",缺陷明细!$AA$2:$AA$50000,"&lt;&gt;丢弃",缺陷明细!$AA$2:$AA$50000,"&lt;&gt;设计如此",缺陷明细!$AA$2:$AA$50000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51"/>
    </row>
    <row r="25" spans="1:37">
      <c r="A25">
        <v>21</v>
      </c>
      <c r="B25" s="57"/>
      <c r="C25" s="58"/>
      <c r="D25" s="84"/>
      <c r="E25" s="82"/>
      <c r="F25" s="165"/>
      <c r="G25" s="166"/>
      <c r="H25" s="305">
        <f>COUNTIFS(缺陷明细!$A$2:$A$50000,$B$4,缺陷明细!$G$2:$G$50000,$C25,缺陷明细!$J$2:$J$50000,"评审",缺陷明细!$AA$2:$AA$50000,"&lt;&gt;丢弃",缺陷明细!$AA$2:$AA$50000,"&lt;&gt;设计如此",缺陷明细!$AA$2:$AA$50000,"&lt;&gt;重复Bug")</f>
        <v>0</v>
      </c>
      <c r="I25" s="161">
        <f>COUNTIFS(缺陷明细!$A$2:$A$50000,$B$4,缺陷明细!$G$2:$G$50000,$C25,缺陷明细!$Q$2:$Q$50000,"已关闭",缺陷明细!$J$2:$J$50000,"评审")</f>
        <v>0</v>
      </c>
      <c r="J25" s="161">
        <f>COUNTIFS(缺陷明细!$A$2:$A$50000,$B$4,缺陷明细!$G$2:$G$50000,$C25,缺陷明细!$J$2:$J$50000,"单元测试",缺陷明细!$AA$2:$AA$50000,"&lt;&gt;丢弃",缺陷明细!$AA$2:$AA$50000,"&lt;&gt;设计如此",缺陷明细!$AA$2:$AA$50000,"&lt;&gt;重复Bug")</f>
        <v>0</v>
      </c>
      <c r="K25" s="162">
        <f>COUNTIFS(缺陷明细!$A$2:$A$50000,$B$4,缺陷明细!$G$2:$G$50000,$C25,缺陷明细!$Q$2:$Q$50000,"已关闭",缺陷明细!$J$2:$J$50000,"单元测试")</f>
        <v>0</v>
      </c>
      <c r="L25" s="163"/>
      <c r="M25" s="164"/>
      <c r="N25" s="72">
        <f>COUNTIFS(缺陷明细!$A$2:$A$50000,$B$4,缺陷明细!$G$2:$G$50000,$C25,缺陷明细!$J$2:$J$50000,"系统测试案例评审",缺陷明细!$AA$2:$AA$50000,"&lt;&gt;丢弃",缺陷明细!$AA$2:$AA$50000,"&lt;&gt;设计如此",缺陷明细!$AA$2:$AA$50000,"&lt;&gt;重复Bug")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COUNTIFS(缺陷明细!$A$2:$A$50000,$B$4,缺陷明细!$G$2:$G$50000,$C25,缺陷明细!$J$2:$J$50000,"系统测试",缺陷明细!$AA$2:$AA$50000,"&lt;&gt;丢弃",缺陷明细!$AA$2:$AA$50000,"&lt;&gt;设计如此",缺陷明细!$AA$2:$AA$50000,"&lt;&gt;重复Bug")</f>
        <v>0</v>
      </c>
      <c r="Q25" s="72">
        <f>COUNTIFS(缺陷明细!$A$2:$A$50000,$B$4,缺陷明细!$G$2:$G$50000,$C25,缺陷明细!$Q$2:$Q$50000,"已关闭",缺陷明细!$J$2:$J$50000,"系统测试")</f>
        <v>0</v>
      </c>
      <c r="R25" s="72">
        <f>COUNTIFS(缺陷明细!$A$2:$A$50000,$B$4,缺陷明细!$G$2:$G$50000,$C25,缺陷明细!$AA$2:$AA$50000,"丢弃",缺陷明细!$J$2:$J$50000,"系统测试")+COUNTIFS(缺陷明细!$A$2:$A$50000,$B$4,缺陷明细!$G$2:$G$50000,$C25,缺陷明细!$AA$2:$AA$50000,"设计如此",缺陷明细!$J$2:$J$50000,"系统测试"+COUNTIFS(缺陷明细!$A$2:$A$50000,$B$4,缺陷明细!$G$2:$G$50000,$C25,缺陷明细!$AA$2:$AA$50000,"重复Bug",缺陷明细!$J$2:$J$50000,"系统测试"))</f>
        <v>0</v>
      </c>
      <c r="S25" s="72">
        <f>COUNTIFS(缺陷明细!$A$2:$A$50000,$B$4,缺陷明细!$G$2:$G$50000,$C25,缺陷明细!$J$2:$J$50000,"系统测试",缺陷明细!$K$2:$K$50000,"致命",缺陷明细!$AA$2:$AA$50000,"&lt;&gt;丢弃",缺陷明细!$AA$2:$AA$50000,"&lt;&gt;设计如此",缺陷明细!$AA$2:$AA$50000,"&lt;&gt;重复Bug")+COUNTIFS(缺陷明细!$A$2:$A$50000,$B$4,缺陷明细!$G$2:$G$50000,$C25,缺陷明细!$J$2:$J$50000,"系统测试",缺陷明细!$K$2:$K$50000,"严重",缺陷明细!$AA$2:$AA$50000,"&lt;&gt;丢弃",缺陷明细!$AA$2:$AA$50000,"&lt;&gt;设计如此",缺陷明细!$AA$2:$AA$50000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COUNTIFS(缺陷明细!$A$2:$A$50000,$B$4,缺陷明细!$G$2:$G$50000,$C25,缺陷明细!$J$2:$J$50000,"验收测试",缺陷明细!$AA$2:$AA$50000,"&lt;&gt;丢弃",缺陷明细!$AA$2:$AA$50000,"&lt;&gt;设计如此",缺陷明细!$AA$2:$AA$50000,"&lt;&gt;重复Bug")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A$2:$AA$50000,"&lt;&gt;丢弃",缺陷明细!$AA$2:$AA$50000,"&lt;&gt;设计如此",缺陷明细!$AA$2:$AA$50000,"&lt;&gt;重复Bug")+COUNTIFS(缺陷明细!$A$2:$A$50000,$B$4,缺陷明细!$G$2:$G$50000,$C25,缺陷明细!$J$2:$J$50000,"验收测试",缺陷明细!$K$2:$K$50000,"严重",缺陷明细!$AA$2:$AA$50000,"&lt;&gt;丢弃",缺陷明细!$AA$2:$AA$50000,"&lt;&gt;设计如此",缺陷明细!$AA$2:$AA$50000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COUNTIFS(缺陷明细!$A$2:$A$50000,$B$4,缺陷明细!$G$2:$G$50000,$C25,缺陷明细!$J$2:$J$50000,"运维测试",缺陷明细!$AA$2:$AA$50000,"&lt;&gt;丢弃",缺陷明细!$AA$2:$AA$50000,"&lt;&gt;设计如此",缺陷明细!$AA$2:$AA$50000,"&lt;&gt;重复Bug")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A$2:$AA$50000,"&lt;&gt;丢弃",缺陷明细!$AA$2:$AA$50000,"&lt;&gt;设计如此",缺陷明细!$AA$2:$AA$50000,"&lt;&gt;重复Bug")+COUNTIFS(缺陷明细!$A$2:$A$50000,$B$4,缺陷明细!$G$2:$G$50000,$C25,缺陷明细!$J$2:$J$50000,"运维测试",缺陷明细!$K$2:$K$50000,"严重",缺陷明细!$AA$2:$AA$50000,"&lt;&gt;丢弃",缺陷明细!$AA$2:$AA$50000,"&lt;&gt;设计如此",缺陷明细!$AA$2:$AA$50000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51"/>
    </row>
    <row r="26" spans="1:37">
      <c r="A26">
        <v>22</v>
      </c>
      <c r="B26" s="57"/>
      <c r="C26" s="58"/>
      <c r="D26" s="84"/>
      <c r="E26" s="82"/>
      <c r="F26" s="165"/>
      <c r="G26" s="166"/>
      <c r="H26" s="305">
        <f>COUNTIFS(缺陷明细!$A$2:$A$50000,$B$4,缺陷明细!$G$2:$G$50000,$C26,缺陷明细!$J$2:$J$50000,"评审",缺陷明细!$AA$2:$AA$50000,"&lt;&gt;丢弃",缺陷明细!$AA$2:$AA$50000,"&lt;&gt;设计如此",缺陷明细!$AA$2:$AA$50000,"&lt;&gt;重复Bug")</f>
        <v>0</v>
      </c>
      <c r="I26" s="161">
        <f>COUNTIFS(缺陷明细!$A$2:$A$50000,$B$4,缺陷明细!$G$2:$G$50000,$C26,缺陷明细!$Q$2:$Q$50000,"已关闭",缺陷明细!$J$2:$J$50000,"评审")</f>
        <v>0</v>
      </c>
      <c r="J26" s="161">
        <f>COUNTIFS(缺陷明细!$A$2:$A$50000,$B$4,缺陷明细!$G$2:$G$50000,$C26,缺陷明细!$J$2:$J$50000,"单元测试",缺陷明细!$AA$2:$AA$50000,"&lt;&gt;丢弃",缺陷明细!$AA$2:$AA$50000,"&lt;&gt;设计如此",缺陷明细!$AA$2:$AA$50000,"&lt;&gt;重复Bug")</f>
        <v>0</v>
      </c>
      <c r="K26" s="162">
        <f>COUNTIFS(缺陷明细!$A$2:$A$50000,$B$4,缺陷明细!$G$2:$G$50000,$C26,缺陷明细!$Q$2:$Q$50000,"已关闭",缺陷明细!$J$2:$J$50000,"单元测试")</f>
        <v>0</v>
      </c>
      <c r="L26" s="163"/>
      <c r="M26" s="164"/>
      <c r="N26" s="72">
        <f>COUNTIFS(缺陷明细!$A$2:$A$50000,$B$4,缺陷明细!$G$2:$G$50000,$C26,缺陷明细!$J$2:$J$50000,"系统测试案例评审",缺陷明细!$AA$2:$AA$50000,"&lt;&gt;丢弃",缺陷明细!$AA$2:$AA$50000,"&lt;&gt;设计如此",缺陷明细!$AA$2:$AA$50000,"&lt;&gt;重复Bug")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COUNTIFS(缺陷明细!$A$2:$A$50000,$B$4,缺陷明细!$G$2:$G$50000,$C26,缺陷明细!$J$2:$J$50000,"系统测试",缺陷明细!$AA$2:$AA$50000,"&lt;&gt;丢弃",缺陷明细!$AA$2:$AA$50000,"&lt;&gt;设计如此",缺陷明细!$AA$2:$AA$50000,"&lt;&gt;重复Bug")</f>
        <v>0</v>
      </c>
      <c r="Q26" s="72">
        <f>COUNTIFS(缺陷明细!$A$2:$A$50000,$B$4,缺陷明细!$G$2:$G$50000,$C26,缺陷明细!$Q$2:$Q$50000,"已关闭",缺陷明细!$J$2:$J$50000,"系统测试")</f>
        <v>0</v>
      </c>
      <c r="R26" s="72">
        <f>COUNTIFS(缺陷明细!$A$2:$A$50000,$B$4,缺陷明细!$G$2:$G$50000,$C26,缺陷明细!$AA$2:$AA$50000,"丢弃",缺陷明细!$J$2:$J$50000,"系统测试")+COUNTIFS(缺陷明细!$A$2:$A$50000,$B$4,缺陷明细!$G$2:$G$50000,$C26,缺陷明细!$AA$2:$AA$50000,"设计如此",缺陷明细!$J$2:$J$50000,"系统测试"+COUNTIFS(缺陷明细!$A$2:$A$50000,$B$4,缺陷明细!$G$2:$G$50000,$C26,缺陷明细!$AA$2:$AA$50000,"重复Bug",缺陷明细!$J$2:$J$50000,"系统测试"))</f>
        <v>0</v>
      </c>
      <c r="S26" s="72">
        <f>COUNTIFS(缺陷明细!$A$2:$A$50000,$B$4,缺陷明细!$G$2:$G$50000,$C26,缺陷明细!$J$2:$J$50000,"系统测试",缺陷明细!$K$2:$K$50000,"致命",缺陷明细!$AA$2:$AA$50000,"&lt;&gt;丢弃",缺陷明细!$AA$2:$AA$50000,"&lt;&gt;设计如此",缺陷明细!$AA$2:$AA$50000,"&lt;&gt;重复Bug")+COUNTIFS(缺陷明细!$A$2:$A$50000,$B$4,缺陷明细!$G$2:$G$50000,$C26,缺陷明细!$J$2:$J$50000,"系统测试",缺陷明细!$K$2:$K$50000,"严重",缺陷明细!$AA$2:$AA$50000,"&lt;&gt;丢弃",缺陷明细!$AA$2:$AA$50000,"&lt;&gt;设计如此",缺陷明细!$AA$2:$AA$50000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COUNTIFS(缺陷明细!$A$2:$A$50000,$B$4,缺陷明细!$G$2:$G$50000,$C26,缺陷明细!$J$2:$J$50000,"验收测试",缺陷明细!$AA$2:$AA$50000,"&lt;&gt;丢弃",缺陷明细!$AA$2:$AA$50000,"&lt;&gt;设计如此",缺陷明细!$AA$2:$AA$50000,"&lt;&gt;重复Bug")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A$2:$AA$50000,"&lt;&gt;丢弃",缺陷明细!$AA$2:$AA$50000,"&lt;&gt;设计如此",缺陷明细!$AA$2:$AA$50000,"&lt;&gt;重复Bug")+COUNTIFS(缺陷明细!$A$2:$A$50000,$B$4,缺陷明细!$G$2:$G$50000,$C26,缺陷明细!$J$2:$J$50000,"验收测试",缺陷明细!$K$2:$K$50000,"严重",缺陷明细!$AA$2:$AA$50000,"&lt;&gt;丢弃",缺陷明细!$AA$2:$AA$50000,"&lt;&gt;设计如此",缺陷明细!$AA$2:$AA$50000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COUNTIFS(缺陷明细!$A$2:$A$50000,$B$4,缺陷明细!$G$2:$G$50000,$C26,缺陷明细!$J$2:$J$50000,"运维测试",缺陷明细!$AA$2:$AA$50000,"&lt;&gt;丢弃",缺陷明细!$AA$2:$AA$50000,"&lt;&gt;设计如此",缺陷明细!$AA$2:$AA$50000,"&lt;&gt;重复Bug")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A$2:$AA$50000,"&lt;&gt;丢弃",缺陷明细!$AA$2:$AA$50000,"&lt;&gt;设计如此",缺陷明细!$AA$2:$AA$50000,"&lt;&gt;重复Bug")+COUNTIFS(缺陷明细!$A$2:$A$50000,$B$4,缺陷明细!$G$2:$G$50000,$C26,缺陷明细!$J$2:$J$50000,"运维测试",缺陷明细!$K$2:$K$50000,"严重",缺陷明细!$AA$2:$AA$50000,"&lt;&gt;丢弃",缺陷明细!$AA$2:$AA$50000,"&lt;&gt;设计如此",缺陷明细!$AA$2:$AA$50000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51"/>
    </row>
    <row r="27" spans="1:37">
      <c r="A27">
        <v>23</v>
      </c>
      <c r="B27" s="57"/>
      <c r="C27" s="58"/>
      <c r="D27" s="84"/>
      <c r="E27" s="82"/>
      <c r="F27" s="165"/>
      <c r="G27" s="166"/>
      <c r="H27" s="305">
        <f>COUNTIFS(缺陷明细!$A$2:$A$50000,$B$4,缺陷明细!$G$2:$G$50000,$C27,缺陷明细!$J$2:$J$50000,"评审",缺陷明细!$AA$2:$AA$50000,"&lt;&gt;丢弃",缺陷明细!$AA$2:$AA$50000,"&lt;&gt;设计如此",缺陷明细!$AA$2:$AA$50000,"&lt;&gt;重复Bug")</f>
        <v>0</v>
      </c>
      <c r="I27" s="161">
        <f>COUNTIFS(缺陷明细!$A$2:$A$50000,$B$4,缺陷明细!$G$2:$G$50000,$C27,缺陷明细!$Q$2:$Q$50000,"已关闭",缺陷明细!$J$2:$J$50000,"评审")</f>
        <v>0</v>
      </c>
      <c r="J27" s="161">
        <f>COUNTIFS(缺陷明细!$A$2:$A$50000,$B$4,缺陷明细!$G$2:$G$50000,$C27,缺陷明细!$J$2:$J$50000,"单元测试",缺陷明细!$AA$2:$AA$50000,"&lt;&gt;丢弃",缺陷明细!$AA$2:$AA$50000,"&lt;&gt;设计如此",缺陷明细!$AA$2:$AA$50000,"&lt;&gt;重复Bug")</f>
        <v>0</v>
      </c>
      <c r="K27" s="162">
        <f>COUNTIFS(缺陷明细!$A$2:$A$50000,$B$4,缺陷明细!$G$2:$G$50000,$C27,缺陷明细!$Q$2:$Q$50000,"已关闭",缺陷明细!$J$2:$J$50000,"单元测试")</f>
        <v>0</v>
      </c>
      <c r="L27" s="163"/>
      <c r="M27" s="164"/>
      <c r="N27" s="72">
        <f>COUNTIFS(缺陷明细!$A$2:$A$50000,$B$4,缺陷明细!$G$2:$G$50000,$C27,缺陷明细!$J$2:$J$50000,"系统测试案例评审",缺陷明细!$AA$2:$AA$50000,"&lt;&gt;丢弃",缺陷明细!$AA$2:$AA$50000,"&lt;&gt;设计如此",缺陷明细!$AA$2:$AA$50000,"&lt;&gt;重复Bug")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COUNTIFS(缺陷明细!$A$2:$A$50000,$B$4,缺陷明细!$G$2:$G$50000,$C27,缺陷明细!$J$2:$J$50000,"系统测试",缺陷明细!$AA$2:$AA$50000,"&lt;&gt;丢弃",缺陷明细!$AA$2:$AA$50000,"&lt;&gt;设计如此",缺陷明细!$AA$2:$AA$50000,"&lt;&gt;重复Bug")</f>
        <v>0</v>
      </c>
      <c r="Q27" s="72">
        <f>COUNTIFS(缺陷明细!$A$2:$A$50000,$B$4,缺陷明细!$G$2:$G$50000,$C27,缺陷明细!$Q$2:$Q$50000,"已关闭",缺陷明细!$J$2:$J$50000,"系统测试")</f>
        <v>0</v>
      </c>
      <c r="R27" s="72">
        <f>COUNTIFS(缺陷明细!$A$2:$A$50000,$B$4,缺陷明细!$G$2:$G$50000,$C27,缺陷明细!$AA$2:$AA$50000,"丢弃",缺陷明细!$J$2:$J$50000,"系统测试")+COUNTIFS(缺陷明细!$A$2:$A$50000,$B$4,缺陷明细!$G$2:$G$50000,$C27,缺陷明细!$AA$2:$AA$50000,"设计如此",缺陷明细!$J$2:$J$50000,"系统测试"+COUNTIFS(缺陷明细!$A$2:$A$50000,$B$4,缺陷明细!$G$2:$G$50000,$C27,缺陷明细!$AA$2:$AA$50000,"重复Bug",缺陷明细!$J$2:$J$50000,"系统测试"))</f>
        <v>0</v>
      </c>
      <c r="S27" s="72">
        <f>COUNTIFS(缺陷明细!$A$2:$A$50000,$B$4,缺陷明细!$G$2:$G$50000,$C27,缺陷明细!$J$2:$J$50000,"系统测试",缺陷明细!$K$2:$K$50000,"致命",缺陷明细!$AA$2:$AA$50000,"&lt;&gt;丢弃",缺陷明细!$AA$2:$AA$50000,"&lt;&gt;设计如此",缺陷明细!$AA$2:$AA$50000,"&lt;&gt;重复Bug")+COUNTIFS(缺陷明细!$A$2:$A$50000,$B$4,缺陷明细!$G$2:$G$50000,$C27,缺陷明细!$J$2:$J$50000,"系统测试",缺陷明细!$K$2:$K$50000,"严重",缺陷明细!$AA$2:$AA$50000,"&lt;&gt;丢弃",缺陷明细!$AA$2:$AA$50000,"&lt;&gt;设计如此",缺陷明细!$AA$2:$AA$50000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COUNTIFS(缺陷明细!$A$2:$A$50000,$B$4,缺陷明细!$G$2:$G$50000,$C27,缺陷明细!$J$2:$J$50000,"验收测试",缺陷明细!$AA$2:$AA$50000,"&lt;&gt;丢弃",缺陷明细!$AA$2:$AA$50000,"&lt;&gt;设计如此",缺陷明细!$AA$2:$AA$50000,"&lt;&gt;重复Bug")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A$2:$AA$50000,"&lt;&gt;丢弃",缺陷明细!$AA$2:$AA$50000,"&lt;&gt;设计如此",缺陷明细!$AA$2:$AA$50000,"&lt;&gt;重复Bug")+COUNTIFS(缺陷明细!$A$2:$A$50000,$B$4,缺陷明细!$G$2:$G$50000,$C27,缺陷明细!$J$2:$J$50000,"验收测试",缺陷明细!$K$2:$K$50000,"严重",缺陷明细!$AA$2:$AA$50000,"&lt;&gt;丢弃",缺陷明细!$AA$2:$AA$50000,"&lt;&gt;设计如此",缺陷明细!$AA$2:$AA$50000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COUNTIFS(缺陷明细!$A$2:$A$50000,$B$4,缺陷明细!$G$2:$G$50000,$C27,缺陷明细!$J$2:$J$50000,"运维测试",缺陷明细!$AA$2:$AA$50000,"&lt;&gt;丢弃",缺陷明细!$AA$2:$AA$50000,"&lt;&gt;设计如此",缺陷明细!$AA$2:$AA$50000,"&lt;&gt;重复Bug")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A$2:$AA$50000,"&lt;&gt;丢弃",缺陷明细!$AA$2:$AA$50000,"&lt;&gt;设计如此",缺陷明细!$AA$2:$AA$50000,"&lt;&gt;重复Bug")+COUNTIFS(缺陷明细!$A$2:$A$50000,$B$4,缺陷明细!$G$2:$G$50000,$C27,缺陷明细!$J$2:$J$50000,"运维测试",缺陷明细!$K$2:$K$50000,"严重",缺陷明细!$AA$2:$AA$50000,"&lt;&gt;丢弃",缺陷明细!$AA$2:$AA$50000,"&lt;&gt;设计如此",缺陷明细!$AA$2:$AA$50000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51"/>
    </row>
    <row r="28" spans="1:37">
      <c r="A28">
        <v>24</v>
      </c>
      <c r="B28" s="57"/>
      <c r="C28" s="58"/>
      <c r="D28" s="84"/>
      <c r="E28" s="82"/>
      <c r="F28" s="165"/>
      <c r="G28" s="166"/>
      <c r="H28" s="305">
        <f>COUNTIFS(缺陷明细!$A$2:$A$50000,$B$4,缺陷明细!$G$2:$G$50000,$C28,缺陷明细!$J$2:$J$50000,"评审",缺陷明细!$AA$2:$AA$50000,"&lt;&gt;丢弃",缺陷明细!$AA$2:$AA$50000,"&lt;&gt;设计如此",缺陷明细!$AA$2:$AA$50000,"&lt;&gt;重复Bug")</f>
        <v>0</v>
      </c>
      <c r="I28" s="161">
        <f>COUNTIFS(缺陷明细!$A$2:$A$50000,$B$4,缺陷明细!$G$2:$G$50000,$C28,缺陷明细!$Q$2:$Q$50000,"已关闭",缺陷明细!$J$2:$J$50000,"评审")</f>
        <v>0</v>
      </c>
      <c r="J28" s="161">
        <f>COUNTIFS(缺陷明细!$A$2:$A$50000,$B$4,缺陷明细!$G$2:$G$50000,$C28,缺陷明细!$J$2:$J$50000,"单元测试",缺陷明细!$AA$2:$AA$50000,"&lt;&gt;丢弃",缺陷明细!$AA$2:$AA$50000,"&lt;&gt;设计如此",缺陷明细!$AA$2:$AA$50000,"&lt;&gt;重复Bug")</f>
        <v>0</v>
      </c>
      <c r="K28" s="162">
        <f>COUNTIFS(缺陷明细!$A$2:$A$50000,$B$4,缺陷明细!$G$2:$G$50000,$C28,缺陷明细!$Q$2:$Q$50000,"已关闭",缺陷明细!$J$2:$J$50000,"单元测试")</f>
        <v>0</v>
      </c>
      <c r="L28" s="163"/>
      <c r="M28" s="164"/>
      <c r="N28" s="72">
        <f>COUNTIFS(缺陷明细!$A$2:$A$50000,$B$4,缺陷明细!$G$2:$G$50000,$C28,缺陷明细!$J$2:$J$50000,"系统测试案例评审",缺陷明细!$AA$2:$AA$50000,"&lt;&gt;丢弃",缺陷明细!$AA$2:$AA$50000,"&lt;&gt;设计如此",缺陷明细!$AA$2:$AA$50000,"&lt;&gt;重复Bug")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COUNTIFS(缺陷明细!$A$2:$A$50000,$B$4,缺陷明细!$G$2:$G$50000,$C28,缺陷明细!$J$2:$J$50000,"系统测试",缺陷明细!$AA$2:$AA$50000,"&lt;&gt;丢弃",缺陷明细!$AA$2:$AA$50000,"&lt;&gt;设计如此",缺陷明细!$AA$2:$AA$50000,"&lt;&gt;重复Bug")</f>
        <v>0</v>
      </c>
      <c r="Q28" s="72">
        <f>COUNTIFS(缺陷明细!$A$2:$A$50000,$B$4,缺陷明细!$G$2:$G$50000,$C28,缺陷明细!$Q$2:$Q$50000,"已关闭",缺陷明细!$J$2:$J$50000,"系统测试")</f>
        <v>0</v>
      </c>
      <c r="R28" s="72">
        <f>COUNTIFS(缺陷明细!$A$2:$A$50000,$B$4,缺陷明细!$G$2:$G$50000,$C28,缺陷明细!$AA$2:$AA$50000,"丢弃",缺陷明细!$J$2:$J$50000,"系统测试")+COUNTIFS(缺陷明细!$A$2:$A$50000,$B$4,缺陷明细!$G$2:$G$50000,$C28,缺陷明细!$AA$2:$AA$50000,"设计如此",缺陷明细!$J$2:$J$50000,"系统测试"+COUNTIFS(缺陷明细!$A$2:$A$50000,$B$4,缺陷明细!$G$2:$G$50000,$C28,缺陷明细!$AA$2:$AA$50000,"重复Bug",缺陷明细!$J$2:$J$50000,"系统测试"))</f>
        <v>0</v>
      </c>
      <c r="S28" s="72">
        <f>COUNTIFS(缺陷明细!$A$2:$A$50000,$B$4,缺陷明细!$G$2:$G$50000,$C28,缺陷明细!$J$2:$J$50000,"系统测试",缺陷明细!$K$2:$K$50000,"致命",缺陷明细!$AA$2:$AA$50000,"&lt;&gt;丢弃",缺陷明细!$AA$2:$AA$50000,"&lt;&gt;设计如此",缺陷明细!$AA$2:$AA$50000,"&lt;&gt;重复Bug")+COUNTIFS(缺陷明细!$A$2:$A$50000,$B$4,缺陷明细!$G$2:$G$50000,$C28,缺陷明细!$J$2:$J$50000,"系统测试",缺陷明细!$K$2:$K$50000,"严重",缺陷明细!$AA$2:$AA$50000,"&lt;&gt;丢弃",缺陷明细!$AA$2:$AA$50000,"&lt;&gt;设计如此",缺陷明细!$AA$2:$AA$50000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COUNTIFS(缺陷明细!$A$2:$A$50000,$B$4,缺陷明细!$G$2:$G$50000,$C28,缺陷明细!$J$2:$J$50000,"验收测试",缺陷明细!$AA$2:$AA$50000,"&lt;&gt;丢弃",缺陷明细!$AA$2:$AA$50000,"&lt;&gt;设计如此",缺陷明细!$AA$2:$AA$50000,"&lt;&gt;重复Bug")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A$2:$AA$50000,"&lt;&gt;丢弃",缺陷明细!$AA$2:$AA$50000,"&lt;&gt;设计如此",缺陷明细!$AA$2:$AA$50000,"&lt;&gt;重复Bug")+COUNTIFS(缺陷明细!$A$2:$A$50000,$B$4,缺陷明细!$G$2:$G$50000,$C28,缺陷明细!$J$2:$J$50000,"验收测试",缺陷明细!$K$2:$K$50000,"严重",缺陷明细!$AA$2:$AA$50000,"&lt;&gt;丢弃",缺陷明细!$AA$2:$AA$50000,"&lt;&gt;设计如此",缺陷明细!$AA$2:$AA$50000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COUNTIFS(缺陷明细!$A$2:$A$50000,$B$4,缺陷明细!$G$2:$G$50000,$C28,缺陷明细!$J$2:$J$50000,"运维测试",缺陷明细!$AA$2:$AA$50000,"&lt;&gt;丢弃",缺陷明细!$AA$2:$AA$50000,"&lt;&gt;设计如此",缺陷明细!$AA$2:$AA$50000,"&lt;&gt;重复Bug")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A$2:$AA$50000,"&lt;&gt;丢弃",缺陷明细!$AA$2:$AA$50000,"&lt;&gt;设计如此",缺陷明细!$AA$2:$AA$50000,"&lt;&gt;重复Bug")+COUNTIFS(缺陷明细!$A$2:$A$50000,$B$4,缺陷明细!$G$2:$G$50000,$C28,缺陷明细!$J$2:$J$50000,"运维测试",缺陷明细!$K$2:$K$50000,"严重",缺陷明细!$AA$2:$AA$50000,"&lt;&gt;丢弃",缺陷明细!$AA$2:$AA$50000,"&lt;&gt;设计如此",缺陷明细!$AA$2:$AA$50000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51"/>
    </row>
    <row r="29" spans="1:37">
      <c r="A29">
        <v>25</v>
      </c>
      <c r="B29" s="57"/>
      <c r="C29" s="58"/>
      <c r="D29" s="84"/>
      <c r="E29" s="82"/>
      <c r="F29" s="165"/>
      <c r="G29" s="166"/>
      <c r="H29" s="305">
        <f>COUNTIFS(缺陷明细!$A$2:$A$50000,$B$4,缺陷明细!$G$2:$G$50000,$C29,缺陷明细!$J$2:$J$50000,"评审",缺陷明细!$AA$2:$AA$50000,"&lt;&gt;丢弃",缺陷明细!$AA$2:$AA$50000,"&lt;&gt;设计如此",缺陷明细!$AA$2:$AA$50000,"&lt;&gt;重复Bug")</f>
        <v>0</v>
      </c>
      <c r="I29" s="161">
        <f>COUNTIFS(缺陷明细!$A$2:$A$50000,$B$4,缺陷明细!$G$2:$G$50000,$C29,缺陷明细!$Q$2:$Q$50000,"已关闭",缺陷明细!$J$2:$J$50000,"评审")</f>
        <v>0</v>
      </c>
      <c r="J29" s="161">
        <f>COUNTIFS(缺陷明细!$A$2:$A$50000,$B$4,缺陷明细!$G$2:$G$50000,$C29,缺陷明细!$J$2:$J$50000,"单元测试",缺陷明细!$AA$2:$AA$50000,"&lt;&gt;丢弃",缺陷明细!$AA$2:$AA$50000,"&lt;&gt;设计如此",缺陷明细!$AA$2:$AA$50000,"&lt;&gt;重复Bug")</f>
        <v>0</v>
      </c>
      <c r="K29" s="162">
        <f>COUNTIFS(缺陷明细!$A$2:$A$50000,$B$4,缺陷明细!$G$2:$G$50000,$C29,缺陷明细!$Q$2:$Q$50000,"已关闭",缺陷明细!$J$2:$J$50000,"单元测试")</f>
        <v>0</v>
      </c>
      <c r="L29" s="163"/>
      <c r="M29" s="164"/>
      <c r="N29" s="72">
        <f>COUNTIFS(缺陷明细!$A$2:$A$50000,$B$4,缺陷明细!$G$2:$G$50000,$C29,缺陷明细!$J$2:$J$50000,"系统测试案例评审",缺陷明细!$AA$2:$AA$50000,"&lt;&gt;丢弃",缺陷明细!$AA$2:$AA$50000,"&lt;&gt;设计如此",缺陷明细!$AA$2:$AA$50000,"&lt;&gt;重复Bug")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COUNTIFS(缺陷明细!$A$2:$A$50000,$B$4,缺陷明细!$G$2:$G$50000,$C29,缺陷明细!$J$2:$J$50000,"系统测试",缺陷明细!$AA$2:$AA$50000,"&lt;&gt;丢弃",缺陷明细!$AA$2:$AA$50000,"&lt;&gt;设计如此",缺陷明细!$AA$2:$AA$50000,"&lt;&gt;重复Bug")</f>
        <v>0</v>
      </c>
      <c r="Q29" s="72">
        <f>COUNTIFS(缺陷明细!$A$2:$A$50000,$B$4,缺陷明细!$G$2:$G$50000,$C29,缺陷明细!$Q$2:$Q$50000,"已关闭",缺陷明细!$J$2:$J$50000,"系统测试")</f>
        <v>0</v>
      </c>
      <c r="R29" s="72">
        <f>COUNTIFS(缺陷明细!$A$2:$A$50000,$B$4,缺陷明细!$G$2:$G$50000,$C29,缺陷明细!$AA$2:$AA$50000,"丢弃",缺陷明细!$J$2:$J$50000,"系统测试")+COUNTIFS(缺陷明细!$A$2:$A$50000,$B$4,缺陷明细!$G$2:$G$50000,$C29,缺陷明细!$AA$2:$AA$50000,"设计如此",缺陷明细!$J$2:$J$50000,"系统测试"+COUNTIFS(缺陷明细!$A$2:$A$50000,$B$4,缺陷明细!$G$2:$G$50000,$C29,缺陷明细!$AA$2:$AA$50000,"重复Bug",缺陷明细!$J$2:$J$50000,"系统测试"))</f>
        <v>0</v>
      </c>
      <c r="S29" s="72">
        <f>COUNTIFS(缺陷明细!$A$2:$A$50000,$B$4,缺陷明细!$G$2:$G$50000,$C29,缺陷明细!$J$2:$J$50000,"系统测试",缺陷明细!$K$2:$K$50000,"致命",缺陷明细!$AA$2:$AA$50000,"&lt;&gt;丢弃",缺陷明细!$AA$2:$AA$50000,"&lt;&gt;设计如此",缺陷明细!$AA$2:$AA$50000,"&lt;&gt;重复Bug")+COUNTIFS(缺陷明细!$A$2:$A$50000,$B$4,缺陷明细!$G$2:$G$50000,$C29,缺陷明细!$J$2:$J$50000,"系统测试",缺陷明细!$K$2:$K$50000,"严重",缺陷明细!$AA$2:$AA$50000,"&lt;&gt;丢弃",缺陷明细!$AA$2:$AA$50000,"&lt;&gt;设计如此",缺陷明细!$AA$2:$AA$50000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COUNTIFS(缺陷明细!$A$2:$A$50000,$B$4,缺陷明细!$G$2:$G$50000,$C29,缺陷明细!$J$2:$J$50000,"验收测试",缺陷明细!$AA$2:$AA$50000,"&lt;&gt;丢弃",缺陷明细!$AA$2:$AA$50000,"&lt;&gt;设计如此",缺陷明细!$AA$2:$AA$50000,"&lt;&gt;重复Bug")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A$2:$AA$50000,"&lt;&gt;丢弃",缺陷明细!$AA$2:$AA$50000,"&lt;&gt;设计如此",缺陷明细!$AA$2:$AA$50000,"&lt;&gt;重复Bug")+COUNTIFS(缺陷明细!$A$2:$A$50000,$B$4,缺陷明细!$G$2:$G$50000,$C29,缺陷明细!$J$2:$J$50000,"验收测试",缺陷明细!$K$2:$K$50000,"严重",缺陷明细!$AA$2:$AA$50000,"&lt;&gt;丢弃",缺陷明细!$AA$2:$AA$50000,"&lt;&gt;设计如此",缺陷明细!$AA$2:$AA$50000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COUNTIFS(缺陷明细!$A$2:$A$50000,$B$4,缺陷明细!$G$2:$G$50000,$C29,缺陷明细!$J$2:$J$50000,"运维测试",缺陷明细!$AA$2:$AA$50000,"&lt;&gt;丢弃",缺陷明细!$AA$2:$AA$50000,"&lt;&gt;设计如此",缺陷明细!$AA$2:$AA$50000,"&lt;&gt;重复Bug")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A$2:$AA$50000,"&lt;&gt;丢弃",缺陷明细!$AA$2:$AA$50000,"&lt;&gt;设计如此",缺陷明细!$AA$2:$AA$50000,"&lt;&gt;重复Bug")+COUNTIFS(缺陷明细!$A$2:$A$50000,$B$4,缺陷明细!$G$2:$G$50000,$C29,缺陷明细!$J$2:$J$50000,"运维测试",缺陷明细!$K$2:$K$50000,"严重",缺陷明细!$AA$2:$AA$50000,"&lt;&gt;丢弃",缺陷明细!$AA$2:$AA$50000,"&lt;&gt;设计如此",缺陷明细!$AA$2:$AA$50000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51"/>
    </row>
    <row r="30" spans="1:37">
      <c r="A30">
        <v>26</v>
      </c>
      <c r="B30" s="57"/>
      <c r="C30" s="58"/>
      <c r="D30" s="84"/>
      <c r="E30" s="82"/>
      <c r="F30" s="165"/>
      <c r="G30" s="166"/>
      <c r="H30" s="305">
        <f>COUNTIFS(缺陷明细!$A$2:$A$50000,$B$4,缺陷明细!$G$2:$G$50000,$C30,缺陷明细!$J$2:$J$50000,"评审",缺陷明细!$AA$2:$AA$50000,"&lt;&gt;丢弃",缺陷明细!$AA$2:$AA$50000,"&lt;&gt;设计如此",缺陷明细!$AA$2:$AA$50000,"&lt;&gt;重复Bug")</f>
        <v>0</v>
      </c>
      <c r="I30" s="161">
        <f>COUNTIFS(缺陷明细!$A$2:$A$50000,$B$4,缺陷明细!$G$2:$G$50000,$C30,缺陷明细!$Q$2:$Q$50000,"已关闭",缺陷明细!$J$2:$J$50000,"评审")</f>
        <v>0</v>
      </c>
      <c r="J30" s="161">
        <f>COUNTIFS(缺陷明细!$A$2:$A$50000,$B$4,缺陷明细!$G$2:$G$50000,$C30,缺陷明细!$J$2:$J$50000,"单元测试",缺陷明细!$AA$2:$AA$50000,"&lt;&gt;丢弃",缺陷明细!$AA$2:$AA$50000,"&lt;&gt;设计如此",缺陷明细!$AA$2:$AA$50000,"&lt;&gt;重复Bug")</f>
        <v>0</v>
      </c>
      <c r="K30" s="162">
        <f>COUNTIFS(缺陷明细!$A$2:$A$50000,$B$4,缺陷明细!$G$2:$G$50000,$C30,缺陷明细!$Q$2:$Q$50000,"已关闭",缺陷明细!$J$2:$J$50000,"单元测试")</f>
        <v>0</v>
      </c>
      <c r="L30" s="163"/>
      <c r="M30" s="164"/>
      <c r="N30" s="72">
        <f>COUNTIFS(缺陷明细!$A$2:$A$50000,$B$4,缺陷明细!$G$2:$G$50000,$C30,缺陷明细!$J$2:$J$50000,"系统测试案例评审",缺陷明细!$AA$2:$AA$50000,"&lt;&gt;丢弃",缺陷明细!$AA$2:$AA$50000,"&lt;&gt;设计如此",缺陷明细!$AA$2:$AA$50000,"&lt;&gt;重复Bug")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COUNTIFS(缺陷明细!$A$2:$A$50000,$B$4,缺陷明细!$G$2:$G$50000,$C30,缺陷明细!$J$2:$J$50000,"系统测试",缺陷明细!$AA$2:$AA$50000,"&lt;&gt;丢弃",缺陷明细!$AA$2:$AA$50000,"&lt;&gt;设计如此",缺陷明细!$AA$2:$AA$50000,"&lt;&gt;重复Bug")</f>
        <v>0</v>
      </c>
      <c r="Q30" s="72">
        <f>COUNTIFS(缺陷明细!$A$2:$A$50000,$B$4,缺陷明细!$G$2:$G$50000,$C30,缺陷明细!$Q$2:$Q$50000,"已关闭",缺陷明细!$J$2:$J$50000,"系统测试")</f>
        <v>0</v>
      </c>
      <c r="R30" s="72">
        <f>COUNTIFS(缺陷明细!$A$2:$A$50000,$B$4,缺陷明细!$G$2:$G$50000,$C30,缺陷明细!$AA$2:$AA$50000,"丢弃",缺陷明细!$J$2:$J$50000,"系统测试")+COUNTIFS(缺陷明细!$A$2:$A$50000,$B$4,缺陷明细!$G$2:$G$50000,$C30,缺陷明细!$AA$2:$AA$50000,"设计如此",缺陷明细!$J$2:$J$50000,"系统测试"+COUNTIFS(缺陷明细!$A$2:$A$50000,$B$4,缺陷明细!$G$2:$G$50000,$C30,缺陷明细!$AA$2:$AA$50000,"重复Bug",缺陷明细!$J$2:$J$50000,"系统测试"))</f>
        <v>0</v>
      </c>
      <c r="S30" s="72">
        <f>COUNTIFS(缺陷明细!$A$2:$A$50000,$B$4,缺陷明细!$G$2:$G$50000,$C30,缺陷明细!$J$2:$J$50000,"系统测试",缺陷明细!$K$2:$K$50000,"致命",缺陷明细!$AA$2:$AA$50000,"&lt;&gt;丢弃",缺陷明细!$AA$2:$AA$50000,"&lt;&gt;设计如此",缺陷明细!$AA$2:$AA$50000,"&lt;&gt;重复Bug")+COUNTIFS(缺陷明细!$A$2:$A$50000,$B$4,缺陷明细!$G$2:$G$50000,$C30,缺陷明细!$J$2:$J$50000,"系统测试",缺陷明细!$K$2:$K$50000,"严重",缺陷明细!$AA$2:$AA$50000,"&lt;&gt;丢弃",缺陷明细!$AA$2:$AA$50000,"&lt;&gt;设计如此",缺陷明细!$AA$2:$AA$50000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COUNTIFS(缺陷明细!$A$2:$A$50000,$B$4,缺陷明细!$G$2:$G$50000,$C30,缺陷明细!$J$2:$J$50000,"验收测试",缺陷明细!$AA$2:$AA$50000,"&lt;&gt;丢弃",缺陷明细!$AA$2:$AA$50000,"&lt;&gt;设计如此",缺陷明细!$AA$2:$AA$50000,"&lt;&gt;重复Bug")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A$2:$AA$50000,"&lt;&gt;丢弃",缺陷明细!$AA$2:$AA$50000,"&lt;&gt;设计如此",缺陷明细!$AA$2:$AA$50000,"&lt;&gt;重复Bug")+COUNTIFS(缺陷明细!$A$2:$A$50000,$B$4,缺陷明细!$G$2:$G$50000,$C30,缺陷明细!$J$2:$J$50000,"验收测试",缺陷明细!$K$2:$K$50000,"严重",缺陷明细!$AA$2:$AA$50000,"&lt;&gt;丢弃",缺陷明细!$AA$2:$AA$50000,"&lt;&gt;设计如此",缺陷明细!$AA$2:$AA$50000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COUNTIFS(缺陷明细!$A$2:$A$50000,$B$4,缺陷明细!$G$2:$G$50000,$C30,缺陷明细!$J$2:$J$50000,"运维测试",缺陷明细!$AA$2:$AA$50000,"&lt;&gt;丢弃",缺陷明细!$AA$2:$AA$50000,"&lt;&gt;设计如此",缺陷明细!$AA$2:$AA$50000,"&lt;&gt;重复Bug")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A$2:$AA$50000,"&lt;&gt;丢弃",缺陷明细!$AA$2:$AA$50000,"&lt;&gt;设计如此",缺陷明细!$AA$2:$AA$50000,"&lt;&gt;重复Bug")+COUNTIFS(缺陷明细!$A$2:$A$50000,$B$4,缺陷明细!$G$2:$G$50000,$C30,缺陷明细!$J$2:$J$50000,"运维测试",缺陷明细!$K$2:$K$50000,"严重",缺陷明细!$AA$2:$AA$50000,"&lt;&gt;丢弃",缺陷明细!$AA$2:$AA$50000,"&lt;&gt;设计如此",缺陷明细!$AA$2:$AA$50000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51"/>
    </row>
    <row r="31" spans="1:37">
      <c r="A31">
        <v>27</v>
      </c>
      <c r="B31" s="57"/>
      <c r="C31" s="58"/>
      <c r="D31" s="84"/>
      <c r="E31" s="82"/>
      <c r="F31" s="165"/>
      <c r="G31" s="166"/>
      <c r="H31" s="305">
        <f>COUNTIFS(缺陷明细!$A$2:$A$50000,$B$4,缺陷明细!$G$2:$G$50000,$C31,缺陷明细!$J$2:$J$50000,"评审",缺陷明细!$AA$2:$AA$50000,"&lt;&gt;丢弃",缺陷明细!$AA$2:$AA$50000,"&lt;&gt;设计如此",缺陷明细!$AA$2:$AA$50000,"&lt;&gt;重复Bug")</f>
        <v>0</v>
      </c>
      <c r="I31" s="161">
        <f>COUNTIFS(缺陷明细!$A$2:$A$50000,$B$4,缺陷明细!$G$2:$G$50000,$C31,缺陷明细!$Q$2:$Q$50000,"已关闭",缺陷明细!$J$2:$J$50000,"评审")</f>
        <v>0</v>
      </c>
      <c r="J31" s="161">
        <f>COUNTIFS(缺陷明细!$A$2:$A$50000,$B$4,缺陷明细!$G$2:$G$50000,$C31,缺陷明细!$J$2:$J$50000,"单元测试",缺陷明细!$AA$2:$AA$50000,"&lt;&gt;丢弃",缺陷明细!$AA$2:$AA$50000,"&lt;&gt;设计如此",缺陷明细!$AA$2:$AA$50000,"&lt;&gt;重复Bug")</f>
        <v>0</v>
      </c>
      <c r="K31" s="162">
        <f>COUNTIFS(缺陷明细!$A$2:$A$50000,$B$4,缺陷明细!$G$2:$G$50000,$C31,缺陷明细!$Q$2:$Q$50000,"已关闭",缺陷明细!$J$2:$J$50000,"单元测试")</f>
        <v>0</v>
      </c>
      <c r="L31" s="163"/>
      <c r="M31" s="164"/>
      <c r="N31" s="72">
        <f>COUNTIFS(缺陷明细!$A$2:$A$50000,$B$4,缺陷明细!$G$2:$G$50000,$C31,缺陷明细!$J$2:$J$50000,"系统测试案例评审",缺陷明细!$AA$2:$AA$50000,"&lt;&gt;丢弃",缺陷明细!$AA$2:$AA$50000,"&lt;&gt;设计如此",缺陷明细!$AA$2:$AA$50000,"&lt;&gt;重复Bug")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COUNTIFS(缺陷明细!$A$2:$A$50000,$B$4,缺陷明细!$G$2:$G$50000,$C31,缺陷明细!$J$2:$J$50000,"系统测试",缺陷明细!$AA$2:$AA$50000,"&lt;&gt;丢弃",缺陷明细!$AA$2:$AA$50000,"&lt;&gt;设计如此",缺陷明细!$AA$2:$AA$50000,"&lt;&gt;重复Bug")</f>
        <v>0</v>
      </c>
      <c r="Q31" s="72">
        <f>COUNTIFS(缺陷明细!$A$2:$A$50000,$B$4,缺陷明细!$G$2:$G$50000,$C31,缺陷明细!$Q$2:$Q$50000,"已关闭",缺陷明细!$J$2:$J$50000,"系统测试")</f>
        <v>0</v>
      </c>
      <c r="R31" s="72">
        <f>COUNTIFS(缺陷明细!$A$2:$A$50000,$B$4,缺陷明细!$G$2:$G$50000,$C31,缺陷明细!$AA$2:$AA$50000,"丢弃",缺陷明细!$J$2:$J$50000,"系统测试")+COUNTIFS(缺陷明细!$A$2:$A$50000,$B$4,缺陷明细!$G$2:$G$50000,$C31,缺陷明细!$AA$2:$AA$50000,"设计如此",缺陷明细!$J$2:$J$50000,"系统测试"+COUNTIFS(缺陷明细!$A$2:$A$50000,$B$4,缺陷明细!$G$2:$G$50000,$C31,缺陷明细!$AA$2:$AA$50000,"重复Bug",缺陷明细!$J$2:$J$50000,"系统测试"))</f>
        <v>0</v>
      </c>
      <c r="S31" s="72">
        <f>COUNTIFS(缺陷明细!$A$2:$A$50000,$B$4,缺陷明细!$G$2:$G$50000,$C31,缺陷明细!$J$2:$J$50000,"系统测试",缺陷明细!$K$2:$K$50000,"致命",缺陷明细!$AA$2:$AA$50000,"&lt;&gt;丢弃",缺陷明细!$AA$2:$AA$50000,"&lt;&gt;设计如此",缺陷明细!$AA$2:$AA$50000,"&lt;&gt;重复Bug")+COUNTIFS(缺陷明细!$A$2:$A$50000,$B$4,缺陷明细!$G$2:$G$50000,$C31,缺陷明细!$J$2:$J$50000,"系统测试",缺陷明细!$K$2:$K$50000,"严重",缺陷明细!$AA$2:$AA$50000,"&lt;&gt;丢弃",缺陷明细!$AA$2:$AA$50000,"&lt;&gt;设计如此",缺陷明细!$AA$2:$AA$50000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COUNTIFS(缺陷明细!$A$2:$A$50000,$B$4,缺陷明细!$G$2:$G$50000,$C31,缺陷明细!$J$2:$J$50000,"验收测试",缺陷明细!$AA$2:$AA$50000,"&lt;&gt;丢弃",缺陷明细!$AA$2:$AA$50000,"&lt;&gt;设计如此",缺陷明细!$AA$2:$AA$50000,"&lt;&gt;重复Bug")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A$2:$AA$50000,"&lt;&gt;丢弃",缺陷明细!$AA$2:$AA$50000,"&lt;&gt;设计如此",缺陷明细!$AA$2:$AA$50000,"&lt;&gt;重复Bug")+COUNTIFS(缺陷明细!$A$2:$A$50000,$B$4,缺陷明细!$G$2:$G$50000,$C31,缺陷明细!$J$2:$J$50000,"验收测试",缺陷明细!$K$2:$K$50000,"严重",缺陷明细!$AA$2:$AA$50000,"&lt;&gt;丢弃",缺陷明细!$AA$2:$AA$50000,"&lt;&gt;设计如此",缺陷明细!$AA$2:$AA$50000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COUNTIFS(缺陷明细!$A$2:$A$50000,$B$4,缺陷明细!$G$2:$G$50000,$C31,缺陷明细!$J$2:$J$50000,"运维测试",缺陷明细!$AA$2:$AA$50000,"&lt;&gt;丢弃",缺陷明细!$AA$2:$AA$50000,"&lt;&gt;设计如此",缺陷明细!$AA$2:$AA$50000,"&lt;&gt;重复Bug")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A$2:$AA$50000,"&lt;&gt;丢弃",缺陷明细!$AA$2:$AA$50000,"&lt;&gt;设计如此",缺陷明细!$AA$2:$AA$50000,"&lt;&gt;重复Bug")+COUNTIFS(缺陷明细!$A$2:$A$50000,$B$4,缺陷明细!$G$2:$G$50000,$C31,缺陷明细!$J$2:$J$50000,"运维测试",缺陷明细!$K$2:$K$50000,"严重",缺陷明细!$AA$2:$AA$50000,"&lt;&gt;丢弃",缺陷明细!$AA$2:$AA$50000,"&lt;&gt;设计如此",缺陷明细!$AA$2:$AA$50000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51"/>
    </row>
    <row r="32" spans="1:37">
      <c r="A32">
        <v>28</v>
      </c>
      <c r="B32" s="57"/>
      <c r="C32" s="58"/>
      <c r="D32" s="84"/>
      <c r="E32" s="82"/>
      <c r="F32" s="165"/>
      <c r="G32" s="166"/>
      <c r="H32" s="305">
        <f>COUNTIFS(缺陷明细!$A$2:$A$50000,$B$4,缺陷明细!$G$2:$G$50000,$C32,缺陷明细!$J$2:$J$50000,"评审",缺陷明细!$AA$2:$AA$50000,"&lt;&gt;丢弃",缺陷明细!$AA$2:$AA$50000,"&lt;&gt;设计如此",缺陷明细!$AA$2:$AA$50000,"&lt;&gt;重复Bug")</f>
        <v>0</v>
      </c>
      <c r="I32" s="161">
        <f>COUNTIFS(缺陷明细!$A$2:$A$50000,$B$4,缺陷明细!$G$2:$G$50000,$C32,缺陷明细!$Q$2:$Q$50000,"已关闭",缺陷明细!$J$2:$J$50000,"评审")</f>
        <v>0</v>
      </c>
      <c r="J32" s="161">
        <f>COUNTIFS(缺陷明细!$A$2:$A$50000,$B$4,缺陷明细!$G$2:$G$50000,$C32,缺陷明细!$J$2:$J$50000,"单元测试",缺陷明细!$AA$2:$AA$50000,"&lt;&gt;丢弃",缺陷明细!$AA$2:$AA$50000,"&lt;&gt;设计如此",缺陷明细!$AA$2:$AA$50000,"&lt;&gt;重复Bug")</f>
        <v>0</v>
      </c>
      <c r="K32" s="162">
        <f>COUNTIFS(缺陷明细!$A$2:$A$50000,$B$4,缺陷明细!$G$2:$G$50000,$C32,缺陷明细!$Q$2:$Q$50000,"已关闭",缺陷明细!$J$2:$J$50000,"单元测试")</f>
        <v>0</v>
      </c>
      <c r="L32" s="163"/>
      <c r="M32" s="164"/>
      <c r="N32" s="72">
        <f>COUNTIFS(缺陷明细!$A$2:$A$50000,$B$4,缺陷明细!$G$2:$G$50000,$C32,缺陷明细!$J$2:$J$50000,"系统测试案例评审",缺陷明细!$AA$2:$AA$50000,"&lt;&gt;丢弃",缺陷明细!$AA$2:$AA$50000,"&lt;&gt;设计如此",缺陷明细!$AA$2:$AA$50000,"&lt;&gt;重复Bug")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COUNTIFS(缺陷明细!$A$2:$A$50000,$B$4,缺陷明细!$G$2:$G$50000,$C32,缺陷明细!$J$2:$J$50000,"系统测试",缺陷明细!$AA$2:$AA$50000,"&lt;&gt;丢弃",缺陷明细!$AA$2:$AA$50000,"&lt;&gt;设计如此",缺陷明细!$AA$2:$AA$50000,"&lt;&gt;重复Bug")</f>
        <v>0</v>
      </c>
      <c r="Q32" s="72">
        <f>COUNTIFS(缺陷明细!$A$2:$A$50000,$B$4,缺陷明细!$G$2:$G$50000,$C32,缺陷明细!$Q$2:$Q$50000,"已关闭",缺陷明细!$J$2:$J$50000,"系统测试")</f>
        <v>0</v>
      </c>
      <c r="R32" s="72">
        <f>COUNTIFS(缺陷明细!$A$2:$A$50000,$B$4,缺陷明细!$G$2:$G$50000,$C32,缺陷明细!$AA$2:$AA$50000,"丢弃",缺陷明细!$J$2:$J$50000,"系统测试")+COUNTIFS(缺陷明细!$A$2:$A$50000,$B$4,缺陷明细!$G$2:$G$50000,$C32,缺陷明细!$AA$2:$AA$50000,"设计如此",缺陷明细!$J$2:$J$50000,"系统测试"+COUNTIFS(缺陷明细!$A$2:$A$50000,$B$4,缺陷明细!$G$2:$G$50000,$C32,缺陷明细!$AA$2:$AA$50000,"重复Bug",缺陷明细!$J$2:$J$50000,"系统测试"))</f>
        <v>0</v>
      </c>
      <c r="S32" s="72">
        <f>COUNTIFS(缺陷明细!$A$2:$A$50000,$B$4,缺陷明细!$G$2:$G$50000,$C32,缺陷明细!$J$2:$J$50000,"系统测试",缺陷明细!$K$2:$K$50000,"致命",缺陷明细!$AA$2:$AA$50000,"&lt;&gt;丢弃",缺陷明细!$AA$2:$AA$50000,"&lt;&gt;设计如此",缺陷明细!$AA$2:$AA$50000,"&lt;&gt;重复Bug")+COUNTIFS(缺陷明细!$A$2:$A$50000,$B$4,缺陷明细!$G$2:$G$50000,$C32,缺陷明细!$J$2:$J$50000,"系统测试",缺陷明细!$K$2:$K$50000,"严重",缺陷明细!$AA$2:$AA$50000,"&lt;&gt;丢弃",缺陷明细!$AA$2:$AA$50000,"&lt;&gt;设计如此",缺陷明细!$AA$2:$AA$50000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COUNTIFS(缺陷明细!$A$2:$A$50000,$B$4,缺陷明细!$G$2:$G$50000,$C32,缺陷明细!$J$2:$J$50000,"验收测试",缺陷明细!$AA$2:$AA$50000,"&lt;&gt;丢弃",缺陷明细!$AA$2:$AA$50000,"&lt;&gt;设计如此",缺陷明细!$AA$2:$AA$50000,"&lt;&gt;重复Bug")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A$2:$AA$50000,"&lt;&gt;丢弃",缺陷明细!$AA$2:$AA$50000,"&lt;&gt;设计如此",缺陷明细!$AA$2:$AA$50000,"&lt;&gt;重复Bug")+COUNTIFS(缺陷明细!$A$2:$A$50000,$B$4,缺陷明细!$G$2:$G$50000,$C32,缺陷明细!$J$2:$J$50000,"验收测试",缺陷明细!$K$2:$K$50000,"严重",缺陷明细!$AA$2:$AA$50000,"&lt;&gt;丢弃",缺陷明细!$AA$2:$AA$50000,"&lt;&gt;设计如此",缺陷明细!$AA$2:$AA$50000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COUNTIFS(缺陷明细!$A$2:$A$50000,$B$4,缺陷明细!$G$2:$G$50000,$C32,缺陷明细!$J$2:$J$50000,"运维测试",缺陷明细!$AA$2:$AA$50000,"&lt;&gt;丢弃",缺陷明细!$AA$2:$AA$50000,"&lt;&gt;设计如此",缺陷明细!$AA$2:$AA$50000,"&lt;&gt;重复Bug")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A$2:$AA$50000,"&lt;&gt;丢弃",缺陷明细!$AA$2:$AA$50000,"&lt;&gt;设计如此",缺陷明细!$AA$2:$AA$50000,"&lt;&gt;重复Bug")+COUNTIFS(缺陷明细!$A$2:$A$50000,$B$4,缺陷明细!$G$2:$G$50000,$C32,缺陷明细!$J$2:$J$50000,"运维测试",缺陷明细!$K$2:$K$50000,"严重",缺陷明细!$AA$2:$AA$50000,"&lt;&gt;丢弃",缺陷明细!$AA$2:$AA$50000,"&lt;&gt;设计如此",缺陷明细!$AA$2:$AA$50000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51"/>
    </row>
    <row r="33" spans="1:37">
      <c r="A33">
        <v>29</v>
      </c>
      <c r="B33" s="57"/>
      <c r="C33" s="58"/>
      <c r="D33" s="84"/>
      <c r="E33" s="82"/>
      <c r="F33" s="165"/>
      <c r="G33" s="166"/>
      <c r="H33" s="305">
        <f>COUNTIFS(缺陷明细!$A$2:$A$50000,$B$4,缺陷明细!$G$2:$G$50000,$C33,缺陷明细!$J$2:$J$50000,"评审",缺陷明细!$AA$2:$AA$50000,"&lt;&gt;丢弃",缺陷明细!$AA$2:$AA$50000,"&lt;&gt;设计如此",缺陷明细!$AA$2:$AA$50000,"&lt;&gt;重复Bug")</f>
        <v>0</v>
      </c>
      <c r="I33" s="161">
        <f>COUNTIFS(缺陷明细!$A$2:$A$50000,$B$4,缺陷明细!$G$2:$G$50000,$C33,缺陷明细!$Q$2:$Q$50000,"已关闭",缺陷明细!$J$2:$J$50000,"评审")</f>
        <v>0</v>
      </c>
      <c r="J33" s="161">
        <f>COUNTIFS(缺陷明细!$A$2:$A$50000,$B$4,缺陷明细!$G$2:$G$50000,$C33,缺陷明细!$J$2:$J$50000,"单元测试",缺陷明细!$AA$2:$AA$50000,"&lt;&gt;丢弃",缺陷明细!$AA$2:$AA$50000,"&lt;&gt;设计如此",缺陷明细!$AA$2:$AA$50000,"&lt;&gt;重复Bug")</f>
        <v>0</v>
      </c>
      <c r="K33" s="162">
        <f>COUNTIFS(缺陷明细!$A$2:$A$50000,$B$4,缺陷明细!$G$2:$G$50000,$C33,缺陷明细!$Q$2:$Q$50000,"已关闭",缺陷明细!$J$2:$J$50000,"单元测试")</f>
        <v>0</v>
      </c>
      <c r="L33" s="163"/>
      <c r="M33" s="164"/>
      <c r="N33" s="72">
        <f>COUNTIFS(缺陷明细!$A$2:$A$50000,$B$4,缺陷明细!$G$2:$G$50000,$C33,缺陷明细!$J$2:$J$50000,"系统测试案例评审",缺陷明细!$AA$2:$AA$50000,"&lt;&gt;丢弃",缺陷明细!$AA$2:$AA$50000,"&lt;&gt;设计如此",缺陷明细!$AA$2:$AA$50000,"&lt;&gt;重复Bug")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COUNTIFS(缺陷明细!$A$2:$A$50000,$B$4,缺陷明细!$G$2:$G$50000,$C33,缺陷明细!$J$2:$J$50000,"系统测试",缺陷明细!$AA$2:$AA$50000,"&lt;&gt;丢弃",缺陷明细!$AA$2:$AA$50000,"&lt;&gt;设计如此",缺陷明细!$AA$2:$AA$50000,"&lt;&gt;重复Bug")</f>
        <v>0</v>
      </c>
      <c r="Q33" s="72">
        <f>COUNTIFS(缺陷明细!$A$2:$A$50000,$B$4,缺陷明细!$G$2:$G$50000,$C33,缺陷明细!$Q$2:$Q$50000,"已关闭",缺陷明细!$J$2:$J$50000,"系统测试")</f>
        <v>0</v>
      </c>
      <c r="R33" s="72">
        <f>COUNTIFS(缺陷明细!$A$2:$A$50000,$B$4,缺陷明细!$G$2:$G$50000,$C33,缺陷明细!$AA$2:$AA$50000,"丢弃",缺陷明细!$J$2:$J$50000,"系统测试")+COUNTIFS(缺陷明细!$A$2:$A$50000,$B$4,缺陷明细!$G$2:$G$50000,$C33,缺陷明细!$AA$2:$AA$50000,"设计如此",缺陷明细!$J$2:$J$50000,"系统测试"+COUNTIFS(缺陷明细!$A$2:$A$50000,$B$4,缺陷明细!$G$2:$G$50000,$C33,缺陷明细!$AA$2:$AA$50000,"重复Bug",缺陷明细!$J$2:$J$50000,"系统测试"))</f>
        <v>0</v>
      </c>
      <c r="S33" s="72">
        <f>COUNTIFS(缺陷明细!$A$2:$A$50000,$B$4,缺陷明细!$G$2:$G$50000,$C33,缺陷明细!$J$2:$J$50000,"系统测试",缺陷明细!$K$2:$K$50000,"致命",缺陷明细!$AA$2:$AA$50000,"&lt;&gt;丢弃",缺陷明细!$AA$2:$AA$50000,"&lt;&gt;设计如此",缺陷明细!$AA$2:$AA$50000,"&lt;&gt;重复Bug")+COUNTIFS(缺陷明细!$A$2:$A$50000,$B$4,缺陷明细!$G$2:$G$50000,$C33,缺陷明细!$J$2:$J$50000,"系统测试",缺陷明细!$K$2:$K$50000,"严重",缺陷明细!$AA$2:$AA$50000,"&lt;&gt;丢弃",缺陷明细!$AA$2:$AA$50000,"&lt;&gt;设计如此",缺陷明细!$AA$2:$AA$50000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COUNTIFS(缺陷明细!$A$2:$A$50000,$B$4,缺陷明细!$G$2:$G$50000,$C33,缺陷明细!$J$2:$J$50000,"验收测试",缺陷明细!$AA$2:$AA$50000,"&lt;&gt;丢弃",缺陷明细!$AA$2:$AA$50000,"&lt;&gt;设计如此",缺陷明细!$AA$2:$AA$50000,"&lt;&gt;重复Bug")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A$2:$AA$50000,"&lt;&gt;丢弃",缺陷明细!$AA$2:$AA$50000,"&lt;&gt;设计如此",缺陷明细!$AA$2:$AA$50000,"&lt;&gt;重复Bug")+COUNTIFS(缺陷明细!$A$2:$A$50000,$B$4,缺陷明细!$G$2:$G$50000,$C33,缺陷明细!$J$2:$J$50000,"验收测试",缺陷明细!$K$2:$K$50000,"严重",缺陷明细!$AA$2:$AA$50000,"&lt;&gt;丢弃",缺陷明细!$AA$2:$AA$50000,"&lt;&gt;设计如此",缺陷明细!$AA$2:$AA$50000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COUNTIFS(缺陷明细!$A$2:$A$50000,$B$4,缺陷明细!$G$2:$G$50000,$C33,缺陷明细!$J$2:$J$50000,"运维测试",缺陷明细!$AA$2:$AA$50000,"&lt;&gt;丢弃",缺陷明细!$AA$2:$AA$50000,"&lt;&gt;设计如此",缺陷明细!$AA$2:$AA$50000,"&lt;&gt;重复Bug")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A$2:$AA$50000,"&lt;&gt;丢弃",缺陷明细!$AA$2:$AA$50000,"&lt;&gt;设计如此",缺陷明细!$AA$2:$AA$50000,"&lt;&gt;重复Bug")+COUNTIFS(缺陷明细!$A$2:$A$50000,$B$4,缺陷明细!$G$2:$G$50000,$C33,缺陷明细!$J$2:$J$50000,"运维测试",缺陷明细!$K$2:$K$50000,"严重",缺陷明细!$AA$2:$AA$50000,"&lt;&gt;丢弃",缺陷明细!$AA$2:$AA$50000,"&lt;&gt;设计如此",缺陷明细!$AA$2:$AA$50000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51"/>
    </row>
    <row r="34" spans="1:37">
      <c r="A34">
        <v>30</v>
      </c>
      <c r="B34" s="57"/>
      <c r="C34" s="58"/>
      <c r="D34" s="84"/>
      <c r="E34" s="82"/>
      <c r="F34" s="165"/>
      <c r="G34" s="166"/>
      <c r="H34" s="305">
        <f>COUNTIFS(缺陷明细!$A$2:$A$50000,$B$4,缺陷明细!$G$2:$G$50000,$C34,缺陷明细!$J$2:$J$50000,"评审",缺陷明细!$AA$2:$AA$50000,"&lt;&gt;丢弃",缺陷明细!$AA$2:$AA$50000,"&lt;&gt;设计如此",缺陷明细!$AA$2:$AA$50000,"&lt;&gt;重复Bug")</f>
        <v>0</v>
      </c>
      <c r="I34" s="161">
        <f>COUNTIFS(缺陷明细!$A$2:$A$50000,$B$4,缺陷明细!$G$2:$G$50000,$C34,缺陷明细!$Q$2:$Q$50000,"已关闭",缺陷明细!$J$2:$J$50000,"评审")</f>
        <v>0</v>
      </c>
      <c r="J34" s="161">
        <f>COUNTIFS(缺陷明细!$A$2:$A$50000,$B$4,缺陷明细!$G$2:$G$50000,$C34,缺陷明细!$J$2:$J$50000,"单元测试",缺陷明细!$AA$2:$AA$50000,"&lt;&gt;丢弃",缺陷明细!$AA$2:$AA$50000,"&lt;&gt;设计如此",缺陷明细!$AA$2:$AA$50000,"&lt;&gt;重复Bug")</f>
        <v>0</v>
      </c>
      <c r="K34" s="162">
        <f>COUNTIFS(缺陷明细!$A$2:$A$50000,$B$4,缺陷明细!$G$2:$G$50000,$C34,缺陷明细!$Q$2:$Q$50000,"已关闭",缺陷明细!$J$2:$J$50000,"单元测试")</f>
        <v>0</v>
      </c>
      <c r="L34" s="163"/>
      <c r="M34" s="164"/>
      <c r="N34" s="72">
        <f>COUNTIFS(缺陷明细!$A$2:$A$50000,$B$4,缺陷明细!$G$2:$G$50000,$C34,缺陷明细!$J$2:$J$50000,"系统测试案例评审",缺陷明细!$AA$2:$AA$50000,"&lt;&gt;丢弃",缺陷明细!$AA$2:$AA$50000,"&lt;&gt;设计如此",缺陷明细!$AA$2:$AA$50000,"&lt;&gt;重复Bug")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COUNTIFS(缺陷明细!$A$2:$A$50000,$B$4,缺陷明细!$G$2:$G$50000,$C34,缺陷明细!$J$2:$J$50000,"系统测试",缺陷明细!$AA$2:$AA$50000,"&lt;&gt;丢弃",缺陷明细!$AA$2:$AA$50000,"&lt;&gt;设计如此",缺陷明细!$AA$2:$AA$50000,"&lt;&gt;重复Bug")</f>
        <v>0</v>
      </c>
      <c r="Q34" s="72">
        <f>COUNTIFS(缺陷明细!$A$2:$A$50000,$B$4,缺陷明细!$G$2:$G$50000,$C34,缺陷明细!$Q$2:$Q$50000,"已关闭",缺陷明细!$J$2:$J$50000,"系统测试")</f>
        <v>0</v>
      </c>
      <c r="R34" s="72">
        <f>COUNTIFS(缺陷明细!$A$2:$A$50000,$B$4,缺陷明细!$G$2:$G$50000,$C34,缺陷明细!$AA$2:$AA$50000,"丢弃",缺陷明细!$J$2:$J$50000,"系统测试")+COUNTIFS(缺陷明细!$A$2:$A$50000,$B$4,缺陷明细!$G$2:$G$50000,$C34,缺陷明细!$AA$2:$AA$50000,"设计如此",缺陷明细!$J$2:$J$50000,"系统测试"+COUNTIFS(缺陷明细!$A$2:$A$50000,$B$4,缺陷明细!$G$2:$G$50000,$C34,缺陷明细!$AA$2:$AA$50000,"重复Bug",缺陷明细!$J$2:$J$50000,"系统测试"))</f>
        <v>0</v>
      </c>
      <c r="S34" s="72">
        <f>COUNTIFS(缺陷明细!$A$2:$A$50000,$B$4,缺陷明细!$G$2:$G$50000,$C34,缺陷明细!$J$2:$J$50000,"系统测试",缺陷明细!$K$2:$K$50000,"致命",缺陷明细!$AA$2:$AA$50000,"&lt;&gt;丢弃",缺陷明细!$AA$2:$AA$50000,"&lt;&gt;设计如此",缺陷明细!$AA$2:$AA$50000,"&lt;&gt;重复Bug")+COUNTIFS(缺陷明细!$A$2:$A$50000,$B$4,缺陷明细!$G$2:$G$50000,$C34,缺陷明细!$J$2:$J$50000,"系统测试",缺陷明细!$K$2:$K$50000,"严重",缺陷明细!$AA$2:$AA$50000,"&lt;&gt;丢弃",缺陷明细!$AA$2:$AA$50000,"&lt;&gt;设计如此",缺陷明细!$AA$2:$AA$50000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COUNTIFS(缺陷明细!$A$2:$A$50000,$B$4,缺陷明细!$G$2:$G$50000,$C34,缺陷明细!$J$2:$J$50000,"验收测试",缺陷明细!$AA$2:$AA$50000,"&lt;&gt;丢弃",缺陷明细!$AA$2:$AA$50000,"&lt;&gt;设计如此",缺陷明细!$AA$2:$AA$50000,"&lt;&gt;重复Bug")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A$2:$AA$50000,"&lt;&gt;丢弃",缺陷明细!$AA$2:$AA$50000,"&lt;&gt;设计如此",缺陷明细!$AA$2:$AA$50000,"&lt;&gt;重复Bug")+COUNTIFS(缺陷明细!$A$2:$A$50000,$B$4,缺陷明细!$G$2:$G$50000,$C34,缺陷明细!$J$2:$J$50000,"验收测试",缺陷明细!$K$2:$K$50000,"严重",缺陷明细!$AA$2:$AA$50000,"&lt;&gt;丢弃",缺陷明细!$AA$2:$AA$50000,"&lt;&gt;设计如此",缺陷明细!$AA$2:$AA$50000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COUNTIFS(缺陷明细!$A$2:$A$50000,$B$4,缺陷明细!$G$2:$G$50000,$C34,缺陷明细!$J$2:$J$50000,"运维测试",缺陷明细!$AA$2:$AA$50000,"&lt;&gt;丢弃",缺陷明细!$AA$2:$AA$50000,"&lt;&gt;设计如此",缺陷明细!$AA$2:$AA$50000,"&lt;&gt;重复Bug")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A$2:$AA$50000,"&lt;&gt;丢弃",缺陷明细!$AA$2:$AA$50000,"&lt;&gt;设计如此",缺陷明细!$AA$2:$AA$50000,"&lt;&gt;重复Bug")+COUNTIFS(缺陷明细!$A$2:$A$50000,$B$4,缺陷明细!$G$2:$G$50000,$C34,缺陷明细!$J$2:$J$50000,"运维测试",缺陷明细!$K$2:$K$50000,"严重",缺陷明细!$AA$2:$AA$50000,"&lt;&gt;丢弃",缺陷明细!$AA$2:$AA$50000,"&lt;&gt;设计如此",缺陷明细!$AA$2:$AA$50000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51"/>
    </row>
    <row r="35" spans="1:37">
      <c r="A35">
        <v>31</v>
      </c>
      <c r="B35" s="57"/>
      <c r="C35" s="58"/>
      <c r="D35" s="84"/>
      <c r="E35" s="82"/>
      <c r="F35" s="165"/>
      <c r="G35" s="166"/>
      <c r="H35" s="305">
        <f>COUNTIFS(缺陷明细!$A$2:$A$50000,$B$4,缺陷明细!$G$2:$G$50000,$C35,缺陷明细!$J$2:$J$50000,"评审",缺陷明细!$AA$2:$AA$50000,"&lt;&gt;丢弃",缺陷明细!$AA$2:$AA$50000,"&lt;&gt;设计如此",缺陷明细!$AA$2:$AA$50000,"&lt;&gt;重复Bug")</f>
        <v>0</v>
      </c>
      <c r="I35" s="161">
        <f>COUNTIFS(缺陷明细!$A$2:$A$50000,$B$4,缺陷明细!$G$2:$G$50000,$C35,缺陷明细!$Q$2:$Q$50000,"已关闭",缺陷明细!$J$2:$J$50000,"评审")</f>
        <v>0</v>
      </c>
      <c r="J35" s="161">
        <f>COUNTIFS(缺陷明细!$A$2:$A$50000,$B$4,缺陷明细!$G$2:$G$50000,$C35,缺陷明细!$J$2:$J$50000,"单元测试",缺陷明细!$AA$2:$AA$50000,"&lt;&gt;丢弃",缺陷明细!$AA$2:$AA$50000,"&lt;&gt;设计如此",缺陷明细!$AA$2:$AA$50000,"&lt;&gt;重复Bug")</f>
        <v>0</v>
      </c>
      <c r="K35" s="162">
        <f>COUNTIFS(缺陷明细!$A$2:$A$50000,$B$4,缺陷明细!$G$2:$G$50000,$C35,缺陷明细!$Q$2:$Q$50000,"已关闭",缺陷明细!$J$2:$J$50000,"单元测试")</f>
        <v>0</v>
      </c>
      <c r="L35" s="163"/>
      <c r="M35" s="164"/>
      <c r="N35" s="72">
        <f>COUNTIFS(缺陷明细!$A$2:$A$50000,$B$4,缺陷明细!$G$2:$G$50000,$C35,缺陷明细!$J$2:$J$50000,"系统测试案例评审",缺陷明细!$AA$2:$AA$50000,"&lt;&gt;丢弃",缺陷明细!$AA$2:$AA$50000,"&lt;&gt;设计如此",缺陷明细!$AA$2:$AA$50000,"&lt;&gt;重复Bug")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COUNTIFS(缺陷明细!$A$2:$A$50000,$B$4,缺陷明细!$G$2:$G$50000,$C35,缺陷明细!$J$2:$J$50000,"系统测试",缺陷明细!$AA$2:$AA$50000,"&lt;&gt;丢弃",缺陷明细!$AA$2:$AA$50000,"&lt;&gt;设计如此",缺陷明细!$AA$2:$AA$50000,"&lt;&gt;重复Bug")</f>
        <v>0</v>
      </c>
      <c r="Q35" s="72">
        <f>COUNTIFS(缺陷明细!$A$2:$A$50000,$B$4,缺陷明细!$G$2:$G$50000,$C35,缺陷明细!$Q$2:$Q$50000,"已关闭",缺陷明细!$J$2:$J$50000,"系统测试")</f>
        <v>0</v>
      </c>
      <c r="R35" s="72">
        <f>COUNTIFS(缺陷明细!$A$2:$A$50000,$B$4,缺陷明细!$G$2:$G$50000,$C35,缺陷明细!$AA$2:$AA$50000,"丢弃",缺陷明细!$J$2:$J$50000,"系统测试")+COUNTIFS(缺陷明细!$A$2:$A$50000,$B$4,缺陷明细!$G$2:$G$50000,$C35,缺陷明细!$AA$2:$AA$50000,"设计如此",缺陷明细!$J$2:$J$50000,"系统测试"+COUNTIFS(缺陷明细!$A$2:$A$50000,$B$4,缺陷明细!$G$2:$G$50000,$C35,缺陷明细!$AA$2:$AA$50000,"重复Bug",缺陷明细!$J$2:$J$50000,"系统测试"))</f>
        <v>0</v>
      </c>
      <c r="S35" s="72">
        <f>COUNTIFS(缺陷明细!$A$2:$A$50000,$B$4,缺陷明细!$G$2:$G$50000,$C35,缺陷明细!$J$2:$J$50000,"系统测试",缺陷明细!$K$2:$K$50000,"致命",缺陷明细!$AA$2:$AA$50000,"&lt;&gt;丢弃",缺陷明细!$AA$2:$AA$50000,"&lt;&gt;设计如此",缺陷明细!$AA$2:$AA$50000,"&lt;&gt;重复Bug")+COUNTIFS(缺陷明细!$A$2:$A$50000,$B$4,缺陷明细!$G$2:$G$50000,$C35,缺陷明细!$J$2:$J$50000,"系统测试",缺陷明细!$K$2:$K$50000,"严重",缺陷明细!$AA$2:$AA$50000,"&lt;&gt;丢弃",缺陷明细!$AA$2:$AA$50000,"&lt;&gt;设计如此",缺陷明细!$AA$2:$AA$50000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COUNTIFS(缺陷明细!$A$2:$A$50000,$B$4,缺陷明细!$G$2:$G$50000,$C35,缺陷明细!$J$2:$J$50000,"验收测试",缺陷明细!$AA$2:$AA$50000,"&lt;&gt;丢弃",缺陷明细!$AA$2:$AA$50000,"&lt;&gt;设计如此",缺陷明细!$AA$2:$AA$50000,"&lt;&gt;重复Bug")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A$2:$AA$50000,"&lt;&gt;丢弃",缺陷明细!$AA$2:$AA$50000,"&lt;&gt;设计如此",缺陷明细!$AA$2:$AA$50000,"&lt;&gt;重复Bug")+COUNTIFS(缺陷明细!$A$2:$A$50000,$B$4,缺陷明细!$G$2:$G$50000,$C35,缺陷明细!$J$2:$J$50000,"验收测试",缺陷明细!$K$2:$K$50000,"严重",缺陷明细!$AA$2:$AA$50000,"&lt;&gt;丢弃",缺陷明细!$AA$2:$AA$50000,"&lt;&gt;设计如此",缺陷明细!$AA$2:$AA$50000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COUNTIFS(缺陷明细!$A$2:$A$50000,$B$4,缺陷明细!$G$2:$G$50000,$C35,缺陷明细!$J$2:$J$50000,"运维测试",缺陷明细!$AA$2:$AA$50000,"&lt;&gt;丢弃",缺陷明细!$AA$2:$AA$50000,"&lt;&gt;设计如此",缺陷明细!$AA$2:$AA$50000,"&lt;&gt;重复Bug")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A$2:$AA$50000,"&lt;&gt;丢弃",缺陷明细!$AA$2:$AA$50000,"&lt;&gt;设计如此",缺陷明细!$AA$2:$AA$50000,"&lt;&gt;重复Bug")+COUNTIFS(缺陷明细!$A$2:$A$50000,$B$4,缺陷明细!$G$2:$G$50000,$C35,缺陷明细!$J$2:$J$50000,"运维测试",缺陷明细!$K$2:$K$50000,"严重",缺陷明细!$AA$2:$AA$50000,"&lt;&gt;丢弃",缺陷明细!$AA$2:$AA$50000,"&lt;&gt;设计如此",缺陷明细!$AA$2:$AA$50000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51"/>
    </row>
    <row r="36" spans="1:37">
      <c r="A36">
        <v>32</v>
      </c>
      <c r="B36" s="57"/>
      <c r="C36" s="58"/>
      <c r="D36" s="84"/>
      <c r="E36" s="82"/>
      <c r="F36" s="165"/>
      <c r="G36" s="166"/>
      <c r="H36" s="305">
        <f>COUNTIFS(缺陷明细!$A$2:$A$50000,$B$4,缺陷明细!$G$2:$G$50000,$C36,缺陷明细!$J$2:$J$50000,"评审",缺陷明细!$AA$2:$AA$50000,"&lt;&gt;丢弃",缺陷明细!$AA$2:$AA$50000,"&lt;&gt;设计如此",缺陷明细!$AA$2:$AA$50000,"&lt;&gt;重复Bug")</f>
        <v>0</v>
      </c>
      <c r="I36" s="161">
        <f>COUNTIFS(缺陷明细!$A$2:$A$50000,$B$4,缺陷明细!$G$2:$G$50000,$C36,缺陷明细!$Q$2:$Q$50000,"已关闭",缺陷明细!$J$2:$J$50000,"评审")</f>
        <v>0</v>
      </c>
      <c r="J36" s="161">
        <f>COUNTIFS(缺陷明细!$A$2:$A$50000,$B$4,缺陷明细!$G$2:$G$50000,$C36,缺陷明细!$J$2:$J$50000,"单元测试",缺陷明细!$AA$2:$AA$50000,"&lt;&gt;丢弃",缺陷明细!$AA$2:$AA$50000,"&lt;&gt;设计如此",缺陷明细!$AA$2:$AA$50000,"&lt;&gt;重复Bug")</f>
        <v>0</v>
      </c>
      <c r="K36" s="162">
        <f>COUNTIFS(缺陷明细!$A$2:$A$50000,$B$4,缺陷明细!$G$2:$G$50000,$C36,缺陷明细!$Q$2:$Q$50000,"已关闭",缺陷明细!$J$2:$J$50000,"单元测试")</f>
        <v>0</v>
      </c>
      <c r="L36" s="163"/>
      <c r="M36" s="164"/>
      <c r="N36" s="72">
        <f>COUNTIFS(缺陷明细!$A$2:$A$50000,$B$4,缺陷明细!$G$2:$G$50000,$C36,缺陷明细!$J$2:$J$50000,"系统测试案例评审",缺陷明细!$AA$2:$AA$50000,"&lt;&gt;丢弃",缺陷明细!$AA$2:$AA$50000,"&lt;&gt;设计如此",缺陷明细!$AA$2:$AA$50000,"&lt;&gt;重复Bug")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COUNTIFS(缺陷明细!$A$2:$A$50000,$B$4,缺陷明细!$G$2:$G$50000,$C36,缺陷明细!$J$2:$J$50000,"系统测试",缺陷明细!$AA$2:$AA$50000,"&lt;&gt;丢弃",缺陷明细!$AA$2:$AA$50000,"&lt;&gt;设计如此",缺陷明细!$AA$2:$AA$50000,"&lt;&gt;重复Bug")</f>
        <v>0</v>
      </c>
      <c r="Q36" s="72">
        <f>COUNTIFS(缺陷明细!$A$2:$A$50000,$B$4,缺陷明细!$G$2:$G$50000,$C36,缺陷明细!$Q$2:$Q$50000,"已关闭",缺陷明细!$J$2:$J$50000,"系统测试")</f>
        <v>0</v>
      </c>
      <c r="R36" s="72">
        <f>COUNTIFS(缺陷明细!$A$2:$A$50000,$B$4,缺陷明细!$G$2:$G$50000,$C36,缺陷明细!$AA$2:$AA$50000,"丢弃",缺陷明细!$J$2:$J$50000,"系统测试")+COUNTIFS(缺陷明细!$A$2:$A$50000,$B$4,缺陷明细!$G$2:$G$50000,$C36,缺陷明细!$AA$2:$AA$50000,"设计如此",缺陷明细!$J$2:$J$50000,"系统测试"+COUNTIFS(缺陷明细!$A$2:$A$50000,$B$4,缺陷明细!$G$2:$G$50000,$C36,缺陷明细!$AA$2:$AA$50000,"重复Bug",缺陷明细!$J$2:$J$50000,"系统测试"))</f>
        <v>0</v>
      </c>
      <c r="S36" s="72">
        <f>COUNTIFS(缺陷明细!$A$2:$A$50000,$B$4,缺陷明细!$G$2:$G$50000,$C36,缺陷明细!$J$2:$J$50000,"系统测试",缺陷明细!$K$2:$K$50000,"致命",缺陷明细!$AA$2:$AA$50000,"&lt;&gt;丢弃",缺陷明细!$AA$2:$AA$50000,"&lt;&gt;设计如此",缺陷明细!$AA$2:$AA$50000,"&lt;&gt;重复Bug")+COUNTIFS(缺陷明细!$A$2:$A$50000,$B$4,缺陷明细!$G$2:$G$50000,$C36,缺陷明细!$J$2:$J$50000,"系统测试",缺陷明细!$K$2:$K$50000,"严重",缺陷明细!$AA$2:$AA$50000,"&lt;&gt;丢弃",缺陷明细!$AA$2:$AA$50000,"&lt;&gt;设计如此",缺陷明细!$AA$2:$AA$50000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COUNTIFS(缺陷明细!$A$2:$A$50000,$B$4,缺陷明细!$G$2:$G$50000,$C36,缺陷明细!$J$2:$J$50000,"验收测试",缺陷明细!$AA$2:$AA$50000,"&lt;&gt;丢弃",缺陷明细!$AA$2:$AA$50000,"&lt;&gt;设计如此",缺陷明细!$AA$2:$AA$50000,"&lt;&gt;重复Bug")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A$2:$AA$50000,"&lt;&gt;丢弃",缺陷明细!$AA$2:$AA$50000,"&lt;&gt;设计如此",缺陷明细!$AA$2:$AA$50000,"&lt;&gt;重复Bug")+COUNTIFS(缺陷明细!$A$2:$A$50000,$B$4,缺陷明细!$G$2:$G$50000,$C36,缺陷明细!$J$2:$J$50000,"验收测试",缺陷明细!$K$2:$K$50000,"严重",缺陷明细!$AA$2:$AA$50000,"&lt;&gt;丢弃",缺陷明细!$AA$2:$AA$50000,"&lt;&gt;设计如此",缺陷明细!$AA$2:$AA$50000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COUNTIFS(缺陷明细!$A$2:$A$50000,$B$4,缺陷明细!$G$2:$G$50000,$C36,缺陷明细!$J$2:$J$50000,"运维测试",缺陷明细!$AA$2:$AA$50000,"&lt;&gt;丢弃",缺陷明细!$AA$2:$AA$50000,"&lt;&gt;设计如此",缺陷明细!$AA$2:$AA$50000,"&lt;&gt;重复Bug")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A$2:$AA$50000,"&lt;&gt;丢弃",缺陷明细!$AA$2:$AA$50000,"&lt;&gt;设计如此",缺陷明细!$AA$2:$AA$50000,"&lt;&gt;重复Bug")+COUNTIFS(缺陷明细!$A$2:$A$50000,$B$4,缺陷明细!$G$2:$G$50000,$C36,缺陷明细!$J$2:$J$50000,"运维测试",缺陷明细!$K$2:$K$50000,"严重",缺陷明细!$AA$2:$AA$50000,"&lt;&gt;丢弃",缺陷明细!$AA$2:$AA$50000,"&lt;&gt;设计如此",缺陷明细!$AA$2:$AA$50000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51"/>
    </row>
    <row r="37" spans="1:37">
      <c r="A37">
        <v>33</v>
      </c>
      <c r="B37" s="57"/>
      <c r="C37" s="58"/>
      <c r="D37" s="84"/>
      <c r="E37" s="82"/>
      <c r="F37" s="165"/>
      <c r="G37" s="166"/>
      <c r="H37" s="305">
        <f>COUNTIFS(缺陷明细!$A$2:$A$50000,$B$4,缺陷明细!$G$2:$G$50000,$C37,缺陷明细!$J$2:$J$50000,"评审",缺陷明细!$AA$2:$AA$50000,"&lt;&gt;丢弃",缺陷明细!$AA$2:$AA$50000,"&lt;&gt;设计如此",缺陷明细!$AA$2:$AA$50000,"&lt;&gt;重复Bug")</f>
        <v>0</v>
      </c>
      <c r="I37" s="161">
        <f>COUNTIFS(缺陷明细!$A$2:$A$50000,$B$4,缺陷明细!$G$2:$G$50000,$C37,缺陷明细!$Q$2:$Q$50000,"已关闭",缺陷明细!$J$2:$J$50000,"评审")</f>
        <v>0</v>
      </c>
      <c r="J37" s="161">
        <f>COUNTIFS(缺陷明细!$A$2:$A$50000,$B$4,缺陷明细!$G$2:$G$50000,$C37,缺陷明细!$J$2:$J$50000,"单元测试",缺陷明细!$AA$2:$AA$50000,"&lt;&gt;丢弃",缺陷明细!$AA$2:$AA$50000,"&lt;&gt;设计如此",缺陷明细!$AA$2:$AA$50000,"&lt;&gt;重复Bug")</f>
        <v>0</v>
      </c>
      <c r="K37" s="162">
        <f>COUNTIFS(缺陷明细!$A$2:$A$50000,$B$4,缺陷明细!$G$2:$G$50000,$C37,缺陷明细!$Q$2:$Q$50000,"已关闭",缺陷明细!$J$2:$J$50000,"单元测试")</f>
        <v>0</v>
      </c>
      <c r="L37" s="163"/>
      <c r="M37" s="164"/>
      <c r="N37" s="72">
        <f>COUNTIFS(缺陷明细!$A$2:$A$50000,$B$4,缺陷明细!$G$2:$G$50000,$C37,缺陷明细!$J$2:$J$50000,"系统测试案例评审",缺陷明细!$AA$2:$AA$50000,"&lt;&gt;丢弃",缺陷明细!$AA$2:$AA$50000,"&lt;&gt;设计如此",缺陷明细!$AA$2:$AA$50000,"&lt;&gt;重复Bug")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COUNTIFS(缺陷明细!$A$2:$A$50000,$B$4,缺陷明细!$G$2:$G$50000,$C37,缺陷明细!$J$2:$J$50000,"系统测试",缺陷明细!$AA$2:$AA$50000,"&lt;&gt;丢弃",缺陷明细!$AA$2:$AA$50000,"&lt;&gt;设计如此",缺陷明细!$AA$2:$AA$50000,"&lt;&gt;重复Bug")</f>
        <v>0</v>
      </c>
      <c r="Q37" s="72">
        <f>COUNTIFS(缺陷明细!$A$2:$A$50000,$B$4,缺陷明细!$G$2:$G$50000,$C37,缺陷明细!$Q$2:$Q$50000,"已关闭",缺陷明细!$J$2:$J$50000,"系统测试")</f>
        <v>0</v>
      </c>
      <c r="R37" s="72">
        <f>COUNTIFS(缺陷明细!$A$2:$A$50000,$B$4,缺陷明细!$G$2:$G$50000,$C37,缺陷明细!$AA$2:$AA$50000,"丢弃",缺陷明细!$J$2:$J$50000,"系统测试")+COUNTIFS(缺陷明细!$A$2:$A$50000,$B$4,缺陷明细!$G$2:$G$50000,$C37,缺陷明细!$AA$2:$AA$50000,"设计如此",缺陷明细!$J$2:$J$50000,"系统测试"+COUNTIFS(缺陷明细!$A$2:$A$50000,$B$4,缺陷明细!$G$2:$G$50000,$C37,缺陷明细!$AA$2:$AA$50000,"重复Bug",缺陷明细!$J$2:$J$50000,"系统测试"))</f>
        <v>0</v>
      </c>
      <c r="S37" s="72">
        <f>COUNTIFS(缺陷明细!$A$2:$A$50000,$B$4,缺陷明细!$G$2:$G$50000,$C37,缺陷明细!$J$2:$J$50000,"系统测试",缺陷明细!$K$2:$K$50000,"致命",缺陷明细!$AA$2:$AA$50000,"&lt;&gt;丢弃",缺陷明细!$AA$2:$AA$50000,"&lt;&gt;设计如此",缺陷明细!$AA$2:$AA$50000,"&lt;&gt;重复Bug")+COUNTIFS(缺陷明细!$A$2:$A$50000,$B$4,缺陷明细!$G$2:$G$50000,$C37,缺陷明细!$J$2:$J$50000,"系统测试",缺陷明细!$K$2:$K$50000,"严重",缺陷明细!$AA$2:$AA$50000,"&lt;&gt;丢弃",缺陷明细!$AA$2:$AA$50000,"&lt;&gt;设计如此",缺陷明细!$AA$2:$AA$50000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COUNTIFS(缺陷明细!$A$2:$A$50000,$B$4,缺陷明细!$G$2:$G$50000,$C37,缺陷明细!$J$2:$J$50000,"验收测试",缺陷明细!$AA$2:$AA$50000,"&lt;&gt;丢弃",缺陷明细!$AA$2:$AA$50000,"&lt;&gt;设计如此",缺陷明细!$AA$2:$AA$50000,"&lt;&gt;重复Bug")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A$2:$AA$50000,"&lt;&gt;丢弃",缺陷明细!$AA$2:$AA$50000,"&lt;&gt;设计如此",缺陷明细!$AA$2:$AA$50000,"&lt;&gt;重复Bug")+COUNTIFS(缺陷明细!$A$2:$A$50000,$B$4,缺陷明细!$G$2:$G$50000,$C37,缺陷明细!$J$2:$J$50000,"验收测试",缺陷明细!$K$2:$K$50000,"严重",缺陷明细!$AA$2:$AA$50000,"&lt;&gt;丢弃",缺陷明细!$AA$2:$AA$50000,"&lt;&gt;设计如此",缺陷明细!$AA$2:$AA$50000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COUNTIFS(缺陷明细!$A$2:$A$50000,$B$4,缺陷明细!$G$2:$G$50000,$C37,缺陷明细!$J$2:$J$50000,"运维测试",缺陷明细!$AA$2:$AA$50000,"&lt;&gt;丢弃",缺陷明细!$AA$2:$AA$50000,"&lt;&gt;设计如此",缺陷明细!$AA$2:$AA$50000,"&lt;&gt;重复Bug")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A$2:$AA$50000,"&lt;&gt;丢弃",缺陷明细!$AA$2:$AA$50000,"&lt;&gt;设计如此",缺陷明细!$AA$2:$AA$50000,"&lt;&gt;重复Bug")+COUNTIFS(缺陷明细!$A$2:$A$50000,$B$4,缺陷明细!$G$2:$G$50000,$C37,缺陷明细!$J$2:$J$50000,"运维测试",缺陷明细!$K$2:$K$50000,"严重",缺陷明细!$AA$2:$AA$50000,"&lt;&gt;丢弃",缺陷明细!$AA$2:$AA$50000,"&lt;&gt;设计如此",缺陷明细!$AA$2:$AA$50000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51"/>
    </row>
    <row r="38" spans="1:37">
      <c r="A38">
        <v>34</v>
      </c>
      <c r="B38" s="57"/>
      <c r="C38" s="58"/>
      <c r="D38" s="84"/>
      <c r="E38" s="82"/>
      <c r="F38" s="165"/>
      <c r="G38" s="166"/>
      <c r="H38" s="305">
        <f>COUNTIFS(缺陷明细!$A$2:$A$50000,$B$4,缺陷明细!$G$2:$G$50000,$C38,缺陷明细!$J$2:$J$50000,"评审",缺陷明细!$AA$2:$AA$50000,"&lt;&gt;丢弃",缺陷明细!$AA$2:$AA$50000,"&lt;&gt;设计如此",缺陷明细!$AA$2:$AA$50000,"&lt;&gt;重复Bug")</f>
        <v>0</v>
      </c>
      <c r="I38" s="161">
        <f>COUNTIFS(缺陷明细!$A$2:$A$50000,$B$4,缺陷明细!$G$2:$G$50000,$C38,缺陷明细!$Q$2:$Q$50000,"已关闭",缺陷明细!$J$2:$J$50000,"评审")</f>
        <v>0</v>
      </c>
      <c r="J38" s="161">
        <f>COUNTIFS(缺陷明细!$A$2:$A$50000,$B$4,缺陷明细!$G$2:$G$50000,$C38,缺陷明细!$J$2:$J$50000,"单元测试",缺陷明细!$AA$2:$AA$50000,"&lt;&gt;丢弃",缺陷明细!$AA$2:$AA$50000,"&lt;&gt;设计如此",缺陷明细!$AA$2:$AA$50000,"&lt;&gt;重复Bug")</f>
        <v>0</v>
      </c>
      <c r="K38" s="162">
        <f>COUNTIFS(缺陷明细!$A$2:$A$50000,$B$4,缺陷明细!$G$2:$G$50000,$C38,缺陷明细!$Q$2:$Q$50000,"已关闭",缺陷明细!$J$2:$J$50000,"单元测试")</f>
        <v>0</v>
      </c>
      <c r="L38" s="163"/>
      <c r="M38" s="164"/>
      <c r="N38" s="72">
        <f>COUNTIFS(缺陷明细!$A$2:$A$50000,$B$4,缺陷明细!$G$2:$G$50000,$C38,缺陷明细!$J$2:$J$50000,"系统测试案例评审",缺陷明细!$AA$2:$AA$50000,"&lt;&gt;丢弃",缺陷明细!$AA$2:$AA$50000,"&lt;&gt;设计如此",缺陷明细!$AA$2:$AA$50000,"&lt;&gt;重复Bug")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COUNTIFS(缺陷明细!$A$2:$A$50000,$B$4,缺陷明细!$G$2:$G$50000,$C38,缺陷明细!$J$2:$J$50000,"系统测试",缺陷明细!$AA$2:$AA$50000,"&lt;&gt;丢弃",缺陷明细!$AA$2:$AA$50000,"&lt;&gt;设计如此",缺陷明细!$AA$2:$AA$50000,"&lt;&gt;重复Bug")</f>
        <v>0</v>
      </c>
      <c r="Q38" s="72">
        <f>COUNTIFS(缺陷明细!$A$2:$A$50000,$B$4,缺陷明细!$G$2:$G$50000,$C38,缺陷明细!$Q$2:$Q$50000,"已关闭",缺陷明细!$J$2:$J$50000,"系统测试")</f>
        <v>0</v>
      </c>
      <c r="R38" s="72">
        <f>COUNTIFS(缺陷明细!$A$2:$A$50000,$B$4,缺陷明细!$G$2:$G$50000,$C38,缺陷明细!$AA$2:$AA$50000,"丢弃",缺陷明细!$J$2:$J$50000,"系统测试")+COUNTIFS(缺陷明细!$A$2:$A$50000,$B$4,缺陷明细!$G$2:$G$50000,$C38,缺陷明细!$AA$2:$AA$50000,"设计如此",缺陷明细!$J$2:$J$50000,"系统测试"+COUNTIFS(缺陷明细!$A$2:$A$50000,$B$4,缺陷明细!$G$2:$G$50000,$C38,缺陷明细!$AA$2:$AA$50000,"重复Bug",缺陷明细!$J$2:$J$50000,"系统测试"))</f>
        <v>0</v>
      </c>
      <c r="S38" s="72">
        <f>COUNTIFS(缺陷明细!$A$2:$A$50000,$B$4,缺陷明细!$G$2:$G$50000,$C38,缺陷明细!$J$2:$J$50000,"系统测试",缺陷明细!$K$2:$K$50000,"致命",缺陷明细!$AA$2:$AA$50000,"&lt;&gt;丢弃",缺陷明细!$AA$2:$AA$50000,"&lt;&gt;设计如此",缺陷明细!$AA$2:$AA$50000,"&lt;&gt;重复Bug")+COUNTIFS(缺陷明细!$A$2:$A$50000,$B$4,缺陷明细!$G$2:$G$50000,$C38,缺陷明细!$J$2:$J$50000,"系统测试",缺陷明细!$K$2:$K$50000,"严重",缺陷明细!$AA$2:$AA$50000,"&lt;&gt;丢弃",缺陷明细!$AA$2:$AA$50000,"&lt;&gt;设计如此",缺陷明细!$AA$2:$AA$50000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COUNTIFS(缺陷明细!$A$2:$A$50000,$B$4,缺陷明细!$G$2:$G$50000,$C38,缺陷明细!$J$2:$J$50000,"验收测试",缺陷明细!$AA$2:$AA$50000,"&lt;&gt;丢弃",缺陷明细!$AA$2:$AA$50000,"&lt;&gt;设计如此",缺陷明细!$AA$2:$AA$50000,"&lt;&gt;重复Bug")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A$2:$AA$50000,"&lt;&gt;丢弃",缺陷明细!$AA$2:$AA$50000,"&lt;&gt;设计如此",缺陷明细!$AA$2:$AA$50000,"&lt;&gt;重复Bug")+COUNTIFS(缺陷明细!$A$2:$A$50000,$B$4,缺陷明细!$G$2:$G$50000,$C38,缺陷明细!$J$2:$J$50000,"验收测试",缺陷明细!$K$2:$K$50000,"严重",缺陷明细!$AA$2:$AA$50000,"&lt;&gt;丢弃",缺陷明细!$AA$2:$AA$50000,"&lt;&gt;设计如此",缺陷明细!$AA$2:$AA$50000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COUNTIFS(缺陷明细!$A$2:$A$50000,$B$4,缺陷明细!$G$2:$G$50000,$C38,缺陷明细!$J$2:$J$50000,"运维测试",缺陷明细!$AA$2:$AA$50000,"&lt;&gt;丢弃",缺陷明细!$AA$2:$AA$50000,"&lt;&gt;设计如此",缺陷明细!$AA$2:$AA$50000,"&lt;&gt;重复Bug")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A$2:$AA$50000,"&lt;&gt;丢弃",缺陷明细!$AA$2:$AA$50000,"&lt;&gt;设计如此",缺陷明细!$AA$2:$AA$50000,"&lt;&gt;重复Bug")+COUNTIFS(缺陷明细!$A$2:$A$50000,$B$4,缺陷明细!$G$2:$G$50000,$C38,缺陷明细!$J$2:$J$50000,"运维测试",缺陷明细!$K$2:$K$50000,"严重",缺陷明细!$AA$2:$AA$50000,"&lt;&gt;丢弃",缺陷明细!$AA$2:$AA$50000,"&lt;&gt;设计如此",缺陷明细!$AA$2:$AA$50000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51"/>
    </row>
    <row r="39" spans="1:37">
      <c r="A39">
        <v>35</v>
      </c>
      <c r="B39" s="57"/>
      <c r="C39" s="58"/>
      <c r="D39" s="84"/>
      <c r="E39" s="82"/>
      <c r="F39" s="165"/>
      <c r="G39" s="166"/>
      <c r="H39" s="305">
        <f>COUNTIFS(缺陷明细!$A$2:$A$50000,$B$4,缺陷明细!$G$2:$G$50000,$C39,缺陷明细!$J$2:$J$50000,"评审",缺陷明细!$AA$2:$AA$50000,"&lt;&gt;丢弃",缺陷明细!$AA$2:$AA$50000,"&lt;&gt;设计如此",缺陷明细!$AA$2:$AA$50000,"&lt;&gt;重复Bug")</f>
        <v>0</v>
      </c>
      <c r="I39" s="161">
        <f>COUNTIFS(缺陷明细!$A$2:$A$50000,$B$4,缺陷明细!$G$2:$G$50000,$C39,缺陷明细!$Q$2:$Q$50000,"已关闭",缺陷明细!$J$2:$J$50000,"评审")</f>
        <v>0</v>
      </c>
      <c r="J39" s="161">
        <f>COUNTIFS(缺陷明细!$A$2:$A$50000,$B$4,缺陷明细!$G$2:$G$50000,$C39,缺陷明细!$J$2:$J$50000,"单元测试",缺陷明细!$AA$2:$AA$50000,"&lt;&gt;丢弃",缺陷明细!$AA$2:$AA$50000,"&lt;&gt;设计如此",缺陷明细!$AA$2:$AA$50000,"&lt;&gt;重复Bug")</f>
        <v>0</v>
      </c>
      <c r="K39" s="162">
        <f>COUNTIFS(缺陷明细!$A$2:$A$50000,$B$4,缺陷明细!$G$2:$G$50000,$C39,缺陷明细!$Q$2:$Q$50000,"已关闭",缺陷明细!$J$2:$J$50000,"单元测试")</f>
        <v>0</v>
      </c>
      <c r="L39" s="163"/>
      <c r="M39" s="164"/>
      <c r="N39" s="72">
        <f>COUNTIFS(缺陷明细!$A$2:$A$50000,$B$4,缺陷明细!$G$2:$G$50000,$C39,缺陷明细!$J$2:$J$50000,"系统测试案例评审",缺陷明细!$AA$2:$AA$50000,"&lt;&gt;丢弃",缺陷明细!$AA$2:$AA$50000,"&lt;&gt;设计如此",缺陷明细!$AA$2:$AA$50000,"&lt;&gt;重复Bug")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COUNTIFS(缺陷明细!$A$2:$A$50000,$B$4,缺陷明细!$G$2:$G$50000,$C39,缺陷明细!$J$2:$J$50000,"系统测试",缺陷明细!$AA$2:$AA$50000,"&lt;&gt;丢弃",缺陷明细!$AA$2:$AA$50000,"&lt;&gt;设计如此",缺陷明细!$AA$2:$AA$50000,"&lt;&gt;重复Bug")</f>
        <v>0</v>
      </c>
      <c r="Q39" s="72">
        <f>COUNTIFS(缺陷明细!$A$2:$A$50000,$B$4,缺陷明细!$G$2:$G$50000,$C39,缺陷明细!$Q$2:$Q$50000,"已关闭",缺陷明细!$J$2:$J$50000,"系统测试")</f>
        <v>0</v>
      </c>
      <c r="R39" s="72">
        <f>COUNTIFS(缺陷明细!$A$2:$A$50000,$B$4,缺陷明细!$G$2:$G$50000,$C39,缺陷明细!$AA$2:$AA$50000,"丢弃",缺陷明细!$J$2:$J$50000,"系统测试")+COUNTIFS(缺陷明细!$A$2:$A$50000,$B$4,缺陷明细!$G$2:$G$50000,$C39,缺陷明细!$AA$2:$AA$50000,"设计如此",缺陷明细!$J$2:$J$50000,"系统测试"+COUNTIFS(缺陷明细!$A$2:$A$50000,$B$4,缺陷明细!$G$2:$G$50000,$C39,缺陷明细!$AA$2:$AA$50000,"重复Bug",缺陷明细!$J$2:$J$50000,"系统测试"))</f>
        <v>0</v>
      </c>
      <c r="S39" s="72">
        <f>COUNTIFS(缺陷明细!$A$2:$A$50000,$B$4,缺陷明细!$G$2:$G$50000,$C39,缺陷明细!$J$2:$J$50000,"系统测试",缺陷明细!$K$2:$K$50000,"致命",缺陷明细!$AA$2:$AA$50000,"&lt;&gt;丢弃",缺陷明细!$AA$2:$AA$50000,"&lt;&gt;设计如此",缺陷明细!$AA$2:$AA$50000,"&lt;&gt;重复Bug")+COUNTIFS(缺陷明细!$A$2:$A$50000,$B$4,缺陷明细!$G$2:$G$50000,$C39,缺陷明细!$J$2:$J$50000,"系统测试",缺陷明细!$K$2:$K$50000,"严重",缺陷明细!$AA$2:$AA$50000,"&lt;&gt;丢弃",缺陷明细!$AA$2:$AA$50000,"&lt;&gt;设计如此",缺陷明细!$AA$2:$AA$50000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COUNTIFS(缺陷明细!$A$2:$A$50000,$B$4,缺陷明细!$G$2:$G$50000,$C39,缺陷明细!$J$2:$J$50000,"验收测试",缺陷明细!$AA$2:$AA$50000,"&lt;&gt;丢弃",缺陷明细!$AA$2:$AA$50000,"&lt;&gt;设计如此",缺陷明细!$AA$2:$AA$50000,"&lt;&gt;重复Bug")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A$2:$AA$50000,"&lt;&gt;丢弃",缺陷明细!$AA$2:$AA$50000,"&lt;&gt;设计如此",缺陷明细!$AA$2:$AA$50000,"&lt;&gt;重复Bug")+COUNTIFS(缺陷明细!$A$2:$A$50000,$B$4,缺陷明细!$G$2:$G$50000,$C39,缺陷明细!$J$2:$J$50000,"验收测试",缺陷明细!$K$2:$K$50000,"严重",缺陷明细!$AA$2:$AA$50000,"&lt;&gt;丢弃",缺陷明细!$AA$2:$AA$50000,"&lt;&gt;设计如此",缺陷明细!$AA$2:$AA$50000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COUNTIFS(缺陷明细!$A$2:$A$50000,$B$4,缺陷明细!$G$2:$G$50000,$C39,缺陷明细!$J$2:$J$50000,"运维测试",缺陷明细!$AA$2:$AA$50000,"&lt;&gt;丢弃",缺陷明细!$AA$2:$AA$50000,"&lt;&gt;设计如此",缺陷明细!$AA$2:$AA$50000,"&lt;&gt;重复Bug")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A$2:$AA$50000,"&lt;&gt;丢弃",缺陷明细!$AA$2:$AA$50000,"&lt;&gt;设计如此",缺陷明细!$AA$2:$AA$50000,"&lt;&gt;重复Bug")+COUNTIFS(缺陷明细!$A$2:$A$50000,$B$4,缺陷明细!$G$2:$G$50000,$C39,缺陷明细!$J$2:$J$50000,"运维测试",缺陷明细!$K$2:$K$50000,"严重",缺陷明细!$AA$2:$AA$50000,"&lt;&gt;丢弃",缺陷明细!$AA$2:$AA$50000,"&lt;&gt;设计如此",缺陷明细!$AA$2:$AA$50000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51"/>
    </row>
    <row r="40" spans="1:37">
      <c r="A40">
        <v>36</v>
      </c>
      <c r="B40" s="57"/>
      <c r="C40" s="58"/>
      <c r="D40" s="84"/>
      <c r="E40" s="82"/>
      <c r="F40" s="165"/>
      <c r="G40" s="166"/>
      <c r="H40" s="305">
        <f>COUNTIFS(缺陷明细!$A$2:$A$50000,$B$4,缺陷明细!$G$2:$G$50000,$C40,缺陷明细!$J$2:$J$50000,"评审",缺陷明细!$AA$2:$AA$50000,"&lt;&gt;丢弃",缺陷明细!$AA$2:$AA$50000,"&lt;&gt;设计如此",缺陷明细!$AA$2:$AA$50000,"&lt;&gt;重复Bug")</f>
        <v>0</v>
      </c>
      <c r="I40" s="161">
        <f>COUNTIFS(缺陷明细!$A$2:$A$50000,$B$4,缺陷明细!$G$2:$G$50000,$C40,缺陷明细!$Q$2:$Q$50000,"已关闭",缺陷明细!$J$2:$J$50000,"评审")</f>
        <v>0</v>
      </c>
      <c r="J40" s="161">
        <f>COUNTIFS(缺陷明细!$A$2:$A$50000,$B$4,缺陷明细!$G$2:$G$50000,$C40,缺陷明细!$J$2:$J$50000,"单元测试",缺陷明细!$AA$2:$AA$50000,"&lt;&gt;丢弃",缺陷明细!$AA$2:$AA$50000,"&lt;&gt;设计如此",缺陷明细!$AA$2:$AA$50000,"&lt;&gt;重复Bug")</f>
        <v>0</v>
      </c>
      <c r="K40" s="162">
        <f>COUNTIFS(缺陷明细!$A$2:$A$50000,$B$4,缺陷明细!$G$2:$G$50000,$C40,缺陷明细!$Q$2:$Q$50000,"已关闭",缺陷明细!$J$2:$J$50000,"单元测试")</f>
        <v>0</v>
      </c>
      <c r="L40" s="163"/>
      <c r="M40" s="164"/>
      <c r="N40" s="72">
        <f>COUNTIFS(缺陷明细!$A$2:$A$50000,$B$4,缺陷明细!$G$2:$G$50000,$C40,缺陷明细!$J$2:$J$50000,"系统测试案例评审",缺陷明细!$AA$2:$AA$50000,"&lt;&gt;丢弃",缺陷明细!$AA$2:$AA$50000,"&lt;&gt;设计如此",缺陷明细!$AA$2:$AA$50000,"&lt;&gt;重复Bug")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COUNTIFS(缺陷明细!$A$2:$A$50000,$B$4,缺陷明细!$G$2:$G$50000,$C40,缺陷明细!$J$2:$J$50000,"系统测试",缺陷明细!$AA$2:$AA$50000,"&lt;&gt;丢弃",缺陷明细!$AA$2:$AA$50000,"&lt;&gt;设计如此",缺陷明细!$AA$2:$AA$50000,"&lt;&gt;重复Bug")</f>
        <v>0</v>
      </c>
      <c r="Q40" s="72">
        <f>COUNTIFS(缺陷明细!$A$2:$A$50000,$B$4,缺陷明细!$G$2:$G$50000,$C40,缺陷明细!$Q$2:$Q$50000,"已关闭",缺陷明细!$J$2:$J$50000,"系统测试")</f>
        <v>0</v>
      </c>
      <c r="R40" s="72">
        <f>COUNTIFS(缺陷明细!$A$2:$A$50000,$B$4,缺陷明细!$G$2:$G$50000,$C40,缺陷明细!$AA$2:$AA$50000,"丢弃",缺陷明细!$J$2:$J$50000,"系统测试")+COUNTIFS(缺陷明细!$A$2:$A$50000,$B$4,缺陷明细!$G$2:$G$50000,$C40,缺陷明细!$AA$2:$AA$50000,"设计如此",缺陷明细!$J$2:$J$50000,"系统测试"+COUNTIFS(缺陷明细!$A$2:$A$50000,$B$4,缺陷明细!$G$2:$G$50000,$C40,缺陷明细!$AA$2:$AA$50000,"重复Bug",缺陷明细!$J$2:$J$50000,"系统测试"))</f>
        <v>0</v>
      </c>
      <c r="S40" s="72">
        <f>COUNTIFS(缺陷明细!$A$2:$A$50000,$B$4,缺陷明细!$G$2:$G$50000,$C40,缺陷明细!$J$2:$J$50000,"系统测试",缺陷明细!$K$2:$K$50000,"致命",缺陷明细!$AA$2:$AA$50000,"&lt;&gt;丢弃",缺陷明细!$AA$2:$AA$50000,"&lt;&gt;设计如此",缺陷明细!$AA$2:$AA$50000,"&lt;&gt;重复Bug")+COUNTIFS(缺陷明细!$A$2:$A$50000,$B$4,缺陷明细!$G$2:$G$50000,$C40,缺陷明细!$J$2:$J$50000,"系统测试",缺陷明细!$K$2:$K$50000,"严重",缺陷明细!$AA$2:$AA$50000,"&lt;&gt;丢弃",缺陷明细!$AA$2:$AA$50000,"&lt;&gt;设计如此",缺陷明细!$AA$2:$AA$50000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COUNTIFS(缺陷明细!$A$2:$A$50000,$B$4,缺陷明细!$G$2:$G$50000,$C40,缺陷明细!$J$2:$J$50000,"验收测试",缺陷明细!$AA$2:$AA$50000,"&lt;&gt;丢弃",缺陷明细!$AA$2:$AA$50000,"&lt;&gt;设计如此",缺陷明细!$AA$2:$AA$50000,"&lt;&gt;重复Bug")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A$2:$AA$50000,"&lt;&gt;丢弃",缺陷明细!$AA$2:$AA$50000,"&lt;&gt;设计如此",缺陷明细!$AA$2:$AA$50000,"&lt;&gt;重复Bug")+COUNTIFS(缺陷明细!$A$2:$A$50000,$B$4,缺陷明细!$G$2:$G$50000,$C40,缺陷明细!$J$2:$J$50000,"验收测试",缺陷明细!$K$2:$K$50000,"严重",缺陷明细!$AA$2:$AA$50000,"&lt;&gt;丢弃",缺陷明细!$AA$2:$AA$50000,"&lt;&gt;设计如此",缺陷明细!$AA$2:$AA$50000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COUNTIFS(缺陷明细!$A$2:$A$50000,$B$4,缺陷明细!$G$2:$G$50000,$C40,缺陷明细!$J$2:$J$50000,"运维测试",缺陷明细!$AA$2:$AA$50000,"&lt;&gt;丢弃",缺陷明细!$AA$2:$AA$50000,"&lt;&gt;设计如此",缺陷明细!$AA$2:$AA$50000,"&lt;&gt;重复Bug")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A$2:$AA$50000,"&lt;&gt;丢弃",缺陷明细!$AA$2:$AA$50000,"&lt;&gt;设计如此",缺陷明细!$AA$2:$AA$50000,"&lt;&gt;重复Bug")+COUNTIFS(缺陷明细!$A$2:$A$50000,$B$4,缺陷明细!$G$2:$G$50000,$C40,缺陷明细!$J$2:$J$50000,"运维测试",缺陷明细!$K$2:$K$50000,"严重",缺陷明细!$AA$2:$AA$50000,"&lt;&gt;丢弃",缺陷明细!$AA$2:$AA$50000,"&lt;&gt;设计如此",缺陷明细!$AA$2:$AA$50000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51"/>
    </row>
    <row r="41" spans="1:37">
      <c r="A41">
        <v>37</v>
      </c>
      <c r="B41" s="57"/>
      <c r="C41" s="58"/>
      <c r="D41" s="84"/>
      <c r="E41" s="82"/>
      <c r="F41" s="165"/>
      <c r="G41" s="166"/>
      <c r="H41" s="305">
        <f>COUNTIFS(缺陷明细!$A$2:$A$50000,$B$4,缺陷明细!$G$2:$G$50000,$C41,缺陷明细!$J$2:$J$50000,"评审",缺陷明细!$AA$2:$AA$50000,"&lt;&gt;丢弃",缺陷明细!$AA$2:$AA$50000,"&lt;&gt;设计如此",缺陷明细!$AA$2:$AA$50000,"&lt;&gt;重复Bug")</f>
        <v>0</v>
      </c>
      <c r="I41" s="161">
        <f>COUNTIFS(缺陷明细!$A$2:$A$50000,$B$4,缺陷明细!$G$2:$G$50000,$C41,缺陷明细!$Q$2:$Q$50000,"已关闭",缺陷明细!$J$2:$J$50000,"评审")</f>
        <v>0</v>
      </c>
      <c r="J41" s="161">
        <f>COUNTIFS(缺陷明细!$A$2:$A$50000,$B$4,缺陷明细!$G$2:$G$50000,$C41,缺陷明细!$J$2:$J$50000,"单元测试",缺陷明细!$AA$2:$AA$50000,"&lt;&gt;丢弃",缺陷明细!$AA$2:$AA$50000,"&lt;&gt;设计如此",缺陷明细!$AA$2:$AA$50000,"&lt;&gt;重复Bug")</f>
        <v>0</v>
      </c>
      <c r="K41" s="162">
        <f>COUNTIFS(缺陷明细!$A$2:$A$50000,$B$4,缺陷明细!$G$2:$G$50000,$C41,缺陷明细!$Q$2:$Q$50000,"已关闭",缺陷明细!$J$2:$J$50000,"单元测试")</f>
        <v>0</v>
      </c>
      <c r="L41" s="163"/>
      <c r="M41" s="164"/>
      <c r="N41" s="72">
        <f>COUNTIFS(缺陷明细!$A$2:$A$50000,$B$4,缺陷明细!$G$2:$G$50000,$C41,缺陷明细!$J$2:$J$50000,"系统测试案例评审",缺陷明细!$AA$2:$AA$50000,"&lt;&gt;丢弃",缺陷明细!$AA$2:$AA$50000,"&lt;&gt;设计如此",缺陷明细!$AA$2:$AA$50000,"&lt;&gt;重复Bug")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COUNTIFS(缺陷明细!$A$2:$A$50000,$B$4,缺陷明细!$G$2:$G$50000,$C41,缺陷明细!$J$2:$J$50000,"系统测试",缺陷明细!$AA$2:$AA$50000,"&lt;&gt;丢弃",缺陷明细!$AA$2:$AA$50000,"&lt;&gt;设计如此",缺陷明细!$AA$2:$AA$50000,"&lt;&gt;重复Bug")</f>
        <v>0</v>
      </c>
      <c r="Q41" s="72">
        <f>COUNTIFS(缺陷明细!$A$2:$A$50000,$B$4,缺陷明细!$G$2:$G$50000,$C41,缺陷明细!$Q$2:$Q$50000,"已关闭",缺陷明细!$J$2:$J$50000,"系统测试")</f>
        <v>0</v>
      </c>
      <c r="R41" s="72">
        <f>COUNTIFS(缺陷明细!$A$2:$A$50000,$B$4,缺陷明细!$G$2:$G$50000,$C41,缺陷明细!$AA$2:$AA$50000,"丢弃",缺陷明细!$J$2:$J$50000,"系统测试")+COUNTIFS(缺陷明细!$A$2:$A$50000,$B$4,缺陷明细!$G$2:$G$50000,$C41,缺陷明细!$AA$2:$AA$50000,"设计如此",缺陷明细!$J$2:$J$50000,"系统测试"+COUNTIFS(缺陷明细!$A$2:$A$50000,$B$4,缺陷明细!$G$2:$G$50000,$C41,缺陷明细!$AA$2:$AA$50000,"重复Bug",缺陷明细!$J$2:$J$50000,"系统测试"))</f>
        <v>0</v>
      </c>
      <c r="S41" s="72">
        <f>COUNTIFS(缺陷明细!$A$2:$A$50000,$B$4,缺陷明细!$G$2:$G$50000,$C41,缺陷明细!$J$2:$J$50000,"系统测试",缺陷明细!$K$2:$K$50000,"致命",缺陷明细!$AA$2:$AA$50000,"&lt;&gt;丢弃",缺陷明细!$AA$2:$AA$50000,"&lt;&gt;设计如此",缺陷明细!$AA$2:$AA$50000,"&lt;&gt;重复Bug")+COUNTIFS(缺陷明细!$A$2:$A$50000,$B$4,缺陷明细!$G$2:$G$50000,$C41,缺陷明细!$J$2:$J$50000,"系统测试",缺陷明细!$K$2:$K$50000,"严重",缺陷明细!$AA$2:$AA$50000,"&lt;&gt;丢弃",缺陷明细!$AA$2:$AA$50000,"&lt;&gt;设计如此",缺陷明细!$AA$2:$AA$50000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COUNTIFS(缺陷明细!$A$2:$A$50000,$B$4,缺陷明细!$G$2:$G$50000,$C41,缺陷明细!$J$2:$J$50000,"验收测试",缺陷明细!$AA$2:$AA$50000,"&lt;&gt;丢弃",缺陷明细!$AA$2:$AA$50000,"&lt;&gt;设计如此",缺陷明细!$AA$2:$AA$50000,"&lt;&gt;重复Bug")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A$2:$AA$50000,"&lt;&gt;丢弃",缺陷明细!$AA$2:$AA$50000,"&lt;&gt;设计如此",缺陷明细!$AA$2:$AA$50000,"&lt;&gt;重复Bug")+COUNTIFS(缺陷明细!$A$2:$A$50000,$B$4,缺陷明细!$G$2:$G$50000,$C41,缺陷明细!$J$2:$J$50000,"验收测试",缺陷明细!$K$2:$K$50000,"严重",缺陷明细!$AA$2:$AA$50000,"&lt;&gt;丢弃",缺陷明细!$AA$2:$AA$50000,"&lt;&gt;设计如此",缺陷明细!$AA$2:$AA$50000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COUNTIFS(缺陷明细!$A$2:$A$50000,$B$4,缺陷明细!$G$2:$G$50000,$C41,缺陷明细!$J$2:$J$50000,"运维测试",缺陷明细!$AA$2:$AA$50000,"&lt;&gt;丢弃",缺陷明细!$AA$2:$AA$50000,"&lt;&gt;设计如此",缺陷明细!$AA$2:$AA$50000,"&lt;&gt;重复Bug")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A$2:$AA$50000,"&lt;&gt;丢弃",缺陷明细!$AA$2:$AA$50000,"&lt;&gt;设计如此",缺陷明细!$AA$2:$AA$50000,"&lt;&gt;重复Bug")+COUNTIFS(缺陷明细!$A$2:$A$50000,$B$4,缺陷明细!$G$2:$G$50000,$C41,缺陷明细!$J$2:$J$50000,"运维测试",缺陷明细!$K$2:$K$50000,"严重",缺陷明细!$AA$2:$AA$50000,"&lt;&gt;丢弃",缺陷明细!$AA$2:$AA$50000,"&lt;&gt;设计如此",缺陷明细!$AA$2:$AA$50000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51"/>
    </row>
    <row r="42" spans="1:37">
      <c r="A42">
        <v>38</v>
      </c>
      <c r="B42" s="57"/>
      <c r="C42" s="58"/>
      <c r="D42" s="84"/>
      <c r="E42" s="82"/>
      <c r="F42" s="165"/>
      <c r="G42" s="166"/>
      <c r="H42" s="305">
        <f>COUNTIFS(缺陷明细!$A$2:$A$50000,$B$4,缺陷明细!$G$2:$G$50000,$C42,缺陷明细!$J$2:$J$50000,"评审",缺陷明细!$AA$2:$AA$50000,"&lt;&gt;丢弃",缺陷明细!$AA$2:$AA$50000,"&lt;&gt;设计如此",缺陷明细!$AA$2:$AA$50000,"&lt;&gt;重复Bug")</f>
        <v>0</v>
      </c>
      <c r="I42" s="161">
        <f>COUNTIFS(缺陷明细!$A$2:$A$50000,$B$4,缺陷明细!$G$2:$G$50000,$C42,缺陷明细!$Q$2:$Q$50000,"已关闭",缺陷明细!$J$2:$J$50000,"评审")</f>
        <v>0</v>
      </c>
      <c r="J42" s="161">
        <f>COUNTIFS(缺陷明细!$A$2:$A$50000,$B$4,缺陷明细!$G$2:$G$50000,$C42,缺陷明细!$J$2:$J$50000,"单元测试",缺陷明细!$AA$2:$AA$50000,"&lt;&gt;丢弃",缺陷明细!$AA$2:$AA$50000,"&lt;&gt;设计如此",缺陷明细!$AA$2:$AA$50000,"&lt;&gt;重复Bug")</f>
        <v>0</v>
      </c>
      <c r="K42" s="162">
        <f>COUNTIFS(缺陷明细!$A$2:$A$50000,$B$4,缺陷明细!$G$2:$G$50000,$C42,缺陷明细!$Q$2:$Q$50000,"已关闭",缺陷明细!$J$2:$J$50000,"单元测试")</f>
        <v>0</v>
      </c>
      <c r="L42" s="163"/>
      <c r="M42" s="164"/>
      <c r="N42" s="72">
        <f>COUNTIFS(缺陷明细!$A$2:$A$50000,$B$4,缺陷明细!$G$2:$G$50000,$C42,缺陷明细!$J$2:$J$50000,"系统测试案例评审",缺陷明细!$AA$2:$AA$50000,"&lt;&gt;丢弃",缺陷明细!$AA$2:$AA$50000,"&lt;&gt;设计如此",缺陷明细!$AA$2:$AA$50000,"&lt;&gt;重复Bug")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COUNTIFS(缺陷明细!$A$2:$A$50000,$B$4,缺陷明细!$G$2:$G$50000,$C42,缺陷明细!$J$2:$J$50000,"系统测试",缺陷明细!$AA$2:$AA$50000,"&lt;&gt;丢弃",缺陷明细!$AA$2:$AA$50000,"&lt;&gt;设计如此",缺陷明细!$AA$2:$AA$50000,"&lt;&gt;重复Bug")</f>
        <v>0</v>
      </c>
      <c r="Q42" s="72">
        <f>COUNTIFS(缺陷明细!$A$2:$A$50000,$B$4,缺陷明细!$G$2:$G$50000,$C42,缺陷明细!$Q$2:$Q$50000,"已关闭",缺陷明细!$J$2:$J$50000,"系统测试")</f>
        <v>0</v>
      </c>
      <c r="R42" s="72">
        <f>COUNTIFS(缺陷明细!$A$2:$A$50000,$B$4,缺陷明细!$G$2:$G$50000,$C42,缺陷明细!$AA$2:$AA$50000,"丢弃",缺陷明细!$J$2:$J$50000,"系统测试")+COUNTIFS(缺陷明细!$A$2:$A$50000,$B$4,缺陷明细!$G$2:$G$50000,$C42,缺陷明细!$AA$2:$AA$50000,"设计如此",缺陷明细!$J$2:$J$50000,"系统测试"+COUNTIFS(缺陷明细!$A$2:$A$50000,$B$4,缺陷明细!$G$2:$G$50000,$C42,缺陷明细!$AA$2:$AA$50000,"重复Bug",缺陷明细!$J$2:$J$50000,"系统测试"))</f>
        <v>0</v>
      </c>
      <c r="S42" s="72">
        <f>COUNTIFS(缺陷明细!$A$2:$A$50000,$B$4,缺陷明细!$G$2:$G$50000,$C42,缺陷明细!$J$2:$J$50000,"系统测试",缺陷明细!$K$2:$K$50000,"致命",缺陷明细!$AA$2:$AA$50000,"&lt;&gt;丢弃",缺陷明细!$AA$2:$AA$50000,"&lt;&gt;设计如此",缺陷明细!$AA$2:$AA$50000,"&lt;&gt;重复Bug")+COUNTIFS(缺陷明细!$A$2:$A$50000,$B$4,缺陷明细!$G$2:$G$50000,$C42,缺陷明细!$J$2:$J$50000,"系统测试",缺陷明细!$K$2:$K$50000,"严重",缺陷明细!$AA$2:$AA$50000,"&lt;&gt;丢弃",缺陷明细!$AA$2:$AA$50000,"&lt;&gt;设计如此",缺陷明细!$AA$2:$AA$50000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COUNTIFS(缺陷明细!$A$2:$A$50000,$B$4,缺陷明细!$G$2:$G$50000,$C42,缺陷明细!$J$2:$J$50000,"验收测试",缺陷明细!$AA$2:$AA$50000,"&lt;&gt;丢弃",缺陷明细!$AA$2:$AA$50000,"&lt;&gt;设计如此",缺陷明细!$AA$2:$AA$50000,"&lt;&gt;重复Bug")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A$2:$AA$50000,"&lt;&gt;丢弃",缺陷明细!$AA$2:$AA$50000,"&lt;&gt;设计如此",缺陷明细!$AA$2:$AA$50000,"&lt;&gt;重复Bug")+COUNTIFS(缺陷明细!$A$2:$A$50000,$B$4,缺陷明细!$G$2:$G$50000,$C42,缺陷明细!$J$2:$J$50000,"验收测试",缺陷明细!$K$2:$K$50000,"严重",缺陷明细!$AA$2:$AA$50000,"&lt;&gt;丢弃",缺陷明细!$AA$2:$AA$50000,"&lt;&gt;设计如此",缺陷明细!$AA$2:$AA$50000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COUNTIFS(缺陷明细!$A$2:$A$50000,$B$4,缺陷明细!$G$2:$G$50000,$C42,缺陷明细!$J$2:$J$50000,"运维测试",缺陷明细!$AA$2:$AA$50000,"&lt;&gt;丢弃",缺陷明细!$AA$2:$AA$50000,"&lt;&gt;设计如此",缺陷明细!$AA$2:$AA$50000,"&lt;&gt;重复Bug")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A$2:$AA$50000,"&lt;&gt;丢弃",缺陷明细!$AA$2:$AA$50000,"&lt;&gt;设计如此",缺陷明细!$AA$2:$AA$50000,"&lt;&gt;重复Bug")+COUNTIFS(缺陷明细!$A$2:$A$50000,$B$4,缺陷明细!$G$2:$G$50000,$C42,缺陷明细!$J$2:$J$50000,"运维测试",缺陷明细!$K$2:$K$50000,"严重",缺陷明细!$AA$2:$AA$50000,"&lt;&gt;丢弃",缺陷明细!$AA$2:$AA$50000,"&lt;&gt;设计如此",缺陷明细!$AA$2:$AA$50000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51"/>
    </row>
    <row r="43" spans="1:37">
      <c r="A43">
        <v>39</v>
      </c>
      <c r="B43" s="57"/>
      <c r="C43" s="58"/>
      <c r="D43" s="84"/>
      <c r="E43" s="82"/>
      <c r="F43" s="165"/>
      <c r="G43" s="166"/>
      <c r="H43" s="305">
        <f>COUNTIFS(缺陷明细!$A$2:$A$50000,$B$4,缺陷明细!$G$2:$G$50000,$C43,缺陷明细!$J$2:$J$50000,"评审",缺陷明细!$AA$2:$AA$50000,"&lt;&gt;丢弃",缺陷明细!$AA$2:$AA$50000,"&lt;&gt;设计如此",缺陷明细!$AA$2:$AA$50000,"&lt;&gt;重复Bug")</f>
        <v>0</v>
      </c>
      <c r="I43" s="161">
        <f>COUNTIFS(缺陷明细!$A$2:$A$50000,$B$4,缺陷明细!$G$2:$G$50000,$C43,缺陷明细!$Q$2:$Q$50000,"已关闭",缺陷明细!$J$2:$J$50000,"评审")</f>
        <v>0</v>
      </c>
      <c r="J43" s="161">
        <f>COUNTIFS(缺陷明细!$A$2:$A$50000,$B$4,缺陷明细!$G$2:$G$50000,$C43,缺陷明细!$J$2:$J$50000,"单元测试",缺陷明细!$AA$2:$AA$50000,"&lt;&gt;丢弃",缺陷明细!$AA$2:$AA$50000,"&lt;&gt;设计如此",缺陷明细!$AA$2:$AA$50000,"&lt;&gt;重复Bug")</f>
        <v>0</v>
      </c>
      <c r="K43" s="162">
        <f>COUNTIFS(缺陷明细!$A$2:$A$50000,$B$4,缺陷明细!$G$2:$G$50000,$C43,缺陷明细!$Q$2:$Q$50000,"已关闭",缺陷明细!$J$2:$J$50000,"单元测试")</f>
        <v>0</v>
      </c>
      <c r="L43" s="163"/>
      <c r="M43" s="164"/>
      <c r="N43" s="72">
        <f>COUNTIFS(缺陷明细!$A$2:$A$50000,$B$4,缺陷明细!$G$2:$G$50000,$C43,缺陷明细!$J$2:$J$50000,"系统测试案例评审",缺陷明细!$AA$2:$AA$50000,"&lt;&gt;丢弃",缺陷明细!$AA$2:$AA$50000,"&lt;&gt;设计如此",缺陷明细!$AA$2:$AA$50000,"&lt;&gt;重复Bug")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COUNTIFS(缺陷明细!$A$2:$A$50000,$B$4,缺陷明细!$G$2:$G$50000,$C43,缺陷明细!$J$2:$J$50000,"系统测试",缺陷明细!$AA$2:$AA$50000,"&lt;&gt;丢弃",缺陷明细!$AA$2:$AA$50000,"&lt;&gt;设计如此",缺陷明细!$AA$2:$AA$50000,"&lt;&gt;重复Bug")</f>
        <v>0</v>
      </c>
      <c r="Q43" s="72">
        <f>COUNTIFS(缺陷明细!$A$2:$A$50000,$B$4,缺陷明细!$G$2:$G$50000,$C43,缺陷明细!$Q$2:$Q$50000,"已关闭",缺陷明细!$J$2:$J$50000,"系统测试")</f>
        <v>0</v>
      </c>
      <c r="R43" s="72">
        <f>COUNTIFS(缺陷明细!$A$2:$A$50000,$B$4,缺陷明细!$G$2:$G$50000,$C43,缺陷明细!$AA$2:$AA$50000,"丢弃",缺陷明细!$J$2:$J$50000,"系统测试")+COUNTIFS(缺陷明细!$A$2:$A$50000,$B$4,缺陷明细!$G$2:$G$50000,$C43,缺陷明细!$AA$2:$AA$50000,"设计如此",缺陷明细!$J$2:$J$50000,"系统测试"+COUNTIFS(缺陷明细!$A$2:$A$50000,$B$4,缺陷明细!$G$2:$G$50000,$C43,缺陷明细!$AA$2:$AA$50000,"重复Bug",缺陷明细!$J$2:$J$50000,"系统测试"))</f>
        <v>0</v>
      </c>
      <c r="S43" s="72">
        <f>COUNTIFS(缺陷明细!$A$2:$A$50000,$B$4,缺陷明细!$G$2:$G$50000,$C43,缺陷明细!$J$2:$J$50000,"系统测试",缺陷明细!$K$2:$K$50000,"致命",缺陷明细!$AA$2:$AA$50000,"&lt;&gt;丢弃",缺陷明细!$AA$2:$AA$50000,"&lt;&gt;设计如此",缺陷明细!$AA$2:$AA$50000,"&lt;&gt;重复Bug")+COUNTIFS(缺陷明细!$A$2:$A$50000,$B$4,缺陷明细!$G$2:$G$50000,$C43,缺陷明细!$J$2:$J$50000,"系统测试",缺陷明细!$K$2:$K$50000,"严重",缺陷明细!$AA$2:$AA$50000,"&lt;&gt;丢弃",缺陷明细!$AA$2:$AA$50000,"&lt;&gt;设计如此",缺陷明细!$AA$2:$AA$50000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COUNTIFS(缺陷明细!$A$2:$A$50000,$B$4,缺陷明细!$G$2:$G$50000,$C43,缺陷明细!$J$2:$J$50000,"验收测试",缺陷明细!$AA$2:$AA$50000,"&lt;&gt;丢弃",缺陷明细!$AA$2:$AA$50000,"&lt;&gt;设计如此",缺陷明细!$AA$2:$AA$50000,"&lt;&gt;重复Bug")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A$2:$AA$50000,"&lt;&gt;丢弃",缺陷明细!$AA$2:$AA$50000,"&lt;&gt;设计如此",缺陷明细!$AA$2:$AA$50000,"&lt;&gt;重复Bug")+COUNTIFS(缺陷明细!$A$2:$A$50000,$B$4,缺陷明细!$G$2:$G$50000,$C43,缺陷明细!$J$2:$J$50000,"验收测试",缺陷明细!$K$2:$K$50000,"严重",缺陷明细!$AA$2:$AA$50000,"&lt;&gt;丢弃",缺陷明细!$AA$2:$AA$50000,"&lt;&gt;设计如此",缺陷明细!$AA$2:$AA$50000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COUNTIFS(缺陷明细!$A$2:$A$50000,$B$4,缺陷明细!$G$2:$G$50000,$C43,缺陷明细!$J$2:$J$50000,"运维测试",缺陷明细!$AA$2:$AA$50000,"&lt;&gt;丢弃",缺陷明细!$AA$2:$AA$50000,"&lt;&gt;设计如此",缺陷明细!$AA$2:$AA$50000,"&lt;&gt;重复Bug")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A$2:$AA$50000,"&lt;&gt;丢弃",缺陷明细!$AA$2:$AA$50000,"&lt;&gt;设计如此",缺陷明细!$AA$2:$AA$50000,"&lt;&gt;重复Bug")+COUNTIFS(缺陷明细!$A$2:$A$50000,$B$4,缺陷明细!$G$2:$G$50000,$C43,缺陷明细!$J$2:$J$50000,"运维测试",缺陷明细!$K$2:$K$50000,"严重",缺陷明细!$AA$2:$AA$50000,"&lt;&gt;丢弃",缺陷明细!$AA$2:$AA$50000,"&lt;&gt;设计如此",缺陷明细!$AA$2:$AA$50000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51"/>
    </row>
    <row r="44" spans="1:37">
      <c r="A44">
        <v>40</v>
      </c>
      <c r="B44" s="57"/>
      <c r="C44" s="58"/>
      <c r="D44" s="84"/>
      <c r="E44" s="82"/>
      <c r="F44" s="165"/>
      <c r="G44" s="166"/>
      <c r="H44" s="305">
        <f>COUNTIFS(缺陷明细!$A$2:$A$50000,$B$4,缺陷明细!$G$2:$G$50000,$C44,缺陷明细!$J$2:$J$50000,"评审",缺陷明细!$AA$2:$AA$50000,"&lt;&gt;丢弃",缺陷明细!$AA$2:$AA$50000,"&lt;&gt;设计如此",缺陷明细!$AA$2:$AA$50000,"&lt;&gt;重复Bug")</f>
        <v>0</v>
      </c>
      <c r="I44" s="161">
        <f>COUNTIFS(缺陷明细!$A$2:$A$50000,$B$4,缺陷明细!$G$2:$G$50000,$C44,缺陷明细!$Q$2:$Q$50000,"已关闭",缺陷明细!$J$2:$J$50000,"评审")</f>
        <v>0</v>
      </c>
      <c r="J44" s="161">
        <f>COUNTIFS(缺陷明细!$A$2:$A$50000,$B$4,缺陷明细!$G$2:$G$50000,$C44,缺陷明细!$J$2:$J$50000,"单元测试",缺陷明细!$AA$2:$AA$50000,"&lt;&gt;丢弃",缺陷明细!$AA$2:$AA$50000,"&lt;&gt;设计如此",缺陷明细!$AA$2:$AA$50000,"&lt;&gt;重复Bug")</f>
        <v>0</v>
      </c>
      <c r="K44" s="162">
        <f>COUNTIFS(缺陷明细!$A$2:$A$50000,$B$4,缺陷明细!$G$2:$G$50000,$C44,缺陷明细!$Q$2:$Q$50000,"已关闭",缺陷明细!$J$2:$J$50000,"单元测试")</f>
        <v>0</v>
      </c>
      <c r="L44" s="163"/>
      <c r="M44" s="164"/>
      <c r="N44" s="72">
        <f>COUNTIFS(缺陷明细!$A$2:$A$50000,$B$4,缺陷明细!$G$2:$G$50000,$C44,缺陷明细!$J$2:$J$50000,"系统测试案例评审",缺陷明细!$AA$2:$AA$50000,"&lt;&gt;丢弃",缺陷明细!$AA$2:$AA$50000,"&lt;&gt;设计如此",缺陷明细!$AA$2:$AA$50000,"&lt;&gt;重复Bug")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COUNTIFS(缺陷明细!$A$2:$A$50000,$B$4,缺陷明细!$G$2:$G$50000,$C44,缺陷明细!$J$2:$J$50000,"系统测试",缺陷明细!$AA$2:$AA$50000,"&lt;&gt;丢弃",缺陷明细!$AA$2:$AA$50000,"&lt;&gt;设计如此",缺陷明细!$AA$2:$AA$50000,"&lt;&gt;重复Bug")</f>
        <v>0</v>
      </c>
      <c r="Q44" s="72">
        <f>COUNTIFS(缺陷明细!$A$2:$A$50000,$B$4,缺陷明细!$G$2:$G$50000,$C44,缺陷明细!$Q$2:$Q$50000,"已关闭",缺陷明细!$J$2:$J$50000,"系统测试")</f>
        <v>0</v>
      </c>
      <c r="R44" s="72">
        <f>COUNTIFS(缺陷明细!$A$2:$A$50000,$B$4,缺陷明细!$G$2:$G$50000,$C44,缺陷明细!$AA$2:$AA$50000,"丢弃",缺陷明细!$J$2:$J$50000,"系统测试")+COUNTIFS(缺陷明细!$A$2:$A$50000,$B$4,缺陷明细!$G$2:$G$50000,$C44,缺陷明细!$AA$2:$AA$50000,"设计如此",缺陷明细!$J$2:$J$50000,"系统测试"+COUNTIFS(缺陷明细!$A$2:$A$50000,$B$4,缺陷明细!$G$2:$G$50000,$C44,缺陷明细!$AA$2:$AA$50000,"重复Bug",缺陷明细!$J$2:$J$50000,"系统测试"))</f>
        <v>0</v>
      </c>
      <c r="S44" s="72">
        <f>COUNTIFS(缺陷明细!$A$2:$A$50000,$B$4,缺陷明细!$G$2:$G$50000,$C44,缺陷明细!$J$2:$J$50000,"系统测试",缺陷明细!$K$2:$K$50000,"致命",缺陷明细!$AA$2:$AA$50000,"&lt;&gt;丢弃",缺陷明细!$AA$2:$AA$50000,"&lt;&gt;设计如此",缺陷明细!$AA$2:$AA$50000,"&lt;&gt;重复Bug")+COUNTIFS(缺陷明细!$A$2:$A$50000,$B$4,缺陷明细!$G$2:$G$50000,$C44,缺陷明细!$J$2:$J$50000,"系统测试",缺陷明细!$K$2:$K$50000,"严重",缺陷明细!$AA$2:$AA$50000,"&lt;&gt;丢弃",缺陷明细!$AA$2:$AA$50000,"&lt;&gt;设计如此",缺陷明细!$AA$2:$AA$50000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COUNTIFS(缺陷明细!$A$2:$A$50000,$B$4,缺陷明细!$G$2:$G$50000,$C44,缺陷明细!$J$2:$J$50000,"验收测试",缺陷明细!$AA$2:$AA$50000,"&lt;&gt;丢弃",缺陷明细!$AA$2:$AA$50000,"&lt;&gt;设计如此",缺陷明细!$AA$2:$AA$50000,"&lt;&gt;重复Bug")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A$2:$AA$50000,"&lt;&gt;丢弃",缺陷明细!$AA$2:$AA$50000,"&lt;&gt;设计如此",缺陷明细!$AA$2:$AA$50000,"&lt;&gt;重复Bug")+COUNTIFS(缺陷明细!$A$2:$A$50000,$B$4,缺陷明细!$G$2:$G$50000,$C44,缺陷明细!$J$2:$J$50000,"验收测试",缺陷明细!$K$2:$K$50000,"严重",缺陷明细!$AA$2:$AA$50000,"&lt;&gt;丢弃",缺陷明细!$AA$2:$AA$50000,"&lt;&gt;设计如此",缺陷明细!$AA$2:$AA$50000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COUNTIFS(缺陷明细!$A$2:$A$50000,$B$4,缺陷明细!$G$2:$G$50000,$C44,缺陷明细!$J$2:$J$50000,"运维测试",缺陷明细!$AA$2:$AA$50000,"&lt;&gt;丢弃",缺陷明细!$AA$2:$AA$50000,"&lt;&gt;设计如此",缺陷明细!$AA$2:$AA$50000,"&lt;&gt;重复Bug")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A$2:$AA$50000,"&lt;&gt;丢弃",缺陷明细!$AA$2:$AA$50000,"&lt;&gt;设计如此",缺陷明细!$AA$2:$AA$50000,"&lt;&gt;重复Bug")+COUNTIFS(缺陷明细!$A$2:$A$50000,$B$4,缺陷明细!$G$2:$G$50000,$C44,缺陷明细!$J$2:$J$50000,"运维测试",缺陷明细!$K$2:$K$50000,"严重",缺陷明细!$AA$2:$AA$50000,"&lt;&gt;丢弃",缺陷明细!$AA$2:$AA$50000,"&lt;&gt;设计如此",缺陷明细!$AA$2:$AA$50000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51"/>
    </row>
    <row r="45" spans="1:37">
      <c r="A45">
        <v>41</v>
      </c>
      <c r="B45" s="57"/>
      <c r="C45" s="58"/>
      <c r="D45" s="84"/>
      <c r="E45" s="82"/>
      <c r="F45" s="165"/>
      <c r="G45" s="166"/>
      <c r="H45" s="305">
        <f>COUNTIFS(缺陷明细!$A$2:$A$50000,$B$4,缺陷明细!$G$2:$G$50000,$C45,缺陷明细!$J$2:$J$50000,"评审",缺陷明细!$AA$2:$AA$50000,"&lt;&gt;丢弃",缺陷明细!$AA$2:$AA$50000,"&lt;&gt;设计如此",缺陷明细!$AA$2:$AA$50000,"&lt;&gt;重复Bug")</f>
        <v>0</v>
      </c>
      <c r="I45" s="161">
        <f>COUNTIFS(缺陷明细!$A$2:$A$50000,$B$4,缺陷明细!$G$2:$G$50000,$C45,缺陷明细!$Q$2:$Q$50000,"已关闭",缺陷明细!$J$2:$J$50000,"评审")</f>
        <v>0</v>
      </c>
      <c r="J45" s="161">
        <f>COUNTIFS(缺陷明细!$A$2:$A$50000,$B$4,缺陷明细!$G$2:$G$50000,$C45,缺陷明细!$J$2:$J$50000,"单元测试",缺陷明细!$AA$2:$AA$50000,"&lt;&gt;丢弃",缺陷明细!$AA$2:$AA$50000,"&lt;&gt;设计如此",缺陷明细!$AA$2:$AA$50000,"&lt;&gt;重复Bug")</f>
        <v>0</v>
      </c>
      <c r="K45" s="162">
        <f>COUNTIFS(缺陷明细!$A$2:$A$50000,$B$4,缺陷明细!$G$2:$G$50000,$C45,缺陷明细!$Q$2:$Q$50000,"已关闭",缺陷明细!$J$2:$J$50000,"单元测试")</f>
        <v>0</v>
      </c>
      <c r="L45" s="163"/>
      <c r="M45" s="164"/>
      <c r="N45" s="72">
        <f>COUNTIFS(缺陷明细!$A$2:$A$50000,$B$4,缺陷明细!$G$2:$G$50000,$C45,缺陷明细!$J$2:$J$50000,"系统测试案例评审",缺陷明细!$AA$2:$AA$50000,"&lt;&gt;丢弃",缺陷明细!$AA$2:$AA$50000,"&lt;&gt;设计如此",缺陷明细!$AA$2:$AA$50000,"&lt;&gt;重复Bug")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COUNTIFS(缺陷明细!$A$2:$A$50000,$B$4,缺陷明细!$G$2:$G$50000,$C45,缺陷明细!$J$2:$J$50000,"系统测试",缺陷明细!$AA$2:$AA$50000,"&lt;&gt;丢弃",缺陷明细!$AA$2:$AA$50000,"&lt;&gt;设计如此",缺陷明细!$AA$2:$AA$50000,"&lt;&gt;重复Bug")</f>
        <v>0</v>
      </c>
      <c r="Q45" s="72">
        <f>COUNTIFS(缺陷明细!$A$2:$A$50000,$B$4,缺陷明细!$G$2:$G$50000,$C45,缺陷明细!$Q$2:$Q$50000,"已关闭",缺陷明细!$J$2:$J$50000,"系统测试")</f>
        <v>0</v>
      </c>
      <c r="R45" s="72">
        <f>COUNTIFS(缺陷明细!$A$2:$A$50000,$B$4,缺陷明细!$G$2:$G$50000,$C45,缺陷明细!$AA$2:$AA$50000,"丢弃",缺陷明细!$J$2:$J$50000,"系统测试")+COUNTIFS(缺陷明细!$A$2:$A$50000,$B$4,缺陷明细!$G$2:$G$50000,$C45,缺陷明细!$AA$2:$AA$50000,"设计如此",缺陷明细!$J$2:$J$50000,"系统测试"+COUNTIFS(缺陷明细!$A$2:$A$50000,$B$4,缺陷明细!$G$2:$G$50000,$C45,缺陷明细!$AA$2:$AA$50000,"重复Bug",缺陷明细!$J$2:$J$50000,"系统测试"))</f>
        <v>0</v>
      </c>
      <c r="S45" s="72">
        <f>COUNTIFS(缺陷明细!$A$2:$A$50000,$B$4,缺陷明细!$G$2:$G$50000,$C45,缺陷明细!$J$2:$J$50000,"系统测试",缺陷明细!$K$2:$K$50000,"致命",缺陷明细!$AA$2:$AA$50000,"&lt;&gt;丢弃",缺陷明细!$AA$2:$AA$50000,"&lt;&gt;设计如此",缺陷明细!$AA$2:$AA$50000,"&lt;&gt;重复Bug")+COUNTIFS(缺陷明细!$A$2:$A$50000,$B$4,缺陷明细!$G$2:$G$50000,$C45,缺陷明细!$J$2:$J$50000,"系统测试",缺陷明细!$K$2:$K$50000,"严重",缺陷明细!$AA$2:$AA$50000,"&lt;&gt;丢弃",缺陷明细!$AA$2:$AA$50000,"&lt;&gt;设计如此",缺陷明细!$AA$2:$AA$50000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COUNTIFS(缺陷明细!$A$2:$A$50000,$B$4,缺陷明细!$G$2:$G$50000,$C45,缺陷明细!$J$2:$J$50000,"验收测试",缺陷明细!$AA$2:$AA$50000,"&lt;&gt;丢弃",缺陷明细!$AA$2:$AA$50000,"&lt;&gt;设计如此",缺陷明细!$AA$2:$AA$50000,"&lt;&gt;重复Bug")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A$2:$AA$50000,"&lt;&gt;丢弃",缺陷明细!$AA$2:$AA$50000,"&lt;&gt;设计如此",缺陷明细!$AA$2:$AA$50000,"&lt;&gt;重复Bug")+COUNTIFS(缺陷明细!$A$2:$A$50000,$B$4,缺陷明细!$G$2:$G$50000,$C45,缺陷明细!$J$2:$J$50000,"验收测试",缺陷明细!$K$2:$K$50000,"严重",缺陷明细!$AA$2:$AA$50000,"&lt;&gt;丢弃",缺陷明细!$AA$2:$AA$50000,"&lt;&gt;设计如此",缺陷明细!$AA$2:$AA$50000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COUNTIFS(缺陷明细!$A$2:$A$50000,$B$4,缺陷明细!$G$2:$G$50000,$C45,缺陷明细!$J$2:$J$50000,"运维测试",缺陷明细!$AA$2:$AA$50000,"&lt;&gt;丢弃",缺陷明细!$AA$2:$AA$50000,"&lt;&gt;设计如此",缺陷明细!$AA$2:$AA$50000,"&lt;&gt;重复Bug")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A$2:$AA$50000,"&lt;&gt;丢弃",缺陷明细!$AA$2:$AA$50000,"&lt;&gt;设计如此",缺陷明细!$AA$2:$AA$50000,"&lt;&gt;重复Bug")+COUNTIFS(缺陷明细!$A$2:$A$50000,$B$4,缺陷明细!$G$2:$G$50000,$C45,缺陷明细!$J$2:$J$50000,"运维测试",缺陷明细!$K$2:$K$50000,"严重",缺陷明细!$AA$2:$AA$50000,"&lt;&gt;丢弃",缺陷明细!$AA$2:$AA$50000,"&lt;&gt;设计如此",缺陷明细!$AA$2:$AA$50000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51"/>
    </row>
    <row r="46" spans="1:37">
      <c r="A46">
        <v>42</v>
      </c>
      <c r="B46" s="57"/>
      <c r="C46" s="58"/>
      <c r="D46" s="84"/>
      <c r="E46" s="82"/>
      <c r="F46" s="165"/>
      <c r="G46" s="166"/>
      <c r="H46" s="305">
        <f>COUNTIFS(缺陷明细!$A$2:$A$50000,$B$4,缺陷明细!$G$2:$G$50000,$C46,缺陷明细!$J$2:$J$50000,"评审",缺陷明细!$AA$2:$AA$50000,"&lt;&gt;丢弃",缺陷明细!$AA$2:$AA$50000,"&lt;&gt;设计如此",缺陷明细!$AA$2:$AA$50000,"&lt;&gt;重复Bug")</f>
        <v>0</v>
      </c>
      <c r="I46" s="161">
        <f>COUNTIFS(缺陷明细!$A$2:$A$50000,$B$4,缺陷明细!$G$2:$G$50000,$C46,缺陷明细!$Q$2:$Q$50000,"已关闭",缺陷明细!$J$2:$J$50000,"评审")</f>
        <v>0</v>
      </c>
      <c r="J46" s="161">
        <f>COUNTIFS(缺陷明细!$A$2:$A$50000,$B$4,缺陷明细!$G$2:$G$50000,$C46,缺陷明细!$J$2:$J$50000,"单元测试",缺陷明细!$AA$2:$AA$50000,"&lt;&gt;丢弃",缺陷明细!$AA$2:$AA$50000,"&lt;&gt;设计如此",缺陷明细!$AA$2:$AA$50000,"&lt;&gt;重复Bug")</f>
        <v>0</v>
      </c>
      <c r="K46" s="162">
        <f>COUNTIFS(缺陷明细!$A$2:$A$50000,$B$4,缺陷明细!$G$2:$G$50000,$C46,缺陷明细!$Q$2:$Q$50000,"已关闭",缺陷明细!$J$2:$J$50000,"单元测试")</f>
        <v>0</v>
      </c>
      <c r="L46" s="163"/>
      <c r="M46" s="164"/>
      <c r="N46" s="72">
        <f>COUNTIFS(缺陷明细!$A$2:$A$50000,$B$4,缺陷明细!$G$2:$G$50000,$C46,缺陷明细!$J$2:$J$50000,"系统测试案例评审",缺陷明细!$AA$2:$AA$50000,"&lt;&gt;丢弃",缺陷明细!$AA$2:$AA$50000,"&lt;&gt;设计如此",缺陷明细!$AA$2:$AA$50000,"&lt;&gt;重复Bug")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COUNTIFS(缺陷明细!$A$2:$A$50000,$B$4,缺陷明细!$G$2:$G$50000,$C46,缺陷明细!$J$2:$J$50000,"系统测试",缺陷明细!$AA$2:$AA$50000,"&lt;&gt;丢弃",缺陷明细!$AA$2:$AA$50000,"&lt;&gt;设计如此",缺陷明细!$AA$2:$AA$50000,"&lt;&gt;重复Bug")</f>
        <v>0</v>
      </c>
      <c r="Q46" s="72">
        <f>COUNTIFS(缺陷明细!$A$2:$A$50000,$B$4,缺陷明细!$G$2:$G$50000,$C46,缺陷明细!$Q$2:$Q$50000,"已关闭",缺陷明细!$J$2:$J$50000,"系统测试")</f>
        <v>0</v>
      </c>
      <c r="R46" s="72">
        <f>COUNTIFS(缺陷明细!$A$2:$A$50000,$B$4,缺陷明细!$G$2:$G$50000,$C46,缺陷明细!$AA$2:$AA$50000,"丢弃",缺陷明细!$J$2:$J$50000,"系统测试")+COUNTIFS(缺陷明细!$A$2:$A$50000,$B$4,缺陷明细!$G$2:$G$50000,$C46,缺陷明细!$AA$2:$AA$50000,"设计如此",缺陷明细!$J$2:$J$50000,"系统测试"+COUNTIFS(缺陷明细!$A$2:$A$50000,$B$4,缺陷明细!$G$2:$G$50000,$C46,缺陷明细!$AA$2:$AA$50000,"重复Bug",缺陷明细!$J$2:$J$50000,"系统测试"))</f>
        <v>0</v>
      </c>
      <c r="S46" s="72">
        <f>COUNTIFS(缺陷明细!$A$2:$A$50000,$B$4,缺陷明细!$G$2:$G$50000,$C46,缺陷明细!$J$2:$J$50000,"系统测试",缺陷明细!$K$2:$K$50000,"致命",缺陷明细!$AA$2:$AA$50000,"&lt;&gt;丢弃",缺陷明细!$AA$2:$AA$50000,"&lt;&gt;设计如此",缺陷明细!$AA$2:$AA$50000,"&lt;&gt;重复Bug")+COUNTIFS(缺陷明细!$A$2:$A$50000,$B$4,缺陷明细!$G$2:$G$50000,$C46,缺陷明细!$J$2:$J$50000,"系统测试",缺陷明细!$K$2:$K$50000,"严重",缺陷明细!$AA$2:$AA$50000,"&lt;&gt;丢弃",缺陷明细!$AA$2:$AA$50000,"&lt;&gt;设计如此",缺陷明细!$AA$2:$AA$50000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COUNTIFS(缺陷明细!$A$2:$A$50000,$B$4,缺陷明细!$G$2:$G$50000,$C46,缺陷明细!$J$2:$J$50000,"验收测试",缺陷明细!$AA$2:$AA$50000,"&lt;&gt;丢弃",缺陷明细!$AA$2:$AA$50000,"&lt;&gt;设计如此",缺陷明细!$AA$2:$AA$50000,"&lt;&gt;重复Bug")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A$2:$AA$50000,"&lt;&gt;丢弃",缺陷明细!$AA$2:$AA$50000,"&lt;&gt;设计如此",缺陷明细!$AA$2:$AA$50000,"&lt;&gt;重复Bug")+COUNTIFS(缺陷明细!$A$2:$A$50000,$B$4,缺陷明细!$G$2:$G$50000,$C46,缺陷明细!$J$2:$J$50000,"验收测试",缺陷明细!$K$2:$K$50000,"严重",缺陷明细!$AA$2:$AA$50000,"&lt;&gt;丢弃",缺陷明细!$AA$2:$AA$50000,"&lt;&gt;设计如此",缺陷明细!$AA$2:$AA$50000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COUNTIFS(缺陷明细!$A$2:$A$50000,$B$4,缺陷明细!$G$2:$G$50000,$C46,缺陷明细!$J$2:$J$50000,"运维测试",缺陷明细!$AA$2:$AA$50000,"&lt;&gt;丢弃",缺陷明细!$AA$2:$AA$50000,"&lt;&gt;设计如此",缺陷明细!$AA$2:$AA$50000,"&lt;&gt;重复Bug")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A$2:$AA$50000,"&lt;&gt;丢弃",缺陷明细!$AA$2:$AA$50000,"&lt;&gt;设计如此",缺陷明细!$AA$2:$AA$50000,"&lt;&gt;重复Bug")+COUNTIFS(缺陷明细!$A$2:$A$50000,$B$4,缺陷明细!$G$2:$G$50000,$C46,缺陷明细!$J$2:$J$50000,"运维测试",缺陷明细!$K$2:$K$50000,"严重",缺陷明细!$AA$2:$AA$50000,"&lt;&gt;丢弃",缺陷明细!$AA$2:$AA$50000,"&lt;&gt;设计如此",缺陷明细!$AA$2:$AA$50000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51"/>
    </row>
    <row r="47" spans="1:37">
      <c r="A47">
        <v>43</v>
      </c>
      <c r="B47" s="57"/>
      <c r="C47" s="58"/>
      <c r="D47" s="84"/>
      <c r="E47" s="82"/>
      <c r="F47" s="165"/>
      <c r="G47" s="166"/>
      <c r="H47" s="305">
        <f>COUNTIFS(缺陷明细!$A$2:$A$50000,$B$4,缺陷明细!$G$2:$G$50000,$C47,缺陷明细!$J$2:$J$50000,"评审",缺陷明细!$AA$2:$AA$50000,"&lt;&gt;丢弃",缺陷明细!$AA$2:$AA$50000,"&lt;&gt;设计如此",缺陷明细!$AA$2:$AA$50000,"&lt;&gt;重复Bug")</f>
        <v>0</v>
      </c>
      <c r="I47" s="161">
        <f>COUNTIFS(缺陷明细!$A$2:$A$50000,$B$4,缺陷明细!$G$2:$G$50000,$C47,缺陷明细!$Q$2:$Q$50000,"已关闭",缺陷明细!$J$2:$J$50000,"评审")</f>
        <v>0</v>
      </c>
      <c r="J47" s="161">
        <f>COUNTIFS(缺陷明细!$A$2:$A$50000,$B$4,缺陷明细!$G$2:$G$50000,$C47,缺陷明细!$J$2:$J$50000,"单元测试",缺陷明细!$AA$2:$AA$50000,"&lt;&gt;丢弃",缺陷明细!$AA$2:$AA$50000,"&lt;&gt;设计如此",缺陷明细!$AA$2:$AA$50000,"&lt;&gt;重复Bug")</f>
        <v>0</v>
      </c>
      <c r="K47" s="162">
        <f>COUNTIFS(缺陷明细!$A$2:$A$50000,$B$4,缺陷明细!$G$2:$G$50000,$C47,缺陷明细!$Q$2:$Q$50000,"已关闭",缺陷明细!$J$2:$J$50000,"单元测试")</f>
        <v>0</v>
      </c>
      <c r="L47" s="163"/>
      <c r="M47" s="164"/>
      <c r="N47" s="72">
        <f>COUNTIFS(缺陷明细!$A$2:$A$50000,$B$4,缺陷明细!$G$2:$G$50000,$C47,缺陷明细!$J$2:$J$50000,"系统测试案例评审",缺陷明细!$AA$2:$AA$50000,"&lt;&gt;丢弃",缺陷明细!$AA$2:$AA$50000,"&lt;&gt;设计如此",缺陷明细!$AA$2:$AA$50000,"&lt;&gt;重复Bug")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COUNTIFS(缺陷明细!$A$2:$A$50000,$B$4,缺陷明细!$G$2:$G$50000,$C47,缺陷明细!$J$2:$J$50000,"系统测试",缺陷明细!$AA$2:$AA$50000,"&lt;&gt;丢弃",缺陷明细!$AA$2:$AA$50000,"&lt;&gt;设计如此",缺陷明细!$AA$2:$AA$50000,"&lt;&gt;重复Bug")</f>
        <v>0</v>
      </c>
      <c r="Q47" s="72">
        <f>COUNTIFS(缺陷明细!$A$2:$A$50000,$B$4,缺陷明细!$G$2:$G$50000,$C47,缺陷明细!$Q$2:$Q$50000,"已关闭",缺陷明细!$J$2:$J$50000,"系统测试")</f>
        <v>0</v>
      </c>
      <c r="R47" s="72">
        <f>COUNTIFS(缺陷明细!$A$2:$A$50000,$B$4,缺陷明细!$G$2:$G$50000,$C47,缺陷明细!$AA$2:$AA$50000,"丢弃",缺陷明细!$J$2:$J$50000,"系统测试")+COUNTIFS(缺陷明细!$A$2:$A$50000,$B$4,缺陷明细!$G$2:$G$50000,$C47,缺陷明细!$AA$2:$AA$50000,"设计如此",缺陷明细!$J$2:$J$50000,"系统测试"+COUNTIFS(缺陷明细!$A$2:$A$50000,$B$4,缺陷明细!$G$2:$G$50000,$C47,缺陷明细!$AA$2:$AA$50000,"重复Bug",缺陷明细!$J$2:$J$50000,"系统测试"))</f>
        <v>0</v>
      </c>
      <c r="S47" s="72">
        <f>COUNTIFS(缺陷明细!$A$2:$A$50000,$B$4,缺陷明细!$G$2:$G$50000,$C47,缺陷明细!$J$2:$J$50000,"系统测试",缺陷明细!$K$2:$K$50000,"致命",缺陷明细!$AA$2:$AA$50000,"&lt;&gt;丢弃",缺陷明细!$AA$2:$AA$50000,"&lt;&gt;设计如此",缺陷明细!$AA$2:$AA$50000,"&lt;&gt;重复Bug")+COUNTIFS(缺陷明细!$A$2:$A$50000,$B$4,缺陷明细!$G$2:$G$50000,$C47,缺陷明细!$J$2:$J$50000,"系统测试",缺陷明细!$K$2:$K$50000,"严重",缺陷明细!$AA$2:$AA$50000,"&lt;&gt;丢弃",缺陷明细!$AA$2:$AA$50000,"&lt;&gt;设计如此",缺陷明细!$AA$2:$AA$50000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COUNTIFS(缺陷明细!$A$2:$A$50000,$B$4,缺陷明细!$G$2:$G$50000,$C47,缺陷明细!$J$2:$J$50000,"验收测试",缺陷明细!$AA$2:$AA$50000,"&lt;&gt;丢弃",缺陷明细!$AA$2:$AA$50000,"&lt;&gt;设计如此",缺陷明细!$AA$2:$AA$50000,"&lt;&gt;重复Bug")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A$2:$AA$50000,"&lt;&gt;丢弃",缺陷明细!$AA$2:$AA$50000,"&lt;&gt;设计如此",缺陷明细!$AA$2:$AA$50000,"&lt;&gt;重复Bug")+COUNTIFS(缺陷明细!$A$2:$A$50000,$B$4,缺陷明细!$G$2:$G$50000,$C47,缺陷明细!$J$2:$J$50000,"验收测试",缺陷明细!$K$2:$K$50000,"严重",缺陷明细!$AA$2:$AA$50000,"&lt;&gt;丢弃",缺陷明细!$AA$2:$AA$50000,"&lt;&gt;设计如此",缺陷明细!$AA$2:$AA$50000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COUNTIFS(缺陷明细!$A$2:$A$50000,$B$4,缺陷明细!$G$2:$G$50000,$C47,缺陷明细!$J$2:$J$50000,"运维测试",缺陷明细!$AA$2:$AA$50000,"&lt;&gt;丢弃",缺陷明细!$AA$2:$AA$50000,"&lt;&gt;设计如此",缺陷明细!$AA$2:$AA$50000,"&lt;&gt;重复Bug")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A$2:$AA$50000,"&lt;&gt;丢弃",缺陷明细!$AA$2:$AA$50000,"&lt;&gt;设计如此",缺陷明细!$AA$2:$AA$50000,"&lt;&gt;重复Bug")+COUNTIFS(缺陷明细!$A$2:$A$50000,$B$4,缺陷明细!$G$2:$G$50000,$C47,缺陷明细!$J$2:$J$50000,"运维测试",缺陷明细!$K$2:$K$50000,"严重",缺陷明细!$AA$2:$AA$50000,"&lt;&gt;丢弃",缺陷明细!$AA$2:$AA$50000,"&lt;&gt;设计如此",缺陷明细!$AA$2:$AA$50000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51"/>
    </row>
    <row r="48" spans="1:37">
      <c r="A48">
        <v>44</v>
      </c>
      <c r="B48" s="57"/>
      <c r="C48" s="58"/>
      <c r="D48" s="84"/>
      <c r="E48" s="82"/>
      <c r="F48" s="165"/>
      <c r="G48" s="166"/>
      <c r="H48" s="305">
        <f>COUNTIFS(缺陷明细!$A$2:$A$50000,$B$4,缺陷明细!$G$2:$G$50000,$C48,缺陷明细!$J$2:$J$50000,"评审",缺陷明细!$AA$2:$AA$50000,"&lt;&gt;丢弃",缺陷明细!$AA$2:$AA$50000,"&lt;&gt;设计如此",缺陷明细!$AA$2:$AA$50000,"&lt;&gt;重复Bug")</f>
        <v>0</v>
      </c>
      <c r="I48" s="161">
        <f>COUNTIFS(缺陷明细!$A$2:$A$50000,$B$4,缺陷明细!$G$2:$G$50000,$C48,缺陷明细!$Q$2:$Q$50000,"已关闭",缺陷明细!$J$2:$J$50000,"评审")</f>
        <v>0</v>
      </c>
      <c r="J48" s="161">
        <f>COUNTIFS(缺陷明细!$A$2:$A$50000,$B$4,缺陷明细!$G$2:$G$50000,$C48,缺陷明细!$J$2:$J$50000,"单元测试",缺陷明细!$AA$2:$AA$50000,"&lt;&gt;丢弃",缺陷明细!$AA$2:$AA$50000,"&lt;&gt;设计如此",缺陷明细!$AA$2:$AA$50000,"&lt;&gt;重复Bug")</f>
        <v>0</v>
      </c>
      <c r="K48" s="162">
        <f>COUNTIFS(缺陷明细!$A$2:$A$50000,$B$4,缺陷明细!$G$2:$G$50000,$C48,缺陷明细!$Q$2:$Q$50000,"已关闭",缺陷明细!$J$2:$J$50000,"单元测试")</f>
        <v>0</v>
      </c>
      <c r="L48" s="163"/>
      <c r="M48" s="164"/>
      <c r="N48" s="72">
        <f>COUNTIFS(缺陷明细!$A$2:$A$50000,$B$4,缺陷明细!$G$2:$G$50000,$C48,缺陷明细!$J$2:$J$50000,"系统测试案例评审",缺陷明细!$AA$2:$AA$50000,"&lt;&gt;丢弃",缺陷明细!$AA$2:$AA$50000,"&lt;&gt;设计如此",缺陷明细!$AA$2:$AA$50000,"&lt;&gt;重复Bug")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COUNTIFS(缺陷明细!$A$2:$A$50000,$B$4,缺陷明细!$G$2:$G$50000,$C48,缺陷明细!$J$2:$J$50000,"系统测试",缺陷明细!$AA$2:$AA$50000,"&lt;&gt;丢弃",缺陷明细!$AA$2:$AA$50000,"&lt;&gt;设计如此",缺陷明细!$AA$2:$AA$50000,"&lt;&gt;重复Bug")</f>
        <v>0</v>
      </c>
      <c r="Q48" s="72">
        <f>COUNTIFS(缺陷明细!$A$2:$A$50000,$B$4,缺陷明细!$G$2:$G$50000,$C48,缺陷明细!$Q$2:$Q$50000,"已关闭",缺陷明细!$J$2:$J$50000,"系统测试")</f>
        <v>0</v>
      </c>
      <c r="R48" s="72">
        <f>COUNTIFS(缺陷明细!$A$2:$A$50000,$B$4,缺陷明细!$G$2:$G$50000,$C48,缺陷明细!$AA$2:$AA$50000,"丢弃",缺陷明细!$J$2:$J$50000,"系统测试")+COUNTIFS(缺陷明细!$A$2:$A$50000,$B$4,缺陷明细!$G$2:$G$50000,$C48,缺陷明细!$AA$2:$AA$50000,"设计如此",缺陷明细!$J$2:$J$50000,"系统测试"+COUNTIFS(缺陷明细!$A$2:$A$50000,$B$4,缺陷明细!$G$2:$G$50000,$C48,缺陷明细!$AA$2:$AA$50000,"重复Bug",缺陷明细!$J$2:$J$50000,"系统测试"))</f>
        <v>0</v>
      </c>
      <c r="S48" s="72">
        <f>COUNTIFS(缺陷明细!$A$2:$A$50000,$B$4,缺陷明细!$G$2:$G$50000,$C48,缺陷明细!$J$2:$J$50000,"系统测试",缺陷明细!$K$2:$K$50000,"致命",缺陷明细!$AA$2:$AA$50000,"&lt;&gt;丢弃",缺陷明细!$AA$2:$AA$50000,"&lt;&gt;设计如此",缺陷明细!$AA$2:$AA$50000,"&lt;&gt;重复Bug")+COUNTIFS(缺陷明细!$A$2:$A$50000,$B$4,缺陷明细!$G$2:$G$50000,$C48,缺陷明细!$J$2:$J$50000,"系统测试",缺陷明细!$K$2:$K$50000,"严重",缺陷明细!$AA$2:$AA$50000,"&lt;&gt;丢弃",缺陷明细!$AA$2:$AA$50000,"&lt;&gt;设计如此",缺陷明细!$AA$2:$AA$50000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COUNTIFS(缺陷明细!$A$2:$A$50000,$B$4,缺陷明细!$G$2:$G$50000,$C48,缺陷明细!$J$2:$J$50000,"验收测试",缺陷明细!$AA$2:$AA$50000,"&lt;&gt;丢弃",缺陷明细!$AA$2:$AA$50000,"&lt;&gt;设计如此",缺陷明细!$AA$2:$AA$50000,"&lt;&gt;重复Bug")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A$2:$AA$50000,"&lt;&gt;丢弃",缺陷明细!$AA$2:$AA$50000,"&lt;&gt;设计如此",缺陷明细!$AA$2:$AA$50000,"&lt;&gt;重复Bug")+COUNTIFS(缺陷明细!$A$2:$A$50000,$B$4,缺陷明细!$G$2:$G$50000,$C48,缺陷明细!$J$2:$J$50000,"验收测试",缺陷明细!$K$2:$K$50000,"严重",缺陷明细!$AA$2:$AA$50000,"&lt;&gt;丢弃",缺陷明细!$AA$2:$AA$50000,"&lt;&gt;设计如此",缺陷明细!$AA$2:$AA$50000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COUNTIFS(缺陷明细!$A$2:$A$50000,$B$4,缺陷明细!$G$2:$G$50000,$C48,缺陷明细!$J$2:$J$50000,"运维测试",缺陷明细!$AA$2:$AA$50000,"&lt;&gt;丢弃",缺陷明细!$AA$2:$AA$50000,"&lt;&gt;设计如此",缺陷明细!$AA$2:$AA$50000,"&lt;&gt;重复Bug")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A$2:$AA$50000,"&lt;&gt;丢弃",缺陷明细!$AA$2:$AA$50000,"&lt;&gt;设计如此",缺陷明细!$AA$2:$AA$50000,"&lt;&gt;重复Bug")+COUNTIFS(缺陷明细!$A$2:$A$50000,$B$4,缺陷明细!$G$2:$G$50000,$C48,缺陷明细!$J$2:$J$50000,"运维测试",缺陷明细!$K$2:$K$50000,"严重",缺陷明细!$AA$2:$AA$50000,"&lt;&gt;丢弃",缺陷明细!$AA$2:$AA$50000,"&lt;&gt;设计如此",缺陷明细!$AA$2:$AA$50000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51"/>
    </row>
    <row r="49" spans="1:37">
      <c r="A49">
        <v>45</v>
      </c>
      <c r="B49" s="57"/>
      <c r="C49" s="58"/>
      <c r="D49" s="84"/>
      <c r="E49" s="82"/>
      <c r="F49" s="165"/>
      <c r="G49" s="166"/>
      <c r="H49" s="305">
        <f>COUNTIFS(缺陷明细!$A$2:$A$50000,$B$4,缺陷明细!$G$2:$G$50000,$C49,缺陷明细!$J$2:$J$50000,"评审",缺陷明细!$AA$2:$AA$50000,"&lt;&gt;丢弃",缺陷明细!$AA$2:$AA$50000,"&lt;&gt;设计如此",缺陷明细!$AA$2:$AA$50000,"&lt;&gt;重复Bug")</f>
        <v>0</v>
      </c>
      <c r="I49" s="161">
        <f>COUNTIFS(缺陷明细!$A$2:$A$50000,$B$4,缺陷明细!$G$2:$G$50000,$C49,缺陷明细!$Q$2:$Q$50000,"已关闭",缺陷明细!$J$2:$J$50000,"评审")</f>
        <v>0</v>
      </c>
      <c r="J49" s="161">
        <f>COUNTIFS(缺陷明细!$A$2:$A$50000,$B$4,缺陷明细!$G$2:$G$50000,$C49,缺陷明细!$J$2:$J$50000,"单元测试",缺陷明细!$AA$2:$AA$50000,"&lt;&gt;丢弃",缺陷明细!$AA$2:$AA$50000,"&lt;&gt;设计如此",缺陷明细!$AA$2:$AA$50000,"&lt;&gt;重复Bug")</f>
        <v>0</v>
      </c>
      <c r="K49" s="162">
        <f>COUNTIFS(缺陷明细!$A$2:$A$50000,$B$4,缺陷明细!$G$2:$G$50000,$C49,缺陷明细!$Q$2:$Q$50000,"已关闭",缺陷明细!$J$2:$J$50000,"单元测试")</f>
        <v>0</v>
      </c>
      <c r="L49" s="163"/>
      <c r="M49" s="164"/>
      <c r="N49" s="72">
        <f>COUNTIFS(缺陷明细!$A$2:$A$50000,$B$4,缺陷明细!$G$2:$G$50000,$C49,缺陷明细!$J$2:$J$50000,"系统测试案例评审",缺陷明细!$AA$2:$AA$50000,"&lt;&gt;丢弃",缺陷明细!$AA$2:$AA$50000,"&lt;&gt;设计如此",缺陷明细!$AA$2:$AA$50000,"&lt;&gt;重复Bug")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COUNTIFS(缺陷明细!$A$2:$A$50000,$B$4,缺陷明细!$G$2:$G$50000,$C49,缺陷明细!$J$2:$J$50000,"系统测试",缺陷明细!$AA$2:$AA$50000,"&lt;&gt;丢弃",缺陷明细!$AA$2:$AA$50000,"&lt;&gt;设计如此",缺陷明细!$AA$2:$AA$50000,"&lt;&gt;重复Bug")</f>
        <v>0</v>
      </c>
      <c r="Q49" s="72">
        <f>COUNTIFS(缺陷明细!$A$2:$A$50000,$B$4,缺陷明细!$G$2:$G$50000,$C49,缺陷明细!$Q$2:$Q$50000,"已关闭",缺陷明细!$J$2:$J$50000,"系统测试")</f>
        <v>0</v>
      </c>
      <c r="R49" s="72">
        <f>COUNTIFS(缺陷明细!$A$2:$A$50000,$B$4,缺陷明细!$G$2:$G$50000,$C49,缺陷明细!$AA$2:$AA$50000,"丢弃",缺陷明细!$J$2:$J$50000,"系统测试")+COUNTIFS(缺陷明细!$A$2:$A$50000,$B$4,缺陷明细!$G$2:$G$50000,$C49,缺陷明细!$AA$2:$AA$50000,"设计如此",缺陷明细!$J$2:$J$50000,"系统测试"+COUNTIFS(缺陷明细!$A$2:$A$50000,$B$4,缺陷明细!$G$2:$G$50000,$C49,缺陷明细!$AA$2:$AA$50000,"重复Bug",缺陷明细!$J$2:$J$50000,"系统测试"))</f>
        <v>0</v>
      </c>
      <c r="S49" s="72">
        <f>COUNTIFS(缺陷明细!$A$2:$A$50000,$B$4,缺陷明细!$G$2:$G$50000,$C49,缺陷明细!$J$2:$J$50000,"系统测试",缺陷明细!$K$2:$K$50000,"致命",缺陷明细!$AA$2:$AA$50000,"&lt;&gt;丢弃",缺陷明细!$AA$2:$AA$50000,"&lt;&gt;设计如此",缺陷明细!$AA$2:$AA$50000,"&lt;&gt;重复Bug")+COUNTIFS(缺陷明细!$A$2:$A$50000,$B$4,缺陷明细!$G$2:$G$50000,$C49,缺陷明细!$J$2:$J$50000,"系统测试",缺陷明细!$K$2:$K$50000,"严重",缺陷明细!$AA$2:$AA$50000,"&lt;&gt;丢弃",缺陷明细!$AA$2:$AA$50000,"&lt;&gt;设计如此",缺陷明细!$AA$2:$AA$50000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COUNTIFS(缺陷明细!$A$2:$A$50000,$B$4,缺陷明细!$G$2:$G$50000,$C49,缺陷明细!$J$2:$J$50000,"验收测试",缺陷明细!$AA$2:$AA$50000,"&lt;&gt;丢弃",缺陷明细!$AA$2:$AA$50000,"&lt;&gt;设计如此",缺陷明细!$AA$2:$AA$50000,"&lt;&gt;重复Bug")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A$2:$AA$50000,"&lt;&gt;丢弃",缺陷明细!$AA$2:$AA$50000,"&lt;&gt;设计如此",缺陷明细!$AA$2:$AA$50000,"&lt;&gt;重复Bug")+COUNTIFS(缺陷明细!$A$2:$A$50000,$B$4,缺陷明细!$G$2:$G$50000,$C49,缺陷明细!$J$2:$J$50000,"验收测试",缺陷明细!$K$2:$K$50000,"严重",缺陷明细!$AA$2:$AA$50000,"&lt;&gt;丢弃",缺陷明细!$AA$2:$AA$50000,"&lt;&gt;设计如此",缺陷明细!$AA$2:$AA$50000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COUNTIFS(缺陷明细!$A$2:$A$50000,$B$4,缺陷明细!$G$2:$G$50000,$C49,缺陷明细!$J$2:$J$50000,"运维测试",缺陷明细!$AA$2:$AA$50000,"&lt;&gt;丢弃",缺陷明细!$AA$2:$AA$50000,"&lt;&gt;设计如此",缺陷明细!$AA$2:$AA$50000,"&lt;&gt;重复Bug")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A$2:$AA$50000,"&lt;&gt;丢弃",缺陷明细!$AA$2:$AA$50000,"&lt;&gt;设计如此",缺陷明细!$AA$2:$AA$50000,"&lt;&gt;重复Bug")+COUNTIFS(缺陷明细!$A$2:$A$50000,$B$4,缺陷明细!$G$2:$G$50000,$C49,缺陷明细!$J$2:$J$50000,"运维测试",缺陷明细!$K$2:$K$50000,"严重",缺陷明细!$AA$2:$AA$50000,"&lt;&gt;丢弃",缺陷明细!$AA$2:$AA$50000,"&lt;&gt;设计如此",缺陷明细!$AA$2:$AA$50000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51"/>
    </row>
    <row r="50" spans="1:37">
      <c r="A50">
        <v>46</v>
      </c>
      <c r="B50" s="57"/>
      <c r="C50" s="58"/>
      <c r="D50" s="84"/>
      <c r="E50" s="82"/>
      <c r="F50" s="165"/>
      <c r="G50" s="166"/>
      <c r="H50" s="305">
        <f>COUNTIFS(缺陷明细!$A$2:$A$50000,$B$4,缺陷明细!$G$2:$G$50000,$C50,缺陷明细!$J$2:$J$50000,"评审",缺陷明细!$AA$2:$AA$50000,"&lt;&gt;丢弃",缺陷明细!$AA$2:$AA$50000,"&lt;&gt;设计如此",缺陷明细!$AA$2:$AA$50000,"&lt;&gt;重复Bug")</f>
        <v>0</v>
      </c>
      <c r="I50" s="161">
        <f>COUNTIFS(缺陷明细!$A$2:$A$50000,$B$4,缺陷明细!$G$2:$G$50000,$C50,缺陷明细!$Q$2:$Q$50000,"已关闭",缺陷明细!$J$2:$J$50000,"评审")</f>
        <v>0</v>
      </c>
      <c r="J50" s="161">
        <f>COUNTIFS(缺陷明细!$A$2:$A$50000,$B$4,缺陷明细!$G$2:$G$50000,$C50,缺陷明细!$J$2:$J$50000,"单元测试",缺陷明细!$AA$2:$AA$50000,"&lt;&gt;丢弃",缺陷明细!$AA$2:$AA$50000,"&lt;&gt;设计如此",缺陷明细!$AA$2:$AA$50000,"&lt;&gt;重复Bug")</f>
        <v>0</v>
      </c>
      <c r="K50" s="162">
        <f>COUNTIFS(缺陷明细!$A$2:$A$50000,$B$4,缺陷明细!$G$2:$G$50000,$C50,缺陷明细!$Q$2:$Q$50000,"已关闭",缺陷明细!$J$2:$J$50000,"单元测试")</f>
        <v>0</v>
      </c>
      <c r="L50" s="163"/>
      <c r="M50" s="164"/>
      <c r="N50" s="72">
        <f>COUNTIFS(缺陷明细!$A$2:$A$50000,$B$4,缺陷明细!$G$2:$G$50000,$C50,缺陷明细!$J$2:$J$50000,"系统测试案例评审",缺陷明细!$AA$2:$AA$50000,"&lt;&gt;丢弃",缺陷明细!$AA$2:$AA$50000,"&lt;&gt;设计如此",缺陷明细!$AA$2:$AA$50000,"&lt;&gt;重复Bug")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COUNTIFS(缺陷明细!$A$2:$A$50000,$B$4,缺陷明细!$G$2:$G$50000,$C50,缺陷明细!$J$2:$J$50000,"系统测试",缺陷明细!$AA$2:$AA$50000,"&lt;&gt;丢弃",缺陷明细!$AA$2:$AA$50000,"&lt;&gt;设计如此",缺陷明细!$AA$2:$AA$50000,"&lt;&gt;重复Bug")</f>
        <v>0</v>
      </c>
      <c r="Q50" s="72">
        <f>COUNTIFS(缺陷明细!$A$2:$A$50000,$B$4,缺陷明细!$G$2:$G$50000,$C50,缺陷明细!$Q$2:$Q$50000,"已关闭",缺陷明细!$J$2:$J$50000,"系统测试")</f>
        <v>0</v>
      </c>
      <c r="R50" s="72">
        <f>COUNTIFS(缺陷明细!$A$2:$A$50000,$B$4,缺陷明细!$G$2:$G$50000,$C50,缺陷明细!$AA$2:$AA$50000,"丢弃",缺陷明细!$J$2:$J$50000,"系统测试")+COUNTIFS(缺陷明细!$A$2:$A$50000,$B$4,缺陷明细!$G$2:$G$50000,$C50,缺陷明细!$AA$2:$AA$50000,"设计如此",缺陷明细!$J$2:$J$50000,"系统测试"+COUNTIFS(缺陷明细!$A$2:$A$50000,$B$4,缺陷明细!$G$2:$G$50000,$C50,缺陷明细!$AA$2:$AA$50000,"重复Bug",缺陷明细!$J$2:$J$50000,"系统测试"))</f>
        <v>0</v>
      </c>
      <c r="S50" s="72">
        <f>COUNTIFS(缺陷明细!$A$2:$A$50000,$B$4,缺陷明细!$G$2:$G$50000,$C50,缺陷明细!$J$2:$J$50000,"系统测试",缺陷明细!$K$2:$K$50000,"致命",缺陷明细!$AA$2:$AA$50000,"&lt;&gt;丢弃",缺陷明细!$AA$2:$AA$50000,"&lt;&gt;设计如此",缺陷明细!$AA$2:$AA$50000,"&lt;&gt;重复Bug")+COUNTIFS(缺陷明细!$A$2:$A$50000,$B$4,缺陷明细!$G$2:$G$50000,$C50,缺陷明细!$J$2:$J$50000,"系统测试",缺陷明细!$K$2:$K$50000,"严重",缺陷明细!$AA$2:$AA$50000,"&lt;&gt;丢弃",缺陷明细!$AA$2:$AA$50000,"&lt;&gt;设计如此",缺陷明细!$AA$2:$AA$50000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COUNTIFS(缺陷明细!$A$2:$A$50000,$B$4,缺陷明细!$G$2:$G$50000,$C50,缺陷明细!$J$2:$J$50000,"验收测试",缺陷明细!$AA$2:$AA$50000,"&lt;&gt;丢弃",缺陷明细!$AA$2:$AA$50000,"&lt;&gt;设计如此",缺陷明细!$AA$2:$AA$50000,"&lt;&gt;重复Bug")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A$2:$AA$50000,"&lt;&gt;丢弃",缺陷明细!$AA$2:$AA$50000,"&lt;&gt;设计如此",缺陷明细!$AA$2:$AA$50000,"&lt;&gt;重复Bug")+COUNTIFS(缺陷明细!$A$2:$A$50000,$B$4,缺陷明细!$G$2:$G$50000,$C50,缺陷明细!$J$2:$J$50000,"验收测试",缺陷明细!$K$2:$K$50000,"严重",缺陷明细!$AA$2:$AA$50000,"&lt;&gt;丢弃",缺陷明细!$AA$2:$AA$50000,"&lt;&gt;设计如此",缺陷明细!$AA$2:$AA$50000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COUNTIFS(缺陷明细!$A$2:$A$50000,$B$4,缺陷明细!$G$2:$G$50000,$C50,缺陷明细!$J$2:$J$50000,"运维测试",缺陷明细!$AA$2:$AA$50000,"&lt;&gt;丢弃",缺陷明细!$AA$2:$AA$50000,"&lt;&gt;设计如此",缺陷明细!$AA$2:$AA$50000,"&lt;&gt;重复Bug")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A$2:$AA$50000,"&lt;&gt;丢弃",缺陷明细!$AA$2:$AA$50000,"&lt;&gt;设计如此",缺陷明细!$AA$2:$AA$50000,"&lt;&gt;重复Bug")+COUNTIFS(缺陷明细!$A$2:$A$50000,$B$4,缺陷明细!$G$2:$G$50000,$C50,缺陷明细!$J$2:$J$50000,"运维测试",缺陷明细!$K$2:$K$50000,"严重",缺陷明细!$AA$2:$AA$50000,"&lt;&gt;丢弃",缺陷明细!$AA$2:$AA$50000,"&lt;&gt;设计如此",缺陷明细!$AA$2:$AA$50000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51"/>
    </row>
    <row r="51" spans="1:37">
      <c r="A51">
        <v>47</v>
      </c>
      <c r="B51" s="57"/>
      <c r="C51" s="58"/>
      <c r="D51" s="84"/>
      <c r="E51" s="82"/>
      <c r="F51" s="165"/>
      <c r="G51" s="166"/>
      <c r="H51" s="305">
        <f>COUNTIFS(缺陷明细!$A$2:$A$50000,$B$4,缺陷明细!$G$2:$G$50000,$C51,缺陷明细!$J$2:$J$50000,"评审",缺陷明细!$AA$2:$AA$50000,"&lt;&gt;丢弃",缺陷明细!$AA$2:$AA$50000,"&lt;&gt;设计如此",缺陷明细!$AA$2:$AA$50000,"&lt;&gt;重复Bug")</f>
        <v>0</v>
      </c>
      <c r="I51" s="161">
        <f>COUNTIFS(缺陷明细!$A$2:$A$50000,$B$4,缺陷明细!$G$2:$G$50000,$C51,缺陷明细!$Q$2:$Q$50000,"已关闭",缺陷明细!$J$2:$J$50000,"评审")</f>
        <v>0</v>
      </c>
      <c r="J51" s="161">
        <f>COUNTIFS(缺陷明细!$A$2:$A$50000,$B$4,缺陷明细!$G$2:$G$50000,$C51,缺陷明细!$J$2:$J$50000,"单元测试",缺陷明细!$AA$2:$AA$50000,"&lt;&gt;丢弃",缺陷明细!$AA$2:$AA$50000,"&lt;&gt;设计如此",缺陷明细!$AA$2:$AA$50000,"&lt;&gt;重复Bug")</f>
        <v>0</v>
      </c>
      <c r="K51" s="162">
        <f>COUNTIFS(缺陷明细!$A$2:$A$50000,$B$4,缺陷明细!$G$2:$G$50000,$C51,缺陷明细!$Q$2:$Q$50000,"已关闭",缺陷明细!$J$2:$J$50000,"单元测试")</f>
        <v>0</v>
      </c>
      <c r="L51" s="163"/>
      <c r="M51" s="164"/>
      <c r="N51" s="72">
        <f>COUNTIFS(缺陷明细!$A$2:$A$50000,$B$4,缺陷明细!$G$2:$G$50000,$C51,缺陷明细!$J$2:$J$50000,"系统测试案例评审",缺陷明细!$AA$2:$AA$50000,"&lt;&gt;丢弃",缺陷明细!$AA$2:$AA$50000,"&lt;&gt;设计如此",缺陷明细!$AA$2:$AA$50000,"&lt;&gt;重复Bug")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COUNTIFS(缺陷明细!$A$2:$A$50000,$B$4,缺陷明细!$G$2:$G$50000,$C51,缺陷明细!$J$2:$J$50000,"系统测试",缺陷明细!$AA$2:$AA$50000,"&lt;&gt;丢弃",缺陷明细!$AA$2:$AA$50000,"&lt;&gt;设计如此",缺陷明细!$AA$2:$AA$50000,"&lt;&gt;重复Bug")</f>
        <v>0</v>
      </c>
      <c r="Q51" s="72">
        <f>COUNTIFS(缺陷明细!$A$2:$A$50000,$B$4,缺陷明细!$G$2:$G$50000,$C51,缺陷明细!$Q$2:$Q$50000,"已关闭",缺陷明细!$J$2:$J$50000,"系统测试")</f>
        <v>0</v>
      </c>
      <c r="R51" s="72">
        <f>COUNTIFS(缺陷明细!$A$2:$A$50000,$B$4,缺陷明细!$G$2:$G$50000,$C51,缺陷明细!$AA$2:$AA$50000,"丢弃",缺陷明细!$J$2:$J$50000,"系统测试")+COUNTIFS(缺陷明细!$A$2:$A$50000,$B$4,缺陷明细!$G$2:$G$50000,$C51,缺陷明细!$AA$2:$AA$50000,"设计如此",缺陷明细!$J$2:$J$50000,"系统测试"+COUNTIFS(缺陷明细!$A$2:$A$50000,$B$4,缺陷明细!$G$2:$G$50000,$C51,缺陷明细!$AA$2:$AA$50000,"重复Bug",缺陷明细!$J$2:$J$50000,"系统测试"))</f>
        <v>0</v>
      </c>
      <c r="S51" s="72">
        <f>COUNTIFS(缺陷明细!$A$2:$A$50000,$B$4,缺陷明细!$G$2:$G$50000,$C51,缺陷明细!$J$2:$J$50000,"系统测试",缺陷明细!$K$2:$K$50000,"致命",缺陷明细!$AA$2:$AA$50000,"&lt;&gt;丢弃",缺陷明细!$AA$2:$AA$50000,"&lt;&gt;设计如此",缺陷明细!$AA$2:$AA$50000,"&lt;&gt;重复Bug")+COUNTIFS(缺陷明细!$A$2:$A$50000,$B$4,缺陷明细!$G$2:$G$50000,$C51,缺陷明细!$J$2:$J$50000,"系统测试",缺陷明细!$K$2:$K$50000,"严重",缺陷明细!$AA$2:$AA$50000,"&lt;&gt;丢弃",缺陷明细!$AA$2:$AA$50000,"&lt;&gt;设计如此",缺陷明细!$AA$2:$AA$50000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COUNTIFS(缺陷明细!$A$2:$A$50000,$B$4,缺陷明细!$G$2:$G$50000,$C51,缺陷明细!$J$2:$J$50000,"验收测试",缺陷明细!$AA$2:$AA$50000,"&lt;&gt;丢弃",缺陷明细!$AA$2:$AA$50000,"&lt;&gt;设计如此",缺陷明细!$AA$2:$AA$50000,"&lt;&gt;重复Bug")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A$2:$AA$50000,"&lt;&gt;丢弃",缺陷明细!$AA$2:$AA$50000,"&lt;&gt;设计如此",缺陷明细!$AA$2:$AA$50000,"&lt;&gt;重复Bug")+COUNTIFS(缺陷明细!$A$2:$A$50000,$B$4,缺陷明细!$G$2:$G$50000,$C51,缺陷明细!$J$2:$J$50000,"验收测试",缺陷明细!$K$2:$K$50000,"严重",缺陷明细!$AA$2:$AA$50000,"&lt;&gt;丢弃",缺陷明细!$AA$2:$AA$50000,"&lt;&gt;设计如此",缺陷明细!$AA$2:$AA$50000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COUNTIFS(缺陷明细!$A$2:$A$50000,$B$4,缺陷明细!$G$2:$G$50000,$C51,缺陷明细!$J$2:$J$50000,"运维测试",缺陷明细!$AA$2:$AA$50000,"&lt;&gt;丢弃",缺陷明细!$AA$2:$AA$50000,"&lt;&gt;设计如此",缺陷明细!$AA$2:$AA$50000,"&lt;&gt;重复Bug")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A$2:$AA$50000,"&lt;&gt;丢弃",缺陷明细!$AA$2:$AA$50000,"&lt;&gt;设计如此",缺陷明细!$AA$2:$AA$50000,"&lt;&gt;重复Bug")+COUNTIFS(缺陷明细!$A$2:$A$50000,$B$4,缺陷明细!$G$2:$G$50000,$C51,缺陷明细!$J$2:$J$50000,"运维测试",缺陷明细!$K$2:$K$50000,"严重",缺陷明细!$AA$2:$AA$50000,"&lt;&gt;丢弃",缺陷明细!$AA$2:$AA$50000,"&lt;&gt;设计如此",缺陷明细!$AA$2:$AA$50000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51"/>
    </row>
    <row r="52" spans="1:37">
      <c r="A52">
        <v>48</v>
      </c>
      <c r="B52" s="57"/>
      <c r="C52" s="58"/>
      <c r="D52" s="84"/>
      <c r="E52" s="82"/>
      <c r="F52" s="165"/>
      <c r="G52" s="166"/>
      <c r="H52" s="305">
        <f>COUNTIFS(缺陷明细!$A$2:$A$50000,$B$4,缺陷明细!$G$2:$G$50000,$C52,缺陷明细!$J$2:$J$50000,"评审",缺陷明细!$AA$2:$AA$50000,"&lt;&gt;丢弃",缺陷明细!$AA$2:$AA$50000,"&lt;&gt;设计如此",缺陷明细!$AA$2:$AA$50000,"&lt;&gt;重复Bug")</f>
        <v>0</v>
      </c>
      <c r="I52" s="161">
        <f>COUNTIFS(缺陷明细!$A$2:$A$50000,$B$4,缺陷明细!$G$2:$G$50000,$C52,缺陷明细!$Q$2:$Q$50000,"已关闭",缺陷明细!$J$2:$J$50000,"评审")</f>
        <v>0</v>
      </c>
      <c r="J52" s="161">
        <f>COUNTIFS(缺陷明细!$A$2:$A$50000,$B$4,缺陷明细!$G$2:$G$50000,$C52,缺陷明细!$J$2:$J$50000,"单元测试",缺陷明细!$AA$2:$AA$50000,"&lt;&gt;丢弃",缺陷明细!$AA$2:$AA$50000,"&lt;&gt;设计如此",缺陷明细!$AA$2:$AA$50000,"&lt;&gt;重复Bug")</f>
        <v>0</v>
      </c>
      <c r="K52" s="162">
        <f>COUNTIFS(缺陷明细!$A$2:$A$50000,$B$4,缺陷明细!$G$2:$G$50000,$C52,缺陷明细!$Q$2:$Q$50000,"已关闭",缺陷明细!$J$2:$J$50000,"单元测试")</f>
        <v>0</v>
      </c>
      <c r="L52" s="163"/>
      <c r="M52" s="164"/>
      <c r="N52" s="72">
        <f>COUNTIFS(缺陷明细!$A$2:$A$50000,$B$4,缺陷明细!$G$2:$G$50000,$C52,缺陷明细!$J$2:$J$50000,"系统测试案例评审",缺陷明细!$AA$2:$AA$50000,"&lt;&gt;丢弃",缺陷明细!$AA$2:$AA$50000,"&lt;&gt;设计如此",缺陷明细!$AA$2:$AA$50000,"&lt;&gt;重复Bug")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COUNTIFS(缺陷明细!$A$2:$A$50000,$B$4,缺陷明细!$G$2:$G$50000,$C52,缺陷明细!$J$2:$J$50000,"系统测试",缺陷明细!$AA$2:$AA$50000,"&lt;&gt;丢弃",缺陷明细!$AA$2:$AA$50000,"&lt;&gt;设计如此",缺陷明细!$AA$2:$AA$50000,"&lt;&gt;重复Bug")</f>
        <v>0</v>
      </c>
      <c r="Q52" s="72">
        <f>COUNTIFS(缺陷明细!$A$2:$A$50000,$B$4,缺陷明细!$G$2:$G$50000,$C52,缺陷明细!$Q$2:$Q$50000,"已关闭",缺陷明细!$J$2:$J$50000,"系统测试")</f>
        <v>0</v>
      </c>
      <c r="R52" s="72">
        <f>COUNTIFS(缺陷明细!$A$2:$A$50000,$B$4,缺陷明细!$G$2:$G$50000,$C52,缺陷明细!$AA$2:$AA$50000,"丢弃",缺陷明细!$J$2:$J$50000,"系统测试")+COUNTIFS(缺陷明细!$A$2:$A$50000,$B$4,缺陷明细!$G$2:$G$50000,$C52,缺陷明细!$AA$2:$AA$50000,"设计如此",缺陷明细!$J$2:$J$50000,"系统测试"+COUNTIFS(缺陷明细!$A$2:$A$50000,$B$4,缺陷明细!$G$2:$G$50000,$C52,缺陷明细!$AA$2:$AA$50000,"重复Bug",缺陷明细!$J$2:$J$50000,"系统测试"))</f>
        <v>0</v>
      </c>
      <c r="S52" s="72">
        <f>COUNTIFS(缺陷明细!$A$2:$A$50000,$B$4,缺陷明细!$G$2:$G$50000,$C52,缺陷明细!$J$2:$J$50000,"系统测试",缺陷明细!$K$2:$K$50000,"致命",缺陷明细!$AA$2:$AA$50000,"&lt;&gt;丢弃",缺陷明细!$AA$2:$AA$50000,"&lt;&gt;设计如此",缺陷明细!$AA$2:$AA$50000,"&lt;&gt;重复Bug")+COUNTIFS(缺陷明细!$A$2:$A$50000,$B$4,缺陷明细!$G$2:$G$50000,$C52,缺陷明细!$J$2:$J$50000,"系统测试",缺陷明细!$K$2:$K$50000,"严重",缺陷明细!$AA$2:$AA$50000,"&lt;&gt;丢弃",缺陷明细!$AA$2:$AA$50000,"&lt;&gt;设计如此",缺陷明细!$AA$2:$AA$50000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COUNTIFS(缺陷明细!$A$2:$A$50000,$B$4,缺陷明细!$G$2:$G$50000,$C52,缺陷明细!$J$2:$J$50000,"验收测试",缺陷明细!$AA$2:$AA$50000,"&lt;&gt;丢弃",缺陷明细!$AA$2:$AA$50000,"&lt;&gt;设计如此",缺陷明细!$AA$2:$AA$50000,"&lt;&gt;重复Bug")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A$2:$AA$50000,"&lt;&gt;丢弃",缺陷明细!$AA$2:$AA$50000,"&lt;&gt;设计如此",缺陷明细!$AA$2:$AA$50000,"&lt;&gt;重复Bug")+COUNTIFS(缺陷明细!$A$2:$A$50000,$B$4,缺陷明细!$G$2:$G$50000,$C52,缺陷明细!$J$2:$J$50000,"验收测试",缺陷明细!$K$2:$K$50000,"严重",缺陷明细!$AA$2:$AA$50000,"&lt;&gt;丢弃",缺陷明细!$AA$2:$AA$50000,"&lt;&gt;设计如此",缺陷明细!$AA$2:$AA$50000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COUNTIFS(缺陷明细!$A$2:$A$50000,$B$4,缺陷明细!$G$2:$G$50000,$C52,缺陷明细!$J$2:$J$50000,"运维测试",缺陷明细!$AA$2:$AA$50000,"&lt;&gt;丢弃",缺陷明细!$AA$2:$AA$50000,"&lt;&gt;设计如此",缺陷明细!$AA$2:$AA$50000,"&lt;&gt;重复Bug")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A$2:$AA$50000,"&lt;&gt;丢弃",缺陷明细!$AA$2:$AA$50000,"&lt;&gt;设计如此",缺陷明细!$AA$2:$AA$50000,"&lt;&gt;重复Bug")+COUNTIFS(缺陷明细!$A$2:$A$50000,$B$4,缺陷明细!$G$2:$G$50000,$C52,缺陷明细!$J$2:$J$50000,"运维测试",缺陷明细!$K$2:$K$50000,"严重",缺陷明细!$AA$2:$AA$50000,"&lt;&gt;丢弃",缺陷明细!$AA$2:$AA$50000,"&lt;&gt;设计如此",缺陷明细!$AA$2:$AA$50000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51"/>
    </row>
    <row r="53" spans="1:37">
      <c r="A53">
        <v>49</v>
      </c>
      <c r="B53" s="57"/>
      <c r="C53" s="58"/>
      <c r="D53" s="84"/>
      <c r="E53" s="82"/>
      <c r="F53" s="165"/>
      <c r="G53" s="166"/>
      <c r="H53" s="305">
        <f>COUNTIFS(缺陷明细!$A$2:$A$50000,$B$4,缺陷明细!$G$2:$G$50000,$C53,缺陷明细!$J$2:$J$50000,"评审",缺陷明细!$AA$2:$AA$50000,"&lt;&gt;丢弃",缺陷明细!$AA$2:$AA$50000,"&lt;&gt;设计如此",缺陷明细!$AA$2:$AA$50000,"&lt;&gt;重复Bug")</f>
        <v>0</v>
      </c>
      <c r="I53" s="161">
        <f>COUNTIFS(缺陷明细!$A$2:$A$50000,$B$4,缺陷明细!$G$2:$G$50000,$C53,缺陷明细!$Q$2:$Q$50000,"已关闭",缺陷明细!$J$2:$J$50000,"评审")</f>
        <v>0</v>
      </c>
      <c r="J53" s="161">
        <f>COUNTIFS(缺陷明细!$A$2:$A$50000,$B$4,缺陷明细!$G$2:$G$50000,$C53,缺陷明细!$J$2:$J$50000,"单元测试",缺陷明细!$AA$2:$AA$50000,"&lt;&gt;丢弃",缺陷明细!$AA$2:$AA$50000,"&lt;&gt;设计如此",缺陷明细!$AA$2:$AA$50000,"&lt;&gt;重复Bug")</f>
        <v>0</v>
      </c>
      <c r="K53" s="162">
        <f>COUNTIFS(缺陷明细!$A$2:$A$50000,$B$4,缺陷明细!$G$2:$G$50000,$C53,缺陷明细!$Q$2:$Q$50000,"已关闭",缺陷明细!$J$2:$J$50000,"单元测试")</f>
        <v>0</v>
      </c>
      <c r="L53" s="163"/>
      <c r="M53" s="164"/>
      <c r="N53" s="72">
        <f>COUNTIFS(缺陷明细!$A$2:$A$50000,$B$4,缺陷明细!$G$2:$G$50000,$C53,缺陷明细!$J$2:$J$50000,"系统测试案例评审",缺陷明细!$AA$2:$AA$50000,"&lt;&gt;丢弃",缺陷明细!$AA$2:$AA$50000,"&lt;&gt;设计如此",缺陷明细!$AA$2:$AA$50000,"&lt;&gt;重复Bug")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COUNTIFS(缺陷明细!$A$2:$A$50000,$B$4,缺陷明细!$G$2:$G$50000,$C53,缺陷明细!$J$2:$J$50000,"系统测试",缺陷明细!$AA$2:$AA$50000,"&lt;&gt;丢弃",缺陷明细!$AA$2:$AA$50000,"&lt;&gt;设计如此",缺陷明细!$AA$2:$AA$50000,"&lt;&gt;重复Bug")</f>
        <v>0</v>
      </c>
      <c r="Q53" s="72">
        <f>COUNTIFS(缺陷明细!$A$2:$A$50000,$B$4,缺陷明细!$G$2:$G$50000,$C53,缺陷明细!$Q$2:$Q$50000,"已关闭",缺陷明细!$J$2:$J$50000,"系统测试")</f>
        <v>0</v>
      </c>
      <c r="R53" s="72">
        <f>COUNTIFS(缺陷明细!$A$2:$A$50000,$B$4,缺陷明细!$G$2:$G$50000,$C53,缺陷明细!$AA$2:$AA$50000,"丢弃",缺陷明细!$J$2:$J$50000,"系统测试")+COUNTIFS(缺陷明细!$A$2:$A$50000,$B$4,缺陷明细!$G$2:$G$50000,$C53,缺陷明细!$AA$2:$AA$50000,"设计如此",缺陷明细!$J$2:$J$50000,"系统测试"+COUNTIFS(缺陷明细!$A$2:$A$50000,$B$4,缺陷明细!$G$2:$G$50000,$C53,缺陷明细!$AA$2:$AA$50000,"重复Bug",缺陷明细!$J$2:$J$50000,"系统测试"))</f>
        <v>0</v>
      </c>
      <c r="S53" s="72">
        <f>COUNTIFS(缺陷明细!$A$2:$A$50000,$B$4,缺陷明细!$G$2:$G$50000,$C53,缺陷明细!$J$2:$J$50000,"系统测试",缺陷明细!$K$2:$K$50000,"致命",缺陷明细!$AA$2:$AA$50000,"&lt;&gt;丢弃",缺陷明细!$AA$2:$AA$50000,"&lt;&gt;设计如此",缺陷明细!$AA$2:$AA$50000,"&lt;&gt;重复Bug")+COUNTIFS(缺陷明细!$A$2:$A$50000,$B$4,缺陷明细!$G$2:$G$50000,$C53,缺陷明细!$J$2:$J$50000,"系统测试",缺陷明细!$K$2:$K$50000,"严重",缺陷明细!$AA$2:$AA$50000,"&lt;&gt;丢弃",缺陷明细!$AA$2:$AA$50000,"&lt;&gt;设计如此",缺陷明细!$AA$2:$AA$50000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COUNTIFS(缺陷明细!$A$2:$A$50000,$B$4,缺陷明细!$G$2:$G$50000,$C53,缺陷明细!$J$2:$J$50000,"验收测试",缺陷明细!$AA$2:$AA$50000,"&lt;&gt;丢弃",缺陷明细!$AA$2:$AA$50000,"&lt;&gt;设计如此",缺陷明细!$AA$2:$AA$50000,"&lt;&gt;重复Bug")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A$2:$AA$50000,"&lt;&gt;丢弃",缺陷明细!$AA$2:$AA$50000,"&lt;&gt;设计如此",缺陷明细!$AA$2:$AA$50000,"&lt;&gt;重复Bug")+COUNTIFS(缺陷明细!$A$2:$A$50000,$B$4,缺陷明细!$G$2:$G$50000,$C53,缺陷明细!$J$2:$J$50000,"验收测试",缺陷明细!$K$2:$K$50000,"严重",缺陷明细!$AA$2:$AA$50000,"&lt;&gt;丢弃",缺陷明细!$AA$2:$AA$50000,"&lt;&gt;设计如此",缺陷明细!$AA$2:$AA$50000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COUNTIFS(缺陷明细!$A$2:$A$50000,$B$4,缺陷明细!$G$2:$G$50000,$C53,缺陷明细!$J$2:$J$50000,"运维测试",缺陷明细!$AA$2:$AA$50000,"&lt;&gt;丢弃",缺陷明细!$AA$2:$AA$50000,"&lt;&gt;设计如此",缺陷明细!$AA$2:$AA$50000,"&lt;&gt;重复Bug")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A$2:$AA$50000,"&lt;&gt;丢弃",缺陷明细!$AA$2:$AA$50000,"&lt;&gt;设计如此",缺陷明细!$AA$2:$AA$50000,"&lt;&gt;重复Bug")+COUNTIFS(缺陷明细!$A$2:$A$50000,$B$4,缺陷明细!$G$2:$G$50000,$C53,缺陷明细!$J$2:$J$50000,"运维测试",缺陷明细!$K$2:$K$50000,"严重",缺陷明细!$AA$2:$AA$50000,"&lt;&gt;丢弃",缺陷明细!$AA$2:$AA$50000,"&lt;&gt;设计如此",缺陷明细!$AA$2:$AA$50000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51"/>
    </row>
    <row r="54" spans="1:37">
      <c r="A54">
        <v>50</v>
      </c>
      <c r="B54" s="57"/>
      <c r="C54" s="58"/>
      <c r="D54" s="84"/>
      <c r="E54" s="82"/>
      <c r="F54" s="165"/>
      <c r="G54" s="166"/>
      <c r="H54" s="305">
        <f>COUNTIFS(缺陷明细!$A$2:$A$50000,$B$4,缺陷明细!$G$2:$G$50000,$C54,缺陷明细!$J$2:$J$50000,"评审",缺陷明细!$AA$2:$AA$50000,"&lt;&gt;丢弃",缺陷明细!$AA$2:$AA$50000,"&lt;&gt;设计如此",缺陷明细!$AA$2:$AA$50000,"&lt;&gt;重复Bug")</f>
        <v>0</v>
      </c>
      <c r="I54" s="161">
        <f>COUNTIFS(缺陷明细!$A$2:$A$50000,$B$4,缺陷明细!$G$2:$G$50000,$C54,缺陷明细!$Q$2:$Q$50000,"已关闭",缺陷明细!$J$2:$J$50000,"评审")</f>
        <v>0</v>
      </c>
      <c r="J54" s="161">
        <f>COUNTIFS(缺陷明细!$A$2:$A$50000,$B$4,缺陷明细!$G$2:$G$50000,$C54,缺陷明细!$J$2:$J$50000,"单元测试",缺陷明细!$AA$2:$AA$50000,"&lt;&gt;丢弃",缺陷明细!$AA$2:$AA$50000,"&lt;&gt;设计如此",缺陷明细!$AA$2:$AA$50000,"&lt;&gt;重复Bug")</f>
        <v>0</v>
      </c>
      <c r="K54" s="162">
        <f>COUNTIFS(缺陷明细!$A$2:$A$50000,$B$4,缺陷明细!$G$2:$G$50000,$C54,缺陷明细!$Q$2:$Q$50000,"已关闭",缺陷明细!$J$2:$J$50000,"单元测试")</f>
        <v>0</v>
      </c>
      <c r="L54" s="163"/>
      <c r="M54" s="164"/>
      <c r="N54" s="72">
        <f>COUNTIFS(缺陷明细!$A$2:$A$50000,$B$4,缺陷明细!$G$2:$G$50000,$C54,缺陷明细!$J$2:$J$50000,"系统测试案例评审",缺陷明细!$AA$2:$AA$50000,"&lt;&gt;丢弃",缺陷明细!$AA$2:$AA$50000,"&lt;&gt;设计如此",缺陷明细!$AA$2:$AA$50000,"&lt;&gt;重复Bug")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COUNTIFS(缺陷明细!$A$2:$A$50000,$B$4,缺陷明细!$G$2:$G$50000,$C54,缺陷明细!$J$2:$J$50000,"系统测试",缺陷明细!$AA$2:$AA$50000,"&lt;&gt;丢弃",缺陷明细!$AA$2:$AA$50000,"&lt;&gt;设计如此",缺陷明细!$AA$2:$AA$50000,"&lt;&gt;重复Bug")</f>
        <v>0</v>
      </c>
      <c r="Q54" s="72">
        <f>COUNTIFS(缺陷明细!$A$2:$A$50000,$B$4,缺陷明细!$G$2:$G$50000,$C54,缺陷明细!$Q$2:$Q$50000,"已关闭",缺陷明细!$J$2:$J$50000,"系统测试")</f>
        <v>0</v>
      </c>
      <c r="R54" s="72">
        <f>COUNTIFS(缺陷明细!$A$2:$A$50000,$B$4,缺陷明细!$G$2:$G$50000,$C54,缺陷明细!$AA$2:$AA$50000,"丢弃",缺陷明细!$J$2:$J$50000,"系统测试")+COUNTIFS(缺陷明细!$A$2:$A$50000,$B$4,缺陷明细!$G$2:$G$50000,$C54,缺陷明细!$AA$2:$AA$50000,"设计如此",缺陷明细!$J$2:$J$50000,"系统测试"+COUNTIFS(缺陷明细!$A$2:$A$50000,$B$4,缺陷明细!$G$2:$G$50000,$C54,缺陷明细!$AA$2:$AA$50000,"重复Bug",缺陷明细!$J$2:$J$50000,"系统测试"))</f>
        <v>0</v>
      </c>
      <c r="S54" s="72">
        <f>COUNTIFS(缺陷明细!$A$2:$A$50000,$B$4,缺陷明细!$G$2:$G$50000,$C54,缺陷明细!$J$2:$J$50000,"系统测试",缺陷明细!$K$2:$K$50000,"致命",缺陷明细!$AA$2:$AA$50000,"&lt;&gt;丢弃",缺陷明细!$AA$2:$AA$50000,"&lt;&gt;设计如此",缺陷明细!$AA$2:$AA$50000,"&lt;&gt;重复Bug")+COUNTIFS(缺陷明细!$A$2:$A$50000,$B$4,缺陷明细!$G$2:$G$50000,$C54,缺陷明细!$J$2:$J$50000,"系统测试",缺陷明细!$K$2:$K$50000,"严重",缺陷明细!$AA$2:$AA$50000,"&lt;&gt;丢弃",缺陷明细!$AA$2:$AA$50000,"&lt;&gt;设计如此",缺陷明细!$AA$2:$AA$50000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COUNTIFS(缺陷明细!$A$2:$A$50000,$B$4,缺陷明细!$G$2:$G$50000,$C54,缺陷明细!$J$2:$J$50000,"验收测试",缺陷明细!$AA$2:$AA$50000,"&lt;&gt;丢弃",缺陷明细!$AA$2:$AA$50000,"&lt;&gt;设计如此",缺陷明细!$AA$2:$AA$50000,"&lt;&gt;重复Bug")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A$2:$AA$50000,"&lt;&gt;丢弃",缺陷明细!$AA$2:$AA$50000,"&lt;&gt;设计如此",缺陷明细!$AA$2:$AA$50000,"&lt;&gt;重复Bug")+COUNTIFS(缺陷明细!$A$2:$A$50000,$B$4,缺陷明细!$G$2:$G$50000,$C54,缺陷明细!$J$2:$J$50000,"验收测试",缺陷明细!$K$2:$K$50000,"严重",缺陷明细!$AA$2:$AA$50000,"&lt;&gt;丢弃",缺陷明细!$AA$2:$AA$50000,"&lt;&gt;设计如此",缺陷明细!$AA$2:$AA$50000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COUNTIFS(缺陷明细!$A$2:$A$50000,$B$4,缺陷明细!$G$2:$G$50000,$C54,缺陷明细!$J$2:$J$50000,"运维测试",缺陷明细!$AA$2:$AA$50000,"&lt;&gt;丢弃",缺陷明细!$AA$2:$AA$50000,"&lt;&gt;设计如此",缺陷明细!$AA$2:$AA$50000,"&lt;&gt;重复Bug")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A$2:$AA$50000,"&lt;&gt;丢弃",缺陷明细!$AA$2:$AA$50000,"&lt;&gt;设计如此",缺陷明细!$AA$2:$AA$50000,"&lt;&gt;重复Bug")+COUNTIFS(缺陷明细!$A$2:$A$50000,$B$4,缺陷明细!$G$2:$G$50000,$C54,缺陷明细!$J$2:$J$50000,"运维测试",缺陷明细!$K$2:$K$50000,"严重",缺陷明细!$AA$2:$AA$50000,"&lt;&gt;丢弃",缺陷明细!$AA$2:$AA$50000,"&lt;&gt;设计如此",缺陷明细!$AA$2:$AA$50000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51"/>
    </row>
    <row r="55" spans="1:37" ht="13.8" thickBot="1">
      <c r="B55" s="147"/>
      <c r="C55" s="109"/>
      <c r="D55" s="85"/>
      <c r="E55" s="156"/>
      <c r="F55" s="169"/>
      <c r="G55" s="170"/>
      <c r="H55" s="306">
        <f>COUNTIFS(缺陷明细!$A$2:$A$50000,$B$4,缺陷明细!$G$2:$G$50000,$C55,缺陷明细!$J$2:$J$50000,"评审",缺陷明细!$AA$2:$AA$50000,"&lt;&gt;丢弃",缺陷明细!$AA$2:$AA$50000,"&lt;&gt;设计如此",缺陷明细!$AA$2:$AA$50000,"&lt;&gt;重复Bug")</f>
        <v>0</v>
      </c>
      <c r="I55" s="307">
        <f>COUNTIFS(缺陷明细!$A$2:$A$50000,$B$4,缺陷明细!$G$2:$G$50000,$C55,缺陷明细!$Q$2:$Q$50000,"已关闭",缺陷明细!$J$2:$J$50000,"评审")</f>
        <v>0</v>
      </c>
      <c r="J55" s="307">
        <f>COUNTIFS(缺陷明细!$A$2:$A$50000,$B$4,缺陷明细!$G$2:$G$50000,$C55,缺陷明细!$J$2:$J$50000,"单元测试",缺陷明细!$AA$2:$AA$50000,"&lt;&gt;丢弃",缺陷明细!$AA$2:$AA$50000,"&lt;&gt;设计如此",缺陷明细!$AA$2:$AA$50000,"&lt;&gt;重复Bug")</f>
        <v>0</v>
      </c>
      <c r="K55" s="308">
        <f>COUNTIFS(缺陷明细!$A$2:$A$50000,$B$4,缺陷明细!$G$2:$G$50000,$C55,缺陷明细!$Q$2:$Q$50000,"已关闭",缺陷明细!$J$2:$J$50000,"单元测试")</f>
        <v>0</v>
      </c>
      <c r="L55" s="309"/>
      <c r="M55" s="310"/>
      <c r="N55" s="311">
        <f>COUNTIFS(缺陷明细!$A$2:$A$50000,$B$4,缺陷明细!$G$2:$G$50000,$C55,缺陷明细!$J$2:$J$50000,"系统测试案例评审",缺陷明细!$AA$2:$AA$50000,"&lt;&gt;丢弃",缺陷明细!$AA$2:$AA$50000,"&lt;&gt;设计如此",缺陷明细!$AA$2:$AA$50000,"&lt;&gt;重复Bug")</f>
        <v>0</v>
      </c>
      <c r="O55" s="311">
        <f>COUNTIFS(缺陷明细!$A$2:$A$50000,$B$4,缺陷明细!$G$2:$G$50000,$C55,缺陷明细!$Q$2:$Q$50000,"已关闭",缺陷明细!$J$2:$J$50000,"系统测试案例评审")</f>
        <v>0</v>
      </c>
      <c r="P55" s="311">
        <f>COUNTIFS(缺陷明细!$A$2:$A$50000,$B$4,缺陷明细!$G$2:$G$50000,$C55,缺陷明细!$J$2:$J$50000,"系统测试",缺陷明细!$AA$2:$AA$50000,"&lt;&gt;丢弃",缺陷明细!$AA$2:$AA$50000,"&lt;&gt;设计如此",缺陷明细!$AA$2:$AA$50000,"&lt;&gt;重复Bug")</f>
        <v>0</v>
      </c>
      <c r="Q55" s="311">
        <f>COUNTIFS(缺陷明细!$A$2:$A$50000,$B$4,缺陷明细!$G$2:$G$50000,$C55,缺陷明细!$Q$2:$Q$50000,"已关闭",缺陷明细!$J$2:$J$50000,"系统测试")</f>
        <v>0</v>
      </c>
      <c r="R55" s="311">
        <f>COUNTIFS(缺陷明细!$A$2:$A$50000,$B$4,缺陷明细!$G$2:$G$50000,$C55,缺陷明细!$AA$2:$AA$50000,"丢弃",缺陷明细!$J$2:$J$50000,"系统测试")+COUNTIFS(缺陷明细!$A$2:$A$50000,$B$4,缺陷明细!$G$2:$G$50000,$C55,缺陷明细!$AA$2:$AA$50000,"设计如此",缺陷明细!$J$2:$J$50000,"系统测试"+COUNTIFS(缺陷明细!$A$2:$A$50000,$B$4,缺陷明细!$G$2:$G$50000,$C55,缺陷明细!$AA$2:$AA$50000,"重复Bug",缺陷明细!$J$2:$J$50000,"系统测试"))</f>
        <v>0</v>
      </c>
      <c r="S55" s="311">
        <f>COUNTIFS(缺陷明细!$A$2:$A$50000,$B$4,缺陷明细!$G$2:$G$50000,$C55,缺陷明细!$J$2:$J$50000,"系统测试",缺陷明细!$K$2:$K$50000,"致命",缺陷明细!$AA$2:$AA$50000,"&lt;&gt;丢弃",缺陷明细!$AA$2:$AA$50000,"&lt;&gt;设计如此",缺陷明细!$AA$2:$AA$50000,"&lt;&gt;重复Bug")+COUNTIFS(缺陷明细!$A$2:$A$50000,$B$4,缺陷明细!$G$2:$G$50000,$C55,缺陷明细!$J$2:$J$50000,"系统测试",缺陷明细!$K$2:$K$50000,"严重",缺陷明细!$AA$2:$AA$50000,"&lt;&gt;丢弃",缺陷明细!$AA$2:$AA$50000,"&lt;&gt;设计如此",缺陷明细!$AA$2:$AA$50000,"&lt;&gt;重复Bug")</f>
        <v>0</v>
      </c>
      <c r="T55" s="312">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313">
        <f>COUNTIFS(缺陷明细!$A$2:$A$50000,$B$4,缺陷明细!$G$2:$G$50000,$C55,缺陷明细!$J$2:$J$50000,"验收测试",缺陷明细!$AA$2:$AA$50000,"&lt;&gt;丢弃",缺陷明细!$AA$2:$AA$50000,"&lt;&gt;设计如此",缺陷明细!$AA$2:$AA$50000,"&lt;&gt;重复Bug")</f>
        <v>0</v>
      </c>
      <c r="V55" s="314">
        <f>COUNTIFS(缺陷明细!$A$2:$A$50000,$B$4,缺陷明细!$G$2:$G$50000,$C55,缺陷明细!$Q$2:$Q$50000,"已关闭",缺陷明细!$J$2:$J$50000,"验收测试")</f>
        <v>0</v>
      </c>
      <c r="W55" s="314">
        <f>COUNTIFS(缺陷明细!$A$2:$A$50000,$B$4,缺陷明细!$G$2:$G$50000,$C55,缺陷明细!$J$2:$J$50000,"验收测试",缺陷明细!$K$2:$K$50000,"致命",缺陷明细!$AA$2:$AA$50000,"&lt;&gt;丢弃",缺陷明细!$AA$2:$AA$50000,"&lt;&gt;设计如此",缺陷明细!$AA$2:$AA$50000,"&lt;&gt;重复Bug")+COUNTIFS(缺陷明细!$A$2:$A$50000,$B$4,缺陷明细!$G$2:$G$50000,$C55,缺陷明细!$J$2:$J$50000,"验收测试",缺陷明细!$K$2:$K$50000,"严重",缺陷明细!$AA$2:$AA$50000,"&lt;&gt;丢弃",缺陷明细!$AA$2:$AA$50000,"&lt;&gt;设计如此",缺陷明细!$AA$2:$AA$50000,"&lt;&gt;重复Bug")</f>
        <v>0</v>
      </c>
      <c r="X55" s="315">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316">
        <f>COUNTIFS(缺陷明细!$A$2:$A$50000,$B$4,缺陷明细!$G$2:$G$50000,$C55,缺陷明细!$J$2:$J$50000,"运维测试",缺陷明细!$AA$2:$AA$50000,"&lt;&gt;丢弃",缺陷明细!$AA$2:$AA$50000,"&lt;&gt;设计如此",缺陷明细!$AA$2:$AA$50000,"&lt;&gt;重复Bug")</f>
        <v>0</v>
      </c>
      <c r="Z55" s="317">
        <f>COUNTIFS(缺陷明细!$A$2:$A$50000,$B$4,缺陷明细!$G$2:$G$50000,$C55,缺陷明细!$Q$2:$Q$50000,"已关闭",缺陷明细!$J$2:$J$50000,"运维测试")</f>
        <v>0</v>
      </c>
      <c r="AA55" s="311">
        <f>COUNTIFS(缺陷明细!$A$2:$A$50000,$B$4,缺陷明细!$G$2:$G$50000,$C55,缺陷明细!$J$2:$J$50000,"运维测试",缺陷明细!$K$2:$K$50000,"致命",缺陷明细!$AA$2:$AA$50000,"&lt;&gt;丢弃",缺陷明细!$AA$2:$AA$50000,"&lt;&gt;设计如此",缺陷明细!$AA$2:$AA$50000,"&lt;&gt;重复Bug")+COUNTIFS(缺陷明细!$A$2:$A$50000,$B$4,缺陷明细!$G$2:$G$50000,$C55,缺陷明细!$J$2:$J$50000,"运维测试",缺陷明细!$K$2:$K$50000,"严重",缺陷明细!$AA$2:$AA$50000,"&lt;&gt;丢弃",缺陷明细!$AA$2:$AA$50000,"&lt;&gt;设计如此",缺陷明细!$AA$2:$AA$50000,"&lt;&gt;重复Bug")</f>
        <v>0</v>
      </c>
      <c r="AB55" s="312">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7">
        <f t="shared" si="0"/>
        <v>0</v>
      </c>
      <c r="AD55" s="158">
        <f t="shared" si="0"/>
        <v>0</v>
      </c>
      <c r="AE55" s="158">
        <f t="shared" si="1"/>
        <v>0</v>
      </c>
      <c r="AF55" s="158">
        <f t="shared" si="1"/>
        <v>0</v>
      </c>
      <c r="AG55" s="158">
        <f t="shared" si="2"/>
        <v>0</v>
      </c>
      <c r="AH55" s="158">
        <f t="shared" si="2"/>
        <v>0</v>
      </c>
      <c r="AI55" s="158">
        <f t="shared" si="3"/>
        <v>0</v>
      </c>
      <c r="AJ55" s="148">
        <f t="shared" si="3"/>
        <v>0</v>
      </c>
      <c r="AK55" s="152"/>
    </row>
    <row r="56" spans="1:37">
      <c r="B56" s="397" t="s">
        <v>209</v>
      </c>
      <c r="C56" s="398"/>
      <c r="D56" s="142">
        <f>COUNTA(D5:D55)</f>
        <v>0</v>
      </c>
      <c r="E56" s="142">
        <f>COUNTIF(E2:E55,"是")</f>
        <v>0</v>
      </c>
      <c r="F56" s="142">
        <f>SUMIFS(F5:F500,$E$5:$E$500,"是")</f>
        <v>0</v>
      </c>
      <c r="G56" s="142">
        <f t="shared" ref="G56:AJ56" si="4">SUMIFS(G5:G500,$E$5:$E$500,"是")</f>
        <v>0</v>
      </c>
      <c r="H56" s="142">
        <f t="shared" si="4"/>
        <v>0</v>
      </c>
      <c r="I56" s="142">
        <f t="shared" si="4"/>
        <v>0</v>
      </c>
      <c r="J56" s="142">
        <f t="shared" si="4"/>
        <v>0</v>
      </c>
      <c r="K56" s="142">
        <f t="shared" si="4"/>
        <v>0</v>
      </c>
      <c r="L56" s="142">
        <f t="shared" si="4"/>
        <v>0</v>
      </c>
      <c r="M56" s="142">
        <f t="shared" si="4"/>
        <v>0</v>
      </c>
      <c r="N56" s="142">
        <f t="shared" si="4"/>
        <v>0</v>
      </c>
      <c r="O56" s="142">
        <f t="shared" si="4"/>
        <v>0</v>
      </c>
      <c r="P56" s="142">
        <f t="shared" si="4"/>
        <v>0</v>
      </c>
      <c r="Q56" s="142">
        <f t="shared" si="4"/>
        <v>0</v>
      </c>
      <c r="R56" s="142">
        <f t="shared" si="4"/>
        <v>0</v>
      </c>
      <c r="S56" s="142">
        <f t="shared" si="4"/>
        <v>0</v>
      </c>
      <c r="T56" s="142">
        <f t="shared" si="4"/>
        <v>0</v>
      </c>
      <c r="U56" s="142">
        <f t="shared" si="4"/>
        <v>0</v>
      </c>
      <c r="V56" s="142">
        <f t="shared" si="4"/>
        <v>0</v>
      </c>
      <c r="W56" s="142">
        <f t="shared" si="4"/>
        <v>0</v>
      </c>
      <c r="X56" s="142">
        <f t="shared" si="4"/>
        <v>0</v>
      </c>
      <c r="Y56" s="142">
        <f t="shared" si="4"/>
        <v>0</v>
      </c>
      <c r="Z56" s="142">
        <f t="shared" si="4"/>
        <v>0</v>
      </c>
      <c r="AA56" s="142">
        <f t="shared" si="4"/>
        <v>0</v>
      </c>
      <c r="AB56" s="142">
        <f t="shared" si="4"/>
        <v>0</v>
      </c>
      <c r="AC56" s="142">
        <f t="shared" si="4"/>
        <v>0</v>
      </c>
      <c r="AD56" s="142">
        <f t="shared" si="4"/>
        <v>0</v>
      </c>
      <c r="AE56" s="142">
        <f t="shared" si="4"/>
        <v>0</v>
      </c>
      <c r="AF56" s="142">
        <f t="shared" si="4"/>
        <v>0</v>
      </c>
      <c r="AG56" s="142">
        <f t="shared" si="4"/>
        <v>0</v>
      </c>
      <c r="AH56" s="142">
        <f t="shared" si="4"/>
        <v>0</v>
      </c>
      <c r="AI56" s="142">
        <f t="shared" si="4"/>
        <v>0</v>
      </c>
      <c r="AJ56" s="142">
        <f t="shared" si="4"/>
        <v>0</v>
      </c>
      <c r="AK56" s="30"/>
    </row>
    <row r="57" spans="1:37">
      <c r="C57" s="153"/>
      <c r="D57" s="154"/>
      <c r="E57" s="143"/>
      <c r="F57" s="143"/>
      <c r="G57" s="143"/>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row>
    <row r="59" spans="1:37">
      <c r="F59" s="98"/>
    </row>
  </sheetData>
  <mergeCells count="13">
    <mergeCell ref="AC2:AJ2"/>
    <mergeCell ref="AK2:AK3"/>
    <mergeCell ref="U2:X2"/>
    <mergeCell ref="H1:AB1"/>
    <mergeCell ref="F2:G2"/>
    <mergeCell ref="H2:K2"/>
    <mergeCell ref="L2:T2"/>
    <mergeCell ref="Y2:AB2"/>
    <mergeCell ref="B56:C56"/>
    <mergeCell ref="B2:B3"/>
    <mergeCell ref="C2:C3"/>
    <mergeCell ref="D2:D3"/>
    <mergeCell ref="E2:E3"/>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D2" sqref="D2:D3"/>
    </sheetView>
  </sheetViews>
  <sheetFormatPr defaultColWidth="9" defaultRowHeight="13.2"/>
  <cols>
    <col min="1" max="1" width="5.109375" customWidth="1"/>
    <col min="3" max="3" width="29.33203125" customWidth="1"/>
    <col min="4" max="4" width="6.33203125" customWidth="1"/>
    <col min="5" max="5" width="5.88671875" style="38" customWidth="1"/>
    <col min="6" max="7" width="5.6640625" style="38" customWidth="1"/>
    <col min="8" max="36" width="5.6640625" customWidth="1"/>
    <col min="37" max="37" width="20" customWidth="1"/>
    <col min="38" max="38" width="8.109375" customWidth="1"/>
  </cols>
  <sheetData>
    <row r="1" spans="1:37" ht="13.5" customHeight="1" thickBot="1">
      <c r="A1" s="29"/>
      <c r="B1" s="272" t="s">
        <v>61</v>
      </c>
      <c r="C1" s="272"/>
      <c r="D1" s="272"/>
      <c r="E1" s="272"/>
      <c r="F1" s="273"/>
      <c r="G1" s="273"/>
      <c r="H1" s="407" t="s">
        <v>63</v>
      </c>
      <c r="I1" s="407"/>
      <c r="J1" s="407"/>
      <c r="K1" s="407"/>
      <c r="L1" s="407"/>
      <c r="M1" s="407"/>
      <c r="N1" s="407"/>
      <c r="O1" s="407"/>
      <c r="P1" s="407"/>
      <c r="Q1" s="407"/>
      <c r="R1" s="407"/>
      <c r="S1" s="407"/>
      <c r="T1" s="407"/>
      <c r="U1" s="407"/>
      <c r="V1" s="407"/>
      <c r="W1" s="407"/>
      <c r="X1" s="407"/>
      <c r="Y1" s="407"/>
      <c r="Z1" s="407"/>
      <c r="AA1" s="407"/>
      <c r="AB1" s="407"/>
      <c r="AC1" s="145"/>
      <c r="AD1" s="145"/>
      <c r="AE1" s="145"/>
      <c r="AF1" s="145"/>
      <c r="AG1" s="145"/>
      <c r="AH1" s="145"/>
      <c r="AI1" s="145"/>
      <c r="AJ1" s="146"/>
      <c r="AK1" s="155"/>
    </row>
    <row r="2" spans="1:37" ht="12.75" customHeight="1" thickBot="1">
      <c r="B2" s="399" t="s">
        <v>180</v>
      </c>
      <c r="C2" s="408" t="s">
        <v>60</v>
      </c>
      <c r="D2" s="410" t="s">
        <v>104</v>
      </c>
      <c r="E2" s="401" t="s">
        <v>181</v>
      </c>
      <c r="F2" s="408" t="s">
        <v>182</v>
      </c>
      <c r="G2" s="409"/>
      <c r="H2" s="403" t="s">
        <v>210</v>
      </c>
      <c r="I2" s="403"/>
      <c r="J2" s="403"/>
      <c r="K2" s="403"/>
      <c r="L2" s="404" t="s">
        <v>183</v>
      </c>
      <c r="M2" s="405"/>
      <c r="N2" s="405"/>
      <c r="O2" s="405"/>
      <c r="P2" s="405"/>
      <c r="Q2" s="405"/>
      <c r="R2" s="405"/>
      <c r="S2" s="405"/>
      <c r="T2" s="406"/>
      <c r="U2" s="395" t="s">
        <v>44</v>
      </c>
      <c r="V2" s="396"/>
      <c r="W2" s="396"/>
      <c r="X2" s="396"/>
      <c r="Y2" s="413" t="s">
        <v>64</v>
      </c>
      <c r="Z2" s="414"/>
      <c r="AA2" s="414"/>
      <c r="AB2" s="414"/>
      <c r="AC2" s="390" t="s">
        <v>2</v>
      </c>
      <c r="AD2" s="391"/>
      <c r="AE2" s="391"/>
      <c r="AF2" s="391"/>
      <c r="AG2" s="391"/>
      <c r="AH2" s="391"/>
      <c r="AI2" s="391"/>
      <c r="AJ2" s="392"/>
      <c r="AK2" s="393" t="s">
        <v>4</v>
      </c>
    </row>
    <row r="3" spans="1:37" ht="84.6" thickBot="1">
      <c r="B3" s="400"/>
      <c r="C3" s="412"/>
      <c r="D3" s="411"/>
      <c r="E3" s="402"/>
      <c r="F3" s="274" t="s">
        <v>273</v>
      </c>
      <c r="G3" s="275" t="s">
        <v>274</v>
      </c>
      <c r="H3" s="34" t="s">
        <v>105</v>
      </c>
      <c r="I3" s="34" t="s">
        <v>106</v>
      </c>
      <c r="J3" s="34" t="s">
        <v>107</v>
      </c>
      <c r="K3" s="34" t="s">
        <v>108</v>
      </c>
      <c r="L3" s="33" t="s">
        <v>185</v>
      </c>
      <c r="M3" s="34" t="s">
        <v>186</v>
      </c>
      <c r="N3" s="31" t="s">
        <v>45</v>
      </c>
      <c r="O3" s="31" t="s">
        <v>46</v>
      </c>
      <c r="P3" s="31" t="s">
        <v>34</v>
      </c>
      <c r="Q3" s="31" t="s">
        <v>36</v>
      </c>
      <c r="R3" s="31" t="s">
        <v>187</v>
      </c>
      <c r="S3" s="31" t="s">
        <v>35</v>
      </c>
      <c r="T3" s="32" t="s">
        <v>37</v>
      </c>
      <c r="U3" s="106" t="s">
        <v>110</v>
      </c>
      <c r="V3" s="35" t="s">
        <v>111</v>
      </c>
      <c r="W3" s="35" t="s">
        <v>188</v>
      </c>
      <c r="X3" s="35" t="s">
        <v>112</v>
      </c>
      <c r="Y3" s="106" t="s">
        <v>65</v>
      </c>
      <c r="Z3" s="35" t="s">
        <v>66</v>
      </c>
      <c r="AA3" s="35" t="s">
        <v>67</v>
      </c>
      <c r="AB3" s="36" t="s">
        <v>190</v>
      </c>
      <c r="AC3" s="33" t="s">
        <v>38</v>
      </c>
      <c r="AD3" s="31" t="s">
        <v>39</v>
      </c>
      <c r="AE3" s="31" t="s">
        <v>40</v>
      </c>
      <c r="AF3" s="31" t="s">
        <v>41</v>
      </c>
      <c r="AG3" s="31" t="s">
        <v>113</v>
      </c>
      <c r="AH3" s="31" t="s">
        <v>115</v>
      </c>
      <c r="AI3" s="31" t="s">
        <v>116</v>
      </c>
      <c r="AJ3" s="32" t="s">
        <v>114</v>
      </c>
      <c r="AK3" s="394"/>
    </row>
    <row r="4" spans="1:37" ht="13.8" thickBot="1">
      <c r="B4" s="102" t="s">
        <v>251</v>
      </c>
      <c r="C4" s="80" t="s">
        <v>207</v>
      </c>
      <c r="D4" s="141"/>
      <c r="E4" s="137"/>
      <c r="F4" s="107"/>
      <c r="G4" s="81"/>
      <c r="H4" s="69"/>
      <c r="I4" s="63"/>
      <c r="J4" s="63"/>
      <c r="K4" s="64"/>
      <c r="L4" s="77"/>
      <c r="M4" s="108"/>
      <c r="N4" s="63"/>
      <c r="O4" s="63"/>
      <c r="P4" s="63"/>
      <c r="Q4" s="63"/>
      <c r="R4" s="63"/>
      <c r="S4" s="63"/>
      <c r="T4" s="64"/>
      <c r="U4" s="62"/>
      <c r="V4" s="63"/>
      <c r="W4" s="63"/>
      <c r="X4" s="64"/>
      <c r="Y4" s="62"/>
      <c r="Z4" s="63"/>
      <c r="AA4" s="63"/>
      <c r="AB4" s="64"/>
      <c r="AC4" s="69"/>
      <c r="AD4" s="63"/>
      <c r="AE4" s="63"/>
      <c r="AF4" s="63"/>
      <c r="AG4" s="63"/>
      <c r="AH4" s="63"/>
      <c r="AI4" s="63"/>
      <c r="AJ4" s="64"/>
      <c r="AK4" s="149"/>
    </row>
    <row r="5" spans="1:37">
      <c r="A5">
        <v>1</v>
      </c>
      <c r="B5" s="78"/>
      <c r="C5" s="79"/>
      <c r="D5" s="82"/>
      <c r="E5" s="82"/>
      <c r="F5" s="159"/>
      <c r="G5" s="160"/>
      <c r="H5" s="293">
        <f>COUNTIFS(缺陷明细!$A$2:$A$50000,$B$4,缺陷明细!$G$2:$G$50000,$C5,缺陷明细!$J$2:$J$50000,"评审",缺陷明细!$AA$2:$AA$50000,"&lt;&gt;丢弃",缺陷明细!$AA$2:$AA$50000,"&lt;&gt;设计如此",缺陷明细!$AA$2:$AA$50000,"&lt;&gt;重复Bug")</f>
        <v>0</v>
      </c>
      <c r="I5" s="294">
        <f>COUNTIFS(缺陷明细!$A$2:$A$50000,$B$4,缺陷明细!$G$2:$G$50000,$C5,缺陷明细!$Q$2:$Q$50000,"已关闭",缺陷明细!$J$2:$J$50000,"评审")</f>
        <v>0</v>
      </c>
      <c r="J5" s="294">
        <f>COUNTIFS(缺陷明细!$A$2:$A$50000,$B$4,缺陷明细!$G$2:$G$50000,$C5,缺陷明细!$J$2:$J$50000,"单元测试",缺陷明细!$AA$2:$AA$50000,"&lt;&gt;丢弃",缺陷明细!$AA$2:$AA$50000,"&lt;&gt;设计如此",缺陷明细!$AA$2:$AA$50000,"&lt;&gt;重复Bug")</f>
        <v>0</v>
      </c>
      <c r="K5" s="295">
        <f>COUNTIFS(缺陷明细!$A$2:$A$50000,$B$4,缺陷明细!$G$2:$G$50000,$C5,缺陷明细!$Q$2:$Q$50000,"已关闭",缺陷明细!$J$2:$J$50000,"单元测试")</f>
        <v>0</v>
      </c>
      <c r="L5" s="296"/>
      <c r="M5" s="297"/>
      <c r="N5" s="298">
        <f>COUNTIFS(缺陷明细!$A$2:$A$50000,$B$4,缺陷明细!$G$2:$G$50000,$C5,缺陷明细!$J$2:$J$50000,"系统测试案例评审",缺陷明细!$AA$2:$AA$50000,"&lt;&gt;丢弃",缺陷明细!$AA$2:$AA$50000,"&lt;&gt;设计如此",缺陷明细!$AA$2:$AA$50000,"&lt;&gt;重复Bug")</f>
        <v>0</v>
      </c>
      <c r="O5" s="298">
        <f>COUNTIFS(缺陷明细!$A$2:$A$50000,$B$4,缺陷明细!$G$2:$G$50000,$C5,缺陷明细!$Q$2:$Q$50000,"已关闭",缺陷明细!$J$2:$J$50000,"系统测试案例评审")</f>
        <v>0</v>
      </c>
      <c r="P5" s="298">
        <f>COUNTIFS(缺陷明细!$A$2:$A$50000,$B$4,缺陷明细!$G$2:$G$50000,$C5,缺陷明细!$J$2:$J$50000,"系统测试",缺陷明细!$AA$2:$AA$50000,"&lt;&gt;丢弃",缺陷明细!$AA$2:$AA$50000,"&lt;&gt;设计如此",缺陷明细!$AA$2:$AA$50000,"&lt;&gt;重复Bug")</f>
        <v>0</v>
      </c>
      <c r="Q5" s="298">
        <f>COUNTIFS(缺陷明细!$A$2:$A$50000,$B$4,缺陷明细!$G$2:$G$50000,$C5,缺陷明细!$Q$2:$Q$50000,"已关闭",缺陷明细!$J$2:$J$50000,"系统测试")</f>
        <v>0</v>
      </c>
      <c r="R5" s="298">
        <f>COUNTIFS(缺陷明细!$A$2:$A$50000,$B$4,缺陷明细!$G$2:$G$50000,$C5,缺陷明细!$AA$2:$AA$50000,"丢弃",缺陷明细!$J$2:$J$50000,"系统测试")+COUNTIFS(缺陷明细!$A$2:$A$50000,$B$4,缺陷明细!$G$2:$G$50000,$C5,缺陷明细!$AA$2:$AA$50000,"设计如此",缺陷明细!$J$2:$J$50000,"系统测试"+COUNTIFS(缺陷明细!$A$2:$A$50000,$B$4,缺陷明细!$G$2:$G$50000,$C5,缺陷明细!$AA$2:$AA$50000,"重复Bug",缺陷明细!$J$2:$J$50000,"系统测试"))</f>
        <v>0</v>
      </c>
      <c r="S5" s="298">
        <f>COUNTIFS(缺陷明细!$A$2:$A$50000,$B$4,缺陷明细!$G$2:$G$50000,$C5,缺陷明细!$J$2:$J$50000,"系统测试",缺陷明细!$K$2:$K$50000,"致命",缺陷明细!$AA$2:$AA$50000,"&lt;&gt;丢弃",缺陷明细!$AA$2:$AA$50000,"&lt;&gt;设计如此",缺陷明细!$AA$2:$AA$50000,"&lt;&gt;重复Bug")+COUNTIFS(缺陷明细!$A$2:$A$50000,$B$4,缺陷明细!$G$2:$G$50000,$C5,缺陷明细!$J$2:$J$50000,"系统测试",缺陷明细!$K$2:$K$50000,"严重",缺陷明细!$AA$2:$AA$50000,"&lt;&gt;丢弃",缺陷明细!$AA$2:$AA$50000,"&lt;&gt;设计如此",缺陷明细!$AA$2:$AA$50000,"&lt;&gt;重复Bug")</f>
        <v>0</v>
      </c>
      <c r="T5" s="299">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300">
        <f>COUNTIFS(缺陷明细!$A$2:$A$50000,$B$4,缺陷明细!$G$2:$G$50000,$C5,缺陷明细!$J$2:$J$50000,"验收测试",缺陷明细!$AA$2:$AA$50000,"&lt;&gt;丢弃",缺陷明细!$AA$2:$AA$50000,"&lt;&gt;设计如此",缺陷明细!$AA$2:$AA$50000,"&lt;&gt;重复Bug")</f>
        <v>0</v>
      </c>
      <c r="V5" s="301">
        <f>COUNTIFS(缺陷明细!$A$2:$A$50000,$B$4,缺陷明细!$G$2:$G$50000,$C5,缺陷明细!$Q$2:$Q$50000,"已关闭",缺陷明细!$J$2:$J$50000,"验收测试")</f>
        <v>0</v>
      </c>
      <c r="W5" s="301">
        <f>COUNTIFS(缺陷明细!$A$2:$A$50000,$B$4,缺陷明细!$G$2:$G$50000,$C5,缺陷明细!$J$2:$J$50000,"验收测试",缺陷明细!$K$2:$K$50000,"致命",缺陷明细!$AA$2:$AA$50000,"&lt;&gt;丢弃",缺陷明细!$AA$2:$AA$50000,"&lt;&gt;设计如此",缺陷明细!$AA$2:$AA$50000,"&lt;&gt;重复Bug")+COUNTIFS(缺陷明细!$A$2:$A$50000,$B$4,缺陷明细!$G$2:$G$50000,$C5,缺陷明细!$J$2:$J$50000,"验收测试",缺陷明细!$K$2:$K$50000,"严重",缺陷明细!$AA$2:$AA$50000,"&lt;&gt;丢弃",缺陷明细!$AA$2:$AA$50000,"&lt;&gt;设计如此",缺陷明细!$AA$2:$AA$50000,"&lt;&gt;重复Bug")</f>
        <v>0</v>
      </c>
      <c r="X5" s="302">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303">
        <f>COUNTIFS(缺陷明细!$A$2:$A$50000,$B$4,缺陷明细!$G$2:$G$50000,$C5,缺陷明细!$J$2:$J$50000,"运维测试",缺陷明细!$AA$2:$AA$50000,"&lt;&gt;丢弃",缺陷明细!$AA$2:$AA$50000,"&lt;&gt;设计如此",缺陷明细!$AA$2:$AA$50000,"&lt;&gt;重复Bug")</f>
        <v>0</v>
      </c>
      <c r="Z5" s="304">
        <f>COUNTIFS(缺陷明细!$A$2:$A$50000,$B$4,缺陷明细!$G$2:$G$50000,$C5,缺陷明细!$Q$2:$Q$50000,"已关闭",缺陷明细!$J$2:$J$50000,"运维测试")</f>
        <v>0</v>
      </c>
      <c r="AA5" s="298">
        <f>COUNTIFS(缺陷明细!$A$2:$A$50000,$B$4,缺陷明细!$G$2:$G$50000,$C5,缺陷明细!$J$2:$J$50000,"运维测试",缺陷明细!$K$2:$K$50000,"致命",缺陷明细!$AA$2:$AA$50000,"&lt;&gt;丢弃",缺陷明细!$AA$2:$AA$50000,"&lt;&gt;设计如此",缺陷明细!$AA$2:$AA$50000,"&lt;&gt;重复Bug")+COUNTIFS(缺陷明细!$A$2:$A$50000,$B$4,缺陷明细!$G$2:$G$50000,$C5,缺陷明细!$J$2:$J$50000,"运维测试",缺陷明细!$K$2:$K$50000,"严重",缺陷明细!$AA$2:$AA$50000,"&lt;&gt;丢弃",缺陷明细!$AA$2:$AA$50000,"&lt;&gt;设计如此",缺陷明细!$AA$2:$AA$50000,"&lt;&gt;重复Bug")</f>
        <v>0</v>
      </c>
      <c r="AB5" s="299">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50"/>
    </row>
    <row r="6" spans="1:37">
      <c r="A6">
        <v>2</v>
      </c>
      <c r="B6" s="57"/>
      <c r="C6" s="58"/>
      <c r="D6" s="83"/>
      <c r="E6" s="82"/>
      <c r="F6" s="165"/>
      <c r="G6" s="166"/>
      <c r="H6" s="305">
        <f>COUNTIFS(缺陷明细!$A$2:$A$50000,$B$4,缺陷明细!$G$2:$G$50000,$C6,缺陷明细!$J$2:$J$50000,"评审",缺陷明细!$AA$2:$AA$50000,"&lt;&gt;丢弃",缺陷明细!$AA$2:$AA$50000,"&lt;&gt;设计如此",缺陷明细!$AA$2:$AA$50000,"&lt;&gt;重复Bug")</f>
        <v>0</v>
      </c>
      <c r="I6" s="161">
        <f>COUNTIFS(缺陷明细!$A$2:$A$50000,$B$4,缺陷明细!$G$2:$G$50000,$C6,缺陷明细!$Q$2:$Q$50000,"已关闭",缺陷明细!$J$2:$J$50000,"评审")</f>
        <v>0</v>
      </c>
      <c r="J6" s="161">
        <f>COUNTIFS(缺陷明细!$A$2:$A$50000,$B$4,缺陷明细!$G$2:$G$50000,$C6,缺陷明细!$J$2:$J$50000,"单元测试",缺陷明细!$AA$2:$AA$50000,"&lt;&gt;丢弃",缺陷明细!$AA$2:$AA$50000,"&lt;&gt;设计如此",缺陷明细!$AA$2:$AA$50000,"&lt;&gt;重复Bug")</f>
        <v>0</v>
      </c>
      <c r="K6" s="162">
        <f>COUNTIFS(缺陷明细!$A$2:$A$50000,$B$4,缺陷明细!$G$2:$G$50000,$C6,缺陷明细!$Q$2:$Q$50000,"已关闭",缺陷明细!$J$2:$J$50000,"单元测试")</f>
        <v>0</v>
      </c>
      <c r="L6" s="163"/>
      <c r="M6" s="164"/>
      <c r="N6" s="72">
        <f>COUNTIFS(缺陷明细!$A$2:$A$50000,$B$4,缺陷明细!$G$2:$G$50000,$C6,缺陷明细!$J$2:$J$50000,"系统测试案例评审",缺陷明细!$AA$2:$AA$50000,"&lt;&gt;丢弃",缺陷明细!$AA$2:$AA$50000,"&lt;&gt;设计如此",缺陷明细!$AA$2:$AA$50000,"&lt;&gt;重复Bug")</f>
        <v>0</v>
      </c>
      <c r="O6" s="72">
        <f>COUNTIFS(缺陷明细!$A$2:$A$50000,$B$4,缺陷明细!$G$2:$G$50000,$C6,缺陷明细!$Q$2:$Q$50000,"已关闭",缺陷明细!$J$2:$J$50000,"系统测试案例评审")</f>
        <v>0</v>
      </c>
      <c r="P6" s="72">
        <f>COUNTIFS(缺陷明细!$A$2:$A$50000,$B$4,缺陷明细!$G$2:$G$50000,$C6,缺陷明细!$J$2:$J$50000,"系统测试",缺陷明细!$AA$2:$AA$50000,"&lt;&gt;丢弃",缺陷明细!$AA$2:$AA$50000,"&lt;&gt;设计如此",缺陷明细!$AA$2:$AA$50000,"&lt;&gt;重复Bug")</f>
        <v>0</v>
      </c>
      <c r="Q6" s="72">
        <f>COUNTIFS(缺陷明细!$A$2:$A$50000,$B$4,缺陷明细!$G$2:$G$50000,$C6,缺陷明细!$Q$2:$Q$50000,"已关闭",缺陷明细!$J$2:$J$50000,"系统测试")</f>
        <v>0</v>
      </c>
      <c r="R6" s="72">
        <f>COUNTIFS(缺陷明细!$A$2:$A$50000,$B$4,缺陷明细!$G$2:$G$50000,$C6,缺陷明细!$AA$2:$AA$50000,"丢弃",缺陷明细!$J$2:$J$50000,"系统测试")+COUNTIFS(缺陷明细!$A$2:$A$50000,$B$4,缺陷明细!$G$2:$G$50000,$C6,缺陷明细!$AA$2:$AA$50000,"设计如此",缺陷明细!$J$2:$J$50000,"系统测试"+COUNTIFS(缺陷明细!$A$2:$A$50000,$B$4,缺陷明细!$G$2:$G$50000,$C6,缺陷明细!$AA$2:$AA$50000,"重复Bug",缺陷明细!$J$2:$J$50000,"系统测试"))</f>
        <v>0</v>
      </c>
      <c r="S6" s="72">
        <f>COUNTIFS(缺陷明细!$A$2:$A$50000,$B$4,缺陷明细!$G$2:$G$50000,$C6,缺陷明细!$J$2:$J$50000,"系统测试",缺陷明细!$K$2:$K$50000,"致命",缺陷明细!$AA$2:$AA$50000,"&lt;&gt;丢弃",缺陷明细!$AA$2:$AA$50000,"&lt;&gt;设计如此",缺陷明细!$AA$2:$AA$50000,"&lt;&gt;重复Bug")+COUNTIFS(缺陷明细!$A$2:$A$50000,$B$4,缺陷明细!$G$2:$G$50000,$C6,缺陷明细!$J$2:$J$50000,"系统测试",缺陷明细!$K$2:$K$50000,"严重",缺陷明细!$AA$2:$AA$50000,"&lt;&gt;丢弃",缺陷明细!$AA$2:$AA$50000,"&lt;&gt;设计如此",缺陷明细!$AA$2:$AA$50000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COUNTIFS(缺陷明细!$A$2:$A$50000,$B$4,缺陷明细!$G$2:$G$50000,$C6,缺陷明细!$J$2:$J$50000,"验收测试",缺陷明细!$AA$2:$AA$50000,"&lt;&gt;丢弃",缺陷明细!$AA$2:$AA$50000,"&lt;&gt;设计如此",缺陷明细!$AA$2:$AA$50000,"&lt;&gt;重复Bug")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A$2:$AA$50000,"&lt;&gt;丢弃",缺陷明细!$AA$2:$AA$50000,"&lt;&gt;设计如此",缺陷明细!$AA$2:$AA$50000,"&lt;&gt;重复Bug")+COUNTIFS(缺陷明细!$A$2:$A$50000,$B$4,缺陷明细!$G$2:$G$50000,$C6,缺陷明细!$J$2:$J$50000,"验收测试",缺陷明细!$K$2:$K$50000,"严重",缺陷明细!$AA$2:$AA$50000,"&lt;&gt;丢弃",缺陷明细!$AA$2:$AA$50000,"&lt;&gt;设计如此",缺陷明细!$AA$2:$AA$50000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COUNTIFS(缺陷明细!$A$2:$A$50000,$B$4,缺陷明细!$G$2:$G$50000,$C6,缺陷明细!$J$2:$J$50000,"运维测试",缺陷明细!$AA$2:$AA$50000,"&lt;&gt;丢弃",缺陷明细!$AA$2:$AA$50000,"&lt;&gt;设计如此",缺陷明细!$AA$2:$AA$50000,"&lt;&gt;重复Bug")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A$2:$AA$50000,"&lt;&gt;丢弃",缺陷明细!$AA$2:$AA$50000,"&lt;&gt;设计如此",缺陷明细!$AA$2:$AA$50000,"&lt;&gt;重复Bug")+COUNTIFS(缺陷明细!$A$2:$A$50000,$B$4,缺陷明细!$G$2:$G$50000,$C6,缺陷明细!$J$2:$J$50000,"运维测试",缺陷明细!$K$2:$K$50000,"严重",缺陷明细!$AA$2:$AA$50000,"&lt;&gt;丢弃",缺陷明细!$AA$2:$AA$50000,"&lt;&gt;设计如此",缺陷明细!$AA$2:$AA$50000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51"/>
    </row>
    <row r="7" spans="1:37">
      <c r="A7">
        <v>3</v>
      </c>
      <c r="B7" s="57"/>
      <c r="C7" s="58"/>
      <c r="D7" s="83"/>
      <c r="E7" s="82"/>
      <c r="F7" s="165"/>
      <c r="G7" s="166"/>
      <c r="H7" s="305">
        <f>COUNTIFS(缺陷明细!$A$2:$A$50000,$B$4,缺陷明细!$G$2:$G$50000,$C7,缺陷明细!$J$2:$J$50000,"评审",缺陷明细!$AA$2:$AA$50000,"&lt;&gt;丢弃",缺陷明细!$AA$2:$AA$50000,"&lt;&gt;设计如此",缺陷明细!$AA$2:$AA$50000,"&lt;&gt;重复Bug")</f>
        <v>0</v>
      </c>
      <c r="I7" s="161">
        <f>COUNTIFS(缺陷明细!$A$2:$A$50000,$B$4,缺陷明细!$G$2:$G$50000,$C7,缺陷明细!$Q$2:$Q$50000,"已关闭",缺陷明细!$J$2:$J$50000,"评审")</f>
        <v>0</v>
      </c>
      <c r="J7" s="161">
        <f>COUNTIFS(缺陷明细!$A$2:$A$50000,$B$4,缺陷明细!$G$2:$G$50000,$C7,缺陷明细!$J$2:$J$50000,"单元测试",缺陷明细!$AA$2:$AA$50000,"&lt;&gt;丢弃",缺陷明细!$AA$2:$AA$50000,"&lt;&gt;设计如此",缺陷明细!$AA$2:$AA$50000,"&lt;&gt;重复Bug")</f>
        <v>0</v>
      </c>
      <c r="K7" s="162">
        <f>COUNTIFS(缺陷明细!$A$2:$A$50000,$B$4,缺陷明细!$G$2:$G$50000,$C7,缺陷明细!$Q$2:$Q$50000,"已关闭",缺陷明细!$J$2:$J$50000,"单元测试")</f>
        <v>0</v>
      </c>
      <c r="L7" s="163"/>
      <c r="M7" s="164"/>
      <c r="N7" s="72">
        <f>COUNTIFS(缺陷明细!$A$2:$A$50000,$B$4,缺陷明细!$G$2:$G$50000,$C7,缺陷明细!$J$2:$J$50000,"系统测试案例评审",缺陷明细!$AA$2:$AA$50000,"&lt;&gt;丢弃",缺陷明细!$AA$2:$AA$50000,"&lt;&gt;设计如此",缺陷明细!$AA$2:$AA$50000,"&lt;&gt;重复Bug")</f>
        <v>0</v>
      </c>
      <c r="O7" s="72">
        <f>COUNTIFS(缺陷明细!$A$2:$A$50000,$B$4,缺陷明细!$G$2:$G$50000,$C7,缺陷明细!$Q$2:$Q$50000,"已关闭",缺陷明细!$J$2:$J$50000,"系统测试案例评审")</f>
        <v>0</v>
      </c>
      <c r="P7" s="72">
        <f>COUNTIFS(缺陷明细!$A$2:$A$50000,$B$4,缺陷明细!$G$2:$G$50000,$C7,缺陷明细!$J$2:$J$50000,"系统测试",缺陷明细!$AA$2:$AA$50000,"&lt;&gt;丢弃",缺陷明细!$AA$2:$AA$50000,"&lt;&gt;设计如此",缺陷明细!$AA$2:$AA$50000,"&lt;&gt;重复Bug")</f>
        <v>0</v>
      </c>
      <c r="Q7" s="72">
        <f>COUNTIFS(缺陷明细!$A$2:$A$50000,$B$4,缺陷明细!$G$2:$G$50000,$C7,缺陷明细!$Q$2:$Q$50000,"已关闭",缺陷明细!$J$2:$J$50000,"系统测试")</f>
        <v>0</v>
      </c>
      <c r="R7" s="72">
        <f>COUNTIFS(缺陷明细!$A$2:$A$50000,$B$4,缺陷明细!$G$2:$G$50000,$C7,缺陷明细!$AA$2:$AA$50000,"丢弃",缺陷明细!$J$2:$J$50000,"系统测试")+COUNTIFS(缺陷明细!$A$2:$A$50000,$B$4,缺陷明细!$G$2:$G$50000,$C7,缺陷明细!$AA$2:$AA$50000,"设计如此",缺陷明细!$J$2:$J$50000,"系统测试"+COUNTIFS(缺陷明细!$A$2:$A$50000,$B$4,缺陷明细!$G$2:$G$50000,$C7,缺陷明细!$AA$2:$AA$50000,"重复Bug",缺陷明细!$J$2:$J$50000,"系统测试"))</f>
        <v>0</v>
      </c>
      <c r="S7" s="72">
        <f>COUNTIFS(缺陷明细!$A$2:$A$50000,$B$4,缺陷明细!$G$2:$G$50000,$C7,缺陷明细!$J$2:$J$50000,"系统测试",缺陷明细!$K$2:$K$50000,"致命",缺陷明细!$AA$2:$AA$50000,"&lt;&gt;丢弃",缺陷明细!$AA$2:$AA$50000,"&lt;&gt;设计如此",缺陷明细!$AA$2:$AA$50000,"&lt;&gt;重复Bug")+COUNTIFS(缺陷明细!$A$2:$A$50000,$B$4,缺陷明细!$G$2:$G$50000,$C7,缺陷明细!$J$2:$J$50000,"系统测试",缺陷明细!$K$2:$K$50000,"严重",缺陷明细!$AA$2:$AA$50000,"&lt;&gt;丢弃",缺陷明细!$AA$2:$AA$50000,"&lt;&gt;设计如此",缺陷明细!$AA$2:$AA$50000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COUNTIFS(缺陷明细!$A$2:$A$50000,$B$4,缺陷明细!$G$2:$G$50000,$C7,缺陷明细!$J$2:$J$50000,"验收测试",缺陷明细!$AA$2:$AA$50000,"&lt;&gt;丢弃",缺陷明细!$AA$2:$AA$50000,"&lt;&gt;设计如此",缺陷明细!$AA$2:$AA$50000,"&lt;&gt;重复Bug")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A$2:$AA$50000,"&lt;&gt;丢弃",缺陷明细!$AA$2:$AA$50000,"&lt;&gt;设计如此",缺陷明细!$AA$2:$AA$50000,"&lt;&gt;重复Bug")+COUNTIFS(缺陷明细!$A$2:$A$50000,$B$4,缺陷明细!$G$2:$G$50000,$C7,缺陷明细!$J$2:$J$50000,"验收测试",缺陷明细!$K$2:$K$50000,"严重",缺陷明细!$AA$2:$AA$50000,"&lt;&gt;丢弃",缺陷明细!$AA$2:$AA$50000,"&lt;&gt;设计如此",缺陷明细!$AA$2:$AA$50000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COUNTIFS(缺陷明细!$A$2:$A$50000,$B$4,缺陷明细!$G$2:$G$50000,$C7,缺陷明细!$J$2:$J$50000,"运维测试",缺陷明细!$AA$2:$AA$50000,"&lt;&gt;丢弃",缺陷明细!$AA$2:$AA$50000,"&lt;&gt;设计如此",缺陷明细!$AA$2:$AA$50000,"&lt;&gt;重复Bug")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A$2:$AA$50000,"&lt;&gt;丢弃",缺陷明细!$AA$2:$AA$50000,"&lt;&gt;设计如此",缺陷明细!$AA$2:$AA$50000,"&lt;&gt;重复Bug")+COUNTIFS(缺陷明细!$A$2:$A$50000,$B$4,缺陷明细!$G$2:$G$50000,$C7,缺陷明细!$J$2:$J$50000,"运维测试",缺陷明细!$K$2:$K$50000,"严重",缺陷明细!$AA$2:$AA$50000,"&lt;&gt;丢弃",缺陷明细!$AA$2:$AA$50000,"&lt;&gt;设计如此",缺陷明细!$AA$2:$AA$50000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51"/>
    </row>
    <row r="8" spans="1:37">
      <c r="A8">
        <v>4</v>
      </c>
      <c r="B8" s="57"/>
      <c r="C8" s="58"/>
      <c r="D8" s="83"/>
      <c r="E8" s="82"/>
      <c r="F8" s="165"/>
      <c r="G8" s="166"/>
      <c r="H8" s="305">
        <f>COUNTIFS(缺陷明细!$A$2:$A$50000,$B$4,缺陷明细!$G$2:$G$50000,$C8,缺陷明细!$J$2:$J$50000,"评审",缺陷明细!$AA$2:$AA$50000,"&lt;&gt;丢弃",缺陷明细!$AA$2:$AA$50000,"&lt;&gt;设计如此",缺陷明细!$AA$2:$AA$50000,"&lt;&gt;重复Bug")</f>
        <v>0</v>
      </c>
      <c r="I8" s="161">
        <f>COUNTIFS(缺陷明细!$A$2:$A$50000,$B$4,缺陷明细!$G$2:$G$50000,$C8,缺陷明细!$Q$2:$Q$50000,"已关闭",缺陷明细!$J$2:$J$50000,"评审")</f>
        <v>0</v>
      </c>
      <c r="J8" s="161">
        <f>COUNTIFS(缺陷明细!$A$2:$A$50000,$B$4,缺陷明细!$G$2:$G$50000,$C8,缺陷明细!$J$2:$J$50000,"单元测试",缺陷明细!$AA$2:$AA$50000,"&lt;&gt;丢弃",缺陷明细!$AA$2:$AA$50000,"&lt;&gt;设计如此",缺陷明细!$AA$2:$AA$50000,"&lt;&gt;重复Bug")</f>
        <v>0</v>
      </c>
      <c r="K8" s="162">
        <f>COUNTIFS(缺陷明细!$A$2:$A$50000,$B$4,缺陷明细!$G$2:$G$50000,$C8,缺陷明细!$Q$2:$Q$50000,"已关闭",缺陷明细!$J$2:$J$50000,"单元测试")</f>
        <v>0</v>
      </c>
      <c r="L8" s="163"/>
      <c r="M8" s="164"/>
      <c r="N8" s="72">
        <f>COUNTIFS(缺陷明细!$A$2:$A$50000,$B$4,缺陷明细!$G$2:$G$50000,$C8,缺陷明细!$J$2:$J$50000,"系统测试案例评审",缺陷明细!$AA$2:$AA$50000,"&lt;&gt;丢弃",缺陷明细!$AA$2:$AA$50000,"&lt;&gt;设计如此",缺陷明细!$AA$2:$AA$50000,"&lt;&gt;重复Bug")</f>
        <v>0</v>
      </c>
      <c r="O8" s="72">
        <f>COUNTIFS(缺陷明细!$A$2:$A$50000,$B$4,缺陷明细!$G$2:$G$50000,$C8,缺陷明细!$Q$2:$Q$50000,"已关闭",缺陷明细!$J$2:$J$50000,"系统测试案例评审")</f>
        <v>0</v>
      </c>
      <c r="P8" s="72">
        <f>COUNTIFS(缺陷明细!$A$2:$A$50000,$B$4,缺陷明细!$G$2:$G$50000,$C8,缺陷明细!$J$2:$J$50000,"系统测试",缺陷明细!$AA$2:$AA$50000,"&lt;&gt;丢弃",缺陷明细!$AA$2:$AA$50000,"&lt;&gt;设计如此",缺陷明细!$AA$2:$AA$50000,"&lt;&gt;重复Bug")</f>
        <v>0</v>
      </c>
      <c r="Q8" s="72">
        <f>COUNTIFS(缺陷明细!$A$2:$A$50000,$B$4,缺陷明细!$G$2:$G$50000,$C8,缺陷明细!$Q$2:$Q$50000,"已关闭",缺陷明细!$J$2:$J$50000,"系统测试")</f>
        <v>0</v>
      </c>
      <c r="R8" s="72">
        <f>COUNTIFS(缺陷明细!$A$2:$A$50000,$B$4,缺陷明细!$G$2:$G$50000,$C8,缺陷明细!$AA$2:$AA$50000,"丢弃",缺陷明细!$J$2:$J$50000,"系统测试")+COUNTIFS(缺陷明细!$A$2:$A$50000,$B$4,缺陷明细!$G$2:$G$50000,$C8,缺陷明细!$AA$2:$AA$50000,"设计如此",缺陷明细!$J$2:$J$50000,"系统测试"+COUNTIFS(缺陷明细!$A$2:$A$50000,$B$4,缺陷明细!$G$2:$G$50000,$C8,缺陷明细!$AA$2:$AA$50000,"重复Bug",缺陷明细!$J$2:$J$50000,"系统测试"))</f>
        <v>0</v>
      </c>
      <c r="S8" s="72">
        <f>COUNTIFS(缺陷明细!$A$2:$A$50000,$B$4,缺陷明细!$G$2:$G$50000,$C8,缺陷明细!$J$2:$J$50000,"系统测试",缺陷明细!$K$2:$K$50000,"致命",缺陷明细!$AA$2:$AA$50000,"&lt;&gt;丢弃",缺陷明细!$AA$2:$AA$50000,"&lt;&gt;设计如此",缺陷明细!$AA$2:$AA$50000,"&lt;&gt;重复Bug")+COUNTIFS(缺陷明细!$A$2:$A$50000,$B$4,缺陷明细!$G$2:$G$50000,$C8,缺陷明细!$J$2:$J$50000,"系统测试",缺陷明细!$K$2:$K$50000,"严重",缺陷明细!$AA$2:$AA$50000,"&lt;&gt;丢弃",缺陷明细!$AA$2:$AA$50000,"&lt;&gt;设计如此",缺陷明细!$AA$2:$AA$50000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COUNTIFS(缺陷明细!$A$2:$A$50000,$B$4,缺陷明细!$G$2:$G$50000,$C8,缺陷明细!$J$2:$J$50000,"验收测试",缺陷明细!$AA$2:$AA$50000,"&lt;&gt;丢弃",缺陷明细!$AA$2:$AA$50000,"&lt;&gt;设计如此",缺陷明细!$AA$2:$AA$50000,"&lt;&gt;重复Bug")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A$2:$AA$50000,"&lt;&gt;丢弃",缺陷明细!$AA$2:$AA$50000,"&lt;&gt;设计如此",缺陷明细!$AA$2:$AA$50000,"&lt;&gt;重复Bug")+COUNTIFS(缺陷明细!$A$2:$A$50000,$B$4,缺陷明细!$G$2:$G$50000,$C8,缺陷明细!$J$2:$J$50000,"验收测试",缺陷明细!$K$2:$K$50000,"严重",缺陷明细!$AA$2:$AA$50000,"&lt;&gt;丢弃",缺陷明细!$AA$2:$AA$50000,"&lt;&gt;设计如此",缺陷明细!$AA$2:$AA$50000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COUNTIFS(缺陷明细!$A$2:$A$50000,$B$4,缺陷明细!$G$2:$G$50000,$C8,缺陷明细!$J$2:$J$50000,"运维测试",缺陷明细!$AA$2:$AA$50000,"&lt;&gt;丢弃",缺陷明细!$AA$2:$AA$50000,"&lt;&gt;设计如此",缺陷明细!$AA$2:$AA$50000,"&lt;&gt;重复Bug")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A$2:$AA$50000,"&lt;&gt;丢弃",缺陷明细!$AA$2:$AA$50000,"&lt;&gt;设计如此",缺陷明细!$AA$2:$AA$50000,"&lt;&gt;重复Bug")+COUNTIFS(缺陷明细!$A$2:$A$50000,$B$4,缺陷明细!$G$2:$G$50000,$C8,缺陷明细!$J$2:$J$50000,"运维测试",缺陷明细!$K$2:$K$50000,"严重",缺陷明细!$AA$2:$AA$50000,"&lt;&gt;丢弃",缺陷明细!$AA$2:$AA$50000,"&lt;&gt;设计如此",缺陷明细!$AA$2:$AA$50000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51"/>
    </row>
    <row r="9" spans="1:37">
      <c r="A9">
        <v>5</v>
      </c>
      <c r="B9" s="57"/>
      <c r="C9" s="59"/>
      <c r="D9" s="84"/>
      <c r="E9" s="82"/>
      <c r="F9" s="167"/>
      <c r="G9" s="168"/>
      <c r="H9" s="305">
        <f>COUNTIFS(缺陷明细!$A$2:$A$50000,$B$4,缺陷明细!$G$2:$G$50000,$C9,缺陷明细!$J$2:$J$50000,"评审",缺陷明细!$AA$2:$AA$50000,"&lt;&gt;丢弃",缺陷明细!$AA$2:$AA$50000,"&lt;&gt;设计如此",缺陷明细!$AA$2:$AA$50000,"&lt;&gt;重复Bug")</f>
        <v>0</v>
      </c>
      <c r="I9" s="161">
        <f>COUNTIFS(缺陷明细!$A$2:$A$50000,$B$4,缺陷明细!$G$2:$G$50000,$C9,缺陷明细!$Q$2:$Q$50000,"已关闭",缺陷明细!$J$2:$J$50000,"评审")</f>
        <v>0</v>
      </c>
      <c r="J9" s="161">
        <f>COUNTIFS(缺陷明细!$A$2:$A$50000,$B$4,缺陷明细!$G$2:$G$50000,$C9,缺陷明细!$J$2:$J$50000,"单元测试",缺陷明细!$AA$2:$AA$50000,"&lt;&gt;丢弃",缺陷明细!$AA$2:$AA$50000,"&lt;&gt;设计如此",缺陷明细!$AA$2:$AA$50000,"&lt;&gt;重复Bug")</f>
        <v>0</v>
      </c>
      <c r="K9" s="162">
        <f>COUNTIFS(缺陷明细!$A$2:$A$50000,$B$4,缺陷明细!$G$2:$G$50000,$C9,缺陷明细!$Q$2:$Q$50000,"已关闭",缺陷明细!$J$2:$J$50000,"单元测试")</f>
        <v>0</v>
      </c>
      <c r="L9" s="163"/>
      <c r="M9" s="164"/>
      <c r="N9" s="72">
        <f>COUNTIFS(缺陷明细!$A$2:$A$50000,$B$4,缺陷明细!$G$2:$G$50000,$C9,缺陷明细!$J$2:$J$50000,"系统测试案例评审",缺陷明细!$AA$2:$AA$50000,"&lt;&gt;丢弃",缺陷明细!$AA$2:$AA$50000,"&lt;&gt;设计如此",缺陷明细!$AA$2:$AA$50000,"&lt;&gt;重复Bug")</f>
        <v>0</v>
      </c>
      <c r="O9" s="72">
        <f>COUNTIFS(缺陷明细!$A$2:$A$50000,$B$4,缺陷明细!$G$2:$G$50000,$C9,缺陷明细!$Q$2:$Q$50000,"已关闭",缺陷明细!$J$2:$J$50000,"系统测试案例评审")</f>
        <v>0</v>
      </c>
      <c r="P9" s="72">
        <f>COUNTIFS(缺陷明细!$A$2:$A$50000,$B$4,缺陷明细!$G$2:$G$50000,$C9,缺陷明细!$J$2:$J$50000,"系统测试",缺陷明细!$AA$2:$AA$50000,"&lt;&gt;丢弃",缺陷明细!$AA$2:$AA$50000,"&lt;&gt;设计如此",缺陷明细!$AA$2:$AA$50000,"&lt;&gt;重复Bug")</f>
        <v>0</v>
      </c>
      <c r="Q9" s="72">
        <f>COUNTIFS(缺陷明细!$A$2:$A$50000,$B$4,缺陷明细!$G$2:$G$50000,$C9,缺陷明细!$Q$2:$Q$50000,"已关闭",缺陷明细!$J$2:$J$50000,"系统测试")</f>
        <v>0</v>
      </c>
      <c r="R9" s="72">
        <f>COUNTIFS(缺陷明细!$A$2:$A$50000,$B$4,缺陷明细!$G$2:$G$50000,$C9,缺陷明细!$AA$2:$AA$50000,"丢弃",缺陷明细!$J$2:$J$50000,"系统测试")+COUNTIFS(缺陷明细!$A$2:$A$50000,$B$4,缺陷明细!$G$2:$G$50000,$C9,缺陷明细!$AA$2:$AA$50000,"设计如此",缺陷明细!$J$2:$J$50000,"系统测试"+COUNTIFS(缺陷明细!$A$2:$A$50000,$B$4,缺陷明细!$G$2:$G$50000,$C9,缺陷明细!$AA$2:$AA$50000,"重复Bug",缺陷明细!$J$2:$J$50000,"系统测试"))</f>
        <v>0</v>
      </c>
      <c r="S9" s="72">
        <f>COUNTIFS(缺陷明细!$A$2:$A$50000,$B$4,缺陷明细!$G$2:$G$50000,$C9,缺陷明细!$J$2:$J$50000,"系统测试",缺陷明细!$K$2:$K$50000,"致命",缺陷明细!$AA$2:$AA$50000,"&lt;&gt;丢弃",缺陷明细!$AA$2:$AA$50000,"&lt;&gt;设计如此",缺陷明细!$AA$2:$AA$50000,"&lt;&gt;重复Bug")+COUNTIFS(缺陷明细!$A$2:$A$50000,$B$4,缺陷明细!$G$2:$G$50000,$C9,缺陷明细!$J$2:$J$50000,"系统测试",缺陷明细!$K$2:$K$50000,"严重",缺陷明细!$AA$2:$AA$50000,"&lt;&gt;丢弃",缺陷明细!$AA$2:$AA$50000,"&lt;&gt;设计如此",缺陷明细!$AA$2:$AA$50000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COUNTIFS(缺陷明细!$A$2:$A$50000,$B$4,缺陷明细!$G$2:$G$50000,$C9,缺陷明细!$J$2:$J$50000,"验收测试",缺陷明细!$AA$2:$AA$50000,"&lt;&gt;丢弃",缺陷明细!$AA$2:$AA$50000,"&lt;&gt;设计如此",缺陷明细!$AA$2:$AA$50000,"&lt;&gt;重复Bug")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A$2:$AA$50000,"&lt;&gt;丢弃",缺陷明细!$AA$2:$AA$50000,"&lt;&gt;设计如此",缺陷明细!$AA$2:$AA$50000,"&lt;&gt;重复Bug")+COUNTIFS(缺陷明细!$A$2:$A$50000,$B$4,缺陷明细!$G$2:$G$50000,$C9,缺陷明细!$J$2:$J$50000,"验收测试",缺陷明细!$K$2:$K$50000,"严重",缺陷明细!$AA$2:$AA$50000,"&lt;&gt;丢弃",缺陷明细!$AA$2:$AA$50000,"&lt;&gt;设计如此",缺陷明细!$AA$2:$AA$50000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COUNTIFS(缺陷明细!$A$2:$A$50000,$B$4,缺陷明细!$G$2:$G$50000,$C9,缺陷明细!$J$2:$J$50000,"运维测试",缺陷明细!$AA$2:$AA$50000,"&lt;&gt;丢弃",缺陷明细!$AA$2:$AA$50000,"&lt;&gt;设计如此",缺陷明细!$AA$2:$AA$50000,"&lt;&gt;重复Bug")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A$2:$AA$50000,"&lt;&gt;丢弃",缺陷明细!$AA$2:$AA$50000,"&lt;&gt;设计如此",缺陷明细!$AA$2:$AA$50000,"&lt;&gt;重复Bug")+COUNTIFS(缺陷明细!$A$2:$A$50000,$B$4,缺陷明细!$G$2:$G$50000,$C9,缺陷明细!$J$2:$J$50000,"运维测试",缺陷明细!$K$2:$K$50000,"严重",缺陷明细!$AA$2:$AA$50000,"&lt;&gt;丢弃",缺陷明细!$AA$2:$AA$50000,"&lt;&gt;设计如此",缺陷明细!$AA$2:$AA$50000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51"/>
    </row>
    <row r="10" spans="1:37">
      <c r="A10">
        <v>6</v>
      </c>
      <c r="B10" s="57"/>
      <c r="C10" s="58"/>
      <c r="D10" s="84"/>
      <c r="E10" s="82"/>
      <c r="F10" s="165"/>
      <c r="G10" s="166"/>
      <c r="H10" s="305">
        <f>COUNTIFS(缺陷明细!$A$2:$A$50000,$B$4,缺陷明细!$G$2:$G$50000,$C10,缺陷明细!$J$2:$J$50000,"评审",缺陷明细!$AA$2:$AA$50000,"&lt;&gt;丢弃",缺陷明细!$AA$2:$AA$50000,"&lt;&gt;设计如此",缺陷明细!$AA$2:$AA$50000,"&lt;&gt;重复Bug")</f>
        <v>0</v>
      </c>
      <c r="I10" s="161">
        <f>COUNTIFS(缺陷明细!$A$2:$A$50000,$B$4,缺陷明细!$G$2:$G$50000,$C10,缺陷明细!$Q$2:$Q$50000,"已关闭",缺陷明细!$J$2:$J$50000,"评审")</f>
        <v>0</v>
      </c>
      <c r="J10" s="161">
        <f>COUNTIFS(缺陷明细!$A$2:$A$50000,$B$4,缺陷明细!$G$2:$G$50000,$C10,缺陷明细!$J$2:$J$50000,"单元测试",缺陷明细!$AA$2:$AA$50000,"&lt;&gt;丢弃",缺陷明细!$AA$2:$AA$50000,"&lt;&gt;设计如此",缺陷明细!$AA$2:$AA$50000,"&lt;&gt;重复Bug")</f>
        <v>0</v>
      </c>
      <c r="K10" s="162">
        <f>COUNTIFS(缺陷明细!$A$2:$A$50000,$B$4,缺陷明细!$G$2:$G$50000,$C10,缺陷明细!$Q$2:$Q$50000,"已关闭",缺陷明细!$J$2:$J$50000,"单元测试")</f>
        <v>0</v>
      </c>
      <c r="L10" s="163"/>
      <c r="M10" s="164"/>
      <c r="N10" s="72">
        <f>COUNTIFS(缺陷明细!$A$2:$A$50000,$B$4,缺陷明细!$G$2:$G$50000,$C10,缺陷明细!$J$2:$J$50000,"系统测试案例评审",缺陷明细!$AA$2:$AA$50000,"&lt;&gt;丢弃",缺陷明细!$AA$2:$AA$50000,"&lt;&gt;设计如此",缺陷明细!$AA$2:$AA$50000,"&lt;&gt;重复Bug")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COUNTIFS(缺陷明细!$A$2:$A$50000,$B$4,缺陷明细!$G$2:$G$50000,$C10,缺陷明细!$J$2:$J$50000,"系统测试",缺陷明细!$AA$2:$AA$50000,"&lt;&gt;丢弃",缺陷明细!$AA$2:$AA$50000,"&lt;&gt;设计如此",缺陷明细!$AA$2:$AA$50000,"&lt;&gt;重复Bug")</f>
        <v>0</v>
      </c>
      <c r="Q10" s="72">
        <f>COUNTIFS(缺陷明细!$A$2:$A$50000,$B$4,缺陷明细!$G$2:$G$50000,$C10,缺陷明细!$Q$2:$Q$50000,"已关闭",缺陷明细!$J$2:$J$50000,"系统测试")</f>
        <v>0</v>
      </c>
      <c r="R10" s="72">
        <f>COUNTIFS(缺陷明细!$A$2:$A$50000,$B$4,缺陷明细!$G$2:$G$50000,$C10,缺陷明细!$AA$2:$AA$50000,"丢弃",缺陷明细!$J$2:$J$50000,"系统测试")+COUNTIFS(缺陷明细!$A$2:$A$50000,$B$4,缺陷明细!$G$2:$G$50000,$C10,缺陷明细!$AA$2:$AA$50000,"设计如此",缺陷明细!$J$2:$J$50000,"系统测试"+COUNTIFS(缺陷明细!$A$2:$A$50000,$B$4,缺陷明细!$G$2:$G$50000,$C10,缺陷明细!$AA$2:$AA$50000,"重复Bug",缺陷明细!$J$2:$J$50000,"系统测试"))</f>
        <v>0</v>
      </c>
      <c r="S10" s="72">
        <f>COUNTIFS(缺陷明细!$A$2:$A$50000,$B$4,缺陷明细!$G$2:$G$50000,$C10,缺陷明细!$J$2:$J$50000,"系统测试",缺陷明细!$K$2:$K$50000,"致命",缺陷明细!$AA$2:$AA$50000,"&lt;&gt;丢弃",缺陷明细!$AA$2:$AA$50000,"&lt;&gt;设计如此",缺陷明细!$AA$2:$AA$50000,"&lt;&gt;重复Bug")+COUNTIFS(缺陷明细!$A$2:$A$50000,$B$4,缺陷明细!$G$2:$G$50000,$C10,缺陷明细!$J$2:$J$50000,"系统测试",缺陷明细!$K$2:$K$50000,"严重",缺陷明细!$AA$2:$AA$50000,"&lt;&gt;丢弃",缺陷明细!$AA$2:$AA$50000,"&lt;&gt;设计如此",缺陷明细!$AA$2:$AA$50000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COUNTIFS(缺陷明细!$A$2:$A$50000,$B$4,缺陷明细!$G$2:$G$50000,$C10,缺陷明细!$J$2:$J$50000,"验收测试",缺陷明细!$AA$2:$AA$50000,"&lt;&gt;丢弃",缺陷明细!$AA$2:$AA$50000,"&lt;&gt;设计如此",缺陷明细!$AA$2:$AA$50000,"&lt;&gt;重复Bug")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A$2:$AA$50000,"&lt;&gt;丢弃",缺陷明细!$AA$2:$AA$50000,"&lt;&gt;设计如此",缺陷明细!$AA$2:$AA$50000,"&lt;&gt;重复Bug")+COUNTIFS(缺陷明细!$A$2:$A$50000,$B$4,缺陷明细!$G$2:$G$50000,$C10,缺陷明细!$J$2:$J$50000,"验收测试",缺陷明细!$K$2:$K$50000,"严重",缺陷明细!$AA$2:$AA$50000,"&lt;&gt;丢弃",缺陷明细!$AA$2:$AA$50000,"&lt;&gt;设计如此",缺陷明细!$AA$2:$AA$50000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COUNTIFS(缺陷明细!$A$2:$A$50000,$B$4,缺陷明细!$G$2:$G$50000,$C10,缺陷明细!$J$2:$J$50000,"运维测试",缺陷明细!$AA$2:$AA$50000,"&lt;&gt;丢弃",缺陷明细!$AA$2:$AA$50000,"&lt;&gt;设计如此",缺陷明细!$AA$2:$AA$50000,"&lt;&gt;重复Bug")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A$2:$AA$50000,"&lt;&gt;丢弃",缺陷明细!$AA$2:$AA$50000,"&lt;&gt;设计如此",缺陷明细!$AA$2:$AA$50000,"&lt;&gt;重复Bug")+COUNTIFS(缺陷明细!$A$2:$A$50000,$B$4,缺陷明细!$G$2:$G$50000,$C10,缺陷明细!$J$2:$J$50000,"运维测试",缺陷明细!$K$2:$K$50000,"严重",缺陷明细!$AA$2:$AA$50000,"&lt;&gt;丢弃",缺陷明细!$AA$2:$AA$50000,"&lt;&gt;设计如此",缺陷明细!$AA$2:$AA$50000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51"/>
    </row>
    <row r="11" spans="1:37">
      <c r="A11">
        <v>7</v>
      </c>
      <c r="B11" s="57"/>
      <c r="C11" s="58"/>
      <c r="D11" s="84"/>
      <c r="E11" s="82"/>
      <c r="F11" s="165"/>
      <c r="G11" s="166"/>
      <c r="H11" s="305">
        <f>COUNTIFS(缺陷明细!$A$2:$A$50000,$B$4,缺陷明细!$G$2:$G$50000,$C11,缺陷明细!$J$2:$J$50000,"评审",缺陷明细!$AA$2:$AA$50000,"&lt;&gt;丢弃",缺陷明细!$AA$2:$AA$50000,"&lt;&gt;设计如此",缺陷明细!$AA$2:$AA$50000,"&lt;&gt;重复Bug")</f>
        <v>0</v>
      </c>
      <c r="I11" s="161">
        <f>COUNTIFS(缺陷明细!$A$2:$A$50000,$B$4,缺陷明细!$G$2:$G$50000,$C11,缺陷明细!$Q$2:$Q$50000,"已关闭",缺陷明细!$J$2:$J$50000,"评审")</f>
        <v>0</v>
      </c>
      <c r="J11" s="161">
        <f>COUNTIFS(缺陷明细!$A$2:$A$50000,$B$4,缺陷明细!$G$2:$G$50000,$C11,缺陷明细!$J$2:$J$50000,"单元测试",缺陷明细!$AA$2:$AA$50000,"&lt;&gt;丢弃",缺陷明细!$AA$2:$AA$50000,"&lt;&gt;设计如此",缺陷明细!$AA$2:$AA$50000,"&lt;&gt;重复Bug")</f>
        <v>0</v>
      </c>
      <c r="K11" s="162">
        <f>COUNTIFS(缺陷明细!$A$2:$A$50000,$B$4,缺陷明细!$G$2:$G$50000,$C11,缺陷明细!$Q$2:$Q$50000,"已关闭",缺陷明细!$J$2:$J$50000,"单元测试")</f>
        <v>0</v>
      </c>
      <c r="L11" s="163"/>
      <c r="M11" s="164"/>
      <c r="N11" s="72">
        <f>COUNTIFS(缺陷明细!$A$2:$A$50000,$B$4,缺陷明细!$G$2:$G$50000,$C11,缺陷明细!$J$2:$J$50000,"系统测试案例评审",缺陷明细!$AA$2:$AA$50000,"&lt;&gt;丢弃",缺陷明细!$AA$2:$AA$50000,"&lt;&gt;设计如此",缺陷明细!$AA$2:$AA$50000,"&lt;&gt;重复Bug")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COUNTIFS(缺陷明细!$A$2:$A$50000,$B$4,缺陷明细!$G$2:$G$50000,$C11,缺陷明细!$J$2:$J$50000,"系统测试",缺陷明细!$AA$2:$AA$50000,"&lt;&gt;丢弃",缺陷明细!$AA$2:$AA$50000,"&lt;&gt;设计如此",缺陷明细!$AA$2:$AA$50000,"&lt;&gt;重复Bug")</f>
        <v>0</v>
      </c>
      <c r="Q11" s="72">
        <f>COUNTIFS(缺陷明细!$A$2:$A$50000,$B$4,缺陷明细!$G$2:$G$50000,$C11,缺陷明细!$Q$2:$Q$50000,"已关闭",缺陷明细!$J$2:$J$50000,"系统测试")</f>
        <v>0</v>
      </c>
      <c r="R11" s="72">
        <f>COUNTIFS(缺陷明细!$A$2:$A$50000,$B$4,缺陷明细!$G$2:$G$50000,$C11,缺陷明细!$AA$2:$AA$50000,"丢弃",缺陷明细!$J$2:$J$50000,"系统测试")+COUNTIFS(缺陷明细!$A$2:$A$50000,$B$4,缺陷明细!$G$2:$G$50000,$C11,缺陷明细!$AA$2:$AA$50000,"设计如此",缺陷明细!$J$2:$J$50000,"系统测试"+COUNTIFS(缺陷明细!$A$2:$A$50000,$B$4,缺陷明细!$G$2:$G$50000,$C11,缺陷明细!$AA$2:$AA$50000,"重复Bug",缺陷明细!$J$2:$J$50000,"系统测试"))</f>
        <v>0</v>
      </c>
      <c r="S11" s="72">
        <f>COUNTIFS(缺陷明细!$A$2:$A$50000,$B$4,缺陷明细!$G$2:$G$50000,$C11,缺陷明细!$J$2:$J$50000,"系统测试",缺陷明细!$K$2:$K$50000,"致命",缺陷明细!$AA$2:$AA$50000,"&lt;&gt;丢弃",缺陷明细!$AA$2:$AA$50000,"&lt;&gt;设计如此",缺陷明细!$AA$2:$AA$50000,"&lt;&gt;重复Bug")+COUNTIFS(缺陷明细!$A$2:$A$50000,$B$4,缺陷明细!$G$2:$G$50000,$C11,缺陷明细!$J$2:$J$50000,"系统测试",缺陷明细!$K$2:$K$50000,"严重",缺陷明细!$AA$2:$AA$50000,"&lt;&gt;丢弃",缺陷明细!$AA$2:$AA$50000,"&lt;&gt;设计如此",缺陷明细!$AA$2:$AA$50000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COUNTIFS(缺陷明细!$A$2:$A$50000,$B$4,缺陷明细!$G$2:$G$50000,$C11,缺陷明细!$J$2:$J$50000,"验收测试",缺陷明细!$AA$2:$AA$50000,"&lt;&gt;丢弃",缺陷明细!$AA$2:$AA$50000,"&lt;&gt;设计如此",缺陷明细!$AA$2:$AA$50000,"&lt;&gt;重复Bug")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A$2:$AA$50000,"&lt;&gt;丢弃",缺陷明细!$AA$2:$AA$50000,"&lt;&gt;设计如此",缺陷明细!$AA$2:$AA$50000,"&lt;&gt;重复Bug")+COUNTIFS(缺陷明细!$A$2:$A$50000,$B$4,缺陷明细!$G$2:$G$50000,$C11,缺陷明细!$J$2:$J$50000,"验收测试",缺陷明细!$K$2:$K$50000,"严重",缺陷明细!$AA$2:$AA$50000,"&lt;&gt;丢弃",缺陷明细!$AA$2:$AA$50000,"&lt;&gt;设计如此",缺陷明细!$AA$2:$AA$50000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COUNTIFS(缺陷明细!$A$2:$A$50000,$B$4,缺陷明细!$G$2:$G$50000,$C11,缺陷明细!$J$2:$J$50000,"运维测试",缺陷明细!$AA$2:$AA$50000,"&lt;&gt;丢弃",缺陷明细!$AA$2:$AA$50000,"&lt;&gt;设计如此",缺陷明细!$AA$2:$AA$50000,"&lt;&gt;重复Bug")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A$2:$AA$50000,"&lt;&gt;丢弃",缺陷明细!$AA$2:$AA$50000,"&lt;&gt;设计如此",缺陷明细!$AA$2:$AA$50000,"&lt;&gt;重复Bug")+COUNTIFS(缺陷明细!$A$2:$A$50000,$B$4,缺陷明细!$G$2:$G$50000,$C11,缺陷明细!$J$2:$J$50000,"运维测试",缺陷明细!$K$2:$K$50000,"严重",缺陷明细!$AA$2:$AA$50000,"&lt;&gt;丢弃",缺陷明细!$AA$2:$AA$50000,"&lt;&gt;设计如此",缺陷明细!$AA$2:$AA$50000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51"/>
    </row>
    <row r="12" spans="1:37">
      <c r="A12">
        <v>8</v>
      </c>
      <c r="B12" s="57"/>
      <c r="C12" s="58"/>
      <c r="D12" s="84"/>
      <c r="E12" s="82"/>
      <c r="F12" s="165"/>
      <c r="G12" s="166"/>
      <c r="H12" s="305">
        <f>COUNTIFS(缺陷明细!$A$2:$A$50000,$B$4,缺陷明细!$G$2:$G$50000,$C12,缺陷明细!$J$2:$J$50000,"评审",缺陷明细!$AA$2:$AA$50000,"&lt;&gt;丢弃",缺陷明细!$AA$2:$AA$50000,"&lt;&gt;设计如此",缺陷明细!$AA$2:$AA$50000,"&lt;&gt;重复Bug")</f>
        <v>0</v>
      </c>
      <c r="I12" s="161">
        <f>COUNTIFS(缺陷明细!$A$2:$A$50000,$B$4,缺陷明细!$G$2:$G$50000,$C12,缺陷明细!$Q$2:$Q$50000,"已关闭",缺陷明细!$J$2:$J$50000,"评审")</f>
        <v>0</v>
      </c>
      <c r="J12" s="161">
        <f>COUNTIFS(缺陷明细!$A$2:$A$50000,$B$4,缺陷明细!$G$2:$G$50000,$C12,缺陷明细!$J$2:$J$50000,"单元测试",缺陷明细!$AA$2:$AA$50000,"&lt;&gt;丢弃",缺陷明细!$AA$2:$AA$50000,"&lt;&gt;设计如此",缺陷明细!$AA$2:$AA$50000,"&lt;&gt;重复Bug")</f>
        <v>0</v>
      </c>
      <c r="K12" s="162">
        <f>COUNTIFS(缺陷明细!$A$2:$A$50000,$B$4,缺陷明细!$G$2:$G$50000,$C12,缺陷明细!$Q$2:$Q$50000,"已关闭",缺陷明细!$J$2:$J$50000,"单元测试")</f>
        <v>0</v>
      </c>
      <c r="L12" s="163"/>
      <c r="M12" s="164"/>
      <c r="N12" s="72">
        <f>COUNTIFS(缺陷明细!$A$2:$A$50000,$B$4,缺陷明细!$G$2:$G$50000,$C12,缺陷明细!$J$2:$J$50000,"系统测试案例评审",缺陷明细!$AA$2:$AA$50000,"&lt;&gt;丢弃",缺陷明细!$AA$2:$AA$50000,"&lt;&gt;设计如此",缺陷明细!$AA$2:$AA$50000,"&lt;&gt;重复Bug")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COUNTIFS(缺陷明细!$A$2:$A$50000,$B$4,缺陷明细!$G$2:$G$50000,$C12,缺陷明细!$J$2:$J$50000,"系统测试",缺陷明细!$AA$2:$AA$50000,"&lt;&gt;丢弃",缺陷明细!$AA$2:$AA$50000,"&lt;&gt;设计如此",缺陷明细!$AA$2:$AA$50000,"&lt;&gt;重复Bug")</f>
        <v>0</v>
      </c>
      <c r="Q12" s="72">
        <f>COUNTIFS(缺陷明细!$A$2:$A$50000,$B$4,缺陷明细!$G$2:$G$50000,$C12,缺陷明细!$Q$2:$Q$50000,"已关闭",缺陷明细!$J$2:$J$50000,"系统测试")</f>
        <v>0</v>
      </c>
      <c r="R12" s="72">
        <f>COUNTIFS(缺陷明细!$A$2:$A$50000,$B$4,缺陷明细!$G$2:$G$50000,$C12,缺陷明细!$AA$2:$AA$50000,"丢弃",缺陷明细!$J$2:$J$50000,"系统测试")+COUNTIFS(缺陷明细!$A$2:$A$50000,$B$4,缺陷明细!$G$2:$G$50000,$C12,缺陷明细!$AA$2:$AA$50000,"设计如此",缺陷明细!$J$2:$J$50000,"系统测试"+COUNTIFS(缺陷明细!$A$2:$A$50000,$B$4,缺陷明细!$G$2:$G$50000,$C12,缺陷明细!$AA$2:$AA$50000,"重复Bug",缺陷明细!$J$2:$J$50000,"系统测试"))</f>
        <v>0</v>
      </c>
      <c r="S12" s="72">
        <f>COUNTIFS(缺陷明细!$A$2:$A$50000,$B$4,缺陷明细!$G$2:$G$50000,$C12,缺陷明细!$J$2:$J$50000,"系统测试",缺陷明细!$K$2:$K$50000,"致命",缺陷明细!$AA$2:$AA$50000,"&lt;&gt;丢弃",缺陷明细!$AA$2:$AA$50000,"&lt;&gt;设计如此",缺陷明细!$AA$2:$AA$50000,"&lt;&gt;重复Bug")+COUNTIFS(缺陷明细!$A$2:$A$50000,$B$4,缺陷明细!$G$2:$G$50000,$C12,缺陷明细!$J$2:$J$50000,"系统测试",缺陷明细!$K$2:$K$50000,"严重",缺陷明细!$AA$2:$AA$50000,"&lt;&gt;丢弃",缺陷明细!$AA$2:$AA$50000,"&lt;&gt;设计如此",缺陷明细!$AA$2:$AA$50000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COUNTIFS(缺陷明细!$A$2:$A$50000,$B$4,缺陷明细!$G$2:$G$50000,$C12,缺陷明细!$J$2:$J$50000,"验收测试",缺陷明细!$AA$2:$AA$50000,"&lt;&gt;丢弃",缺陷明细!$AA$2:$AA$50000,"&lt;&gt;设计如此",缺陷明细!$AA$2:$AA$50000,"&lt;&gt;重复Bug")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A$2:$AA$50000,"&lt;&gt;丢弃",缺陷明细!$AA$2:$AA$50000,"&lt;&gt;设计如此",缺陷明细!$AA$2:$AA$50000,"&lt;&gt;重复Bug")+COUNTIFS(缺陷明细!$A$2:$A$50000,$B$4,缺陷明细!$G$2:$G$50000,$C12,缺陷明细!$J$2:$J$50000,"验收测试",缺陷明细!$K$2:$K$50000,"严重",缺陷明细!$AA$2:$AA$50000,"&lt;&gt;丢弃",缺陷明细!$AA$2:$AA$50000,"&lt;&gt;设计如此",缺陷明细!$AA$2:$AA$50000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COUNTIFS(缺陷明细!$A$2:$A$50000,$B$4,缺陷明细!$G$2:$G$50000,$C12,缺陷明细!$J$2:$J$50000,"运维测试",缺陷明细!$AA$2:$AA$50000,"&lt;&gt;丢弃",缺陷明细!$AA$2:$AA$50000,"&lt;&gt;设计如此",缺陷明细!$AA$2:$AA$50000,"&lt;&gt;重复Bug")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A$2:$AA$50000,"&lt;&gt;丢弃",缺陷明细!$AA$2:$AA$50000,"&lt;&gt;设计如此",缺陷明细!$AA$2:$AA$50000,"&lt;&gt;重复Bug")+COUNTIFS(缺陷明细!$A$2:$A$50000,$B$4,缺陷明细!$G$2:$G$50000,$C12,缺陷明细!$J$2:$J$50000,"运维测试",缺陷明细!$K$2:$K$50000,"严重",缺陷明细!$AA$2:$AA$50000,"&lt;&gt;丢弃",缺陷明细!$AA$2:$AA$50000,"&lt;&gt;设计如此",缺陷明细!$AA$2:$AA$50000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51"/>
    </row>
    <row r="13" spans="1:37">
      <c r="A13">
        <v>9</v>
      </c>
      <c r="B13" s="57"/>
      <c r="C13" s="58"/>
      <c r="D13" s="84"/>
      <c r="E13" s="82"/>
      <c r="F13" s="165"/>
      <c r="G13" s="166"/>
      <c r="H13" s="305">
        <f>COUNTIFS(缺陷明细!$A$2:$A$50000,$B$4,缺陷明细!$G$2:$G$50000,$C13,缺陷明细!$J$2:$J$50000,"评审",缺陷明细!$AA$2:$AA$50000,"&lt;&gt;丢弃",缺陷明细!$AA$2:$AA$50000,"&lt;&gt;设计如此",缺陷明细!$AA$2:$AA$50000,"&lt;&gt;重复Bug")</f>
        <v>0</v>
      </c>
      <c r="I13" s="161">
        <f>COUNTIFS(缺陷明细!$A$2:$A$50000,$B$4,缺陷明细!$G$2:$G$50000,$C13,缺陷明细!$Q$2:$Q$50000,"已关闭",缺陷明细!$J$2:$J$50000,"评审")</f>
        <v>0</v>
      </c>
      <c r="J13" s="161">
        <f>COUNTIFS(缺陷明细!$A$2:$A$50000,$B$4,缺陷明细!$G$2:$G$50000,$C13,缺陷明细!$J$2:$J$50000,"单元测试",缺陷明细!$AA$2:$AA$50000,"&lt;&gt;丢弃",缺陷明细!$AA$2:$AA$50000,"&lt;&gt;设计如此",缺陷明细!$AA$2:$AA$50000,"&lt;&gt;重复Bug")</f>
        <v>0</v>
      </c>
      <c r="K13" s="162">
        <f>COUNTIFS(缺陷明细!$A$2:$A$50000,$B$4,缺陷明细!$G$2:$G$50000,$C13,缺陷明细!$Q$2:$Q$50000,"已关闭",缺陷明细!$J$2:$J$50000,"单元测试")</f>
        <v>0</v>
      </c>
      <c r="L13" s="163"/>
      <c r="M13" s="164"/>
      <c r="N13" s="72">
        <f>COUNTIFS(缺陷明细!$A$2:$A$50000,$B$4,缺陷明细!$G$2:$G$50000,$C13,缺陷明细!$J$2:$J$50000,"系统测试案例评审",缺陷明细!$AA$2:$AA$50000,"&lt;&gt;丢弃",缺陷明细!$AA$2:$AA$50000,"&lt;&gt;设计如此",缺陷明细!$AA$2:$AA$50000,"&lt;&gt;重复Bug")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COUNTIFS(缺陷明细!$A$2:$A$50000,$B$4,缺陷明细!$G$2:$G$50000,$C13,缺陷明细!$J$2:$J$50000,"系统测试",缺陷明细!$AA$2:$AA$50000,"&lt;&gt;丢弃",缺陷明细!$AA$2:$AA$50000,"&lt;&gt;设计如此",缺陷明细!$AA$2:$AA$50000,"&lt;&gt;重复Bug")</f>
        <v>0</v>
      </c>
      <c r="Q13" s="72">
        <f>COUNTIFS(缺陷明细!$A$2:$A$50000,$B$4,缺陷明细!$G$2:$G$50000,$C13,缺陷明细!$Q$2:$Q$50000,"已关闭",缺陷明细!$J$2:$J$50000,"系统测试")</f>
        <v>0</v>
      </c>
      <c r="R13" s="72">
        <f>COUNTIFS(缺陷明细!$A$2:$A$50000,$B$4,缺陷明细!$G$2:$G$50000,$C13,缺陷明细!$AA$2:$AA$50000,"丢弃",缺陷明细!$J$2:$J$50000,"系统测试")+COUNTIFS(缺陷明细!$A$2:$A$50000,$B$4,缺陷明细!$G$2:$G$50000,$C13,缺陷明细!$AA$2:$AA$50000,"设计如此",缺陷明细!$J$2:$J$50000,"系统测试"+COUNTIFS(缺陷明细!$A$2:$A$50000,$B$4,缺陷明细!$G$2:$G$50000,$C13,缺陷明细!$AA$2:$AA$50000,"重复Bug",缺陷明细!$J$2:$J$50000,"系统测试"))</f>
        <v>0</v>
      </c>
      <c r="S13" s="72">
        <f>COUNTIFS(缺陷明细!$A$2:$A$50000,$B$4,缺陷明细!$G$2:$G$50000,$C13,缺陷明细!$J$2:$J$50000,"系统测试",缺陷明细!$K$2:$K$50000,"致命",缺陷明细!$AA$2:$AA$50000,"&lt;&gt;丢弃",缺陷明细!$AA$2:$AA$50000,"&lt;&gt;设计如此",缺陷明细!$AA$2:$AA$50000,"&lt;&gt;重复Bug")+COUNTIFS(缺陷明细!$A$2:$A$50000,$B$4,缺陷明细!$G$2:$G$50000,$C13,缺陷明细!$J$2:$J$50000,"系统测试",缺陷明细!$K$2:$K$50000,"严重",缺陷明细!$AA$2:$AA$50000,"&lt;&gt;丢弃",缺陷明细!$AA$2:$AA$50000,"&lt;&gt;设计如此",缺陷明细!$AA$2:$AA$50000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COUNTIFS(缺陷明细!$A$2:$A$50000,$B$4,缺陷明细!$G$2:$G$50000,$C13,缺陷明细!$J$2:$J$50000,"验收测试",缺陷明细!$AA$2:$AA$50000,"&lt;&gt;丢弃",缺陷明细!$AA$2:$AA$50000,"&lt;&gt;设计如此",缺陷明细!$AA$2:$AA$50000,"&lt;&gt;重复Bug")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A$2:$AA$50000,"&lt;&gt;丢弃",缺陷明细!$AA$2:$AA$50000,"&lt;&gt;设计如此",缺陷明细!$AA$2:$AA$50000,"&lt;&gt;重复Bug")+COUNTIFS(缺陷明细!$A$2:$A$50000,$B$4,缺陷明细!$G$2:$G$50000,$C13,缺陷明细!$J$2:$J$50000,"验收测试",缺陷明细!$K$2:$K$50000,"严重",缺陷明细!$AA$2:$AA$50000,"&lt;&gt;丢弃",缺陷明细!$AA$2:$AA$50000,"&lt;&gt;设计如此",缺陷明细!$AA$2:$AA$50000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COUNTIFS(缺陷明细!$A$2:$A$50000,$B$4,缺陷明细!$G$2:$G$50000,$C13,缺陷明细!$J$2:$J$50000,"运维测试",缺陷明细!$AA$2:$AA$50000,"&lt;&gt;丢弃",缺陷明细!$AA$2:$AA$50000,"&lt;&gt;设计如此",缺陷明细!$AA$2:$AA$50000,"&lt;&gt;重复Bug")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A$2:$AA$50000,"&lt;&gt;丢弃",缺陷明细!$AA$2:$AA$50000,"&lt;&gt;设计如此",缺陷明细!$AA$2:$AA$50000,"&lt;&gt;重复Bug")+COUNTIFS(缺陷明细!$A$2:$A$50000,$B$4,缺陷明细!$G$2:$G$50000,$C13,缺陷明细!$J$2:$J$50000,"运维测试",缺陷明细!$K$2:$K$50000,"严重",缺陷明细!$AA$2:$AA$50000,"&lt;&gt;丢弃",缺陷明细!$AA$2:$AA$50000,"&lt;&gt;设计如此",缺陷明细!$AA$2:$AA$50000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51"/>
    </row>
    <row r="14" spans="1:37">
      <c r="A14">
        <v>10</v>
      </c>
      <c r="B14" s="57"/>
      <c r="C14" s="58"/>
      <c r="D14" s="84"/>
      <c r="E14" s="82"/>
      <c r="F14" s="165"/>
      <c r="G14" s="166"/>
      <c r="H14" s="305">
        <f>COUNTIFS(缺陷明细!$A$2:$A$50000,$B$4,缺陷明细!$G$2:$G$50000,$C14,缺陷明细!$J$2:$J$50000,"评审",缺陷明细!$AA$2:$AA$50000,"&lt;&gt;丢弃",缺陷明细!$AA$2:$AA$50000,"&lt;&gt;设计如此",缺陷明细!$AA$2:$AA$50000,"&lt;&gt;重复Bug")</f>
        <v>0</v>
      </c>
      <c r="I14" s="161">
        <f>COUNTIFS(缺陷明细!$A$2:$A$50000,$B$4,缺陷明细!$G$2:$G$50000,$C14,缺陷明细!$Q$2:$Q$50000,"已关闭",缺陷明细!$J$2:$J$50000,"评审")</f>
        <v>0</v>
      </c>
      <c r="J14" s="161">
        <f>COUNTIFS(缺陷明细!$A$2:$A$50000,$B$4,缺陷明细!$G$2:$G$50000,$C14,缺陷明细!$J$2:$J$50000,"单元测试",缺陷明细!$AA$2:$AA$50000,"&lt;&gt;丢弃",缺陷明细!$AA$2:$AA$50000,"&lt;&gt;设计如此",缺陷明细!$AA$2:$AA$50000,"&lt;&gt;重复Bug")</f>
        <v>0</v>
      </c>
      <c r="K14" s="162">
        <f>COUNTIFS(缺陷明细!$A$2:$A$50000,$B$4,缺陷明细!$G$2:$G$50000,$C14,缺陷明细!$Q$2:$Q$50000,"已关闭",缺陷明细!$J$2:$J$50000,"单元测试")</f>
        <v>0</v>
      </c>
      <c r="L14" s="163"/>
      <c r="M14" s="164"/>
      <c r="N14" s="72">
        <f>COUNTIFS(缺陷明细!$A$2:$A$50000,$B$4,缺陷明细!$G$2:$G$50000,$C14,缺陷明细!$J$2:$J$50000,"系统测试案例评审",缺陷明细!$AA$2:$AA$50000,"&lt;&gt;丢弃",缺陷明细!$AA$2:$AA$50000,"&lt;&gt;设计如此",缺陷明细!$AA$2:$AA$50000,"&lt;&gt;重复Bug")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COUNTIFS(缺陷明细!$A$2:$A$50000,$B$4,缺陷明细!$G$2:$G$50000,$C14,缺陷明细!$J$2:$J$50000,"系统测试",缺陷明细!$AA$2:$AA$50000,"&lt;&gt;丢弃",缺陷明细!$AA$2:$AA$50000,"&lt;&gt;设计如此",缺陷明细!$AA$2:$AA$50000,"&lt;&gt;重复Bug")</f>
        <v>0</v>
      </c>
      <c r="Q14" s="72">
        <f>COUNTIFS(缺陷明细!$A$2:$A$50000,$B$4,缺陷明细!$G$2:$G$50000,$C14,缺陷明细!$Q$2:$Q$50000,"已关闭",缺陷明细!$J$2:$J$50000,"系统测试")</f>
        <v>0</v>
      </c>
      <c r="R14" s="72">
        <f>COUNTIFS(缺陷明细!$A$2:$A$50000,$B$4,缺陷明细!$G$2:$G$50000,$C14,缺陷明细!$AA$2:$AA$50000,"丢弃",缺陷明细!$J$2:$J$50000,"系统测试")+COUNTIFS(缺陷明细!$A$2:$A$50000,$B$4,缺陷明细!$G$2:$G$50000,$C14,缺陷明细!$AA$2:$AA$50000,"设计如此",缺陷明细!$J$2:$J$50000,"系统测试"+COUNTIFS(缺陷明细!$A$2:$A$50000,$B$4,缺陷明细!$G$2:$G$50000,$C14,缺陷明细!$AA$2:$AA$50000,"重复Bug",缺陷明细!$J$2:$J$50000,"系统测试"))</f>
        <v>0</v>
      </c>
      <c r="S14" s="72">
        <f>COUNTIFS(缺陷明细!$A$2:$A$50000,$B$4,缺陷明细!$G$2:$G$50000,$C14,缺陷明细!$J$2:$J$50000,"系统测试",缺陷明细!$K$2:$K$50000,"致命",缺陷明细!$AA$2:$AA$50000,"&lt;&gt;丢弃",缺陷明细!$AA$2:$AA$50000,"&lt;&gt;设计如此",缺陷明细!$AA$2:$AA$50000,"&lt;&gt;重复Bug")+COUNTIFS(缺陷明细!$A$2:$A$50000,$B$4,缺陷明细!$G$2:$G$50000,$C14,缺陷明细!$J$2:$J$50000,"系统测试",缺陷明细!$K$2:$K$50000,"严重",缺陷明细!$AA$2:$AA$50000,"&lt;&gt;丢弃",缺陷明细!$AA$2:$AA$50000,"&lt;&gt;设计如此",缺陷明细!$AA$2:$AA$50000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COUNTIFS(缺陷明细!$A$2:$A$50000,$B$4,缺陷明细!$G$2:$G$50000,$C14,缺陷明细!$J$2:$J$50000,"验收测试",缺陷明细!$AA$2:$AA$50000,"&lt;&gt;丢弃",缺陷明细!$AA$2:$AA$50000,"&lt;&gt;设计如此",缺陷明细!$AA$2:$AA$50000,"&lt;&gt;重复Bug")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A$2:$AA$50000,"&lt;&gt;丢弃",缺陷明细!$AA$2:$AA$50000,"&lt;&gt;设计如此",缺陷明细!$AA$2:$AA$50000,"&lt;&gt;重复Bug")+COUNTIFS(缺陷明细!$A$2:$A$50000,$B$4,缺陷明细!$G$2:$G$50000,$C14,缺陷明细!$J$2:$J$50000,"验收测试",缺陷明细!$K$2:$K$50000,"严重",缺陷明细!$AA$2:$AA$50000,"&lt;&gt;丢弃",缺陷明细!$AA$2:$AA$50000,"&lt;&gt;设计如此",缺陷明细!$AA$2:$AA$50000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COUNTIFS(缺陷明细!$A$2:$A$50000,$B$4,缺陷明细!$G$2:$G$50000,$C14,缺陷明细!$J$2:$J$50000,"运维测试",缺陷明细!$AA$2:$AA$50000,"&lt;&gt;丢弃",缺陷明细!$AA$2:$AA$50000,"&lt;&gt;设计如此",缺陷明细!$AA$2:$AA$50000,"&lt;&gt;重复Bug")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A$2:$AA$50000,"&lt;&gt;丢弃",缺陷明细!$AA$2:$AA$50000,"&lt;&gt;设计如此",缺陷明细!$AA$2:$AA$50000,"&lt;&gt;重复Bug")+COUNTIFS(缺陷明细!$A$2:$A$50000,$B$4,缺陷明细!$G$2:$G$50000,$C14,缺陷明细!$J$2:$J$50000,"运维测试",缺陷明细!$K$2:$K$50000,"严重",缺陷明细!$AA$2:$AA$50000,"&lt;&gt;丢弃",缺陷明细!$AA$2:$AA$50000,"&lt;&gt;设计如此",缺陷明细!$AA$2:$AA$50000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51"/>
    </row>
    <row r="15" spans="1:37">
      <c r="A15">
        <v>11</v>
      </c>
      <c r="B15" s="57"/>
      <c r="C15" s="58"/>
      <c r="D15" s="84"/>
      <c r="E15" s="82"/>
      <c r="F15" s="165"/>
      <c r="G15" s="166"/>
      <c r="H15" s="305">
        <f>COUNTIFS(缺陷明细!$A$2:$A$50000,$B$4,缺陷明细!$G$2:$G$50000,$C15,缺陷明细!$J$2:$J$50000,"评审",缺陷明细!$AA$2:$AA$50000,"&lt;&gt;丢弃",缺陷明细!$AA$2:$AA$50000,"&lt;&gt;设计如此",缺陷明细!$AA$2:$AA$50000,"&lt;&gt;重复Bug")</f>
        <v>0</v>
      </c>
      <c r="I15" s="161">
        <f>COUNTIFS(缺陷明细!$A$2:$A$50000,$B$4,缺陷明细!$G$2:$G$50000,$C15,缺陷明细!$Q$2:$Q$50000,"已关闭",缺陷明细!$J$2:$J$50000,"评审")</f>
        <v>0</v>
      </c>
      <c r="J15" s="161">
        <f>COUNTIFS(缺陷明细!$A$2:$A$50000,$B$4,缺陷明细!$G$2:$G$50000,$C15,缺陷明细!$J$2:$J$50000,"单元测试",缺陷明细!$AA$2:$AA$50000,"&lt;&gt;丢弃",缺陷明细!$AA$2:$AA$50000,"&lt;&gt;设计如此",缺陷明细!$AA$2:$AA$50000,"&lt;&gt;重复Bug")</f>
        <v>0</v>
      </c>
      <c r="K15" s="162">
        <f>COUNTIFS(缺陷明细!$A$2:$A$50000,$B$4,缺陷明细!$G$2:$G$50000,$C15,缺陷明细!$Q$2:$Q$50000,"已关闭",缺陷明细!$J$2:$J$50000,"单元测试")</f>
        <v>0</v>
      </c>
      <c r="L15" s="163"/>
      <c r="M15" s="164"/>
      <c r="N15" s="72">
        <f>COUNTIFS(缺陷明细!$A$2:$A$50000,$B$4,缺陷明细!$G$2:$G$50000,$C15,缺陷明细!$J$2:$J$50000,"系统测试案例评审",缺陷明细!$AA$2:$AA$50000,"&lt;&gt;丢弃",缺陷明细!$AA$2:$AA$50000,"&lt;&gt;设计如此",缺陷明细!$AA$2:$AA$50000,"&lt;&gt;重复Bug")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COUNTIFS(缺陷明细!$A$2:$A$50000,$B$4,缺陷明细!$G$2:$G$50000,$C15,缺陷明细!$J$2:$J$50000,"系统测试",缺陷明细!$AA$2:$AA$50000,"&lt;&gt;丢弃",缺陷明细!$AA$2:$AA$50000,"&lt;&gt;设计如此",缺陷明细!$AA$2:$AA$50000,"&lt;&gt;重复Bug")</f>
        <v>0</v>
      </c>
      <c r="Q15" s="72">
        <f>COUNTIFS(缺陷明细!$A$2:$A$50000,$B$4,缺陷明细!$G$2:$G$50000,$C15,缺陷明细!$Q$2:$Q$50000,"已关闭",缺陷明细!$J$2:$J$50000,"系统测试")</f>
        <v>0</v>
      </c>
      <c r="R15" s="72">
        <f>COUNTIFS(缺陷明细!$A$2:$A$50000,$B$4,缺陷明细!$G$2:$G$50000,$C15,缺陷明细!$AA$2:$AA$50000,"丢弃",缺陷明细!$J$2:$J$50000,"系统测试")+COUNTIFS(缺陷明细!$A$2:$A$50000,$B$4,缺陷明细!$G$2:$G$50000,$C15,缺陷明细!$AA$2:$AA$50000,"设计如此",缺陷明细!$J$2:$J$50000,"系统测试"+COUNTIFS(缺陷明细!$A$2:$A$50000,$B$4,缺陷明细!$G$2:$G$50000,$C15,缺陷明细!$AA$2:$AA$50000,"重复Bug",缺陷明细!$J$2:$J$50000,"系统测试"))</f>
        <v>0</v>
      </c>
      <c r="S15" s="72">
        <f>COUNTIFS(缺陷明细!$A$2:$A$50000,$B$4,缺陷明细!$G$2:$G$50000,$C15,缺陷明细!$J$2:$J$50000,"系统测试",缺陷明细!$K$2:$K$50000,"致命",缺陷明细!$AA$2:$AA$50000,"&lt;&gt;丢弃",缺陷明细!$AA$2:$AA$50000,"&lt;&gt;设计如此",缺陷明细!$AA$2:$AA$50000,"&lt;&gt;重复Bug")+COUNTIFS(缺陷明细!$A$2:$A$50000,$B$4,缺陷明细!$G$2:$G$50000,$C15,缺陷明细!$J$2:$J$50000,"系统测试",缺陷明细!$K$2:$K$50000,"严重",缺陷明细!$AA$2:$AA$50000,"&lt;&gt;丢弃",缺陷明细!$AA$2:$AA$50000,"&lt;&gt;设计如此",缺陷明细!$AA$2:$AA$50000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COUNTIFS(缺陷明细!$A$2:$A$50000,$B$4,缺陷明细!$G$2:$G$50000,$C15,缺陷明细!$J$2:$J$50000,"验收测试",缺陷明细!$AA$2:$AA$50000,"&lt;&gt;丢弃",缺陷明细!$AA$2:$AA$50000,"&lt;&gt;设计如此",缺陷明细!$AA$2:$AA$50000,"&lt;&gt;重复Bug")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A$2:$AA$50000,"&lt;&gt;丢弃",缺陷明细!$AA$2:$AA$50000,"&lt;&gt;设计如此",缺陷明细!$AA$2:$AA$50000,"&lt;&gt;重复Bug")+COUNTIFS(缺陷明细!$A$2:$A$50000,$B$4,缺陷明细!$G$2:$G$50000,$C15,缺陷明细!$J$2:$J$50000,"验收测试",缺陷明细!$K$2:$K$50000,"严重",缺陷明细!$AA$2:$AA$50000,"&lt;&gt;丢弃",缺陷明细!$AA$2:$AA$50000,"&lt;&gt;设计如此",缺陷明细!$AA$2:$AA$50000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COUNTIFS(缺陷明细!$A$2:$A$50000,$B$4,缺陷明细!$G$2:$G$50000,$C15,缺陷明细!$J$2:$J$50000,"运维测试",缺陷明细!$AA$2:$AA$50000,"&lt;&gt;丢弃",缺陷明细!$AA$2:$AA$50000,"&lt;&gt;设计如此",缺陷明细!$AA$2:$AA$50000,"&lt;&gt;重复Bug")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A$2:$AA$50000,"&lt;&gt;丢弃",缺陷明细!$AA$2:$AA$50000,"&lt;&gt;设计如此",缺陷明细!$AA$2:$AA$50000,"&lt;&gt;重复Bug")+COUNTIFS(缺陷明细!$A$2:$A$50000,$B$4,缺陷明细!$G$2:$G$50000,$C15,缺陷明细!$J$2:$J$50000,"运维测试",缺陷明细!$K$2:$K$50000,"严重",缺陷明细!$AA$2:$AA$50000,"&lt;&gt;丢弃",缺陷明细!$AA$2:$AA$50000,"&lt;&gt;设计如此",缺陷明细!$AA$2:$AA$50000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51"/>
    </row>
    <row r="16" spans="1:37">
      <c r="A16">
        <v>12</v>
      </c>
      <c r="B16" s="57"/>
      <c r="C16" s="58"/>
      <c r="D16" s="84"/>
      <c r="E16" s="82"/>
      <c r="F16" s="165"/>
      <c r="G16" s="166"/>
      <c r="H16" s="305">
        <f>COUNTIFS(缺陷明细!$A$2:$A$50000,$B$4,缺陷明细!$G$2:$G$50000,$C16,缺陷明细!$J$2:$J$50000,"评审",缺陷明细!$AA$2:$AA$50000,"&lt;&gt;丢弃",缺陷明细!$AA$2:$AA$50000,"&lt;&gt;设计如此",缺陷明细!$AA$2:$AA$50000,"&lt;&gt;重复Bug")</f>
        <v>0</v>
      </c>
      <c r="I16" s="161">
        <f>COUNTIFS(缺陷明细!$A$2:$A$50000,$B$4,缺陷明细!$G$2:$G$50000,$C16,缺陷明细!$Q$2:$Q$50000,"已关闭",缺陷明细!$J$2:$J$50000,"评审")</f>
        <v>0</v>
      </c>
      <c r="J16" s="161">
        <f>COUNTIFS(缺陷明细!$A$2:$A$50000,$B$4,缺陷明细!$G$2:$G$50000,$C16,缺陷明细!$J$2:$J$50000,"单元测试",缺陷明细!$AA$2:$AA$50000,"&lt;&gt;丢弃",缺陷明细!$AA$2:$AA$50000,"&lt;&gt;设计如此",缺陷明细!$AA$2:$AA$50000,"&lt;&gt;重复Bug")</f>
        <v>0</v>
      </c>
      <c r="K16" s="162">
        <f>COUNTIFS(缺陷明细!$A$2:$A$50000,$B$4,缺陷明细!$G$2:$G$50000,$C16,缺陷明细!$Q$2:$Q$50000,"已关闭",缺陷明细!$J$2:$J$50000,"单元测试")</f>
        <v>0</v>
      </c>
      <c r="L16" s="163"/>
      <c r="M16" s="164"/>
      <c r="N16" s="72">
        <f>COUNTIFS(缺陷明细!$A$2:$A$50000,$B$4,缺陷明细!$G$2:$G$50000,$C16,缺陷明细!$J$2:$J$50000,"系统测试案例评审",缺陷明细!$AA$2:$AA$50000,"&lt;&gt;丢弃",缺陷明细!$AA$2:$AA$50000,"&lt;&gt;设计如此",缺陷明细!$AA$2:$AA$50000,"&lt;&gt;重复Bug")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COUNTIFS(缺陷明细!$A$2:$A$50000,$B$4,缺陷明细!$G$2:$G$50000,$C16,缺陷明细!$J$2:$J$50000,"系统测试",缺陷明细!$AA$2:$AA$50000,"&lt;&gt;丢弃",缺陷明细!$AA$2:$AA$50000,"&lt;&gt;设计如此",缺陷明细!$AA$2:$AA$50000,"&lt;&gt;重复Bug")</f>
        <v>0</v>
      </c>
      <c r="Q16" s="72">
        <f>COUNTIFS(缺陷明细!$A$2:$A$50000,$B$4,缺陷明细!$G$2:$G$50000,$C16,缺陷明细!$Q$2:$Q$50000,"已关闭",缺陷明细!$J$2:$J$50000,"系统测试")</f>
        <v>0</v>
      </c>
      <c r="R16" s="72">
        <f>COUNTIFS(缺陷明细!$A$2:$A$50000,$B$4,缺陷明细!$G$2:$G$50000,$C16,缺陷明细!$AA$2:$AA$50000,"丢弃",缺陷明细!$J$2:$J$50000,"系统测试")+COUNTIFS(缺陷明细!$A$2:$A$50000,$B$4,缺陷明细!$G$2:$G$50000,$C16,缺陷明细!$AA$2:$AA$50000,"设计如此",缺陷明细!$J$2:$J$50000,"系统测试"+COUNTIFS(缺陷明细!$A$2:$A$50000,$B$4,缺陷明细!$G$2:$G$50000,$C16,缺陷明细!$AA$2:$AA$50000,"重复Bug",缺陷明细!$J$2:$J$50000,"系统测试"))</f>
        <v>0</v>
      </c>
      <c r="S16" s="72">
        <f>COUNTIFS(缺陷明细!$A$2:$A$50000,$B$4,缺陷明细!$G$2:$G$50000,$C16,缺陷明细!$J$2:$J$50000,"系统测试",缺陷明细!$K$2:$K$50000,"致命",缺陷明细!$AA$2:$AA$50000,"&lt;&gt;丢弃",缺陷明细!$AA$2:$AA$50000,"&lt;&gt;设计如此",缺陷明细!$AA$2:$AA$50000,"&lt;&gt;重复Bug")+COUNTIFS(缺陷明细!$A$2:$A$50000,$B$4,缺陷明细!$G$2:$G$50000,$C16,缺陷明细!$J$2:$J$50000,"系统测试",缺陷明细!$K$2:$K$50000,"严重",缺陷明细!$AA$2:$AA$50000,"&lt;&gt;丢弃",缺陷明细!$AA$2:$AA$50000,"&lt;&gt;设计如此",缺陷明细!$AA$2:$AA$50000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COUNTIFS(缺陷明细!$A$2:$A$50000,$B$4,缺陷明细!$G$2:$G$50000,$C16,缺陷明细!$J$2:$J$50000,"验收测试",缺陷明细!$AA$2:$AA$50000,"&lt;&gt;丢弃",缺陷明细!$AA$2:$AA$50000,"&lt;&gt;设计如此",缺陷明细!$AA$2:$AA$50000,"&lt;&gt;重复Bug")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A$2:$AA$50000,"&lt;&gt;丢弃",缺陷明细!$AA$2:$AA$50000,"&lt;&gt;设计如此",缺陷明细!$AA$2:$AA$50000,"&lt;&gt;重复Bug")+COUNTIFS(缺陷明细!$A$2:$A$50000,$B$4,缺陷明细!$G$2:$G$50000,$C16,缺陷明细!$J$2:$J$50000,"验收测试",缺陷明细!$K$2:$K$50000,"严重",缺陷明细!$AA$2:$AA$50000,"&lt;&gt;丢弃",缺陷明细!$AA$2:$AA$50000,"&lt;&gt;设计如此",缺陷明细!$AA$2:$AA$50000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COUNTIFS(缺陷明细!$A$2:$A$50000,$B$4,缺陷明细!$G$2:$G$50000,$C16,缺陷明细!$J$2:$J$50000,"运维测试",缺陷明细!$AA$2:$AA$50000,"&lt;&gt;丢弃",缺陷明细!$AA$2:$AA$50000,"&lt;&gt;设计如此",缺陷明细!$AA$2:$AA$50000,"&lt;&gt;重复Bug")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A$2:$AA$50000,"&lt;&gt;丢弃",缺陷明细!$AA$2:$AA$50000,"&lt;&gt;设计如此",缺陷明细!$AA$2:$AA$50000,"&lt;&gt;重复Bug")+COUNTIFS(缺陷明细!$A$2:$A$50000,$B$4,缺陷明细!$G$2:$G$50000,$C16,缺陷明细!$J$2:$J$50000,"运维测试",缺陷明细!$K$2:$K$50000,"严重",缺陷明细!$AA$2:$AA$50000,"&lt;&gt;丢弃",缺陷明细!$AA$2:$AA$50000,"&lt;&gt;设计如此",缺陷明细!$AA$2:$AA$50000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51"/>
    </row>
    <row r="17" spans="1:37">
      <c r="A17">
        <v>13</v>
      </c>
      <c r="B17" s="57"/>
      <c r="C17" s="58"/>
      <c r="D17" s="84"/>
      <c r="E17" s="82"/>
      <c r="F17" s="165"/>
      <c r="G17" s="166"/>
      <c r="H17" s="305">
        <f>COUNTIFS(缺陷明细!$A$2:$A$50000,$B$4,缺陷明细!$G$2:$G$50000,$C17,缺陷明细!$J$2:$J$50000,"评审",缺陷明细!$AA$2:$AA$50000,"&lt;&gt;丢弃",缺陷明细!$AA$2:$AA$50000,"&lt;&gt;设计如此",缺陷明细!$AA$2:$AA$50000,"&lt;&gt;重复Bug")</f>
        <v>0</v>
      </c>
      <c r="I17" s="161">
        <f>COUNTIFS(缺陷明细!$A$2:$A$50000,$B$4,缺陷明细!$G$2:$G$50000,$C17,缺陷明细!$Q$2:$Q$50000,"已关闭",缺陷明细!$J$2:$J$50000,"评审")</f>
        <v>0</v>
      </c>
      <c r="J17" s="161">
        <f>COUNTIFS(缺陷明细!$A$2:$A$50000,$B$4,缺陷明细!$G$2:$G$50000,$C17,缺陷明细!$J$2:$J$50000,"单元测试",缺陷明细!$AA$2:$AA$50000,"&lt;&gt;丢弃",缺陷明细!$AA$2:$AA$50000,"&lt;&gt;设计如此",缺陷明细!$AA$2:$AA$50000,"&lt;&gt;重复Bug")</f>
        <v>0</v>
      </c>
      <c r="K17" s="162">
        <f>COUNTIFS(缺陷明细!$A$2:$A$50000,$B$4,缺陷明细!$G$2:$G$50000,$C17,缺陷明细!$Q$2:$Q$50000,"已关闭",缺陷明细!$J$2:$J$50000,"单元测试")</f>
        <v>0</v>
      </c>
      <c r="L17" s="163"/>
      <c r="M17" s="164"/>
      <c r="N17" s="72">
        <f>COUNTIFS(缺陷明细!$A$2:$A$50000,$B$4,缺陷明细!$G$2:$G$50000,$C17,缺陷明细!$J$2:$J$50000,"系统测试案例评审",缺陷明细!$AA$2:$AA$50000,"&lt;&gt;丢弃",缺陷明细!$AA$2:$AA$50000,"&lt;&gt;设计如此",缺陷明细!$AA$2:$AA$50000,"&lt;&gt;重复Bug")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COUNTIFS(缺陷明细!$A$2:$A$50000,$B$4,缺陷明细!$G$2:$G$50000,$C17,缺陷明细!$J$2:$J$50000,"系统测试",缺陷明细!$AA$2:$AA$50000,"&lt;&gt;丢弃",缺陷明细!$AA$2:$AA$50000,"&lt;&gt;设计如此",缺陷明细!$AA$2:$AA$50000,"&lt;&gt;重复Bug")</f>
        <v>0</v>
      </c>
      <c r="Q17" s="72">
        <f>COUNTIFS(缺陷明细!$A$2:$A$50000,$B$4,缺陷明细!$G$2:$G$50000,$C17,缺陷明细!$Q$2:$Q$50000,"已关闭",缺陷明细!$J$2:$J$50000,"系统测试")</f>
        <v>0</v>
      </c>
      <c r="R17" s="72">
        <f>COUNTIFS(缺陷明细!$A$2:$A$50000,$B$4,缺陷明细!$G$2:$G$50000,$C17,缺陷明细!$AA$2:$AA$50000,"丢弃",缺陷明细!$J$2:$J$50000,"系统测试")+COUNTIFS(缺陷明细!$A$2:$A$50000,$B$4,缺陷明细!$G$2:$G$50000,$C17,缺陷明细!$AA$2:$AA$50000,"设计如此",缺陷明细!$J$2:$J$50000,"系统测试"+COUNTIFS(缺陷明细!$A$2:$A$50000,$B$4,缺陷明细!$G$2:$G$50000,$C17,缺陷明细!$AA$2:$AA$50000,"重复Bug",缺陷明细!$J$2:$J$50000,"系统测试"))</f>
        <v>0</v>
      </c>
      <c r="S17" s="72">
        <f>COUNTIFS(缺陷明细!$A$2:$A$50000,$B$4,缺陷明细!$G$2:$G$50000,$C17,缺陷明细!$J$2:$J$50000,"系统测试",缺陷明细!$K$2:$K$50000,"致命",缺陷明细!$AA$2:$AA$50000,"&lt;&gt;丢弃",缺陷明细!$AA$2:$AA$50000,"&lt;&gt;设计如此",缺陷明细!$AA$2:$AA$50000,"&lt;&gt;重复Bug")+COUNTIFS(缺陷明细!$A$2:$A$50000,$B$4,缺陷明细!$G$2:$G$50000,$C17,缺陷明细!$J$2:$J$50000,"系统测试",缺陷明细!$K$2:$K$50000,"严重",缺陷明细!$AA$2:$AA$50000,"&lt;&gt;丢弃",缺陷明细!$AA$2:$AA$50000,"&lt;&gt;设计如此",缺陷明细!$AA$2:$AA$50000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COUNTIFS(缺陷明细!$A$2:$A$50000,$B$4,缺陷明细!$G$2:$G$50000,$C17,缺陷明细!$J$2:$J$50000,"验收测试",缺陷明细!$AA$2:$AA$50000,"&lt;&gt;丢弃",缺陷明细!$AA$2:$AA$50000,"&lt;&gt;设计如此",缺陷明细!$AA$2:$AA$50000,"&lt;&gt;重复Bug")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A$2:$AA$50000,"&lt;&gt;丢弃",缺陷明细!$AA$2:$AA$50000,"&lt;&gt;设计如此",缺陷明细!$AA$2:$AA$50000,"&lt;&gt;重复Bug")+COUNTIFS(缺陷明细!$A$2:$A$50000,$B$4,缺陷明细!$G$2:$G$50000,$C17,缺陷明细!$J$2:$J$50000,"验收测试",缺陷明细!$K$2:$K$50000,"严重",缺陷明细!$AA$2:$AA$50000,"&lt;&gt;丢弃",缺陷明细!$AA$2:$AA$50000,"&lt;&gt;设计如此",缺陷明细!$AA$2:$AA$50000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COUNTIFS(缺陷明细!$A$2:$A$50000,$B$4,缺陷明细!$G$2:$G$50000,$C17,缺陷明细!$J$2:$J$50000,"运维测试",缺陷明细!$AA$2:$AA$50000,"&lt;&gt;丢弃",缺陷明细!$AA$2:$AA$50000,"&lt;&gt;设计如此",缺陷明细!$AA$2:$AA$50000,"&lt;&gt;重复Bug")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A$2:$AA$50000,"&lt;&gt;丢弃",缺陷明细!$AA$2:$AA$50000,"&lt;&gt;设计如此",缺陷明细!$AA$2:$AA$50000,"&lt;&gt;重复Bug")+COUNTIFS(缺陷明细!$A$2:$A$50000,$B$4,缺陷明细!$G$2:$G$50000,$C17,缺陷明细!$J$2:$J$50000,"运维测试",缺陷明细!$K$2:$K$50000,"严重",缺陷明细!$AA$2:$AA$50000,"&lt;&gt;丢弃",缺陷明细!$AA$2:$AA$50000,"&lt;&gt;设计如此",缺陷明细!$AA$2:$AA$50000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51"/>
    </row>
    <row r="18" spans="1:37">
      <c r="A18">
        <v>14</v>
      </c>
      <c r="B18" s="57"/>
      <c r="C18" s="58"/>
      <c r="D18" s="84"/>
      <c r="E18" s="82"/>
      <c r="F18" s="165"/>
      <c r="G18" s="166"/>
      <c r="H18" s="305">
        <f>COUNTIFS(缺陷明细!$A$2:$A$50000,$B$4,缺陷明细!$G$2:$G$50000,$C18,缺陷明细!$J$2:$J$50000,"评审",缺陷明细!$AA$2:$AA$50000,"&lt;&gt;丢弃",缺陷明细!$AA$2:$AA$50000,"&lt;&gt;设计如此",缺陷明细!$AA$2:$AA$50000,"&lt;&gt;重复Bug")</f>
        <v>0</v>
      </c>
      <c r="I18" s="161">
        <f>COUNTIFS(缺陷明细!$A$2:$A$50000,$B$4,缺陷明细!$G$2:$G$50000,$C18,缺陷明细!$Q$2:$Q$50000,"已关闭",缺陷明细!$J$2:$J$50000,"评审")</f>
        <v>0</v>
      </c>
      <c r="J18" s="161">
        <f>COUNTIFS(缺陷明细!$A$2:$A$50000,$B$4,缺陷明细!$G$2:$G$50000,$C18,缺陷明细!$J$2:$J$50000,"单元测试",缺陷明细!$AA$2:$AA$50000,"&lt;&gt;丢弃",缺陷明细!$AA$2:$AA$50000,"&lt;&gt;设计如此",缺陷明细!$AA$2:$AA$50000,"&lt;&gt;重复Bug")</f>
        <v>0</v>
      </c>
      <c r="K18" s="162">
        <f>COUNTIFS(缺陷明细!$A$2:$A$50000,$B$4,缺陷明细!$G$2:$G$50000,$C18,缺陷明细!$Q$2:$Q$50000,"已关闭",缺陷明细!$J$2:$J$50000,"单元测试")</f>
        <v>0</v>
      </c>
      <c r="L18" s="163"/>
      <c r="M18" s="164"/>
      <c r="N18" s="72">
        <f>COUNTIFS(缺陷明细!$A$2:$A$50000,$B$4,缺陷明细!$G$2:$G$50000,$C18,缺陷明细!$J$2:$J$50000,"系统测试案例评审",缺陷明细!$AA$2:$AA$50000,"&lt;&gt;丢弃",缺陷明细!$AA$2:$AA$50000,"&lt;&gt;设计如此",缺陷明细!$AA$2:$AA$50000,"&lt;&gt;重复Bug")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COUNTIFS(缺陷明细!$A$2:$A$50000,$B$4,缺陷明细!$G$2:$G$50000,$C18,缺陷明细!$J$2:$J$50000,"系统测试",缺陷明细!$AA$2:$AA$50000,"&lt;&gt;丢弃",缺陷明细!$AA$2:$AA$50000,"&lt;&gt;设计如此",缺陷明细!$AA$2:$AA$50000,"&lt;&gt;重复Bug")</f>
        <v>0</v>
      </c>
      <c r="Q18" s="72">
        <f>COUNTIFS(缺陷明细!$A$2:$A$50000,$B$4,缺陷明细!$G$2:$G$50000,$C18,缺陷明细!$Q$2:$Q$50000,"已关闭",缺陷明细!$J$2:$J$50000,"系统测试")</f>
        <v>0</v>
      </c>
      <c r="R18" s="72">
        <f>COUNTIFS(缺陷明细!$A$2:$A$50000,$B$4,缺陷明细!$G$2:$G$50000,$C18,缺陷明细!$AA$2:$AA$50000,"丢弃",缺陷明细!$J$2:$J$50000,"系统测试")+COUNTIFS(缺陷明细!$A$2:$A$50000,$B$4,缺陷明细!$G$2:$G$50000,$C18,缺陷明细!$AA$2:$AA$50000,"设计如此",缺陷明细!$J$2:$J$50000,"系统测试"+COUNTIFS(缺陷明细!$A$2:$A$50000,$B$4,缺陷明细!$G$2:$G$50000,$C18,缺陷明细!$AA$2:$AA$50000,"重复Bug",缺陷明细!$J$2:$J$50000,"系统测试"))</f>
        <v>0</v>
      </c>
      <c r="S18" s="72">
        <f>COUNTIFS(缺陷明细!$A$2:$A$50000,$B$4,缺陷明细!$G$2:$G$50000,$C18,缺陷明细!$J$2:$J$50000,"系统测试",缺陷明细!$K$2:$K$50000,"致命",缺陷明细!$AA$2:$AA$50000,"&lt;&gt;丢弃",缺陷明细!$AA$2:$AA$50000,"&lt;&gt;设计如此",缺陷明细!$AA$2:$AA$50000,"&lt;&gt;重复Bug")+COUNTIFS(缺陷明细!$A$2:$A$50000,$B$4,缺陷明细!$G$2:$G$50000,$C18,缺陷明细!$J$2:$J$50000,"系统测试",缺陷明细!$K$2:$K$50000,"严重",缺陷明细!$AA$2:$AA$50000,"&lt;&gt;丢弃",缺陷明细!$AA$2:$AA$50000,"&lt;&gt;设计如此",缺陷明细!$AA$2:$AA$50000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COUNTIFS(缺陷明细!$A$2:$A$50000,$B$4,缺陷明细!$G$2:$G$50000,$C18,缺陷明细!$J$2:$J$50000,"验收测试",缺陷明细!$AA$2:$AA$50000,"&lt;&gt;丢弃",缺陷明细!$AA$2:$AA$50000,"&lt;&gt;设计如此",缺陷明细!$AA$2:$AA$50000,"&lt;&gt;重复Bug")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A$2:$AA$50000,"&lt;&gt;丢弃",缺陷明细!$AA$2:$AA$50000,"&lt;&gt;设计如此",缺陷明细!$AA$2:$AA$50000,"&lt;&gt;重复Bug")+COUNTIFS(缺陷明细!$A$2:$A$50000,$B$4,缺陷明细!$G$2:$G$50000,$C18,缺陷明细!$J$2:$J$50000,"验收测试",缺陷明细!$K$2:$K$50000,"严重",缺陷明细!$AA$2:$AA$50000,"&lt;&gt;丢弃",缺陷明细!$AA$2:$AA$50000,"&lt;&gt;设计如此",缺陷明细!$AA$2:$AA$50000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COUNTIFS(缺陷明细!$A$2:$A$50000,$B$4,缺陷明细!$G$2:$G$50000,$C18,缺陷明细!$J$2:$J$50000,"运维测试",缺陷明细!$AA$2:$AA$50000,"&lt;&gt;丢弃",缺陷明细!$AA$2:$AA$50000,"&lt;&gt;设计如此",缺陷明细!$AA$2:$AA$50000,"&lt;&gt;重复Bug")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A$2:$AA$50000,"&lt;&gt;丢弃",缺陷明细!$AA$2:$AA$50000,"&lt;&gt;设计如此",缺陷明细!$AA$2:$AA$50000,"&lt;&gt;重复Bug")+COUNTIFS(缺陷明细!$A$2:$A$50000,$B$4,缺陷明细!$G$2:$G$50000,$C18,缺陷明细!$J$2:$J$50000,"运维测试",缺陷明细!$K$2:$K$50000,"严重",缺陷明细!$AA$2:$AA$50000,"&lt;&gt;丢弃",缺陷明细!$AA$2:$AA$50000,"&lt;&gt;设计如此",缺陷明细!$AA$2:$AA$50000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51"/>
    </row>
    <row r="19" spans="1:37">
      <c r="A19">
        <v>15</v>
      </c>
      <c r="B19" s="57"/>
      <c r="C19" s="58"/>
      <c r="D19" s="84"/>
      <c r="E19" s="82"/>
      <c r="F19" s="165"/>
      <c r="G19" s="166"/>
      <c r="H19" s="305">
        <f>COUNTIFS(缺陷明细!$A$2:$A$50000,$B$4,缺陷明细!$G$2:$G$50000,$C19,缺陷明细!$J$2:$J$50000,"评审",缺陷明细!$AA$2:$AA$50000,"&lt;&gt;丢弃",缺陷明细!$AA$2:$AA$50000,"&lt;&gt;设计如此",缺陷明细!$AA$2:$AA$50000,"&lt;&gt;重复Bug")</f>
        <v>0</v>
      </c>
      <c r="I19" s="161">
        <f>COUNTIFS(缺陷明细!$A$2:$A$50000,$B$4,缺陷明细!$G$2:$G$50000,$C19,缺陷明细!$Q$2:$Q$50000,"已关闭",缺陷明细!$J$2:$J$50000,"评审")</f>
        <v>0</v>
      </c>
      <c r="J19" s="161">
        <f>COUNTIFS(缺陷明细!$A$2:$A$50000,$B$4,缺陷明细!$G$2:$G$50000,$C19,缺陷明细!$J$2:$J$50000,"单元测试",缺陷明细!$AA$2:$AA$50000,"&lt;&gt;丢弃",缺陷明细!$AA$2:$AA$50000,"&lt;&gt;设计如此",缺陷明细!$AA$2:$AA$50000,"&lt;&gt;重复Bug")</f>
        <v>0</v>
      </c>
      <c r="K19" s="162">
        <f>COUNTIFS(缺陷明细!$A$2:$A$50000,$B$4,缺陷明细!$G$2:$G$50000,$C19,缺陷明细!$Q$2:$Q$50000,"已关闭",缺陷明细!$J$2:$J$50000,"单元测试")</f>
        <v>0</v>
      </c>
      <c r="L19" s="163"/>
      <c r="M19" s="164"/>
      <c r="N19" s="72">
        <f>COUNTIFS(缺陷明细!$A$2:$A$50000,$B$4,缺陷明细!$G$2:$G$50000,$C19,缺陷明细!$J$2:$J$50000,"系统测试案例评审",缺陷明细!$AA$2:$AA$50000,"&lt;&gt;丢弃",缺陷明细!$AA$2:$AA$50000,"&lt;&gt;设计如此",缺陷明细!$AA$2:$AA$50000,"&lt;&gt;重复Bug")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COUNTIFS(缺陷明细!$A$2:$A$50000,$B$4,缺陷明细!$G$2:$G$50000,$C19,缺陷明细!$J$2:$J$50000,"系统测试",缺陷明细!$AA$2:$AA$50000,"&lt;&gt;丢弃",缺陷明细!$AA$2:$AA$50000,"&lt;&gt;设计如此",缺陷明细!$AA$2:$AA$50000,"&lt;&gt;重复Bug")</f>
        <v>0</v>
      </c>
      <c r="Q19" s="72">
        <f>COUNTIFS(缺陷明细!$A$2:$A$50000,$B$4,缺陷明细!$G$2:$G$50000,$C19,缺陷明细!$Q$2:$Q$50000,"已关闭",缺陷明细!$J$2:$J$50000,"系统测试")</f>
        <v>0</v>
      </c>
      <c r="R19" s="72">
        <f>COUNTIFS(缺陷明细!$A$2:$A$50000,$B$4,缺陷明细!$G$2:$G$50000,$C19,缺陷明细!$AA$2:$AA$50000,"丢弃",缺陷明细!$J$2:$J$50000,"系统测试")+COUNTIFS(缺陷明细!$A$2:$A$50000,$B$4,缺陷明细!$G$2:$G$50000,$C19,缺陷明细!$AA$2:$AA$50000,"设计如此",缺陷明细!$J$2:$J$50000,"系统测试"+COUNTIFS(缺陷明细!$A$2:$A$50000,$B$4,缺陷明细!$G$2:$G$50000,$C19,缺陷明细!$AA$2:$AA$50000,"重复Bug",缺陷明细!$J$2:$J$50000,"系统测试"))</f>
        <v>0</v>
      </c>
      <c r="S19" s="72">
        <f>COUNTIFS(缺陷明细!$A$2:$A$50000,$B$4,缺陷明细!$G$2:$G$50000,$C19,缺陷明细!$J$2:$J$50000,"系统测试",缺陷明细!$K$2:$K$50000,"致命",缺陷明细!$AA$2:$AA$50000,"&lt;&gt;丢弃",缺陷明细!$AA$2:$AA$50000,"&lt;&gt;设计如此",缺陷明细!$AA$2:$AA$50000,"&lt;&gt;重复Bug")+COUNTIFS(缺陷明细!$A$2:$A$50000,$B$4,缺陷明细!$G$2:$G$50000,$C19,缺陷明细!$J$2:$J$50000,"系统测试",缺陷明细!$K$2:$K$50000,"严重",缺陷明细!$AA$2:$AA$50000,"&lt;&gt;丢弃",缺陷明细!$AA$2:$AA$50000,"&lt;&gt;设计如此",缺陷明细!$AA$2:$AA$50000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COUNTIFS(缺陷明细!$A$2:$A$50000,$B$4,缺陷明细!$G$2:$G$50000,$C19,缺陷明细!$J$2:$J$50000,"验收测试",缺陷明细!$AA$2:$AA$50000,"&lt;&gt;丢弃",缺陷明细!$AA$2:$AA$50000,"&lt;&gt;设计如此",缺陷明细!$AA$2:$AA$50000,"&lt;&gt;重复Bug")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A$2:$AA$50000,"&lt;&gt;丢弃",缺陷明细!$AA$2:$AA$50000,"&lt;&gt;设计如此",缺陷明细!$AA$2:$AA$50000,"&lt;&gt;重复Bug")+COUNTIFS(缺陷明细!$A$2:$A$50000,$B$4,缺陷明细!$G$2:$G$50000,$C19,缺陷明细!$J$2:$J$50000,"验收测试",缺陷明细!$K$2:$K$50000,"严重",缺陷明细!$AA$2:$AA$50000,"&lt;&gt;丢弃",缺陷明细!$AA$2:$AA$50000,"&lt;&gt;设计如此",缺陷明细!$AA$2:$AA$50000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COUNTIFS(缺陷明细!$A$2:$A$50000,$B$4,缺陷明细!$G$2:$G$50000,$C19,缺陷明细!$J$2:$J$50000,"运维测试",缺陷明细!$AA$2:$AA$50000,"&lt;&gt;丢弃",缺陷明细!$AA$2:$AA$50000,"&lt;&gt;设计如此",缺陷明细!$AA$2:$AA$50000,"&lt;&gt;重复Bug")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A$2:$AA$50000,"&lt;&gt;丢弃",缺陷明细!$AA$2:$AA$50000,"&lt;&gt;设计如此",缺陷明细!$AA$2:$AA$50000,"&lt;&gt;重复Bug")+COUNTIFS(缺陷明细!$A$2:$A$50000,$B$4,缺陷明细!$G$2:$G$50000,$C19,缺陷明细!$J$2:$J$50000,"运维测试",缺陷明细!$K$2:$K$50000,"严重",缺陷明细!$AA$2:$AA$50000,"&lt;&gt;丢弃",缺陷明细!$AA$2:$AA$50000,"&lt;&gt;设计如此",缺陷明细!$AA$2:$AA$50000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51"/>
    </row>
    <row r="20" spans="1:37">
      <c r="A20">
        <v>16</v>
      </c>
      <c r="B20" s="57"/>
      <c r="C20" s="58"/>
      <c r="D20" s="84"/>
      <c r="E20" s="82"/>
      <c r="F20" s="165"/>
      <c r="G20" s="166"/>
      <c r="H20" s="305">
        <f>COUNTIFS(缺陷明细!$A$2:$A$50000,$B$4,缺陷明细!$G$2:$G$50000,$C20,缺陷明细!$J$2:$J$50000,"评审",缺陷明细!$AA$2:$AA$50000,"&lt;&gt;丢弃",缺陷明细!$AA$2:$AA$50000,"&lt;&gt;设计如此",缺陷明细!$AA$2:$AA$50000,"&lt;&gt;重复Bug")</f>
        <v>0</v>
      </c>
      <c r="I20" s="161">
        <f>COUNTIFS(缺陷明细!$A$2:$A$50000,$B$4,缺陷明细!$G$2:$G$50000,$C20,缺陷明细!$Q$2:$Q$50000,"已关闭",缺陷明细!$J$2:$J$50000,"评审")</f>
        <v>0</v>
      </c>
      <c r="J20" s="161">
        <f>COUNTIFS(缺陷明细!$A$2:$A$50000,$B$4,缺陷明细!$G$2:$G$50000,$C20,缺陷明细!$J$2:$J$50000,"单元测试",缺陷明细!$AA$2:$AA$50000,"&lt;&gt;丢弃",缺陷明细!$AA$2:$AA$50000,"&lt;&gt;设计如此",缺陷明细!$AA$2:$AA$50000,"&lt;&gt;重复Bug")</f>
        <v>0</v>
      </c>
      <c r="K20" s="162">
        <f>COUNTIFS(缺陷明细!$A$2:$A$50000,$B$4,缺陷明细!$G$2:$G$50000,$C20,缺陷明细!$Q$2:$Q$50000,"已关闭",缺陷明细!$J$2:$J$50000,"单元测试")</f>
        <v>0</v>
      </c>
      <c r="L20" s="163"/>
      <c r="M20" s="164"/>
      <c r="N20" s="72">
        <f>COUNTIFS(缺陷明细!$A$2:$A$50000,$B$4,缺陷明细!$G$2:$G$50000,$C20,缺陷明细!$J$2:$J$50000,"系统测试案例评审",缺陷明细!$AA$2:$AA$50000,"&lt;&gt;丢弃",缺陷明细!$AA$2:$AA$50000,"&lt;&gt;设计如此",缺陷明细!$AA$2:$AA$50000,"&lt;&gt;重复Bug")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COUNTIFS(缺陷明细!$A$2:$A$50000,$B$4,缺陷明细!$G$2:$G$50000,$C20,缺陷明细!$J$2:$J$50000,"系统测试",缺陷明细!$AA$2:$AA$50000,"&lt;&gt;丢弃",缺陷明细!$AA$2:$AA$50000,"&lt;&gt;设计如此",缺陷明细!$AA$2:$AA$50000,"&lt;&gt;重复Bug")</f>
        <v>0</v>
      </c>
      <c r="Q20" s="72">
        <f>COUNTIFS(缺陷明细!$A$2:$A$50000,$B$4,缺陷明细!$G$2:$G$50000,$C20,缺陷明细!$Q$2:$Q$50000,"已关闭",缺陷明细!$J$2:$J$50000,"系统测试")</f>
        <v>0</v>
      </c>
      <c r="R20" s="72">
        <f>COUNTIFS(缺陷明细!$A$2:$A$50000,$B$4,缺陷明细!$G$2:$G$50000,$C20,缺陷明细!$AA$2:$AA$50000,"丢弃",缺陷明细!$J$2:$J$50000,"系统测试")+COUNTIFS(缺陷明细!$A$2:$A$50000,$B$4,缺陷明细!$G$2:$G$50000,$C20,缺陷明细!$AA$2:$AA$50000,"设计如此",缺陷明细!$J$2:$J$50000,"系统测试"+COUNTIFS(缺陷明细!$A$2:$A$50000,$B$4,缺陷明细!$G$2:$G$50000,$C20,缺陷明细!$AA$2:$AA$50000,"重复Bug",缺陷明细!$J$2:$J$50000,"系统测试"))</f>
        <v>0</v>
      </c>
      <c r="S20" s="72">
        <f>COUNTIFS(缺陷明细!$A$2:$A$50000,$B$4,缺陷明细!$G$2:$G$50000,$C20,缺陷明细!$J$2:$J$50000,"系统测试",缺陷明细!$K$2:$K$50000,"致命",缺陷明细!$AA$2:$AA$50000,"&lt;&gt;丢弃",缺陷明细!$AA$2:$AA$50000,"&lt;&gt;设计如此",缺陷明细!$AA$2:$AA$50000,"&lt;&gt;重复Bug")+COUNTIFS(缺陷明细!$A$2:$A$50000,$B$4,缺陷明细!$G$2:$G$50000,$C20,缺陷明细!$J$2:$J$50000,"系统测试",缺陷明细!$K$2:$K$50000,"严重",缺陷明细!$AA$2:$AA$50000,"&lt;&gt;丢弃",缺陷明细!$AA$2:$AA$50000,"&lt;&gt;设计如此",缺陷明细!$AA$2:$AA$50000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COUNTIFS(缺陷明细!$A$2:$A$50000,$B$4,缺陷明细!$G$2:$G$50000,$C20,缺陷明细!$J$2:$J$50000,"验收测试",缺陷明细!$AA$2:$AA$50000,"&lt;&gt;丢弃",缺陷明细!$AA$2:$AA$50000,"&lt;&gt;设计如此",缺陷明细!$AA$2:$AA$50000,"&lt;&gt;重复Bug")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A$2:$AA$50000,"&lt;&gt;丢弃",缺陷明细!$AA$2:$AA$50000,"&lt;&gt;设计如此",缺陷明细!$AA$2:$AA$50000,"&lt;&gt;重复Bug")+COUNTIFS(缺陷明细!$A$2:$A$50000,$B$4,缺陷明细!$G$2:$G$50000,$C20,缺陷明细!$J$2:$J$50000,"验收测试",缺陷明细!$K$2:$K$50000,"严重",缺陷明细!$AA$2:$AA$50000,"&lt;&gt;丢弃",缺陷明细!$AA$2:$AA$50000,"&lt;&gt;设计如此",缺陷明细!$AA$2:$AA$50000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COUNTIFS(缺陷明细!$A$2:$A$50000,$B$4,缺陷明细!$G$2:$G$50000,$C20,缺陷明细!$J$2:$J$50000,"运维测试",缺陷明细!$AA$2:$AA$50000,"&lt;&gt;丢弃",缺陷明细!$AA$2:$AA$50000,"&lt;&gt;设计如此",缺陷明细!$AA$2:$AA$50000,"&lt;&gt;重复Bug")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A$2:$AA$50000,"&lt;&gt;丢弃",缺陷明细!$AA$2:$AA$50000,"&lt;&gt;设计如此",缺陷明细!$AA$2:$AA$50000,"&lt;&gt;重复Bug")+COUNTIFS(缺陷明细!$A$2:$A$50000,$B$4,缺陷明细!$G$2:$G$50000,$C20,缺陷明细!$J$2:$J$50000,"运维测试",缺陷明细!$K$2:$K$50000,"严重",缺陷明细!$AA$2:$AA$50000,"&lt;&gt;丢弃",缺陷明细!$AA$2:$AA$50000,"&lt;&gt;设计如此",缺陷明细!$AA$2:$AA$50000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51"/>
    </row>
    <row r="21" spans="1:37">
      <c r="A21">
        <v>17</v>
      </c>
      <c r="B21" s="57"/>
      <c r="C21" s="58"/>
      <c r="D21" s="84"/>
      <c r="E21" s="82"/>
      <c r="F21" s="165"/>
      <c r="G21" s="166"/>
      <c r="H21" s="305">
        <f>COUNTIFS(缺陷明细!$A$2:$A$50000,$B$4,缺陷明细!$G$2:$G$50000,$C21,缺陷明细!$J$2:$J$50000,"评审",缺陷明细!$AA$2:$AA$50000,"&lt;&gt;丢弃",缺陷明细!$AA$2:$AA$50000,"&lt;&gt;设计如此",缺陷明细!$AA$2:$AA$50000,"&lt;&gt;重复Bug")</f>
        <v>0</v>
      </c>
      <c r="I21" s="161">
        <f>COUNTIFS(缺陷明细!$A$2:$A$50000,$B$4,缺陷明细!$G$2:$G$50000,$C21,缺陷明细!$Q$2:$Q$50000,"已关闭",缺陷明细!$J$2:$J$50000,"评审")</f>
        <v>0</v>
      </c>
      <c r="J21" s="161">
        <f>COUNTIFS(缺陷明细!$A$2:$A$50000,$B$4,缺陷明细!$G$2:$G$50000,$C21,缺陷明细!$J$2:$J$50000,"单元测试",缺陷明细!$AA$2:$AA$50000,"&lt;&gt;丢弃",缺陷明细!$AA$2:$AA$50000,"&lt;&gt;设计如此",缺陷明细!$AA$2:$AA$50000,"&lt;&gt;重复Bug")</f>
        <v>0</v>
      </c>
      <c r="K21" s="162">
        <f>COUNTIFS(缺陷明细!$A$2:$A$50000,$B$4,缺陷明细!$G$2:$G$50000,$C21,缺陷明细!$Q$2:$Q$50000,"已关闭",缺陷明细!$J$2:$J$50000,"单元测试")</f>
        <v>0</v>
      </c>
      <c r="L21" s="163"/>
      <c r="M21" s="164"/>
      <c r="N21" s="72">
        <f>COUNTIFS(缺陷明细!$A$2:$A$50000,$B$4,缺陷明细!$G$2:$G$50000,$C21,缺陷明细!$J$2:$J$50000,"系统测试案例评审",缺陷明细!$AA$2:$AA$50000,"&lt;&gt;丢弃",缺陷明细!$AA$2:$AA$50000,"&lt;&gt;设计如此",缺陷明细!$AA$2:$AA$50000,"&lt;&gt;重复Bug")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COUNTIFS(缺陷明细!$A$2:$A$50000,$B$4,缺陷明细!$G$2:$G$50000,$C21,缺陷明细!$J$2:$J$50000,"系统测试",缺陷明细!$AA$2:$AA$50000,"&lt;&gt;丢弃",缺陷明细!$AA$2:$AA$50000,"&lt;&gt;设计如此",缺陷明细!$AA$2:$AA$50000,"&lt;&gt;重复Bug")</f>
        <v>0</v>
      </c>
      <c r="Q21" s="72">
        <f>COUNTIFS(缺陷明细!$A$2:$A$50000,$B$4,缺陷明细!$G$2:$G$50000,$C21,缺陷明细!$Q$2:$Q$50000,"已关闭",缺陷明细!$J$2:$J$50000,"系统测试")</f>
        <v>0</v>
      </c>
      <c r="R21" s="72">
        <f>COUNTIFS(缺陷明细!$A$2:$A$50000,$B$4,缺陷明细!$G$2:$G$50000,$C21,缺陷明细!$AA$2:$AA$50000,"丢弃",缺陷明细!$J$2:$J$50000,"系统测试")+COUNTIFS(缺陷明细!$A$2:$A$50000,$B$4,缺陷明细!$G$2:$G$50000,$C21,缺陷明细!$AA$2:$AA$50000,"设计如此",缺陷明细!$J$2:$J$50000,"系统测试"+COUNTIFS(缺陷明细!$A$2:$A$50000,$B$4,缺陷明细!$G$2:$G$50000,$C21,缺陷明细!$AA$2:$AA$50000,"重复Bug",缺陷明细!$J$2:$J$50000,"系统测试"))</f>
        <v>0</v>
      </c>
      <c r="S21" s="72">
        <f>COUNTIFS(缺陷明细!$A$2:$A$50000,$B$4,缺陷明细!$G$2:$G$50000,$C21,缺陷明细!$J$2:$J$50000,"系统测试",缺陷明细!$K$2:$K$50000,"致命",缺陷明细!$AA$2:$AA$50000,"&lt;&gt;丢弃",缺陷明细!$AA$2:$AA$50000,"&lt;&gt;设计如此",缺陷明细!$AA$2:$AA$50000,"&lt;&gt;重复Bug")+COUNTIFS(缺陷明细!$A$2:$A$50000,$B$4,缺陷明细!$G$2:$G$50000,$C21,缺陷明细!$J$2:$J$50000,"系统测试",缺陷明细!$K$2:$K$50000,"严重",缺陷明细!$AA$2:$AA$50000,"&lt;&gt;丢弃",缺陷明细!$AA$2:$AA$50000,"&lt;&gt;设计如此",缺陷明细!$AA$2:$AA$50000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COUNTIFS(缺陷明细!$A$2:$A$50000,$B$4,缺陷明细!$G$2:$G$50000,$C21,缺陷明细!$J$2:$J$50000,"验收测试",缺陷明细!$AA$2:$AA$50000,"&lt;&gt;丢弃",缺陷明细!$AA$2:$AA$50000,"&lt;&gt;设计如此",缺陷明细!$AA$2:$AA$50000,"&lt;&gt;重复Bug")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A$2:$AA$50000,"&lt;&gt;丢弃",缺陷明细!$AA$2:$AA$50000,"&lt;&gt;设计如此",缺陷明细!$AA$2:$AA$50000,"&lt;&gt;重复Bug")+COUNTIFS(缺陷明细!$A$2:$A$50000,$B$4,缺陷明细!$G$2:$G$50000,$C21,缺陷明细!$J$2:$J$50000,"验收测试",缺陷明细!$K$2:$K$50000,"严重",缺陷明细!$AA$2:$AA$50000,"&lt;&gt;丢弃",缺陷明细!$AA$2:$AA$50000,"&lt;&gt;设计如此",缺陷明细!$AA$2:$AA$50000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COUNTIFS(缺陷明细!$A$2:$A$50000,$B$4,缺陷明细!$G$2:$G$50000,$C21,缺陷明细!$J$2:$J$50000,"运维测试",缺陷明细!$AA$2:$AA$50000,"&lt;&gt;丢弃",缺陷明细!$AA$2:$AA$50000,"&lt;&gt;设计如此",缺陷明细!$AA$2:$AA$50000,"&lt;&gt;重复Bug")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A$2:$AA$50000,"&lt;&gt;丢弃",缺陷明细!$AA$2:$AA$50000,"&lt;&gt;设计如此",缺陷明细!$AA$2:$AA$50000,"&lt;&gt;重复Bug")+COUNTIFS(缺陷明细!$A$2:$A$50000,$B$4,缺陷明细!$G$2:$G$50000,$C21,缺陷明细!$J$2:$J$50000,"运维测试",缺陷明细!$K$2:$K$50000,"严重",缺陷明细!$AA$2:$AA$50000,"&lt;&gt;丢弃",缺陷明细!$AA$2:$AA$50000,"&lt;&gt;设计如此",缺陷明细!$AA$2:$AA$50000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51"/>
    </row>
    <row r="22" spans="1:37">
      <c r="A22">
        <v>18</v>
      </c>
      <c r="B22" s="57"/>
      <c r="C22" s="58"/>
      <c r="D22" s="84"/>
      <c r="E22" s="82"/>
      <c r="F22" s="165"/>
      <c r="G22" s="166"/>
      <c r="H22" s="305">
        <f>COUNTIFS(缺陷明细!$A$2:$A$50000,$B$4,缺陷明细!$G$2:$G$50000,$C22,缺陷明细!$J$2:$J$50000,"评审",缺陷明细!$AA$2:$AA$50000,"&lt;&gt;丢弃",缺陷明细!$AA$2:$AA$50000,"&lt;&gt;设计如此",缺陷明细!$AA$2:$AA$50000,"&lt;&gt;重复Bug")</f>
        <v>0</v>
      </c>
      <c r="I22" s="161">
        <f>COUNTIFS(缺陷明细!$A$2:$A$50000,$B$4,缺陷明细!$G$2:$G$50000,$C22,缺陷明细!$Q$2:$Q$50000,"已关闭",缺陷明细!$J$2:$J$50000,"评审")</f>
        <v>0</v>
      </c>
      <c r="J22" s="161">
        <f>COUNTIFS(缺陷明细!$A$2:$A$50000,$B$4,缺陷明细!$G$2:$G$50000,$C22,缺陷明细!$J$2:$J$50000,"单元测试",缺陷明细!$AA$2:$AA$50000,"&lt;&gt;丢弃",缺陷明细!$AA$2:$AA$50000,"&lt;&gt;设计如此",缺陷明细!$AA$2:$AA$50000,"&lt;&gt;重复Bug")</f>
        <v>0</v>
      </c>
      <c r="K22" s="162">
        <f>COUNTIFS(缺陷明细!$A$2:$A$50000,$B$4,缺陷明细!$G$2:$G$50000,$C22,缺陷明细!$Q$2:$Q$50000,"已关闭",缺陷明细!$J$2:$J$50000,"单元测试")</f>
        <v>0</v>
      </c>
      <c r="L22" s="163"/>
      <c r="M22" s="164"/>
      <c r="N22" s="72">
        <f>COUNTIFS(缺陷明细!$A$2:$A$50000,$B$4,缺陷明细!$G$2:$G$50000,$C22,缺陷明细!$J$2:$J$50000,"系统测试案例评审",缺陷明细!$AA$2:$AA$50000,"&lt;&gt;丢弃",缺陷明细!$AA$2:$AA$50000,"&lt;&gt;设计如此",缺陷明细!$AA$2:$AA$50000,"&lt;&gt;重复Bug")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COUNTIFS(缺陷明细!$A$2:$A$50000,$B$4,缺陷明细!$G$2:$G$50000,$C22,缺陷明细!$J$2:$J$50000,"系统测试",缺陷明细!$AA$2:$AA$50000,"&lt;&gt;丢弃",缺陷明细!$AA$2:$AA$50000,"&lt;&gt;设计如此",缺陷明细!$AA$2:$AA$50000,"&lt;&gt;重复Bug")</f>
        <v>0</v>
      </c>
      <c r="Q22" s="72">
        <f>COUNTIFS(缺陷明细!$A$2:$A$50000,$B$4,缺陷明细!$G$2:$G$50000,$C22,缺陷明细!$Q$2:$Q$50000,"已关闭",缺陷明细!$J$2:$J$50000,"系统测试")</f>
        <v>0</v>
      </c>
      <c r="R22" s="72">
        <f>COUNTIFS(缺陷明细!$A$2:$A$50000,$B$4,缺陷明细!$G$2:$G$50000,$C22,缺陷明细!$AA$2:$AA$50000,"丢弃",缺陷明细!$J$2:$J$50000,"系统测试")+COUNTIFS(缺陷明细!$A$2:$A$50000,$B$4,缺陷明细!$G$2:$G$50000,$C22,缺陷明细!$AA$2:$AA$50000,"设计如此",缺陷明细!$J$2:$J$50000,"系统测试"+COUNTIFS(缺陷明细!$A$2:$A$50000,$B$4,缺陷明细!$G$2:$G$50000,$C22,缺陷明细!$AA$2:$AA$50000,"重复Bug",缺陷明细!$J$2:$J$50000,"系统测试"))</f>
        <v>0</v>
      </c>
      <c r="S22" s="72">
        <f>COUNTIFS(缺陷明细!$A$2:$A$50000,$B$4,缺陷明细!$G$2:$G$50000,$C22,缺陷明细!$J$2:$J$50000,"系统测试",缺陷明细!$K$2:$K$50000,"致命",缺陷明细!$AA$2:$AA$50000,"&lt;&gt;丢弃",缺陷明细!$AA$2:$AA$50000,"&lt;&gt;设计如此",缺陷明细!$AA$2:$AA$50000,"&lt;&gt;重复Bug")+COUNTIFS(缺陷明细!$A$2:$A$50000,$B$4,缺陷明细!$G$2:$G$50000,$C22,缺陷明细!$J$2:$J$50000,"系统测试",缺陷明细!$K$2:$K$50000,"严重",缺陷明细!$AA$2:$AA$50000,"&lt;&gt;丢弃",缺陷明细!$AA$2:$AA$50000,"&lt;&gt;设计如此",缺陷明细!$AA$2:$AA$50000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COUNTIFS(缺陷明细!$A$2:$A$50000,$B$4,缺陷明细!$G$2:$G$50000,$C22,缺陷明细!$J$2:$J$50000,"验收测试",缺陷明细!$AA$2:$AA$50000,"&lt;&gt;丢弃",缺陷明细!$AA$2:$AA$50000,"&lt;&gt;设计如此",缺陷明细!$AA$2:$AA$50000,"&lt;&gt;重复Bug")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A$2:$AA$50000,"&lt;&gt;丢弃",缺陷明细!$AA$2:$AA$50000,"&lt;&gt;设计如此",缺陷明细!$AA$2:$AA$50000,"&lt;&gt;重复Bug")+COUNTIFS(缺陷明细!$A$2:$A$50000,$B$4,缺陷明细!$G$2:$G$50000,$C22,缺陷明细!$J$2:$J$50000,"验收测试",缺陷明细!$K$2:$K$50000,"严重",缺陷明细!$AA$2:$AA$50000,"&lt;&gt;丢弃",缺陷明细!$AA$2:$AA$50000,"&lt;&gt;设计如此",缺陷明细!$AA$2:$AA$50000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COUNTIFS(缺陷明细!$A$2:$A$50000,$B$4,缺陷明细!$G$2:$G$50000,$C22,缺陷明细!$J$2:$J$50000,"运维测试",缺陷明细!$AA$2:$AA$50000,"&lt;&gt;丢弃",缺陷明细!$AA$2:$AA$50000,"&lt;&gt;设计如此",缺陷明细!$AA$2:$AA$50000,"&lt;&gt;重复Bug")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A$2:$AA$50000,"&lt;&gt;丢弃",缺陷明细!$AA$2:$AA$50000,"&lt;&gt;设计如此",缺陷明细!$AA$2:$AA$50000,"&lt;&gt;重复Bug")+COUNTIFS(缺陷明细!$A$2:$A$50000,$B$4,缺陷明细!$G$2:$G$50000,$C22,缺陷明细!$J$2:$J$50000,"运维测试",缺陷明细!$K$2:$K$50000,"严重",缺陷明细!$AA$2:$AA$50000,"&lt;&gt;丢弃",缺陷明细!$AA$2:$AA$50000,"&lt;&gt;设计如此",缺陷明细!$AA$2:$AA$50000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51"/>
    </row>
    <row r="23" spans="1:37">
      <c r="A23">
        <v>19</v>
      </c>
      <c r="B23" s="57"/>
      <c r="C23" s="58"/>
      <c r="D23" s="84"/>
      <c r="E23" s="82"/>
      <c r="F23" s="165"/>
      <c r="G23" s="166"/>
      <c r="H23" s="305">
        <f>COUNTIFS(缺陷明细!$A$2:$A$50000,$B$4,缺陷明细!$G$2:$G$50000,$C23,缺陷明细!$J$2:$J$50000,"评审",缺陷明细!$AA$2:$AA$50000,"&lt;&gt;丢弃",缺陷明细!$AA$2:$AA$50000,"&lt;&gt;设计如此",缺陷明细!$AA$2:$AA$50000,"&lt;&gt;重复Bug")</f>
        <v>0</v>
      </c>
      <c r="I23" s="161">
        <f>COUNTIFS(缺陷明细!$A$2:$A$50000,$B$4,缺陷明细!$G$2:$G$50000,$C23,缺陷明细!$Q$2:$Q$50000,"已关闭",缺陷明细!$J$2:$J$50000,"评审")</f>
        <v>0</v>
      </c>
      <c r="J23" s="161">
        <f>COUNTIFS(缺陷明细!$A$2:$A$50000,$B$4,缺陷明细!$G$2:$G$50000,$C23,缺陷明细!$J$2:$J$50000,"单元测试",缺陷明细!$AA$2:$AA$50000,"&lt;&gt;丢弃",缺陷明细!$AA$2:$AA$50000,"&lt;&gt;设计如此",缺陷明细!$AA$2:$AA$50000,"&lt;&gt;重复Bug")</f>
        <v>0</v>
      </c>
      <c r="K23" s="162">
        <f>COUNTIFS(缺陷明细!$A$2:$A$50000,$B$4,缺陷明细!$G$2:$G$50000,$C23,缺陷明细!$Q$2:$Q$50000,"已关闭",缺陷明细!$J$2:$J$50000,"单元测试")</f>
        <v>0</v>
      </c>
      <c r="L23" s="163"/>
      <c r="M23" s="164"/>
      <c r="N23" s="72">
        <f>COUNTIFS(缺陷明细!$A$2:$A$50000,$B$4,缺陷明细!$G$2:$G$50000,$C23,缺陷明细!$J$2:$J$50000,"系统测试案例评审",缺陷明细!$AA$2:$AA$50000,"&lt;&gt;丢弃",缺陷明细!$AA$2:$AA$50000,"&lt;&gt;设计如此",缺陷明细!$AA$2:$AA$50000,"&lt;&gt;重复Bug")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COUNTIFS(缺陷明细!$A$2:$A$50000,$B$4,缺陷明细!$G$2:$G$50000,$C23,缺陷明细!$J$2:$J$50000,"系统测试",缺陷明细!$AA$2:$AA$50000,"&lt;&gt;丢弃",缺陷明细!$AA$2:$AA$50000,"&lt;&gt;设计如此",缺陷明细!$AA$2:$AA$50000,"&lt;&gt;重复Bug")</f>
        <v>0</v>
      </c>
      <c r="Q23" s="72">
        <f>COUNTIFS(缺陷明细!$A$2:$A$50000,$B$4,缺陷明细!$G$2:$G$50000,$C23,缺陷明细!$Q$2:$Q$50000,"已关闭",缺陷明细!$J$2:$J$50000,"系统测试")</f>
        <v>0</v>
      </c>
      <c r="R23" s="72">
        <f>COUNTIFS(缺陷明细!$A$2:$A$50000,$B$4,缺陷明细!$G$2:$G$50000,$C23,缺陷明细!$AA$2:$AA$50000,"丢弃",缺陷明细!$J$2:$J$50000,"系统测试")+COUNTIFS(缺陷明细!$A$2:$A$50000,$B$4,缺陷明细!$G$2:$G$50000,$C23,缺陷明细!$AA$2:$AA$50000,"设计如此",缺陷明细!$J$2:$J$50000,"系统测试"+COUNTIFS(缺陷明细!$A$2:$A$50000,$B$4,缺陷明细!$G$2:$G$50000,$C23,缺陷明细!$AA$2:$AA$50000,"重复Bug",缺陷明细!$J$2:$J$50000,"系统测试"))</f>
        <v>0</v>
      </c>
      <c r="S23" s="72">
        <f>COUNTIFS(缺陷明细!$A$2:$A$50000,$B$4,缺陷明细!$G$2:$G$50000,$C23,缺陷明细!$J$2:$J$50000,"系统测试",缺陷明细!$K$2:$K$50000,"致命",缺陷明细!$AA$2:$AA$50000,"&lt;&gt;丢弃",缺陷明细!$AA$2:$AA$50000,"&lt;&gt;设计如此",缺陷明细!$AA$2:$AA$50000,"&lt;&gt;重复Bug")+COUNTIFS(缺陷明细!$A$2:$A$50000,$B$4,缺陷明细!$G$2:$G$50000,$C23,缺陷明细!$J$2:$J$50000,"系统测试",缺陷明细!$K$2:$K$50000,"严重",缺陷明细!$AA$2:$AA$50000,"&lt;&gt;丢弃",缺陷明细!$AA$2:$AA$50000,"&lt;&gt;设计如此",缺陷明细!$AA$2:$AA$50000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COUNTIFS(缺陷明细!$A$2:$A$50000,$B$4,缺陷明细!$G$2:$G$50000,$C23,缺陷明细!$J$2:$J$50000,"验收测试",缺陷明细!$AA$2:$AA$50000,"&lt;&gt;丢弃",缺陷明细!$AA$2:$AA$50000,"&lt;&gt;设计如此",缺陷明细!$AA$2:$AA$50000,"&lt;&gt;重复Bug")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A$2:$AA$50000,"&lt;&gt;丢弃",缺陷明细!$AA$2:$AA$50000,"&lt;&gt;设计如此",缺陷明细!$AA$2:$AA$50000,"&lt;&gt;重复Bug")+COUNTIFS(缺陷明细!$A$2:$A$50000,$B$4,缺陷明细!$G$2:$G$50000,$C23,缺陷明细!$J$2:$J$50000,"验收测试",缺陷明细!$K$2:$K$50000,"严重",缺陷明细!$AA$2:$AA$50000,"&lt;&gt;丢弃",缺陷明细!$AA$2:$AA$50000,"&lt;&gt;设计如此",缺陷明细!$AA$2:$AA$50000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COUNTIFS(缺陷明细!$A$2:$A$50000,$B$4,缺陷明细!$G$2:$G$50000,$C23,缺陷明细!$J$2:$J$50000,"运维测试",缺陷明细!$AA$2:$AA$50000,"&lt;&gt;丢弃",缺陷明细!$AA$2:$AA$50000,"&lt;&gt;设计如此",缺陷明细!$AA$2:$AA$50000,"&lt;&gt;重复Bug")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A$2:$AA$50000,"&lt;&gt;丢弃",缺陷明细!$AA$2:$AA$50000,"&lt;&gt;设计如此",缺陷明细!$AA$2:$AA$50000,"&lt;&gt;重复Bug")+COUNTIFS(缺陷明细!$A$2:$A$50000,$B$4,缺陷明细!$G$2:$G$50000,$C23,缺陷明细!$J$2:$J$50000,"运维测试",缺陷明细!$K$2:$K$50000,"严重",缺陷明细!$AA$2:$AA$50000,"&lt;&gt;丢弃",缺陷明细!$AA$2:$AA$50000,"&lt;&gt;设计如此",缺陷明细!$AA$2:$AA$50000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51"/>
    </row>
    <row r="24" spans="1:37">
      <c r="A24">
        <v>20</v>
      </c>
      <c r="B24" s="57"/>
      <c r="C24" s="58"/>
      <c r="D24" s="84"/>
      <c r="E24" s="82"/>
      <c r="F24" s="165"/>
      <c r="G24" s="166"/>
      <c r="H24" s="305">
        <f>COUNTIFS(缺陷明细!$A$2:$A$50000,$B$4,缺陷明细!$G$2:$G$50000,$C24,缺陷明细!$J$2:$J$50000,"评审",缺陷明细!$AA$2:$AA$50000,"&lt;&gt;丢弃",缺陷明细!$AA$2:$AA$50000,"&lt;&gt;设计如此",缺陷明细!$AA$2:$AA$50000,"&lt;&gt;重复Bug")</f>
        <v>0</v>
      </c>
      <c r="I24" s="161">
        <f>COUNTIFS(缺陷明细!$A$2:$A$50000,$B$4,缺陷明细!$G$2:$G$50000,$C24,缺陷明细!$Q$2:$Q$50000,"已关闭",缺陷明细!$J$2:$J$50000,"评审")</f>
        <v>0</v>
      </c>
      <c r="J24" s="161">
        <f>COUNTIFS(缺陷明细!$A$2:$A$50000,$B$4,缺陷明细!$G$2:$G$50000,$C24,缺陷明细!$J$2:$J$50000,"单元测试",缺陷明细!$AA$2:$AA$50000,"&lt;&gt;丢弃",缺陷明细!$AA$2:$AA$50000,"&lt;&gt;设计如此",缺陷明细!$AA$2:$AA$50000,"&lt;&gt;重复Bug")</f>
        <v>0</v>
      </c>
      <c r="K24" s="162">
        <f>COUNTIFS(缺陷明细!$A$2:$A$50000,$B$4,缺陷明细!$G$2:$G$50000,$C24,缺陷明细!$Q$2:$Q$50000,"已关闭",缺陷明细!$J$2:$J$50000,"单元测试")</f>
        <v>0</v>
      </c>
      <c r="L24" s="163"/>
      <c r="M24" s="164"/>
      <c r="N24" s="72">
        <f>COUNTIFS(缺陷明细!$A$2:$A$50000,$B$4,缺陷明细!$G$2:$G$50000,$C24,缺陷明细!$J$2:$J$50000,"系统测试案例评审",缺陷明细!$AA$2:$AA$50000,"&lt;&gt;丢弃",缺陷明细!$AA$2:$AA$50000,"&lt;&gt;设计如此",缺陷明细!$AA$2:$AA$50000,"&lt;&gt;重复Bug")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COUNTIFS(缺陷明细!$A$2:$A$50000,$B$4,缺陷明细!$G$2:$G$50000,$C24,缺陷明细!$J$2:$J$50000,"系统测试",缺陷明细!$AA$2:$AA$50000,"&lt;&gt;丢弃",缺陷明细!$AA$2:$AA$50000,"&lt;&gt;设计如此",缺陷明细!$AA$2:$AA$50000,"&lt;&gt;重复Bug")</f>
        <v>0</v>
      </c>
      <c r="Q24" s="72">
        <f>COUNTIFS(缺陷明细!$A$2:$A$50000,$B$4,缺陷明细!$G$2:$G$50000,$C24,缺陷明细!$Q$2:$Q$50000,"已关闭",缺陷明细!$J$2:$J$50000,"系统测试")</f>
        <v>0</v>
      </c>
      <c r="R24" s="72">
        <f>COUNTIFS(缺陷明细!$A$2:$A$50000,$B$4,缺陷明细!$G$2:$G$50000,$C24,缺陷明细!$AA$2:$AA$50000,"丢弃",缺陷明细!$J$2:$J$50000,"系统测试")+COUNTIFS(缺陷明细!$A$2:$A$50000,$B$4,缺陷明细!$G$2:$G$50000,$C24,缺陷明细!$AA$2:$AA$50000,"设计如此",缺陷明细!$J$2:$J$50000,"系统测试"+COUNTIFS(缺陷明细!$A$2:$A$50000,$B$4,缺陷明细!$G$2:$G$50000,$C24,缺陷明细!$AA$2:$AA$50000,"重复Bug",缺陷明细!$J$2:$J$50000,"系统测试"))</f>
        <v>0</v>
      </c>
      <c r="S24" s="72">
        <f>COUNTIFS(缺陷明细!$A$2:$A$50000,$B$4,缺陷明细!$G$2:$G$50000,$C24,缺陷明细!$J$2:$J$50000,"系统测试",缺陷明细!$K$2:$K$50000,"致命",缺陷明细!$AA$2:$AA$50000,"&lt;&gt;丢弃",缺陷明细!$AA$2:$AA$50000,"&lt;&gt;设计如此",缺陷明细!$AA$2:$AA$50000,"&lt;&gt;重复Bug")+COUNTIFS(缺陷明细!$A$2:$A$50000,$B$4,缺陷明细!$G$2:$G$50000,$C24,缺陷明细!$J$2:$J$50000,"系统测试",缺陷明细!$K$2:$K$50000,"严重",缺陷明细!$AA$2:$AA$50000,"&lt;&gt;丢弃",缺陷明细!$AA$2:$AA$50000,"&lt;&gt;设计如此",缺陷明细!$AA$2:$AA$50000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COUNTIFS(缺陷明细!$A$2:$A$50000,$B$4,缺陷明细!$G$2:$G$50000,$C24,缺陷明细!$J$2:$J$50000,"验收测试",缺陷明细!$AA$2:$AA$50000,"&lt;&gt;丢弃",缺陷明细!$AA$2:$AA$50000,"&lt;&gt;设计如此",缺陷明细!$AA$2:$AA$50000,"&lt;&gt;重复Bug")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A$2:$AA$50000,"&lt;&gt;丢弃",缺陷明细!$AA$2:$AA$50000,"&lt;&gt;设计如此",缺陷明细!$AA$2:$AA$50000,"&lt;&gt;重复Bug")+COUNTIFS(缺陷明细!$A$2:$A$50000,$B$4,缺陷明细!$G$2:$G$50000,$C24,缺陷明细!$J$2:$J$50000,"验收测试",缺陷明细!$K$2:$K$50000,"严重",缺陷明细!$AA$2:$AA$50000,"&lt;&gt;丢弃",缺陷明细!$AA$2:$AA$50000,"&lt;&gt;设计如此",缺陷明细!$AA$2:$AA$50000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COUNTIFS(缺陷明细!$A$2:$A$50000,$B$4,缺陷明细!$G$2:$G$50000,$C24,缺陷明细!$J$2:$J$50000,"运维测试",缺陷明细!$AA$2:$AA$50000,"&lt;&gt;丢弃",缺陷明细!$AA$2:$AA$50000,"&lt;&gt;设计如此",缺陷明细!$AA$2:$AA$50000,"&lt;&gt;重复Bug")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A$2:$AA$50000,"&lt;&gt;丢弃",缺陷明细!$AA$2:$AA$50000,"&lt;&gt;设计如此",缺陷明细!$AA$2:$AA$50000,"&lt;&gt;重复Bug")+COUNTIFS(缺陷明细!$A$2:$A$50000,$B$4,缺陷明细!$G$2:$G$50000,$C24,缺陷明细!$J$2:$J$50000,"运维测试",缺陷明细!$K$2:$K$50000,"严重",缺陷明细!$AA$2:$AA$50000,"&lt;&gt;丢弃",缺陷明细!$AA$2:$AA$50000,"&lt;&gt;设计如此",缺陷明细!$AA$2:$AA$50000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51"/>
    </row>
    <row r="25" spans="1:37">
      <c r="A25">
        <v>21</v>
      </c>
      <c r="B25" s="57"/>
      <c r="C25" s="58"/>
      <c r="D25" s="84"/>
      <c r="E25" s="82"/>
      <c r="F25" s="165"/>
      <c r="G25" s="166"/>
      <c r="H25" s="305">
        <f>COUNTIFS(缺陷明细!$A$2:$A$50000,$B$4,缺陷明细!$G$2:$G$50000,$C25,缺陷明细!$J$2:$J$50000,"评审",缺陷明细!$AA$2:$AA$50000,"&lt;&gt;丢弃",缺陷明细!$AA$2:$AA$50000,"&lt;&gt;设计如此",缺陷明细!$AA$2:$AA$50000,"&lt;&gt;重复Bug")</f>
        <v>0</v>
      </c>
      <c r="I25" s="161">
        <f>COUNTIFS(缺陷明细!$A$2:$A$50000,$B$4,缺陷明细!$G$2:$G$50000,$C25,缺陷明细!$Q$2:$Q$50000,"已关闭",缺陷明细!$J$2:$J$50000,"评审")</f>
        <v>0</v>
      </c>
      <c r="J25" s="161">
        <f>COUNTIFS(缺陷明细!$A$2:$A$50000,$B$4,缺陷明细!$G$2:$G$50000,$C25,缺陷明细!$J$2:$J$50000,"单元测试",缺陷明细!$AA$2:$AA$50000,"&lt;&gt;丢弃",缺陷明细!$AA$2:$AA$50000,"&lt;&gt;设计如此",缺陷明细!$AA$2:$AA$50000,"&lt;&gt;重复Bug")</f>
        <v>0</v>
      </c>
      <c r="K25" s="162">
        <f>COUNTIFS(缺陷明细!$A$2:$A$50000,$B$4,缺陷明细!$G$2:$G$50000,$C25,缺陷明细!$Q$2:$Q$50000,"已关闭",缺陷明细!$J$2:$J$50000,"单元测试")</f>
        <v>0</v>
      </c>
      <c r="L25" s="163"/>
      <c r="M25" s="164"/>
      <c r="N25" s="72">
        <f>COUNTIFS(缺陷明细!$A$2:$A$50000,$B$4,缺陷明细!$G$2:$G$50000,$C25,缺陷明细!$J$2:$J$50000,"系统测试案例评审",缺陷明细!$AA$2:$AA$50000,"&lt;&gt;丢弃",缺陷明细!$AA$2:$AA$50000,"&lt;&gt;设计如此",缺陷明细!$AA$2:$AA$50000,"&lt;&gt;重复Bug")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COUNTIFS(缺陷明细!$A$2:$A$50000,$B$4,缺陷明细!$G$2:$G$50000,$C25,缺陷明细!$J$2:$J$50000,"系统测试",缺陷明细!$AA$2:$AA$50000,"&lt;&gt;丢弃",缺陷明细!$AA$2:$AA$50000,"&lt;&gt;设计如此",缺陷明细!$AA$2:$AA$50000,"&lt;&gt;重复Bug")</f>
        <v>0</v>
      </c>
      <c r="Q25" s="72">
        <f>COUNTIFS(缺陷明细!$A$2:$A$50000,$B$4,缺陷明细!$G$2:$G$50000,$C25,缺陷明细!$Q$2:$Q$50000,"已关闭",缺陷明细!$J$2:$J$50000,"系统测试")</f>
        <v>0</v>
      </c>
      <c r="R25" s="72">
        <f>COUNTIFS(缺陷明细!$A$2:$A$50000,$B$4,缺陷明细!$G$2:$G$50000,$C25,缺陷明细!$AA$2:$AA$50000,"丢弃",缺陷明细!$J$2:$J$50000,"系统测试")+COUNTIFS(缺陷明细!$A$2:$A$50000,$B$4,缺陷明细!$G$2:$G$50000,$C25,缺陷明细!$AA$2:$AA$50000,"设计如此",缺陷明细!$J$2:$J$50000,"系统测试"+COUNTIFS(缺陷明细!$A$2:$A$50000,$B$4,缺陷明细!$G$2:$G$50000,$C25,缺陷明细!$AA$2:$AA$50000,"重复Bug",缺陷明细!$J$2:$J$50000,"系统测试"))</f>
        <v>0</v>
      </c>
      <c r="S25" s="72">
        <f>COUNTIFS(缺陷明细!$A$2:$A$50000,$B$4,缺陷明细!$G$2:$G$50000,$C25,缺陷明细!$J$2:$J$50000,"系统测试",缺陷明细!$K$2:$K$50000,"致命",缺陷明细!$AA$2:$AA$50000,"&lt;&gt;丢弃",缺陷明细!$AA$2:$AA$50000,"&lt;&gt;设计如此",缺陷明细!$AA$2:$AA$50000,"&lt;&gt;重复Bug")+COUNTIFS(缺陷明细!$A$2:$A$50000,$B$4,缺陷明细!$G$2:$G$50000,$C25,缺陷明细!$J$2:$J$50000,"系统测试",缺陷明细!$K$2:$K$50000,"严重",缺陷明细!$AA$2:$AA$50000,"&lt;&gt;丢弃",缺陷明细!$AA$2:$AA$50000,"&lt;&gt;设计如此",缺陷明细!$AA$2:$AA$50000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COUNTIFS(缺陷明细!$A$2:$A$50000,$B$4,缺陷明细!$G$2:$G$50000,$C25,缺陷明细!$J$2:$J$50000,"验收测试",缺陷明细!$AA$2:$AA$50000,"&lt;&gt;丢弃",缺陷明细!$AA$2:$AA$50000,"&lt;&gt;设计如此",缺陷明细!$AA$2:$AA$50000,"&lt;&gt;重复Bug")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A$2:$AA$50000,"&lt;&gt;丢弃",缺陷明细!$AA$2:$AA$50000,"&lt;&gt;设计如此",缺陷明细!$AA$2:$AA$50000,"&lt;&gt;重复Bug")+COUNTIFS(缺陷明细!$A$2:$A$50000,$B$4,缺陷明细!$G$2:$G$50000,$C25,缺陷明细!$J$2:$J$50000,"验收测试",缺陷明细!$K$2:$K$50000,"严重",缺陷明细!$AA$2:$AA$50000,"&lt;&gt;丢弃",缺陷明细!$AA$2:$AA$50000,"&lt;&gt;设计如此",缺陷明细!$AA$2:$AA$50000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COUNTIFS(缺陷明细!$A$2:$A$50000,$B$4,缺陷明细!$G$2:$G$50000,$C25,缺陷明细!$J$2:$J$50000,"运维测试",缺陷明细!$AA$2:$AA$50000,"&lt;&gt;丢弃",缺陷明细!$AA$2:$AA$50000,"&lt;&gt;设计如此",缺陷明细!$AA$2:$AA$50000,"&lt;&gt;重复Bug")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A$2:$AA$50000,"&lt;&gt;丢弃",缺陷明细!$AA$2:$AA$50000,"&lt;&gt;设计如此",缺陷明细!$AA$2:$AA$50000,"&lt;&gt;重复Bug")+COUNTIFS(缺陷明细!$A$2:$A$50000,$B$4,缺陷明细!$G$2:$G$50000,$C25,缺陷明细!$J$2:$J$50000,"运维测试",缺陷明细!$K$2:$K$50000,"严重",缺陷明细!$AA$2:$AA$50000,"&lt;&gt;丢弃",缺陷明细!$AA$2:$AA$50000,"&lt;&gt;设计如此",缺陷明细!$AA$2:$AA$50000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51"/>
    </row>
    <row r="26" spans="1:37">
      <c r="A26">
        <v>22</v>
      </c>
      <c r="B26" s="57"/>
      <c r="C26" s="58"/>
      <c r="D26" s="84"/>
      <c r="E26" s="82"/>
      <c r="F26" s="165"/>
      <c r="G26" s="166"/>
      <c r="H26" s="305">
        <f>COUNTIFS(缺陷明细!$A$2:$A$50000,$B$4,缺陷明细!$G$2:$G$50000,$C26,缺陷明细!$J$2:$J$50000,"评审",缺陷明细!$AA$2:$AA$50000,"&lt;&gt;丢弃",缺陷明细!$AA$2:$AA$50000,"&lt;&gt;设计如此",缺陷明细!$AA$2:$AA$50000,"&lt;&gt;重复Bug")</f>
        <v>0</v>
      </c>
      <c r="I26" s="161">
        <f>COUNTIFS(缺陷明细!$A$2:$A$50000,$B$4,缺陷明细!$G$2:$G$50000,$C26,缺陷明细!$Q$2:$Q$50000,"已关闭",缺陷明细!$J$2:$J$50000,"评审")</f>
        <v>0</v>
      </c>
      <c r="J26" s="161">
        <f>COUNTIFS(缺陷明细!$A$2:$A$50000,$B$4,缺陷明细!$G$2:$G$50000,$C26,缺陷明细!$J$2:$J$50000,"单元测试",缺陷明细!$AA$2:$AA$50000,"&lt;&gt;丢弃",缺陷明细!$AA$2:$AA$50000,"&lt;&gt;设计如此",缺陷明细!$AA$2:$AA$50000,"&lt;&gt;重复Bug")</f>
        <v>0</v>
      </c>
      <c r="K26" s="162">
        <f>COUNTIFS(缺陷明细!$A$2:$A$50000,$B$4,缺陷明细!$G$2:$G$50000,$C26,缺陷明细!$Q$2:$Q$50000,"已关闭",缺陷明细!$J$2:$J$50000,"单元测试")</f>
        <v>0</v>
      </c>
      <c r="L26" s="163"/>
      <c r="M26" s="164"/>
      <c r="N26" s="72">
        <f>COUNTIFS(缺陷明细!$A$2:$A$50000,$B$4,缺陷明细!$G$2:$G$50000,$C26,缺陷明细!$J$2:$J$50000,"系统测试案例评审",缺陷明细!$AA$2:$AA$50000,"&lt;&gt;丢弃",缺陷明细!$AA$2:$AA$50000,"&lt;&gt;设计如此",缺陷明细!$AA$2:$AA$50000,"&lt;&gt;重复Bug")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COUNTIFS(缺陷明细!$A$2:$A$50000,$B$4,缺陷明细!$G$2:$G$50000,$C26,缺陷明细!$J$2:$J$50000,"系统测试",缺陷明细!$AA$2:$AA$50000,"&lt;&gt;丢弃",缺陷明细!$AA$2:$AA$50000,"&lt;&gt;设计如此",缺陷明细!$AA$2:$AA$50000,"&lt;&gt;重复Bug")</f>
        <v>0</v>
      </c>
      <c r="Q26" s="72">
        <f>COUNTIFS(缺陷明细!$A$2:$A$50000,$B$4,缺陷明细!$G$2:$G$50000,$C26,缺陷明细!$Q$2:$Q$50000,"已关闭",缺陷明细!$J$2:$J$50000,"系统测试")</f>
        <v>0</v>
      </c>
      <c r="R26" s="72">
        <f>COUNTIFS(缺陷明细!$A$2:$A$50000,$B$4,缺陷明细!$G$2:$G$50000,$C26,缺陷明细!$AA$2:$AA$50000,"丢弃",缺陷明细!$J$2:$J$50000,"系统测试")+COUNTIFS(缺陷明细!$A$2:$A$50000,$B$4,缺陷明细!$G$2:$G$50000,$C26,缺陷明细!$AA$2:$AA$50000,"设计如此",缺陷明细!$J$2:$J$50000,"系统测试"+COUNTIFS(缺陷明细!$A$2:$A$50000,$B$4,缺陷明细!$G$2:$G$50000,$C26,缺陷明细!$AA$2:$AA$50000,"重复Bug",缺陷明细!$J$2:$J$50000,"系统测试"))</f>
        <v>0</v>
      </c>
      <c r="S26" s="72">
        <f>COUNTIFS(缺陷明细!$A$2:$A$50000,$B$4,缺陷明细!$G$2:$G$50000,$C26,缺陷明细!$J$2:$J$50000,"系统测试",缺陷明细!$K$2:$K$50000,"致命",缺陷明细!$AA$2:$AA$50000,"&lt;&gt;丢弃",缺陷明细!$AA$2:$AA$50000,"&lt;&gt;设计如此",缺陷明细!$AA$2:$AA$50000,"&lt;&gt;重复Bug")+COUNTIFS(缺陷明细!$A$2:$A$50000,$B$4,缺陷明细!$G$2:$G$50000,$C26,缺陷明细!$J$2:$J$50000,"系统测试",缺陷明细!$K$2:$K$50000,"严重",缺陷明细!$AA$2:$AA$50000,"&lt;&gt;丢弃",缺陷明细!$AA$2:$AA$50000,"&lt;&gt;设计如此",缺陷明细!$AA$2:$AA$50000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COUNTIFS(缺陷明细!$A$2:$A$50000,$B$4,缺陷明细!$G$2:$G$50000,$C26,缺陷明细!$J$2:$J$50000,"验收测试",缺陷明细!$AA$2:$AA$50000,"&lt;&gt;丢弃",缺陷明细!$AA$2:$AA$50000,"&lt;&gt;设计如此",缺陷明细!$AA$2:$AA$50000,"&lt;&gt;重复Bug")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A$2:$AA$50000,"&lt;&gt;丢弃",缺陷明细!$AA$2:$AA$50000,"&lt;&gt;设计如此",缺陷明细!$AA$2:$AA$50000,"&lt;&gt;重复Bug")+COUNTIFS(缺陷明细!$A$2:$A$50000,$B$4,缺陷明细!$G$2:$G$50000,$C26,缺陷明细!$J$2:$J$50000,"验收测试",缺陷明细!$K$2:$K$50000,"严重",缺陷明细!$AA$2:$AA$50000,"&lt;&gt;丢弃",缺陷明细!$AA$2:$AA$50000,"&lt;&gt;设计如此",缺陷明细!$AA$2:$AA$50000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COUNTIFS(缺陷明细!$A$2:$A$50000,$B$4,缺陷明细!$G$2:$G$50000,$C26,缺陷明细!$J$2:$J$50000,"运维测试",缺陷明细!$AA$2:$AA$50000,"&lt;&gt;丢弃",缺陷明细!$AA$2:$AA$50000,"&lt;&gt;设计如此",缺陷明细!$AA$2:$AA$50000,"&lt;&gt;重复Bug")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A$2:$AA$50000,"&lt;&gt;丢弃",缺陷明细!$AA$2:$AA$50000,"&lt;&gt;设计如此",缺陷明细!$AA$2:$AA$50000,"&lt;&gt;重复Bug")+COUNTIFS(缺陷明细!$A$2:$A$50000,$B$4,缺陷明细!$G$2:$G$50000,$C26,缺陷明细!$J$2:$J$50000,"运维测试",缺陷明细!$K$2:$K$50000,"严重",缺陷明细!$AA$2:$AA$50000,"&lt;&gt;丢弃",缺陷明细!$AA$2:$AA$50000,"&lt;&gt;设计如此",缺陷明细!$AA$2:$AA$50000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51"/>
    </row>
    <row r="27" spans="1:37">
      <c r="A27">
        <v>23</v>
      </c>
      <c r="B27" s="57"/>
      <c r="C27" s="58"/>
      <c r="D27" s="84"/>
      <c r="E27" s="82"/>
      <c r="F27" s="165"/>
      <c r="G27" s="166"/>
      <c r="H27" s="305">
        <f>COUNTIFS(缺陷明细!$A$2:$A$50000,$B$4,缺陷明细!$G$2:$G$50000,$C27,缺陷明细!$J$2:$J$50000,"评审",缺陷明细!$AA$2:$AA$50000,"&lt;&gt;丢弃",缺陷明细!$AA$2:$AA$50000,"&lt;&gt;设计如此",缺陷明细!$AA$2:$AA$50000,"&lt;&gt;重复Bug")</f>
        <v>0</v>
      </c>
      <c r="I27" s="161">
        <f>COUNTIFS(缺陷明细!$A$2:$A$50000,$B$4,缺陷明细!$G$2:$G$50000,$C27,缺陷明细!$Q$2:$Q$50000,"已关闭",缺陷明细!$J$2:$J$50000,"评审")</f>
        <v>0</v>
      </c>
      <c r="J27" s="161">
        <f>COUNTIFS(缺陷明细!$A$2:$A$50000,$B$4,缺陷明细!$G$2:$G$50000,$C27,缺陷明细!$J$2:$J$50000,"单元测试",缺陷明细!$AA$2:$AA$50000,"&lt;&gt;丢弃",缺陷明细!$AA$2:$AA$50000,"&lt;&gt;设计如此",缺陷明细!$AA$2:$AA$50000,"&lt;&gt;重复Bug")</f>
        <v>0</v>
      </c>
      <c r="K27" s="162">
        <f>COUNTIFS(缺陷明细!$A$2:$A$50000,$B$4,缺陷明细!$G$2:$G$50000,$C27,缺陷明细!$Q$2:$Q$50000,"已关闭",缺陷明细!$J$2:$J$50000,"单元测试")</f>
        <v>0</v>
      </c>
      <c r="L27" s="163"/>
      <c r="M27" s="164"/>
      <c r="N27" s="72">
        <f>COUNTIFS(缺陷明细!$A$2:$A$50000,$B$4,缺陷明细!$G$2:$G$50000,$C27,缺陷明细!$J$2:$J$50000,"系统测试案例评审",缺陷明细!$AA$2:$AA$50000,"&lt;&gt;丢弃",缺陷明细!$AA$2:$AA$50000,"&lt;&gt;设计如此",缺陷明细!$AA$2:$AA$50000,"&lt;&gt;重复Bug")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COUNTIFS(缺陷明细!$A$2:$A$50000,$B$4,缺陷明细!$G$2:$G$50000,$C27,缺陷明细!$J$2:$J$50000,"系统测试",缺陷明细!$AA$2:$AA$50000,"&lt;&gt;丢弃",缺陷明细!$AA$2:$AA$50000,"&lt;&gt;设计如此",缺陷明细!$AA$2:$AA$50000,"&lt;&gt;重复Bug")</f>
        <v>0</v>
      </c>
      <c r="Q27" s="72">
        <f>COUNTIFS(缺陷明细!$A$2:$A$50000,$B$4,缺陷明细!$G$2:$G$50000,$C27,缺陷明细!$Q$2:$Q$50000,"已关闭",缺陷明细!$J$2:$J$50000,"系统测试")</f>
        <v>0</v>
      </c>
      <c r="R27" s="72">
        <f>COUNTIFS(缺陷明细!$A$2:$A$50000,$B$4,缺陷明细!$G$2:$G$50000,$C27,缺陷明细!$AA$2:$AA$50000,"丢弃",缺陷明细!$J$2:$J$50000,"系统测试")+COUNTIFS(缺陷明细!$A$2:$A$50000,$B$4,缺陷明细!$G$2:$G$50000,$C27,缺陷明细!$AA$2:$AA$50000,"设计如此",缺陷明细!$J$2:$J$50000,"系统测试"+COUNTIFS(缺陷明细!$A$2:$A$50000,$B$4,缺陷明细!$G$2:$G$50000,$C27,缺陷明细!$AA$2:$AA$50000,"重复Bug",缺陷明细!$J$2:$J$50000,"系统测试"))</f>
        <v>0</v>
      </c>
      <c r="S27" s="72">
        <f>COUNTIFS(缺陷明细!$A$2:$A$50000,$B$4,缺陷明细!$G$2:$G$50000,$C27,缺陷明细!$J$2:$J$50000,"系统测试",缺陷明细!$K$2:$K$50000,"致命",缺陷明细!$AA$2:$AA$50000,"&lt;&gt;丢弃",缺陷明细!$AA$2:$AA$50000,"&lt;&gt;设计如此",缺陷明细!$AA$2:$AA$50000,"&lt;&gt;重复Bug")+COUNTIFS(缺陷明细!$A$2:$A$50000,$B$4,缺陷明细!$G$2:$G$50000,$C27,缺陷明细!$J$2:$J$50000,"系统测试",缺陷明细!$K$2:$K$50000,"严重",缺陷明细!$AA$2:$AA$50000,"&lt;&gt;丢弃",缺陷明细!$AA$2:$AA$50000,"&lt;&gt;设计如此",缺陷明细!$AA$2:$AA$50000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COUNTIFS(缺陷明细!$A$2:$A$50000,$B$4,缺陷明细!$G$2:$G$50000,$C27,缺陷明细!$J$2:$J$50000,"验收测试",缺陷明细!$AA$2:$AA$50000,"&lt;&gt;丢弃",缺陷明细!$AA$2:$AA$50000,"&lt;&gt;设计如此",缺陷明细!$AA$2:$AA$50000,"&lt;&gt;重复Bug")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A$2:$AA$50000,"&lt;&gt;丢弃",缺陷明细!$AA$2:$AA$50000,"&lt;&gt;设计如此",缺陷明细!$AA$2:$AA$50000,"&lt;&gt;重复Bug")+COUNTIFS(缺陷明细!$A$2:$A$50000,$B$4,缺陷明细!$G$2:$G$50000,$C27,缺陷明细!$J$2:$J$50000,"验收测试",缺陷明细!$K$2:$K$50000,"严重",缺陷明细!$AA$2:$AA$50000,"&lt;&gt;丢弃",缺陷明细!$AA$2:$AA$50000,"&lt;&gt;设计如此",缺陷明细!$AA$2:$AA$50000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COUNTIFS(缺陷明细!$A$2:$A$50000,$B$4,缺陷明细!$G$2:$G$50000,$C27,缺陷明细!$J$2:$J$50000,"运维测试",缺陷明细!$AA$2:$AA$50000,"&lt;&gt;丢弃",缺陷明细!$AA$2:$AA$50000,"&lt;&gt;设计如此",缺陷明细!$AA$2:$AA$50000,"&lt;&gt;重复Bug")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A$2:$AA$50000,"&lt;&gt;丢弃",缺陷明细!$AA$2:$AA$50000,"&lt;&gt;设计如此",缺陷明细!$AA$2:$AA$50000,"&lt;&gt;重复Bug")+COUNTIFS(缺陷明细!$A$2:$A$50000,$B$4,缺陷明细!$G$2:$G$50000,$C27,缺陷明细!$J$2:$J$50000,"运维测试",缺陷明细!$K$2:$K$50000,"严重",缺陷明细!$AA$2:$AA$50000,"&lt;&gt;丢弃",缺陷明细!$AA$2:$AA$50000,"&lt;&gt;设计如此",缺陷明细!$AA$2:$AA$50000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51"/>
    </row>
    <row r="28" spans="1:37">
      <c r="A28">
        <v>24</v>
      </c>
      <c r="B28" s="57"/>
      <c r="C28" s="58"/>
      <c r="D28" s="84"/>
      <c r="E28" s="82"/>
      <c r="F28" s="165"/>
      <c r="G28" s="166"/>
      <c r="H28" s="305">
        <f>COUNTIFS(缺陷明细!$A$2:$A$50000,$B$4,缺陷明细!$G$2:$G$50000,$C28,缺陷明细!$J$2:$J$50000,"评审",缺陷明细!$AA$2:$AA$50000,"&lt;&gt;丢弃",缺陷明细!$AA$2:$AA$50000,"&lt;&gt;设计如此",缺陷明细!$AA$2:$AA$50000,"&lt;&gt;重复Bug")</f>
        <v>0</v>
      </c>
      <c r="I28" s="161">
        <f>COUNTIFS(缺陷明细!$A$2:$A$50000,$B$4,缺陷明细!$G$2:$G$50000,$C28,缺陷明细!$Q$2:$Q$50000,"已关闭",缺陷明细!$J$2:$J$50000,"评审")</f>
        <v>0</v>
      </c>
      <c r="J28" s="161">
        <f>COUNTIFS(缺陷明细!$A$2:$A$50000,$B$4,缺陷明细!$G$2:$G$50000,$C28,缺陷明细!$J$2:$J$50000,"单元测试",缺陷明细!$AA$2:$AA$50000,"&lt;&gt;丢弃",缺陷明细!$AA$2:$AA$50000,"&lt;&gt;设计如此",缺陷明细!$AA$2:$AA$50000,"&lt;&gt;重复Bug")</f>
        <v>0</v>
      </c>
      <c r="K28" s="162">
        <f>COUNTIFS(缺陷明细!$A$2:$A$50000,$B$4,缺陷明细!$G$2:$G$50000,$C28,缺陷明细!$Q$2:$Q$50000,"已关闭",缺陷明细!$J$2:$J$50000,"单元测试")</f>
        <v>0</v>
      </c>
      <c r="L28" s="163"/>
      <c r="M28" s="164"/>
      <c r="N28" s="72">
        <f>COUNTIFS(缺陷明细!$A$2:$A$50000,$B$4,缺陷明细!$G$2:$G$50000,$C28,缺陷明细!$J$2:$J$50000,"系统测试案例评审",缺陷明细!$AA$2:$AA$50000,"&lt;&gt;丢弃",缺陷明细!$AA$2:$AA$50000,"&lt;&gt;设计如此",缺陷明细!$AA$2:$AA$50000,"&lt;&gt;重复Bug")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COUNTIFS(缺陷明细!$A$2:$A$50000,$B$4,缺陷明细!$G$2:$G$50000,$C28,缺陷明细!$J$2:$J$50000,"系统测试",缺陷明细!$AA$2:$AA$50000,"&lt;&gt;丢弃",缺陷明细!$AA$2:$AA$50000,"&lt;&gt;设计如此",缺陷明细!$AA$2:$AA$50000,"&lt;&gt;重复Bug")</f>
        <v>0</v>
      </c>
      <c r="Q28" s="72">
        <f>COUNTIFS(缺陷明细!$A$2:$A$50000,$B$4,缺陷明细!$G$2:$G$50000,$C28,缺陷明细!$Q$2:$Q$50000,"已关闭",缺陷明细!$J$2:$J$50000,"系统测试")</f>
        <v>0</v>
      </c>
      <c r="R28" s="72">
        <f>COUNTIFS(缺陷明细!$A$2:$A$50000,$B$4,缺陷明细!$G$2:$G$50000,$C28,缺陷明细!$AA$2:$AA$50000,"丢弃",缺陷明细!$J$2:$J$50000,"系统测试")+COUNTIFS(缺陷明细!$A$2:$A$50000,$B$4,缺陷明细!$G$2:$G$50000,$C28,缺陷明细!$AA$2:$AA$50000,"设计如此",缺陷明细!$J$2:$J$50000,"系统测试"+COUNTIFS(缺陷明细!$A$2:$A$50000,$B$4,缺陷明细!$G$2:$G$50000,$C28,缺陷明细!$AA$2:$AA$50000,"重复Bug",缺陷明细!$J$2:$J$50000,"系统测试"))</f>
        <v>0</v>
      </c>
      <c r="S28" s="72">
        <f>COUNTIFS(缺陷明细!$A$2:$A$50000,$B$4,缺陷明细!$G$2:$G$50000,$C28,缺陷明细!$J$2:$J$50000,"系统测试",缺陷明细!$K$2:$K$50000,"致命",缺陷明细!$AA$2:$AA$50000,"&lt;&gt;丢弃",缺陷明细!$AA$2:$AA$50000,"&lt;&gt;设计如此",缺陷明细!$AA$2:$AA$50000,"&lt;&gt;重复Bug")+COUNTIFS(缺陷明细!$A$2:$A$50000,$B$4,缺陷明细!$G$2:$G$50000,$C28,缺陷明细!$J$2:$J$50000,"系统测试",缺陷明细!$K$2:$K$50000,"严重",缺陷明细!$AA$2:$AA$50000,"&lt;&gt;丢弃",缺陷明细!$AA$2:$AA$50000,"&lt;&gt;设计如此",缺陷明细!$AA$2:$AA$50000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COUNTIFS(缺陷明细!$A$2:$A$50000,$B$4,缺陷明细!$G$2:$G$50000,$C28,缺陷明细!$J$2:$J$50000,"验收测试",缺陷明细!$AA$2:$AA$50000,"&lt;&gt;丢弃",缺陷明细!$AA$2:$AA$50000,"&lt;&gt;设计如此",缺陷明细!$AA$2:$AA$50000,"&lt;&gt;重复Bug")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A$2:$AA$50000,"&lt;&gt;丢弃",缺陷明细!$AA$2:$AA$50000,"&lt;&gt;设计如此",缺陷明细!$AA$2:$AA$50000,"&lt;&gt;重复Bug")+COUNTIFS(缺陷明细!$A$2:$A$50000,$B$4,缺陷明细!$G$2:$G$50000,$C28,缺陷明细!$J$2:$J$50000,"验收测试",缺陷明细!$K$2:$K$50000,"严重",缺陷明细!$AA$2:$AA$50000,"&lt;&gt;丢弃",缺陷明细!$AA$2:$AA$50000,"&lt;&gt;设计如此",缺陷明细!$AA$2:$AA$50000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COUNTIFS(缺陷明细!$A$2:$A$50000,$B$4,缺陷明细!$G$2:$G$50000,$C28,缺陷明细!$J$2:$J$50000,"运维测试",缺陷明细!$AA$2:$AA$50000,"&lt;&gt;丢弃",缺陷明细!$AA$2:$AA$50000,"&lt;&gt;设计如此",缺陷明细!$AA$2:$AA$50000,"&lt;&gt;重复Bug")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A$2:$AA$50000,"&lt;&gt;丢弃",缺陷明细!$AA$2:$AA$50000,"&lt;&gt;设计如此",缺陷明细!$AA$2:$AA$50000,"&lt;&gt;重复Bug")+COUNTIFS(缺陷明细!$A$2:$A$50000,$B$4,缺陷明细!$G$2:$G$50000,$C28,缺陷明细!$J$2:$J$50000,"运维测试",缺陷明细!$K$2:$K$50000,"严重",缺陷明细!$AA$2:$AA$50000,"&lt;&gt;丢弃",缺陷明细!$AA$2:$AA$50000,"&lt;&gt;设计如此",缺陷明细!$AA$2:$AA$50000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51"/>
    </row>
    <row r="29" spans="1:37">
      <c r="A29">
        <v>25</v>
      </c>
      <c r="B29" s="57"/>
      <c r="C29" s="58"/>
      <c r="D29" s="84"/>
      <c r="E29" s="82"/>
      <c r="F29" s="165"/>
      <c r="G29" s="166"/>
      <c r="H29" s="305">
        <f>COUNTIFS(缺陷明细!$A$2:$A$50000,$B$4,缺陷明细!$G$2:$G$50000,$C29,缺陷明细!$J$2:$J$50000,"评审",缺陷明细!$AA$2:$AA$50000,"&lt;&gt;丢弃",缺陷明细!$AA$2:$AA$50000,"&lt;&gt;设计如此",缺陷明细!$AA$2:$AA$50000,"&lt;&gt;重复Bug")</f>
        <v>0</v>
      </c>
      <c r="I29" s="161">
        <f>COUNTIFS(缺陷明细!$A$2:$A$50000,$B$4,缺陷明细!$G$2:$G$50000,$C29,缺陷明细!$Q$2:$Q$50000,"已关闭",缺陷明细!$J$2:$J$50000,"评审")</f>
        <v>0</v>
      </c>
      <c r="J29" s="161">
        <f>COUNTIFS(缺陷明细!$A$2:$A$50000,$B$4,缺陷明细!$G$2:$G$50000,$C29,缺陷明细!$J$2:$J$50000,"单元测试",缺陷明细!$AA$2:$AA$50000,"&lt;&gt;丢弃",缺陷明细!$AA$2:$AA$50000,"&lt;&gt;设计如此",缺陷明细!$AA$2:$AA$50000,"&lt;&gt;重复Bug")</f>
        <v>0</v>
      </c>
      <c r="K29" s="162">
        <f>COUNTIFS(缺陷明细!$A$2:$A$50000,$B$4,缺陷明细!$G$2:$G$50000,$C29,缺陷明细!$Q$2:$Q$50000,"已关闭",缺陷明细!$J$2:$J$50000,"单元测试")</f>
        <v>0</v>
      </c>
      <c r="L29" s="163"/>
      <c r="M29" s="164"/>
      <c r="N29" s="72">
        <f>COUNTIFS(缺陷明细!$A$2:$A$50000,$B$4,缺陷明细!$G$2:$G$50000,$C29,缺陷明细!$J$2:$J$50000,"系统测试案例评审",缺陷明细!$AA$2:$AA$50000,"&lt;&gt;丢弃",缺陷明细!$AA$2:$AA$50000,"&lt;&gt;设计如此",缺陷明细!$AA$2:$AA$50000,"&lt;&gt;重复Bug")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COUNTIFS(缺陷明细!$A$2:$A$50000,$B$4,缺陷明细!$G$2:$G$50000,$C29,缺陷明细!$J$2:$J$50000,"系统测试",缺陷明细!$AA$2:$AA$50000,"&lt;&gt;丢弃",缺陷明细!$AA$2:$AA$50000,"&lt;&gt;设计如此",缺陷明细!$AA$2:$AA$50000,"&lt;&gt;重复Bug")</f>
        <v>0</v>
      </c>
      <c r="Q29" s="72">
        <f>COUNTIFS(缺陷明细!$A$2:$A$50000,$B$4,缺陷明细!$G$2:$G$50000,$C29,缺陷明细!$Q$2:$Q$50000,"已关闭",缺陷明细!$J$2:$J$50000,"系统测试")</f>
        <v>0</v>
      </c>
      <c r="R29" s="72">
        <f>COUNTIFS(缺陷明细!$A$2:$A$50000,$B$4,缺陷明细!$G$2:$G$50000,$C29,缺陷明细!$AA$2:$AA$50000,"丢弃",缺陷明细!$J$2:$J$50000,"系统测试")+COUNTIFS(缺陷明细!$A$2:$A$50000,$B$4,缺陷明细!$G$2:$G$50000,$C29,缺陷明细!$AA$2:$AA$50000,"设计如此",缺陷明细!$J$2:$J$50000,"系统测试"+COUNTIFS(缺陷明细!$A$2:$A$50000,$B$4,缺陷明细!$G$2:$G$50000,$C29,缺陷明细!$AA$2:$AA$50000,"重复Bug",缺陷明细!$J$2:$J$50000,"系统测试"))</f>
        <v>0</v>
      </c>
      <c r="S29" s="72">
        <f>COUNTIFS(缺陷明细!$A$2:$A$50000,$B$4,缺陷明细!$G$2:$G$50000,$C29,缺陷明细!$J$2:$J$50000,"系统测试",缺陷明细!$K$2:$K$50000,"致命",缺陷明细!$AA$2:$AA$50000,"&lt;&gt;丢弃",缺陷明细!$AA$2:$AA$50000,"&lt;&gt;设计如此",缺陷明细!$AA$2:$AA$50000,"&lt;&gt;重复Bug")+COUNTIFS(缺陷明细!$A$2:$A$50000,$B$4,缺陷明细!$G$2:$G$50000,$C29,缺陷明细!$J$2:$J$50000,"系统测试",缺陷明细!$K$2:$K$50000,"严重",缺陷明细!$AA$2:$AA$50000,"&lt;&gt;丢弃",缺陷明细!$AA$2:$AA$50000,"&lt;&gt;设计如此",缺陷明细!$AA$2:$AA$50000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COUNTIFS(缺陷明细!$A$2:$A$50000,$B$4,缺陷明细!$G$2:$G$50000,$C29,缺陷明细!$J$2:$J$50000,"验收测试",缺陷明细!$AA$2:$AA$50000,"&lt;&gt;丢弃",缺陷明细!$AA$2:$AA$50000,"&lt;&gt;设计如此",缺陷明细!$AA$2:$AA$50000,"&lt;&gt;重复Bug")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A$2:$AA$50000,"&lt;&gt;丢弃",缺陷明细!$AA$2:$AA$50000,"&lt;&gt;设计如此",缺陷明细!$AA$2:$AA$50000,"&lt;&gt;重复Bug")+COUNTIFS(缺陷明细!$A$2:$A$50000,$B$4,缺陷明细!$G$2:$G$50000,$C29,缺陷明细!$J$2:$J$50000,"验收测试",缺陷明细!$K$2:$K$50000,"严重",缺陷明细!$AA$2:$AA$50000,"&lt;&gt;丢弃",缺陷明细!$AA$2:$AA$50000,"&lt;&gt;设计如此",缺陷明细!$AA$2:$AA$50000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COUNTIFS(缺陷明细!$A$2:$A$50000,$B$4,缺陷明细!$G$2:$G$50000,$C29,缺陷明细!$J$2:$J$50000,"运维测试",缺陷明细!$AA$2:$AA$50000,"&lt;&gt;丢弃",缺陷明细!$AA$2:$AA$50000,"&lt;&gt;设计如此",缺陷明细!$AA$2:$AA$50000,"&lt;&gt;重复Bug")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A$2:$AA$50000,"&lt;&gt;丢弃",缺陷明细!$AA$2:$AA$50000,"&lt;&gt;设计如此",缺陷明细!$AA$2:$AA$50000,"&lt;&gt;重复Bug")+COUNTIFS(缺陷明细!$A$2:$A$50000,$B$4,缺陷明细!$G$2:$G$50000,$C29,缺陷明细!$J$2:$J$50000,"运维测试",缺陷明细!$K$2:$K$50000,"严重",缺陷明细!$AA$2:$AA$50000,"&lt;&gt;丢弃",缺陷明细!$AA$2:$AA$50000,"&lt;&gt;设计如此",缺陷明细!$AA$2:$AA$50000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51"/>
    </row>
    <row r="30" spans="1:37">
      <c r="A30">
        <v>26</v>
      </c>
      <c r="B30" s="57"/>
      <c r="C30" s="58"/>
      <c r="D30" s="84"/>
      <c r="E30" s="82"/>
      <c r="F30" s="165"/>
      <c r="G30" s="166"/>
      <c r="H30" s="305">
        <f>COUNTIFS(缺陷明细!$A$2:$A$50000,$B$4,缺陷明细!$G$2:$G$50000,$C30,缺陷明细!$J$2:$J$50000,"评审",缺陷明细!$AA$2:$AA$50000,"&lt;&gt;丢弃",缺陷明细!$AA$2:$AA$50000,"&lt;&gt;设计如此",缺陷明细!$AA$2:$AA$50000,"&lt;&gt;重复Bug")</f>
        <v>0</v>
      </c>
      <c r="I30" s="161">
        <f>COUNTIFS(缺陷明细!$A$2:$A$50000,$B$4,缺陷明细!$G$2:$G$50000,$C30,缺陷明细!$Q$2:$Q$50000,"已关闭",缺陷明细!$J$2:$J$50000,"评审")</f>
        <v>0</v>
      </c>
      <c r="J30" s="161">
        <f>COUNTIFS(缺陷明细!$A$2:$A$50000,$B$4,缺陷明细!$G$2:$G$50000,$C30,缺陷明细!$J$2:$J$50000,"单元测试",缺陷明细!$AA$2:$AA$50000,"&lt;&gt;丢弃",缺陷明细!$AA$2:$AA$50000,"&lt;&gt;设计如此",缺陷明细!$AA$2:$AA$50000,"&lt;&gt;重复Bug")</f>
        <v>0</v>
      </c>
      <c r="K30" s="162">
        <f>COUNTIFS(缺陷明细!$A$2:$A$50000,$B$4,缺陷明细!$G$2:$G$50000,$C30,缺陷明细!$Q$2:$Q$50000,"已关闭",缺陷明细!$J$2:$J$50000,"单元测试")</f>
        <v>0</v>
      </c>
      <c r="L30" s="163"/>
      <c r="M30" s="164"/>
      <c r="N30" s="72">
        <f>COUNTIFS(缺陷明细!$A$2:$A$50000,$B$4,缺陷明细!$G$2:$G$50000,$C30,缺陷明细!$J$2:$J$50000,"系统测试案例评审",缺陷明细!$AA$2:$AA$50000,"&lt;&gt;丢弃",缺陷明细!$AA$2:$AA$50000,"&lt;&gt;设计如此",缺陷明细!$AA$2:$AA$50000,"&lt;&gt;重复Bug")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COUNTIFS(缺陷明细!$A$2:$A$50000,$B$4,缺陷明细!$G$2:$G$50000,$C30,缺陷明细!$J$2:$J$50000,"系统测试",缺陷明细!$AA$2:$AA$50000,"&lt;&gt;丢弃",缺陷明细!$AA$2:$AA$50000,"&lt;&gt;设计如此",缺陷明细!$AA$2:$AA$50000,"&lt;&gt;重复Bug")</f>
        <v>0</v>
      </c>
      <c r="Q30" s="72">
        <f>COUNTIFS(缺陷明细!$A$2:$A$50000,$B$4,缺陷明细!$G$2:$G$50000,$C30,缺陷明细!$Q$2:$Q$50000,"已关闭",缺陷明细!$J$2:$J$50000,"系统测试")</f>
        <v>0</v>
      </c>
      <c r="R30" s="72">
        <f>COUNTIFS(缺陷明细!$A$2:$A$50000,$B$4,缺陷明细!$G$2:$G$50000,$C30,缺陷明细!$AA$2:$AA$50000,"丢弃",缺陷明细!$J$2:$J$50000,"系统测试")+COUNTIFS(缺陷明细!$A$2:$A$50000,$B$4,缺陷明细!$G$2:$G$50000,$C30,缺陷明细!$AA$2:$AA$50000,"设计如此",缺陷明细!$J$2:$J$50000,"系统测试"+COUNTIFS(缺陷明细!$A$2:$A$50000,$B$4,缺陷明细!$G$2:$G$50000,$C30,缺陷明细!$AA$2:$AA$50000,"重复Bug",缺陷明细!$J$2:$J$50000,"系统测试"))</f>
        <v>0</v>
      </c>
      <c r="S30" s="72">
        <f>COUNTIFS(缺陷明细!$A$2:$A$50000,$B$4,缺陷明细!$G$2:$G$50000,$C30,缺陷明细!$J$2:$J$50000,"系统测试",缺陷明细!$K$2:$K$50000,"致命",缺陷明细!$AA$2:$AA$50000,"&lt;&gt;丢弃",缺陷明细!$AA$2:$AA$50000,"&lt;&gt;设计如此",缺陷明细!$AA$2:$AA$50000,"&lt;&gt;重复Bug")+COUNTIFS(缺陷明细!$A$2:$A$50000,$B$4,缺陷明细!$G$2:$G$50000,$C30,缺陷明细!$J$2:$J$50000,"系统测试",缺陷明细!$K$2:$K$50000,"严重",缺陷明细!$AA$2:$AA$50000,"&lt;&gt;丢弃",缺陷明细!$AA$2:$AA$50000,"&lt;&gt;设计如此",缺陷明细!$AA$2:$AA$50000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COUNTIFS(缺陷明细!$A$2:$A$50000,$B$4,缺陷明细!$G$2:$G$50000,$C30,缺陷明细!$J$2:$J$50000,"验收测试",缺陷明细!$AA$2:$AA$50000,"&lt;&gt;丢弃",缺陷明细!$AA$2:$AA$50000,"&lt;&gt;设计如此",缺陷明细!$AA$2:$AA$50000,"&lt;&gt;重复Bug")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A$2:$AA$50000,"&lt;&gt;丢弃",缺陷明细!$AA$2:$AA$50000,"&lt;&gt;设计如此",缺陷明细!$AA$2:$AA$50000,"&lt;&gt;重复Bug")+COUNTIFS(缺陷明细!$A$2:$A$50000,$B$4,缺陷明细!$G$2:$G$50000,$C30,缺陷明细!$J$2:$J$50000,"验收测试",缺陷明细!$K$2:$K$50000,"严重",缺陷明细!$AA$2:$AA$50000,"&lt;&gt;丢弃",缺陷明细!$AA$2:$AA$50000,"&lt;&gt;设计如此",缺陷明细!$AA$2:$AA$50000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COUNTIFS(缺陷明细!$A$2:$A$50000,$B$4,缺陷明细!$G$2:$G$50000,$C30,缺陷明细!$J$2:$J$50000,"运维测试",缺陷明细!$AA$2:$AA$50000,"&lt;&gt;丢弃",缺陷明细!$AA$2:$AA$50000,"&lt;&gt;设计如此",缺陷明细!$AA$2:$AA$50000,"&lt;&gt;重复Bug")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A$2:$AA$50000,"&lt;&gt;丢弃",缺陷明细!$AA$2:$AA$50000,"&lt;&gt;设计如此",缺陷明细!$AA$2:$AA$50000,"&lt;&gt;重复Bug")+COUNTIFS(缺陷明细!$A$2:$A$50000,$B$4,缺陷明细!$G$2:$G$50000,$C30,缺陷明细!$J$2:$J$50000,"运维测试",缺陷明细!$K$2:$K$50000,"严重",缺陷明细!$AA$2:$AA$50000,"&lt;&gt;丢弃",缺陷明细!$AA$2:$AA$50000,"&lt;&gt;设计如此",缺陷明细!$AA$2:$AA$50000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51"/>
    </row>
    <row r="31" spans="1:37">
      <c r="A31">
        <v>27</v>
      </c>
      <c r="B31" s="57"/>
      <c r="C31" s="58"/>
      <c r="D31" s="84"/>
      <c r="E31" s="82"/>
      <c r="F31" s="165"/>
      <c r="G31" s="166"/>
      <c r="H31" s="305">
        <f>COUNTIFS(缺陷明细!$A$2:$A$50000,$B$4,缺陷明细!$G$2:$G$50000,$C31,缺陷明细!$J$2:$J$50000,"评审",缺陷明细!$AA$2:$AA$50000,"&lt;&gt;丢弃",缺陷明细!$AA$2:$AA$50000,"&lt;&gt;设计如此",缺陷明细!$AA$2:$AA$50000,"&lt;&gt;重复Bug")</f>
        <v>0</v>
      </c>
      <c r="I31" s="161">
        <f>COUNTIFS(缺陷明细!$A$2:$A$50000,$B$4,缺陷明细!$G$2:$G$50000,$C31,缺陷明细!$Q$2:$Q$50000,"已关闭",缺陷明细!$J$2:$J$50000,"评审")</f>
        <v>0</v>
      </c>
      <c r="J31" s="161">
        <f>COUNTIFS(缺陷明细!$A$2:$A$50000,$B$4,缺陷明细!$G$2:$G$50000,$C31,缺陷明细!$J$2:$J$50000,"单元测试",缺陷明细!$AA$2:$AA$50000,"&lt;&gt;丢弃",缺陷明细!$AA$2:$AA$50000,"&lt;&gt;设计如此",缺陷明细!$AA$2:$AA$50000,"&lt;&gt;重复Bug")</f>
        <v>0</v>
      </c>
      <c r="K31" s="162">
        <f>COUNTIFS(缺陷明细!$A$2:$A$50000,$B$4,缺陷明细!$G$2:$G$50000,$C31,缺陷明细!$Q$2:$Q$50000,"已关闭",缺陷明细!$J$2:$J$50000,"单元测试")</f>
        <v>0</v>
      </c>
      <c r="L31" s="163"/>
      <c r="M31" s="164"/>
      <c r="N31" s="72">
        <f>COUNTIFS(缺陷明细!$A$2:$A$50000,$B$4,缺陷明细!$G$2:$G$50000,$C31,缺陷明细!$J$2:$J$50000,"系统测试案例评审",缺陷明细!$AA$2:$AA$50000,"&lt;&gt;丢弃",缺陷明细!$AA$2:$AA$50000,"&lt;&gt;设计如此",缺陷明细!$AA$2:$AA$50000,"&lt;&gt;重复Bug")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COUNTIFS(缺陷明细!$A$2:$A$50000,$B$4,缺陷明细!$G$2:$G$50000,$C31,缺陷明细!$J$2:$J$50000,"系统测试",缺陷明细!$AA$2:$AA$50000,"&lt;&gt;丢弃",缺陷明细!$AA$2:$AA$50000,"&lt;&gt;设计如此",缺陷明细!$AA$2:$AA$50000,"&lt;&gt;重复Bug")</f>
        <v>0</v>
      </c>
      <c r="Q31" s="72">
        <f>COUNTIFS(缺陷明细!$A$2:$A$50000,$B$4,缺陷明细!$G$2:$G$50000,$C31,缺陷明细!$Q$2:$Q$50000,"已关闭",缺陷明细!$J$2:$J$50000,"系统测试")</f>
        <v>0</v>
      </c>
      <c r="R31" s="72">
        <f>COUNTIFS(缺陷明细!$A$2:$A$50000,$B$4,缺陷明细!$G$2:$G$50000,$C31,缺陷明细!$AA$2:$AA$50000,"丢弃",缺陷明细!$J$2:$J$50000,"系统测试")+COUNTIFS(缺陷明细!$A$2:$A$50000,$B$4,缺陷明细!$G$2:$G$50000,$C31,缺陷明细!$AA$2:$AA$50000,"设计如此",缺陷明细!$J$2:$J$50000,"系统测试"+COUNTIFS(缺陷明细!$A$2:$A$50000,$B$4,缺陷明细!$G$2:$G$50000,$C31,缺陷明细!$AA$2:$AA$50000,"重复Bug",缺陷明细!$J$2:$J$50000,"系统测试"))</f>
        <v>0</v>
      </c>
      <c r="S31" s="72">
        <f>COUNTIFS(缺陷明细!$A$2:$A$50000,$B$4,缺陷明细!$G$2:$G$50000,$C31,缺陷明细!$J$2:$J$50000,"系统测试",缺陷明细!$K$2:$K$50000,"致命",缺陷明细!$AA$2:$AA$50000,"&lt;&gt;丢弃",缺陷明细!$AA$2:$AA$50000,"&lt;&gt;设计如此",缺陷明细!$AA$2:$AA$50000,"&lt;&gt;重复Bug")+COUNTIFS(缺陷明细!$A$2:$A$50000,$B$4,缺陷明细!$G$2:$G$50000,$C31,缺陷明细!$J$2:$J$50000,"系统测试",缺陷明细!$K$2:$K$50000,"严重",缺陷明细!$AA$2:$AA$50000,"&lt;&gt;丢弃",缺陷明细!$AA$2:$AA$50000,"&lt;&gt;设计如此",缺陷明细!$AA$2:$AA$50000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COUNTIFS(缺陷明细!$A$2:$A$50000,$B$4,缺陷明细!$G$2:$G$50000,$C31,缺陷明细!$J$2:$J$50000,"验收测试",缺陷明细!$AA$2:$AA$50000,"&lt;&gt;丢弃",缺陷明细!$AA$2:$AA$50000,"&lt;&gt;设计如此",缺陷明细!$AA$2:$AA$50000,"&lt;&gt;重复Bug")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A$2:$AA$50000,"&lt;&gt;丢弃",缺陷明细!$AA$2:$AA$50000,"&lt;&gt;设计如此",缺陷明细!$AA$2:$AA$50000,"&lt;&gt;重复Bug")+COUNTIFS(缺陷明细!$A$2:$A$50000,$B$4,缺陷明细!$G$2:$G$50000,$C31,缺陷明细!$J$2:$J$50000,"验收测试",缺陷明细!$K$2:$K$50000,"严重",缺陷明细!$AA$2:$AA$50000,"&lt;&gt;丢弃",缺陷明细!$AA$2:$AA$50000,"&lt;&gt;设计如此",缺陷明细!$AA$2:$AA$50000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COUNTIFS(缺陷明细!$A$2:$A$50000,$B$4,缺陷明细!$G$2:$G$50000,$C31,缺陷明细!$J$2:$J$50000,"运维测试",缺陷明细!$AA$2:$AA$50000,"&lt;&gt;丢弃",缺陷明细!$AA$2:$AA$50000,"&lt;&gt;设计如此",缺陷明细!$AA$2:$AA$50000,"&lt;&gt;重复Bug")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A$2:$AA$50000,"&lt;&gt;丢弃",缺陷明细!$AA$2:$AA$50000,"&lt;&gt;设计如此",缺陷明细!$AA$2:$AA$50000,"&lt;&gt;重复Bug")+COUNTIFS(缺陷明细!$A$2:$A$50000,$B$4,缺陷明细!$G$2:$G$50000,$C31,缺陷明细!$J$2:$J$50000,"运维测试",缺陷明细!$K$2:$K$50000,"严重",缺陷明细!$AA$2:$AA$50000,"&lt;&gt;丢弃",缺陷明细!$AA$2:$AA$50000,"&lt;&gt;设计如此",缺陷明细!$AA$2:$AA$50000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51"/>
    </row>
    <row r="32" spans="1:37">
      <c r="A32">
        <v>28</v>
      </c>
      <c r="B32" s="57"/>
      <c r="C32" s="58"/>
      <c r="D32" s="84"/>
      <c r="E32" s="82"/>
      <c r="F32" s="165"/>
      <c r="G32" s="166"/>
      <c r="H32" s="305">
        <f>COUNTIFS(缺陷明细!$A$2:$A$50000,$B$4,缺陷明细!$G$2:$G$50000,$C32,缺陷明细!$J$2:$J$50000,"评审",缺陷明细!$AA$2:$AA$50000,"&lt;&gt;丢弃",缺陷明细!$AA$2:$AA$50000,"&lt;&gt;设计如此",缺陷明细!$AA$2:$AA$50000,"&lt;&gt;重复Bug")</f>
        <v>0</v>
      </c>
      <c r="I32" s="161">
        <f>COUNTIFS(缺陷明细!$A$2:$A$50000,$B$4,缺陷明细!$G$2:$G$50000,$C32,缺陷明细!$Q$2:$Q$50000,"已关闭",缺陷明细!$J$2:$J$50000,"评审")</f>
        <v>0</v>
      </c>
      <c r="J32" s="161">
        <f>COUNTIFS(缺陷明细!$A$2:$A$50000,$B$4,缺陷明细!$G$2:$G$50000,$C32,缺陷明细!$J$2:$J$50000,"单元测试",缺陷明细!$AA$2:$AA$50000,"&lt;&gt;丢弃",缺陷明细!$AA$2:$AA$50000,"&lt;&gt;设计如此",缺陷明细!$AA$2:$AA$50000,"&lt;&gt;重复Bug")</f>
        <v>0</v>
      </c>
      <c r="K32" s="162">
        <f>COUNTIFS(缺陷明细!$A$2:$A$50000,$B$4,缺陷明细!$G$2:$G$50000,$C32,缺陷明细!$Q$2:$Q$50000,"已关闭",缺陷明细!$J$2:$J$50000,"单元测试")</f>
        <v>0</v>
      </c>
      <c r="L32" s="163"/>
      <c r="M32" s="164"/>
      <c r="N32" s="72">
        <f>COUNTIFS(缺陷明细!$A$2:$A$50000,$B$4,缺陷明细!$G$2:$G$50000,$C32,缺陷明细!$J$2:$J$50000,"系统测试案例评审",缺陷明细!$AA$2:$AA$50000,"&lt;&gt;丢弃",缺陷明细!$AA$2:$AA$50000,"&lt;&gt;设计如此",缺陷明细!$AA$2:$AA$50000,"&lt;&gt;重复Bug")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COUNTIFS(缺陷明细!$A$2:$A$50000,$B$4,缺陷明细!$G$2:$G$50000,$C32,缺陷明细!$J$2:$J$50000,"系统测试",缺陷明细!$AA$2:$AA$50000,"&lt;&gt;丢弃",缺陷明细!$AA$2:$AA$50000,"&lt;&gt;设计如此",缺陷明细!$AA$2:$AA$50000,"&lt;&gt;重复Bug")</f>
        <v>0</v>
      </c>
      <c r="Q32" s="72">
        <f>COUNTIFS(缺陷明细!$A$2:$A$50000,$B$4,缺陷明细!$G$2:$G$50000,$C32,缺陷明细!$Q$2:$Q$50000,"已关闭",缺陷明细!$J$2:$J$50000,"系统测试")</f>
        <v>0</v>
      </c>
      <c r="R32" s="72">
        <f>COUNTIFS(缺陷明细!$A$2:$A$50000,$B$4,缺陷明细!$G$2:$G$50000,$C32,缺陷明细!$AA$2:$AA$50000,"丢弃",缺陷明细!$J$2:$J$50000,"系统测试")+COUNTIFS(缺陷明细!$A$2:$A$50000,$B$4,缺陷明细!$G$2:$G$50000,$C32,缺陷明细!$AA$2:$AA$50000,"设计如此",缺陷明细!$J$2:$J$50000,"系统测试"+COUNTIFS(缺陷明细!$A$2:$A$50000,$B$4,缺陷明细!$G$2:$G$50000,$C32,缺陷明细!$AA$2:$AA$50000,"重复Bug",缺陷明细!$J$2:$J$50000,"系统测试"))</f>
        <v>0</v>
      </c>
      <c r="S32" s="72">
        <f>COUNTIFS(缺陷明细!$A$2:$A$50000,$B$4,缺陷明细!$G$2:$G$50000,$C32,缺陷明细!$J$2:$J$50000,"系统测试",缺陷明细!$K$2:$K$50000,"致命",缺陷明细!$AA$2:$AA$50000,"&lt;&gt;丢弃",缺陷明细!$AA$2:$AA$50000,"&lt;&gt;设计如此",缺陷明细!$AA$2:$AA$50000,"&lt;&gt;重复Bug")+COUNTIFS(缺陷明细!$A$2:$A$50000,$B$4,缺陷明细!$G$2:$G$50000,$C32,缺陷明细!$J$2:$J$50000,"系统测试",缺陷明细!$K$2:$K$50000,"严重",缺陷明细!$AA$2:$AA$50000,"&lt;&gt;丢弃",缺陷明细!$AA$2:$AA$50000,"&lt;&gt;设计如此",缺陷明细!$AA$2:$AA$50000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COUNTIFS(缺陷明细!$A$2:$A$50000,$B$4,缺陷明细!$G$2:$G$50000,$C32,缺陷明细!$J$2:$J$50000,"验收测试",缺陷明细!$AA$2:$AA$50000,"&lt;&gt;丢弃",缺陷明细!$AA$2:$AA$50000,"&lt;&gt;设计如此",缺陷明细!$AA$2:$AA$50000,"&lt;&gt;重复Bug")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A$2:$AA$50000,"&lt;&gt;丢弃",缺陷明细!$AA$2:$AA$50000,"&lt;&gt;设计如此",缺陷明细!$AA$2:$AA$50000,"&lt;&gt;重复Bug")+COUNTIFS(缺陷明细!$A$2:$A$50000,$B$4,缺陷明细!$G$2:$G$50000,$C32,缺陷明细!$J$2:$J$50000,"验收测试",缺陷明细!$K$2:$K$50000,"严重",缺陷明细!$AA$2:$AA$50000,"&lt;&gt;丢弃",缺陷明细!$AA$2:$AA$50000,"&lt;&gt;设计如此",缺陷明细!$AA$2:$AA$50000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COUNTIFS(缺陷明细!$A$2:$A$50000,$B$4,缺陷明细!$G$2:$G$50000,$C32,缺陷明细!$J$2:$J$50000,"运维测试",缺陷明细!$AA$2:$AA$50000,"&lt;&gt;丢弃",缺陷明细!$AA$2:$AA$50000,"&lt;&gt;设计如此",缺陷明细!$AA$2:$AA$50000,"&lt;&gt;重复Bug")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A$2:$AA$50000,"&lt;&gt;丢弃",缺陷明细!$AA$2:$AA$50000,"&lt;&gt;设计如此",缺陷明细!$AA$2:$AA$50000,"&lt;&gt;重复Bug")+COUNTIFS(缺陷明细!$A$2:$A$50000,$B$4,缺陷明细!$G$2:$G$50000,$C32,缺陷明细!$J$2:$J$50000,"运维测试",缺陷明细!$K$2:$K$50000,"严重",缺陷明细!$AA$2:$AA$50000,"&lt;&gt;丢弃",缺陷明细!$AA$2:$AA$50000,"&lt;&gt;设计如此",缺陷明细!$AA$2:$AA$50000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51"/>
    </row>
    <row r="33" spans="1:37">
      <c r="A33">
        <v>29</v>
      </c>
      <c r="B33" s="57"/>
      <c r="C33" s="58"/>
      <c r="D33" s="84"/>
      <c r="E33" s="82"/>
      <c r="F33" s="165"/>
      <c r="G33" s="166"/>
      <c r="H33" s="305">
        <f>COUNTIFS(缺陷明细!$A$2:$A$50000,$B$4,缺陷明细!$G$2:$G$50000,$C33,缺陷明细!$J$2:$J$50000,"评审",缺陷明细!$AA$2:$AA$50000,"&lt;&gt;丢弃",缺陷明细!$AA$2:$AA$50000,"&lt;&gt;设计如此",缺陷明细!$AA$2:$AA$50000,"&lt;&gt;重复Bug")</f>
        <v>0</v>
      </c>
      <c r="I33" s="161">
        <f>COUNTIFS(缺陷明细!$A$2:$A$50000,$B$4,缺陷明细!$G$2:$G$50000,$C33,缺陷明细!$Q$2:$Q$50000,"已关闭",缺陷明细!$J$2:$J$50000,"评审")</f>
        <v>0</v>
      </c>
      <c r="J33" s="161">
        <f>COUNTIFS(缺陷明细!$A$2:$A$50000,$B$4,缺陷明细!$G$2:$G$50000,$C33,缺陷明细!$J$2:$J$50000,"单元测试",缺陷明细!$AA$2:$AA$50000,"&lt;&gt;丢弃",缺陷明细!$AA$2:$AA$50000,"&lt;&gt;设计如此",缺陷明细!$AA$2:$AA$50000,"&lt;&gt;重复Bug")</f>
        <v>0</v>
      </c>
      <c r="K33" s="162">
        <f>COUNTIFS(缺陷明细!$A$2:$A$50000,$B$4,缺陷明细!$G$2:$G$50000,$C33,缺陷明细!$Q$2:$Q$50000,"已关闭",缺陷明细!$J$2:$J$50000,"单元测试")</f>
        <v>0</v>
      </c>
      <c r="L33" s="163"/>
      <c r="M33" s="164"/>
      <c r="N33" s="72">
        <f>COUNTIFS(缺陷明细!$A$2:$A$50000,$B$4,缺陷明细!$G$2:$G$50000,$C33,缺陷明细!$J$2:$J$50000,"系统测试案例评审",缺陷明细!$AA$2:$AA$50000,"&lt;&gt;丢弃",缺陷明细!$AA$2:$AA$50000,"&lt;&gt;设计如此",缺陷明细!$AA$2:$AA$50000,"&lt;&gt;重复Bug")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COUNTIFS(缺陷明细!$A$2:$A$50000,$B$4,缺陷明细!$G$2:$G$50000,$C33,缺陷明细!$J$2:$J$50000,"系统测试",缺陷明细!$AA$2:$AA$50000,"&lt;&gt;丢弃",缺陷明细!$AA$2:$AA$50000,"&lt;&gt;设计如此",缺陷明细!$AA$2:$AA$50000,"&lt;&gt;重复Bug")</f>
        <v>0</v>
      </c>
      <c r="Q33" s="72">
        <f>COUNTIFS(缺陷明细!$A$2:$A$50000,$B$4,缺陷明细!$G$2:$G$50000,$C33,缺陷明细!$Q$2:$Q$50000,"已关闭",缺陷明细!$J$2:$J$50000,"系统测试")</f>
        <v>0</v>
      </c>
      <c r="R33" s="72">
        <f>COUNTIFS(缺陷明细!$A$2:$A$50000,$B$4,缺陷明细!$G$2:$G$50000,$C33,缺陷明细!$AA$2:$AA$50000,"丢弃",缺陷明细!$J$2:$J$50000,"系统测试")+COUNTIFS(缺陷明细!$A$2:$A$50000,$B$4,缺陷明细!$G$2:$G$50000,$C33,缺陷明细!$AA$2:$AA$50000,"设计如此",缺陷明细!$J$2:$J$50000,"系统测试"+COUNTIFS(缺陷明细!$A$2:$A$50000,$B$4,缺陷明细!$G$2:$G$50000,$C33,缺陷明细!$AA$2:$AA$50000,"重复Bug",缺陷明细!$J$2:$J$50000,"系统测试"))</f>
        <v>0</v>
      </c>
      <c r="S33" s="72">
        <f>COUNTIFS(缺陷明细!$A$2:$A$50000,$B$4,缺陷明细!$G$2:$G$50000,$C33,缺陷明细!$J$2:$J$50000,"系统测试",缺陷明细!$K$2:$K$50000,"致命",缺陷明细!$AA$2:$AA$50000,"&lt;&gt;丢弃",缺陷明细!$AA$2:$AA$50000,"&lt;&gt;设计如此",缺陷明细!$AA$2:$AA$50000,"&lt;&gt;重复Bug")+COUNTIFS(缺陷明细!$A$2:$A$50000,$B$4,缺陷明细!$G$2:$G$50000,$C33,缺陷明细!$J$2:$J$50000,"系统测试",缺陷明细!$K$2:$K$50000,"严重",缺陷明细!$AA$2:$AA$50000,"&lt;&gt;丢弃",缺陷明细!$AA$2:$AA$50000,"&lt;&gt;设计如此",缺陷明细!$AA$2:$AA$50000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COUNTIFS(缺陷明细!$A$2:$A$50000,$B$4,缺陷明细!$G$2:$G$50000,$C33,缺陷明细!$J$2:$J$50000,"验收测试",缺陷明细!$AA$2:$AA$50000,"&lt;&gt;丢弃",缺陷明细!$AA$2:$AA$50000,"&lt;&gt;设计如此",缺陷明细!$AA$2:$AA$50000,"&lt;&gt;重复Bug")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A$2:$AA$50000,"&lt;&gt;丢弃",缺陷明细!$AA$2:$AA$50000,"&lt;&gt;设计如此",缺陷明细!$AA$2:$AA$50000,"&lt;&gt;重复Bug")+COUNTIFS(缺陷明细!$A$2:$A$50000,$B$4,缺陷明细!$G$2:$G$50000,$C33,缺陷明细!$J$2:$J$50000,"验收测试",缺陷明细!$K$2:$K$50000,"严重",缺陷明细!$AA$2:$AA$50000,"&lt;&gt;丢弃",缺陷明细!$AA$2:$AA$50000,"&lt;&gt;设计如此",缺陷明细!$AA$2:$AA$50000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COUNTIFS(缺陷明细!$A$2:$A$50000,$B$4,缺陷明细!$G$2:$G$50000,$C33,缺陷明细!$J$2:$J$50000,"运维测试",缺陷明细!$AA$2:$AA$50000,"&lt;&gt;丢弃",缺陷明细!$AA$2:$AA$50000,"&lt;&gt;设计如此",缺陷明细!$AA$2:$AA$50000,"&lt;&gt;重复Bug")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A$2:$AA$50000,"&lt;&gt;丢弃",缺陷明细!$AA$2:$AA$50000,"&lt;&gt;设计如此",缺陷明细!$AA$2:$AA$50000,"&lt;&gt;重复Bug")+COUNTIFS(缺陷明细!$A$2:$A$50000,$B$4,缺陷明细!$G$2:$G$50000,$C33,缺陷明细!$J$2:$J$50000,"运维测试",缺陷明细!$K$2:$K$50000,"严重",缺陷明细!$AA$2:$AA$50000,"&lt;&gt;丢弃",缺陷明细!$AA$2:$AA$50000,"&lt;&gt;设计如此",缺陷明细!$AA$2:$AA$50000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51"/>
    </row>
    <row r="34" spans="1:37">
      <c r="A34">
        <v>30</v>
      </c>
      <c r="B34" s="57"/>
      <c r="C34" s="58"/>
      <c r="D34" s="84"/>
      <c r="E34" s="82"/>
      <c r="F34" s="165"/>
      <c r="G34" s="166"/>
      <c r="H34" s="305">
        <f>COUNTIFS(缺陷明细!$A$2:$A$50000,$B$4,缺陷明细!$G$2:$G$50000,$C34,缺陷明细!$J$2:$J$50000,"评审",缺陷明细!$AA$2:$AA$50000,"&lt;&gt;丢弃",缺陷明细!$AA$2:$AA$50000,"&lt;&gt;设计如此",缺陷明细!$AA$2:$AA$50000,"&lt;&gt;重复Bug")</f>
        <v>0</v>
      </c>
      <c r="I34" s="161">
        <f>COUNTIFS(缺陷明细!$A$2:$A$50000,$B$4,缺陷明细!$G$2:$G$50000,$C34,缺陷明细!$Q$2:$Q$50000,"已关闭",缺陷明细!$J$2:$J$50000,"评审")</f>
        <v>0</v>
      </c>
      <c r="J34" s="161">
        <f>COUNTIFS(缺陷明细!$A$2:$A$50000,$B$4,缺陷明细!$G$2:$G$50000,$C34,缺陷明细!$J$2:$J$50000,"单元测试",缺陷明细!$AA$2:$AA$50000,"&lt;&gt;丢弃",缺陷明细!$AA$2:$AA$50000,"&lt;&gt;设计如此",缺陷明细!$AA$2:$AA$50000,"&lt;&gt;重复Bug")</f>
        <v>0</v>
      </c>
      <c r="K34" s="162">
        <f>COUNTIFS(缺陷明细!$A$2:$A$50000,$B$4,缺陷明细!$G$2:$G$50000,$C34,缺陷明细!$Q$2:$Q$50000,"已关闭",缺陷明细!$J$2:$J$50000,"单元测试")</f>
        <v>0</v>
      </c>
      <c r="L34" s="163"/>
      <c r="M34" s="164"/>
      <c r="N34" s="72">
        <f>COUNTIFS(缺陷明细!$A$2:$A$50000,$B$4,缺陷明细!$G$2:$G$50000,$C34,缺陷明细!$J$2:$J$50000,"系统测试案例评审",缺陷明细!$AA$2:$AA$50000,"&lt;&gt;丢弃",缺陷明细!$AA$2:$AA$50000,"&lt;&gt;设计如此",缺陷明细!$AA$2:$AA$50000,"&lt;&gt;重复Bug")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COUNTIFS(缺陷明细!$A$2:$A$50000,$B$4,缺陷明细!$G$2:$G$50000,$C34,缺陷明细!$J$2:$J$50000,"系统测试",缺陷明细!$AA$2:$AA$50000,"&lt;&gt;丢弃",缺陷明细!$AA$2:$AA$50000,"&lt;&gt;设计如此",缺陷明细!$AA$2:$AA$50000,"&lt;&gt;重复Bug")</f>
        <v>0</v>
      </c>
      <c r="Q34" s="72">
        <f>COUNTIFS(缺陷明细!$A$2:$A$50000,$B$4,缺陷明细!$G$2:$G$50000,$C34,缺陷明细!$Q$2:$Q$50000,"已关闭",缺陷明细!$J$2:$J$50000,"系统测试")</f>
        <v>0</v>
      </c>
      <c r="R34" s="72">
        <f>COUNTIFS(缺陷明细!$A$2:$A$50000,$B$4,缺陷明细!$G$2:$G$50000,$C34,缺陷明细!$AA$2:$AA$50000,"丢弃",缺陷明细!$J$2:$J$50000,"系统测试")+COUNTIFS(缺陷明细!$A$2:$A$50000,$B$4,缺陷明细!$G$2:$G$50000,$C34,缺陷明细!$AA$2:$AA$50000,"设计如此",缺陷明细!$J$2:$J$50000,"系统测试"+COUNTIFS(缺陷明细!$A$2:$A$50000,$B$4,缺陷明细!$G$2:$G$50000,$C34,缺陷明细!$AA$2:$AA$50000,"重复Bug",缺陷明细!$J$2:$J$50000,"系统测试"))</f>
        <v>0</v>
      </c>
      <c r="S34" s="72">
        <f>COUNTIFS(缺陷明细!$A$2:$A$50000,$B$4,缺陷明细!$G$2:$G$50000,$C34,缺陷明细!$J$2:$J$50000,"系统测试",缺陷明细!$K$2:$K$50000,"致命",缺陷明细!$AA$2:$AA$50000,"&lt;&gt;丢弃",缺陷明细!$AA$2:$AA$50000,"&lt;&gt;设计如此",缺陷明细!$AA$2:$AA$50000,"&lt;&gt;重复Bug")+COUNTIFS(缺陷明细!$A$2:$A$50000,$B$4,缺陷明细!$G$2:$G$50000,$C34,缺陷明细!$J$2:$J$50000,"系统测试",缺陷明细!$K$2:$K$50000,"严重",缺陷明细!$AA$2:$AA$50000,"&lt;&gt;丢弃",缺陷明细!$AA$2:$AA$50000,"&lt;&gt;设计如此",缺陷明细!$AA$2:$AA$50000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COUNTIFS(缺陷明细!$A$2:$A$50000,$B$4,缺陷明细!$G$2:$G$50000,$C34,缺陷明细!$J$2:$J$50000,"验收测试",缺陷明细!$AA$2:$AA$50000,"&lt;&gt;丢弃",缺陷明细!$AA$2:$AA$50000,"&lt;&gt;设计如此",缺陷明细!$AA$2:$AA$50000,"&lt;&gt;重复Bug")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A$2:$AA$50000,"&lt;&gt;丢弃",缺陷明细!$AA$2:$AA$50000,"&lt;&gt;设计如此",缺陷明细!$AA$2:$AA$50000,"&lt;&gt;重复Bug")+COUNTIFS(缺陷明细!$A$2:$A$50000,$B$4,缺陷明细!$G$2:$G$50000,$C34,缺陷明细!$J$2:$J$50000,"验收测试",缺陷明细!$K$2:$K$50000,"严重",缺陷明细!$AA$2:$AA$50000,"&lt;&gt;丢弃",缺陷明细!$AA$2:$AA$50000,"&lt;&gt;设计如此",缺陷明细!$AA$2:$AA$50000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COUNTIFS(缺陷明细!$A$2:$A$50000,$B$4,缺陷明细!$G$2:$G$50000,$C34,缺陷明细!$J$2:$J$50000,"运维测试",缺陷明细!$AA$2:$AA$50000,"&lt;&gt;丢弃",缺陷明细!$AA$2:$AA$50000,"&lt;&gt;设计如此",缺陷明细!$AA$2:$AA$50000,"&lt;&gt;重复Bug")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A$2:$AA$50000,"&lt;&gt;丢弃",缺陷明细!$AA$2:$AA$50000,"&lt;&gt;设计如此",缺陷明细!$AA$2:$AA$50000,"&lt;&gt;重复Bug")+COUNTIFS(缺陷明细!$A$2:$A$50000,$B$4,缺陷明细!$G$2:$G$50000,$C34,缺陷明细!$J$2:$J$50000,"运维测试",缺陷明细!$K$2:$K$50000,"严重",缺陷明细!$AA$2:$AA$50000,"&lt;&gt;丢弃",缺陷明细!$AA$2:$AA$50000,"&lt;&gt;设计如此",缺陷明细!$AA$2:$AA$50000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51"/>
    </row>
    <row r="35" spans="1:37">
      <c r="A35">
        <v>31</v>
      </c>
      <c r="B35" s="57"/>
      <c r="C35" s="58"/>
      <c r="D35" s="84"/>
      <c r="E35" s="82"/>
      <c r="F35" s="165"/>
      <c r="G35" s="166"/>
      <c r="H35" s="305">
        <f>COUNTIFS(缺陷明细!$A$2:$A$50000,$B$4,缺陷明细!$G$2:$G$50000,$C35,缺陷明细!$J$2:$J$50000,"评审",缺陷明细!$AA$2:$AA$50000,"&lt;&gt;丢弃",缺陷明细!$AA$2:$AA$50000,"&lt;&gt;设计如此",缺陷明细!$AA$2:$AA$50000,"&lt;&gt;重复Bug")</f>
        <v>0</v>
      </c>
      <c r="I35" s="161">
        <f>COUNTIFS(缺陷明细!$A$2:$A$50000,$B$4,缺陷明细!$G$2:$G$50000,$C35,缺陷明细!$Q$2:$Q$50000,"已关闭",缺陷明细!$J$2:$J$50000,"评审")</f>
        <v>0</v>
      </c>
      <c r="J35" s="161">
        <f>COUNTIFS(缺陷明细!$A$2:$A$50000,$B$4,缺陷明细!$G$2:$G$50000,$C35,缺陷明细!$J$2:$J$50000,"单元测试",缺陷明细!$AA$2:$AA$50000,"&lt;&gt;丢弃",缺陷明细!$AA$2:$AA$50000,"&lt;&gt;设计如此",缺陷明细!$AA$2:$AA$50000,"&lt;&gt;重复Bug")</f>
        <v>0</v>
      </c>
      <c r="K35" s="162">
        <f>COUNTIFS(缺陷明细!$A$2:$A$50000,$B$4,缺陷明细!$G$2:$G$50000,$C35,缺陷明细!$Q$2:$Q$50000,"已关闭",缺陷明细!$J$2:$J$50000,"单元测试")</f>
        <v>0</v>
      </c>
      <c r="L35" s="163"/>
      <c r="M35" s="164"/>
      <c r="N35" s="72">
        <f>COUNTIFS(缺陷明细!$A$2:$A$50000,$B$4,缺陷明细!$G$2:$G$50000,$C35,缺陷明细!$J$2:$J$50000,"系统测试案例评审",缺陷明细!$AA$2:$AA$50000,"&lt;&gt;丢弃",缺陷明细!$AA$2:$AA$50000,"&lt;&gt;设计如此",缺陷明细!$AA$2:$AA$50000,"&lt;&gt;重复Bug")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COUNTIFS(缺陷明细!$A$2:$A$50000,$B$4,缺陷明细!$G$2:$G$50000,$C35,缺陷明细!$J$2:$J$50000,"系统测试",缺陷明细!$AA$2:$AA$50000,"&lt;&gt;丢弃",缺陷明细!$AA$2:$AA$50000,"&lt;&gt;设计如此",缺陷明细!$AA$2:$AA$50000,"&lt;&gt;重复Bug")</f>
        <v>0</v>
      </c>
      <c r="Q35" s="72">
        <f>COUNTIFS(缺陷明细!$A$2:$A$50000,$B$4,缺陷明细!$G$2:$G$50000,$C35,缺陷明细!$Q$2:$Q$50000,"已关闭",缺陷明细!$J$2:$J$50000,"系统测试")</f>
        <v>0</v>
      </c>
      <c r="R35" s="72">
        <f>COUNTIFS(缺陷明细!$A$2:$A$50000,$B$4,缺陷明细!$G$2:$G$50000,$C35,缺陷明细!$AA$2:$AA$50000,"丢弃",缺陷明细!$J$2:$J$50000,"系统测试")+COUNTIFS(缺陷明细!$A$2:$A$50000,$B$4,缺陷明细!$G$2:$G$50000,$C35,缺陷明细!$AA$2:$AA$50000,"设计如此",缺陷明细!$J$2:$J$50000,"系统测试"+COUNTIFS(缺陷明细!$A$2:$A$50000,$B$4,缺陷明细!$G$2:$G$50000,$C35,缺陷明细!$AA$2:$AA$50000,"重复Bug",缺陷明细!$J$2:$J$50000,"系统测试"))</f>
        <v>0</v>
      </c>
      <c r="S35" s="72">
        <f>COUNTIFS(缺陷明细!$A$2:$A$50000,$B$4,缺陷明细!$G$2:$G$50000,$C35,缺陷明细!$J$2:$J$50000,"系统测试",缺陷明细!$K$2:$K$50000,"致命",缺陷明细!$AA$2:$AA$50000,"&lt;&gt;丢弃",缺陷明细!$AA$2:$AA$50000,"&lt;&gt;设计如此",缺陷明细!$AA$2:$AA$50000,"&lt;&gt;重复Bug")+COUNTIFS(缺陷明细!$A$2:$A$50000,$B$4,缺陷明细!$G$2:$G$50000,$C35,缺陷明细!$J$2:$J$50000,"系统测试",缺陷明细!$K$2:$K$50000,"严重",缺陷明细!$AA$2:$AA$50000,"&lt;&gt;丢弃",缺陷明细!$AA$2:$AA$50000,"&lt;&gt;设计如此",缺陷明细!$AA$2:$AA$50000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COUNTIFS(缺陷明细!$A$2:$A$50000,$B$4,缺陷明细!$G$2:$G$50000,$C35,缺陷明细!$J$2:$J$50000,"验收测试",缺陷明细!$AA$2:$AA$50000,"&lt;&gt;丢弃",缺陷明细!$AA$2:$AA$50000,"&lt;&gt;设计如此",缺陷明细!$AA$2:$AA$50000,"&lt;&gt;重复Bug")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A$2:$AA$50000,"&lt;&gt;丢弃",缺陷明细!$AA$2:$AA$50000,"&lt;&gt;设计如此",缺陷明细!$AA$2:$AA$50000,"&lt;&gt;重复Bug")+COUNTIFS(缺陷明细!$A$2:$A$50000,$B$4,缺陷明细!$G$2:$G$50000,$C35,缺陷明细!$J$2:$J$50000,"验收测试",缺陷明细!$K$2:$K$50000,"严重",缺陷明细!$AA$2:$AA$50000,"&lt;&gt;丢弃",缺陷明细!$AA$2:$AA$50000,"&lt;&gt;设计如此",缺陷明细!$AA$2:$AA$50000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COUNTIFS(缺陷明细!$A$2:$A$50000,$B$4,缺陷明细!$G$2:$G$50000,$C35,缺陷明细!$J$2:$J$50000,"运维测试",缺陷明细!$AA$2:$AA$50000,"&lt;&gt;丢弃",缺陷明细!$AA$2:$AA$50000,"&lt;&gt;设计如此",缺陷明细!$AA$2:$AA$50000,"&lt;&gt;重复Bug")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A$2:$AA$50000,"&lt;&gt;丢弃",缺陷明细!$AA$2:$AA$50000,"&lt;&gt;设计如此",缺陷明细!$AA$2:$AA$50000,"&lt;&gt;重复Bug")+COUNTIFS(缺陷明细!$A$2:$A$50000,$B$4,缺陷明细!$G$2:$G$50000,$C35,缺陷明细!$J$2:$J$50000,"运维测试",缺陷明细!$K$2:$K$50000,"严重",缺陷明细!$AA$2:$AA$50000,"&lt;&gt;丢弃",缺陷明细!$AA$2:$AA$50000,"&lt;&gt;设计如此",缺陷明细!$AA$2:$AA$50000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51"/>
    </row>
    <row r="36" spans="1:37">
      <c r="A36">
        <v>32</v>
      </c>
      <c r="B36" s="57"/>
      <c r="C36" s="58"/>
      <c r="D36" s="84"/>
      <c r="E36" s="82"/>
      <c r="F36" s="165"/>
      <c r="G36" s="166"/>
      <c r="H36" s="305">
        <f>COUNTIFS(缺陷明细!$A$2:$A$50000,$B$4,缺陷明细!$G$2:$G$50000,$C36,缺陷明细!$J$2:$J$50000,"评审",缺陷明细!$AA$2:$AA$50000,"&lt;&gt;丢弃",缺陷明细!$AA$2:$AA$50000,"&lt;&gt;设计如此",缺陷明细!$AA$2:$AA$50000,"&lt;&gt;重复Bug")</f>
        <v>0</v>
      </c>
      <c r="I36" s="161">
        <f>COUNTIFS(缺陷明细!$A$2:$A$50000,$B$4,缺陷明细!$G$2:$G$50000,$C36,缺陷明细!$Q$2:$Q$50000,"已关闭",缺陷明细!$J$2:$J$50000,"评审")</f>
        <v>0</v>
      </c>
      <c r="J36" s="161">
        <f>COUNTIFS(缺陷明细!$A$2:$A$50000,$B$4,缺陷明细!$G$2:$G$50000,$C36,缺陷明细!$J$2:$J$50000,"单元测试",缺陷明细!$AA$2:$AA$50000,"&lt;&gt;丢弃",缺陷明细!$AA$2:$AA$50000,"&lt;&gt;设计如此",缺陷明细!$AA$2:$AA$50000,"&lt;&gt;重复Bug")</f>
        <v>0</v>
      </c>
      <c r="K36" s="162">
        <f>COUNTIFS(缺陷明细!$A$2:$A$50000,$B$4,缺陷明细!$G$2:$G$50000,$C36,缺陷明细!$Q$2:$Q$50000,"已关闭",缺陷明细!$J$2:$J$50000,"单元测试")</f>
        <v>0</v>
      </c>
      <c r="L36" s="163"/>
      <c r="M36" s="164"/>
      <c r="N36" s="72">
        <f>COUNTIFS(缺陷明细!$A$2:$A$50000,$B$4,缺陷明细!$G$2:$G$50000,$C36,缺陷明细!$J$2:$J$50000,"系统测试案例评审",缺陷明细!$AA$2:$AA$50000,"&lt;&gt;丢弃",缺陷明细!$AA$2:$AA$50000,"&lt;&gt;设计如此",缺陷明细!$AA$2:$AA$50000,"&lt;&gt;重复Bug")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COUNTIFS(缺陷明细!$A$2:$A$50000,$B$4,缺陷明细!$G$2:$G$50000,$C36,缺陷明细!$J$2:$J$50000,"系统测试",缺陷明细!$AA$2:$AA$50000,"&lt;&gt;丢弃",缺陷明细!$AA$2:$AA$50000,"&lt;&gt;设计如此",缺陷明细!$AA$2:$AA$50000,"&lt;&gt;重复Bug")</f>
        <v>0</v>
      </c>
      <c r="Q36" s="72">
        <f>COUNTIFS(缺陷明细!$A$2:$A$50000,$B$4,缺陷明细!$G$2:$G$50000,$C36,缺陷明细!$Q$2:$Q$50000,"已关闭",缺陷明细!$J$2:$J$50000,"系统测试")</f>
        <v>0</v>
      </c>
      <c r="R36" s="72">
        <f>COUNTIFS(缺陷明细!$A$2:$A$50000,$B$4,缺陷明细!$G$2:$G$50000,$C36,缺陷明细!$AA$2:$AA$50000,"丢弃",缺陷明细!$J$2:$J$50000,"系统测试")+COUNTIFS(缺陷明细!$A$2:$A$50000,$B$4,缺陷明细!$G$2:$G$50000,$C36,缺陷明细!$AA$2:$AA$50000,"设计如此",缺陷明细!$J$2:$J$50000,"系统测试"+COUNTIFS(缺陷明细!$A$2:$A$50000,$B$4,缺陷明细!$G$2:$G$50000,$C36,缺陷明细!$AA$2:$AA$50000,"重复Bug",缺陷明细!$J$2:$J$50000,"系统测试"))</f>
        <v>0</v>
      </c>
      <c r="S36" s="72">
        <f>COUNTIFS(缺陷明细!$A$2:$A$50000,$B$4,缺陷明细!$G$2:$G$50000,$C36,缺陷明细!$J$2:$J$50000,"系统测试",缺陷明细!$K$2:$K$50000,"致命",缺陷明细!$AA$2:$AA$50000,"&lt;&gt;丢弃",缺陷明细!$AA$2:$AA$50000,"&lt;&gt;设计如此",缺陷明细!$AA$2:$AA$50000,"&lt;&gt;重复Bug")+COUNTIFS(缺陷明细!$A$2:$A$50000,$B$4,缺陷明细!$G$2:$G$50000,$C36,缺陷明细!$J$2:$J$50000,"系统测试",缺陷明细!$K$2:$K$50000,"严重",缺陷明细!$AA$2:$AA$50000,"&lt;&gt;丢弃",缺陷明细!$AA$2:$AA$50000,"&lt;&gt;设计如此",缺陷明细!$AA$2:$AA$50000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COUNTIFS(缺陷明细!$A$2:$A$50000,$B$4,缺陷明细!$G$2:$G$50000,$C36,缺陷明细!$J$2:$J$50000,"验收测试",缺陷明细!$AA$2:$AA$50000,"&lt;&gt;丢弃",缺陷明细!$AA$2:$AA$50000,"&lt;&gt;设计如此",缺陷明细!$AA$2:$AA$50000,"&lt;&gt;重复Bug")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A$2:$AA$50000,"&lt;&gt;丢弃",缺陷明细!$AA$2:$AA$50000,"&lt;&gt;设计如此",缺陷明细!$AA$2:$AA$50000,"&lt;&gt;重复Bug")+COUNTIFS(缺陷明细!$A$2:$A$50000,$B$4,缺陷明细!$G$2:$G$50000,$C36,缺陷明细!$J$2:$J$50000,"验收测试",缺陷明细!$K$2:$K$50000,"严重",缺陷明细!$AA$2:$AA$50000,"&lt;&gt;丢弃",缺陷明细!$AA$2:$AA$50000,"&lt;&gt;设计如此",缺陷明细!$AA$2:$AA$50000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COUNTIFS(缺陷明细!$A$2:$A$50000,$B$4,缺陷明细!$G$2:$G$50000,$C36,缺陷明细!$J$2:$J$50000,"运维测试",缺陷明细!$AA$2:$AA$50000,"&lt;&gt;丢弃",缺陷明细!$AA$2:$AA$50000,"&lt;&gt;设计如此",缺陷明细!$AA$2:$AA$50000,"&lt;&gt;重复Bug")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A$2:$AA$50000,"&lt;&gt;丢弃",缺陷明细!$AA$2:$AA$50000,"&lt;&gt;设计如此",缺陷明细!$AA$2:$AA$50000,"&lt;&gt;重复Bug")+COUNTIFS(缺陷明细!$A$2:$A$50000,$B$4,缺陷明细!$G$2:$G$50000,$C36,缺陷明细!$J$2:$J$50000,"运维测试",缺陷明细!$K$2:$K$50000,"严重",缺陷明细!$AA$2:$AA$50000,"&lt;&gt;丢弃",缺陷明细!$AA$2:$AA$50000,"&lt;&gt;设计如此",缺陷明细!$AA$2:$AA$50000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51"/>
    </row>
    <row r="37" spans="1:37">
      <c r="A37">
        <v>33</v>
      </c>
      <c r="B37" s="57"/>
      <c r="C37" s="58"/>
      <c r="D37" s="84"/>
      <c r="E37" s="82"/>
      <c r="F37" s="165"/>
      <c r="G37" s="166"/>
      <c r="H37" s="305">
        <f>COUNTIFS(缺陷明细!$A$2:$A$50000,$B$4,缺陷明细!$G$2:$G$50000,$C37,缺陷明细!$J$2:$J$50000,"评审",缺陷明细!$AA$2:$AA$50000,"&lt;&gt;丢弃",缺陷明细!$AA$2:$AA$50000,"&lt;&gt;设计如此",缺陷明细!$AA$2:$AA$50000,"&lt;&gt;重复Bug")</f>
        <v>0</v>
      </c>
      <c r="I37" s="161">
        <f>COUNTIFS(缺陷明细!$A$2:$A$50000,$B$4,缺陷明细!$G$2:$G$50000,$C37,缺陷明细!$Q$2:$Q$50000,"已关闭",缺陷明细!$J$2:$J$50000,"评审")</f>
        <v>0</v>
      </c>
      <c r="J37" s="161">
        <f>COUNTIFS(缺陷明细!$A$2:$A$50000,$B$4,缺陷明细!$G$2:$G$50000,$C37,缺陷明细!$J$2:$J$50000,"单元测试",缺陷明细!$AA$2:$AA$50000,"&lt;&gt;丢弃",缺陷明细!$AA$2:$AA$50000,"&lt;&gt;设计如此",缺陷明细!$AA$2:$AA$50000,"&lt;&gt;重复Bug")</f>
        <v>0</v>
      </c>
      <c r="K37" s="162">
        <f>COUNTIFS(缺陷明细!$A$2:$A$50000,$B$4,缺陷明细!$G$2:$G$50000,$C37,缺陷明细!$Q$2:$Q$50000,"已关闭",缺陷明细!$J$2:$J$50000,"单元测试")</f>
        <v>0</v>
      </c>
      <c r="L37" s="163"/>
      <c r="M37" s="164"/>
      <c r="N37" s="72">
        <f>COUNTIFS(缺陷明细!$A$2:$A$50000,$B$4,缺陷明细!$G$2:$G$50000,$C37,缺陷明细!$J$2:$J$50000,"系统测试案例评审",缺陷明细!$AA$2:$AA$50000,"&lt;&gt;丢弃",缺陷明细!$AA$2:$AA$50000,"&lt;&gt;设计如此",缺陷明细!$AA$2:$AA$50000,"&lt;&gt;重复Bug")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COUNTIFS(缺陷明细!$A$2:$A$50000,$B$4,缺陷明细!$G$2:$G$50000,$C37,缺陷明细!$J$2:$J$50000,"系统测试",缺陷明细!$AA$2:$AA$50000,"&lt;&gt;丢弃",缺陷明细!$AA$2:$AA$50000,"&lt;&gt;设计如此",缺陷明细!$AA$2:$AA$50000,"&lt;&gt;重复Bug")</f>
        <v>0</v>
      </c>
      <c r="Q37" s="72">
        <f>COUNTIFS(缺陷明细!$A$2:$A$50000,$B$4,缺陷明细!$G$2:$G$50000,$C37,缺陷明细!$Q$2:$Q$50000,"已关闭",缺陷明细!$J$2:$J$50000,"系统测试")</f>
        <v>0</v>
      </c>
      <c r="R37" s="72">
        <f>COUNTIFS(缺陷明细!$A$2:$A$50000,$B$4,缺陷明细!$G$2:$G$50000,$C37,缺陷明细!$AA$2:$AA$50000,"丢弃",缺陷明细!$J$2:$J$50000,"系统测试")+COUNTIFS(缺陷明细!$A$2:$A$50000,$B$4,缺陷明细!$G$2:$G$50000,$C37,缺陷明细!$AA$2:$AA$50000,"设计如此",缺陷明细!$J$2:$J$50000,"系统测试"+COUNTIFS(缺陷明细!$A$2:$A$50000,$B$4,缺陷明细!$G$2:$G$50000,$C37,缺陷明细!$AA$2:$AA$50000,"重复Bug",缺陷明细!$J$2:$J$50000,"系统测试"))</f>
        <v>0</v>
      </c>
      <c r="S37" s="72">
        <f>COUNTIFS(缺陷明细!$A$2:$A$50000,$B$4,缺陷明细!$G$2:$G$50000,$C37,缺陷明细!$J$2:$J$50000,"系统测试",缺陷明细!$K$2:$K$50000,"致命",缺陷明细!$AA$2:$AA$50000,"&lt;&gt;丢弃",缺陷明细!$AA$2:$AA$50000,"&lt;&gt;设计如此",缺陷明细!$AA$2:$AA$50000,"&lt;&gt;重复Bug")+COUNTIFS(缺陷明细!$A$2:$A$50000,$B$4,缺陷明细!$G$2:$G$50000,$C37,缺陷明细!$J$2:$J$50000,"系统测试",缺陷明细!$K$2:$K$50000,"严重",缺陷明细!$AA$2:$AA$50000,"&lt;&gt;丢弃",缺陷明细!$AA$2:$AA$50000,"&lt;&gt;设计如此",缺陷明细!$AA$2:$AA$50000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COUNTIFS(缺陷明细!$A$2:$A$50000,$B$4,缺陷明细!$G$2:$G$50000,$C37,缺陷明细!$J$2:$J$50000,"验收测试",缺陷明细!$AA$2:$AA$50000,"&lt;&gt;丢弃",缺陷明细!$AA$2:$AA$50000,"&lt;&gt;设计如此",缺陷明细!$AA$2:$AA$50000,"&lt;&gt;重复Bug")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A$2:$AA$50000,"&lt;&gt;丢弃",缺陷明细!$AA$2:$AA$50000,"&lt;&gt;设计如此",缺陷明细!$AA$2:$AA$50000,"&lt;&gt;重复Bug")+COUNTIFS(缺陷明细!$A$2:$A$50000,$B$4,缺陷明细!$G$2:$G$50000,$C37,缺陷明细!$J$2:$J$50000,"验收测试",缺陷明细!$K$2:$K$50000,"严重",缺陷明细!$AA$2:$AA$50000,"&lt;&gt;丢弃",缺陷明细!$AA$2:$AA$50000,"&lt;&gt;设计如此",缺陷明细!$AA$2:$AA$50000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COUNTIFS(缺陷明细!$A$2:$A$50000,$B$4,缺陷明细!$G$2:$G$50000,$C37,缺陷明细!$J$2:$J$50000,"运维测试",缺陷明细!$AA$2:$AA$50000,"&lt;&gt;丢弃",缺陷明细!$AA$2:$AA$50000,"&lt;&gt;设计如此",缺陷明细!$AA$2:$AA$50000,"&lt;&gt;重复Bug")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A$2:$AA$50000,"&lt;&gt;丢弃",缺陷明细!$AA$2:$AA$50000,"&lt;&gt;设计如此",缺陷明细!$AA$2:$AA$50000,"&lt;&gt;重复Bug")+COUNTIFS(缺陷明细!$A$2:$A$50000,$B$4,缺陷明细!$G$2:$G$50000,$C37,缺陷明细!$J$2:$J$50000,"运维测试",缺陷明细!$K$2:$K$50000,"严重",缺陷明细!$AA$2:$AA$50000,"&lt;&gt;丢弃",缺陷明细!$AA$2:$AA$50000,"&lt;&gt;设计如此",缺陷明细!$AA$2:$AA$50000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51"/>
    </row>
    <row r="38" spans="1:37">
      <c r="A38">
        <v>34</v>
      </c>
      <c r="B38" s="57"/>
      <c r="C38" s="58"/>
      <c r="D38" s="84"/>
      <c r="E38" s="82"/>
      <c r="F38" s="165"/>
      <c r="G38" s="166"/>
      <c r="H38" s="305">
        <f>COUNTIFS(缺陷明细!$A$2:$A$50000,$B$4,缺陷明细!$G$2:$G$50000,$C38,缺陷明细!$J$2:$J$50000,"评审",缺陷明细!$AA$2:$AA$50000,"&lt;&gt;丢弃",缺陷明细!$AA$2:$AA$50000,"&lt;&gt;设计如此",缺陷明细!$AA$2:$AA$50000,"&lt;&gt;重复Bug")</f>
        <v>0</v>
      </c>
      <c r="I38" s="161">
        <f>COUNTIFS(缺陷明细!$A$2:$A$50000,$B$4,缺陷明细!$G$2:$G$50000,$C38,缺陷明细!$Q$2:$Q$50000,"已关闭",缺陷明细!$J$2:$J$50000,"评审")</f>
        <v>0</v>
      </c>
      <c r="J38" s="161">
        <f>COUNTIFS(缺陷明细!$A$2:$A$50000,$B$4,缺陷明细!$G$2:$G$50000,$C38,缺陷明细!$J$2:$J$50000,"单元测试",缺陷明细!$AA$2:$AA$50000,"&lt;&gt;丢弃",缺陷明细!$AA$2:$AA$50000,"&lt;&gt;设计如此",缺陷明细!$AA$2:$AA$50000,"&lt;&gt;重复Bug")</f>
        <v>0</v>
      </c>
      <c r="K38" s="162">
        <f>COUNTIFS(缺陷明细!$A$2:$A$50000,$B$4,缺陷明细!$G$2:$G$50000,$C38,缺陷明细!$Q$2:$Q$50000,"已关闭",缺陷明细!$J$2:$J$50000,"单元测试")</f>
        <v>0</v>
      </c>
      <c r="L38" s="163"/>
      <c r="M38" s="164"/>
      <c r="N38" s="72">
        <f>COUNTIFS(缺陷明细!$A$2:$A$50000,$B$4,缺陷明细!$G$2:$G$50000,$C38,缺陷明细!$J$2:$J$50000,"系统测试案例评审",缺陷明细!$AA$2:$AA$50000,"&lt;&gt;丢弃",缺陷明细!$AA$2:$AA$50000,"&lt;&gt;设计如此",缺陷明细!$AA$2:$AA$50000,"&lt;&gt;重复Bug")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COUNTIFS(缺陷明细!$A$2:$A$50000,$B$4,缺陷明细!$G$2:$G$50000,$C38,缺陷明细!$J$2:$J$50000,"系统测试",缺陷明细!$AA$2:$AA$50000,"&lt;&gt;丢弃",缺陷明细!$AA$2:$AA$50000,"&lt;&gt;设计如此",缺陷明细!$AA$2:$AA$50000,"&lt;&gt;重复Bug")</f>
        <v>0</v>
      </c>
      <c r="Q38" s="72">
        <f>COUNTIFS(缺陷明细!$A$2:$A$50000,$B$4,缺陷明细!$G$2:$G$50000,$C38,缺陷明细!$Q$2:$Q$50000,"已关闭",缺陷明细!$J$2:$J$50000,"系统测试")</f>
        <v>0</v>
      </c>
      <c r="R38" s="72">
        <f>COUNTIFS(缺陷明细!$A$2:$A$50000,$B$4,缺陷明细!$G$2:$G$50000,$C38,缺陷明细!$AA$2:$AA$50000,"丢弃",缺陷明细!$J$2:$J$50000,"系统测试")+COUNTIFS(缺陷明细!$A$2:$A$50000,$B$4,缺陷明细!$G$2:$G$50000,$C38,缺陷明细!$AA$2:$AA$50000,"设计如此",缺陷明细!$J$2:$J$50000,"系统测试"+COUNTIFS(缺陷明细!$A$2:$A$50000,$B$4,缺陷明细!$G$2:$G$50000,$C38,缺陷明细!$AA$2:$AA$50000,"重复Bug",缺陷明细!$J$2:$J$50000,"系统测试"))</f>
        <v>0</v>
      </c>
      <c r="S38" s="72">
        <f>COUNTIFS(缺陷明细!$A$2:$A$50000,$B$4,缺陷明细!$G$2:$G$50000,$C38,缺陷明细!$J$2:$J$50000,"系统测试",缺陷明细!$K$2:$K$50000,"致命",缺陷明细!$AA$2:$AA$50000,"&lt;&gt;丢弃",缺陷明细!$AA$2:$AA$50000,"&lt;&gt;设计如此",缺陷明细!$AA$2:$AA$50000,"&lt;&gt;重复Bug")+COUNTIFS(缺陷明细!$A$2:$A$50000,$B$4,缺陷明细!$G$2:$G$50000,$C38,缺陷明细!$J$2:$J$50000,"系统测试",缺陷明细!$K$2:$K$50000,"严重",缺陷明细!$AA$2:$AA$50000,"&lt;&gt;丢弃",缺陷明细!$AA$2:$AA$50000,"&lt;&gt;设计如此",缺陷明细!$AA$2:$AA$50000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COUNTIFS(缺陷明细!$A$2:$A$50000,$B$4,缺陷明细!$G$2:$G$50000,$C38,缺陷明细!$J$2:$J$50000,"验收测试",缺陷明细!$AA$2:$AA$50000,"&lt;&gt;丢弃",缺陷明细!$AA$2:$AA$50000,"&lt;&gt;设计如此",缺陷明细!$AA$2:$AA$50000,"&lt;&gt;重复Bug")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A$2:$AA$50000,"&lt;&gt;丢弃",缺陷明细!$AA$2:$AA$50000,"&lt;&gt;设计如此",缺陷明细!$AA$2:$AA$50000,"&lt;&gt;重复Bug")+COUNTIFS(缺陷明细!$A$2:$A$50000,$B$4,缺陷明细!$G$2:$G$50000,$C38,缺陷明细!$J$2:$J$50000,"验收测试",缺陷明细!$K$2:$K$50000,"严重",缺陷明细!$AA$2:$AA$50000,"&lt;&gt;丢弃",缺陷明细!$AA$2:$AA$50000,"&lt;&gt;设计如此",缺陷明细!$AA$2:$AA$50000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COUNTIFS(缺陷明细!$A$2:$A$50000,$B$4,缺陷明细!$G$2:$G$50000,$C38,缺陷明细!$J$2:$J$50000,"运维测试",缺陷明细!$AA$2:$AA$50000,"&lt;&gt;丢弃",缺陷明细!$AA$2:$AA$50000,"&lt;&gt;设计如此",缺陷明细!$AA$2:$AA$50000,"&lt;&gt;重复Bug")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A$2:$AA$50000,"&lt;&gt;丢弃",缺陷明细!$AA$2:$AA$50000,"&lt;&gt;设计如此",缺陷明细!$AA$2:$AA$50000,"&lt;&gt;重复Bug")+COUNTIFS(缺陷明细!$A$2:$A$50000,$B$4,缺陷明细!$G$2:$G$50000,$C38,缺陷明细!$J$2:$J$50000,"运维测试",缺陷明细!$K$2:$K$50000,"严重",缺陷明细!$AA$2:$AA$50000,"&lt;&gt;丢弃",缺陷明细!$AA$2:$AA$50000,"&lt;&gt;设计如此",缺陷明细!$AA$2:$AA$50000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51"/>
    </row>
    <row r="39" spans="1:37">
      <c r="A39">
        <v>35</v>
      </c>
      <c r="B39" s="57"/>
      <c r="C39" s="58"/>
      <c r="D39" s="84"/>
      <c r="E39" s="82"/>
      <c r="F39" s="165"/>
      <c r="G39" s="166"/>
      <c r="H39" s="305">
        <f>COUNTIFS(缺陷明细!$A$2:$A$50000,$B$4,缺陷明细!$G$2:$G$50000,$C39,缺陷明细!$J$2:$J$50000,"评审",缺陷明细!$AA$2:$AA$50000,"&lt;&gt;丢弃",缺陷明细!$AA$2:$AA$50000,"&lt;&gt;设计如此",缺陷明细!$AA$2:$AA$50000,"&lt;&gt;重复Bug")</f>
        <v>0</v>
      </c>
      <c r="I39" s="161">
        <f>COUNTIFS(缺陷明细!$A$2:$A$50000,$B$4,缺陷明细!$G$2:$G$50000,$C39,缺陷明细!$Q$2:$Q$50000,"已关闭",缺陷明细!$J$2:$J$50000,"评审")</f>
        <v>0</v>
      </c>
      <c r="J39" s="161">
        <f>COUNTIFS(缺陷明细!$A$2:$A$50000,$B$4,缺陷明细!$G$2:$G$50000,$C39,缺陷明细!$J$2:$J$50000,"单元测试",缺陷明细!$AA$2:$AA$50000,"&lt;&gt;丢弃",缺陷明细!$AA$2:$AA$50000,"&lt;&gt;设计如此",缺陷明细!$AA$2:$AA$50000,"&lt;&gt;重复Bug")</f>
        <v>0</v>
      </c>
      <c r="K39" s="162">
        <f>COUNTIFS(缺陷明细!$A$2:$A$50000,$B$4,缺陷明细!$G$2:$G$50000,$C39,缺陷明细!$Q$2:$Q$50000,"已关闭",缺陷明细!$J$2:$J$50000,"单元测试")</f>
        <v>0</v>
      </c>
      <c r="L39" s="163"/>
      <c r="M39" s="164"/>
      <c r="N39" s="72">
        <f>COUNTIFS(缺陷明细!$A$2:$A$50000,$B$4,缺陷明细!$G$2:$G$50000,$C39,缺陷明细!$J$2:$J$50000,"系统测试案例评审",缺陷明细!$AA$2:$AA$50000,"&lt;&gt;丢弃",缺陷明细!$AA$2:$AA$50000,"&lt;&gt;设计如此",缺陷明细!$AA$2:$AA$50000,"&lt;&gt;重复Bug")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COUNTIFS(缺陷明细!$A$2:$A$50000,$B$4,缺陷明细!$G$2:$G$50000,$C39,缺陷明细!$J$2:$J$50000,"系统测试",缺陷明细!$AA$2:$AA$50000,"&lt;&gt;丢弃",缺陷明细!$AA$2:$AA$50000,"&lt;&gt;设计如此",缺陷明细!$AA$2:$AA$50000,"&lt;&gt;重复Bug")</f>
        <v>0</v>
      </c>
      <c r="Q39" s="72">
        <f>COUNTIFS(缺陷明细!$A$2:$A$50000,$B$4,缺陷明细!$G$2:$G$50000,$C39,缺陷明细!$Q$2:$Q$50000,"已关闭",缺陷明细!$J$2:$J$50000,"系统测试")</f>
        <v>0</v>
      </c>
      <c r="R39" s="72">
        <f>COUNTIFS(缺陷明细!$A$2:$A$50000,$B$4,缺陷明细!$G$2:$G$50000,$C39,缺陷明细!$AA$2:$AA$50000,"丢弃",缺陷明细!$J$2:$J$50000,"系统测试")+COUNTIFS(缺陷明细!$A$2:$A$50000,$B$4,缺陷明细!$G$2:$G$50000,$C39,缺陷明细!$AA$2:$AA$50000,"设计如此",缺陷明细!$J$2:$J$50000,"系统测试"+COUNTIFS(缺陷明细!$A$2:$A$50000,$B$4,缺陷明细!$G$2:$G$50000,$C39,缺陷明细!$AA$2:$AA$50000,"重复Bug",缺陷明细!$J$2:$J$50000,"系统测试"))</f>
        <v>0</v>
      </c>
      <c r="S39" s="72">
        <f>COUNTIFS(缺陷明细!$A$2:$A$50000,$B$4,缺陷明细!$G$2:$G$50000,$C39,缺陷明细!$J$2:$J$50000,"系统测试",缺陷明细!$K$2:$K$50000,"致命",缺陷明细!$AA$2:$AA$50000,"&lt;&gt;丢弃",缺陷明细!$AA$2:$AA$50000,"&lt;&gt;设计如此",缺陷明细!$AA$2:$AA$50000,"&lt;&gt;重复Bug")+COUNTIFS(缺陷明细!$A$2:$A$50000,$B$4,缺陷明细!$G$2:$G$50000,$C39,缺陷明细!$J$2:$J$50000,"系统测试",缺陷明细!$K$2:$K$50000,"严重",缺陷明细!$AA$2:$AA$50000,"&lt;&gt;丢弃",缺陷明细!$AA$2:$AA$50000,"&lt;&gt;设计如此",缺陷明细!$AA$2:$AA$50000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COUNTIFS(缺陷明细!$A$2:$A$50000,$B$4,缺陷明细!$G$2:$G$50000,$C39,缺陷明细!$J$2:$J$50000,"验收测试",缺陷明细!$AA$2:$AA$50000,"&lt;&gt;丢弃",缺陷明细!$AA$2:$AA$50000,"&lt;&gt;设计如此",缺陷明细!$AA$2:$AA$50000,"&lt;&gt;重复Bug")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A$2:$AA$50000,"&lt;&gt;丢弃",缺陷明细!$AA$2:$AA$50000,"&lt;&gt;设计如此",缺陷明细!$AA$2:$AA$50000,"&lt;&gt;重复Bug")+COUNTIFS(缺陷明细!$A$2:$A$50000,$B$4,缺陷明细!$G$2:$G$50000,$C39,缺陷明细!$J$2:$J$50000,"验收测试",缺陷明细!$K$2:$K$50000,"严重",缺陷明细!$AA$2:$AA$50000,"&lt;&gt;丢弃",缺陷明细!$AA$2:$AA$50000,"&lt;&gt;设计如此",缺陷明细!$AA$2:$AA$50000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COUNTIFS(缺陷明细!$A$2:$A$50000,$B$4,缺陷明细!$G$2:$G$50000,$C39,缺陷明细!$J$2:$J$50000,"运维测试",缺陷明细!$AA$2:$AA$50000,"&lt;&gt;丢弃",缺陷明细!$AA$2:$AA$50000,"&lt;&gt;设计如此",缺陷明细!$AA$2:$AA$50000,"&lt;&gt;重复Bug")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A$2:$AA$50000,"&lt;&gt;丢弃",缺陷明细!$AA$2:$AA$50000,"&lt;&gt;设计如此",缺陷明细!$AA$2:$AA$50000,"&lt;&gt;重复Bug")+COUNTIFS(缺陷明细!$A$2:$A$50000,$B$4,缺陷明细!$G$2:$G$50000,$C39,缺陷明细!$J$2:$J$50000,"运维测试",缺陷明细!$K$2:$K$50000,"严重",缺陷明细!$AA$2:$AA$50000,"&lt;&gt;丢弃",缺陷明细!$AA$2:$AA$50000,"&lt;&gt;设计如此",缺陷明细!$AA$2:$AA$50000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51"/>
    </row>
    <row r="40" spans="1:37">
      <c r="A40">
        <v>36</v>
      </c>
      <c r="B40" s="57"/>
      <c r="C40" s="58"/>
      <c r="D40" s="84"/>
      <c r="E40" s="82"/>
      <c r="F40" s="165"/>
      <c r="G40" s="166"/>
      <c r="H40" s="305">
        <f>COUNTIFS(缺陷明细!$A$2:$A$50000,$B$4,缺陷明细!$G$2:$G$50000,$C40,缺陷明细!$J$2:$J$50000,"评审",缺陷明细!$AA$2:$AA$50000,"&lt;&gt;丢弃",缺陷明细!$AA$2:$AA$50000,"&lt;&gt;设计如此",缺陷明细!$AA$2:$AA$50000,"&lt;&gt;重复Bug")</f>
        <v>0</v>
      </c>
      <c r="I40" s="161">
        <f>COUNTIFS(缺陷明细!$A$2:$A$50000,$B$4,缺陷明细!$G$2:$G$50000,$C40,缺陷明细!$Q$2:$Q$50000,"已关闭",缺陷明细!$J$2:$J$50000,"评审")</f>
        <v>0</v>
      </c>
      <c r="J40" s="161">
        <f>COUNTIFS(缺陷明细!$A$2:$A$50000,$B$4,缺陷明细!$G$2:$G$50000,$C40,缺陷明细!$J$2:$J$50000,"单元测试",缺陷明细!$AA$2:$AA$50000,"&lt;&gt;丢弃",缺陷明细!$AA$2:$AA$50000,"&lt;&gt;设计如此",缺陷明细!$AA$2:$AA$50000,"&lt;&gt;重复Bug")</f>
        <v>0</v>
      </c>
      <c r="K40" s="162">
        <f>COUNTIFS(缺陷明细!$A$2:$A$50000,$B$4,缺陷明细!$G$2:$G$50000,$C40,缺陷明细!$Q$2:$Q$50000,"已关闭",缺陷明细!$J$2:$J$50000,"单元测试")</f>
        <v>0</v>
      </c>
      <c r="L40" s="163"/>
      <c r="M40" s="164"/>
      <c r="N40" s="72">
        <f>COUNTIFS(缺陷明细!$A$2:$A$50000,$B$4,缺陷明细!$G$2:$G$50000,$C40,缺陷明细!$J$2:$J$50000,"系统测试案例评审",缺陷明细!$AA$2:$AA$50000,"&lt;&gt;丢弃",缺陷明细!$AA$2:$AA$50000,"&lt;&gt;设计如此",缺陷明细!$AA$2:$AA$50000,"&lt;&gt;重复Bug")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COUNTIFS(缺陷明细!$A$2:$A$50000,$B$4,缺陷明细!$G$2:$G$50000,$C40,缺陷明细!$J$2:$J$50000,"系统测试",缺陷明细!$AA$2:$AA$50000,"&lt;&gt;丢弃",缺陷明细!$AA$2:$AA$50000,"&lt;&gt;设计如此",缺陷明细!$AA$2:$AA$50000,"&lt;&gt;重复Bug")</f>
        <v>0</v>
      </c>
      <c r="Q40" s="72">
        <f>COUNTIFS(缺陷明细!$A$2:$A$50000,$B$4,缺陷明细!$G$2:$G$50000,$C40,缺陷明细!$Q$2:$Q$50000,"已关闭",缺陷明细!$J$2:$J$50000,"系统测试")</f>
        <v>0</v>
      </c>
      <c r="R40" s="72">
        <f>COUNTIFS(缺陷明细!$A$2:$A$50000,$B$4,缺陷明细!$G$2:$G$50000,$C40,缺陷明细!$AA$2:$AA$50000,"丢弃",缺陷明细!$J$2:$J$50000,"系统测试")+COUNTIFS(缺陷明细!$A$2:$A$50000,$B$4,缺陷明细!$G$2:$G$50000,$C40,缺陷明细!$AA$2:$AA$50000,"设计如此",缺陷明细!$J$2:$J$50000,"系统测试"+COUNTIFS(缺陷明细!$A$2:$A$50000,$B$4,缺陷明细!$G$2:$G$50000,$C40,缺陷明细!$AA$2:$AA$50000,"重复Bug",缺陷明细!$J$2:$J$50000,"系统测试"))</f>
        <v>0</v>
      </c>
      <c r="S40" s="72">
        <f>COUNTIFS(缺陷明细!$A$2:$A$50000,$B$4,缺陷明细!$G$2:$G$50000,$C40,缺陷明细!$J$2:$J$50000,"系统测试",缺陷明细!$K$2:$K$50000,"致命",缺陷明细!$AA$2:$AA$50000,"&lt;&gt;丢弃",缺陷明细!$AA$2:$AA$50000,"&lt;&gt;设计如此",缺陷明细!$AA$2:$AA$50000,"&lt;&gt;重复Bug")+COUNTIFS(缺陷明细!$A$2:$A$50000,$B$4,缺陷明细!$G$2:$G$50000,$C40,缺陷明细!$J$2:$J$50000,"系统测试",缺陷明细!$K$2:$K$50000,"严重",缺陷明细!$AA$2:$AA$50000,"&lt;&gt;丢弃",缺陷明细!$AA$2:$AA$50000,"&lt;&gt;设计如此",缺陷明细!$AA$2:$AA$50000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COUNTIFS(缺陷明细!$A$2:$A$50000,$B$4,缺陷明细!$G$2:$G$50000,$C40,缺陷明细!$J$2:$J$50000,"验收测试",缺陷明细!$AA$2:$AA$50000,"&lt;&gt;丢弃",缺陷明细!$AA$2:$AA$50000,"&lt;&gt;设计如此",缺陷明细!$AA$2:$AA$50000,"&lt;&gt;重复Bug")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A$2:$AA$50000,"&lt;&gt;丢弃",缺陷明细!$AA$2:$AA$50000,"&lt;&gt;设计如此",缺陷明细!$AA$2:$AA$50000,"&lt;&gt;重复Bug")+COUNTIFS(缺陷明细!$A$2:$A$50000,$B$4,缺陷明细!$G$2:$G$50000,$C40,缺陷明细!$J$2:$J$50000,"验收测试",缺陷明细!$K$2:$K$50000,"严重",缺陷明细!$AA$2:$AA$50000,"&lt;&gt;丢弃",缺陷明细!$AA$2:$AA$50000,"&lt;&gt;设计如此",缺陷明细!$AA$2:$AA$50000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COUNTIFS(缺陷明细!$A$2:$A$50000,$B$4,缺陷明细!$G$2:$G$50000,$C40,缺陷明细!$J$2:$J$50000,"运维测试",缺陷明细!$AA$2:$AA$50000,"&lt;&gt;丢弃",缺陷明细!$AA$2:$AA$50000,"&lt;&gt;设计如此",缺陷明细!$AA$2:$AA$50000,"&lt;&gt;重复Bug")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A$2:$AA$50000,"&lt;&gt;丢弃",缺陷明细!$AA$2:$AA$50000,"&lt;&gt;设计如此",缺陷明细!$AA$2:$AA$50000,"&lt;&gt;重复Bug")+COUNTIFS(缺陷明细!$A$2:$A$50000,$B$4,缺陷明细!$G$2:$G$50000,$C40,缺陷明细!$J$2:$J$50000,"运维测试",缺陷明细!$K$2:$K$50000,"严重",缺陷明细!$AA$2:$AA$50000,"&lt;&gt;丢弃",缺陷明细!$AA$2:$AA$50000,"&lt;&gt;设计如此",缺陷明细!$AA$2:$AA$50000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51"/>
    </row>
    <row r="41" spans="1:37">
      <c r="A41">
        <v>37</v>
      </c>
      <c r="B41" s="57"/>
      <c r="C41" s="58"/>
      <c r="D41" s="84"/>
      <c r="E41" s="82"/>
      <c r="F41" s="165"/>
      <c r="G41" s="166"/>
      <c r="H41" s="305">
        <f>COUNTIFS(缺陷明细!$A$2:$A$50000,$B$4,缺陷明细!$G$2:$G$50000,$C41,缺陷明细!$J$2:$J$50000,"评审",缺陷明细!$AA$2:$AA$50000,"&lt;&gt;丢弃",缺陷明细!$AA$2:$AA$50000,"&lt;&gt;设计如此",缺陷明细!$AA$2:$AA$50000,"&lt;&gt;重复Bug")</f>
        <v>0</v>
      </c>
      <c r="I41" s="161">
        <f>COUNTIFS(缺陷明细!$A$2:$A$50000,$B$4,缺陷明细!$G$2:$G$50000,$C41,缺陷明细!$Q$2:$Q$50000,"已关闭",缺陷明细!$J$2:$J$50000,"评审")</f>
        <v>0</v>
      </c>
      <c r="J41" s="161">
        <f>COUNTIFS(缺陷明细!$A$2:$A$50000,$B$4,缺陷明细!$G$2:$G$50000,$C41,缺陷明细!$J$2:$J$50000,"单元测试",缺陷明细!$AA$2:$AA$50000,"&lt;&gt;丢弃",缺陷明细!$AA$2:$AA$50000,"&lt;&gt;设计如此",缺陷明细!$AA$2:$AA$50000,"&lt;&gt;重复Bug")</f>
        <v>0</v>
      </c>
      <c r="K41" s="162">
        <f>COUNTIFS(缺陷明细!$A$2:$A$50000,$B$4,缺陷明细!$G$2:$G$50000,$C41,缺陷明细!$Q$2:$Q$50000,"已关闭",缺陷明细!$J$2:$J$50000,"单元测试")</f>
        <v>0</v>
      </c>
      <c r="L41" s="163"/>
      <c r="M41" s="164"/>
      <c r="N41" s="72">
        <f>COUNTIFS(缺陷明细!$A$2:$A$50000,$B$4,缺陷明细!$G$2:$G$50000,$C41,缺陷明细!$J$2:$J$50000,"系统测试案例评审",缺陷明细!$AA$2:$AA$50000,"&lt;&gt;丢弃",缺陷明细!$AA$2:$AA$50000,"&lt;&gt;设计如此",缺陷明细!$AA$2:$AA$50000,"&lt;&gt;重复Bug")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COUNTIFS(缺陷明细!$A$2:$A$50000,$B$4,缺陷明细!$G$2:$G$50000,$C41,缺陷明细!$J$2:$J$50000,"系统测试",缺陷明细!$AA$2:$AA$50000,"&lt;&gt;丢弃",缺陷明细!$AA$2:$AA$50000,"&lt;&gt;设计如此",缺陷明细!$AA$2:$AA$50000,"&lt;&gt;重复Bug")</f>
        <v>0</v>
      </c>
      <c r="Q41" s="72">
        <f>COUNTIFS(缺陷明细!$A$2:$A$50000,$B$4,缺陷明细!$G$2:$G$50000,$C41,缺陷明细!$Q$2:$Q$50000,"已关闭",缺陷明细!$J$2:$J$50000,"系统测试")</f>
        <v>0</v>
      </c>
      <c r="R41" s="72">
        <f>COUNTIFS(缺陷明细!$A$2:$A$50000,$B$4,缺陷明细!$G$2:$G$50000,$C41,缺陷明细!$AA$2:$AA$50000,"丢弃",缺陷明细!$J$2:$J$50000,"系统测试")+COUNTIFS(缺陷明细!$A$2:$A$50000,$B$4,缺陷明细!$G$2:$G$50000,$C41,缺陷明细!$AA$2:$AA$50000,"设计如此",缺陷明细!$J$2:$J$50000,"系统测试"+COUNTIFS(缺陷明细!$A$2:$A$50000,$B$4,缺陷明细!$G$2:$G$50000,$C41,缺陷明细!$AA$2:$AA$50000,"重复Bug",缺陷明细!$J$2:$J$50000,"系统测试"))</f>
        <v>0</v>
      </c>
      <c r="S41" s="72">
        <f>COUNTIFS(缺陷明细!$A$2:$A$50000,$B$4,缺陷明细!$G$2:$G$50000,$C41,缺陷明细!$J$2:$J$50000,"系统测试",缺陷明细!$K$2:$K$50000,"致命",缺陷明细!$AA$2:$AA$50000,"&lt;&gt;丢弃",缺陷明细!$AA$2:$AA$50000,"&lt;&gt;设计如此",缺陷明细!$AA$2:$AA$50000,"&lt;&gt;重复Bug")+COUNTIFS(缺陷明细!$A$2:$A$50000,$B$4,缺陷明细!$G$2:$G$50000,$C41,缺陷明细!$J$2:$J$50000,"系统测试",缺陷明细!$K$2:$K$50000,"严重",缺陷明细!$AA$2:$AA$50000,"&lt;&gt;丢弃",缺陷明细!$AA$2:$AA$50000,"&lt;&gt;设计如此",缺陷明细!$AA$2:$AA$50000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COUNTIFS(缺陷明细!$A$2:$A$50000,$B$4,缺陷明细!$G$2:$G$50000,$C41,缺陷明细!$J$2:$J$50000,"验收测试",缺陷明细!$AA$2:$AA$50000,"&lt;&gt;丢弃",缺陷明细!$AA$2:$AA$50000,"&lt;&gt;设计如此",缺陷明细!$AA$2:$AA$50000,"&lt;&gt;重复Bug")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A$2:$AA$50000,"&lt;&gt;丢弃",缺陷明细!$AA$2:$AA$50000,"&lt;&gt;设计如此",缺陷明细!$AA$2:$AA$50000,"&lt;&gt;重复Bug")+COUNTIFS(缺陷明细!$A$2:$A$50000,$B$4,缺陷明细!$G$2:$G$50000,$C41,缺陷明细!$J$2:$J$50000,"验收测试",缺陷明细!$K$2:$K$50000,"严重",缺陷明细!$AA$2:$AA$50000,"&lt;&gt;丢弃",缺陷明细!$AA$2:$AA$50000,"&lt;&gt;设计如此",缺陷明细!$AA$2:$AA$50000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COUNTIFS(缺陷明细!$A$2:$A$50000,$B$4,缺陷明细!$G$2:$G$50000,$C41,缺陷明细!$J$2:$J$50000,"运维测试",缺陷明细!$AA$2:$AA$50000,"&lt;&gt;丢弃",缺陷明细!$AA$2:$AA$50000,"&lt;&gt;设计如此",缺陷明细!$AA$2:$AA$50000,"&lt;&gt;重复Bug")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A$2:$AA$50000,"&lt;&gt;丢弃",缺陷明细!$AA$2:$AA$50000,"&lt;&gt;设计如此",缺陷明细!$AA$2:$AA$50000,"&lt;&gt;重复Bug")+COUNTIFS(缺陷明细!$A$2:$A$50000,$B$4,缺陷明细!$G$2:$G$50000,$C41,缺陷明细!$J$2:$J$50000,"运维测试",缺陷明细!$K$2:$K$50000,"严重",缺陷明细!$AA$2:$AA$50000,"&lt;&gt;丢弃",缺陷明细!$AA$2:$AA$50000,"&lt;&gt;设计如此",缺陷明细!$AA$2:$AA$50000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51"/>
    </row>
    <row r="42" spans="1:37">
      <c r="A42">
        <v>38</v>
      </c>
      <c r="B42" s="57"/>
      <c r="C42" s="58"/>
      <c r="D42" s="84"/>
      <c r="E42" s="82"/>
      <c r="F42" s="165"/>
      <c r="G42" s="166"/>
      <c r="H42" s="305">
        <f>COUNTIFS(缺陷明细!$A$2:$A$50000,$B$4,缺陷明细!$G$2:$G$50000,$C42,缺陷明细!$J$2:$J$50000,"评审",缺陷明细!$AA$2:$AA$50000,"&lt;&gt;丢弃",缺陷明细!$AA$2:$AA$50000,"&lt;&gt;设计如此",缺陷明细!$AA$2:$AA$50000,"&lt;&gt;重复Bug")</f>
        <v>0</v>
      </c>
      <c r="I42" s="161">
        <f>COUNTIFS(缺陷明细!$A$2:$A$50000,$B$4,缺陷明细!$G$2:$G$50000,$C42,缺陷明细!$Q$2:$Q$50000,"已关闭",缺陷明细!$J$2:$J$50000,"评审")</f>
        <v>0</v>
      </c>
      <c r="J42" s="161">
        <f>COUNTIFS(缺陷明细!$A$2:$A$50000,$B$4,缺陷明细!$G$2:$G$50000,$C42,缺陷明细!$J$2:$J$50000,"单元测试",缺陷明细!$AA$2:$AA$50000,"&lt;&gt;丢弃",缺陷明细!$AA$2:$AA$50000,"&lt;&gt;设计如此",缺陷明细!$AA$2:$AA$50000,"&lt;&gt;重复Bug")</f>
        <v>0</v>
      </c>
      <c r="K42" s="162">
        <f>COUNTIFS(缺陷明细!$A$2:$A$50000,$B$4,缺陷明细!$G$2:$G$50000,$C42,缺陷明细!$Q$2:$Q$50000,"已关闭",缺陷明细!$J$2:$J$50000,"单元测试")</f>
        <v>0</v>
      </c>
      <c r="L42" s="163"/>
      <c r="M42" s="164"/>
      <c r="N42" s="72">
        <f>COUNTIFS(缺陷明细!$A$2:$A$50000,$B$4,缺陷明细!$G$2:$G$50000,$C42,缺陷明细!$J$2:$J$50000,"系统测试案例评审",缺陷明细!$AA$2:$AA$50000,"&lt;&gt;丢弃",缺陷明细!$AA$2:$AA$50000,"&lt;&gt;设计如此",缺陷明细!$AA$2:$AA$50000,"&lt;&gt;重复Bug")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COUNTIFS(缺陷明细!$A$2:$A$50000,$B$4,缺陷明细!$G$2:$G$50000,$C42,缺陷明细!$J$2:$J$50000,"系统测试",缺陷明细!$AA$2:$AA$50000,"&lt;&gt;丢弃",缺陷明细!$AA$2:$AA$50000,"&lt;&gt;设计如此",缺陷明细!$AA$2:$AA$50000,"&lt;&gt;重复Bug")</f>
        <v>0</v>
      </c>
      <c r="Q42" s="72">
        <f>COUNTIFS(缺陷明细!$A$2:$A$50000,$B$4,缺陷明细!$G$2:$G$50000,$C42,缺陷明细!$Q$2:$Q$50000,"已关闭",缺陷明细!$J$2:$J$50000,"系统测试")</f>
        <v>0</v>
      </c>
      <c r="R42" s="72">
        <f>COUNTIFS(缺陷明细!$A$2:$A$50000,$B$4,缺陷明细!$G$2:$G$50000,$C42,缺陷明细!$AA$2:$AA$50000,"丢弃",缺陷明细!$J$2:$J$50000,"系统测试")+COUNTIFS(缺陷明细!$A$2:$A$50000,$B$4,缺陷明细!$G$2:$G$50000,$C42,缺陷明细!$AA$2:$AA$50000,"设计如此",缺陷明细!$J$2:$J$50000,"系统测试"+COUNTIFS(缺陷明细!$A$2:$A$50000,$B$4,缺陷明细!$G$2:$G$50000,$C42,缺陷明细!$AA$2:$AA$50000,"重复Bug",缺陷明细!$J$2:$J$50000,"系统测试"))</f>
        <v>0</v>
      </c>
      <c r="S42" s="72">
        <f>COUNTIFS(缺陷明细!$A$2:$A$50000,$B$4,缺陷明细!$G$2:$G$50000,$C42,缺陷明细!$J$2:$J$50000,"系统测试",缺陷明细!$K$2:$K$50000,"致命",缺陷明细!$AA$2:$AA$50000,"&lt;&gt;丢弃",缺陷明细!$AA$2:$AA$50000,"&lt;&gt;设计如此",缺陷明细!$AA$2:$AA$50000,"&lt;&gt;重复Bug")+COUNTIFS(缺陷明细!$A$2:$A$50000,$B$4,缺陷明细!$G$2:$G$50000,$C42,缺陷明细!$J$2:$J$50000,"系统测试",缺陷明细!$K$2:$K$50000,"严重",缺陷明细!$AA$2:$AA$50000,"&lt;&gt;丢弃",缺陷明细!$AA$2:$AA$50000,"&lt;&gt;设计如此",缺陷明细!$AA$2:$AA$50000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COUNTIFS(缺陷明细!$A$2:$A$50000,$B$4,缺陷明细!$G$2:$G$50000,$C42,缺陷明细!$J$2:$J$50000,"验收测试",缺陷明细!$AA$2:$AA$50000,"&lt;&gt;丢弃",缺陷明细!$AA$2:$AA$50000,"&lt;&gt;设计如此",缺陷明细!$AA$2:$AA$50000,"&lt;&gt;重复Bug")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A$2:$AA$50000,"&lt;&gt;丢弃",缺陷明细!$AA$2:$AA$50000,"&lt;&gt;设计如此",缺陷明细!$AA$2:$AA$50000,"&lt;&gt;重复Bug")+COUNTIFS(缺陷明细!$A$2:$A$50000,$B$4,缺陷明细!$G$2:$G$50000,$C42,缺陷明细!$J$2:$J$50000,"验收测试",缺陷明细!$K$2:$K$50000,"严重",缺陷明细!$AA$2:$AA$50000,"&lt;&gt;丢弃",缺陷明细!$AA$2:$AA$50000,"&lt;&gt;设计如此",缺陷明细!$AA$2:$AA$50000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COUNTIFS(缺陷明细!$A$2:$A$50000,$B$4,缺陷明细!$G$2:$G$50000,$C42,缺陷明细!$J$2:$J$50000,"运维测试",缺陷明细!$AA$2:$AA$50000,"&lt;&gt;丢弃",缺陷明细!$AA$2:$AA$50000,"&lt;&gt;设计如此",缺陷明细!$AA$2:$AA$50000,"&lt;&gt;重复Bug")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A$2:$AA$50000,"&lt;&gt;丢弃",缺陷明细!$AA$2:$AA$50000,"&lt;&gt;设计如此",缺陷明细!$AA$2:$AA$50000,"&lt;&gt;重复Bug")+COUNTIFS(缺陷明细!$A$2:$A$50000,$B$4,缺陷明细!$G$2:$G$50000,$C42,缺陷明细!$J$2:$J$50000,"运维测试",缺陷明细!$K$2:$K$50000,"严重",缺陷明细!$AA$2:$AA$50000,"&lt;&gt;丢弃",缺陷明细!$AA$2:$AA$50000,"&lt;&gt;设计如此",缺陷明细!$AA$2:$AA$50000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51"/>
    </row>
    <row r="43" spans="1:37">
      <c r="A43">
        <v>39</v>
      </c>
      <c r="B43" s="57"/>
      <c r="C43" s="58"/>
      <c r="D43" s="84"/>
      <c r="E43" s="82"/>
      <c r="F43" s="165"/>
      <c r="G43" s="166"/>
      <c r="H43" s="305">
        <f>COUNTIFS(缺陷明细!$A$2:$A$50000,$B$4,缺陷明细!$G$2:$G$50000,$C43,缺陷明细!$J$2:$J$50000,"评审",缺陷明细!$AA$2:$AA$50000,"&lt;&gt;丢弃",缺陷明细!$AA$2:$AA$50000,"&lt;&gt;设计如此",缺陷明细!$AA$2:$AA$50000,"&lt;&gt;重复Bug")</f>
        <v>0</v>
      </c>
      <c r="I43" s="161">
        <f>COUNTIFS(缺陷明细!$A$2:$A$50000,$B$4,缺陷明细!$G$2:$G$50000,$C43,缺陷明细!$Q$2:$Q$50000,"已关闭",缺陷明细!$J$2:$J$50000,"评审")</f>
        <v>0</v>
      </c>
      <c r="J43" s="161">
        <f>COUNTIFS(缺陷明细!$A$2:$A$50000,$B$4,缺陷明细!$G$2:$G$50000,$C43,缺陷明细!$J$2:$J$50000,"单元测试",缺陷明细!$AA$2:$AA$50000,"&lt;&gt;丢弃",缺陷明细!$AA$2:$AA$50000,"&lt;&gt;设计如此",缺陷明细!$AA$2:$AA$50000,"&lt;&gt;重复Bug")</f>
        <v>0</v>
      </c>
      <c r="K43" s="162">
        <f>COUNTIFS(缺陷明细!$A$2:$A$50000,$B$4,缺陷明细!$G$2:$G$50000,$C43,缺陷明细!$Q$2:$Q$50000,"已关闭",缺陷明细!$J$2:$J$50000,"单元测试")</f>
        <v>0</v>
      </c>
      <c r="L43" s="163"/>
      <c r="M43" s="164"/>
      <c r="N43" s="72">
        <f>COUNTIFS(缺陷明细!$A$2:$A$50000,$B$4,缺陷明细!$G$2:$G$50000,$C43,缺陷明细!$J$2:$J$50000,"系统测试案例评审",缺陷明细!$AA$2:$AA$50000,"&lt;&gt;丢弃",缺陷明细!$AA$2:$AA$50000,"&lt;&gt;设计如此",缺陷明细!$AA$2:$AA$50000,"&lt;&gt;重复Bug")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COUNTIFS(缺陷明细!$A$2:$A$50000,$B$4,缺陷明细!$G$2:$G$50000,$C43,缺陷明细!$J$2:$J$50000,"系统测试",缺陷明细!$AA$2:$AA$50000,"&lt;&gt;丢弃",缺陷明细!$AA$2:$AA$50000,"&lt;&gt;设计如此",缺陷明细!$AA$2:$AA$50000,"&lt;&gt;重复Bug")</f>
        <v>0</v>
      </c>
      <c r="Q43" s="72">
        <f>COUNTIFS(缺陷明细!$A$2:$A$50000,$B$4,缺陷明细!$G$2:$G$50000,$C43,缺陷明细!$Q$2:$Q$50000,"已关闭",缺陷明细!$J$2:$J$50000,"系统测试")</f>
        <v>0</v>
      </c>
      <c r="R43" s="72">
        <f>COUNTIFS(缺陷明细!$A$2:$A$50000,$B$4,缺陷明细!$G$2:$G$50000,$C43,缺陷明细!$AA$2:$AA$50000,"丢弃",缺陷明细!$J$2:$J$50000,"系统测试")+COUNTIFS(缺陷明细!$A$2:$A$50000,$B$4,缺陷明细!$G$2:$G$50000,$C43,缺陷明细!$AA$2:$AA$50000,"设计如此",缺陷明细!$J$2:$J$50000,"系统测试"+COUNTIFS(缺陷明细!$A$2:$A$50000,$B$4,缺陷明细!$G$2:$G$50000,$C43,缺陷明细!$AA$2:$AA$50000,"重复Bug",缺陷明细!$J$2:$J$50000,"系统测试"))</f>
        <v>0</v>
      </c>
      <c r="S43" s="72">
        <f>COUNTIFS(缺陷明细!$A$2:$A$50000,$B$4,缺陷明细!$G$2:$G$50000,$C43,缺陷明细!$J$2:$J$50000,"系统测试",缺陷明细!$K$2:$K$50000,"致命",缺陷明细!$AA$2:$AA$50000,"&lt;&gt;丢弃",缺陷明细!$AA$2:$AA$50000,"&lt;&gt;设计如此",缺陷明细!$AA$2:$AA$50000,"&lt;&gt;重复Bug")+COUNTIFS(缺陷明细!$A$2:$A$50000,$B$4,缺陷明细!$G$2:$G$50000,$C43,缺陷明细!$J$2:$J$50000,"系统测试",缺陷明细!$K$2:$K$50000,"严重",缺陷明细!$AA$2:$AA$50000,"&lt;&gt;丢弃",缺陷明细!$AA$2:$AA$50000,"&lt;&gt;设计如此",缺陷明细!$AA$2:$AA$50000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COUNTIFS(缺陷明细!$A$2:$A$50000,$B$4,缺陷明细!$G$2:$G$50000,$C43,缺陷明细!$J$2:$J$50000,"验收测试",缺陷明细!$AA$2:$AA$50000,"&lt;&gt;丢弃",缺陷明细!$AA$2:$AA$50000,"&lt;&gt;设计如此",缺陷明细!$AA$2:$AA$50000,"&lt;&gt;重复Bug")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A$2:$AA$50000,"&lt;&gt;丢弃",缺陷明细!$AA$2:$AA$50000,"&lt;&gt;设计如此",缺陷明细!$AA$2:$AA$50000,"&lt;&gt;重复Bug")+COUNTIFS(缺陷明细!$A$2:$A$50000,$B$4,缺陷明细!$G$2:$G$50000,$C43,缺陷明细!$J$2:$J$50000,"验收测试",缺陷明细!$K$2:$K$50000,"严重",缺陷明细!$AA$2:$AA$50000,"&lt;&gt;丢弃",缺陷明细!$AA$2:$AA$50000,"&lt;&gt;设计如此",缺陷明细!$AA$2:$AA$50000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COUNTIFS(缺陷明细!$A$2:$A$50000,$B$4,缺陷明细!$G$2:$G$50000,$C43,缺陷明细!$J$2:$J$50000,"运维测试",缺陷明细!$AA$2:$AA$50000,"&lt;&gt;丢弃",缺陷明细!$AA$2:$AA$50000,"&lt;&gt;设计如此",缺陷明细!$AA$2:$AA$50000,"&lt;&gt;重复Bug")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A$2:$AA$50000,"&lt;&gt;丢弃",缺陷明细!$AA$2:$AA$50000,"&lt;&gt;设计如此",缺陷明细!$AA$2:$AA$50000,"&lt;&gt;重复Bug")+COUNTIFS(缺陷明细!$A$2:$A$50000,$B$4,缺陷明细!$G$2:$G$50000,$C43,缺陷明细!$J$2:$J$50000,"运维测试",缺陷明细!$K$2:$K$50000,"严重",缺陷明细!$AA$2:$AA$50000,"&lt;&gt;丢弃",缺陷明细!$AA$2:$AA$50000,"&lt;&gt;设计如此",缺陷明细!$AA$2:$AA$50000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51"/>
    </row>
    <row r="44" spans="1:37">
      <c r="A44">
        <v>40</v>
      </c>
      <c r="B44" s="57"/>
      <c r="C44" s="58"/>
      <c r="D44" s="84"/>
      <c r="E44" s="82"/>
      <c r="F44" s="165"/>
      <c r="G44" s="166"/>
      <c r="H44" s="305">
        <f>COUNTIFS(缺陷明细!$A$2:$A$50000,$B$4,缺陷明细!$G$2:$G$50000,$C44,缺陷明细!$J$2:$J$50000,"评审",缺陷明细!$AA$2:$AA$50000,"&lt;&gt;丢弃",缺陷明细!$AA$2:$AA$50000,"&lt;&gt;设计如此",缺陷明细!$AA$2:$AA$50000,"&lt;&gt;重复Bug")</f>
        <v>0</v>
      </c>
      <c r="I44" s="161">
        <f>COUNTIFS(缺陷明细!$A$2:$A$50000,$B$4,缺陷明细!$G$2:$G$50000,$C44,缺陷明细!$Q$2:$Q$50000,"已关闭",缺陷明细!$J$2:$J$50000,"评审")</f>
        <v>0</v>
      </c>
      <c r="J44" s="161">
        <f>COUNTIFS(缺陷明细!$A$2:$A$50000,$B$4,缺陷明细!$G$2:$G$50000,$C44,缺陷明细!$J$2:$J$50000,"单元测试",缺陷明细!$AA$2:$AA$50000,"&lt;&gt;丢弃",缺陷明细!$AA$2:$AA$50000,"&lt;&gt;设计如此",缺陷明细!$AA$2:$AA$50000,"&lt;&gt;重复Bug")</f>
        <v>0</v>
      </c>
      <c r="K44" s="162">
        <f>COUNTIFS(缺陷明细!$A$2:$A$50000,$B$4,缺陷明细!$G$2:$G$50000,$C44,缺陷明细!$Q$2:$Q$50000,"已关闭",缺陷明细!$J$2:$J$50000,"单元测试")</f>
        <v>0</v>
      </c>
      <c r="L44" s="163"/>
      <c r="M44" s="164"/>
      <c r="N44" s="72">
        <f>COUNTIFS(缺陷明细!$A$2:$A$50000,$B$4,缺陷明细!$G$2:$G$50000,$C44,缺陷明细!$J$2:$J$50000,"系统测试案例评审",缺陷明细!$AA$2:$AA$50000,"&lt;&gt;丢弃",缺陷明细!$AA$2:$AA$50000,"&lt;&gt;设计如此",缺陷明细!$AA$2:$AA$50000,"&lt;&gt;重复Bug")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COUNTIFS(缺陷明细!$A$2:$A$50000,$B$4,缺陷明细!$G$2:$G$50000,$C44,缺陷明细!$J$2:$J$50000,"系统测试",缺陷明细!$AA$2:$AA$50000,"&lt;&gt;丢弃",缺陷明细!$AA$2:$AA$50000,"&lt;&gt;设计如此",缺陷明细!$AA$2:$AA$50000,"&lt;&gt;重复Bug")</f>
        <v>0</v>
      </c>
      <c r="Q44" s="72">
        <f>COUNTIFS(缺陷明细!$A$2:$A$50000,$B$4,缺陷明细!$G$2:$G$50000,$C44,缺陷明细!$Q$2:$Q$50000,"已关闭",缺陷明细!$J$2:$J$50000,"系统测试")</f>
        <v>0</v>
      </c>
      <c r="R44" s="72">
        <f>COUNTIFS(缺陷明细!$A$2:$A$50000,$B$4,缺陷明细!$G$2:$G$50000,$C44,缺陷明细!$AA$2:$AA$50000,"丢弃",缺陷明细!$J$2:$J$50000,"系统测试")+COUNTIFS(缺陷明细!$A$2:$A$50000,$B$4,缺陷明细!$G$2:$G$50000,$C44,缺陷明细!$AA$2:$AA$50000,"设计如此",缺陷明细!$J$2:$J$50000,"系统测试"+COUNTIFS(缺陷明细!$A$2:$A$50000,$B$4,缺陷明细!$G$2:$G$50000,$C44,缺陷明细!$AA$2:$AA$50000,"重复Bug",缺陷明细!$J$2:$J$50000,"系统测试"))</f>
        <v>0</v>
      </c>
      <c r="S44" s="72">
        <f>COUNTIFS(缺陷明细!$A$2:$A$50000,$B$4,缺陷明细!$G$2:$G$50000,$C44,缺陷明细!$J$2:$J$50000,"系统测试",缺陷明细!$K$2:$K$50000,"致命",缺陷明细!$AA$2:$AA$50000,"&lt;&gt;丢弃",缺陷明细!$AA$2:$AA$50000,"&lt;&gt;设计如此",缺陷明细!$AA$2:$AA$50000,"&lt;&gt;重复Bug")+COUNTIFS(缺陷明细!$A$2:$A$50000,$B$4,缺陷明细!$G$2:$G$50000,$C44,缺陷明细!$J$2:$J$50000,"系统测试",缺陷明细!$K$2:$K$50000,"严重",缺陷明细!$AA$2:$AA$50000,"&lt;&gt;丢弃",缺陷明细!$AA$2:$AA$50000,"&lt;&gt;设计如此",缺陷明细!$AA$2:$AA$50000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COUNTIFS(缺陷明细!$A$2:$A$50000,$B$4,缺陷明细!$G$2:$G$50000,$C44,缺陷明细!$J$2:$J$50000,"验收测试",缺陷明细!$AA$2:$AA$50000,"&lt;&gt;丢弃",缺陷明细!$AA$2:$AA$50000,"&lt;&gt;设计如此",缺陷明细!$AA$2:$AA$50000,"&lt;&gt;重复Bug")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A$2:$AA$50000,"&lt;&gt;丢弃",缺陷明细!$AA$2:$AA$50000,"&lt;&gt;设计如此",缺陷明细!$AA$2:$AA$50000,"&lt;&gt;重复Bug")+COUNTIFS(缺陷明细!$A$2:$A$50000,$B$4,缺陷明细!$G$2:$G$50000,$C44,缺陷明细!$J$2:$J$50000,"验收测试",缺陷明细!$K$2:$K$50000,"严重",缺陷明细!$AA$2:$AA$50000,"&lt;&gt;丢弃",缺陷明细!$AA$2:$AA$50000,"&lt;&gt;设计如此",缺陷明细!$AA$2:$AA$50000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COUNTIFS(缺陷明细!$A$2:$A$50000,$B$4,缺陷明细!$G$2:$G$50000,$C44,缺陷明细!$J$2:$J$50000,"运维测试",缺陷明细!$AA$2:$AA$50000,"&lt;&gt;丢弃",缺陷明细!$AA$2:$AA$50000,"&lt;&gt;设计如此",缺陷明细!$AA$2:$AA$50000,"&lt;&gt;重复Bug")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A$2:$AA$50000,"&lt;&gt;丢弃",缺陷明细!$AA$2:$AA$50000,"&lt;&gt;设计如此",缺陷明细!$AA$2:$AA$50000,"&lt;&gt;重复Bug")+COUNTIFS(缺陷明细!$A$2:$A$50000,$B$4,缺陷明细!$G$2:$G$50000,$C44,缺陷明细!$J$2:$J$50000,"运维测试",缺陷明细!$K$2:$K$50000,"严重",缺陷明细!$AA$2:$AA$50000,"&lt;&gt;丢弃",缺陷明细!$AA$2:$AA$50000,"&lt;&gt;设计如此",缺陷明细!$AA$2:$AA$50000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51"/>
    </row>
    <row r="45" spans="1:37">
      <c r="A45">
        <v>41</v>
      </c>
      <c r="B45" s="57"/>
      <c r="C45" s="58"/>
      <c r="D45" s="84"/>
      <c r="E45" s="82"/>
      <c r="F45" s="165"/>
      <c r="G45" s="166"/>
      <c r="H45" s="305">
        <f>COUNTIFS(缺陷明细!$A$2:$A$50000,$B$4,缺陷明细!$G$2:$G$50000,$C45,缺陷明细!$J$2:$J$50000,"评审",缺陷明细!$AA$2:$AA$50000,"&lt;&gt;丢弃",缺陷明细!$AA$2:$AA$50000,"&lt;&gt;设计如此",缺陷明细!$AA$2:$AA$50000,"&lt;&gt;重复Bug")</f>
        <v>0</v>
      </c>
      <c r="I45" s="161">
        <f>COUNTIFS(缺陷明细!$A$2:$A$50000,$B$4,缺陷明细!$G$2:$G$50000,$C45,缺陷明细!$Q$2:$Q$50000,"已关闭",缺陷明细!$J$2:$J$50000,"评审")</f>
        <v>0</v>
      </c>
      <c r="J45" s="161">
        <f>COUNTIFS(缺陷明细!$A$2:$A$50000,$B$4,缺陷明细!$G$2:$G$50000,$C45,缺陷明细!$J$2:$J$50000,"单元测试",缺陷明细!$AA$2:$AA$50000,"&lt;&gt;丢弃",缺陷明细!$AA$2:$AA$50000,"&lt;&gt;设计如此",缺陷明细!$AA$2:$AA$50000,"&lt;&gt;重复Bug")</f>
        <v>0</v>
      </c>
      <c r="K45" s="162">
        <f>COUNTIFS(缺陷明细!$A$2:$A$50000,$B$4,缺陷明细!$G$2:$G$50000,$C45,缺陷明细!$Q$2:$Q$50000,"已关闭",缺陷明细!$J$2:$J$50000,"单元测试")</f>
        <v>0</v>
      </c>
      <c r="L45" s="163"/>
      <c r="M45" s="164"/>
      <c r="N45" s="72">
        <f>COUNTIFS(缺陷明细!$A$2:$A$50000,$B$4,缺陷明细!$G$2:$G$50000,$C45,缺陷明细!$J$2:$J$50000,"系统测试案例评审",缺陷明细!$AA$2:$AA$50000,"&lt;&gt;丢弃",缺陷明细!$AA$2:$AA$50000,"&lt;&gt;设计如此",缺陷明细!$AA$2:$AA$50000,"&lt;&gt;重复Bug")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COUNTIFS(缺陷明细!$A$2:$A$50000,$B$4,缺陷明细!$G$2:$G$50000,$C45,缺陷明细!$J$2:$J$50000,"系统测试",缺陷明细!$AA$2:$AA$50000,"&lt;&gt;丢弃",缺陷明细!$AA$2:$AA$50000,"&lt;&gt;设计如此",缺陷明细!$AA$2:$AA$50000,"&lt;&gt;重复Bug")</f>
        <v>0</v>
      </c>
      <c r="Q45" s="72">
        <f>COUNTIFS(缺陷明细!$A$2:$A$50000,$B$4,缺陷明细!$G$2:$G$50000,$C45,缺陷明细!$Q$2:$Q$50000,"已关闭",缺陷明细!$J$2:$J$50000,"系统测试")</f>
        <v>0</v>
      </c>
      <c r="R45" s="72">
        <f>COUNTIFS(缺陷明细!$A$2:$A$50000,$B$4,缺陷明细!$G$2:$G$50000,$C45,缺陷明细!$AA$2:$AA$50000,"丢弃",缺陷明细!$J$2:$J$50000,"系统测试")+COUNTIFS(缺陷明细!$A$2:$A$50000,$B$4,缺陷明细!$G$2:$G$50000,$C45,缺陷明细!$AA$2:$AA$50000,"设计如此",缺陷明细!$J$2:$J$50000,"系统测试"+COUNTIFS(缺陷明细!$A$2:$A$50000,$B$4,缺陷明细!$G$2:$G$50000,$C45,缺陷明细!$AA$2:$AA$50000,"重复Bug",缺陷明细!$J$2:$J$50000,"系统测试"))</f>
        <v>0</v>
      </c>
      <c r="S45" s="72">
        <f>COUNTIFS(缺陷明细!$A$2:$A$50000,$B$4,缺陷明细!$G$2:$G$50000,$C45,缺陷明细!$J$2:$J$50000,"系统测试",缺陷明细!$K$2:$K$50000,"致命",缺陷明细!$AA$2:$AA$50000,"&lt;&gt;丢弃",缺陷明细!$AA$2:$AA$50000,"&lt;&gt;设计如此",缺陷明细!$AA$2:$AA$50000,"&lt;&gt;重复Bug")+COUNTIFS(缺陷明细!$A$2:$A$50000,$B$4,缺陷明细!$G$2:$G$50000,$C45,缺陷明细!$J$2:$J$50000,"系统测试",缺陷明细!$K$2:$K$50000,"严重",缺陷明细!$AA$2:$AA$50000,"&lt;&gt;丢弃",缺陷明细!$AA$2:$AA$50000,"&lt;&gt;设计如此",缺陷明细!$AA$2:$AA$50000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COUNTIFS(缺陷明细!$A$2:$A$50000,$B$4,缺陷明细!$G$2:$G$50000,$C45,缺陷明细!$J$2:$J$50000,"验收测试",缺陷明细!$AA$2:$AA$50000,"&lt;&gt;丢弃",缺陷明细!$AA$2:$AA$50000,"&lt;&gt;设计如此",缺陷明细!$AA$2:$AA$50000,"&lt;&gt;重复Bug")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A$2:$AA$50000,"&lt;&gt;丢弃",缺陷明细!$AA$2:$AA$50000,"&lt;&gt;设计如此",缺陷明细!$AA$2:$AA$50000,"&lt;&gt;重复Bug")+COUNTIFS(缺陷明细!$A$2:$A$50000,$B$4,缺陷明细!$G$2:$G$50000,$C45,缺陷明细!$J$2:$J$50000,"验收测试",缺陷明细!$K$2:$K$50000,"严重",缺陷明细!$AA$2:$AA$50000,"&lt;&gt;丢弃",缺陷明细!$AA$2:$AA$50000,"&lt;&gt;设计如此",缺陷明细!$AA$2:$AA$50000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COUNTIFS(缺陷明细!$A$2:$A$50000,$B$4,缺陷明细!$G$2:$G$50000,$C45,缺陷明细!$J$2:$J$50000,"运维测试",缺陷明细!$AA$2:$AA$50000,"&lt;&gt;丢弃",缺陷明细!$AA$2:$AA$50000,"&lt;&gt;设计如此",缺陷明细!$AA$2:$AA$50000,"&lt;&gt;重复Bug")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A$2:$AA$50000,"&lt;&gt;丢弃",缺陷明细!$AA$2:$AA$50000,"&lt;&gt;设计如此",缺陷明细!$AA$2:$AA$50000,"&lt;&gt;重复Bug")+COUNTIFS(缺陷明细!$A$2:$A$50000,$B$4,缺陷明细!$G$2:$G$50000,$C45,缺陷明细!$J$2:$J$50000,"运维测试",缺陷明细!$K$2:$K$50000,"严重",缺陷明细!$AA$2:$AA$50000,"&lt;&gt;丢弃",缺陷明细!$AA$2:$AA$50000,"&lt;&gt;设计如此",缺陷明细!$AA$2:$AA$50000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51"/>
    </row>
    <row r="46" spans="1:37">
      <c r="A46">
        <v>42</v>
      </c>
      <c r="B46" s="57"/>
      <c r="C46" s="58"/>
      <c r="D46" s="84"/>
      <c r="E46" s="82"/>
      <c r="F46" s="165"/>
      <c r="G46" s="166"/>
      <c r="H46" s="305">
        <f>COUNTIFS(缺陷明细!$A$2:$A$50000,$B$4,缺陷明细!$G$2:$G$50000,$C46,缺陷明细!$J$2:$J$50000,"评审",缺陷明细!$AA$2:$AA$50000,"&lt;&gt;丢弃",缺陷明细!$AA$2:$AA$50000,"&lt;&gt;设计如此",缺陷明细!$AA$2:$AA$50000,"&lt;&gt;重复Bug")</f>
        <v>0</v>
      </c>
      <c r="I46" s="161">
        <f>COUNTIFS(缺陷明细!$A$2:$A$50000,$B$4,缺陷明细!$G$2:$G$50000,$C46,缺陷明细!$Q$2:$Q$50000,"已关闭",缺陷明细!$J$2:$J$50000,"评审")</f>
        <v>0</v>
      </c>
      <c r="J46" s="161">
        <f>COUNTIFS(缺陷明细!$A$2:$A$50000,$B$4,缺陷明细!$G$2:$G$50000,$C46,缺陷明细!$J$2:$J$50000,"单元测试",缺陷明细!$AA$2:$AA$50000,"&lt;&gt;丢弃",缺陷明细!$AA$2:$AA$50000,"&lt;&gt;设计如此",缺陷明细!$AA$2:$AA$50000,"&lt;&gt;重复Bug")</f>
        <v>0</v>
      </c>
      <c r="K46" s="162">
        <f>COUNTIFS(缺陷明细!$A$2:$A$50000,$B$4,缺陷明细!$G$2:$G$50000,$C46,缺陷明细!$Q$2:$Q$50000,"已关闭",缺陷明细!$J$2:$J$50000,"单元测试")</f>
        <v>0</v>
      </c>
      <c r="L46" s="163"/>
      <c r="M46" s="164"/>
      <c r="N46" s="72">
        <f>COUNTIFS(缺陷明细!$A$2:$A$50000,$B$4,缺陷明细!$G$2:$G$50000,$C46,缺陷明细!$J$2:$J$50000,"系统测试案例评审",缺陷明细!$AA$2:$AA$50000,"&lt;&gt;丢弃",缺陷明细!$AA$2:$AA$50000,"&lt;&gt;设计如此",缺陷明细!$AA$2:$AA$50000,"&lt;&gt;重复Bug")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COUNTIFS(缺陷明细!$A$2:$A$50000,$B$4,缺陷明细!$G$2:$G$50000,$C46,缺陷明细!$J$2:$J$50000,"系统测试",缺陷明细!$AA$2:$AA$50000,"&lt;&gt;丢弃",缺陷明细!$AA$2:$AA$50000,"&lt;&gt;设计如此",缺陷明细!$AA$2:$AA$50000,"&lt;&gt;重复Bug")</f>
        <v>0</v>
      </c>
      <c r="Q46" s="72">
        <f>COUNTIFS(缺陷明细!$A$2:$A$50000,$B$4,缺陷明细!$G$2:$G$50000,$C46,缺陷明细!$Q$2:$Q$50000,"已关闭",缺陷明细!$J$2:$J$50000,"系统测试")</f>
        <v>0</v>
      </c>
      <c r="R46" s="72">
        <f>COUNTIFS(缺陷明细!$A$2:$A$50000,$B$4,缺陷明细!$G$2:$G$50000,$C46,缺陷明细!$AA$2:$AA$50000,"丢弃",缺陷明细!$J$2:$J$50000,"系统测试")+COUNTIFS(缺陷明细!$A$2:$A$50000,$B$4,缺陷明细!$G$2:$G$50000,$C46,缺陷明细!$AA$2:$AA$50000,"设计如此",缺陷明细!$J$2:$J$50000,"系统测试"+COUNTIFS(缺陷明细!$A$2:$A$50000,$B$4,缺陷明细!$G$2:$G$50000,$C46,缺陷明细!$AA$2:$AA$50000,"重复Bug",缺陷明细!$J$2:$J$50000,"系统测试"))</f>
        <v>0</v>
      </c>
      <c r="S46" s="72">
        <f>COUNTIFS(缺陷明细!$A$2:$A$50000,$B$4,缺陷明细!$G$2:$G$50000,$C46,缺陷明细!$J$2:$J$50000,"系统测试",缺陷明细!$K$2:$K$50000,"致命",缺陷明细!$AA$2:$AA$50000,"&lt;&gt;丢弃",缺陷明细!$AA$2:$AA$50000,"&lt;&gt;设计如此",缺陷明细!$AA$2:$AA$50000,"&lt;&gt;重复Bug")+COUNTIFS(缺陷明细!$A$2:$A$50000,$B$4,缺陷明细!$G$2:$G$50000,$C46,缺陷明细!$J$2:$J$50000,"系统测试",缺陷明细!$K$2:$K$50000,"严重",缺陷明细!$AA$2:$AA$50000,"&lt;&gt;丢弃",缺陷明细!$AA$2:$AA$50000,"&lt;&gt;设计如此",缺陷明细!$AA$2:$AA$50000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COUNTIFS(缺陷明细!$A$2:$A$50000,$B$4,缺陷明细!$G$2:$G$50000,$C46,缺陷明细!$J$2:$J$50000,"验收测试",缺陷明细!$AA$2:$AA$50000,"&lt;&gt;丢弃",缺陷明细!$AA$2:$AA$50000,"&lt;&gt;设计如此",缺陷明细!$AA$2:$AA$50000,"&lt;&gt;重复Bug")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A$2:$AA$50000,"&lt;&gt;丢弃",缺陷明细!$AA$2:$AA$50000,"&lt;&gt;设计如此",缺陷明细!$AA$2:$AA$50000,"&lt;&gt;重复Bug")+COUNTIFS(缺陷明细!$A$2:$A$50000,$B$4,缺陷明细!$G$2:$G$50000,$C46,缺陷明细!$J$2:$J$50000,"验收测试",缺陷明细!$K$2:$K$50000,"严重",缺陷明细!$AA$2:$AA$50000,"&lt;&gt;丢弃",缺陷明细!$AA$2:$AA$50000,"&lt;&gt;设计如此",缺陷明细!$AA$2:$AA$50000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COUNTIFS(缺陷明细!$A$2:$A$50000,$B$4,缺陷明细!$G$2:$G$50000,$C46,缺陷明细!$J$2:$J$50000,"运维测试",缺陷明细!$AA$2:$AA$50000,"&lt;&gt;丢弃",缺陷明细!$AA$2:$AA$50000,"&lt;&gt;设计如此",缺陷明细!$AA$2:$AA$50000,"&lt;&gt;重复Bug")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A$2:$AA$50000,"&lt;&gt;丢弃",缺陷明细!$AA$2:$AA$50000,"&lt;&gt;设计如此",缺陷明细!$AA$2:$AA$50000,"&lt;&gt;重复Bug")+COUNTIFS(缺陷明细!$A$2:$A$50000,$B$4,缺陷明细!$G$2:$G$50000,$C46,缺陷明细!$J$2:$J$50000,"运维测试",缺陷明细!$K$2:$K$50000,"严重",缺陷明细!$AA$2:$AA$50000,"&lt;&gt;丢弃",缺陷明细!$AA$2:$AA$50000,"&lt;&gt;设计如此",缺陷明细!$AA$2:$AA$50000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51"/>
    </row>
    <row r="47" spans="1:37">
      <c r="A47">
        <v>43</v>
      </c>
      <c r="B47" s="57"/>
      <c r="C47" s="58"/>
      <c r="D47" s="84"/>
      <c r="E47" s="82"/>
      <c r="F47" s="165"/>
      <c r="G47" s="166"/>
      <c r="H47" s="305">
        <f>COUNTIFS(缺陷明细!$A$2:$A$50000,$B$4,缺陷明细!$G$2:$G$50000,$C47,缺陷明细!$J$2:$J$50000,"评审",缺陷明细!$AA$2:$AA$50000,"&lt;&gt;丢弃",缺陷明细!$AA$2:$AA$50000,"&lt;&gt;设计如此",缺陷明细!$AA$2:$AA$50000,"&lt;&gt;重复Bug")</f>
        <v>0</v>
      </c>
      <c r="I47" s="161">
        <f>COUNTIFS(缺陷明细!$A$2:$A$50000,$B$4,缺陷明细!$G$2:$G$50000,$C47,缺陷明细!$Q$2:$Q$50000,"已关闭",缺陷明细!$J$2:$J$50000,"评审")</f>
        <v>0</v>
      </c>
      <c r="J47" s="161">
        <f>COUNTIFS(缺陷明细!$A$2:$A$50000,$B$4,缺陷明细!$G$2:$G$50000,$C47,缺陷明细!$J$2:$J$50000,"单元测试",缺陷明细!$AA$2:$AA$50000,"&lt;&gt;丢弃",缺陷明细!$AA$2:$AA$50000,"&lt;&gt;设计如此",缺陷明细!$AA$2:$AA$50000,"&lt;&gt;重复Bug")</f>
        <v>0</v>
      </c>
      <c r="K47" s="162">
        <f>COUNTIFS(缺陷明细!$A$2:$A$50000,$B$4,缺陷明细!$G$2:$G$50000,$C47,缺陷明细!$Q$2:$Q$50000,"已关闭",缺陷明细!$J$2:$J$50000,"单元测试")</f>
        <v>0</v>
      </c>
      <c r="L47" s="163"/>
      <c r="M47" s="164"/>
      <c r="N47" s="72">
        <f>COUNTIFS(缺陷明细!$A$2:$A$50000,$B$4,缺陷明细!$G$2:$G$50000,$C47,缺陷明细!$J$2:$J$50000,"系统测试案例评审",缺陷明细!$AA$2:$AA$50000,"&lt;&gt;丢弃",缺陷明细!$AA$2:$AA$50000,"&lt;&gt;设计如此",缺陷明细!$AA$2:$AA$50000,"&lt;&gt;重复Bug")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COUNTIFS(缺陷明细!$A$2:$A$50000,$B$4,缺陷明细!$G$2:$G$50000,$C47,缺陷明细!$J$2:$J$50000,"系统测试",缺陷明细!$AA$2:$AA$50000,"&lt;&gt;丢弃",缺陷明细!$AA$2:$AA$50000,"&lt;&gt;设计如此",缺陷明细!$AA$2:$AA$50000,"&lt;&gt;重复Bug")</f>
        <v>0</v>
      </c>
      <c r="Q47" s="72">
        <f>COUNTIFS(缺陷明细!$A$2:$A$50000,$B$4,缺陷明细!$G$2:$G$50000,$C47,缺陷明细!$Q$2:$Q$50000,"已关闭",缺陷明细!$J$2:$J$50000,"系统测试")</f>
        <v>0</v>
      </c>
      <c r="R47" s="72">
        <f>COUNTIFS(缺陷明细!$A$2:$A$50000,$B$4,缺陷明细!$G$2:$G$50000,$C47,缺陷明细!$AA$2:$AA$50000,"丢弃",缺陷明细!$J$2:$J$50000,"系统测试")+COUNTIFS(缺陷明细!$A$2:$A$50000,$B$4,缺陷明细!$G$2:$G$50000,$C47,缺陷明细!$AA$2:$AA$50000,"设计如此",缺陷明细!$J$2:$J$50000,"系统测试"+COUNTIFS(缺陷明细!$A$2:$A$50000,$B$4,缺陷明细!$G$2:$G$50000,$C47,缺陷明细!$AA$2:$AA$50000,"重复Bug",缺陷明细!$J$2:$J$50000,"系统测试"))</f>
        <v>0</v>
      </c>
      <c r="S47" s="72">
        <f>COUNTIFS(缺陷明细!$A$2:$A$50000,$B$4,缺陷明细!$G$2:$G$50000,$C47,缺陷明细!$J$2:$J$50000,"系统测试",缺陷明细!$K$2:$K$50000,"致命",缺陷明细!$AA$2:$AA$50000,"&lt;&gt;丢弃",缺陷明细!$AA$2:$AA$50000,"&lt;&gt;设计如此",缺陷明细!$AA$2:$AA$50000,"&lt;&gt;重复Bug")+COUNTIFS(缺陷明细!$A$2:$A$50000,$B$4,缺陷明细!$G$2:$G$50000,$C47,缺陷明细!$J$2:$J$50000,"系统测试",缺陷明细!$K$2:$K$50000,"严重",缺陷明细!$AA$2:$AA$50000,"&lt;&gt;丢弃",缺陷明细!$AA$2:$AA$50000,"&lt;&gt;设计如此",缺陷明细!$AA$2:$AA$50000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COUNTIFS(缺陷明细!$A$2:$A$50000,$B$4,缺陷明细!$G$2:$G$50000,$C47,缺陷明细!$J$2:$J$50000,"验收测试",缺陷明细!$AA$2:$AA$50000,"&lt;&gt;丢弃",缺陷明细!$AA$2:$AA$50000,"&lt;&gt;设计如此",缺陷明细!$AA$2:$AA$50000,"&lt;&gt;重复Bug")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A$2:$AA$50000,"&lt;&gt;丢弃",缺陷明细!$AA$2:$AA$50000,"&lt;&gt;设计如此",缺陷明细!$AA$2:$AA$50000,"&lt;&gt;重复Bug")+COUNTIFS(缺陷明细!$A$2:$A$50000,$B$4,缺陷明细!$G$2:$G$50000,$C47,缺陷明细!$J$2:$J$50000,"验收测试",缺陷明细!$K$2:$K$50000,"严重",缺陷明细!$AA$2:$AA$50000,"&lt;&gt;丢弃",缺陷明细!$AA$2:$AA$50000,"&lt;&gt;设计如此",缺陷明细!$AA$2:$AA$50000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COUNTIFS(缺陷明细!$A$2:$A$50000,$B$4,缺陷明细!$G$2:$G$50000,$C47,缺陷明细!$J$2:$J$50000,"运维测试",缺陷明细!$AA$2:$AA$50000,"&lt;&gt;丢弃",缺陷明细!$AA$2:$AA$50000,"&lt;&gt;设计如此",缺陷明细!$AA$2:$AA$50000,"&lt;&gt;重复Bug")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A$2:$AA$50000,"&lt;&gt;丢弃",缺陷明细!$AA$2:$AA$50000,"&lt;&gt;设计如此",缺陷明细!$AA$2:$AA$50000,"&lt;&gt;重复Bug")+COUNTIFS(缺陷明细!$A$2:$A$50000,$B$4,缺陷明细!$G$2:$G$50000,$C47,缺陷明细!$J$2:$J$50000,"运维测试",缺陷明细!$K$2:$K$50000,"严重",缺陷明细!$AA$2:$AA$50000,"&lt;&gt;丢弃",缺陷明细!$AA$2:$AA$50000,"&lt;&gt;设计如此",缺陷明细!$AA$2:$AA$50000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51"/>
    </row>
    <row r="48" spans="1:37">
      <c r="A48">
        <v>44</v>
      </c>
      <c r="B48" s="57"/>
      <c r="C48" s="58"/>
      <c r="D48" s="84"/>
      <c r="E48" s="82"/>
      <c r="F48" s="165"/>
      <c r="G48" s="166"/>
      <c r="H48" s="305">
        <f>COUNTIFS(缺陷明细!$A$2:$A$50000,$B$4,缺陷明细!$G$2:$G$50000,$C48,缺陷明细!$J$2:$J$50000,"评审",缺陷明细!$AA$2:$AA$50000,"&lt;&gt;丢弃",缺陷明细!$AA$2:$AA$50000,"&lt;&gt;设计如此",缺陷明细!$AA$2:$AA$50000,"&lt;&gt;重复Bug")</f>
        <v>0</v>
      </c>
      <c r="I48" s="161">
        <f>COUNTIFS(缺陷明细!$A$2:$A$50000,$B$4,缺陷明细!$G$2:$G$50000,$C48,缺陷明细!$Q$2:$Q$50000,"已关闭",缺陷明细!$J$2:$J$50000,"评审")</f>
        <v>0</v>
      </c>
      <c r="J48" s="161">
        <f>COUNTIFS(缺陷明细!$A$2:$A$50000,$B$4,缺陷明细!$G$2:$G$50000,$C48,缺陷明细!$J$2:$J$50000,"单元测试",缺陷明细!$AA$2:$AA$50000,"&lt;&gt;丢弃",缺陷明细!$AA$2:$AA$50000,"&lt;&gt;设计如此",缺陷明细!$AA$2:$AA$50000,"&lt;&gt;重复Bug")</f>
        <v>0</v>
      </c>
      <c r="K48" s="162">
        <f>COUNTIFS(缺陷明细!$A$2:$A$50000,$B$4,缺陷明细!$G$2:$G$50000,$C48,缺陷明细!$Q$2:$Q$50000,"已关闭",缺陷明细!$J$2:$J$50000,"单元测试")</f>
        <v>0</v>
      </c>
      <c r="L48" s="163"/>
      <c r="M48" s="164"/>
      <c r="N48" s="72">
        <f>COUNTIFS(缺陷明细!$A$2:$A$50000,$B$4,缺陷明细!$G$2:$G$50000,$C48,缺陷明细!$J$2:$J$50000,"系统测试案例评审",缺陷明细!$AA$2:$AA$50000,"&lt;&gt;丢弃",缺陷明细!$AA$2:$AA$50000,"&lt;&gt;设计如此",缺陷明细!$AA$2:$AA$50000,"&lt;&gt;重复Bug")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COUNTIFS(缺陷明细!$A$2:$A$50000,$B$4,缺陷明细!$G$2:$G$50000,$C48,缺陷明细!$J$2:$J$50000,"系统测试",缺陷明细!$AA$2:$AA$50000,"&lt;&gt;丢弃",缺陷明细!$AA$2:$AA$50000,"&lt;&gt;设计如此",缺陷明细!$AA$2:$AA$50000,"&lt;&gt;重复Bug")</f>
        <v>0</v>
      </c>
      <c r="Q48" s="72">
        <f>COUNTIFS(缺陷明细!$A$2:$A$50000,$B$4,缺陷明细!$G$2:$G$50000,$C48,缺陷明细!$Q$2:$Q$50000,"已关闭",缺陷明细!$J$2:$J$50000,"系统测试")</f>
        <v>0</v>
      </c>
      <c r="R48" s="72">
        <f>COUNTIFS(缺陷明细!$A$2:$A$50000,$B$4,缺陷明细!$G$2:$G$50000,$C48,缺陷明细!$AA$2:$AA$50000,"丢弃",缺陷明细!$J$2:$J$50000,"系统测试")+COUNTIFS(缺陷明细!$A$2:$A$50000,$B$4,缺陷明细!$G$2:$G$50000,$C48,缺陷明细!$AA$2:$AA$50000,"设计如此",缺陷明细!$J$2:$J$50000,"系统测试"+COUNTIFS(缺陷明细!$A$2:$A$50000,$B$4,缺陷明细!$G$2:$G$50000,$C48,缺陷明细!$AA$2:$AA$50000,"重复Bug",缺陷明细!$J$2:$J$50000,"系统测试"))</f>
        <v>0</v>
      </c>
      <c r="S48" s="72">
        <f>COUNTIFS(缺陷明细!$A$2:$A$50000,$B$4,缺陷明细!$G$2:$G$50000,$C48,缺陷明细!$J$2:$J$50000,"系统测试",缺陷明细!$K$2:$K$50000,"致命",缺陷明细!$AA$2:$AA$50000,"&lt;&gt;丢弃",缺陷明细!$AA$2:$AA$50000,"&lt;&gt;设计如此",缺陷明细!$AA$2:$AA$50000,"&lt;&gt;重复Bug")+COUNTIFS(缺陷明细!$A$2:$A$50000,$B$4,缺陷明细!$G$2:$G$50000,$C48,缺陷明细!$J$2:$J$50000,"系统测试",缺陷明细!$K$2:$K$50000,"严重",缺陷明细!$AA$2:$AA$50000,"&lt;&gt;丢弃",缺陷明细!$AA$2:$AA$50000,"&lt;&gt;设计如此",缺陷明细!$AA$2:$AA$50000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COUNTIFS(缺陷明细!$A$2:$A$50000,$B$4,缺陷明细!$G$2:$G$50000,$C48,缺陷明细!$J$2:$J$50000,"验收测试",缺陷明细!$AA$2:$AA$50000,"&lt;&gt;丢弃",缺陷明细!$AA$2:$AA$50000,"&lt;&gt;设计如此",缺陷明细!$AA$2:$AA$50000,"&lt;&gt;重复Bug")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A$2:$AA$50000,"&lt;&gt;丢弃",缺陷明细!$AA$2:$AA$50000,"&lt;&gt;设计如此",缺陷明细!$AA$2:$AA$50000,"&lt;&gt;重复Bug")+COUNTIFS(缺陷明细!$A$2:$A$50000,$B$4,缺陷明细!$G$2:$G$50000,$C48,缺陷明细!$J$2:$J$50000,"验收测试",缺陷明细!$K$2:$K$50000,"严重",缺陷明细!$AA$2:$AA$50000,"&lt;&gt;丢弃",缺陷明细!$AA$2:$AA$50000,"&lt;&gt;设计如此",缺陷明细!$AA$2:$AA$50000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COUNTIFS(缺陷明细!$A$2:$A$50000,$B$4,缺陷明细!$G$2:$G$50000,$C48,缺陷明细!$J$2:$J$50000,"运维测试",缺陷明细!$AA$2:$AA$50000,"&lt;&gt;丢弃",缺陷明细!$AA$2:$AA$50000,"&lt;&gt;设计如此",缺陷明细!$AA$2:$AA$50000,"&lt;&gt;重复Bug")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A$2:$AA$50000,"&lt;&gt;丢弃",缺陷明细!$AA$2:$AA$50000,"&lt;&gt;设计如此",缺陷明细!$AA$2:$AA$50000,"&lt;&gt;重复Bug")+COUNTIFS(缺陷明细!$A$2:$A$50000,$B$4,缺陷明细!$G$2:$G$50000,$C48,缺陷明细!$J$2:$J$50000,"运维测试",缺陷明细!$K$2:$K$50000,"严重",缺陷明细!$AA$2:$AA$50000,"&lt;&gt;丢弃",缺陷明细!$AA$2:$AA$50000,"&lt;&gt;设计如此",缺陷明细!$AA$2:$AA$50000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51"/>
    </row>
    <row r="49" spans="1:37">
      <c r="A49">
        <v>45</v>
      </c>
      <c r="B49" s="57"/>
      <c r="C49" s="58"/>
      <c r="D49" s="84"/>
      <c r="E49" s="82"/>
      <c r="F49" s="165"/>
      <c r="G49" s="166"/>
      <c r="H49" s="305">
        <f>COUNTIFS(缺陷明细!$A$2:$A$50000,$B$4,缺陷明细!$G$2:$G$50000,$C49,缺陷明细!$J$2:$J$50000,"评审",缺陷明细!$AA$2:$AA$50000,"&lt;&gt;丢弃",缺陷明细!$AA$2:$AA$50000,"&lt;&gt;设计如此",缺陷明细!$AA$2:$AA$50000,"&lt;&gt;重复Bug")</f>
        <v>0</v>
      </c>
      <c r="I49" s="161">
        <f>COUNTIFS(缺陷明细!$A$2:$A$50000,$B$4,缺陷明细!$G$2:$G$50000,$C49,缺陷明细!$Q$2:$Q$50000,"已关闭",缺陷明细!$J$2:$J$50000,"评审")</f>
        <v>0</v>
      </c>
      <c r="J49" s="161">
        <f>COUNTIFS(缺陷明细!$A$2:$A$50000,$B$4,缺陷明细!$G$2:$G$50000,$C49,缺陷明细!$J$2:$J$50000,"单元测试",缺陷明细!$AA$2:$AA$50000,"&lt;&gt;丢弃",缺陷明细!$AA$2:$AA$50000,"&lt;&gt;设计如此",缺陷明细!$AA$2:$AA$50000,"&lt;&gt;重复Bug")</f>
        <v>0</v>
      </c>
      <c r="K49" s="162">
        <f>COUNTIFS(缺陷明细!$A$2:$A$50000,$B$4,缺陷明细!$G$2:$G$50000,$C49,缺陷明细!$Q$2:$Q$50000,"已关闭",缺陷明细!$J$2:$J$50000,"单元测试")</f>
        <v>0</v>
      </c>
      <c r="L49" s="163"/>
      <c r="M49" s="164"/>
      <c r="N49" s="72">
        <f>COUNTIFS(缺陷明细!$A$2:$A$50000,$B$4,缺陷明细!$G$2:$G$50000,$C49,缺陷明细!$J$2:$J$50000,"系统测试案例评审",缺陷明细!$AA$2:$AA$50000,"&lt;&gt;丢弃",缺陷明细!$AA$2:$AA$50000,"&lt;&gt;设计如此",缺陷明细!$AA$2:$AA$50000,"&lt;&gt;重复Bug")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COUNTIFS(缺陷明细!$A$2:$A$50000,$B$4,缺陷明细!$G$2:$G$50000,$C49,缺陷明细!$J$2:$J$50000,"系统测试",缺陷明细!$AA$2:$AA$50000,"&lt;&gt;丢弃",缺陷明细!$AA$2:$AA$50000,"&lt;&gt;设计如此",缺陷明细!$AA$2:$AA$50000,"&lt;&gt;重复Bug")</f>
        <v>0</v>
      </c>
      <c r="Q49" s="72">
        <f>COUNTIFS(缺陷明细!$A$2:$A$50000,$B$4,缺陷明细!$G$2:$G$50000,$C49,缺陷明细!$Q$2:$Q$50000,"已关闭",缺陷明细!$J$2:$J$50000,"系统测试")</f>
        <v>0</v>
      </c>
      <c r="R49" s="72">
        <f>COUNTIFS(缺陷明细!$A$2:$A$50000,$B$4,缺陷明细!$G$2:$G$50000,$C49,缺陷明细!$AA$2:$AA$50000,"丢弃",缺陷明细!$J$2:$J$50000,"系统测试")+COUNTIFS(缺陷明细!$A$2:$A$50000,$B$4,缺陷明细!$G$2:$G$50000,$C49,缺陷明细!$AA$2:$AA$50000,"设计如此",缺陷明细!$J$2:$J$50000,"系统测试"+COUNTIFS(缺陷明细!$A$2:$A$50000,$B$4,缺陷明细!$G$2:$G$50000,$C49,缺陷明细!$AA$2:$AA$50000,"重复Bug",缺陷明细!$J$2:$J$50000,"系统测试"))</f>
        <v>0</v>
      </c>
      <c r="S49" s="72">
        <f>COUNTIFS(缺陷明细!$A$2:$A$50000,$B$4,缺陷明细!$G$2:$G$50000,$C49,缺陷明细!$J$2:$J$50000,"系统测试",缺陷明细!$K$2:$K$50000,"致命",缺陷明细!$AA$2:$AA$50000,"&lt;&gt;丢弃",缺陷明细!$AA$2:$AA$50000,"&lt;&gt;设计如此",缺陷明细!$AA$2:$AA$50000,"&lt;&gt;重复Bug")+COUNTIFS(缺陷明细!$A$2:$A$50000,$B$4,缺陷明细!$G$2:$G$50000,$C49,缺陷明细!$J$2:$J$50000,"系统测试",缺陷明细!$K$2:$K$50000,"严重",缺陷明细!$AA$2:$AA$50000,"&lt;&gt;丢弃",缺陷明细!$AA$2:$AA$50000,"&lt;&gt;设计如此",缺陷明细!$AA$2:$AA$50000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COUNTIFS(缺陷明细!$A$2:$A$50000,$B$4,缺陷明细!$G$2:$G$50000,$C49,缺陷明细!$J$2:$J$50000,"验收测试",缺陷明细!$AA$2:$AA$50000,"&lt;&gt;丢弃",缺陷明细!$AA$2:$AA$50000,"&lt;&gt;设计如此",缺陷明细!$AA$2:$AA$50000,"&lt;&gt;重复Bug")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A$2:$AA$50000,"&lt;&gt;丢弃",缺陷明细!$AA$2:$AA$50000,"&lt;&gt;设计如此",缺陷明细!$AA$2:$AA$50000,"&lt;&gt;重复Bug")+COUNTIFS(缺陷明细!$A$2:$A$50000,$B$4,缺陷明细!$G$2:$G$50000,$C49,缺陷明细!$J$2:$J$50000,"验收测试",缺陷明细!$K$2:$K$50000,"严重",缺陷明细!$AA$2:$AA$50000,"&lt;&gt;丢弃",缺陷明细!$AA$2:$AA$50000,"&lt;&gt;设计如此",缺陷明细!$AA$2:$AA$50000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COUNTIFS(缺陷明细!$A$2:$A$50000,$B$4,缺陷明细!$G$2:$G$50000,$C49,缺陷明细!$J$2:$J$50000,"运维测试",缺陷明细!$AA$2:$AA$50000,"&lt;&gt;丢弃",缺陷明细!$AA$2:$AA$50000,"&lt;&gt;设计如此",缺陷明细!$AA$2:$AA$50000,"&lt;&gt;重复Bug")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A$2:$AA$50000,"&lt;&gt;丢弃",缺陷明细!$AA$2:$AA$50000,"&lt;&gt;设计如此",缺陷明细!$AA$2:$AA$50000,"&lt;&gt;重复Bug")+COUNTIFS(缺陷明细!$A$2:$A$50000,$B$4,缺陷明细!$G$2:$G$50000,$C49,缺陷明细!$J$2:$J$50000,"运维测试",缺陷明细!$K$2:$K$50000,"严重",缺陷明细!$AA$2:$AA$50000,"&lt;&gt;丢弃",缺陷明细!$AA$2:$AA$50000,"&lt;&gt;设计如此",缺陷明细!$AA$2:$AA$50000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51"/>
    </row>
    <row r="50" spans="1:37">
      <c r="A50">
        <v>46</v>
      </c>
      <c r="B50" s="57"/>
      <c r="C50" s="58"/>
      <c r="D50" s="84"/>
      <c r="E50" s="82"/>
      <c r="F50" s="165"/>
      <c r="G50" s="166"/>
      <c r="H50" s="305">
        <f>COUNTIFS(缺陷明细!$A$2:$A$50000,$B$4,缺陷明细!$G$2:$G$50000,$C50,缺陷明细!$J$2:$J$50000,"评审",缺陷明细!$AA$2:$AA$50000,"&lt;&gt;丢弃",缺陷明细!$AA$2:$AA$50000,"&lt;&gt;设计如此",缺陷明细!$AA$2:$AA$50000,"&lt;&gt;重复Bug")</f>
        <v>0</v>
      </c>
      <c r="I50" s="161">
        <f>COUNTIFS(缺陷明细!$A$2:$A$50000,$B$4,缺陷明细!$G$2:$G$50000,$C50,缺陷明细!$Q$2:$Q$50000,"已关闭",缺陷明细!$J$2:$J$50000,"评审")</f>
        <v>0</v>
      </c>
      <c r="J50" s="161">
        <f>COUNTIFS(缺陷明细!$A$2:$A$50000,$B$4,缺陷明细!$G$2:$G$50000,$C50,缺陷明细!$J$2:$J$50000,"单元测试",缺陷明细!$AA$2:$AA$50000,"&lt;&gt;丢弃",缺陷明细!$AA$2:$AA$50000,"&lt;&gt;设计如此",缺陷明细!$AA$2:$AA$50000,"&lt;&gt;重复Bug")</f>
        <v>0</v>
      </c>
      <c r="K50" s="162">
        <f>COUNTIFS(缺陷明细!$A$2:$A$50000,$B$4,缺陷明细!$G$2:$G$50000,$C50,缺陷明细!$Q$2:$Q$50000,"已关闭",缺陷明细!$J$2:$J$50000,"单元测试")</f>
        <v>0</v>
      </c>
      <c r="L50" s="163"/>
      <c r="M50" s="164"/>
      <c r="N50" s="72">
        <f>COUNTIFS(缺陷明细!$A$2:$A$50000,$B$4,缺陷明细!$G$2:$G$50000,$C50,缺陷明细!$J$2:$J$50000,"系统测试案例评审",缺陷明细!$AA$2:$AA$50000,"&lt;&gt;丢弃",缺陷明细!$AA$2:$AA$50000,"&lt;&gt;设计如此",缺陷明细!$AA$2:$AA$50000,"&lt;&gt;重复Bug")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COUNTIFS(缺陷明细!$A$2:$A$50000,$B$4,缺陷明细!$G$2:$G$50000,$C50,缺陷明细!$J$2:$J$50000,"系统测试",缺陷明细!$AA$2:$AA$50000,"&lt;&gt;丢弃",缺陷明细!$AA$2:$AA$50000,"&lt;&gt;设计如此",缺陷明细!$AA$2:$AA$50000,"&lt;&gt;重复Bug")</f>
        <v>0</v>
      </c>
      <c r="Q50" s="72">
        <f>COUNTIFS(缺陷明细!$A$2:$A$50000,$B$4,缺陷明细!$G$2:$G$50000,$C50,缺陷明细!$Q$2:$Q$50000,"已关闭",缺陷明细!$J$2:$J$50000,"系统测试")</f>
        <v>0</v>
      </c>
      <c r="R50" s="72">
        <f>COUNTIFS(缺陷明细!$A$2:$A$50000,$B$4,缺陷明细!$G$2:$G$50000,$C50,缺陷明细!$AA$2:$AA$50000,"丢弃",缺陷明细!$J$2:$J$50000,"系统测试")+COUNTIFS(缺陷明细!$A$2:$A$50000,$B$4,缺陷明细!$G$2:$G$50000,$C50,缺陷明细!$AA$2:$AA$50000,"设计如此",缺陷明细!$J$2:$J$50000,"系统测试"+COUNTIFS(缺陷明细!$A$2:$A$50000,$B$4,缺陷明细!$G$2:$G$50000,$C50,缺陷明细!$AA$2:$AA$50000,"重复Bug",缺陷明细!$J$2:$J$50000,"系统测试"))</f>
        <v>0</v>
      </c>
      <c r="S50" s="72">
        <f>COUNTIFS(缺陷明细!$A$2:$A$50000,$B$4,缺陷明细!$G$2:$G$50000,$C50,缺陷明细!$J$2:$J$50000,"系统测试",缺陷明细!$K$2:$K$50000,"致命",缺陷明细!$AA$2:$AA$50000,"&lt;&gt;丢弃",缺陷明细!$AA$2:$AA$50000,"&lt;&gt;设计如此",缺陷明细!$AA$2:$AA$50000,"&lt;&gt;重复Bug")+COUNTIFS(缺陷明细!$A$2:$A$50000,$B$4,缺陷明细!$G$2:$G$50000,$C50,缺陷明细!$J$2:$J$50000,"系统测试",缺陷明细!$K$2:$K$50000,"严重",缺陷明细!$AA$2:$AA$50000,"&lt;&gt;丢弃",缺陷明细!$AA$2:$AA$50000,"&lt;&gt;设计如此",缺陷明细!$AA$2:$AA$50000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COUNTIFS(缺陷明细!$A$2:$A$50000,$B$4,缺陷明细!$G$2:$G$50000,$C50,缺陷明细!$J$2:$J$50000,"验收测试",缺陷明细!$AA$2:$AA$50000,"&lt;&gt;丢弃",缺陷明细!$AA$2:$AA$50000,"&lt;&gt;设计如此",缺陷明细!$AA$2:$AA$50000,"&lt;&gt;重复Bug")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A$2:$AA$50000,"&lt;&gt;丢弃",缺陷明细!$AA$2:$AA$50000,"&lt;&gt;设计如此",缺陷明细!$AA$2:$AA$50000,"&lt;&gt;重复Bug")+COUNTIFS(缺陷明细!$A$2:$A$50000,$B$4,缺陷明细!$G$2:$G$50000,$C50,缺陷明细!$J$2:$J$50000,"验收测试",缺陷明细!$K$2:$K$50000,"严重",缺陷明细!$AA$2:$AA$50000,"&lt;&gt;丢弃",缺陷明细!$AA$2:$AA$50000,"&lt;&gt;设计如此",缺陷明细!$AA$2:$AA$50000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COUNTIFS(缺陷明细!$A$2:$A$50000,$B$4,缺陷明细!$G$2:$G$50000,$C50,缺陷明细!$J$2:$J$50000,"运维测试",缺陷明细!$AA$2:$AA$50000,"&lt;&gt;丢弃",缺陷明细!$AA$2:$AA$50000,"&lt;&gt;设计如此",缺陷明细!$AA$2:$AA$50000,"&lt;&gt;重复Bug")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A$2:$AA$50000,"&lt;&gt;丢弃",缺陷明细!$AA$2:$AA$50000,"&lt;&gt;设计如此",缺陷明细!$AA$2:$AA$50000,"&lt;&gt;重复Bug")+COUNTIFS(缺陷明细!$A$2:$A$50000,$B$4,缺陷明细!$G$2:$G$50000,$C50,缺陷明细!$J$2:$J$50000,"运维测试",缺陷明细!$K$2:$K$50000,"严重",缺陷明细!$AA$2:$AA$50000,"&lt;&gt;丢弃",缺陷明细!$AA$2:$AA$50000,"&lt;&gt;设计如此",缺陷明细!$AA$2:$AA$50000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51"/>
    </row>
    <row r="51" spans="1:37">
      <c r="A51">
        <v>47</v>
      </c>
      <c r="B51" s="57"/>
      <c r="C51" s="58"/>
      <c r="D51" s="84"/>
      <c r="E51" s="82"/>
      <c r="F51" s="165"/>
      <c r="G51" s="166"/>
      <c r="H51" s="305">
        <f>COUNTIFS(缺陷明细!$A$2:$A$50000,$B$4,缺陷明细!$G$2:$G$50000,$C51,缺陷明细!$J$2:$J$50000,"评审",缺陷明细!$AA$2:$AA$50000,"&lt;&gt;丢弃",缺陷明细!$AA$2:$AA$50000,"&lt;&gt;设计如此",缺陷明细!$AA$2:$AA$50000,"&lt;&gt;重复Bug")</f>
        <v>0</v>
      </c>
      <c r="I51" s="161">
        <f>COUNTIFS(缺陷明细!$A$2:$A$50000,$B$4,缺陷明细!$G$2:$G$50000,$C51,缺陷明细!$Q$2:$Q$50000,"已关闭",缺陷明细!$J$2:$J$50000,"评审")</f>
        <v>0</v>
      </c>
      <c r="J51" s="161">
        <f>COUNTIFS(缺陷明细!$A$2:$A$50000,$B$4,缺陷明细!$G$2:$G$50000,$C51,缺陷明细!$J$2:$J$50000,"单元测试",缺陷明细!$AA$2:$AA$50000,"&lt;&gt;丢弃",缺陷明细!$AA$2:$AA$50000,"&lt;&gt;设计如此",缺陷明细!$AA$2:$AA$50000,"&lt;&gt;重复Bug")</f>
        <v>0</v>
      </c>
      <c r="K51" s="162">
        <f>COUNTIFS(缺陷明细!$A$2:$A$50000,$B$4,缺陷明细!$G$2:$G$50000,$C51,缺陷明细!$Q$2:$Q$50000,"已关闭",缺陷明细!$J$2:$J$50000,"单元测试")</f>
        <v>0</v>
      </c>
      <c r="L51" s="163"/>
      <c r="M51" s="164"/>
      <c r="N51" s="72">
        <f>COUNTIFS(缺陷明细!$A$2:$A$50000,$B$4,缺陷明细!$G$2:$G$50000,$C51,缺陷明细!$J$2:$J$50000,"系统测试案例评审",缺陷明细!$AA$2:$AA$50000,"&lt;&gt;丢弃",缺陷明细!$AA$2:$AA$50000,"&lt;&gt;设计如此",缺陷明细!$AA$2:$AA$50000,"&lt;&gt;重复Bug")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COUNTIFS(缺陷明细!$A$2:$A$50000,$B$4,缺陷明细!$G$2:$G$50000,$C51,缺陷明细!$J$2:$J$50000,"系统测试",缺陷明细!$AA$2:$AA$50000,"&lt;&gt;丢弃",缺陷明细!$AA$2:$AA$50000,"&lt;&gt;设计如此",缺陷明细!$AA$2:$AA$50000,"&lt;&gt;重复Bug")</f>
        <v>0</v>
      </c>
      <c r="Q51" s="72">
        <f>COUNTIFS(缺陷明细!$A$2:$A$50000,$B$4,缺陷明细!$G$2:$G$50000,$C51,缺陷明细!$Q$2:$Q$50000,"已关闭",缺陷明细!$J$2:$J$50000,"系统测试")</f>
        <v>0</v>
      </c>
      <c r="R51" s="72">
        <f>COUNTIFS(缺陷明细!$A$2:$A$50000,$B$4,缺陷明细!$G$2:$G$50000,$C51,缺陷明细!$AA$2:$AA$50000,"丢弃",缺陷明细!$J$2:$J$50000,"系统测试")+COUNTIFS(缺陷明细!$A$2:$A$50000,$B$4,缺陷明细!$G$2:$G$50000,$C51,缺陷明细!$AA$2:$AA$50000,"设计如此",缺陷明细!$J$2:$J$50000,"系统测试"+COUNTIFS(缺陷明细!$A$2:$A$50000,$B$4,缺陷明细!$G$2:$G$50000,$C51,缺陷明细!$AA$2:$AA$50000,"重复Bug",缺陷明细!$J$2:$J$50000,"系统测试"))</f>
        <v>0</v>
      </c>
      <c r="S51" s="72">
        <f>COUNTIFS(缺陷明细!$A$2:$A$50000,$B$4,缺陷明细!$G$2:$G$50000,$C51,缺陷明细!$J$2:$J$50000,"系统测试",缺陷明细!$K$2:$K$50000,"致命",缺陷明细!$AA$2:$AA$50000,"&lt;&gt;丢弃",缺陷明细!$AA$2:$AA$50000,"&lt;&gt;设计如此",缺陷明细!$AA$2:$AA$50000,"&lt;&gt;重复Bug")+COUNTIFS(缺陷明细!$A$2:$A$50000,$B$4,缺陷明细!$G$2:$G$50000,$C51,缺陷明细!$J$2:$J$50000,"系统测试",缺陷明细!$K$2:$K$50000,"严重",缺陷明细!$AA$2:$AA$50000,"&lt;&gt;丢弃",缺陷明细!$AA$2:$AA$50000,"&lt;&gt;设计如此",缺陷明细!$AA$2:$AA$50000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COUNTIFS(缺陷明细!$A$2:$A$50000,$B$4,缺陷明细!$G$2:$G$50000,$C51,缺陷明细!$J$2:$J$50000,"验收测试",缺陷明细!$AA$2:$AA$50000,"&lt;&gt;丢弃",缺陷明细!$AA$2:$AA$50000,"&lt;&gt;设计如此",缺陷明细!$AA$2:$AA$50000,"&lt;&gt;重复Bug")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A$2:$AA$50000,"&lt;&gt;丢弃",缺陷明细!$AA$2:$AA$50000,"&lt;&gt;设计如此",缺陷明细!$AA$2:$AA$50000,"&lt;&gt;重复Bug")+COUNTIFS(缺陷明细!$A$2:$A$50000,$B$4,缺陷明细!$G$2:$G$50000,$C51,缺陷明细!$J$2:$J$50000,"验收测试",缺陷明细!$K$2:$K$50000,"严重",缺陷明细!$AA$2:$AA$50000,"&lt;&gt;丢弃",缺陷明细!$AA$2:$AA$50000,"&lt;&gt;设计如此",缺陷明细!$AA$2:$AA$50000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COUNTIFS(缺陷明细!$A$2:$A$50000,$B$4,缺陷明细!$G$2:$G$50000,$C51,缺陷明细!$J$2:$J$50000,"运维测试",缺陷明细!$AA$2:$AA$50000,"&lt;&gt;丢弃",缺陷明细!$AA$2:$AA$50000,"&lt;&gt;设计如此",缺陷明细!$AA$2:$AA$50000,"&lt;&gt;重复Bug")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A$2:$AA$50000,"&lt;&gt;丢弃",缺陷明细!$AA$2:$AA$50000,"&lt;&gt;设计如此",缺陷明细!$AA$2:$AA$50000,"&lt;&gt;重复Bug")+COUNTIFS(缺陷明细!$A$2:$A$50000,$B$4,缺陷明细!$G$2:$G$50000,$C51,缺陷明细!$J$2:$J$50000,"运维测试",缺陷明细!$K$2:$K$50000,"严重",缺陷明细!$AA$2:$AA$50000,"&lt;&gt;丢弃",缺陷明细!$AA$2:$AA$50000,"&lt;&gt;设计如此",缺陷明细!$AA$2:$AA$50000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51"/>
    </row>
    <row r="52" spans="1:37">
      <c r="A52">
        <v>48</v>
      </c>
      <c r="B52" s="57"/>
      <c r="C52" s="58"/>
      <c r="D52" s="84"/>
      <c r="E52" s="82"/>
      <c r="F52" s="165"/>
      <c r="G52" s="166"/>
      <c r="H52" s="305">
        <f>COUNTIFS(缺陷明细!$A$2:$A$50000,$B$4,缺陷明细!$G$2:$G$50000,$C52,缺陷明细!$J$2:$J$50000,"评审",缺陷明细!$AA$2:$AA$50000,"&lt;&gt;丢弃",缺陷明细!$AA$2:$AA$50000,"&lt;&gt;设计如此",缺陷明细!$AA$2:$AA$50000,"&lt;&gt;重复Bug")</f>
        <v>0</v>
      </c>
      <c r="I52" s="161">
        <f>COUNTIFS(缺陷明细!$A$2:$A$50000,$B$4,缺陷明细!$G$2:$G$50000,$C52,缺陷明细!$Q$2:$Q$50000,"已关闭",缺陷明细!$J$2:$J$50000,"评审")</f>
        <v>0</v>
      </c>
      <c r="J52" s="161">
        <f>COUNTIFS(缺陷明细!$A$2:$A$50000,$B$4,缺陷明细!$G$2:$G$50000,$C52,缺陷明细!$J$2:$J$50000,"单元测试",缺陷明细!$AA$2:$AA$50000,"&lt;&gt;丢弃",缺陷明细!$AA$2:$AA$50000,"&lt;&gt;设计如此",缺陷明细!$AA$2:$AA$50000,"&lt;&gt;重复Bug")</f>
        <v>0</v>
      </c>
      <c r="K52" s="162">
        <f>COUNTIFS(缺陷明细!$A$2:$A$50000,$B$4,缺陷明细!$G$2:$G$50000,$C52,缺陷明细!$Q$2:$Q$50000,"已关闭",缺陷明细!$J$2:$J$50000,"单元测试")</f>
        <v>0</v>
      </c>
      <c r="L52" s="163"/>
      <c r="M52" s="164"/>
      <c r="N52" s="72">
        <f>COUNTIFS(缺陷明细!$A$2:$A$50000,$B$4,缺陷明细!$G$2:$G$50000,$C52,缺陷明细!$J$2:$J$50000,"系统测试案例评审",缺陷明细!$AA$2:$AA$50000,"&lt;&gt;丢弃",缺陷明细!$AA$2:$AA$50000,"&lt;&gt;设计如此",缺陷明细!$AA$2:$AA$50000,"&lt;&gt;重复Bug")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COUNTIFS(缺陷明细!$A$2:$A$50000,$B$4,缺陷明细!$G$2:$G$50000,$C52,缺陷明细!$J$2:$J$50000,"系统测试",缺陷明细!$AA$2:$AA$50000,"&lt;&gt;丢弃",缺陷明细!$AA$2:$AA$50000,"&lt;&gt;设计如此",缺陷明细!$AA$2:$AA$50000,"&lt;&gt;重复Bug")</f>
        <v>0</v>
      </c>
      <c r="Q52" s="72">
        <f>COUNTIFS(缺陷明细!$A$2:$A$50000,$B$4,缺陷明细!$G$2:$G$50000,$C52,缺陷明细!$Q$2:$Q$50000,"已关闭",缺陷明细!$J$2:$J$50000,"系统测试")</f>
        <v>0</v>
      </c>
      <c r="R52" s="72">
        <f>COUNTIFS(缺陷明细!$A$2:$A$50000,$B$4,缺陷明细!$G$2:$G$50000,$C52,缺陷明细!$AA$2:$AA$50000,"丢弃",缺陷明细!$J$2:$J$50000,"系统测试")+COUNTIFS(缺陷明细!$A$2:$A$50000,$B$4,缺陷明细!$G$2:$G$50000,$C52,缺陷明细!$AA$2:$AA$50000,"设计如此",缺陷明细!$J$2:$J$50000,"系统测试"+COUNTIFS(缺陷明细!$A$2:$A$50000,$B$4,缺陷明细!$G$2:$G$50000,$C52,缺陷明细!$AA$2:$AA$50000,"重复Bug",缺陷明细!$J$2:$J$50000,"系统测试"))</f>
        <v>0</v>
      </c>
      <c r="S52" s="72">
        <f>COUNTIFS(缺陷明细!$A$2:$A$50000,$B$4,缺陷明细!$G$2:$G$50000,$C52,缺陷明细!$J$2:$J$50000,"系统测试",缺陷明细!$K$2:$K$50000,"致命",缺陷明细!$AA$2:$AA$50000,"&lt;&gt;丢弃",缺陷明细!$AA$2:$AA$50000,"&lt;&gt;设计如此",缺陷明细!$AA$2:$AA$50000,"&lt;&gt;重复Bug")+COUNTIFS(缺陷明细!$A$2:$A$50000,$B$4,缺陷明细!$G$2:$G$50000,$C52,缺陷明细!$J$2:$J$50000,"系统测试",缺陷明细!$K$2:$K$50000,"严重",缺陷明细!$AA$2:$AA$50000,"&lt;&gt;丢弃",缺陷明细!$AA$2:$AA$50000,"&lt;&gt;设计如此",缺陷明细!$AA$2:$AA$50000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COUNTIFS(缺陷明细!$A$2:$A$50000,$B$4,缺陷明细!$G$2:$G$50000,$C52,缺陷明细!$J$2:$J$50000,"验收测试",缺陷明细!$AA$2:$AA$50000,"&lt;&gt;丢弃",缺陷明细!$AA$2:$AA$50000,"&lt;&gt;设计如此",缺陷明细!$AA$2:$AA$50000,"&lt;&gt;重复Bug")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A$2:$AA$50000,"&lt;&gt;丢弃",缺陷明细!$AA$2:$AA$50000,"&lt;&gt;设计如此",缺陷明细!$AA$2:$AA$50000,"&lt;&gt;重复Bug")+COUNTIFS(缺陷明细!$A$2:$A$50000,$B$4,缺陷明细!$G$2:$G$50000,$C52,缺陷明细!$J$2:$J$50000,"验收测试",缺陷明细!$K$2:$K$50000,"严重",缺陷明细!$AA$2:$AA$50000,"&lt;&gt;丢弃",缺陷明细!$AA$2:$AA$50000,"&lt;&gt;设计如此",缺陷明细!$AA$2:$AA$50000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COUNTIFS(缺陷明细!$A$2:$A$50000,$B$4,缺陷明细!$G$2:$G$50000,$C52,缺陷明细!$J$2:$J$50000,"运维测试",缺陷明细!$AA$2:$AA$50000,"&lt;&gt;丢弃",缺陷明细!$AA$2:$AA$50000,"&lt;&gt;设计如此",缺陷明细!$AA$2:$AA$50000,"&lt;&gt;重复Bug")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A$2:$AA$50000,"&lt;&gt;丢弃",缺陷明细!$AA$2:$AA$50000,"&lt;&gt;设计如此",缺陷明细!$AA$2:$AA$50000,"&lt;&gt;重复Bug")+COUNTIFS(缺陷明细!$A$2:$A$50000,$B$4,缺陷明细!$G$2:$G$50000,$C52,缺陷明细!$J$2:$J$50000,"运维测试",缺陷明细!$K$2:$K$50000,"严重",缺陷明细!$AA$2:$AA$50000,"&lt;&gt;丢弃",缺陷明细!$AA$2:$AA$50000,"&lt;&gt;设计如此",缺陷明细!$AA$2:$AA$50000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51"/>
    </row>
    <row r="53" spans="1:37">
      <c r="A53">
        <v>49</v>
      </c>
      <c r="B53" s="57"/>
      <c r="C53" s="58"/>
      <c r="D53" s="84"/>
      <c r="E53" s="82"/>
      <c r="F53" s="165"/>
      <c r="G53" s="166"/>
      <c r="H53" s="305">
        <f>COUNTIFS(缺陷明细!$A$2:$A$50000,$B$4,缺陷明细!$G$2:$G$50000,$C53,缺陷明细!$J$2:$J$50000,"评审",缺陷明细!$AA$2:$AA$50000,"&lt;&gt;丢弃",缺陷明细!$AA$2:$AA$50000,"&lt;&gt;设计如此",缺陷明细!$AA$2:$AA$50000,"&lt;&gt;重复Bug")</f>
        <v>0</v>
      </c>
      <c r="I53" s="161">
        <f>COUNTIFS(缺陷明细!$A$2:$A$50000,$B$4,缺陷明细!$G$2:$G$50000,$C53,缺陷明细!$Q$2:$Q$50000,"已关闭",缺陷明细!$J$2:$J$50000,"评审")</f>
        <v>0</v>
      </c>
      <c r="J53" s="161">
        <f>COUNTIFS(缺陷明细!$A$2:$A$50000,$B$4,缺陷明细!$G$2:$G$50000,$C53,缺陷明细!$J$2:$J$50000,"单元测试",缺陷明细!$AA$2:$AA$50000,"&lt;&gt;丢弃",缺陷明细!$AA$2:$AA$50000,"&lt;&gt;设计如此",缺陷明细!$AA$2:$AA$50000,"&lt;&gt;重复Bug")</f>
        <v>0</v>
      </c>
      <c r="K53" s="162">
        <f>COUNTIFS(缺陷明细!$A$2:$A$50000,$B$4,缺陷明细!$G$2:$G$50000,$C53,缺陷明细!$Q$2:$Q$50000,"已关闭",缺陷明细!$J$2:$J$50000,"单元测试")</f>
        <v>0</v>
      </c>
      <c r="L53" s="163"/>
      <c r="M53" s="164"/>
      <c r="N53" s="72">
        <f>COUNTIFS(缺陷明细!$A$2:$A$50000,$B$4,缺陷明细!$G$2:$G$50000,$C53,缺陷明细!$J$2:$J$50000,"系统测试案例评审",缺陷明细!$AA$2:$AA$50000,"&lt;&gt;丢弃",缺陷明细!$AA$2:$AA$50000,"&lt;&gt;设计如此",缺陷明细!$AA$2:$AA$50000,"&lt;&gt;重复Bug")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COUNTIFS(缺陷明细!$A$2:$A$50000,$B$4,缺陷明细!$G$2:$G$50000,$C53,缺陷明细!$J$2:$J$50000,"系统测试",缺陷明细!$AA$2:$AA$50000,"&lt;&gt;丢弃",缺陷明细!$AA$2:$AA$50000,"&lt;&gt;设计如此",缺陷明细!$AA$2:$AA$50000,"&lt;&gt;重复Bug")</f>
        <v>0</v>
      </c>
      <c r="Q53" s="72">
        <f>COUNTIFS(缺陷明细!$A$2:$A$50000,$B$4,缺陷明细!$G$2:$G$50000,$C53,缺陷明细!$Q$2:$Q$50000,"已关闭",缺陷明细!$J$2:$J$50000,"系统测试")</f>
        <v>0</v>
      </c>
      <c r="R53" s="72">
        <f>COUNTIFS(缺陷明细!$A$2:$A$50000,$B$4,缺陷明细!$G$2:$G$50000,$C53,缺陷明细!$AA$2:$AA$50000,"丢弃",缺陷明细!$J$2:$J$50000,"系统测试")+COUNTIFS(缺陷明细!$A$2:$A$50000,$B$4,缺陷明细!$G$2:$G$50000,$C53,缺陷明细!$AA$2:$AA$50000,"设计如此",缺陷明细!$J$2:$J$50000,"系统测试"+COUNTIFS(缺陷明细!$A$2:$A$50000,$B$4,缺陷明细!$G$2:$G$50000,$C53,缺陷明细!$AA$2:$AA$50000,"重复Bug",缺陷明细!$J$2:$J$50000,"系统测试"))</f>
        <v>0</v>
      </c>
      <c r="S53" s="72">
        <f>COUNTIFS(缺陷明细!$A$2:$A$50000,$B$4,缺陷明细!$G$2:$G$50000,$C53,缺陷明细!$J$2:$J$50000,"系统测试",缺陷明细!$K$2:$K$50000,"致命",缺陷明细!$AA$2:$AA$50000,"&lt;&gt;丢弃",缺陷明细!$AA$2:$AA$50000,"&lt;&gt;设计如此",缺陷明细!$AA$2:$AA$50000,"&lt;&gt;重复Bug")+COUNTIFS(缺陷明细!$A$2:$A$50000,$B$4,缺陷明细!$G$2:$G$50000,$C53,缺陷明细!$J$2:$J$50000,"系统测试",缺陷明细!$K$2:$K$50000,"严重",缺陷明细!$AA$2:$AA$50000,"&lt;&gt;丢弃",缺陷明细!$AA$2:$AA$50000,"&lt;&gt;设计如此",缺陷明细!$AA$2:$AA$50000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COUNTIFS(缺陷明细!$A$2:$A$50000,$B$4,缺陷明细!$G$2:$G$50000,$C53,缺陷明细!$J$2:$J$50000,"验收测试",缺陷明细!$AA$2:$AA$50000,"&lt;&gt;丢弃",缺陷明细!$AA$2:$AA$50000,"&lt;&gt;设计如此",缺陷明细!$AA$2:$AA$50000,"&lt;&gt;重复Bug")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A$2:$AA$50000,"&lt;&gt;丢弃",缺陷明细!$AA$2:$AA$50000,"&lt;&gt;设计如此",缺陷明细!$AA$2:$AA$50000,"&lt;&gt;重复Bug")+COUNTIFS(缺陷明细!$A$2:$A$50000,$B$4,缺陷明细!$G$2:$G$50000,$C53,缺陷明细!$J$2:$J$50000,"验收测试",缺陷明细!$K$2:$K$50000,"严重",缺陷明细!$AA$2:$AA$50000,"&lt;&gt;丢弃",缺陷明细!$AA$2:$AA$50000,"&lt;&gt;设计如此",缺陷明细!$AA$2:$AA$50000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COUNTIFS(缺陷明细!$A$2:$A$50000,$B$4,缺陷明细!$G$2:$G$50000,$C53,缺陷明细!$J$2:$J$50000,"运维测试",缺陷明细!$AA$2:$AA$50000,"&lt;&gt;丢弃",缺陷明细!$AA$2:$AA$50000,"&lt;&gt;设计如此",缺陷明细!$AA$2:$AA$50000,"&lt;&gt;重复Bug")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A$2:$AA$50000,"&lt;&gt;丢弃",缺陷明细!$AA$2:$AA$50000,"&lt;&gt;设计如此",缺陷明细!$AA$2:$AA$50000,"&lt;&gt;重复Bug")+COUNTIFS(缺陷明细!$A$2:$A$50000,$B$4,缺陷明细!$G$2:$G$50000,$C53,缺陷明细!$J$2:$J$50000,"运维测试",缺陷明细!$K$2:$K$50000,"严重",缺陷明细!$AA$2:$AA$50000,"&lt;&gt;丢弃",缺陷明细!$AA$2:$AA$50000,"&lt;&gt;设计如此",缺陷明细!$AA$2:$AA$50000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51"/>
    </row>
    <row r="54" spans="1:37">
      <c r="A54">
        <v>50</v>
      </c>
      <c r="B54" s="57"/>
      <c r="C54" s="58"/>
      <c r="D54" s="84"/>
      <c r="E54" s="82"/>
      <c r="F54" s="165"/>
      <c r="G54" s="166"/>
      <c r="H54" s="305">
        <f>COUNTIFS(缺陷明细!$A$2:$A$50000,$B$4,缺陷明细!$G$2:$G$50000,$C54,缺陷明细!$J$2:$J$50000,"评审",缺陷明细!$AA$2:$AA$50000,"&lt;&gt;丢弃",缺陷明细!$AA$2:$AA$50000,"&lt;&gt;设计如此",缺陷明细!$AA$2:$AA$50000,"&lt;&gt;重复Bug")</f>
        <v>0</v>
      </c>
      <c r="I54" s="161">
        <f>COUNTIFS(缺陷明细!$A$2:$A$50000,$B$4,缺陷明细!$G$2:$G$50000,$C54,缺陷明细!$Q$2:$Q$50000,"已关闭",缺陷明细!$J$2:$J$50000,"评审")</f>
        <v>0</v>
      </c>
      <c r="J54" s="161">
        <f>COUNTIFS(缺陷明细!$A$2:$A$50000,$B$4,缺陷明细!$G$2:$G$50000,$C54,缺陷明细!$J$2:$J$50000,"单元测试",缺陷明细!$AA$2:$AA$50000,"&lt;&gt;丢弃",缺陷明细!$AA$2:$AA$50000,"&lt;&gt;设计如此",缺陷明细!$AA$2:$AA$50000,"&lt;&gt;重复Bug")</f>
        <v>0</v>
      </c>
      <c r="K54" s="162">
        <f>COUNTIFS(缺陷明细!$A$2:$A$50000,$B$4,缺陷明细!$G$2:$G$50000,$C54,缺陷明细!$Q$2:$Q$50000,"已关闭",缺陷明细!$J$2:$J$50000,"单元测试")</f>
        <v>0</v>
      </c>
      <c r="L54" s="163"/>
      <c r="M54" s="164"/>
      <c r="N54" s="72">
        <f>COUNTIFS(缺陷明细!$A$2:$A$50000,$B$4,缺陷明细!$G$2:$G$50000,$C54,缺陷明细!$J$2:$J$50000,"系统测试案例评审",缺陷明细!$AA$2:$AA$50000,"&lt;&gt;丢弃",缺陷明细!$AA$2:$AA$50000,"&lt;&gt;设计如此",缺陷明细!$AA$2:$AA$50000,"&lt;&gt;重复Bug")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COUNTIFS(缺陷明细!$A$2:$A$50000,$B$4,缺陷明细!$G$2:$G$50000,$C54,缺陷明细!$J$2:$J$50000,"系统测试",缺陷明细!$AA$2:$AA$50000,"&lt;&gt;丢弃",缺陷明细!$AA$2:$AA$50000,"&lt;&gt;设计如此",缺陷明细!$AA$2:$AA$50000,"&lt;&gt;重复Bug")</f>
        <v>0</v>
      </c>
      <c r="Q54" s="72">
        <f>COUNTIFS(缺陷明细!$A$2:$A$50000,$B$4,缺陷明细!$G$2:$G$50000,$C54,缺陷明细!$Q$2:$Q$50000,"已关闭",缺陷明细!$J$2:$J$50000,"系统测试")</f>
        <v>0</v>
      </c>
      <c r="R54" s="72">
        <f>COUNTIFS(缺陷明细!$A$2:$A$50000,$B$4,缺陷明细!$G$2:$G$50000,$C54,缺陷明细!$AA$2:$AA$50000,"丢弃",缺陷明细!$J$2:$J$50000,"系统测试")+COUNTIFS(缺陷明细!$A$2:$A$50000,$B$4,缺陷明细!$G$2:$G$50000,$C54,缺陷明细!$AA$2:$AA$50000,"设计如此",缺陷明细!$J$2:$J$50000,"系统测试"+COUNTIFS(缺陷明细!$A$2:$A$50000,$B$4,缺陷明细!$G$2:$G$50000,$C54,缺陷明细!$AA$2:$AA$50000,"重复Bug",缺陷明细!$J$2:$J$50000,"系统测试"))</f>
        <v>0</v>
      </c>
      <c r="S54" s="72">
        <f>COUNTIFS(缺陷明细!$A$2:$A$50000,$B$4,缺陷明细!$G$2:$G$50000,$C54,缺陷明细!$J$2:$J$50000,"系统测试",缺陷明细!$K$2:$K$50000,"致命",缺陷明细!$AA$2:$AA$50000,"&lt;&gt;丢弃",缺陷明细!$AA$2:$AA$50000,"&lt;&gt;设计如此",缺陷明细!$AA$2:$AA$50000,"&lt;&gt;重复Bug")+COUNTIFS(缺陷明细!$A$2:$A$50000,$B$4,缺陷明细!$G$2:$G$50000,$C54,缺陷明细!$J$2:$J$50000,"系统测试",缺陷明细!$K$2:$K$50000,"严重",缺陷明细!$AA$2:$AA$50000,"&lt;&gt;丢弃",缺陷明细!$AA$2:$AA$50000,"&lt;&gt;设计如此",缺陷明细!$AA$2:$AA$50000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COUNTIFS(缺陷明细!$A$2:$A$50000,$B$4,缺陷明细!$G$2:$G$50000,$C54,缺陷明细!$J$2:$J$50000,"验收测试",缺陷明细!$AA$2:$AA$50000,"&lt;&gt;丢弃",缺陷明细!$AA$2:$AA$50000,"&lt;&gt;设计如此",缺陷明细!$AA$2:$AA$50000,"&lt;&gt;重复Bug")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A$2:$AA$50000,"&lt;&gt;丢弃",缺陷明细!$AA$2:$AA$50000,"&lt;&gt;设计如此",缺陷明细!$AA$2:$AA$50000,"&lt;&gt;重复Bug")+COUNTIFS(缺陷明细!$A$2:$A$50000,$B$4,缺陷明细!$G$2:$G$50000,$C54,缺陷明细!$J$2:$J$50000,"验收测试",缺陷明细!$K$2:$K$50000,"严重",缺陷明细!$AA$2:$AA$50000,"&lt;&gt;丢弃",缺陷明细!$AA$2:$AA$50000,"&lt;&gt;设计如此",缺陷明细!$AA$2:$AA$50000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COUNTIFS(缺陷明细!$A$2:$A$50000,$B$4,缺陷明细!$G$2:$G$50000,$C54,缺陷明细!$J$2:$J$50000,"运维测试",缺陷明细!$AA$2:$AA$50000,"&lt;&gt;丢弃",缺陷明细!$AA$2:$AA$50000,"&lt;&gt;设计如此",缺陷明细!$AA$2:$AA$50000,"&lt;&gt;重复Bug")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A$2:$AA$50000,"&lt;&gt;丢弃",缺陷明细!$AA$2:$AA$50000,"&lt;&gt;设计如此",缺陷明细!$AA$2:$AA$50000,"&lt;&gt;重复Bug")+COUNTIFS(缺陷明细!$A$2:$A$50000,$B$4,缺陷明细!$G$2:$G$50000,$C54,缺陷明细!$J$2:$J$50000,"运维测试",缺陷明细!$K$2:$K$50000,"严重",缺陷明细!$AA$2:$AA$50000,"&lt;&gt;丢弃",缺陷明细!$AA$2:$AA$50000,"&lt;&gt;设计如此",缺陷明细!$AA$2:$AA$50000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51"/>
    </row>
    <row r="55" spans="1:37" ht="13.8" thickBot="1">
      <c r="B55" s="147"/>
      <c r="C55" s="109"/>
      <c r="D55" s="85"/>
      <c r="E55" s="156"/>
      <c r="F55" s="169"/>
      <c r="G55" s="170"/>
      <c r="H55" s="306">
        <f>COUNTIFS(缺陷明细!$A$2:$A$50000,$B$4,缺陷明细!$G$2:$G$50000,$C55,缺陷明细!$J$2:$J$50000,"评审",缺陷明细!$AA$2:$AA$50000,"&lt;&gt;丢弃",缺陷明细!$AA$2:$AA$50000,"&lt;&gt;设计如此",缺陷明细!$AA$2:$AA$50000,"&lt;&gt;重复Bug")</f>
        <v>0</v>
      </c>
      <c r="I55" s="307">
        <f>COUNTIFS(缺陷明细!$A$2:$A$50000,$B$4,缺陷明细!$G$2:$G$50000,$C55,缺陷明细!$Q$2:$Q$50000,"已关闭",缺陷明细!$J$2:$J$50000,"评审")</f>
        <v>0</v>
      </c>
      <c r="J55" s="307">
        <f>COUNTIFS(缺陷明细!$A$2:$A$50000,$B$4,缺陷明细!$G$2:$G$50000,$C55,缺陷明细!$J$2:$J$50000,"单元测试",缺陷明细!$AA$2:$AA$50000,"&lt;&gt;丢弃",缺陷明细!$AA$2:$AA$50000,"&lt;&gt;设计如此",缺陷明细!$AA$2:$AA$50000,"&lt;&gt;重复Bug")</f>
        <v>0</v>
      </c>
      <c r="K55" s="308">
        <f>COUNTIFS(缺陷明细!$A$2:$A$50000,$B$4,缺陷明细!$G$2:$G$50000,$C55,缺陷明细!$Q$2:$Q$50000,"已关闭",缺陷明细!$J$2:$J$50000,"单元测试")</f>
        <v>0</v>
      </c>
      <c r="L55" s="309"/>
      <c r="M55" s="310"/>
      <c r="N55" s="311">
        <f>COUNTIFS(缺陷明细!$A$2:$A$50000,$B$4,缺陷明细!$G$2:$G$50000,$C55,缺陷明细!$J$2:$J$50000,"系统测试案例评审",缺陷明细!$AA$2:$AA$50000,"&lt;&gt;丢弃",缺陷明细!$AA$2:$AA$50000,"&lt;&gt;设计如此",缺陷明细!$AA$2:$AA$50000,"&lt;&gt;重复Bug")</f>
        <v>0</v>
      </c>
      <c r="O55" s="311">
        <f>COUNTIFS(缺陷明细!$A$2:$A$50000,$B$4,缺陷明细!$G$2:$G$50000,$C55,缺陷明细!$Q$2:$Q$50000,"已关闭",缺陷明细!$J$2:$J$50000,"系统测试案例评审")</f>
        <v>0</v>
      </c>
      <c r="P55" s="311">
        <f>COUNTIFS(缺陷明细!$A$2:$A$50000,$B$4,缺陷明细!$G$2:$G$50000,$C55,缺陷明细!$J$2:$J$50000,"系统测试",缺陷明细!$AA$2:$AA$50000,"&lt;&gt;丢弃",缺陷明细!$AA$2:$AA$50000,"&lt;&gt;设计如此",缺陷明细!$AA$2:$AA$50000,"&lt;&gt;重复Bug")</f>
        <v>0</v>
      </c>
      <c r="Q55" s="311">
        <f>COUNTIFS(缺陷明细!$A$2:$A$50000,$B$4,缺陷明细!$G$2:$G$50000,$C55,缺陷明细!$Q$2:$Q$50000,"已关闭",缺陷明细!$J$2:$J$50000,"系统测试")</f>
        <v>0</v>
      </c>
      <c r="R55" s="311">
        <f>COUNTIFS(缺陷明细!$A$2:$A$50000,$B$4,缺陷明细!$G$2:$G$50000,$C55,缺陷明细!$AA$2:$AA$50000,"丢弃",缺陷明细!$J$2:$J$50000,"系统测试")+COUNTIFS(缺陷明细!$A$2:$A$50000,$B$4,缺陷明细!$G$2:$G$50000,$C55,缺陷明细!$AA$2:$AA$50000,"设计如此",缺陷明细!$J$2:$J$50000,"系统测试"+COUNTIFS(缺陷明细!$A$2:$A$50000,$B$4,缺陷明细!$G$2:$G$50000,$C55,缺陷明细!$AA$2:$AA$50000,"重复Bug",缺陷明细!$J$2:$J$50000,"系统测试"))</f>
        <v>0</v>
      </c>
      <c r="S55" s="311">
        <f>COUNTIFS(缺陷明细!$A$2:$A$50000,$B$4,缺陷明细!$G$2:$G$50000,$C55,缺陷明细!$J$2:$J$50000,"系统测试",缺陷明细!$K$2:$K$50000,"致命",缺陷明细!$AA$2:$AA$50000,"&lt;&gt;丢弃",缺陷明细!$AA$2:$AA$50000,"&lt;&gt;设计如此",缺陷明细!$AA$2:$AA$50000,"&lt;&gt;重复Bug")+COUNTIFS(缺陷明细!$A$2:$A$50000,$B$4,缺陷明细!$G$2:$G$50000,$C55,缺陷明细!$J$2:$J$50000,"系统测试",缺陷明细!$K$2:$K$50000,"严重",缺陷明细!$AA$2:$AA$50000,"&lt;&gt;丢弃",缺陷明细!$AA$2:$AA$50000,"&lt;&gt;设计如此",缺陷明细!$AA$2:$AA$50000,"&lt;&gt;重复Bug")</f>
        <v>0</v>
      </c>
      <c r="T55" s="312">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313">
        <f>COUNTIFS(缺陷明细!$A$2:$A$50000,$B$4,缺陷明细!$G$2:$G$50000,$C55,缺陷明细!$J$2:$J$50000,"验收测试",缺陷明细!$AA$2:$AA$50000,"&lt;&gt;丢弃",缺陷明细!$AA$2:$AA$50000,"&lt;&gt;设计如此",缺陷明细!$AA$2:$AA$50000,"&lt;&gt;重复Bug")</f>
        <v>0</v>
      </c>
      <c r="V55" s="314">
        <f>COUNTIFS(缺陷明细!$A$2:$A$50000,$B$4,缺陷明细!$G$2:$G$50000,$C55,缺陷明细!$Q$2:$Q$50000,"已关闭",缺陷明细!$J$2:$J$50000,"验收测试")</f>
        <v>0</v>
      </c>
      <c r="W55" s="314">
        <f>COUNTIFS(缺陷明细!$A$2:$A$50000,$B$4,缺陷明细!$G$2:$G$50000,$C55,缺陷明细!$J$2:$J$50000,"验收测试",缺陷明细!$K$2:$K$50000,"致命",缺陷明细!$AA$2:$AA$50000,"&lt;&gt;丢弃",缺陷明细!$AA$2:$AA$50000,"&lt;&gt;设计如此",缺陷明细!$AA$2:$AA$50000,"&lt;&gt;重复Bug")+COUNTIFS(缺陷明细!$A$2:$A$50000,$B$4,缺陷明细!$G$2:$G$50000,$C55,缺陷明细!$J$2:$J$50000,"验收测试",缺陷明细!$K$2:$K$50000,"严重",缺陷明细!$AA$2:$AA$50000,"&lt;&gt;丢弃",缺陷明细!$AA$2:$AA$50000,"&lt;&gt;设计如此",缺陷明细!$AA$2:$AA$50000,"&lt;&gt;重复Bug")</f>
        <v>0</v>
      </c>
      <c r="X55" s="315">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316">
        <f>COUNTIFS(缺陷明细!$A$2:$A$50000,$B$4,缺陷明细!$G$2:$G$50000,$C55,缺陷明细!$J$2:$J$50000,"运维测试",缺陷明细!$AA$2:$AA$50000,"&lt;&gt;丢弃",缺陷明细!$AA$2:$AA$50000,"&lt;&gt;设计如此",缺陷明细!$AA$2:$AA$50000,"&lt;&gt;重复Bug")</f>
        <v>0</v>
      </c>
      <c r="Z55" s="317">
        <f>COUNTIFS(缺陷明细!$A$2:$A$50000,$B$4,缺陷明细!$G$2:$G$50000,$C55,缺陷明细!$Q$2:$Q$50000,"已关闭",缺陷明细!$J$2:$J$50000,"运维测试")</f>
        <v>0</v>
      </c>
      <c r="AA55" s="311">
        <f>COUNTIFS(缺陷明细!$A$2:$A$50000,$B$4,缺陷明细!$G$2:$G$50000,$C55,缺陷明细!$J$2:$J$50000,"运维测试",缺陷明细!$K$2:$K$50000,"致命",缺陷明细!$AA$2:$AA$50000,"&lt;&gt;丢弃",缺陷明细!$AA$2:$AA$50000,"&lt;&gt;设计如此",缺陷明细!$AA$2:$AA$50000,"&lt;&gt;重复Bug")+COUNTIFS(缺陷明细!$A$2:$A$50000,$B$4,缺陷明细!$G$2:$G$50000,$C55,缺陷明细!$J$2:$J$50000,"运维测试",缺陷明细!$K$2:$K$50000,"严重",缺陷明细!$AA$2:$AA$50000,"&lt;&gt;丢弃",缺陷明细!$AA$2:$AA$50000,"&lt;&gt;设计如此",缺陷明细!$AA$2:$AA$50000,"&lt;&gt;重复Bug")</f>
        <v>0</v>
      </c>
      <c r="AB55" s="312">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7">
        <f t="shared" si="0"/>
        <v>0</v>
      </c>
      <c r="AD55" s="158">
        <f t="shared" si="0"/>
        <v>0</v>
      </c>
      <c r="AE55" s="158">
        <f t="shared" si="1"/>
        <v>0</v>
      </c>
      <c r="AF55" s="158">
        <f t="shared" si="1"/>
        <v>0</v>
      </c>
      <c r="AG55" s="158">
        <f t="shared" si="2"/>
        <v>0</v>
      </c>
      <c r="AH55" s="158">
        <f t="shared" si="2"/>
        <v>0</v>
      </c>
      <c r="AI55" s="158">
        <f t="shared" si="3"/>
        <v>0</v>
      </c>
      <c r="AJ55" s="148">
        <f t="shared" si="3"/>
        <v>0</v>
      </c>
      <c r="AK55" s="152"/>
    </row>
    <row r="56" spans="1:37">
      <c r="B56" s="397" t="s">
        <v>209</v>
      </c>
      <c r="C56" s="398"/>
      <c r="D56" s="142">
        <f>COUNTA(D5:D55)</f>
        <v>0</v>
      </c>
      <c r="E56" s="142">
        <f>COUNTIF(E2:E55,"是")</f>
        <v>0</v>
      </c>
      <c r="F56" s="142">
        <f>SUMIFS(F5:F500,$E$5:$E$500,"是")</f>
        <v>0</v>
      </c>
      <c r="G56" s="142">
        <f t="shared" ref="G56:AJ56" si="4">SUMIFS(G5:G500,$E$5:$E$500,"是")</f>
        <v>0</v>
      </c>
      <c r="H56" s="142">
        <f t="shared" si="4"/>
        <v>0</v>
      </c>
      <c r="I56" s="142">
        <f t="shared" si="4"/>
        <v>0</v>
      </c>
      <c r="J56" s="142">
        <f t="shared" si="4"/>
        <v>0</v>
      </c>
      <c r="K56" s="142">
        <f t="shared" si="4"/>
        <v>0</v>
      </c>
      <c r="L56" s="142">
        <f t="shared" si="4"/>
        <v>0</v>
      </c>
      <c r="M56" s="142">
        <f t="shared" si="4"/>
        <v>0</v>
      </c>
      <c r="N56" s="142">
        <f t="shared" si="4"/>
        <v>0</v>
      </c>
      <c r="O56" s="142">
        <f t="shared" si="4"/>
        <v>0</v>
      </c>
      <c r="P56" s="142">
        <f t="shared" si="4"/>
        <v>0</v>
      </c>
      <c r="Q56" s="142">
        <f t="shared" si="4"/>
        <v>0</v>
      </c>
      <c r="R56" s="142">
        <f t="shared" si="4"/>
        <v>0</v>
      </c>
      <c r="S56" s="142">
        <f t="shared" si="4"/>
        <v>0</v>
      </c>
      <c r="T56" s="142">
        <f t="shared" si="4"/>
        <v>0</v>
      </c>
      <c r="U56" s="142">
        <f t="shared" si="4"/>
        <v>0</v>
      </c>
      <c r="V56" s="142">
        <f t="shared" si="4"/>
        <v>0</v>
      </c>
      <c r="W56" s="142">
        <f t="shared" si="4"/>
        <v>0</v>
      </c>
      <c r="X56" s="142">
        <f t="shared" si="4"/>
        <v>0</v>
      </c>
      <c r="Y56" s="142">
        <f t="shared" si="4"/>
        <v>0</v>
      </c>
      <c r="Z56" s="142">
        <f t="shared" si="4"/>
        <v>0</v>
      </c>
      <c r="AA56" s="142">
        <f t="shared" si="4"/>
        <v>0</v>
      </c>
      <c r="AB56" s="142">
        <f t="shared" si="4"/>
        <v>0</v>
      </c>
      <c r="AC56" s="142">
        <f t="shared" si="4"/>
        <v>0</v>
      </c>
      <c r="AD56" s="142">
        <f t="shared" si="4"/>
        <v>0</v>
      </c>
      <c r="AE56" s="142">
        <f t="shared" si="4"/>
        <v>0</v>
      </c>
      <c r="AF56" s="142">
        <f t="shared" si="4"/>
        <v>0</v>
      </c>
      <c r="AG56" s="142">
        <f t="shared" si="4"/>
        <v>0</v>
      </c>
      <c r="AH56" s="142">
        <f t="shared" si="4"/>
        <v>0</v>
      </c>
      <c r="AI56" s="142">
        <f t="shared" si="4"/>
        <v>0</v>
      </c>
      <c r="AJ56" s="142">
        <f t="shared" si="4"/>
        <v>0</v>
      </c>
      <c r="AK56" s="30"/>
    </row>
    <row r="57" spans="1:37">
      <c r="C57" s="153"/>
      <c r="D57" s="154"/>
      <c r="E57" s="143"/>
      <c r="F57" s="143"/>
      <c r="G57" s="143"/>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row>
    <row r="59" spans="1:37">
      <c r="F59" s="98"/>
    </row>
  </sheetData>
  <mergeCells count="13">
    <mergeCell ref="AC2:AJ2"/>
    <mergeCell ref="AK2:AK3"/>
    <mergeCell ref="U2:X2"/>
    <mergeCell ref="H1:AB1"/>
    <mergeCell ref="F2:G2"/>
    <mergeCell ref="H2:K2"/>
    <mergeCell ref="L2:T2"/>
    <mergeCell ref="Y2:AB2"/>
    <mergeCell ref="B56:C56"/>
    <mergeCell ref="B2:B3"/>
    <mergeCell ref="C2:C3"/>
    <mergeCell ref="D2:D3"/>
    <mergeCell ref="E2:E3"/>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G8" sqref="G8"/>
    </sheetView>
  </sheetViews>
  <sheetFormatPr defaultColWidth="9" defaultRowHeight="13.2"/>
  <cols>
    <col min="1" max="1" width="5.109375" customWidth="1"/>
    <col min="3" max="3" width="29.33203125" customWidth="1"/>
    <col min="4" max="4" width="6.33203125" customWidth="1"/>
    <col min="5" max="5" width="5.88671875" style="38" customWidth="1"/>
    <col min="6" max="7" width="5.6640625" style="38" customWidth="1"/>
    <col min="8" max="36" width="5.6640625" customWidth="1"/>
    <col min="37" max="37" width="20" customWidth="1"/>
    <col min="38" max="38" width="8.109375" customWidth="1"/>
  </cols>
  <sheetData>
    <row r="1" spans="1:37" ht="13.5" customHeight="1" thickBot="1">
      <c r="A1" s="29"/>
      <c r="B1" s="272" t="s">
        <v>61</v>
      </c>
      <c r="C1" s="272"/>
      <c r="D1" s="272"/>
      <c r="E1" s="272"/>
      <c r="F1" s="273"/>
      <c r="G1" s="273"/>
      <c r="H1" s="407" t="s">
        <v>63</v>
      </c>
      <c r="I1" s="407"/>
      <c r="J1" s="407"/>
      <c r="K1" s="407"/>
      <c r="L1" s="407"/>
      <c r="M1" s="407"/>
      <c r="N1" s="407"/>
      <c r="O1" s="407"/>
      <c r="P1" s="407"/>
      <c r="Q1" s="407"/>
      <c r="R1" s="407"/>
      <c r="S1" s="407"/>
      <c r="T1" s="407"/>
      <c r="U1" s="407"/>
      <c r="V1" s="407"/>
      <c r="W1" s="407"/>
      <c r="X1" s="407"/>
      <c r="Y1" s="407"/>
      <c r="Z1" s="407"/>
      <c r="AA1" s="407"/>
      <c r="AB1" s="407"/>
      <c r="AC1" s="145"/>
      <c r="AD1" s="145"/>
      <c r="AE1" s="145"/>
      <c r="AF1" s="145"/>
      <c r="AG1" s="145"/>
      <c r="AH1" s="145"/>
      <c r="AI1" s="145"/>
      <c r="AJ1" s="146"/>
      <c r="AK1" s="155"/>
    </row>
    <row r="2" spans="1:37" ht="12.75" customHeight="1" thickBot="1">
      <c r="B2" s="399" t="s">
        <v>180</v>
      </c>
      <c r="C2" s="408" t="s">
        <v>60</v>
      </c>
      <c r="D2" s="410" t="s">
        <v>104</v>
      </c>
      <c r="E2" s="401" t="s">
        <v>181</v>
      </c>
      <c r="F2" s="408" t="s">
        <v>182</v>
      </c>
      <c r="G2" s="409"/>
      <c r="H2" s="403" t="s">
        <v>210</v>
      </c>
      <c r="I2" s="403"/>
      <c r="J2" s="403"/>
      <c r="K2" s="403"/>
      <c r="L2" s="404" t="s">
        <v>183</v>
      </c>
      <c r="M2" s="405"/>
      <c r="N2" s="405"/>
      <c r="O2" s="405"/>
      <c r="P2" s="405"/>
      <c r="Q2" s="405"/>
      <c r="R2" s="405"/>
      <c r="S2" s="405"/>
      <c r="T2" s="406"/>
      <c r="U2" s="395" t="s">
        <v>44</v>
      </c>
      <c r="V2" s="396"/>
      <c r="W2" s="396"/>
      <c r="X2" s="396"/>
      <c r="Y2" s="413" t="s">
        <v>64</v>
      </c>
      <c r="Z2" s="414"/>
      <c r="AA2" s="414"/>
      <c r="AB2" s="414"/>
      <c r="AC2" s="390" t="s">
        <v>2</v>
      </c>
      <c r="AD2" s="391"/>
      <c r="AE2" s="391"/>
      <c r="AF2" s="391"/>
      <c r="AG2" s="391"/>
      <c r="AH2" s="391"/>
      <c r="AI2" s="391"/>
      <c r="AJ2" s="392"/>
      <c r="AK2" s="393" t="s">
        <v>4</v>
      </c>
    </row>
    <row r="3" spans="1:37" ht="84.6" thickBot="1">
      <c r="B3" s="400"/>
      <c r="C3" s="412"/>
      <c r="D3" s="411"/>
      <c r="E3" s="402"/>
      <c r="F3" s="274" t="s">
        <v>273</v>
      </c>
      <c r="G3" s="275" t="s">
        <v>274</v>
      </c>
      <c r="H3" s="34" t="s">
        <v>105</v>
      </c>
      <c r="I3" s="34" t="s">
        <v>106</v>
      </c>
      <c r="J3" s="34" t="s">
        <v>107</v>
      </c>
      <c r="K3" s="34" t="s">
        <v>108</v>
      </c>
      <c r="L3" s="33" t="s">
        <v>185</v>
      </c>
      <c r="M3" s="34" t="s">
        <v>186</v>
      </c>
      <c r="N3" s="31" t="s">
        <v>45</v>
      </c>
      <c r="O3" s="31" t="s">
        <v>46</v>
      </c>
      <c r="P3" s="31" t="s">
        <v>34</v>
      </c>
      <c r="Q3" s="31" t="s">
        <v>36</v>
      </c>
      <c r="R3" s="31" t="s">
        <v>187</v>
      </c>
      <c r="S3" s="31" t="s">
        <v>35</v>
      </c>
      <c r="T3" s="32" t="s">
        <v>37</v>
      </c>
      <c r="U3" s="106" t="s">
        <v>110</v>
      </c>
      <c r="V3" s="35" t="s">
        <v>111</v>
      </c>
      <c r="W3" s="35" t="s">
        <v>188</v>
      </c>
      <c r="X3" s="35" t="s">
        <v>112</v>
      </c>
      <c r="Y3" s="106" t="s">
        <v>65</v>
      </c>
      <c r="Z3" s="35" t="s">
        <v>66</v>
      </c>
      <c r="AA3" s="35" t="s">
        <v>67</v>
      </c>
      <c r="AB3" s="36" t="s">
        <v>190</v>
      </c>
      <c r="AC3" s="33" t="s">
        <v>38</v>
      </c>
      <c r="AD3" s="31" t="s">
        <v>39</v>
      </c>
      <c r="AE3" s="31" t="s">
        <v>40</v>
      </c>
      <c r="AF3" s="31" t="s">
        <v>41</v>
      </c>
      <c r="AG3" s="31" t="s">
        <v>113</v>
      </c>
      <c r="AH3" s="31" t="s">
        <v>115</v>
      </c>
      <c r="AI3" s="31" t="s">
        <v>116</v>
      </c>
      <c r="AJ3" s="32" t="s">
        <v>114</v>
      </c>
      <c r="AK3" s="394"/>
    </row>
    <row r="4" spans="1:37" ht="13.8" thickBot="1">
      <c r="B4" s="102" t="s">
        <v>270</v>
      </c>
      <c r="C4" s="80" t="s">
        <v>207</v>
      </c>
      <c r="D4" s="141"/>
      <c r="E4" s="137"/>
      <c r="F4" s="107"/>
      <c r="G4" s="81"/>
      <c r="H4" s="69"/>
      <c r="I4" s="63"/>
      <c r="J4" s="63"/>
      <c r="K4" s="64"/>
      <c r="L4" s="77"/>
      <c r="M4" s="108"/>
      <c r="N4" s="63"/>
      <c r="O4" s="63"/>
      <c r="P4" s="63"/>
      <c r="Q4" s="63"/>
      <c r="R4" s="63"/>
      <c r="S4" s="63"/>
      <c r="T4" s="64"/>
      <c r="U4" s="62"/>
      <c r="V4" s="63"/>
      <c r="W4" s="63"/>
      <c r="X4" s="64"/>
      <c r="Y4" s="62"/>
      <c r="Z4" s="63"/>
      <c r="AA4" s="63"/>
      <c r="AB4" s="64"/>
      <c r="AC4" s="69"/>
      <c r="AD4" s="63"/>
      <c r="AE4" s="63"/>
      <c r="AF4" s="63"/>
      <c r="AG4" s="63"/>
      <c r="AH4" s="63"/>
      <c r="AI4" s="63"/>
      <c r="AJ4" s="64"/>
      <c r="AK4" s="149"/>
    </row>
    <row r="5" spans="1:37">
      <c r="A5">
        <v>1</v>
      </c>
      <c r="B5" s="78"/>
      <c r="C5" s="79"/>
      <c r="D5" s="82"/>
      <c r="E5" s="82"/>
      <c r="F5" s="159"/>
      <c r="G5" s="160"/>
      <c r="H5" s="293">
        <f>COUNTIFS(缺陷明细!$A$2:$A$50000,$B$4,缺陷明细!$G$2:$G$50000,$C5,缺陷明细!$J$2:$J$50000,"评审",缺陷明细!$AA$2:$AA$50000,"&lt;&gt;丢弃",缺陷明细!$AA$2:$AA$50000,"&lt;&gt;设计如此",缺陷明细!$AA$2:$AA$50000,"&lt;&gt;重复Bug")</f>
        <v>0</v>
      </c>
      <c r="I5" s="294">
        <f>COUNTIFS(缺陷明细!$A$2:$A$50000,$B$4,缺陷明细!$G$2:$G$50000,$C5,缺陷明细!$Q$2:$Q$50000,"已关闭",缺陷明细!$J$2:$J$50000,"评审")</f>
        <v>0</v>
      </c>
      <c r="J5" s="294">
        <f>COUNTIFS(缺陷明细!$A$2:$A$50000,$B$4,缺陷明细!$G$2:$G$50000,$C5,缺陷明细!$J$2:$J$50000,"单元测试",缺陷明细!$AA$2:$AA$50000,"&lt;&gt;丢弃",缺陷明细!$AA$2:$AA$50000,"&lt;&gt;设计如此",缺陷明细!$AA$2:$AA$50000,"&lt;&gt;重复Bug")</f>
        <v>0</v>
      </c>
      <c r="K5" s="295">
        <f>COUNTIFS(缺陷明细!$A$2:$A$50000,$B$4,缺陷明细!$G$2:$G$50000,$C5,缺陷明细!$Q$2:$Q$50000,"已关闭",缺陷明细!$J$2:$J$50000,"单元测试")</f>
        <v>0</v>
      </c>
      <c r="L5" s="296"/>
      <c r="M5" s="297"/>
      <c r="N5" s="298">
        <f>COUNTIFS(缺陷明细!$A$2:$A$50000,$B$4,缺陷明细!$G$2:$G$50000,$C5,缺陷明细!$J$2:$J$50000,"系统测试案例评审",缺陷明细!$AA$2:$AA$50000,"&lt;&gt;丢弃",缺陷明细!$AA$2:$AA$50000,"&lt;&gt;设计如此",缺陷明细!$AA$2:$AA$50000,"&lt;&gt;重复Bug")</f>
        <v>0</v>
      </c>
      <c r="O5" s="298">
        <f>COUNTIFS(缺陷明细!$A$2:$A$50000,$B$4,缺陷明细!$G$2:$G$50000,$C5,缺陷明细!$Q$2:$Q$50000,"已关闭",缺陷明细!$J$2:$J$50000,"系统测试案例评审")</f>
        <v>0</v>
      </c>
      <c r="P5" s="298">
        <f>COUNTIFS(缺陷明细!$A$2:$A$50000,$B$4,缺陷明细!$G$2:$G$50000,$C5,缺陷明细!$J$2:$J$50000,"系统测试",缺陷明细!$AA$2:$AA$50000,"&lt;&gt;丢弃",缺陷明细!$AA$2:$AA$50000,"&lt;&gt;设计如此",缺陷明细!$AA$2:$AA$50000,"&lt;&gt;重复Bug")</f>
        <v>0</v>
      </c>
      <c r="Q5" s="298">
        <f>COUNTIFS(缺陷明细!$A$2:$A$50000,$B$4,缺陷明细!$G$2:$G$50000,$C5,缺陷明细!$Q$2:$Q$50000,"已关闭",缺陷明细!$J$2:$J$50000,"系统测试")</f>
        <v>0</v>
      </c>
      <c r="R5" s="298">
        <f>COUNTIFS(缺陷明细!$A$2:$A$50000,$B$4,缺陷明细!$G$2:$G$50000,$C5,缺陷明细!$AA$2:$AA$50000,"丢弃",缺陷明细!$J$2:$J$50000,"系统测试")+COUNTIFS(缺陷明细!$A$2:$A$50000,$B$4,缺陷明细!$G$2:$G$50000,$C5,缺陷明细!$AA$2:$AA$50000,"设计如此",缺陷明细!$J$2:$J$50000,"系统测试"+COUNTIFS(缺陷明细!$A$2:$A$50000,$B$4,缺陷明细!$G$2:$G$50000,$C5,缺陷明细!$AA$2:$AA$50000,"重复Bug",缺陷明细!$J$2:$J$50000,"系统测试"))</f>
        <v>0</v>
      </c>
      <c r="S5" s="298">
        <f>COUNTIFS(缺陷明细!$A$2:$A$50000,$B$4,缺陷明细!$G$2:$G$50000,$C5,缺陷明细!$J$2:$J$50000,"系统测试",缺陷明细!$K$2:$K$50000,"致命",缺陷明细!$AA$2:$AA$50000,"&lt;&gt;丢弃",缺陷明细!$AA$2:$AA$50000,"&lt;&gt;设计如此",缺陷明细!$AA$2:$AA$50000,"&lt;&gt;重复Bug")+COUNTIFS(缺陷明细!$A$2:$A$50000,$B$4,缺陷明细!$G$2:$G$50000,$C5,缺陷明细!$J$2:$J$50000,"系统测试",缺陷明细!$K$2:$K$50000,"严重",缺陷明细!$AA$2:$AA$50000,"&lt;&gt;丢弃",缺陷明细!$AA$2:$AA$50000,"&lt;&gt;设计如此",缺陷明细!$AA$2:$AA$50000,"&lt;&gt;重复Bug")</f>
        <v>0</v>
      </c>
      <c r="T5" s="299">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300">
        <f>COUNTIFS(缺陷明细!$A$2:$A$50000,$B$4,缺陷明细!$G$2:$G$50000,$C5,缺陷明细!$J$2:$J$50000,"验收测试",缺陷明细!$AA$2:$AA$50000,"&lt;&gt;丢弃",缺陷明细!$AA$2:$AA$50000,"&lt;&gt;设计如此",缺陷明细!$AA$2:$AA$50000,"&lt;&gt;重复Bug")</f>
        <v>0</v>
      </c>
      <c r="V5" s="301">
        <f>COUNTIFS(缺陷明细!$A$2:$A$50000,$B$4,缺陷明细!$G$2:$G$50000,$C5,缺陷明细!$Q$2:$Q$50000,"已关闭",缺陷明细!$J$2:$J$50000,"验收测试")</f>
        <v>0</v>
      </c>
      <c r="W5" s="301">
        <f>COUNTIFS(缺陷明细!$A$2:$A$50000,$B$4,缺陷明细!$G$2:$G$50000,$C5,缺陷明细!$J$2:$J$50000,"验收测试",缺陷明细!$K$2:$K$50000,"致命",缺陷明细!$AA$2:$AA$50000,"&lt;&gt;丢弃",缺陷明细!$AA$2:$AA$50000,"&lt;&gt;设计如此",缺陷明细!$AA$2:$AA$50000,"&lt;&gt;重复Bug")+COUNTIFS(缺陷明细!$A$2:$A$50000,$B$4,缺陷明细!$G$2:$G$50000,$C5,缺陷明细!$J$2:$J$50000,"验收测试",缺陷明细!$K$2:$K$50000,"严重",缺陷明细!$AA$2:$AA$50000,"&lt;&gt;丢弃",缺陷明细!$AA$2:$AA$50000,"&lt;&gt;设计如此",缺陷明细!$AA$2:$AA$50000,"&lt;&gt;重复Bug")</f>
        <v>0</v>
      </c>
      <c r="X5" s="302">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303">
        <f>COUNTIFS(缺陷明细!$A$2:$A$50000,$B$4,缺陷明细!$G$2:$G$50000,$C5,缺陷明细!$J$2:$J$50000,"运维测试",缺陷明细!$AA$2:$AA$50000,"&lt;&gt;丢弃",缺陷明细!$AA$2:$AA$50000,"&lt;&gt;设计如此",缺陷明细!$AA$2:$AA$50000,"&lt;&gt;重复Bug")</f>
        <v>0</v>
      </c>
      <c r="Z5" s="304">
        <f>COUNTIFS(缺陷明细!$A$2:$A$50000,$B$4,缺陷明细!$G$2:$G$50000,$C5,缺陷明细!$Q$2:$Q$50000,"已关闭",缺陷明细!$J$2:$J$50000,"运维测试")</f>
        <v>0</v>
      </c>
      <c r="AA5" s="298">
        <f>COUNTIFS(缺陷明细!$A$2:$A$50000,$B$4,缺陷明细!$G$2:$G$50000,$C5,缺陷明细!$J$2:$J$50000,"运维测试",缺陷明细!$K$2:$K$50000,"致命",缺陷明细!$AA$2:$AA$50000,"&lt;&gt;丢弃",缺陷明细!$AA$2:$AA$50000,"&lt;&gt;设计如此",缺陷明细!$AA$2:$AA$50000,"&lt;&gt;重复Bug")+COUNTIFS(缺陷明细!$A$2:$A$50000,$B$4,缺陷明细!$G$2:$G$50000,$C5,缺陷明细!$J$2:$J$50000,"运维测试",缺陷明细!$K$2:$K$50000,"严重",缺陷明细!$AA$2:$AA$50000,"&lt;&gt;丢弃",缺陷明细!$AA$2:$AA$50000,"&lt;&gt;设计如此",缺陷明细!$AA$2:$AA$50000,"&lt;&gt;重复Bug")</f>
        <v>0</v>
      </c>
      <c r="AB5" s="299">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50"/>
    </row>
    <row r="6" spans="1:37">
      <c r="A6">
        <v>2</v>
      </c>
      <c r="B6" s="57"/>
      <c r="C6" s="58"/>
      <c r="D6" s="83"/>
      <c r="E6" s="82"/>
      <c r="F6" s="165"/>
      <c r="G6" s="166"/>
      <c r="H6" s="305">
        <f>COUNTIFS(缺陷明细!$A$2:$A$50000,$B$4,缺陷明细!$G$2:$G$50000,$C6,缺陷明细!$J$2:$J$50000,"评审",缺陷明细!$AA$2:$AA$50000,"&lt;&gt;丢弃",缺陷明细!$AA$2:$AA$50000,"&lt;&gt;设计如此",缺陷明细!$AA$2:$AA$50000,"&lt;&gt;重复Bug")</f>
        <v>0</v>
      </c>
      <c r="I6" s="161">
        <f>COUNTIFS(缺陷明细!$A$2:$A$50000,$B$4,缺陷明细!$G$2:$G$50000,$C6,缺陷明细!$Q$2:$Q$50000,"已关闭",缺陷明细!$J$2:$J$50000,"评审")</f>
        <v>0</v>
      </c>
      <c r="J6" s="161">
        <f>COUNTIFS(缺陷明细!$A$2:$A$50000,$B$4,缺陷明细!$G$2:$G$50000,$C6,缺陷明细!$J$2:$J$50000,"单元测试",缺陷明细!$AA$2:$AA$50000,"&lt;&gt;丢弃",缺陷明细!$AA$2:$AA$50000,"&lt;&gt;设计如此",缺陷明细!$AA$2:$AA$50000,"&lt;&gt;重复Bug")</f>
        <v>0</v>
      </c>
      <c r="K6" s="162">
        <f>COUNTIFS(缺陷明细!$A$2:$A$50000,$B$4,缺陷明细!$G$2:$G$50000,$C6,缺陷明细!$Q$2:$Q$50000,"已关闭",缺陷明细!$J$2:$J$50000,"单元测试")</f>
        <v>0</v>
      </c>
      <c r="L6" s="163"/>
      <c r="M6" s="164"/>
      <c r="N6" s="72">
        <f>COUNTIFS(缺陷明细!$A$2:$A$50000,$B$4,缺陷明细!$G$2:$G$50000,$C6,缺陷明细!$J$2:$J$50000,"系统测试案例评审",缺陷明细!$AA$2:$AA$50000,"&lt;&gt;丢弃",缺陷明细!$AA$2:$AA$50000,"&lt;&gt;设计如此",缺陷明细!$AA$2:$AA$50000,"&lt;&gt;重复Bug")</f>
        <v>0</v>
      </c>
      <c r="O6" s="72">
        <f>COUNTIFS(缺陷明细!$A$2:$A$50000,$B$4,缺陷明细!$G$2:$G$50000,$C6,缺陷明细!$Q$2:$Q$50000,"已关闭",缺陷明细!$J$2:$J$50000,"系统测试案例评审")</f>
        <v>0</v>
      </c>
      <c r="P6" s="72">
        <f>COUNTIFS(缺陷明细!$A$2:$A$50000,$B$4,缺陷明细!$G$2:$G$50000,$C6,缺陷明细!$J$2:$J$50000,"系统测试",缺陷明细!$AA$2:$AA$50000,"&lt;&gt;丢弃",缺陷明细!$AA$2:$AA$50000,"&lt;&gt;设计如此",缺陷明细!$AA$2:$AA$50000,"&lt;&gt;重复Bug")</f>
        <v>0</v>
      </c>
      <c r="Q6" s="72">
        <f>COUNTIFS(缺陷明细!$A$2:$A$50000,$B$4,缺陷明细!$G$2:$G$50000,$C6,缺陷明细!$Q$2:$Q$50000,"已关闭",缺陷明细!$J$2:$J$50000,"系统测试")</f>
        <v>0</v>
      </c>
      <c r="R6" s="72">
        <f>COUNTIFS(缺陷明细!$A$2:$A$50000,$B$4,缺陷明细!$G$2:$G$50000,$C6,缺陷明细!$AA$2:$AA$50000,"丢弃",缺陷明细!$J$2:$J$50000,"系统测试")+COUNTIFS(缺陷明细!$A$2:$A$50000,$B$4,缺陷明细!$G$2:$G$50000,$C6,缺陷明细!$AA$2:$AA$50000,"设计如此",缺陷明细!$J$2:$J$50000,"系统测试"+COUNTIFS(缺陷明细!$A$2:$A$50000,$B$4,缺陷明细!$G$2:$G$50000,$C6,缺陷明细!$AA$2:$AA$50000,"重复Bug",缺陷明细!$J$2:$J$50000,"系统测试"))</f>
        <v>0</v>
      </c>
      <c r="S6" s="72">
        <f>COUNTIFS(缺陷明细!$A$2:$A$50000,$B$4,缺陷明细!$G$2:$G$50000,$C6,缺陷明细!$J$2:$J$50000,"系统测试",缺陷明细!$K$2:$K$50000,"致命",缺陷明细!$AA$2:$AA$50000,"&lt;&gt;丢弃",缺陷明细!$AA$2:$AA$50000,"&lt;&gt;设计如此",缺陷明细!$AA$2:$AA$50000,"&lt;&gt;重复Bug")+COUNTIFS(缺陷明细!$A$2:$A$50000,$B$4,缺陷明细!$G$2:$G$50000,$C6,缺陷明细!$J$2:$J$50000,"系统测试",缺陷明细!$K$2:$K$50000,"严重",缺陷明细!$AA$2:$AA$50000,"&lt;&gt;丢弃",缺陷明细!$AA$2:$AA$50000,"&lt;&gt;设计如此",缺陷明细!$AA$2:$AA$50000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COUNTIFS(缺陷明细!$A$2:$A$50000,$B$4,缺陷明细!$G$2:$G$50000,$C6,缺陷明细!$J$2:$J$50000,"验收测试",缺陷明细!$AA$2:$AA$50000,"&lt;&gt;丢弃",缺陷明细!$AA$2:$AA$50000,"&lt;&gt;设计如此",缺陷明细!$AA$2:$AA$50000,"&lt;&gt;重复Bug")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A$2:$AA$50000,"&lt;&gt;丢弃",缺陷明细!$AA$2:$AA$50000,"&lt;&gt;设计如此",缺陷明细!$AA$2:$AA$50000,"&lt;&gt;重复Bug")+COUNTIFS(缺陷明细!$A$2:$A$50000,$B$4,缺陷明细!$G$2:$G$50000,$C6,缺陷明细!$J$2:$J$50000,"验收测试",缺陷明细!$K$2:$K$50000,"严重",缺陷明细!$AA$2:$AA$50000,"&lt;&gt;丢弃",缺陷明细!$AA$2:$AA$50000,"&lt;&gt;设计如此",缺陷明细!$AA$2:$AA$50000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COUNTIFS(缺陷明细!$A$2:$A$50000,$B$4,缺陷明细!$G$2:$G$50000,$C6,缺陷明细!$J$2:$J$50000,"运维测试",缺陷明细!$AA$2:$AA$50000,"&lt;&gt;丢弃",缺陷明细!$AA$2:$AA$50000,"&lt;&gt;设计如此",缺陷明细!$AA$2:$AA$50000,"&lt;&gt;重复Bug")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A$2:$AA$50000,"&lt;&gt;丢弃",缺陷明细!$AA$2:$AA$50000,"&lt;&gt;设计如此",缺陷明细!$AA$2:$AA$50000,"&lt;&gt;重复Bug")+COUNTIFS(缺陷明细!$A$2:$A$50000,$B$4,缺陷明细!$G$2:$G$50000,$C6,缺陷明细!$J$2:$J$50000,"运维测试",缺陷明细!$K$2:$K$50000,"严重",缺陷明细!$AA$2:$AA$50000,"&lt;&gt;丢弃",缺陷明细!$AA$2:$AA$50000,"&lt;&gt;设计如此",缺陷明细!$AA$2:$AA$50000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51"/>
    </row>
    <row r="7" spans="1:37">
      <c r="A7">
        <v>3</v>
      </c>
      <c r="B7" s="57"/>
      <c r="C7" s="58"/>
      <c r="D7" s="83"/>
      <c r="E7" s="82"/>
      <c r="F7" s="165"/>
      <c r="G7" s="166"/>
      <c r="H7" s="305">
        <f>COUNTIFS(缺陷明细!$A$2:$A$50000,$B$4,缺陷明细!$G$2:$G$50000,$C7,缺陷明细!$J$2:$J$50000,"评审",缺陷明细!$AA$2:$AA$50000,"&lt;&gt;丢弃",缺陷明细!$AA$2:$AA$50000,"&lt;&gt;设计如此",缺陷明细!$AA$2:$AA$50000,"&lt;&gt;重复Bug")</f>
        <v>0</v>
      </c>
      <c r="I7" s="161">
        <f>COUNTIFS(缺陷明细!$A$2:$A$50000,$B$4,缺陷明细!$G$2:$G$50000,$C7,缺陷明细!$Q$2:$Q$50000,"已关闭",缺陷明细!$J$2:$J$50000,"评审")</f>
        <v>0</v>
      </c>
      <c r="J7" s="161">
        <f>COUNTIFS(缺陷明细!$A$2:$A$50000,$B$4,缺陷明细!$G$2:$G$50000,$C7,缺陷明细!$J$2:$J$50000,"单元测试",缺陷明细!$AA$2:$AA$50000,"&lt;&gt;丢弃",缺陷明细!$AA$2:$AA$50000,"&lt;&gt;设计如此",缺陷明细!$AA$2:$AA$50000,"&lt;&gt;重复Bug")</f>
        <v>0</v>
      </c>
      <c r="K7" s="162">
        <f>COUNTIFS(缺陷明细!$A$2:$A$50000,$B$4,缺陷明细!$G$2:$G$50000,$C7,缺陷明细!$Q$2:$Q$50000,"已关闭",缺陷明细!$J$2:$J$50000,"单元测试")</f>
        <v>0</v>
      </c>
      <c r="L7" s="163"/>
      <c r="M7" s="164"/>
      <c r="N7" s="72">
        <f>COUNTIFS(缺陷明细!$A$2:$A$50000,$B$4,缺陷明细!$G$2:$G$50000,$C7,缺陷明细!$J$2:$J$50000,"系统测试案例评审",缺陷明细!$AA$2:$AA$50000,"&lt;&gt;丢弃",缺陷明细!$AA$2:$AA$50000,"&lt;&gt;设计如此",缺陷明细!$AA$2:$AA$50000,"&lt;&gt;重复Bug")</f>
        <v>0</v>
      </c>
      <c r="O7" s="72">
        <f>COUNTIFS(缺陷明细!$A$2:$A$50000,$B$4,缺陷明细!$G$2:$G$50000,$C7,缺陷明细!$Q$2:$Q$50000,"已关闭",缺陷明细!$J$2:$J$50000,"系统测试案例评审")</f>
        <v>0</v>
      </c>
      <c r="P7" s="72">
        <f>COUNTIFS(缺陷明细!$A$2:$A$50000,$B$4,缺陷明细!$G$2:$G$50000,$C7,缺陷明细!$J$2:$J$50000,"系统测试",缺陷明细!$AA$2:$AA$50000,"&lt;&gt;丢弃",缺陷明细!$AA$2:$AA$50000,"&lt;&gt;设计如此",缺陷明细!$AA$2:$AA$50000,"&lt;&gt;重复Bug")</f>
        <v>0</v>
      </c>
      <c r="Q7" s="72">
        <f>COUNTIFS(缺陷明细!$A$2:$A$50000,$B$4,缺陷明细!$G$2:$G$50000,$C7,缺陷明细!$Q$2:$Q$50000,"已关闭",缺陷明细!$J$2:$J$50000,"系统测试")</f>
        <v>0</v>
      </c>
      <c r="R7" s="72">
        <f>COUNTIFS(缺陷明细!$A$2:$A$50000,$B$4,缺陷明细!$G$2:$G$50000,$C7,缺陷明细!$AA$2:$AA$50000,"丢弃",缺陷明细!$J$2:$J$50000,"系统测试")+COUNTIFS(缺陷明细!$A$2:$A$50000,$B$4,缺陷明细!$G$2:$G$50000,$C7,缺陷明细!$AA$2:$AA$50000,"设计如此",缺陷明细!$J$2:$J$50000,"系统测试"+COUNTIFS(缺陷明细!$A$2:$A$50000,$B$4,缺陷明细!$G$2:$G$50000,$C7,缺陷明细!$AA$2:$AA$50000,"重复Bug",缺陷明细!$J$2:$J$50000,"系统测试"))</f>
        <v>0</v>
      </c>
      <c r="S7" s="72">
        <f>COUNTIFS(缺陷明细!$A$2:$A$50000,$B$4,缺陷明细!$G$2:$G$50000,$C7,缺陷明细!$J$2:$J$50000,"系统测试",缺陷明细!$K$2:$K$50000,"致命",缺陷明细!$AA$2:$AA$50000,"&lt;&gt;丢弃",缺陷明细!$AA$2:$AA$50000,"&lt;&gt;设计如此",缺陷明细!$AA$2:$AA$50000,"&lt;&gt;重复Bug")+COUNTIFS(缺陷明细!$A$2:$A$50000,$B$4,缺陷明细!$G$2:$G$50000,$C7,缺陷明细!$J$2:$J$50000,"系统测试",缺陷明细!$K$2:$K$50000,"严重",缺陷明细!$AA$2:$AA$50000,"&lt;&gt;丢弃",缺陷明细!$AA$2:$AA$50000,"&lt;&gt;设计如此",缺陷明细!$AA$2:$AA$50000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COUNTIFS(缺陷明细!$A$2:$A$50000,$B$4,缺陷明细!$G$2:$G$50000,$C7,缺陷明细!$J$2:$J$50000,"验收测试",缺陷明细!$AA$2:$AA$50000,"&lt;&gt;丢弃",缺陷明细!$AA$2:$AA$50000,"&lt;&gt;设计如此",缺陷明细!$AA$2:$AA$50000,"&lt;&gt;重复Bug")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A$2:$AA$50000,"&lt;&gt;丢弃",缺陷明细!$AA$2:$AA$50000,"&lt;&gt;设计如此",缺陷明细!$AA$2:$AA$50000,"&lt;&gt;重复Bug")+COUNTIFS(缺陷明细!$A$2:$A$50000,$B$4,缺陷明细!$G$2:$G$50000,$C7,缺陷明细!$J$2:$J$50000,"验收测试",缺陷明细!$K$2:$K$50000,"严重",缺陷明细!$AA$2:$AA$50000,"&lt;&gt;丢弃",缺陷明细!$AA$2:$AA$50000,"&lt;&gt;设计如此",缺陷明细!$AA$2:$AA$50000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COUNTIFS(缺陷明细!$A$2:$A$50000,$B$4,缺陷明细!$G$2:$G$50000,$C7,缺陷明细!$J$2:$J$50000,"运维测试",缺陷明细!$AA$2:$AA$50000,"&lt;&gt;丢弃",缺陷明细!$AA$2:$AA$50000,"&lt;&gt;设计如此",缺陷明细!$AA$2:$AA$50000,"&lt;&gt;重复Bug")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A$2:$AA$50000,"&lt;&gt;丢弃",缺陷明细!$AA$2:$AA$50000,"&lt;&gt;设计如此",缺陷明细!$AA$2:$AA$50000,"&lt;&gt;重复Bug")+COUNTIFS(缺陷明细!$A$2:$A$50000,$B$4,缺陷明细!$G$2:$G$50000,$C7,缺陷明细!$J$2:$J$50000,"运维测试",缺陷明细!$K$2:$K$50000,"严重",缺陷明细!$AA$2:$AA$50000,"&lt;&gt;丢弃",缺陷明细!$AA$2:$AA$50000,"&lt;&gt;设计如此",缺陷明细!$AA$2:$AA$50000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51"/>
    </row>
    <row r="8" spans="1:37">
      <c r="A8">
        <v>4</v>
      </c>
      <c r="B8" s="57"/>
      <c r="C8" s="58"/>
      <c r="D8" s="83"/>
      <c r="E8" s="82"/>
      <c r="F8" s="165"/>
      <c r="G8" s="166"/>
      <c r="H8" s="305">
        <f>COUNTIFS(缺陷明细!$A$2:$A$50000,$B$4,缺陷明细!$G$2:$G$50000,$C8,缺陷明细!$J$2:$J$50000,"评审",缺陷明细!$AA$2:$AA$50000,"&lt;&gt;丢弃",缺陷明细!$AA$2:$AA$50000,"&lt;&gt;设计如此",缺陷明细!$AA$2:$AA$50000,"&lt;&gt;重复Bug")</f>
        <v>0</v>
      </c>
      <c r="I8" s="161">
        <f>COUNTIFS(缺陷明细!$A$2:$A$50000,$B$4,缺陷明细!$G$2:$G$50000,$C8,缺陷明细!$Q$2:$Q$50000,"已关闭",缺陷明细!$J$2:$J$50000,"评审")</f>
        <v>0</v>
      </c>
      <c r="J8" s="161">
        <f>COUNTIFS(缺陷明细!$A$2:$A$50000,$B$4,缺陷明细!$G$2:$G$50000,$C8,缺陷明细!$J$2:$J$50000,"单元测试",缺陷明细!$AA$2:$AA$50000,"&lt;&gt;丢弃",缺陷明细!$AA$2:$AA$50000,"&lt;&gt;设计如此",缺陷明细!$AA$2:$AA$50000,"&lt;&gt;重复Bug")</f>
        <v>0</v>
      </c>
      <c r="K8" s="162">
        <f>COUNTIFS(缺陷明细!$A$2:$A$50000,$B$4,缺陷明细!$G$2:$G$50000,$C8,缺陷明细!$Q$2:$Q$50000,"已关闭",缺陷明细!$J$2:$J$50000,"单元测试")</f>
        <v>0</v>
      </c>
      <c r="L8" s="163"/>
      <c r="M8" s="164"/>
      <c r="N8" s="72">
        <f>COUNTIFS(缺陷明细!$A$2:$A$50000,$B$4,缺陷明细!$G$2:$G$50000,$C8,缺陷明细!$J$2:$J$50000,"系统测试案例评审",缺陷明细!$AA$2:$AA$50000,"&lt;&gt;丢弃",缺陷明细!$AA$2:$AA$50000,"&lt;&gt;设计如此",缺陷明细!$AA$2:$AA$50000,"&lt;&gt;重复Bug")</f>
        <v>0</v>
      </c>
      <c r="O8" s="72">
        <f>COUNTIFS(缺陷明细!$A$2:$A$50000,$B$4,缺陷明细!$G$2:$G$50000,$C8,缺陷明细!$Q$2:$Q$50000,"已关闭",缺陷明细!$J$2:$J$50000,"系统测试案例评审")</f>
        <v>0</v>
      </c>
      <c r="P8" s="72">
        <f>COUNTIFS(缺陷明细!$A$2:$A$50000,$B$4,缺陷明细!$G$2:$G$50000,$C8,缺陷明细!$J$2:$J$50000,"系统测试",缺陷明细!$AA$2:$AA$50000,"&lt;&gt;丢弃",缺陷明细!$AA$2:$AA$50000,"&lt;&gt;设计如此",缺陷明细!$AA$2:$AA$50000,"&lt;&gt;重复Bug")</f>
        <v>0</v>
      </c>
      <c r="Q8" s="72">
        <f>COUNTIFS(缺陷明细!$A$2:$A$50000,$B$4,缺陷明细!$G$2:$G$50000,$C8,缺陷明细!$Q$2:$Q$50000,"已关闭",缺陷明细!$J$2:$J$50000,"系统测试")</f>
        <v>0</v>
      </c>
      <c r="R8" s="72">
        <f>COUNTIFS(缺陷明细!$A$2:$A$50000,$B$4,缺陷明细!$G$2:$G$50000,$C8,缺陷明细!$AA$2:$AA$50000,"丢弃",缺陷明细!$J$2:$J$50000,"系统测试")+COUNTIFS(缺陷明细!$A$2:$A$50000,$B$4,缺陷明细!$G$2:$G$50000,$C8,缺陷明细!$AA$2:$AA$50000,"设计如此",缺陷明细!$J$2:$J$50000,"系统测试"+COUNTIFS(缺陷明细!$A$2:$A$50000,$B$4,缺陷明细!$G$2:$G$50000,$C8,缺陷明细!$AA$2:$AA$50000,"重复Bug",缺陷明细!$J$2:$J$50000,"系统测试"))</f>
        <v>0</v>
      </c>
      <c r="S8" s="72">
        <f>COUNTIFS(缺陷明细!$A$2:$A$50000,$B$4,缺陷明细!$G$2:$G$50000,$C8,缺陷明细!$J$2:$J$50000,"系统测试",缺陷明细!$K$2:$K$50000,"致命",缺陷明细!$AA$2:$AA$50000,"&lt;&gt;丢弃",缺陷明细!$AA$2:$AA$50000,"&lt;&gt;设计如此",缺陷明细!$AA$2:$AA$50000,"&lt;&gt;重复Bug")+COUNTIFS(缺陷明细!$A$2:$A$50000,$B$4,缺陷明细!$G$2:$G$50000,$C8,缺陷明细!$J$2:$J$50000,"系统测试",缺陷明细!$K$2:$K$50000,"严重",缺陷明细!$AA$2:$AA$50000,"&lt;&gt;丢弃",缺陷明细!$AA$2:$AA$50000,"&lt;&gt;设计如此",缺陷明细!$AA$2:$AA$50000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COUNTIFS(缺陷明细!$A$2:$A$50000,$B$4,缺陷明细!$G$2:$G$50000,$C8,缺陷明细!$J$2:$J$50000,"验收测试",缺陷明细!$AA$2:$AA$50000,"&lt;&gt;丢弃",缺陷明细!$AA$2:$AA$50000,"&lt;&gt;设计如此",缺陷明细!$AA$2:$AA$50000,"&lt;&gt;重复Bug")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A$2:$AA$50000,"&lt;&gt;丢弃",缺陷明细!$AA$2:$AA$50000,"&lt;&gt;设计如此",缺陷明细!$AA$2:$AA$50000,"&lt;&gt;重复Bug")+COUNTIFS(缺陷明细!$A$2:$A$50000,$B$4,缺陷明细!$G$2:$G$50000,$C8,缺陷明细!$J$2:$J$50000,"验收测试",缺陷明细!$K$2:$K$50000,"严重",缺陷明细!$AA$2:$AA$50000,"&lt;&gt;丢弃",缺陷明细!$AA$2:$AA$50000,"&lt;&gt;设计如此",缺陷明细!$AA$2:$AA$50000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COUNTIFS(缺陷明细!$A$2:$A$50000,$B$4,缺陷明细!$G$2:$G$50000,$C8,缺陷明细!$J$2:$J$50000,"运维测试",缺陷明细!$AA$2:$AA$50000,"&lt;&gt;丢弃",缺陷明细!$AA$2:$AA$50000,"&lt;&gt;设计如此",缺陷明细!$AA$2:$AA$50000,"&lt;&gt;重复Bug")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A$2:$AA$50000,"&lt;&gt;丢弃",缺陷明细!$AA$2:$AA$50000,"&lt;&gt;设计如此",缺陷明细!$AA$2:$AA$50000,"&lt;&gt;重复Bug")+COUNTIFS(缺陷明细!$A$2:$A$50000,$B$4,缺陷明细!$G$2:$G$50000,$C8,缺陷明细!$J$2:$J$50000,"运维测试",缺陷明细!$K$2:$K$50000,"严重",缺陷明细!$AA$2:$AA$50000,"&lt;&gt;丢弃",缺陷明细!$AA$2:$AA$50000,"&lt;&gt;设计如此",缺陷明细!$AA$2:$AA$50000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51"/>
    </row>
    <row r="9" spans="1:37">
      <c r="A9">
        <v>5</v>
      </c>
      <c r="B9" s="57"/>
      <c r="C9" s="59"/>
      <c r="D9" s="84"/>
      <c r="E9" s="82"/>
      <c r="F9" s="167"/>
      <c r="G9" s="168"/>
      <c r="H9" s="305">
        <f>COUNTIFS(缺陷明细!$A$2:$A$50000,$B$4,缺陷明细!$G$2:$G$50000,$C9,缺陷明细!$J$2:$J$50000,"评审",缺陷明细!$AA$2:$AA$50000,"&lt;&gt;丢弃",缺陷明细!$AA$2:$AA$50000,"&lt;&gt;设计如此",缺陷明细!$AA$2:$AA$50000,"&lt;&gt;重复Bug")</f>
        <v>0</v>
      </c>
      <c r="I9" s="161">
        <f>COUNTIFS(缺陷明细!$A$2:$A$50000,$B$4,缺陷明细!$G$2:$G$50000,$C9,缺陷明细!$Q$2:$Q$50000,"已关闭",缺陷明细!$J$2:$J$50000,"评审")</f>
        <v>0</v>
      </c>
      <c r="J9" s="161">
        <f>COUNTIFS(缺陷明细!$A$2:$A$50000,$B$4,缺陷明细!$G$2:$G$50000,$C9,缺陷明细!$J$2:$J$50000,"单元测试",缺陷明细!$AA$2:$AA$50000,"&lt;&gt;丢弃",缺陷明细!$AA$2:$AA$50000,"&lt;&gt;设计如此",缺陷明细!$AA$2:$AA$50000,"&lt;&gt;重复Bug")</f>
        <v>0</v>
      </c>
      <c r="K9" s="162">
        <f>COUNTIFS(缺陷明细!$A$2:$A$50000,$B$4,缺陷明细!$G$2:$G$50000,$C9,缺陷明细!$Q$2:$Q$50000,"已关闭",缺陷明细!$J$2:$J$50000,"单元测试")</f>
        <v>0</v>
      </c>
      <c r="L9" s="163"/>
      <c r="M9" s="164"/>
      <c r="N9" s="72">
        <f>COUNTIFS(缺陷明细!$A$2:$A$50000,$B$4,缺陷明细!$G$2:$G$50000,$C9,缺陷明细!$J$2:$J$50000,"系统测试案例评审",缺陷明细!$AA$2:$AA$50000,"&lt;&gt;丢弃",缺陷明细!$AA$2:$AA$50000,"&lt;&gt;设计如此",缺陷明细!$AA$2:$AA$50000,"&lt;&gt;重复Bug")</f>
        <v>0</v>
      </c>
      <c r="O9" s="72">
        <f>COUNTIFS(缺陷明细!$A$2:$A$50000,$B$4,缺陷明细!$G$2:$G$50000,$C9,缺陷明细!$Q$2:$Q$50000,"已关闭",缺陷明细!$J$2:$J$50000,"系统测试案例评审")</f>
        <v>0</v>
      </c>
      <c r="P9" s="72">
        <f>COUNTIFS(缺陷明细!$A$2:$A$50000,$B$4,缺陷明细!$G$2:$G$50000,$C9,缺陷明细!$J$2:$J$50000,"系统测试",缺陷明细!$AA$2:$AA$50000,"&lt;&gt;丢弃",缺陷明细!$AA$2:$AA$50000,"&lt;&gt;设计如此",缺陷明细!$AA$2:$AA$50000,"&lt;&gt;重复Bug")</f>
        <v>0</v>
      </c>
      <c r="Q9" s="72">
        <f>COUNTIFS(缺陷明细!$A$2:$A$50000,$B$4,缺陷明细!$G$2:$G$50000,$C9,缺陷明细!$Q$2:$Q$50000,"已关闭",缺陷明细!$J$2:$J$50000,"系统测试")</f>
        <v>0</v>
      </c>
      <c r="R9" s="72">
        <f>COUNTIFS(缺陷明细!$A$2:$A$50000,$B$4,缺陷明细!$G$2:$G$50000,$C9,缺陷明细!$AA$2:$AA$50000,"丢弃",缺陷明细!$J$2:$J$50000,"系统测试")+COUNTIFS(缺陷明细!$A$2:$A$50000,$B$4,缺陷明细!$G$2:$G$50000,$C9,缺陷明细!$AA$2:$AA$50000,"设计如此",缺陷明细!$J$2:$J$50000,"系统测试"+COUNTIFS(缺陷明细!$A$2:$A$50000,$B$4,缺陷明细!$G$2:$G$50000,$C9,缺陷明细!$AA$2:$AA$50000,"重复Bug",缺陷明细!$J$2:$J$50000,"系统测试"))</f>
        <v>0</v>
      </c>
      <c r="S9" s="72">
        <f>COUNTIFS(缺陷明细!$A$2:$A$50000,$B$4,缺陷明细!$G$2:$G$50000,$C9,缺陷明细!$J$2:$J$50000,"系统测试",缺陷明细!$K$2:$K$50000,"致命",缺陷明细!$AA$2:$AA$50000,"&lt;&gt;丢弃",缺陷明细!$AA$2:$AA$50000,"&lt;&gt;设计如此",缺陷明细!$AA$2:$AA$50000,"&lt;&gt;重复Bug")+COUNTIFS(缺陷明细!$A$2:$A$50000,$B$4,缺陷明细!$G$2:$G$50000,$C9,缺陷明细!$J$2:$J$50000,"系统测试",缺陷明细!$K$2:$K$50000,"严重",缺陷明细!$AA$2:$AA$50000,"&lt;&gt;丢弃",缺陷明细!$AA$2:$AA$50000,"&lt;&gt;设计如此",缺陷明细!$AA$2:$AA$50000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COUNTIFS(缺陷明细!$A$2:$A$50000,$B$4,缺陷明细!$G$2:$G$50000,$C9,缺陷明细!$J$2:$J$50000,"验收测试",缺陷明细!$AA$2:$AA$50000,"&lt;&gt;丢弃",缺陷明细!$AA$2:$AA$50000,"&lt;&gt;设计如此",缺陷明细!$AA$2:$AA$50000,"&lt;&gt;重复Bug")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A$2:$AA$50000,"&lt;&gt;丢弃",缺陷明细!$AA$2:$AA$50000,"&lt;&gt;设计如此",缺陷明细!$AA$2:$AA$50000,"&lt;&gt;重复Bug")+COUNTIFS(缺陷明细!$A$2:$A$50000,$B$4,缺陷明细!$G$2:$G$50000,$C9,缺陷明细!$J$2:$J$50000,"验收测试",缺陷明细!$K$2:$K$50000,"严重",缺陷明细!$AA$2:$AA$50000,"&lt;&gt;丢弃",缺陷明细!$AA$2:$AA$50000,"&lt;&gt;设计如此",缺陷明细!$AA$2:$AA$50000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COUNTIFS(缺陷明细!$A$2:$A$50000,$B$4,缺陷明细!$G$2:$G$50000,$C9,缺陷明细!$J$2:$J$50000,"运维测试",缺陷明细!$AA$2:$AA$50000,"&lt;&gt;丢弃",缺陷明细!$AA$2:$AA$50000,"&lt;&gt;设计如此",缺陷明细!$AA$2:$AA$50000,"&lt;&gt;重复Bug")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A$2:$AA$50000,"&lt;&gt;丢弃",缺陷明细!$AA$2:$AA$50000,"&lt;&gt;设计如此",缺陷明细!$AA$2:$AA$50000,"&lt;&gt;重复Bug")+COUNTIFS(缺陷明细!$A$2:$A$50000,$B$4,缺陷明细!$G$2:$G$50000,$C9,缺陷明细!$J$2:$J$50000,"运维测试",缺陷明细!$K$2:$K$50000,"严重",缺陷明细!$AA$2:$AA$50000,"&lt;&gt;丢弃",缺陷明细!$AA$2:$AA$50000,"&lt;&gt;设计如此",缺陷明细!$AA$2:$AA$50000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51"/>
    </row>
    <row r="10" spans="1:37">
      <c r="A10">
        <v>6</v>
      </c>
      <c r="B10" s="57"/>
      <c r="C10" s="58"/>
      <c r="D10" s="84"/>
      <c r="E10" s="82"/>
      <c r="F10" s="165"/>
      <c r="G10" s="166"/>
      <c r="H10" s="305">
        <f>COUNTIFS(缺陷明细!$A$2:$A$50000,$B$4,缺陷明细!$G$2:$G$50000,$C10,缺陷明细!$J$2:$J$50000,"评审",缺陷明细!$AA$2:$AA$50000,"&lt;&gt;丢弃",缺陷明细!$AA$2:$AA$50000,"&lt;&gt;设计如此",缺陷明细!$AA$2:$AA$50000,"&lt;&gt;重复Bug")</f>
        <v>0</v>
      </c>
      <c r="I10" s="161">
        <f>COUNTIFS(缺陷明细!$A$2:$A$50000,$B$4,缺陷明细!$G$2:$G$50000,$C10,缺陷明细!$Q$2:$Q$50000,"已关闭",缺陷明细!$J$2:$J$50000,"评审")</f>
        <v>0</v>
      </c>
      <c r="J10" s="161">
        <f>COUNTIFS(缺陷明细!$A$2:$A$50000,$B$4,缺陷明细!$G$2:$G$50000,$C10,缺陷明细!$J$2:$J$50000,"单元测试",缺陷明细!$AA$2:$AA$50000,"&lt;&gt;丢弃",缺陷明细!$AA$2:$AA$50000,"&lt;&gt;设计如此",缺陷明细!$AA$2:$AA$50000,"&lt;&gt;重复Bug")</f>
        <v>0</v>
      </c>
      <c r="K10" s="162">
        <f>COUNTIFS(缺陷明细!$A$2:$A$50000,$B$4,缺陷明细!$G$2:$G$50000,$C10,缺陷明细!$Q$2:$Q$50000,"已关闭",缺陷明细!$J$2:$J$50000,"单元测试")</f>
        <v>0</v>
      </c>
      <c r="L10" s="163"/>
      <c r="M10" s="164"/>
      <c r="N10" s="72">
        <f>COUNTIFS(缺陷明细!$A$2:$A$50000,$B$4,缺陷明细!$G$2:$G$50000,$C10,缺陷明细!$J$2:$J$50000,"系统测试案例评审",缺陷明细!$AA$2:$AA$50000,"&lt;&gt;丢弃",缺陷明细!$AA$2:$AA$50000,"&lt;&gt;设计如此",缺陷明细!$AA$2:$AA$50000,"&lt;&gt;重复Bug")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COUNTIFS(缺陷明细!$A$2:$A$50000,$B$4,缺陷明细!$G$2:$G$50000,$C10,缺陷明细!$J$2:$J$50000,"系统测试",缺陷明细!$AA$2:$AA$50000,"&lt;&gt;丢弃",缺陷明细!$AA$2:$AA$50000,"&lt;&gt;设计如此",缺陷明细!$AA$2:$AA$50000,"&lt;&gt;重复Bug")</f>
        <v>0</v>
      </c>
      <c r="Q10" s="72">
        <f>COUNTIFS(缺陷明细!$A$2:$A$50000,$B$4,缺陷明细!$G$2:$G$50000,$C10,缺陷明细!$Q$2:$Q$50000,"已关闭",缺陷明细!$J$2:$J$50000,"系统测试")</f>
        <v>0</v>
      </c>
      <c r="R10" s="72">
        <f>COUNTIFS(缺陷明细!$A$2:$A$50000,$B$4,缺陷明细!$G$2:$G$50000,$C10,缺陷明细!$AA$2:$AA$50000,"丢弃",缺陷明细!$J$2:$J$50000,"系统测试")+COUNTIFS(缺陷明细!$A$2:$A$50000,$B$4,缺陷明细!$G$2:$G$50000,$C10,缺陷明细!$AA$2:$AA$50000,"设计如此",缺陷明细!$J$2:$J$50000,"系统测试"+COUNTIFS(缺陷明细!$A$2:$A$50000,$B$4,缺陷明细!$G$2:$G$50000,$C10,缺陷明细!$AA$2:$AA$50000,"重复Bug",缺陷明细!$J$2:$J$50000,"系统测试"))</f>
        <v>0</v>
      </c>
      <c r="S10" s="72">
        <f>COUNTIFS(缺陷明细!$A$2:$A$50000,$B$4,缺陷明细!$G$2:$G$50000,$C10,缺陷明细!$J$2:$J$50000,"系统测试",缺陷明细!$K$2:$K$50000,"致命",缺陷明细!$AA$2:$AA$50000,"&lt;&gt;丢弃",缺陷明细!$AA$2:$AA$50000,"&lt;&gt;设计如此",缺陷明细!$AA$2:$AA$50000,"&lt;&gt;重复Bug")+COUNTIFS(缺陷明细!$A$2:$A$50000,$B$4,缺陷明细!$G$2:$G$50000,$C10,缺陷明细!$J$2:$J$50000,"系统测试",缺陷明细!$K$2:$K$50000,"严重",缺陷明细!$AA$2:$AA$50000,"&lt;&gt;丢弃",缺陷明细!$AA$2:$AA$50000,"&lt;&gt;设计如此",缺陷明细!$AA$2:$AA$50000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COUNTIFS(缺陷明细!$A$2:$A$50000,$B$4,缺陷明细!$G$2:$G$50000,$C10,缺陷明细!$J$2:$J$50000,"验收测试",缺陷明细!$AA$2:$AA$50000,"&lt;&gt;丢弃",缺陷明细!$AA$2:$AA$50000,"&lt;&gt;设计如此",缺陷明细!$AA$2:$AA$50000,"&lt;&gt;重复Bug")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A$2:$AA$50000,"&lt;&gt;丢弃",缺陷明细!$AA$2:$AA$50000,"&lt;&gt;设计如此",缺陷明细!$AA$2:$AA$50000,"&lt;&gt;重复Bug")+COUNTIFS(缺陷明细!$A$2:$A$50000,$B$4,缺陷明细!$G$2:$G$50000,$C10,缺陷明细!$J$2:$J$50000,"验收测试",缺陷明细!$K$2:$K$50000,"严重",缺陷明细!$AA$2:$AA$50000,"&lt;&gt;丢弃",缺陷明细!$AA$2:$AA$50000,"&lt;&gt;设计如此",缺陷明细!$AA$2:$AA$50000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COUNTIFS(缺陷明细!$A$2:$A$50000,$B$4,缺陷明细!$G$2:$G$50000,$C10,缺陷明细!$J$2:$J$50000,"运维测试",缺陷明细!$AA$2:$AA$50000,"&lt;&gt;丢弃",缺陷明细!$AA$2:$AA$50000,"&lt;&gt;设计如此",缺陷明细!$AA$2:$AA$50000,"&lt;&gt;重复Bug")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A$2:$AA$50000,"&lt;&gt;丢弃",缺陷明细!$AA$2:$AA$50000,"&lt;&gt;设计如此",缺陷明细!$AA$2:$AA$50000,"&lt;&gt;重复Bug")+COUNTIFS(缺陷明细!$A$2:$A$50000,$B$4,缺陷明细!$G$2:$G$50000,$C10,缺陷明细!$J$2:$J$50000,"运维测试",缺陷明细!$K$2:$K$50000,"严重",缺陷明细!$AA$2:$AA$50000,"&lt;&gt;丢弃",缺陷明细!$AA$2:$AA$50000,"&lt;&gt;设计如此",缺陷明细!$AA$2:$AA$50000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51"/>
    </row>
    <row r="11" spans="1:37">
      <c r="A11">
        <v>7</v>
      </c>
      <c r="B11" s="57"/>
      <c r="C11" s="58"/>
      <c r="D11" s="84"/>
      <c r="E11" s="82"/>
      <c r="F11" s="165"/>
      <c r="G11" s="166"/>
      <c r="H11" s="305">
        <f>COUNTIFS(缺陷明细!$A$2:$A$50000,$B$4,缺陷明细!$G$2:$G$50000,$C11,缺陷明细!$J$2:$J$50000,"评审",缺陷明细!$AA$2:$AA$50000,"&lt;&gt;丢弃",缺陷明细!$AA$2:$AA$50000,"&lt;&gt;设计如此",缺陷明细!$AA$2:$AA$50000,"&lt;&gt;重复Bug")</f>
        <v>0</v>
      </c>
      <c r="I11" s="161">
        <f>COUNTIFS(缺陷明细!$A$2:$A$50000,$B$4,缺陷明细!$G$2:$G$50000,$C11,缺陷明细!$Q$2:$Q$50000,"已关闭",缺陷明细!$J$2:$J$50000,"评审")</f>
        <v>0</v>
      </c>
      <c r="J11" s="161">
        <f>COUNTIFS(缺陷明细!$A$2:$A$50000,$B$4,缺陷明细!$G$2:$G$50000,$C11,缺陷明细!$J$2:$J$50000,"单元测试",缺陷明细!$AA$2:$AA$50000,"&lt;&gt;丢弃",缺陷明细!$AA$2:$AA$50000,"&lt;&gt;设计如此",缺陷明细!$AA$2:$AA$50000,"&lt;&gt;重复Bug")</f>
        <v>0</v>
      </c>
      <c r="K11" s="162">
        <f>COUNTIFS(缺陷明细!$A$2:$A$50000,$B$4,缺陷明细!$G$2:$G$50000,$C11,缺陷明细!$Q$2:$Q$50000,"已关闭",缺陷明细!$J$2:$J$50000,"单元测试")</f>
        <v>0</v>
      </c>
      <c r="L11" s="163"/>
      <c r="M11" s="164"/>
      <c r="N11" s="72">
        <f>COUNTIFS(缺陷明细!$A$2:$A$50000,$B$4,缺陷明细!$G$2:$G$50000,$C11,缺陷明细!$J$2:$J$50000,"系统测试案例评审",缺陷明细!$AA$2:$AA$50000,"&lt;&gt;丢弃",缺陷明细!$AA$2:$AA$50000,"&lt;&gt;设计如此",缺陷明细!$AA$2:$AA$50000,"&lt;&gt;重复Bug")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COUNTIFS(缺陷明细!$A$2:$A$50000,$B$4,缺陷明细!$G$2:$G$50000,$C11,缺陷明细!$J$2:$J$50000,"系统测试",缺陷明细!$AA$2:$AA$50000,"&lt;&gt;丢弃",缺陷明细!$AA$2:$AA$50000,"&lt;&gt;设计如此",缺陷明细!$AA$2:$AA$50000,"&lt;&gt;重复Bug")</f>
        <v>0</v>
      </c>
      <c r="Q11" s="72">
        <f>COUNTIFS(缺陷明细!$A$2:$A$50000,$B$4,缺陷明细!$G$2:$G$50000,$C11,缺陷明细!$Q$2:$Q$50000,"已关闭",缺陷明细!$J$2:$J$50000,"系统测试")</f>
        <v>0</v>
      </c>
      <c r="R11" s="72">
        <f>COUNTIFS(缺陷明细!$A$2:$A$50000,$B$4,缺陷明细!$G$2:$G$50000,$C11,缺陷明细!$AA$2:$AA$50000,"丢弃",缺陷明细!$J$2:$J$50000,"系统测试")+COUNTIFS(缺陷明细!$A$2:$A$50000,$B$4,缺陷明细!$G$2:$G$50000,$C11,缺陷明细!$AA$2:$AA$50000,"设计如此",缺陷明细!$J$2:$J$50000,"系统测试"+COUNTIFS(缺陷明细!$A$2:$A$50000,$B$4,缺陷明细!$G$2:$G$50000,$C11,缺陷明细!$AA$2:$AA$50000,"重复Bug",缺陷明细!$J$2:$J$50000,"系统测试"))</f>
        <v>0</v>
      </c>
      <c r="S11" s="72">
        <f>COUNTIFS(缺陷明细!$A$2:$A$50000,$B$4,缺陷明细!$G$2:$G$50000,$C11,缺陷明细!$J$2:$J$50000,"系统测试",缺陷明细!$K$2:$K$50000,"致命",缺陷明细!$AA$2:$AA$50000,"&lt;&gt;丢弃",缺陷明细!$AA$2:$AA$50000,"&lt;&gt;设计如此",缺陷明细!$AA$2:$AA$50000,"&lt;&gt;重复Bug")+COUNTIFS(缺陷明细!$A$2:$A$50000,$B$4,缺陷明细!$G$2:$G$50000,$C11,缺陷明细!$J$2:$J$50000,"系统测试",缺陷明细!$K$2:$K$50000,"严重",缺陷明细!$AA$2:$AA$50000,"&lt;&gt;丢弃",缺陷明细!$AA$2:$AA$50000,"&lt;&gt;设计如此",缺陷明细!$AA$2:$AA$50000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COUNTIFS(缺陷明细!$A$2:$A$50000,$B$4,缺陷明细!$G$2:$G$50000,$C11,缺陷明细!$J$2:$J$50000,"验收测试",缺陷明细!$AA$2:$AA$50000,"&lt;&gt;丢弃",缺陷明细!$AA$2:$AA$50000,"&lt;&gt;设计如此",缺陷明细!$AA$2:$AA$50000,"&lt;&gt;重复Bug")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A$2:$AA$50000,"&lt;&gt;丢弃",缺陷明细!$AA$2:$AA$50000,"&lt;&gt;设计如此",缺陷明细!$AA$2:$AA$50000,"&lt;&gt;重复Bug")+COUNTIFS(缺陷明细!$A$2:$A$50000,$B$4,缺陷明细!$G$2:$G$50000,$C11,缺陷明细!$J$2:$J$50000,"验收测试",缺陷明细!$K$2:$K$50000,"严重",缺陷明细!$AA$2:$AA$50000,"&lt;&gt;丢弃",缺陷明细!$AA$2:$AA$50000,"&lt;&gt;设计如此",缺陷明细!$AA$2:$AA$50000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COUNTIFS(缺陷明细!$A$2:$A$50000,$B$4,缺陷明细!$G$2:$G$50000,$C11,缺陷明细!$J$2:$J$50000,"运维测试",缺陷明细!$AA$2:$AA$50000,"&lt;&gt;丢弃",缺陷明细!$AA$2:$AA$50000,"&lt;&gt;设计如此",缺陷明细!$AA$2:$AA$50000,"&lt;&gt;重复Bug")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A$2:$AA$50000,"&lt;&gt;丢弃",缺陷明细!$AA$2:$AA$50000,"&lt;&gt;设计如此",缺陷明细!$AA$2:$AA$50000,"&lt;&gt;重复Bug")+COUNTIFS(缺陷明细!$A$2:$A$50000,$B$4,缺陷明细!$G$2:$G$50000,$C11,缺陷明细!$J$2:$J$50000,"运维测试",缺陷明细!$K$2:$K$50000,"严重",缺陷明细!$AA$2:$AA$50000,"&lt;&gt;丢弃",缺陷明细!$AA$2:$AA$50000,"&lt;&gt;设计如此",缺陷明细!$AA$2:$AA$50000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51"/>
    </row>
    <row r="12" spans="1:37">
      <c r="A12">
        <v>8</v>
      </c>
      <c r="B12" s="57"/>
      <c r="C12" s="58"/>
      <c r="D12" s="84"/>
      <c r="E12" s="82"/>
      <c r="F12" s="165"/>
      <c r="G12" s="166"/>
      <c r="H12" s="305">
        <f>COUNTIFS(缺陷明细!$A$2:$A$50000,$B$4,缺陷明细!$G$2:$G$50000,$C12,缺陷明细!$J$2:$J$50000,"评审",缺陷明细!$AA$2:$AA$50000,"&lt;&gt;丢弃",缺陷明细!$AA$2:$AA$50000,"&lt;&gt;设计如此",缺陷明细!$AA$2:$AA$50000,"&lt;&gt;重复Bug")</f>
        <v>0</v>
      </c>
      <c r="I12" s="161">
        <f>COUNTIFS(缺陷明细!$A$2:$A$50000,$B$4,缺陷明细!$G$2:$G$50000,$C12,缺陷明细!$Q$2:$Q$50000,"已关闭",缺陷明细!$J$2:$J$50000,"评审")</f>
        <v>0</v>
      </c>
      <c r="J12" s="161">
        <f>COUNTIFS(缺陷明细!$A$2:$A$50000,$B$4,缺陷明细!$G$2:$G$50000,$C12,缺陷明细!$J$2:$J$50000,"单元测试",缺陷明细!$AA$2:$AA$50000,"&lt;&gt;丢弃",缺陷明细!$AA$2:$AA$50000,"&lt;&gt;设计如此",缺陷明细!$AA$2:$AA$50000,"&lt;&gt;重复Bug")</f>
        <v>0</v>
      </c>
      <c r="K12" s="162">
        <f>COUNTIFS(缺陷明细!$A$2:$A$50000,$B$4,缺陷明细!$G$2:$G$50000,$C12,缺陷明细!$Q$2:$Q$50000,"已关闭",缺陷明细!$J$2:$J$50000,"单元测试")</f>
        <v>0</v>
      </c>
      <c r="L12" s="163"/>
      <c r="M12" s="164"/>
      <c r="N12" s="72">
        <f>COUNTIFS(缺陷明细!$A$2:$A$50000,$B$4,缺陷明细!$G$2:$G$50000,$C12,缺陷明细!$J$2:$J$50000,"系统测试案例评审",缺陷明细!$AA$2:$AA$50000,"&lt;&gt;丢弃",缺陷明细!$AA$2:$AA$50000,"&lt;&gt;设计如此",缺陷明细!$AA$2:$AA$50000,"&lt;&gt;重复Bug")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COUNTIFS(缺陷明细!$A$2:$A$50000,$B$4,缺陷明细!$G$2:$G$50000,$C12,缺陷明细!$J$2:$J$50000,"系统测试",缺陷明细!$AA$2:$AA$50000,"&lt;&gt;丢弃",缺陷明细!$AA$2:$AA$50000,"&lt;&gt;设计如此",缺陷明细!$AA$2:$AA$50000,"&lt;&gt;重复Bug")</f>
        <v>0</v>
      </c>
      <c r="Q12" s="72">
        <f>COUNTIFS(缺陷明细!$A$2:$A$50000,$B$4,缺陷明细!$G$2:$G$50000,$C12,缺陷明细!$Q$2:$Q$50000,"已关闭",缺陷明细!$J$2:$J$50000,"系统测试")</f>
        <v>0</v>
      </c>
      <c r="R12" s="72">
        <f>COUNTIFS(缺陷明细!$A$2:$A$50000,$B$4,缺陷明细!$G$2:$G$50000,$C12,缺陷明细!$AA$2:$AA$50000,"丢弃",缺陷明细!$J$2:$J$50000,"系统测试")+COUNTIFS(缺陷明细!$A$2:$A$50000,$B$4,缺陷明细!$G$2:$G$50000,$C12,缺陷明细!$AA$2:$AA$50000,"设计如此",缺陷明细!$J$2:$J$50000,"系统测试"+COUNTIFS(缺陷明细!$A$2:$A$50000,$B$4,缺陷明细!$G$2:$G$50000,$C12,缺陷明细!$AA$2:$AA$50000,"重复Bug",缺陷明细!$J$2:$J$50000,"系统测试"))</f>
        <v>0</v>
      </c>
      <c r="S12" s="72">
        <f>COUNTIFS(缺陷明细!$A$2:$A$50000,$B$4,缺陷明细!$G$2:$G$50000,$C12,缺陷明细!$J$2:$J$50000,"系统测试",缺陷明细!$K$2:$K$50000,"致命",缺陷明细!$AA$2:$AA$50000,"&lt;&gt;丢弃",缺陷明细!$AA$2:$AA$50000,"&lt;&gt;设计如此",缺陷明细!$AA$2:$AA$50000,"&lt;&gt;重复Bug")+COUNTIFS(缺陷明细!$A$2:$A$50000,$B$4,缺陷明细!$G$2:$G$50000,$C12,缺陷明细!$J$2:$J$50000,"系统测试",缺陷明细!$K$2:$K$50000,"严重",缺陷明细!$AA$2:$AA$50000,"&lt;&gt;丢弃",缺陷明细!$AA$2:$AA$50000,"&lt;&gt;设计如此",缺陷明细!$AA$2:$AA$50000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COUNTIFS(缺陷明细!$A$2:$A$50000,$B$4,缺陷明细!$G$2:$G$50000,$C12,缺陷明细!$J$2:$J$50000,"验收测试",缺陷明细!$AA$2:$AA$50000,"&lt;&gt;丢弃",缺陷明细!$AA$2:$AA$50000,"&lt;&gt;设计如此",缺陷明细!$AA$2:$AA$50000,"&lt;&gt;重复Bug")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A$2:$AA$50000,"&lt;&gt;丢弃",缺陷明细!$AA$2:$AA$50000,"&lt;&gt;设计如此",缺陷明细!$AA$2:$AA$50000,"&lt;&gt;重复Bug")+COUNTIFS(缺陷明细!$A$2:$A$50000,$B$4,缺陷明细!$G$2:$G$50000,$C12,缺陷明细!$J$2:$J$50000,"验收测试",缺陷明细!$K$2:$K$50000,"严重",缺陷明细!$AA$2:$AA$50000,"&lt;&gt;丢弃",缺陷明细!$AA$2:$AA$50000,"&lt;&gt;设计如此",缺陷明细!$AA$2:$AA$50000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COUNTIFS(缺陷明细!$A$2:$A$50000,$B$4,缺陷明细!$G$2:$G$50000,$C12,缺陷明细!$J$2:$J$50000,"运维测试",缺陷明细!$AA$2:$AA$50000,"&lt;&gt;丢弃",缺陷明细!$AA$2:$AA$50000,"&lt;&gt;设计如此",缺陷明细!$AA$2:$AA$50000,"&lt;&gt;重复Bug")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A$2:$AA$50000,"&lt;&gt;丢弃",缺陷明细!$AA$2:$AA$50000,"&lt;&gt;设计如此",缺陷明细!$AA$2:$AA$50000,"&lt;&gt;重复Bug")+COUNTIFS(缺陷明细!$A$2:$A$50000,$B$4,缺陷明细!$G$2:$G$50000,$C12,缺陷明细!$J$2:$J$50000,"运维测试",缺陷明细!$K$2:$K$50000,"严重",缺陷明细!$AA$2:$AA$50000,"&lt;&gt;丢弃",缺陷明细!$AA$2:$AA$50000,"&lt;&gt;设计如此",缺陷明细!$AA$2:$AA$50000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51"/>
    </row>
    <row r="13" spans="1:37">
      <c r="A13">
        <v>9</v>
      </c>
      <c r="B13" s="57"/>
      <c r="C13" s="58"/>
      <c r="D13" s="84"/>
      <c r="E13" s="82"/>
      <c r="F13" s="165"/>
      <c r="G13" s="166"/>
      <c r="H13" s="305">
        <f>COUNTIFS(缺陷明细!$A$2:$A$50000,$B$4,缺陷明细!$G$2:$G$50000,$C13,缺陷明细!$J$2:$J$50000,"评审",缺陷明细!$AA$2:$AA$50000,"&lt;&gt;丢弃",缺陷明细!$AA$2:$AA$50000,"&lt;&gt;设计如此",缺陷明细!$AA$2:$AA$50000,"&lt;&gt;重复Bug")</f>
        <v>0</v>
      </c>
      <c r="I13" s="161">
        <f>COUNTIFS(缺陷明细!$A$2:$A$50000,$B$4,缺陷明细!$G$2:$G$50000,$C13,缺陷明细!$Q$2:$Q$50000,"已关闭",缺陷明细!$J$2:$J$50000,"评审")</f>
        <v>0</v>
      </c>
      <c r="J13" s="161">
        <f>COUNTIFS(缺陷明细!$A$2:$A$50000,$B$4,缺陷明细!$G$2:$G$50000,$C13,缺陷明细!$J$2:$J$50000,"单元测试",缺陷明细!$AA$2:$AA$50000,"&lt;&gt;丢弃",缺陷明细!$AA$2:$AA$50000,"&lt;&gt;设计如此",缺陷明细!$AA$2:$AA$50000,"&lt;&gt;重复Bug")</f>
        <v>0</v>
      </c>
      <c r="K13" s="162">
        <f>COUNTIFS(缺陷明细!$A$2:$A$50000,$B$4,缺陷明细!$G$2:$G$50000,$C13,缺陷明细!$Q$2:$Q$50000,"已关闭",缺陷明细!$J$2:$J$50000,"单元测试")</f>
        <v>0</v>
      </c>
      <c r="L13" s="163"/>
      <c r="M13" s="164"/>
      <c r="N13" s="72">
        <f>COUNTIFS(缺陷明细!$A$2:$A$50000,$B$4,缺陷明细!$G$2:$G$50000,$C13,缺陷明细!$J$2:$J$50000,"系统测试案例评审",缺陷明细!$AA$2:$AA$50000,"&lt;&gt;丢弃",缺陷明细!$AA$2:$AA$50000,"&lt;&gt;设计如此",缺陷明细!$AA$2:$AA$50000,"&lt;&gt;重复Bug")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COUNTIFS(缺陷明细!$A$2:$A$50000,$B$4,缺陷明细!$G$2:$G$50000,$C13,缺陷明细!$J$2:$J$50000,"系统测试",缺陷明细!$AA$2:$AA$50000,"&lt;&gt;丢弃",缺陷明细!$AA$2:$AA$50000,"&lt;&gt;设计如此",缺陷明细!$AA$2:$AA$50000,"&lt;&gt;重复Bug")</f>
        <v>0</v>
      </c>
      <c r="Q13" s="72">
        <f>COUNTIFS(缺陷明细!$A$2:$A$50000,$B$4,缺陷明细!$G$2:$G$50000,$C13,缺陷明细!$Q$2:$Q$50000,"已关闭",缺陷明细!$J$2:$J$50000,"系统测试")</f>
        <v>0</v>
      </c>
      <c r="R13" s="72">
        <f>COUNTIFS(缺陷明细!$A$2:$A$50000,$B$4,缺陷明细!$G$2:$G$50000,$C13,缺陷明细!$AA$2:$AA$50000,"丢弃",缺陷明细!$J$2:$J$50000,"系统测试")+COUNTIFS(缺陷明细!$A$2:$A$50000,$B$4,缺陷明细!$G$2:$G$50000,$C13,缺陷明细!$AA$2:$AA$50000,"设计如此",缺陷明细!$J$2:$J$50000,"系统测试"+COUNTIFS(缺陷明细!$A$2:$A$50000,$B$4,缺陷明细!$G$2:$G$50000,$C13,缺陷明细!$AA$2:$AA$50000,"重复Bug",缺陷明细!$J$2:$J$50000,"系统测试"))</f>
        <v>0</v>
      </c>
      <c r="S13" s="72">
        <f>COUNTIFS(缺陷明细!$A$2:$A$50000,$B$4,缺陷明细!$G$2:$G$50000,$C13,缺陷明细!$J$2:$J$50000,"系统测试",缺陷明细!$K$2:$K$50000,"致命",缺陷明细!$AA$2:$AA$50000,"&lt;&gt;丢弃",缺陷明细!$AA$2:$AA$50000,"&lt;&gt;设计如此",缺陷明细!$AA$2:$AA$50000,"&lt;&gt;重复Bug")+COUNTIFS(缺陷明细!$A$2:$A$50000,$B$4,缺陷明细!$G$2:$G$50000,$C13,缺陷明细!$J$2:$J$50000,"系统测试",缺陷明细!$K$2:$K$50000,"严重",缺陷明细!$AA$2:$AA$50000,"&lt;&gt;丢弃",缺陷明细!$AA$2:$AA$50000,"&lt;&gt;设计如此",缺陷明细!$AA$2:$AA$50000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COUNTIFS(缺陷明细!$A$2:$A$50000,$B$4,缺陷明细!$G$2:$G$50000,$C13,缺陷明细!$J$2:$J$50000,"验收测试",缺陷明细!$AA$2:$AA$50000,"&lt;&gt;丢弃",缺陷明细!$AA$2:$AA$50000,"&lt;&gt;设计如此",缺陷明细!$AA$2:$AA$50000,"&lt;&gt;重复Bug")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A$2:$AA$50000,"&lt;&gt;丢弃",缺陷明细!$AA$2:$AA$50000,"&lt;&gt;设计如此",缺陷明细!$AA$2:$AA$50000,"&lt;&gt;重复Bug")+COUNTIFS(缺陷明细!$A$2:$A$50000,$B$4,缺陷明细!$G$2:$G$50000,$C13,缺陷明细!$J$2:$J$50000,"验收测试",缺陷明细!$K$2:$K$50000,"严重",缺陷明细!$AA$2:$AA$50000,"&lt;&gt;丢弃",缺陷明细!$AA$2:$AA$50000,"&lt;&gt;设计如此",缺陷明细!$AA$2:$AA$50000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COUNTIFS(缺陷明细!$A$2:$A$50000,$B$4,缺陷明细!$G$2:$G$50000,$C13,缺陷明细!$J$2:$J$50000,"运维测试",缺陷明细!$AA$2:$AA$50000,"&lt;&gt;丢弃",缺陷明细!$AA$2:$AA$50000,"&lt;&gt;设计如此",缺陷明细!$AA$2:$AA$50000,"&lt;&gt;重复Bug")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A$2:$AA$50000,"&lt;&gt;丢弃",缺陷明细!$AA$2:$AA$50000,"&lt;&gt;设计如此",缺陷明细!$AA$2:$AA$50000,"&lt;&gt;重复Bug")+COUNTIFS(缺陷明细!$A$2:$A$50000,$B$4,缺陷明细!$G$2:$G$50000,$C13,缺陷明细!$J$2:$J$50000,"运维测试",缺陷明细!$K$2:$K$50000,"严重",缺陷明细!$AA$2:$AA$50000,"&lt;&gt;丢弃",缺陷明细!$AA$2:$AA$50000,"&lt;&gt;设计如此",缺陷明细!$AA$2:$AA$50000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51"/>
    </row>
    <row r="14" spans="1:37">
      <c r="A14">
        <v>10</v>
      </c>
      <c r="B14" s="57"/>
      <c r="C14" s="58"/>
      <c r="D14" s="84"/>
      <c r="E14" s="82"/>
      <c r="F14" s="165"/>
      <c r="G14" s="166"/>
      <c r="H14" s="305">
        <f>COUNTIFS(缺陷明细!$A$2:$A$50000,$B$4,缺陷明细!$G$2:$G$50000,$C14,缺陷明细!$J$2:$J$50000,"评审",缺陷明细!$AA$2:$AA$50000,"&lt;&gt;丢弃",缺陷明细!$AA$2:$AA$50000,"&lt;&gt;设计如此",缺陷明细!$AA$2:$AA$50000,"&lt;&gt;重复Bug")</f>
        <v>0</v>
      </c>
      <c r="I14" s="161">
        <f>COUNTIFS(缺陷明细!$A$2:$A$50000,$B$4,缺陷明细!$G$2:$G$50000,$C14,缺陷明细!$Q$2:$Q$50000,"已关闭",缺陷明细!$J$2:$J$50000,"评审")</f>
        <v>0</v>
      </c>
      <c r="J14" s="161">
        <f>COUNTIFS(缺陷明细!$A$2:$A$50000,$B$4,缺陷明细!$G$2:$G$50000,$C14,缺陷明细!$J$2:$J$50000,"单元测试",缺陷明细!$AA$2:$AA$50000,"&lt;&gt;丢弃",缺陷明细!$AA$2:$AA$50000,"&lt;&gt;设计如此",缺陷明细!$AA$2:$AA$50000,"&lt;&gt;重复Bug")</f>
        <v>0</v>
      </c>
      <c r="K14" s="162">
        <f>COUNTIFS(缺陷明细!$A$2:$A$50000,$B$4,缺陷明细!$G$2:$G$50000,$C14,缺陷明细!$Q$2:$Q$50000,"已关闭",缺陷明细!$J$2:$J$50000,"单元测试")</f>
        <v>0</v>
      </c>
      <c r="L14" s="163"/>
      <c r="M14" s="164"/>
      <c r="N14" s="72">
        <f>COUNTIFS(缺陷明细!$A$2:$A$50000,$B$4,缺陷明细!$G$2:$G$50000,$C14,缺陷明细!$J$2:$J$50000,"系统测试案例评审",缺陷明细!$AA$2:$AA$50000,"&lt;&gt;丢弃",缺陷明细!$AA$2:$AA$50000,"&lt;&gt;设计如此",缺陷明细!$AA$2:$AA$50000,"&lt;&gt;重复Bug")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COUNTIFS(缺陷明细!$A$2:$A$50000,$B$4,缺陷明细!$G$2:$G$50000,$C14,缺陷明细!$J$2:$J$50000,"系统测试",缺陷明细!$AA$2:$AA$50000,"&lt;&gt;丢弃",缺陷明细!$AA$2:$AA$50000,"&lt;&gt;设计如此",缺陷明细!$AA$2:$AA$50000,"&lt;&gt;重复Bug")</f>
        <v>0</v>
      </c>
      <c r="Q14" s="72">
        <f>COUNTIFS(缺陷明细!$A$2:$A$50000,$B$4,缺陷明细!$G$2:$G$50000,$C14,缺陷明细!$Q$2:$Q$50000,"已关闭",缺陷明细!$J$2:$J$50000,"系统测试")</f>
        <v>0</v>
      </c>
      <c r="R14" s="72">
        <f>COUNTIFS(缺陷明细!$A$2:$A$50000,$B$4,缺陷明细!$G$2:$G$50000,$C14,缺陷明细!$AA$2:$AA$50000,"丢弃",缺陷明细!$J$2:$J$50000,"系统测试")+COUNTIFS(缺陷明细!$A$2:$A$50000,$B$4,缺陷明细!$G$2:$G$50000,$C14,缺陷明细!$AA$2:$AA$50000,"设计如此",缺陷明细!$J$2:$J$50000,"系统测试"+COUNTIFS(缺陷明细!$A$2:$A$50000,$B$4,缺陷明细!$G$2:$G$50000,$C14,缺陷明细!$AA$2:$AA$50000,"重复Bug",缺陷明细!$J$2:$J$50000,"系统测试"))</f>
        <v>0</v>
      </c>
      <c r="S14" s="72">
        <f>COUNTIFS(缺陷明细!$A$2:$A$50000,$B$4,缺陷明细!$G$2:$G$50000,$C14,缺陷明细!$J$2:$J$50000,"系统测试",缺陷明细!$K$2:$K$50000,"致命",缺陷明细!$AA$2:$AA$50000,"&lt;&gt;丢弃",缺陷明细!$AA$2:$AA$50000,"&lt;&gt;设计如此",缺陷明细!$AA$2:$AA$50000,"&lt;&gt;重复Bug")+COUNTIFS(缺陷明细!$A$2:$A$50000,$B$4,缺陷明细!$G$2:$G$50000,$C14,缺陷明细!$J$2:$J$50000,"系统测试",缺陷明细!$K$2:$K$50000,"严重",缺陷明细!$AA$2:$AA$50000,"&lt;&gt;丢弃",缺陷明细!$AA$2:$AA$50000,"&lt;&gt;设计如此",缺陷明细!$AA$2:$AA$50000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COUNTIFS(缺陷明细!$A$2:$A$50000,$B$4,缺陷明细!$G$2:$G$50000,$C14,缺陷明细!$J$2:$J$50000,"验收测试",缺陷明细!$AA$2:$AA$50000,"&lt;&gt;丢弃",缺陷明细!$AA$2:$AA$50000,"&lt;&gt;设计如此",缺陷明细!$AA$2:$AA$50000,"&lt;&gt;重复Bug")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A$2:$AA$50000,"&lt;&gt;丢弃",缺陷明细!$AA$2:$AA$50000,"&lt;&gt;设计如此",缺陷明细!$AA$2:$AA$50000,"&lt;&gt;重复Bug")+COUNTIFS(缺陷明细!$A$2:$A$50000,$B$4,缺陷明细!$G$2:$G$50000,$C14,缺陷明细!$J$2:$J$50000,"验收测试",缺陷明细!$K$2:$K$50000,"严重",缺陷明细!$AA$2:$AA$50000,"&lt;&gt;丢弃",缺陷明细!$AA$2:$AA$50000,"&lt;&gt;设计如此",缺陷明细!$AA$2:$AA$50000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COUNTIFS(缺陷明细!$A$2:$A$50000,$B$4,缺陷明细!$G$2:$G$50000,$C14,缺陷明细!$J$2:$J$50000,"运维测试",缺陷明细!$AA$2:$AA$50000,"&lt;&gt;丢弃",缺陷明细!$AA$2:$AA$50000,"&lt;&gt;设计如此",缺陷明细!$AA$2:$AA$50000,"&lt;&gt;重复Bug")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A$2:$AA$50000,"&lt;&gt;丢弃",缺陷明细!$AA$2:$AA$50000,"&lt;&gt;设计如此",缺陷明细!$AA$2:$AA$50000,"&lt;&gt;重复Bug")+COUNTIFS(缺陷明细!$A$2:$A$50000,$B$4,缺陷明细!$G$2:$G$50000,$C14,缺陷明细!$J$2:$J$50000,"运维测试",缺陷明细!$K$2:$K$50000,"严重",缺陷明细!$AA$2:$AA$50000,"&lt;&gt;丢弃",缺陷明细!$AA$2:$AA$50000,"&lt;&gt;设计如此",缺陷明细!$AA$2:$AA$50000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51"/>
    </row>
    <row r="15" spans="1:37">
      <c r="A15">
        <v>11</v>
      </c>
      <c r="B15" s="57"/>
      <c r="C15" s="58"/>
      <c r="D15" s="84"/>
      <c r="E15" s="82"/>
      <c r="F15" s="165"/>
      <c r="G15" s="166"/>
      <c r="H15" s="305">
        <f>COUNTIFS(缺陷明细!$A$2:$A$50000,$B$4,缺陷明细!$G$2:$G$50000,$C15,缺陷明细!$J$2:$J$50000,"评审",缺陷明细!$AA$2:$AA$50000,"&lt;&gt;丢弃",缺陷明细!$AA$2:$AA$50000,"&lt;&gt;设计如此",缺陷明细!$AA$2:$AA$50000,"&lt;&gt;重复Bug")</f>
        <v>0</v>
      </c>
      <c r="I15" s="161">
        <f>COUNTIFS(缺陷明细!$A$2:$A$50000,$B$4,缺陷明细!$G$2:$G$50000,$C15,缺陷明细!$Q$2:$Q$50000,"已关闭",缺陷明细!$J$2:$J$50000,"评审")</f>
        <v>0</v>
      </c>
      <c r="J15" s="161">
        <f>COUNTIFS(缺陷明细!$A$2:$A$50000,$B$4,缺陷明细!$G$2:$G$50000,$C15,缺陷明细!$J$2:$J$50000,"单元测试",缺陷明细!$AA$2:$AA$50000,"&lt;&gt;丢弃",缺陷明细!$AA$2:$AA$50000,"&lt;&gt;设计如此",缺陷明细!$AA$2:$AA$50000,"&lt;&gt;重复Bug")</f>
        <v>0</v>
      </c>
      <c r="K15" s="162">
        <f>COUNTIFS(缺陷明细!$A$2:$A$50000,$B$4,缺陷明细!$G$2:$G$50000,$C15,缺陷明细!$Q$2:$Q$50000,"已关闭",缺陷明细!$J$2:$J$50000,"单元测试")</f>
        <v>0</v>
      </c>
      <c r="L15" s="163"/>
      <c r="M15" s="164"/>
      <c r="N15" s="72">
        <f>COUNTIFS(缺陷明细!$A$2:$A$50000,$B$4,缺陷明细!$G$2:$G$50000,$C15,缺陷明细!$J$2:$J$50000,"系统测试案例评审",缺陷明细!$AA$2:$AA$50000,"&lt;&gt;丢弃",缺陷明细!$AA$2:$AA$50000,"&lt;&gt;设计如此",缺陷明细!$AA$2:$AA$50000,"&lt;&gt;重复Bug")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COUNTIFS(缺陷明细!$A$2:$A$50000,$B$4,缺陷明细!$G$2:$G$50000,$C15,缺陷明细!$J$2:$J$50000,"系统测试",缺陷明细!$AA$2:$AA$50000,"&lt;&gt;丢弃",缺陷明细!$AA$2:$AA$50000,"&lt;&gt;设计如此",缺陷明细!$AA$2:$AA$50000,"&lt;&gt;重复Bug")</f>
        <v>0</v>
      </c>
      <c r="Q15" s="72">
        <f>COUNTIFS(缺陷明细!$A$2:$A$50000,$B$4,缺陷明细!$G$2:$G$50000,$C15,缺陷明细!$Q$2:$Q$50000,"已关闭",缺陷明细!$J$2:$J$50000,"系统测试")</f>
        <v>0</v>
      </c>
      <c r="R15" s="72">
        <f>COUNTIFS(缺陷明细!$A$2:$A$50000,$B$4,缺陷明细!$G$2:$G$50000,$C15,缺陷明细!$AA$2:$AA$50000,"丢弃",缺陷明细!$J$2:$J$50000,"系统测试")+COUNTIFS(缺陷明细!$A$2:$A$50000,$B$4,缺陷明细!$G$2:$G$50000,$C15,缺陷明细!$AA$2:$AA$50000,"设计如此",缺陷明细!$J$2:$J$50000,"系统测试"+COUNTIFS(缺陷明细!$A$2:$A$50000,$B$4,缺陷明细!$G$2:$G$50000,$C15,缺陷明细!$AA$2:$AA$50000,"重复Bug",缺陷明细!$J$2:$J$50000,"系统测试"))</f>
        <v>0</v>
      </c>
      <c r="S15" s="72">
        <f>COUNTIFS(缺陷明细!$A$2:$A$50000,$B$4,缺陷明细!$G$2:$G$50000,$C15,缺陷明细!$J$2:$J$50000,"系统测试",缺陷明细!$K$2:$K$50000,"致命",缺陷明细!$AA$2:$AA$50000,"&lt;&gt;丢弃",缺陷明细!$AA$2:$AA$50000,"&lt;&gt;设计如此",缺陷明细!$AA$2:$AA$50000,"&lt;&gt;重复Bug")+COUNTIFS(缺陷明细!$A$2:$A$50000,$B$4,缺陷明细!$G$2:$G$50000,$C15,缺陷明细!$J$2:$J$50000,"系统测试",缺陷明细!$K$2:$K$50000,"严重",缺陷明细!$AA$2:$AA$50000,"&lt;&gt;丢弃",缺陷明细!$AA$2:$AA$50000,"&lt;&gt;设计如此",缺陷明细!$AA$2:$AA$50000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COUNTIFS(缺陷明细!$A$2:$A$50000,$B$4,缺陷明细!$G$2:$G$50000,$C15,缺陷明细!$J$2:$J$50000,"验收测试",缺陷明细!$AA$2:$AA$50000,"&lt;&gt;丢弃",缺陷明细!$AA$2:$AA$50000,"&lt;&gt;设计如此",缺陷明细!$AA$2:$AA$50000,"&lt;&gt;重复Bug")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A$2:$AA$50000,"&lt;&gt;丢弃",缺陷明细!$AA$2:$AA$50000,"&lt;&gt;设计如此",缺陷明细!$AA$2:$AA$50000,"&lt;&gt;重复Bug")+COUNTIFS(缺陷明细!$A$2:$A$50000,$B$4,缺陷明细!$G$2:$G$50000,$C15,缺陷明细!$J$2:$J$50000,"验收测试",缺陷明细!$K$2:$K$50000,"严重",缺陷明细!$AA$2:$AA$50000,"&lt;&gt;丢弃",缺陷明细!$AA$2:$AA$50000,"&lt;&gt;设计如此",缺陷明细!$AA$2:$AA$50000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COUNTIFS(缺陷明细!$A$2:$A$50000,$B$4,缺陷明细!$G$2:$G$50000,$C15,缺陷明细!$J$2:$J$50000,"运维测试",缺陷明细!$AA$2:$AA$50000,"&lt;&gt;丢弃",缺陷明细!$AA$2:$AA$50000,"&lt;&gt;设计如此",缺陷明细!$AA$2:$AA$50000,"&lt;&gt;重复Bug")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A$2:$AA$50000,"&lt;&gt;丢弃",缺陷明细!$AA$2:$AA$50000,"&lt;&gt;设计如此",缺陷明细!$AA$2:$AA$50000,"&lt;&gt;重复Bug")+COUNTIFS(缺陷明细!$A$2:$A$50000,$B$4,缺陷明细!$G$2:$G$50000,$C15,缺陷明细!$J$2:$J$50000,"运维测试",缺陷明细!$K$2:$K$50000,"严重",缺陷明细!$AA$2:$AA$50000,"&lt;&gt;丢弃",缺陷明细!$AA$2:$AA$50000,"&lt;&gt;设计如此",缺陷明细!$AA$2:$AA$50000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51"/>
    </row>
    <row r="16" spans="1:37">
      <c r="A16">
        <v>12</v>
      </c>
      <c r="B16" s="57"/>
      <c r="C16" s="58"/>
      <c r="D16" s="84"/>
      <c r="E16" s="82"/>
      <c r="F16" s="165"/>
      <c r="G16" s="166"/>
      <c r="H16" s="305">
        <f>COUNTIFS(缺陷明细!$A$2:$A$50000,$B$4,缺陷明细!$G$2:$G$50000,$C16,缺陷明细!$J$2:$J$50000,"评审",缺陷明细!$AA$2:$AA$50000,"&lt;&gt;丢弃",缺陷明细!$AA$2:$AA$50000,"&lt;&gt;设计如此",缺陷明细!$AA$2:$AA$50000,"&lt;&gt;重复Bug")</f>
        <v>0</v>
      </c>
      <c r="I16" s="161">
        <f>COUNTIFS(缺陷明细!$A$2:$A$50000,$B$4,缺陷明细!$G$2:$G$50000,$C16,缺陷明细!$Q$2:$Q$50000,"已关闭",缺陷明细!$J$2:$J$50000,"评审")</f>
        <v>0</v>
      </c>
      <c r="J16" s="161">
        <f>COUNTIFS(缺陷明细!$A$2:$A$50000,$B$4,缺陷明细!$G$2:$G$50000,$C16,缺陷明细!$J$2:$J$50000,"单元测试",缺陷明细!$AA$2:$AA$50000,"&lt;&gt;丢弃",缺陷明细!$AA$2:$AA$50000,"&lt;&gt;设计如此",缺陷明细!$AA$2:$AA$50000,"&lt;&gt;重复Bug")</f>
        <v>0</v>
      </c>
      <c r="K16" s="162">
        <f>COUNTIFS(缺陷明细!$A$2:$A$50000,$B$4,缺陷明细!$G$2:$G$50000,$C16,缺陷明细!$Q$2:$Q$50000,"已关闭",缺陷明细!$J$2:$J$50000,"单元测试")</f>
        <v>0</v>
      </c>
      <c r="L16" s="163"/>
      <c r="M16" s="164"/>
      <c r="N16" s="72">
        <f>COUNTIFS(缺陷明细!$A$2:$A$50000,$B$4,缺陷明细!$G$2:$G$50000,$C16,缺陷明细!$J$2:$J$50000,"系统测试案例评审",缺陷明细!$AA$2:$AA$50000,"&lt;&gt;丢弃",缺陷明细!$AA$2:$AA$50000,"&lt;&gt;设计如此",缺陷明细!$AA$2:$AA$50000,"&lt;&gt;重复Bug")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COUNTIFS(缺陷明细!$A$2:$A$50000,$B$4,缺陷明细!$G$2:$G$50000,$C16,缺陷明细!$J$2:$J$50000,"系统测试",缺陷明细!$AA$2:$AA$50000,"&lt;&gt;丢弃",缺陷明细!$AA$2:$AA$50000,"&lt;&gt;设计如此",缺陷明细!$AA$2:$AA$50000,"&lt;&gt;重复Bug")</f>
        <v>0</v>
      </c>
      <c r="Q16" s="72">
        <f>COUNTIFS(缺陷明细!$A$2:$A$50000,$B$4,缺陷明细!$G$2:$G$50000,$C16,缺陷明细!$Q$2:$Q$50000,"已关闭",缺陷明细!$J$2:$J$50000,"系统测试")</f>
        <v>0</v>
      </c>
      <c r="R16" s="72">
        <f>COUNTIFS(缺陷明细!$A$2:$A$50000,$B$4,缺陷明细!$G$2:$G$50000,$C16,缺陷明细!$AA$2:$AA$50000,"丢弃",缺陷明细!$J$2:$J$50000,"系统测试")+COUNTIFS(缺陷明细!$A$2:$A$50000,$B$4,缺陷明细!$G$2:$G$50000,$C16,缺陷明细!$AA$2:$AA$50000,"设计如此",缺陷明细!$J$2:$J$50000,"系统测试"+COUNTIFS(缺陷明细!$A$2:$A$50000,$B$4,缺陷明细!$G$2:$G$50000,$C16,缺陷明细!$AA$2:$AA$50000,"重复Bug",缺陷明细!$J$2:$J$50000,"系统测试"))</f>
        <v>0</v>
      </c>
      <c r="S16" s="72">
        <f>COUNTIFS(缺陷明细!$A$2:$A$50000,$B$4,缺陷明细!$G$2:$G$50000,$C16,缺陷明细!$J$2:$J$50000,"系统测试",缺陷明细!$K$2:$K$50000,"致命",缺陷明细!$AA$2:$AA$50000,"&lt;&gt;丢弃",缺陷明细!$AA$2:$AA$50000,"&lt;&gt;设计如此",缺陷明细!$AA$2:$AA$50000,"&lt;&gt;重复Bug")+COUNTIFS(缺陷明细!$A$2:$A$50000,$B$4,缺陷明细!$G$2:$G$50000,$C16,缺陷明细!$J$2:$J$50000,"系统测试",缺陷明细!$K$2:$K$50000,"严重",缺陷明细!$AA$2:$AA$50000,"&lt;&gt;丢弃",缺陷明细!$AA$2:$AA$50000,"&lt;&gt;设计如此",缺陷明细!$AA$2:$AA$50000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COUNTIFS(缺陷明细!$A$2:$A$50000,$B$4,缺陷明细!$G$2:$G$50000,$C16,缺陷明细!$J$2:$J$50000,"验收测试",缺陷明细!$AA$2:$AA$50000,"&lt;&gt;丢弃",缺陷明细!$AA$2:$AA$50000,"&lt;&gt;设计如此",缺陷明细!$AA$2:$AA$50000,"&lt;&gt;重复Bug")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A$2:$AA$50000,"&lt;&gt;丢弃",缺陷明细!$AA$2:$AA$50000,"&lt;&gt;设计如此",缺陷明细!$AA$2:$AA$50000,"&lt;&gt;重复Bug")+COUNTIFS(缺陷明细!$A$2:$A$50000,$B$4,缺陷明细!$G$2:$G$50000,$C16,缺陷明细!$J$2:$J$50000,"验收测试",缺陷明细!$K$2:$K$50000,"严重",缺陷明细!$AA$2:$AA$50000,"&lt;&gt;丢弃",缺陷明细!$AA$2:$AA$50000,"&lt;&gt;设计如此",缺陷明细!$AA$2:$AA$50000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COUNTIFS(缺陷明细!$A$2:$A$50000,$B$4,缺陷明细!$G$2:$G$50000,$C16,缺陷明细!$J$2:$J$50000,"运维测试",缺陷明细!$AA$2:$AA$50000,"&lt;&gt;丢弃",缺陷明细!$AA$2:$AA$50000,"&lt;&gt;设计如此",缺陷明细!$AA$2:$AA$50000,"&lt;&gt;重复Bug")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A$2:$AA$50000,"&lt;&gt;丢弃",缺陷明细!$AA$2:$AA$50000,"&lt;&gt;设计如此",缺陷明细!$AA$2:$AA$50000,"&lt;&gt;重复Bug")+COUNTIFS(缺陷明细!$A$2:$A$50000,$B$4,缺陷明细!$G$2:$G$50000,$C16,缺陷明细!$J$2:$J$50000,"运维测试",缺陷明细!$K$2:$K$50000,"严重",缺陷明细!$AA$2:$AA$50000,"&lt;&gt;丢弃",缺陷明细!$AA$2:$AA$50000,"&lt;&gt;设计如此",缺陷明细!$AA$2:$AA$50000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51"/>
    </row>
    <row r="17" spans="1:37">
      <c r="A17">
        <v>13</v>
      </c>
      <c r="B17" s="57"/>
      <c r="C17" s="58"/>
      <c r="D17" s="84"/>
      <c r="E17" s="82"/>
      <c r="F17" s="165"/>
      <c r="G17" s="166"/>
      <c r="H17" s="305">
        <f>COUNTIFS(缺陷明细!$A$2:$A$50000,$B$4,缺陷明细!$G$2:$G$50000,$C17,缺陷明细!$J$2:$J$50000,"评审",缺陷明细!$AA$2:$AA$50000,"&lt;&gt;丢弃",缺陷明细!$AA$2:$AA$50000,"&lt;&gt;设计如此",缺陷明细!$AA$2:$AA$50000,"&lt;&gt;重复Bug")</f>
        <v>0</v>
      </c>
      <c r="I17" s="161">
        <f>COUNTIFS(缺陷明细!$A$2:$A$50000,$B$4,缺陷明细!$G$2:$G$50000,$C17,缺陷明细!$Q$2:$Q$50000,"已关闭",缺陷明细!$J$2:$J$50000,"评审")</f>
        <v>0</v>
      </c>
      <c r="J17" s="161">
        <f>COUNTIFS(缺陷明细!$A$2:$A$50000,$B$4,缺陷明细!$G$2:$G$50000,$C17,缺陷明细!$J$2:$J$50000,"单元测试",缺陷明细!$AA$2:$AA$50000,"&lt;&gt;丢弃",缺陷明细!$AA$2:$AA$50000,"&lt;&gt;设计如此",缺陷明细!$AA$2:$AA$50000,"&lt;&gt;重复Bug")</f>
        <v>0</v>
      </c>
      <c r="K17" s="162">
        <f>COUNTIFS(缺陷明细!$A$2:$A$50000,$B$4,缺陷明细!$G$2:$G$50000,$C17,缺陷明细!$Q$2:$Q$50000,"已关闭",缺陷明细!$J$2:$J$50000,"单元测试")</f>
        <v>0</v>
      </c>
      <c r="L17" s="163"/>
      <c r="M17" s="164"/>
      <c r="N17" s="72">
        <f>COUNTIFS(缺陷明细!$A$2:$A$50000,$B$4,缺陷明细!$G$2:$G$50000,$C17,缺陷明细!$J$2:$J$50000,"系统测试案例评审",缺陷明细!$AA$2:$AA$50000,"&lt;&gt;丢弃",缺陷明细!$AA$2:$AA$50000,"&lt;&gt;设计如此",缺陷明细!$AA$2:$AA$50000,"&lt;&gt;重复Bug")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COUNTIFS(缺陷明细!$A$2:$A$50000,$B$4,缺陷明细!$G$2:$G$50000,$C17,缺陷明细!$J$2:$J$50000,"系统测试",缺陷明细!$AA$2:$AA$50000,"&lt;&gt;丢弃",缺陷明细!$AA$2:$AA$50000,"&lt;&gt;设计如此",缺陷明细!$AA$2:$AA$50000,"&lt;&gt;重复Bug")</f>
        <v>0</v>
      </c>
      <c r="Q17" s="72">
        <f>COUNTIFS(缺陷明细!$A$2:$A$50000,$B$4,缺陷明细!$G$2:$G$50000,$C17,缺陷明细!$Q$2:$Q$50000,"已关闭",缺陷明细!$J$2:$J$50000,"系统测试")</f>
        <v>0</v>
      </c>
      <c r="R17" s="72">
        <f>COUNTIFS(缺陷明细!$A$2:$A$50000,$B$4,缺陷明细!$G$2:$G$50000,$C17,缺陷明细!$AA$2:$AA$50000,"丢弃",缺陷明细!$J$2:$J$50000,"系统测试")+COUNTIFS(缺陷明细!$A$2:$A$50000,$B$4,缺陷明细!$G$2:$G$50000,$C17,缺陷明细!$AA$2:$AA$50000,"设计如此",缺陷明细!$J$2:$J$50000,"系统测试"+COUNTIFS(缺陷明细!$A$2:$A$50000,$B$4,缺陷明细!$G$2:$G$50000,$C17,缺陷明细!$AA$2:$AA$50000,"重复Bug",缺陷明细!$J$2:$J$50000,"系统测试"))</f>
        <v>0</v>
      </c>
      <c r="S17" s="72">
        <f>COUNTIFS(缺陷明细!$A$2:$A$50000,$B$4,缺陷明细!$G$2:$G$50000,$C17,缺陷明细!$J$2:$J$50000,"系统测试",缺陷明细!$K$2:$K$50000,"致命",缺陷明细!$AA$2:$AA$50000,"&lt;&gt;丢弃",缺陷明细!$AA$2:$AA$50000,"&lt;&gt;设计如此",缺陷明细!$AA$2:$AA$50000,"&lt;&gt;重复Bug")+COUNTIFS(缺陷明细!$A$2:$A$50000,$B$4,缺陷明细!$G$2:$G$50000,$C17,缺陷明细!$J$2:$J$50000,"系统测试",缺陷明细!$K$2:$K$50000,"严重",缺陷明细!$AA$2:$AA$50000,"&lt;&gt;丢弃",缺陷明细!$AA$2:$AA$50000,"&lt;&gt;设计如此",缺陷明细!$AA$2:$AA$50000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COUNTIFS(缺陷明细!$A$2:$A$50000,$B$4,缺陷明细!$G$2:$G$50000,$C17,缺陷明细!$J$2:$J$50000,"验收测试",缺陷明细!$AA$2:$AA$50000,"&lt;&gt;丢弃",缺陷明细!$AA$2:$AA$50000,"&lt;&gt;设计如此",缺陷明细!$AA$2:$AA$50000,"&lt;&gt;重复Bug")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A$2:$AA$50000,"&lt;&gt;丢弃",缺陷明细!$AA$2:$AA$50000,"&lt;&gt;设计如此",缺陷明细!$AA$2:$AA$50000,"&lt;&gt;重复Bug")+COUNTIFS(缺陷明细!$A$2:$A$50000,$B$4,缺陷明细!$G$2:$G$50000,$C17,缺陷明细!$J$2:$J$50000,"验收测试",缺陷明细!$K$2:$K$50000,"严重",缺陷明细!$AA$2:$AA$50000,"&lt;&gt;丢弃",缺陷明细!$AA$2:$AA$50000,"&lt;&gt;设计如此",缺陷明细!$AA$2:$AA$50000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COUNTIFS(缺陷明细!$A$2:$A$50000,$B$4,缺陷明细!$G$2:$G$50000,$C17,缺陷明细!$J$2:$J$50000,"运维测试",缺陷明细!$AA$2:$AA$50000,"&lt;&gt;丢弃",缺陷明细!$AA$2:$AA$50000,"&lt;&gt;设计如此",缺陷明细!$AA$2:$AA$50000,"&lt;&gt;重复Bug")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A$2:$AA$50000,"&lt;&gt;丢弃",缺陷明细!$AA$2:$AA$50000,"&lt;&gt;设计如此",缺陷明细!$AA$2:$AA$50000,"&lt;&gt;重复Bug")+COUNTIFS(缺陷明细!$A$2:$A$50000,$B$4,缺陷明细!$G$2:$G$50000,$C17,缺陷明细!$J$2:$J$50000,"运维测试",缺陷明细!$K$2:$K$50000,"严重",缺陷明细!$AA$2:$AA$50000,"&lt;&gt;丢弃",缺陷明细!$AA$2:$AA$50000,"&lt;&gt;设计如此",缺陷明细!$AA$2:$AA$50000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51"/>
    </row>
    <row r="18" spans="1:37">
      <c r="A18">
        <v>14</v>
      </c>
      <c r="B18" s="57"/>
      <c r="C18" s="58"/>
      <c r="D18" s="84"/>
      <c r="E18" s="82"/>
      <c r="F18" s="165"/>
      <c r="G18" s="166"/>
      <c r="H18" s="305">
        <f>COUNTIFS(缺陷明细!$A$2:$A$50000,$B$4,缺陷明细!$G$2:$G$50000,$C18,缺陷明细!$J$2:$J$50000,"评审",缺陷明细!$AA$2:$AA$50000,"&lt;&gt;丢弃",缺陷明细!$AA$2:$AA$50000,"&lt;&gt;设计如此",缺陷明细!$AA$2:$AA$50000,"&lt;&gt;重复Bug")</f>
        <v>0</v>
      </c>
      <c r="I18" s="161">
        <f>COUNTIFS(缺陷明细!$A$2:$A$50000,$B$4,缺陷明细!$G$2:$G$50000,$C18,缺陷明细!$Q$2:$Q$50000,"已关闭",缺陷明细!$J$2:$J$50000,"评审")</f>
        <v>0</v>
      </c>
      <c r="J18" s="161">
        <f>COUNTIFS(缺陷明细!$A$2:$A$50000,$B$4,缺陷明细!$G$2:$G$50000,$C18,缺陷明细!$J$2:$J$50000,"单元测试",缺陷明细!$AA$2:$AA$50000,"&lt;&gt;丢弃",缺陷明细!$AA$2:$AA$50000,"&lt;&gt;设计如此",缺陷明细!$AA$2:$AA$50000,"&lt;&gt;重复Bug")</f>
        <v>0</v>
      </c>
      <c r="K18" s="162">
        <f>COUNTIFS(缺陷明细!$A$2:$A$50000,$B$4,缺陷明细!$G$2:$G$50000,$C18,缺陷明细!$Q$2:$Q$50000,"已关闭",缺陷明细!$J$2:$J$50000,"单元测试")</f>
        <v>0</v>
      </c>
      <c r="L18" s="163"/>
      <c r="M18" s="164"/>
      <c r="N18" s="72">
        <f>COUNTIFS(缺陷明细!$A$2:$A$50000,$B$4,缺陷明细!$G$2:$G$50000,$C18,缺陷明细!$J$2:$J$50000,"系统测试案例评审",缺陷明细!$AA$2:$AA$50000,"&lt;&gt;丢弃",缺陷明细!$AA$2:$AA$50000,"&lt;&gt;设计如此",缺陷明细!$AA$2:$AA$50000,"&lt;&gt;重复Bug")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COUNTIFS(缺陷明细!$A$2:$A$50000,$B$4,缺陷明细!$G$2:$G$50000,$C18,缺陷明细!$J$2:$J$50000,"系统测试",缺陷明细!$AA$2:$AA$50000,"&lt;&gt;丢弃",缺陷明细!$AA$2:$AA$50000,"&lt;&gt;设计如此",缺陷明细!$AA$2:$AA$50000,"&lt;&gt;重复Bug")</f>
        <v>0</v>
      </c>
      <c r="Q18" s="72">
        <f>COUNTIFS(缺陷明细!$A$2:$A$50000,$B$4,缺陷明细!$G$2:$G$50000,$C18,缺陷明细!$Q$2:$Q$50000,"已关闭",缺陷明细!$J$2:$J$50000,"系统测试")</f>
        <v>0</v>
      </c>
      <c r="R18" s="72">
        <f>COUNTIFS(缺陷明细!$A$2:$A$50000,$B$4,缺陷明细!$G$2:$G$50000,$C18,缺陷明细!$AA$2:$AA$50000,"丢弃",缺陷明细!$J$2:$J$50000,"系统测试")+COUNTIFS(缺陷明细!$A$2:$A$50000,$B$4,缺陷明细!$G$2:$G$50000,$C18,缺陷明细!$AA$2:$AA$50000,"设计如此",缺陷明细!$J$2:$J$50000,"系统测试"+COUNTIFS(缺陷明细!$A$2:$A$50000,$B$4,缺陷明细!$G$2:$G$50000,$C18,缺陷明细!$AA$2:$AA$50000,"重复Bug",缺陷明细!$J$2:$J$50000,"系统测试"))</f>
        <v>0</v>
      </c>
      <c r="S18" s="72">
        <f>COUNTIFS(缺陷明细!$A$2:$A$50000,$B$4,缺陷明细!$G$2:$G$50000,$C18,缺陷明细!$J$2:$J$50000,"系统测试",缺陷明细!$K$2:$K$50000,"致命",缺陷明细!$AA$2:$AA$50000,"&lt;&gt;丢弃",缺陷明细!$AA$2:$AA$50000,"&lt;&gt;设计如此",缺陷明细!$AA$2:$AA$50000,"&lt;&gt;重复Bug")+COUNTIFS(缺陷明细!$A$2:$A$50000,$B$4,缺陷明细!$G$2:$G$50000,$C18,缺陷明细!$J$2:$J$50000,"系统测试",缺陷明细!$K$2:$K$50000,"严重",缺陷明细!$AA$2:$AA$50000,"&lt;&gt;丢弃",缺陷明细!$AA$2:$AA$50000,"&lt;&gt;设计如此",缺陷明细!$AA$2:$AA$50000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COUNTIFS(缺陷明细!$A$2:$A$50000,$B$4,缺陷明细!$G$2:$G$50000,$C18,缺陷明细!$J$2:$J$50000,"验收测试",缺陷明细!$AA$2:$AA$50000,"&lt;&gt;丢弃",缺陷明细!$AA$2:$AA$50000,"&lt;&gt;设计如此",缺陷明细!$AA$2:$AA$50000,"&lt;&gt;重复Bug")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A$2:$AA$50000,"&lt;&gt;丢弃",缺陷明细!$AA$2:$AA$50000,"&lt;&gt;设计如此",缺陷明细!$AA$2:$AA$50000,"&lt;&gt;重复Bug")+COUNTIFS(缺陷明细!$A$2:$A$50000,$B$4,缺陷明细!$G$2:$G$50000,$C18,缺陷明细!$J$2:$J$50000,"验收测试",缺陷明细!$K$2:$K$50000,"严重",缺陷明细!$AA$2:$AA$50000,"&lt;&gt;丢弃",缺陷明细!$AA$2:$AA$50000,"&lt;&gt;设计如此",缺陷明细!$AA$2:$AA$50000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COUNTIFS(缺陷明细!$A$2:$A$50000,$B$4,缺陷明细!$G$2:$G$50000,$C18,缺陷明细!$J$2:$J$50000,"运维测试",缺陷明细!$AA$2:$AA$50000,"&lt;&gt;丢弃",缺陷明细!$AA$2:$AA$50000,"&lt;&gt;设计如此",缺陷明细!$AA$2:$AA$50000,"&lt;&gt;重复Bug")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A$2:$AA$50000,"&lt;&gt;丢弃",缺陷明细!$AA$2:$AA$50000,"&lt;&gt;设计如此",缺陷明细!$AA$2:$AA$50000,"&lt;&gt;重复Bug")+COUNTIFS(缺陷明细!$A$2:$A$50000,$B$4,缺陷明细!$G$2:$G$50000,$C18,缺陷明细!$J$2:$J$50000,"运维测试",缺陷明细!$K$2:$K$50000,"严重",缺陷明细!$AA$2:$AA$50000,"&lt;&gt;丢弃",缺陷明细!$AA$2:$AA$50000,"&lt;&gt;设计如此",缺陷明细!$AA$2:$AA$50000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51"/>
    </row>
    <row r="19" spans="1:37">
      <c r="A19">
        <v>15</v>
      </c>
      <c r="B19" s="57"/>
      <c r="C19" s="58"/>
      <c r="D19" s="84"/>
      <c r="E19" s="82"/>
      <c r="F19" s="165"/>
      <c r="G19" s="166"/>
      <c r="H19" s="305">
        <f>COUNTIFS(缺陷明细!$A$2:$A$50000,$B$4,缺陷明细!$G$2:$G$50000,$C19,缺陷明细!$J$2:$J$50000,"评审",缺陷明细!$AA$2:$AA$50000,"&lt;&gt;丢弃",缺陷明细!$AA$2:$AA$50000,"&lt;&gt;设计如此",缺陷明细!$AA$2:$AA$50000,"&lt;&gt;重复Bug")</f>
        <v>0</v>
      </c>
      <c r="I19" s="161">
        <f>COUNTIFS(缺陷明细!$A$2:$A$50000,$B$4,缺陷明细!$G$2:$G$50000,$C19,缺陷明细!$Q$2:$Q$50000,"已关闭",缺陷明细!$J$2:$J$50000,"评审")</f>
        <v>0</v>
      </c>
      <c r="J19" s="161">
        <f>COUNTIFS(缺陷明细!$A$2:$A$50000,$B$4,缺陷明细!$G$2:$G$50000,$C19,缺陷明细!$J$2:$J$50000,"单元测试",缺陷明细!$AA$2:$AA$50000,"&lt;&gt;丢弃",缺陷明细!$AA$2:$AA$50000,"&lt;&gt;设计如此",缺陷明细!$AA$2:$AA$50000,"&lt;&gt;重复Bug")</f>
        <v>0</v>
      </c>
      <c r="K19" s="162">
        <f>COUNTIFS(缺陷明细!$A$2:$A$50000,$B$4,缺陷明细!$G$2:$G$50000,$C19,缺陷明细!$Q$2:$Q$50000,"已关闭",缺陷明细!$J$2:$J$50000,"单元测试")</f>
        <v>0</v>
      </c>
      <c r="L19" s="163"/>
      <c r="M19" s="164"/>
      <c r="N19" s="72">
        <f>COUNTIFS(缺陷明细!$A$2:$A$50000,$B$4,缺陷明细!$G$2:$G$50000,$C19,缺陷明细!$J$2:$J$50000,"系统测试案例评审",缺陷明细!$AA$2:$AA$50000,"&lt;&gt;丢弃",缺陷明细!$AA$2:$AA$50000,"&lt;&gt;设计如此",缺陷明细!$AA$2:$AA$50000,"&lt;&gt;重复Bug")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COUNTIFS(缺陷明细!$A$2:$A$50000,$B$4,缺陷明细!$G$2:$G$50000,$C19,缺陷明细!$J$2:$J$50000,"系统测试",缺陷明细!$AA$2:$AA$50000,"&lt;&gt;丢弃",缺陷明细!$AA$2:$AA$50000,"&lt;&gt;设计如此",缺陷明细!$AA$2:$AA$50000,"&lt;&gt;重复Bug")</f>
        <v>0</v>
      </c>
      <c r="Q19" s="72">
        <f>COUNTIFS(缺陷明细!$A$2:$A$50000,$B$4,缺陷明细!$G$2:$G$50000,$C19,缺陷明细!$Q$2:$Q$50000,"已关闭",缺陷明细!$J$2:$J$50000,"系统测试")</f>
        <v>0</v>
      </c>
      <c r="R19" s="72">
        <f>COUNTIFS(缺陷明细!$A$2:$A$50000,$B$4,缺陷明细!$G$2:$G$50000,$C19,缺陷明细!$AA$2:$AA$50000,"丢弃",缺陷明细!$J$2:$J$50000,"系统测试")+COUNTIFS(缺陷明细!$A$2:$A$50000,$B$4,缺陷明细!$G$2:$G$50000,$C19,缺陷明细!$AA$2:$AA$50000,"设计如此",缺陷明细!$J$2:$J$50000,"系统测试"+COUNTIFS(缺陷明细!$A$2:$A$50000,$B$4,缺陷明细!$G$2:$G$50000,$C19,缺陷明细!$AA$2:$AA$50000,"重复Bug",缺陷明细!$J$2:$J$50000,"系统测试"))</f>
        <v>0</v>
      </c>
      <c r="S19" s="72">
        <f>COUNTIFS(缺陷明细!$A$2:$A$50000,$B$4,缺陷明细!$G$2:$G$50000,$C19,缺陷明细!$J$2:$J$50000,"系统测试",缺陷明细!$K$2:$K$50000,"致命",缺陷明细!$AA$2:$AA$50000,"&lt;&gt;丢弃",缺陷明细!$AA$2:$AA$50000,"&lt;&gt;设计如此",缺陷明细!$AA$2:$AA$50000,"&lt;&gt;重复Bug")+COUNTIFS(缺陷明细!$A$2:$A$50000,$B$4,缺陷明细!$G$2:$G$50000,$C19,缺陷明细!$J$2:$J$50000,"系统测试",缺陷明细!$K$2:$K$50000,"严重",缺陷明细!$AA$2:$AA$50000,"&lt;&gt;丢弃",缺陷明细!$AA$2:$AA$50000,"&lt;&gt;设计如此",缺陷明细!$AA$2:$AA$50000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COUNTIFS(缺陷明细!$A$2:$A$50000,$B$4,缺陷明细!$G$2:$G$50000,$C19,缺陷明细!$J$2:$J$50000,"验收测试",缺陷明细!$AA$2:$AA$50000,"&lt;&gt;丢弃",缺陷明细!$AA$2:$AA$50000,"&lt;&gt;设计如此",缺陷明细!$AA$2:$AA$50000,"&lt;&gt;重复Bug")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A$2:$AA$50000,"&lt;&gt;丢弃",缺陷明细!$AA$2:$AA$50000,"&lt;&gt;设计如此",缺陷明细!$AA$2:$AA$50000,"&lt;&gt;重复Bug")+COUNTIFS(缺陷明细!$A$2:$A$50000,$B$4,缺陷明细!$G$2:$G$50000,$C19,缺陷明细!$J$2:$J$50000,"验收测试",缺陷明细!$K$2:$K$50000,"严重",缺陷明细!$AA$2:$AA$50000,"&lt;&gt;丢弃",缺陷明细!$AA$2:$AA$50000,"&lt;&gt;设计如此",缺陷明细!$AA$2:$AA$50000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COUNTIFS(缺陷明细!$A$2:$A$50000,$B$4,缺陷明细!$G$2:$G$50000,$C19,缺陷明细!$J$2:$J$50000,"运维测试",缺陷明细!$AA$2:$AA$50000,"&lt;&gt;丢弃",缺陷明细!$AA$2:$AA$50000,"&lt;&gt;设计如此",缺陷明细!$AA$2:$AA$50000,"&lt;&gt;重复Bug")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A$2:$AA$50000,"&lt;&gt;丢弃",缺陷明细!$AA$2:$AA$50000,"&lt;&gt;设计如此",缺陷明细!$AA$2:$AA$50000,"&lt;&gt;重复Bug")+COUNTIFS(缺陷明细!$A$2:$A$50000,$B$4,缺陷明细!$G$2:$G$50000,$C19,缺陷明细!$J$2:$J$50000,"运维测试",缺陷明细!$K$2:$K$50000,"严重",缺陷明细!$AA$2:$AA$50000,"&lt;&gt;丢弃",缺陷明细!$AA$2:$AA$50000,"&lt;&gt;设计如此",缺陷明细!$AA$2:$AA$50000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51"/>
    </row>
    <row r="20" spans="1:37">
      <c r="A20">
        <v>16</v>
      </c>
      <c r="B20" s="57"/>
      <c r="C20" s="58"/>
      <c r="D20" s="84"/>
      <c r="E20" s="82"/>
      <c r="F20" s="165"/>
      <c r="G20" s="166"/>
      <c r="H20" s="305">
        <f>COUNTIFS(缺陷明细!$A$2:$A$50000,$B$4,缺陷明细!$G$2:$G$50000,$C20,缺陷明细!$J$2:$J$50000,"评审",缺陷明细!$AA$2:$AA$50000,"&lt;&gt;丢弃",缺陷明细!$AA$2:$AA$50000,"&lt;&gt;设计如此",缺陷明细!$AA$2:$AA$50000,"&lt;&gt;重复Bug")</f>
        <v>0</v>
      </c>
      <c r="I20" s="161">
        <f>COUNTIFS(缺陷明细!$A$2:$A$50000,$B$4,缺陷明细!$G$2:$G$50000,$C20,缺陷明细!$Q$2:$Q$50000,"已关闭",缺陷明细!$J$2:$J$50000,"评审")</f>
        <v>0</v>
      </c>
      <c r="J20" s="161">
        <f>COUNTIFS(缺陷明细!$A$2:$A$50000,$B$4,缺陷明细!$G$2:$G$50000,$C20,缺陷明细!$J$2:$J$50000,"单元测试",缺陷明细!$AA$2:$AA$50000,"&lt;&gt;丢弃",缺陷明细!$AA$2:$AA$50000,"&lt;&gt;设计如此",缺陷明细!$AA$2:$AA$50000,"&lt;&gt;重复Bug")</f>
        <v>0</v>
      </c>
      <c r="K20" s="162">
        <f>COUNTIFS(缺陷明细!$A$2:$A$50000,$B$4,缺陷明细!$G$2:$G$50000,$C20,缺陷明细!$Q$2:$Q$50000,"已关闭",缺陷明细!$J$2:$J$50000,"单元测试")</f>
        <v>0</v>
      </c>
      <c r="L20" s="163"/>
      <c r="M20" s="164"/>
      <c r="N20" s="72">
        <f>COUNTIFS(缺陷明细!$A$2:$A$50000,$B$4,缺陷明细!$G$2:$G$50000,$C20,缺陷明细!$J$2:$J$50000,"系统测试案例评审",缺陷明细!$AA$2:$AA$50000,"&lt;&gt;丢弃",缺陷明细!$AA$2:$AA$50000,"&lt;&gt;设计如此",缺陷明细!$AA$2:$AA$50000,"&lt;&gt;重复Bug")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COUNTIFS(缺陷明细!$A$2:$A$50000,$B$4,缺陷明细!$G$2:$G$50000,$C20,缺陷明细!$J$2:$J$50000,"系统测试",缺陷明细!$AA$2:$AA$50000,"&lt;&gt;丢弃",缺陷明细!$AA$2:$AA$50000,"&lt;&gt;设计如此",缺陷明细!$AA$2:$AA$50000,"&lt;&gt;重复Bug")</f>
        <v>0</v>
      </c>
      <c r="Q20" s="72">
        <f>COUNTIFS(缺陷明细!$A$2:$A$50000,$B$4,缺陷明细!$G$2:$G$50000,$C20,缺陷明细!$Q$2:$Q$50000,"已关闭",缺陷明细!$J$2:$J$50000,"系统测试")</f>
        <v>0</v>
      </c>
      <c r="R20" s="72">
        <f>COUNTIFS(缺陷明细!$A$2:$A$50000,$B$4,缺陷明细!$G$2:$G$50000,$C20,缺陷明细!$AA$2:$AA$50000,"丢弃",缺陷明细!$J$2:$J$50000,"系统测试")+COUNTIFS(缺陷明细!$A$2:$A$50000,$B$4,缺陷明细!$G$2:$G$50000,$C20,缺陷明细!$AA$2:$AA$50000,"设计如此",缺陷明细!$J$2:$J$50000,"系统测试"+COUNTIFS(缺陷明细!$A$2:$A$50000,$B$4,缺陷明细!$G$2:$G$50000,$C20,缺陷明细!$AA$2:$AA$50000,"重复Bug",缺陷明细!$J$2:$J$50000,"系统测试"))</f>
        <v>0</v>
      </c>
      <c r="S20" s="72">
        <f>COUNTIFS(缺陷明细!$A$2:$A$50000,$B$4,缺陷明细!$G$2:$G$50000,$C20,缺陷明细!$J$2:$J$50000,"系统测试",缺陷明细!$K$2:$K$50000,"致命",缺陷明细!$AA$2:$AA$50000,"&lt;&gt;丢弃",缺陷明细!$AA$2:$AA$50000,"&lt;&gt;设计如此",缺陷明细!$AA$2:$AA$50000,"&lt;&gt;重复Bug")+COUNTIFS(缺陷明细!$A$2:$A$50000,$B$4,缺陷明细!$G$2:$G$50000,$C20,缺陷明细!$J$2:$J$50000,"系统测试",缺陷明细!$K$2:$K$50000,"严重",缺陷明细!$AA$2:$AA$50000,"&lt;&gt;丢弃",缺陷明细!$AA$2:$AA$50000,"&lt;&gt;设计如此",缺陷明细!$AA$2:$AA$50000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COUNTIFS(缺陷明细!$A$2:$A$50000,$B$4,缺陷明细!$G$2:$G$50000,$C20,缺陷明细!$J$2:$J$50000,"验收测试",缺陷明细!$AA$2:$AA$50000,"&lt;&gt;丢弃",缺陷明细!$AA$2:$AA$50000,"&lt;&gt;设计如此",缺陷明细!$AA$2:$AA$50000,"&lt;&gt;重复Bug")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A$2:$AA$50000,"&lt;&gt;丢弃",缺陷明细!$AA$2:$AA$50000,"&lt;&gt;设计如此",缺陷明细!$AA$2:$AA$50000,"&lt;&gt;重复Bug")+COUNTIFS(缺陷明细!$A$2:$A$50000,$B$4,缺陷明细!$G$2:$G$50000,$C20,缺陷明细!$J$2:$J$50000,"验收测试",缺陷明细!$K$2:$K$50000,"严重",缺陷明细!$AA$2:$AA$50000,"&lt;&gt;丢弃",缺陷明细!$AA$2:$AA$50000,"&lt;&gt;设计如此",缺陷明细!$AA$2:$AA$50000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COUNTIFS(缺陷明细!$A$2:$A$50000,$B$4,缺陷明细!$G$2:$G$50000,$C20,缺陷明细!$J$2:$J$50000,"运维测试",缺陷明细!$AA$2:$AA$50000,"&lt;&gt;丢弃",缺陷明细!$AA$2:$AA$50000,"&lt;&gt;设计如此",缺陷明细!$AA$2:$AA$50000,"&lt;&gt;重复Bug")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A$2:$AA$50000,"&lt;&gt;丢弃",缺陷明细!$AA$2:$AA$50000,"&lt;&gt;设计如此",缺陷明细!$AA$2:$AA$50000,"&lt;&gt;重复Bug")+COUNTIFS(缺陷明细!$A$2:$A$50000,$B$4,缺陷明细!$G$2:$G$50000,$C20,缺陷明细!$J$2:$J$50000,"运维测试",缺陷明细!$K$2:$K$50000,"严重",缺陷明细!$AA$2:$AA$50000,"&lt;&gt;丢弃",缺陷明细!$AA$2:$AA$50000,"&lt;&gt;设计如此",缺陷明细!$AA$2:$AA$50000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51"/>
    </row>
    <row r="21" spans="1:37">
      <c r="A21">
        <v>17</v>
      </c>
      <c r="B21" s="57"/>
      <c r="C21" s="58"/>
      <c r="D21" s="84"/>
      <c r="E21" s="82"/>
      <c r="F21" s="165"/>
      <c r="G21" s="166"/>
      <c r="H21" s="305">
        <f>COUNTIFS(缺陷明细!$A$2:$A$50000,$B$4,缺陷明细!$G$2:$G$50000,$C21,缺陷明细!$J$2:$J$50000,"评审",缺陷明细!$AA$2:$AA$50000,"&lt;&gt;丢弃",缺陷明细!$AA$2:$AA$50000,"&lt;&gt;设计如此",缺陷明细!$AA$2:$AA$50000,"&lt;&gt;重复Bug")</f>
        <v>0</v>
      </c>
      <c r="I21" s="161">
        <f>COUNTIFS(缺陷明细!$A$2:$A$50000,$B$4,缺陷明细!$G$2:$G$50000,$C21,缺陷明细!$Q$2:$Q$50000,"已关闭",缺陷明细!$J$2:$J$50000,"评审")</f>
        <v>0</v>
      </c>
      <c r="J21" s="161">
        <f>COUNTIFS(缺陷明细!$A$2:$A$50000,$B$4,缺陷明细!$G$2:$G$50000,$C21,缺陷明细!$J$2:$J$50000,"单元测试",缺陷明细!$AA$2:$AA$50000,"&lt;&gt;丢弃",缺陷明细!$AA$2:$AA$50000,"&lt;&gt;设计如此",缺陷明细!$AA$2:$AA$50000,"&lt;&gt;重复Bug")</f>
        <v>0</v>
      </c>
      <c r="K21" s="162">
        <f>COUNTIFS(缺陷明细!$A$2:$A$50000,$B$4,缺陷明细!$G$2:$G$50000,$C21,缺陷明细!$Q$2:$Q$50000,"已关闭",缺陷明细!$J$2:$J$50000,"单元测试")</f>
        <v>0</v>
      </c>
      <c r="L21" s="163"/>
      <c r="M21" s="164"/>
      <c r="N21" s="72">
        <f>COUNTIFS(缺陷明细!$A$2:$A$50000,$B$4,缺陷明细!$G$2:$G$50000,$C21,缺陷明细!$J$2:$J$50000,"系统测试案例评审",缺陷明细!$AA$2:$AA$50000,"&lt;&gt;丢弃",缺陷明细!$AA$2:$AA$50000,"&lt;&gt;设计如此",缺陷明细!$AA$2:$AA$50000,"&lt;&gt;重复Bug")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COUNTIFS(缺陷明细!$A$2:$A$50000,$B$4,缺陷明细!$G$2:$G$50000,$C21,缺陷明细!$J$2:$J$50000,"系统测试",缺陷明细!$AA$2:$AA$50000,"&lt;&gt;丢弃",缺陷明细!$AA$2:$AA$50000,"&lt;&gt;设计如此",缺陷明细!$AA$2:$AA$50000,"&lt;&gt;重复Bug")</f>
        <v>0</v>
      </c>
      <c r="Q21" s="72">
        <f>COUNTIFS(缺陷明细!$A$2:$A$50000,$B$4,缺陷明细!$G$2:$G$50000,$C21,缺陷明细!$Q$2:$Q$50000,"已关闭",缺陷明细!$J$2:$J$50000,"系统测试")</f>
        <v>0</v>
      </c>
      <c r="R21" s="72">
        <f>COUNTIFS(缺陷明细!$A$2:$A$50000,$B$4,缺陷明细!$G$2:$G$50000,$C21,缺陷明细!$AA$2:$AA$50000,"丢弃",缺陷明细!$J$2:$J$50000,"系统测试")+COUNTIFS(缺陷明细!$A$2:$A$50000,$B$4,缺陷明细!$G$2:$G$50000,$C21,缺陷明细!$AA$2:$AA$50000,"设计如此",缺陷明细!$J$2:$J$50000,"系统测试"+COUNTIFS(缺陷明细!$A$2:$A$50000,$B$4,缺陷明细!$G$2:$G$50000,$C21,缺陷明细!$AA$2:$AA$50000,"重复Bug",缺陷明细!$J$2:$J$50000,"系统测试"))</f>
        <v>0</v>
      </c>
      <c r="S21" s="72">
        <f>COUNTIFS(缺陷明细!$A$2:$A$50000,$B$4,缺陷明细!$G$2:$G$50000,$C21,缺陷明细!$J$2:$J$50000,"系统测试",缺陷明细!$K$2:$K$50000,"致命",缺陷明细!$AA$2:$AA$50000,"&lt;&gt;丢弃",缺陷明细!$AA$2:$AA$50000,"&lt;&gt;设计如此",缺陷明细!$AA$2:$AA$50000,"&lt;&gt;重复Bug")+COUNTIFS(缺陷明细!$A$2:$A$50000,$B$4,缺陷明细!$G$2:$G$50000,$C21,缺陷明细!$J$2:$J$50000,"系统测试",缺陷明细!$K$2:$K$50000,"严重",缺陷明细!$AA$2:$AA$50000,"&lt;&gt;丢弃",缺陷明细!$AA$2:$AA$50000,"&lt;&gt;设计如此",缺陷明细!$AA$2:$AA$50000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COUNTIFS(缺陷明细!$A$2:$A$50000,$B$4,缺陷明细!$G$2:$G$50000,$C21,缺陷明细!$J$2:$J$50000,"验收测试",缺陷明细!$AA$2:$AA$50000,"&lt;&gt;丢弃",缺陷明细!$AA$2:$AA$50000,"&lt;&gt;设计如此",缺陷明细!$AA$2:$AA$50000,"&lt;&gt;重复Bug")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A$2:$AA$50000,"&lt;&gt;丢弃",缺陷明细!$AA$2:$AA$50000,"&lt;&gt;设计如此",缺陷明细!$AA$2:$AA$50000,"&lt;&gt;重复Bug")+COUNTIFS(缺陷明细!$A$2:$A$50000,$B$4,缺陷明细!$G$2:$G$50000,$C21,缺陷明细!$J$2:$J$50000,"验收测试",缺陷明细!$K$2:$K$50000,"严重",缺陷明细!$AA$2:$AA$50000,"&lt;&gt;丢弃",缺陷明细!$AA$2:$AA$50000,"&lt;&gt;设计如此",缺陷明细!$AA$2:$AA$50000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COUNTIFS(缺陷明细!$A$2:$A$50000,$B$4,缺陷明细!$G$2:$G$50000,$C21,缺陷明细!$J$2:$J$50000,"运维测试",缺陷明细!$AA$2:$AA$50000,"&lt;&gt;丢弃",缺陷明细!$AA$2:$AA$50000,"&lt;&gt;设计如此",缺陷明细!$AA$2:$AA$50000,"&lt;&gt;重复Bug")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A$2:$AA$50000,"&lt;&gt;丢弃",缺陷明细!$AA$2:$AA$50000,"&lt;&gt;设计如此",缺陷明细!$AA$2:$AA$50000,"&lt;&gt;重复Bug")+COUNTIFS(缺陷明细!$A$2:$A$50000,$B$4,缺陷明细!$G$2:$G$50000,$C21,缺陷明细!$J$2:$J$50000,"运维测试",缺陷明细!$K$2:$K$50000,"严重",缺陷明细!$AA$2:$AA$50000,"&lt;&gt;丢弃",缺陷明细!$AA$2:$AA$50000,"&lt;&gt;设计如此",缺陷明细!$AA$2:$AA$50000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51"/>
    </row>
    <row r="22" spans="1:37">
      <c r="A22">
        <v>18</v>
      </c>
      <c r="B22" s="57"/>
      <c r="C22" s="58"/>
      <c r="D22" s="84"/>
      <c r="E22" s="82"/>
      <c r="F22" s="165"/>
      <c r="G22" s="166"/>
      <c r="H22" s="305">
        <f>COUNTIFS(缺陷明细!$A$2:$A$50000,$B$4,缺陷明细!$G$2:$G$50000,$C22,缺陷明细!$J$2:$J$50000,"评审",缺陷明细!$AA$2:$AA$50000,"&lt;&gt;丢弃",缺陷明细!$AA$2:$AA$50000,"&lt;&gt;设计如此",缺陷明细!$AA$2:$AA$50000,"&lt;&gt;重复Bug")</f>
        <v>0</v>
      </c>
      <c r="I22" s="161">
        <f>COUNTIFS(缺陷明细!$A$2:$A$50000,$B$4,缺陷明细!$G$2:$G$50000,$C22,缺陷明细!$Q$2:$Q$50000,"已关闭",缺陷明细!$J$2:$J$50000,"评审")</f>
        <v>0</v>
      </c>
      <c r="J22" s="161">
        <f>COUNTIFS(缺陷明细!$A$2:$A$50000,$B$4,缺陷明细!$G$2:$G$50000,$C22,缺陷明细!$J$2:$J$50000,"单元测试",缺陷明细!$AA$2:$AA$50000,"&lt;&gt;丢弃",缺陷明细!$AA$2:$AA$50000,"&lt;&gt;设计如此",缺陷明细!$AA$2:$AA$50000,"&lt;&gt;重复Bug")</f>
        <v>0</v>
      </c>
      <c r="K22" s="162">
        <f>COUNTIFS(缺陷明细!$A$2:$A$50000,$B$4,缺陷明细!$G$2:$G$50000,$C22,缺陷明细!$Q$2:$Q$50000,"已关闭",缺陷明细!$J$2:$J$50000,"单元测试")</f>
        <v>0</v>
      </c>
      <c r="L22" s="163"/>
      <c r="M22" s="164"/>
      <c r="N22" s="72">
        <f>COUNTIFS(缺陷明细!$A$2:$A$50000,$B$4,缺陷明细!$G$2:$G$50000,$C22,缺陷明细!$J$2:$J$50000,"系统测试案例评审",缺陷明细!$AA$2:$AA$50000,"&lt;&gt;丢弃",缺陷明细!$AA$2:$AA$50000,"&lt;&gt;设计如此",缺陷明细!$AA$2:$AA$50000,"&lt;&gt;重复Bug")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COUNTIFS(缺陷明细!$A$2:$A$50000,$B$4,缺陷明细!$G$2:$G$50000,$C22,缺陷明细!$J$2:$J$50000,"系统测试",缺陷明细!$AA$2:$AA$50000,"&lt;&gt;丢弃",缺陷明细!$AA$2:$AA$50000,"&lt;&gt;设计如此",缺陷明细!$AA$2:$AA$50000,"&lt;&gt;重复Bug")</f>
        <v>0</v>
      </c>
      <c r="Q22" s="72">
        <f>COUNTIFS(缺陷明细!$A$2:$A$50000,$B$4,缺陷明细!$G$2:$G$50000,$C22,缺陷明细!$Q$2:$Q$50000,"已关闭",缺陷明细!$J$2:$J$50000,"系统测试")</f>
        <v>0</v>
      </c>
      <c r="R22" s="72">
        <f>COUNTIFS(缺陷明细!$A$2:$A$50000,$B$4,缺陷明细!$G$2:$G$50000,$C22,缺陷明细!$AA$2:$AA$50000,"丢弃",缺陷明细!$J$2:$J$50000,"系统测试")+COUNTIFS(缺陷明细!$A$2:$A$50000,$B$4,缺陷明细!$G$2:$G$50000,$C22,缺陷明细!$AA$2:$AA$50000,"设计如此",缺陷明细!$J$2:$J$50000,"系统测试"+COUNTIFS(缺陷明细!$A$2:$A$50000,$B$4,缺陷明细!$G$2:$G$50000,$C22,缺陷明细!$AA$2:$AA$50000,"重复Bug",缺陷明细!$J$2:$J$50000,"系统测试"))</f>
        <v>0</v>
      </c>
      <c r="S22" s="72">
        <f>COUNTIFS(缺陷明细!$A$2:$A$50000,$B$4,缺陷明细!$G$2:$G$50000,$C22,缺陷明细!$J$2:$J$50000,"系统测试",缺陷明细!$K$2:$K$50000,"致命",缺陷明细!$AA$2:$AA$50000,"&lt;&gt;丢弃",缺陷明细!$AA$2:$AA$50000,"&lt;&gt;设计如此",缺陷明细!$AA$2:$AA$50000,"&lt;&gt;重复Bug")+COUNTIFS(缺陷明细!$A$2:$A$50000,$B$4,缺陷明细!$G$2:$G$50000,$C22,缺陷明细!$J$2:$J$50000,"系统测试",缺陷明细!$K$2:$K$50000,"严重",缺陷明细!$AA$2:$AA$50000,"&lt;&gt;丢弃",缺陷明细!$AA$2:$AA$50000,"&lt;&gt;设计如此",缺陷明细!$AA$2:$AA$50000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COUNTIFS(缺陷明细!$A$2:$A$50000,$B$4,缺陷明细!$G$2:$G$50000,$C22,缺陷明细!$J$2:$J$50000,"验收测试",缺陷明细!$AA$2:$AA$50000,"&lt;&gt;丢弃",缺陷明细!$AA$2:$AA$50000,"&lt;&gt;设计如此",缺陷明细!$AA$2:$AA$50000,"&lt;&gt;重复Bug")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A$2:$AA$50000,"&lt;&gt;丢弃",缺陷明细!$AA$2:$AA$50000,"&lt;&gt;设计如此",缺陷明细!$AA$2:$AA$50000,"&lt;&gt;重复Bug")+COUNTIFS(缺陷明细!$A$2:$A$50000,$B$4,缺陷明细!$G$2:$G$50000,$C22,缺陷明细!$J$2:$J$50000,"验收测试",缺陷明细!$K$2:$K$50000,"严重",缺陷明细!$AA$2:$AA$50000,"&lt;&gt;丢弃",缺陷明细!$AA$2:$AA$50000,"&lt;&gt;设计如此",缺陷明细!$AA$2:$AA$50000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COUNTIFS(缺陷明细!$A$2:$A$50000,$B$4,缺陷明细!$G$2:$G$50000,$C22,缺陷明细!$J$2:$J$50000,"运维测试",缺陷明细!$AA$2:$AA$50000,"&lt;&gt;丢弃",缺陷明细!$AA$2:$AA$50000,"&lt;&gt;设计如此",缺陷明细!$AA$2:$AA$50000,"&lt;&gt;重复Bug")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A$2:$AA$50000,"&lt;&gt;丢弃",缺陷明细!$AA$2:$AA$50000,"&lt;&gt;设计如此",缺陷明细!$AA$2:$AA$50000,"&lt;&gt;重复Bug")+COUNTIFS(缺陷明细!$A$2:$A$50000,$B$4,缺陷明细!$G$2:$G$50000,$C22,缺陷明细!$J$2:$J$50000,"运维测试",缺陷明细!$K$2:$K$50000,"严重",缺陷明细!$AA$2:$AA$50000,"&lt;&gt;丢弃",缺陷明细!$AA$2:$AA$50000,"&lt;&gt;设计如此",缺陷明细!$AA$2:$AA$50000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51"/>
    </row>
    <row r="23" spans="1:37">
      <c r="A23">
        <v>19</v>
      </c>
      <c r="B23" s="57"/>
      <c r="C23" s="58"/>
      <c r="D23" s="84"/>
      <c r="E23" s="82"/>
      <c r="F23" s="165"/>
      <c r="G23" s="166"/>
      <c r="H23" s="305">
        <f>COUNTIFS(缺陷明细!$A$2:$A$50000,$B$4,缺陷明细!$G$2:$G$50000,$C23,缺陷明细!$J$2:$J$50000,"评审",缺陷明细!$AA$2:$AA$50000,"&lt;&gt;丢弃",缺陷明细!$AA$2:$AA$50000,"&lt;&gt;设计如此",缺陷明细!$AA$2:$AA$50000,"&lt;&gt;重复Bug")</f>
        <v>0</v>
      </c>
      <c r="I23" s="161">
        <f>COUNTIFS(缺陷明细!$A$2:$A$50000,$B$4,缺陷明细!$G$2:$G$50000,$C23,缺陷明细!$Q$2:$Q$50000,"已关闭",缺陷明细!$J$2:$J$50000,"评审")</f>
        <v>0</v>
      </c>
      <c r="J23" s="161">
        <f>COUNTIFS(缺陷明细!$A$2:$A$50000,$B$4,缺陷明细!$G$2:$G$50000,$C23,缺陷明细!$J$2:$J$50000,"单元测试",缺陷明细!$AA$2:$AA$50000,"&lt;&gt;丢弃",缺陷明细!$AA$2:$AA$50000,"&lt;&gt;设计如此",缺陷明细!$AA$2:$AA$50000,"&lt;&gt;重复Bug")</f>
        <v>0</v>
      </c>
      <c r="K23" s="162">
        <f>COUNTIFS(缺陷明细!$A$2:$A$50000,$B$4,缺陷明细!$G$2:$G$50000,$C23,缺陷明细!$Q$2:$Q$50000,"已关闭",缺陷明细!$J$2:$J$50000,"单元测试")</f>
        <v>0</v>
      </c>
      <c r="L23" s="163"/>
      <c r="M23" s="164"/>
      <c r="N23" s="72">
        <f>COUNTIFS(缺陷明细!$A$2:$A$50000,$B$4,缺陷明细!$G$2:$G$50000,$C23,缺陷明细!$J$2:$J$50000,"系统测试案例评审",缺陷明细!$AA$2:$AA$50000,"&lt;&gt;丢弃",缺陷明细!$AA$2:$AA$50000,"&lt;&gt;设计如此",缺陷明细!$AA$2:$AA$50000,"&lt;&gt;重复Bug")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COUNTIFS(缺陷明细!$A$2:$A$50000,$B$4,缺陷明细!$G$2:$G$50000,$C23,缺陷明细!$J$2:$J$50000,"系统测试",缺陷明细!$AA$2:$AA$50000,"&lt;&gt;丢弃",缺陷明细!$AA$2:$AA$50000,"&lt;&gt;设计如此",缺陷明细!$AA$2:$AA$50000,"&lt;&gt;重复Bug")</f>
        <v>0</v>
      </c>
      <c r="Q23" s="72">
        <f>COUNTIFS(缺陷明细!$A$2:$A$50000,$B$4,缺陷明细!$G$2:$G$50000,$C23,缺陷明细!$Q$2:$Q$50000,"已关闭",缺陷明细!$J$2:$J$50000,"系统测试")</f>
        <v>0</v>
      </c>
      <c r="R23" s="72">
        <f>COUNTIFS(缺陷明细!$A$2:$A$50000,$B$4,缺陷明细!$G$2:$G$50000,$C23,缺陷明细!$AA$2:$AA$50000,"丢弃",缺陷明细!$J$2:$J$50000,"系统测试")+COUNTIFS(缺陷明细!$A$2:$A$50000,$B$4,缺陷明细!$G$2:$G$50000,$C23,缺陷明细!$AA$2:$AA$50000,"设计如此",缺陷明细!$J$2:$J$50000,"系统测试"+COUNTIFS(缺陷明细!$A$2:$A$50000,$B$4,缺陷明细!$G$2:$G$50000,$C23,缺陷明细!$AA$2:$AA$50000,"重复Bug",缺陷明细!$J$2:$J$50000,"系统测试"))</f>
        <v>0</v>
      </c>
      <c r="S23" s="72">
        <f>COUNTIFS(缺陷明细!$A$2:$A$50000,$B$4,缺陷明细!$G$2:$G$50000,$C23,缺陷明细!$J$2:$J$50000,"系统测试",缺陷明细!$K$2:$K$50000,"致命",缺陷明细!$AA$2:$AA$50000,"&lt;&gt;丢弃",缺陷明细!$AA$2:$AA$50000,"&lt;&gt;设计如此",缺陷明细!$AA$2:$AA$50000,"&lt;&gt;重复Bug")+COUNTIFS(缺陷明细!$A$2:$A$50000,$B$4,缺陷明细!$G$2:$G$50000,$C23,缺陷明细!$J$2:$J$50000,"系统测试",缺陷明细!$K$2:$K$50000,"严重",缺陷明细!$AA$2:$AA$50000,"&lt;&gt;丢弃",缺陷明细!$AA$2:$AA$50000,"&lt;&gt;设计如此",缺陷明细!$AA$2:$AA$50000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COUNTIFS(缺陷明细!$A$2:$A$50000,$B$4,缺陷明细!$G$2:$G$50000,$C23,缺陷明细!$J$2:$J$50000,"验收测试",缺陷明细!$AA$2:$AA$50000,"&lt;&gt;丢弃",缺陷明细!$AA$2:$AA$50000,"&lt;&gt;设计如此",缺陷明细!$AA$2:$AA$50000,"&lt;&gt;重复Bug")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A$2:$AA$50000,"&lt;&gt;丢弃",缺陷明细!$AA$2:$AA$50000,"&lt;&gt;设计如此",缺陷明细!$AA$2:$AA$50000,"&lt;&gt;重复Bug")+COUNTIFS(缺陷明细!$A$2:$A$50000,$B$4,缺陷明细!$G$2:$G$50000,$C23,缺陷明细!$J$2:$J$50000,"验收测试",缺陷明细!$K$2:$K$50000,"严重",缺陷明细!$AA$2:$AA$50000,"&lt;&gt;丢弃",缺陷明细!$AA$2:$AA$50000,"&lt;&gt;设计如此",缺陷明细!$AA$2:$AA$50000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COUNTIFS(缺陷明细!$A$2:$A$50000,$B$4,缺陷明细!$G$2:$G$50000,$C23,缺陷明细!$J$2:$J$50000,"运维测试",缺陷明细!$AA$2:$AA$50000,"&lt;&gt;丢弃",缺陷明细!$AA$2:$AA$50000,"&lt;&gt;设计如此",缺陷明细!$AA$2:$AA$50000,"&lt;&gt;重复Bug")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A$2:$AA$50000,"&lt;&gt;丢弃",缺陷明细!$AA$2:$AA$50000,"&lt;&gt;设计如此",缺陷明细!$AA$2:$AA$50000,"&lt;&gt;重复Bug")+COUNTIFS(缺陷明细!$A$2:$A$50000,$B$4,缺陷明细!$G$2:$G$50000,$C23,缺陷明细!$J$2:$J$50000,"运维测试",缺陷明细!$K$2:$K$50000,"严重",缺陷明细!$AA$2:$AA$50000,"&lt;&gt;丢弃",缺陷明细!$AA$2:$AA$50000,"&lt;&gt;设计如此",缺陷明细!$AA$2:$AA$50000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51"/>
    </row>
    <row r="24" spans="1:37">
      <c r="A24">
        <v>20</v>
      </c>
      <c r="B24" s="57"/>
      <c r="C24" s="58"/>
      <c r="D24" s="84"/>
      <c r="E24" s="82"/>
      <c r="F24" s="165"/>
      <c r="G24" s="166"/>
      <c r="H24" s="305">
        <f>COUNTIFS(缺陷明细!$A$2:$A$50000,$B$4,缺陷明细!$G$2:$G$50000,$C24,缺陷明细!$J$2:$J$50000,"评审",缺陷明细!$AA$2:$AA$50000,"&lt;&gt;丢弃",缺陷明细!$AA$2:$AA$50000,"&lt;&gt;设计如此",缺陷明细!$AA$2:$AA$50000,"&lt;&gt;重复Bug")</f>
        <v>0</v>
      </c>
      <c r="I24" s="161">
        <f>COUNTIFS(缺陷明细!$A$2:$A$50000,$B$4,缺陷明细!$G$2:$G$50000,$C24,缺陷明细!$Q$2:$Q$50000,"已关闭",缺陷明细!$J$2:$J$50000,"评审")</f>
        <v>0</v>
      </c>
      <c r="J24" s="161">
        <f>COUNTIFS(缺陷明细!$A$2:$A$50000,$B$4,缺陷明细!$G$2:$G$50000,$C24,缺陷明细!$J$2:$J$50000,"单元测试",缺陷明细!$AA$2:$AA$50000,"&lt;&gt;丢弃",缺陷明细!$AA$2:$AA$50000,"&lt;&gt;设计如此",缺陷明细!$AA$2:$AA$50000,"&lt;&gt;重复Bug")</f>
        <v>0</v>
      </c>
      <c r="K24" s="162">
        <f>COUNTIFS(缺陷明细!$A$2:$A$50000,$B$4,缺陷明细!$G$2:$G$50000,$C24,缺陷明细!$Q$2:$Q$50000,"已关闭",缺陷明细!$J$2:$J$50000,"单元测试")</f>
        <v>0</v>
      </c>
      <c r="L24" s="163"/>
      <c r="M24" s="164"/>
      <c r="N24" s="72">
        <f>COUNTIFS(缺陷明细!$A$2:$A$50000,$B$4,缺陷明细!$G$2:$G$50000,$C24,缺陷明细!$J$2:$J$50000,"系统测试案例评审",缺陷明细!$AA$2:$AA$50000,"&lt;&gt;丢弃",缺陷明细!$AA$2:$AA$50000,"&lt;&gt;设计如此",缺陷明细!$AA$2:$AA$50000,"&lt;&gt;重复Bug")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COUNTIFS(缺陷明细!$A$2:$A$50000,$B$4,缺陷明细!$G$2:$G$50000,$C24,缺陷明细!$J$2:$J$50000,"系统测试",缺陷明细!$AA$2:$AA$50000,"&lt;&gt;丢弃",缺陷明细!$AA$2:$AA$50000,"&lt;&gt;设计如此",缺陷明细!$AA$2:$AA$50000,"&lt;&gt;重复Bug")</f>
        <v>0</v>
      </c>
      <c r="Q24" s="72">
        <f>COUNTIFS(缺陷明细!$A$2:$A$50000,$B$4,缺陷明细!$G$2:$G$50000,$C24,缺陷明细!$Q$2:$Q$50000,"已关闭",缺陷明细!$J$2:$J$50000,"系统测试")</f>
        <v>0</v>
      </c>
      <c r="R24" s="72">
        <f>COUNTIFS(缺陷明细!$A$2:$A$50000,$B$4,缺陷明细!$G$2:$G$50000,$C24,缺陷明细!$AA$2:$AA$50000,"丢弃",缺陷明细!$J$2:$J$50000,"系统测试")+COUNTIFS(缺陷明细!$A$2:$A$50000,$B$4,缺陷明细!$G$2:$G$50000,$C24,缺陷明细!$AA$2:$AA$50000,"设计如此",缺陷明细!$J$2:$J$50000,"系统测试"+COUNTIFS(缺陷明细!$A$2:$A$50000,$B$4,缺陷明细!$G$2:$G$50000,$C24,缺陷明细!$AA$2:$AA$50000,"重复Bug",缺陷明细!$J$2:$J$50000,"系统测试"))</f>
        <v>0</v>
      </c>
      <c r="S24" s="72">
        <f>COUNTIFS(缺陷明细!$A$2:$A$50000,$B$4,缺陷明细!$G$2:$G$50000,$C24,缺陷明细!$J$2:$J$50000,"系统测试",缺陷明细!$K$2:$K$50000,"致命",缺陷明细!$AA$2:$AA$50000,"&lt;&gt;丢弃",缺陷明细!$AA$2:$AA$50000,"&lt;&gt;设计如此",缺陷明细!$AA$2:$AA$50000,"&lt;&gt;重复Bug")+COUNTIFS(缺陷明细!$A$2:$A$50000,$B$4,缺陷明细!$G$2:$G$50000,$C24,缺陷明细!$J$2:$J$50000,"系统测试",缺陷明细!$K$2:$K$50000,"严重",缺陷明细!$AA$2:$AA$50000,"&lt;&gt;丢弃",缺陷明细!$AA$2:$AA$50000,"&lt;&gt;设计如此",缺陷明细!$AA$2:$AA$50000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COUNTIFS(缺陷明细!$A$2:$A$50000,$B$4,缺陷明细!$G$2:$G$50000,$C24,缺陷明细!$J$2:$J$50000,"验收测试",缺陷明细!$AA$2:$AA$50000,"&lt;&gt;丢弃",缺陷明细!$AA$2:$AA$50000,"&lt;&gt;设计如此",缺陷明细!$AA$2:$AA$50000,"&lt;&gt;重复Bug")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A$2:$AA$50000,"&lt;&gt;丢弃",缺陷明细!$AA$2:$AA$50000,"&lt;&gt;设计如此",缺陷明细!$AA$2:$AA$50000,"&lt;&gt;重复Bug")+COUNTIFS(缺陷明细!$A$2:$A$50000,$B$4,缺陷明细!$G$2:$G$50000,$C24,缺陷明细!$J$2:$J$50000,"验收测试",缺陷明细!$K$2:$K$50000,"严重",缺陷明细!$AA$2:$AA$50000,"&lt;&gt;丢弃",缺陷明细!$AA$2:$AA$50000,"&lt;&gt;设计如此",缺陷明细!$AA$2:$AA$50000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COUNTIFS(缺陷明细!$A$2:$A$50000,$B$4,缺陷明细!$G$2:$G$50000,$C24,缺陷明细!$J$2:$J$50000,"运维测试",缺陷明细!$AA$2:$AA$50000,"&lt;&gt;丢弃",缺陷明细!$AA$2:$AA$50000,"&lt;&gt;设计如此",缺陷明细!$AA$2:$AA$50000,"&lt;&gt;重复Bug")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A$2:$AA$50000,"&lt;&gt;丢弃",缺陷明细!$AA$2:$AA$50000,"&lt;&gt;设计如此",缺陷明细!$AA$2:$AA$50000,"&lt;&gt;重复Bug")+COUNTIFS(缺陷明细!$A$2:$A$50000,$B$4,缺陷明细!$G$2:$G$50000,$C24,缺陷明细!$J$2:$J$50000,"运维测试",缺陷明细!$K$2:$K$50000,"严重",缺陷明细!$AA$2:$AA$50000,"&lt;&gt;丢弃",缺陷明细!$AA$2:$AA$50000,"&lt;&gt;设计如此",缺陷明细!$AA$2:$AA$50000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51"/>
    </row>
    <row r="25" spans="1:37">
      <c r="A25">
        <v>21</v>
      </c>
      <c r="B25" s="57"/>
      <c r="C25" s="58"/>
      <c r="D25" s="84"/>
      <c r="E25" s="82"/>
      <c r="F25" s="165"/>
      <c r="G25" s="166"/>
      <c r="H25" s="305">
        <f>COUNTIFS(缺陷明细!$A$2:$A$50000,$B$4,缺陷明细!$G$2:$G$50000,$C25,缺陷明细!$J$2:$J$50000,"评审",缺陷明细!$AA$2:$AA$50000,"&lt;&gt;丢弃",缺陷明细!$AA$2:$AA$50000,"&lt;&gt;设计如此",缺陷明细!$AA$2:$AA$50000,"&lt;&gt;重复Bug")</f>
        <v>0</v>
      </c>
      <c r="I25" s="161">
        <f>COUNTIFS(缺陷明细!$A$2:$A$50000,$B$4,缺陷明细!$G$2:$G$50000,$C25,缺陷明细!$Q$2:$Q$50000,"已关闭",缺陷明细!$J$2:$J$50000,"评审")</f>
        <v>0</v>
      </c>
      <c r="J25" s="161">
        <f>COUNTIFS(缺陷明细!$A$2:$A$50000,$B$4,缺陷明细!$G$2:$G$50000,$C25,缺陷明细!$J$2:$J$50000,"单元测试",缺陷明细!$AA$2:$AA$50000,"&lt;&gt;丢弃",缺陷明细!$AA$2:$AA$50000,"&lt;&gt;设计如此",缺陷明细!$AA$2:$AA$50000,"&lt;&gt;重复Bug")</f>
        <v>0</v>
      </c>
      <c r="K25" s="162">
        <f>COUNTIFS(缺陷明细!$A$2:$A$50000,$B$4,缺陷明细!$G$2:$G$50000,$C25,缺陷明细!$Q$2:$Q$50000,"已关闭",缺陷明细!$J$2:$J$50000,"单元测试")</f>
        <v>0</v>
      </c>
      <c r="L25" s="163"/>
      <c r="M25" s="164"/>
      <c r="N25" s="72">
        <f>COUNTIFS(缺陷明细!$A$2:$A$50000,$B$4,缺陷明细!$G$2:$G$50000,$C25,缺陷明细!$J$2:$J$50000,"系统测试案例评审",缺陷明细!$AA$2:$AA$50000,"&lt;&gt;丢弃",缺陷明细!$AA$2:$AA$50000,"&lt;&gt;设计如此",缺陷明细!$AA$2:$AA$50000,"&lt;&gt;重复Bug")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COUNTIFS(缺陷明细!$A$2:$A$50000,$B$4,缺陷明细!$G$2:$G$50000,$C25,缺陷明细!$J$2:$J$50000,"系统测试",缺陷明细!$AA$2:$AA$50000,"&lt;&gt;丢弃",缺陷明细!$AA$2:$AA$50000,"&lt;&gt;设计如此",缺陷明细!$AA$2:$AA$50000,"&lt;&gt;重复Bug")</f>
        <v>0</v>
      </c>
      <c r="Q25" s="72">
        <f>COUNTIFS(缺陷明细!$A$2:$A$50000,$B$4,缺陷明细!$G$2:$G$50000,$C25,缺陷明细!$Q$2:$Q$50000,"已关闭",缺陷明细!$J$2:$J$50000,"系统测试")</f>
        <v>0</v>
      </c>
      <c r="R25" s="72">
        <f>COUNTIFS(缺陷明细!$A$2:$A$50000,$B$4,缺陷明细!$G$2:$G$50000,$C25,缺陷明细!$AA$2:$AA$50000,"丢弃",缺陷明细!$J$2:$J$50000,"系统测试")+COUNTIFS(缺陷明细!$A$2:$A$50000,$B$4,缺陷明细!$G$2:$G$50000,$C25,缺陷明细!$AA$2:$AA$50000,"设计如此",缺陷明细!$J$2:$J$50000,"系统测试"+COUNTIFS(缺陷明细!$A$2:$A$50000,$B$4,缺陷明细!$G$2:$G$50000,$C25,缺陷明细!$AA$2:$AA$50000,"重复Bug",缺陷明细!$J$2:$J$50000,"系统测试"))</f>
        <v>0</v>
      </c>
      <c r="S25" s="72">
        <f>COUNTIFS(缺陷明细!$A$2:$A$50000,$B$4,缺陷明细!$G$2:$G$50000,$C25,缺陷明细!$J$2:$J$50000,"系统测试",缺陷明细!$K$2:$K$50000,"致命",缺陷明细!$AA$2:$AA$50000,"&lt;&gt;丢弃",缺陷明细!$AA$2:$AA$50000,"&lt;&gt;设计如此",缺陷明细!$AA$2:$AA$50000,"&lt;&gt;重复Bug")+COUNTIFS(缺陷明细!$A$2:$A$50000,$B$4,缺陷明细!$G$2:$G$50000,$C25,缺陷明细!$J$2:$J$50000,"系统测试",缺陷明细!$K$2:$K$50000,"严重",缺陷明细!$AA$2:$AA$50000,"&lt;&gt;丢弃",缺陷明细!$AA$2:$AA$50000,"&lt;&gt;设计如此",缺陷明细!$AA$2:$AA$50000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COUNTIFS(缺陷明细!$A$2:$A$50000,$B$4,缺陷明细!$G$2:$G$50000,$C25,缺陷明细!$J$2:$J$50000,"验收测试",缺陷明细!$AA$2:$AA$50000,"&lt;&gt;丢弃",缺陷明细!$AA$2:$AA$50000,"&lt;&gt;设计如此",缺陷明细!$AA$2:$AA$50000,"&lt;&gt;重复Bug")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A$2:$AA$50000,"&lt;&gt;丢弃",缺陷明细!$AA$2:$AA$50000,"&lt;&gt;设计如此",缺陷明细!$AA$2:$AA$50000,"&lt;&gt;重复Bug")+COUNTIFS(缺陷明细!$A$2:$A$50000,$B$4,缺陷明细!$G$2:$G$50000,$C25,缺陷明细!$J$2:$J$50000,"验收测试",缺陷明细!$K$2:$K$50000,"严重",缺陷明细!$AA$2:$AA$50000,"&lt;&gt;丢弃",缺陷明细!$AA$2:$AA$50000,"&lt;&gt;设计如此",缺陷明细!$AA$2:$AA$50000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COUNTIFS(缺陷明细!$A$2:$A$50000,$B$4,缺陷明细!$G$2:$G$50000,$C25,缺陷明细!$J$2:$J$50000,"运维测试",缺陷明细!$AA$2:$AA$50000,"&lt;&gt;丢弃",缺陷明细!$AA$2:$AA$50000,"&lt;&gt;设计如此",缺陷明细!$AA$2:$AA$50000,"&lt;&gt;重复Bug")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A$2:$AA$50000,"&lt;&gt;丢弃",缺陷明细!$AA$2:$AA$50000,"&lt;&gt;设计如此",缺陷明细!$AA$2:$AA$50000,"&lt;&gt;重复Bug")+COUNTIFS(缺陷明细!$A$2:$A$50000,$B$4,缺陷明细!$G$2:$G$50000,$C25,缺陷明细!$J$2:$J$50000,"运维测试",缺陷明细!$K$2:$K$50000,"严重",缺陷明细!$AA$2:$AA$50000,"&lt;&gt;丢弃",缺陷明细!$AA$2:$AA$50000,"&lt;&gt;设计如此",缺陷明细!$AA$2:$AA$50000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51"/>
    </row>
    <row r="26" spans="1:37">
      <c r="A26">
        <v>22</v>
      </c>
      <c r="B26" s="57"/>
      <c r="C26" s="58"/>
      <c r="D26" s="84"/>
      <c r="E26" s="82"/>
      <c r="F26" s="165"/>
      <c r="G26" s="166"/>
      <c r="H26" s="305">
        <f>COUNTIFS(缺陷明细!$A$2:$A$50000,$B$4,缺陷明细!$G$2:$G$50000,$C26,缺陷明细!$J$2:$J$50000,"评审",缺陷明细!$AA$2:$AA$50000,"&lt;&gt;丢弃",缺陷明细!$AA$2:$AA$50000,"&lt;&gt;设计如此",缺陷明细!$AA$2:$AA$50000,"&lt;&gt;重复Bug")</f>
        <v>0</v>
      </c>
      <c r="I26" s="161">
        <f>COUNTIFS(缺陷明细!$A$2:$A$50000,$B$4,缺陷明细!$G$2:$G$50000,$C26,缺陷明细!$Q$2:$Q$50000,"已关闭",缺陷明细!$J$2:$J$50000,"评审")</f>
        <v>0</v>
      </c>
      <c r="J26" s="161">
        <f>COUNTIFS(缺陷明细!$A$2:$A$50000,$B$4,缺陷明细!$G$2:$G$50000,$C26,缺陷明细!$J$2:$J$50000,"单元测试",缺陷明细!$AA$2:$AA$50000,"&lt;&gt;丢弃",缺陷明细!$AA$2:$AA$50000,"&lt;&gt;设计如此",缺陷明细!$AA$2:$AA$50000,"&lt;&gt;重复Bug")</f>
        <v>0</v>
      </c>
      <c r="K26" s="162">
        <f>COUNTIFS(缺陷明细!$A$2:$A$50000,$B$4,缺陷明细!$G$2:$G$50000,$C26,缺陷明细!$Q$2:$Q$50000,"已关闭",缺陷明细!$J$2:$J$50000,"单元测试")</f>
        <v>0</v>
      </c>
      <c r="L26" s="163"/>
      <c r="M26" s="164"/>
      <c r="N26" s="72">
        <f>COUNTIFS(缺陷明细!$A$2:$A$50000,$B$4,缺陷明细!$G$2:$G$50000,$C26,缺陷明细!$J$2:$J$50000,"系统测试案例评审",缺陷明细!$AA$2:$AA$50000,"&lt;&gt;丢弃",缺陷明细!$AA$2:$AA$50000,"&lt;&gt;设计如此",缺陷明细!$AA$2:$AA$50000,"&lt;&gt;重复Bug")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COUNTIFS(缺陷明细!$A$2:$A$50000,$B$4,缺陷明细!$G$2:$G$50000,$C26,缺陷明细!$J$2:$J$50000,"系统测试",缺陷明细!$AA$2:$AA$50000,"&lt;&gt;丢弃",缺陷明细!$AA$2:$AA$50000,"&lt;&gt;设计如此",缺陷明细!$AA$2:$AA$50000,"&lt;&gt;重复Bug")</f>
        <v>0</v>
      </c>
      <c r="Q26" s="72">
        <f>COUNTIFS(缺陷明细!$A$2:$A$50000,$B$4,缺陷明细!$G$2:$G$50000,$C26,缺陷明细!$Q$2:$Q$50000,"已关闭",缺陷明细!$J$2:$J$50000,"系统测试")</f>
        <v>0</v>
      </c>
      <c r="R26" s="72">
        <f>COUNTIFS(缺陷明细!$A$2:$A$50000,$B$4,缺陷明细!$G$2:$G$50000,$C26,缺陷明细!$AA$2:$AA$50000,"丢弃",缺陷明细!$J$2:$J$50000,"系统测试")+COUNTIFS(缺陷明细!$A$2:$A$50000,$B$4,缺陷明细!$G$2:$G$50000,$C26,缺陷明细!$AA$2:$AA$50000,"设计如此",缺陷明细!$J$2:$J$50000,"系统测试"+COUNTIFS(缺陷明细!$A$2:$A$50000,$B$4,缺陷明细!$G$2:$G$50000,$C26,缺陷明细!$AA$2:$AA$50000,"重复Bug",缺陷明细!$J$2:$J$50000,"系统测试"))</f>
        <v>0</v>
      </c>
      <c r="S26" s="72">
        <f>COUNTIFS(缺陷明细!$A$2:$A$50000,$B$4,缺陷明细!$G$2:$G$50000,$C26,缺陷明细!$J$2:$J$50000,"系统测试",缺陷明细!$K$2:$K$50000,"致命",缺陷明细!$AA$2:$AA$50000,"&lt;&gt;丢弃",缺陷明细!$AA$2:$AA$50000,"&lt;&gt;设计如此",缺陷明细!$AA$2:$AA$50000,"&lt;&gt;重复Bug")+COUNTIFS(缺陷明细!$A$2:$A$50000,$B$4,缺陷明细!$G$2:$G$50000,$C26,缺陷明细!$J$2:$J$50000,"系统测试",缺陷明细!$K$2:$K$50000,"严重",缺陷明细!$AA$2:$AA$50000,"&lt;&gt;丢弃",缺陷明细!$AA$2:$AA$50000,"&lt;&gt;设计如此",缺陷明细!$AA$2:$AA$50000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COUNTIFS(缺陷明细!$A$2:$A$50000,$B$4,缺陷明细!$G$2:$G$50000,$C26,缺陷明细!$J$2:$J$50000,"验收测试",缺陷明细!$AA$2:$AA$50000,"&lt;&gt;丢弃",缺陷明细!$AA$2:$AA$50000,"&lt;&gt;设计如此",缺陷明细!$AA$2:$AA$50000,"&lt;&gt;重复Bug")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A$2:$AA$50000,"&lt;&gt;丢弃",缺陷明细!$AA$2:$AA$50000,"&lt;&gt;设计如此",缺陷明细!$AA$2:$AA$50000,"&lt;&gt;重复Bug")+COUNTIFS(缺陷明细!$A$2:$A$50000,$B$4,缺陷明细!$G$2:$G$50000,$C26,缺陷明细!$J$2:$J$50000,"验收测试",缺陷明细!$K$2:$K$50000,"严重",缺陷明细!$AA$2:$AA$50000,"&lt;&gt;丢弃",缺陷明细!$AA$2:$AA$50000,"&lt;&gt;设计如此",缺陷明细!$AA$2:$AA$50000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COUNTIFS(缺陷明细!$A$2:$A$50000,$B$4,缺陷明细!$G$2:$G$50000,$C26,缺陷明细!$J$2:$J$50000,"运维测试",缺陷明细!$AA$2:$AA$50000,"&lt;&gt;丢弃",缺陷明细!$AA$2:$AA$50000,"&lt;&gt;设计如此",缺陷明细!$AA$2:$AA$50000,"&lt;&gt;重复Bug")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A$2:$AA$50000,"&lt;&gt;丢弃",缺陷明细!$AA$2:$AA$50000,"&lt;&gt;设计如此",缺陷明细!$AA$2:$AA$50000,"&lt;&gt;重复Bug")+COUNTIFS(缺陷明细!$A$2:$A$50000,$B$4,缺陷明细!$G$2:$G$50000,$C26,缺陷明细!$J$2:$J$50000,"运维测试",缺陷明细!$K$2:$K$50000,"严重",缺陷明细!$AA$2:$AA$50000,"&lt;&gt;丢弃",缺陷明细!$AA$2:$AA$50000,"&lt;&gt;设计如此",缺陷明细!$AA$2:$AA$50000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51"/>
    </row>
    <row r="27" spans="1:37">
      <c r="A27">
        <v>23</v>
      </c>
      <c r="B27" s="57"/>
      <c r="C27" s="58"/>
      <c r="D27" s="84"/>
      <c r="E27" s="82"/>
      <c r="F27" s="165"/>
      <c r="G27" s="166"/>
      <c r="H27" s="305">
        <f>COUNTIFS(缺陷明细!$A$2:$A$50000,$B$4,缺陷明细!$G$2:$G$50000,$C27,缺陷明细!$J$2:$J$50000,"评审",缺陷明细!$AA$2:$AA$50000,"&lt;&gt;丢弃",缺陷明细!$AA$2:$AA$50000,"&lt;&gt;设计如此",缺陷明细!$AA$2:$AA$50000,"&lt;&gt;重复Bug")</f>
        <v>0</v>
      </c>
      <c r="I27" s="161">
        <f>COUNTIFS(缺陷明细!$A$2:$A$50000,$B$4,缺陷明细!$G$2:$G$50000,$C27,缺陷明细!$Q$2:$Q$50000,"已关闭",缺陷明细!$J$2:$J$50000,"评审")</f>
        <v>0</v>
      </c>
      <c r="J27" s="161">
        <f>COUNTIFS(缺陷明细!$A$2:$A$50000,$B$4,缺陷明细!$G$2:$G$50000,$C27,缺陷明细!$J$2:$J$50000,"单元测试",缺陷明细!$AA$2:$AA$50000,"&lt;&gt;丢弃",缺陷明细!$AA$2:$AA$50000,"&lt;&gt;设计如此",缺陷明细!$AA$2:$AA$50000,"&lt;&gt;重复Bug")</f>
        <v>0</v>
      </c>
      <c r="K27" s="162">
        <f>COUNTIFS(缺陷明细!$A$2:$A$50000,$B$4,缺陷明细!$G$2:$G$50000,$C27,缺陷明细!$Q$2:$Q$50000,"已关闭",缺陷明细!$J$2:$J$50000,"单元测试")</f>
        <v>0</v>
      </c>
      <c r="L27" s="163"/>
      <c r="M27" s="164"/>
      <c r="N27" s="72">
        <f>COUNTIFS(缺陷明细!$A$2:$A$50000,$B$4,缺陷明细!$G$2:$G$50000,$C27,缺陷明细!$J$2:$J$50000,"系统测试案例评审",缺陷明细!$AA$2:$AA$50000,"&lt;&gt;丢弃",缺陷明细!$AA$2:$AA$50000,"&lt;&gt;设计如此",缺陷明细!$AA$2:$AA$50000,"&lt;&gt;重复Bug")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COUNTIFS(缺陷明细!$A$2:$A$50000,$B$4,缺陷明细!$G$2:$G$50000,$C27,缺陷明细!$J$2:$J$50000,"系统测试",缺陷明细!$AA$2:$AA$50000,"&lt;&gt;丢弃",缺陷明细!$AA$2:$AA$50000,"&lt;&gt;设计如此",缺陷明细!$AA$2:$AA$50000,"&lt;&gt;重复Bug")</f>
        <v>0</v>
      </c>
      <c r="Q27" s="72">
        <f>COUNTIFS(缺陷明细!$A$2:$A$50000,$B$4,缺陷明细!$G$2:$G$50000,$C27,缺陷明细!$Q$2:$Q$50000,"已关闭",缺陷明细!$J$2:$J$50000,"系统测试")</f>
        <v>0</v>
      </c>
      <c r="R27" s="72">
        <f>COUNTIFS(缺陷明细!$A$2:$A$50000,$B$4,缺陷明细!$G$2:$G$50000,$C27,缺陷明细!$AA$2:$AA$50000,"丢弃",缺陷明细!$J$2:$J$50000,"系统测试")+COUNTIFS(缺陷明细!$A$2:$A$50000,$B$4,缺陷明细!$G$2:$G$50000,$C27,缺陷明细!$AA$2:$AA$50000,"设计如此",缺陷明细!$J$2:$J$50000,"系统测试"+COUNTIFS(缺陷明细!$A$2:$A$50000,$B$4,缺陷明细!$G$2:$G$50000,$C27,缺陷明细!$AA$2:$AA$50000,"重复Bug",缺陷明细!$J$2:$J$50000,"系统测试"))</f>
        <v>0</v>
      </c>
      <c r="S27" s="72">
        <f>COUNTIFS(缺陷明细!$A$2:$A$50000,$B$4,缺陷明细!$G$2:$G$50000,$C27,缺陷明细!$J$2:$J$50000,"系统测试",缺陷明细!$K$2:$K$50000,"致命",缺陷明细!$AA$2:$AA$50000,"&lt;&gt;丢弃",缺陷明细!$AA$2:$AA$50000,"&lt;&gt;设计如此",缺陷明细!$AA$2:$AA$50000,"&lt;&gt;重复Bug")+COUNTIFS(缺陷明细!$A$2:$A$50000,$B$4,缺陷明细!$G$2:$G$50000,$C27,缺陷明细!$J$2:$J$50000,"系统测试",缺陷明细!$K$2:$K$50000,"严重",缺陷明细!$AA$2:$AA$50000,"&lt;&gt;丢弃",缺陷明细!$AA$2:$AA$50000,"&lt;&gt;设计如此",缺陷明细!$AA$2:$AA$50000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COUNTIFS(缺陷明细!$A$2:$A$50000,$B$4,缺陷明细!$G$2:$G$50000,$C27,缺陷明细!$J$2:$J$50000,"验收测试",缺陷明细!$AA$2:$AA$50000,"&lt;&gt;丢弃",缺陷明细!$AA$2:$AA$50000,"&lt;&gt;设计如此",缺陷明细!$AA$2:$AA$50000,"&lt;&gt;重复Bug")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A$2:$AA$50000,"&lt;&gt;丢弃",缺陷明细!$AA$2:$AA$50000,"&lt;&gt;设计如此",缺陷明细!$AA$2:$AA$50000,"&lt;&gt;重复Bug")+COUNTIFS(缺陷明细!$A$2:$A$50000,$B$4,缺陷明细!$G$2:$G$50000,$C27,缺陷明细!$J$2:$J$50000,"验收测试",缺陷明细!$K$2:$K$50000,"严重",缺陷明细!$AA$2:$AA$50000,"&lt;&gt;丢弃",缺陷明细!$AA$2:$AA$50000,"&lt;&gt;设计如此",缺陷明细!$AA$2:$AA$50000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COUNTIFS(缺陷明细!$A$2:$A$50000,$B$4,缺陷明细!$G$2:$G$50000,$C27,缺陷明细!$J$2:$J$50000,"运维测试",缺陷明细!$AA$2:$AA$50000,"&lt;&gt;丢弃",缺陷明细!$AA$2:$AA$50000,"&lt;&gt;设计如此",缺陷明细!$AA$2:$AA$50000,"&lt;&gt;重复Bug")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A$2:$AA$50000,"&lt;&gt;丢弃",缺陷明细!$AA$2:$AA$50000,"&lt;&gt;设计如此",缺陷明细!$AA$2:$AA$50000,"&lt;&gt;重复Bug")+COUNTIFS(缺陷明细!$A$2:$A$50000,$B$4,缺陷明细!$G$2:$G$50000,$C27,缺陷明细!$J$2:$J$50000,"运维测试",缺陷明细!$K$2:$K$50000,"严重",缺陷明细!$AA$2:$AA$50000,"&lt;&gt;丢弃",缺陷明细!$AA$2:$AA$50000,"&lt;&gt;设计如此",缺陷明细!$AA$2:$AA$50000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51"/>
    </row>
    <row r="28" spans="1:37">
      <c r="A28">
        <v>24</v>
      </c>
      <c r="B28" s="57"/>
      <c r="C28" s="58"/>
      <c r="D28" s="84"/>
      <c r="E28" s="82"/>
      <c r="F28" s="165"/>
      <c r="G28" s="166"/>
      <c r="H28" s="305">
        <f>COUNTIFS(缺陷明细!$A$2:$A$50000,$B$4,缺陷明细!$G$2:$G$50000,$C28,缺陷明细!$J$2:$J$50000,"评审",缺陷明细!$AA$2:$AA$50000,"&lt;&gt;丢弃",缺陷明细!$AA$2:$AA$50000,"&lt;&gt;设计如此",缺陷明细!$AA$2:$AA$50000,"&lt;&gt;重复Bug")</f>
        <v>0</v>
      </c>
      <c r="I28" s="161">
        <f>COUNTIFS(缺陷明细!$A$2:$A$50000,$B$4,缺陷明细!$G$2:$G$50000,$C28,缺陷明细!$Q$2:$Q$50000,"已关闭",缺陷明细!$J$2:$J$50000,"评审")</f>
        <v>0</v>
      </c>
      <c r="J28" s="161">
        <f>COUNTIFS(缺陷明细!$A$2:$A$50000,$B$4,缺陷明细!$G$2:$G$50000,$C28,缺陷明细!$J$2:$J$50000,"单元测试",缺陷明细!$AA$2:$AA$50000,"&lt;&gt;丢弃",缺陷明细!$AA$2:$AA$50000,"&lt;&gt;设计如此",缺陷明细!$AA$2:$AA$50000,"&lt;&gt;重复Bug")</f>
        <v>0</v>
      </c>
      <c r="K28" s="162">
        <f>COUNTIFS(缺陷明细!$A$2:$A$50000,$B$4,缺陷明细!$G$2:$G$50000,$C28,缺陷明细!$Q$2:$Q$50000,"已关闭",缺陷明细!$J$2:$J$50000,"单元测试")</f>
        <v>0</v>
      </c>
      <c r="L28" s="163"/>
      <c r="M28" s="164"/>
      <c r="N28" s="72">
        <f>COUNTIFS(缺陷明细!$A$2:$A$50000,$B$4,缺陷明细!$G$2:$G$50000,$C28,缺陷明细!$J$2:$J$50000,"系统测试案例评审",缺陷明细!$AA$2:$AA$50000,"&lt;&gt;丢弃",缺陷明细!$AA$2:$AA$50000,"&lt;&gt;设计如此",缺陷明细!$AA$2:$AA$50000,"&lt;&gt;重复Bug")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COUNTIFS(缺陷明细!$A$2:$A$50000,$B$4,缺陷明细!$G$2:$G$50000,$C28,缺陷明细!$J$2:$J$50000,"系统测试",缺陷明细!$AA$2:$AA$50000,"&lt;&gt;丢弃",缺陷明细!$AA$2:$AA$50000,"&lt;&gt;设计如此",缺陷明细!$AA$2:$AA$50000,"&lt;&gt;重复Bug")</f>
        <v>0</v>
      </c>
      <c r="Q28" s="72">
        <f>COUNTIFS(缺陷明细!$A$2:$A$50000,$B$4,缺陷明细!$G$2:$G$50000,$C28,缺陷明细!$Q$2:$Q$50000,"已关闭",缺陷明细!$J$2:$J$50000,"系统测试")</f>
        <v>0</v>
      </c>
      <c r="R28" s="72">
        <f>COUNTIFS(缺陷明细!$A$2:$A$50000,$B$4,缺陷明细!$G$2:$G$50000,$C28,缺陷明细!$AA$2:$AA$50000,"丢弃",缺陷明细!$J$2:$J$50000,"系统测试")+COUNTIFS(缺陷明细!$A$2:$A$50000,$B$4,缺陷明细!$G$2:$G$50000,$C28,缺陷明细!$AA$2:$AA$50000,"设计如此",缺陷明细!$J$2:$J$50000,"系统测试"+COUNTIFS(缺陷明细!$A$2:$A$50000,$B$4,缺陷明细!$G$2:$G$50000,$C28,缺陷明细!$AA$2:$AA$50000,"重复Bug",缺陷明细!$J$2:$J$50000,"系统测试"))</f>
        <v>0</v>
      </c>
      <c r="S28" s="72">
        <f>COUNTIFS(缺陷明细!$A$2:$A$50000,$B$4,缺陷明细!$G$2:$G$50000,$C28,缺陷明细!$J$2:$J$50000,"系统测试",缺陷明细!$K$2:$K$50000,"致命",缺陷明细!$AA$2:$AA$50000,"&lt;&gt;丢弃",缺陷明细!$AA$2:$AA$50000,"&lt;&gt;设计如此",缺陷明细!$AA$2:$AA$50000,"&lt;&gt;重复Bug")+COUNTIFS(缺陷明细!$A$2:$A$50000,$B$4,缺陷明细!$G$2:$G$50000,$C28,缺陷明细!$J$2:$J$50000,"系统测试",缺陷明细!$K$2:$K$50000,"严重",缺陷明细!$AA$2:$AA$50000,"&lt;&gt;丢弃",缺陷明细!$AA$2:$AA$50000,"&lt;&gt;设计如此",缺陷明细!$AA$2:$AA$50000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COUNTIFS(缺陷明细!$A$2:$A$50000,$B$4,缺陷明细!$G$2:$G$50000,$C28,缺陷明细!$J$2:$J$50000,"验收测试",缺陷明细!$AA$2:$AA$50000,"&lt;&gt;丢弃",缺陷明细!$AA$2:$AA$50000,"&lt;&gt;设计如此",缺陷明细!$AA$2:$AA$50000,"&lt;&gt;重复Bug")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A$2:$AA$50000,"&lt;&gt;丢弃",缺陷明细!$AA$2:$AA$50000,"&lt;&gt;设计如此",缺陷明细!$AA$2:$AA$50000,"&lt;&gt;重复Bug")+COUNTIFS(缺陷明细!$A$2:$A$50000,$B$4,缺陷明细!$G$2:$G$50000,$C28,缺陷明细!$J$2:$J$50000,"验收测试",缺陷明细!$K$2:$K$50000,"严重",缺陷明细!$AA$2:$AA$50000,"&lt;&gt;丢弃",缺陷明细!$AA$2:$AA$50000,"&lt;&gt;设计如此",缺陷明细!$AA$2:$AA$50000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COUNTIFS(缺陷明细!$A$2:$A$50000,$B$4,缺陷明细!$G$2:$G$50000,$C28,缺陷明细!$J$2:$J$50000,"运维测试",缺陷明细!$AA$2:$AA$50000,"&lt;&gt;丢弃",缺陷明细!$AA$2:$AA$50000,"&lt;&gt;设计如此",缺陷明细!$AA$2:$AA$50000,"&lt;&gt;重复Bug")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A$2:$AA$50000,"&lt;&gt;丢弃",缺陷明细!$AA$2:$AA$50000,"&lt;&gt;设计如此",缺陷明细!$AA$2:$AA$50000,"&lt;&gt;重复Bug")+COUNTIFS(缺陷明细!$A$2:$A$50000,$B$4,缺陷明细!$G$2:$G$50000,$C28,缺陷明细!$J$2:$J$50000,"运维测试",缺陷明细!$K$2:$K$50000,"严重",缺陷明细!$AA$2:$AA$50000,"&lt;&gt;丢弃",缺陷明细!$AA$2:$AA$50000,"&lt;&gt;设计如此",缺陷明细!$AA$2:$AA$50000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51"/>
    </row>
    <row r="29" spans="1:37">
      <c r="A29">
        <v>25</v>
      </c>
      <c r="B29" s="57"/>
      <c r="C29" s="58"/>
      <c r="D29" s="84"/>
      <c r="E29" s="82"/>
      <c r="F29" s="165"/>
      <c r="G29" s="166"/>
      <c r="H29" s="305">
        <f>COUNTIFS(缺陷明细!$A$2:$A$50000,$B$4,缺陷明细!$G$2:$G$50000,$C29,缺陷明细!$J$2:$J$50000,"评审",缺陷明细!$AA$2:$AA$50000,"&lt;&gt;丢弃",缺陷明细!$AA$2:$AA$50000,"&lt;&gt;设计如此",缺陷明细!$AA$2:$AA$50000,"&lt;&gt;重复Bug")</f>
        <v>0</v>
      </c>
      <c r="I29" s="161">
        <f>COUNTIFS(缺陷明细!$A$2:$A$50000,$B$4,缺陷明细!$G$2:$G$50000,$C29,缺陷明细!$Q$2:$Q$50000,"已关闭",缺陷明细!$J$2:$J$50000,"评审")</f>
        <v>0</v>
      </c>
      <c r="J29" s="161">
        <f>COUNTIFS(缺陷明细!$A$2:$A$50000,$B$4,缺陷明细!$G$2:$G$50000,$C29,缺陷明细!$J$2:$J$50000,"单元测试",缺陷明细!$AA$2:$AA$50000,"&lt;&gt;丢弃",缺陷明细!$AA$2:$AA$50000,"&lt;&gt;设计如此",缺陷明细!$AA$2:$AA$50000,"&lt;&gt;重复Bug")</f>
        <v>0</v>
      </c>
      <c r="K29" s="162">
        <f>COUNTIFS(缺陷明细!$A$2:$A$50000,$B$4,缺陷明细!$G$2:$G$50000,$C29,缺陷明细!$Q$2:$Q$50000,"已关闭",缺陷明细!$J$2:$J$50000,"单元测试")</f>
        <v>0</v>
      </c>
      <c r="L29" s="163"/>
      <c r="M29" s="164"/>
      <c r="N29" s="72">
        <f>COUNTIFS(缺陷明细!$A$2:$A$50000,$B$4,缺陷明细!$G$2:$G$50000,$C29,缺陷明细!$J$2:$J$50000,"系统测试案例评审",缺陷明细!$AA$2:$AA$50000,"&lt;&gt;丢弃",缺陷明细!$AA$2:$AA$50000,"&lt;&gt;设计如此",缺陷明细!$AA$2:$AA$50000,"&lt;&gt;重复Bug")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COUNTIFS(缺陷明细!$A$2:$A$50000,$B$4,缺陷明细!$G$2:$G$50000,$C29,缺陷明细!$J$2:$J$50000,"系统测试",缺陷明细!$AA$2:$AA$50000,"&lt;&gt;丢弃",缺陷明细!$AA$2:$AA$50000,"&lt;&gt;设计如此",缺陷明细!$AA$2:$AA$50000,"&lt;&gt;重复Bug")</f>
        <v>0</v>
      </c>
      <c r="Q29" s="72">
        <f>COUNTIFS(缺陷明细!$A$2:$A$50000,$B$4,缺陷明细!$G$2:$G$50000,$C29,缺陷明细!$Q$2:$Q$50000,"已关闭",缺陷明细!$J$2:$J$50000,"系统测试")</f>
        <v>0</v>
      </c>
      <c r="R29" s="72">
        <f>COUNTIFS(缺陷明细!$A$2:$A$50000,$B$4,缺陷明细!$G$2:$G$50000,$C29,缺陷明细!$AA$2:$AA$50000,"丢弃",缺陷明细!$J$2:$J$50000,"系统测试")+COUNTIFS(缺陷明细!$A$2:$A$50000,$B$4,缺陷明细!$G$2:$G$50000,$C29,缺陷明细!$AA$2:$AA$50000,"设计如此",缺陷明细!$J$2:$J$50000,"系统测试"+COUNTIFS(缺陷明细!$A$2:$A$50000,$B$4,缺陷明细!$G$2:$G$50000,$C29,缺陷明细!$AA$2:$AA$50000,"重复Bug",缺陷明细!$J$2:$J$50000,"系统测试"))</f>
        <v>0</v>
      </c>
      <c r="S29" s="72">
        <f>COUNTIFS(缺陷明细!$A$2:$A$50000,$B$4,缺陷明细!$G$2:$G$50000,$C29,缺陷明细!$J$2:$J$50000,"系统测试",缺陷明细!$K$2:$K$50000,"致命",缺陷明细!$AA$2:$AA$50000,"&lt;&gt;丢弃",缺陷明细!$AA$2:$AA$50000,"&lt;&gt;设计如此",缺陷明细!$AA$2:$AA$50000,"&lt;&gt;重复Bug")+COUNTIFS(缺陷明细!$A$2:$A$50000,$B$4,缺陷明细!$G$2:$G$50000,$C29,缺陷明细!$J$2:$J$50000,"系统测试",缺陷明细!$K$2:$K$50000,"严重",缺陷明细!$AA$2:$AA$50000,"&lt;&gt;丢弃",缺陷明细!$AA$2:$AA$50000,"&lt;&gt;设计如此",缺陷明细!$AA$2:$AA$50000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COUNTIFS(缺陷明细!$A$2:$A$50000,$B$4,缺陷明细!$G$2:$G$50000,$C29,缺陷明细!$J$2:$J$50000,"验收测试",缺陷明细!$AA$2:$AA$50000,"&lt;&gt;丢弃",缺陷明细!$AA$2:$AA$50000,"&lt;&gt;设计如此",缺陷明细!$AA$2:$AA$50000,"&lt;&gt;重复Bug")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A$2:$AA$50000,"&lt;&gt;丢弃",缺陷明细!$AA$2:$AA$50000,"&lt;&gt;设计如此",缺陷明细!$AA$2:$AA$50000,"&lt;&gt;重复Bug")+COUNTIFS(缺陷明细!$A$2:$A$50000,$B$4,缺陷明细!$G$2:$G$50000,$C29,缺陷明细!$J$2:$J$50000,"验收测试",缺陷明细!$K$2:$K$50000,"严重",缺陷明细!$AA$2:$AA$50000,"&lt;&gt;丢弃",缺陷明细!$AA$2:$AA$50000,"&lt;&gt;设计如此",缺陷明细!$AA$2:$AA$50000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COUNTIFS(缺陷明细!$A$2:$A$50000,$B$4,缺陷明细!$G$2:$G$50000,$C29,缺陷明细!$J$2:$J$50000,"运维测试",缺陷明细!$AA$2:$AA$50000,"&lt;&gt;丢弃",缺陷明细!$AA$2:$AA$50000,"&lt;&gt;设计如此",缺陷明细!$AA$2:$AA$50000,"&lt;&gt;重复Bug")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A$2:$AA$50000,"&lt;&gt;丢弃",缺陷明细!$AA$2:$AA$50000,"&lt;&gt;设计如此",缺陷明细!$AA$2:$AA$50000,"&lt;&gt;重复Bug")+COUNTIFS(缺陷明细!$A$2:$A$50000,$B$4,缺陷明细!$G$2:$G$50000,$C29,缺陷明细!$J$2:$J$50000,"运维测试",缺陷明细!$K$2:$K$50000,"严重",缺陷明细!$AA$2:$AA$50000,"&lt;&gt;丢弃",缺陷明细!$AA$2:$AA$50000,"&lt;&gt;设计如此",缺陷明细!$AA$2:$AA$50000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51"/>
    </row>
    <row r="30" spans="1:37">
      <c r="A30">
        <v>26</v>
      </c>
      <c r="B30" s="57"/>
      <c r="C30" s="58"/>
      <c r="D30" s="84"/>
      <c r="E30" s="82"/>
      <c r="F30" s="165"/>
      <c r="G30" s="166"/>
      <c r="H30" s="305">
        <f>COUNTIFS(缺陷明细!$A$2:$A$50000,$B$4,缺陷明细!$G$2:$G$50000,$C30,缺陷明细!$J$2:$J$50000,"评审",缺陷明细!$AA$2:$AA$50000,"&lt;&gt;丢弃",缺陷明细!$AA$2:$AA$50000,"&lt;&gt;设计如此",缺陷明细!$AA$2:$AA$50000,"&lt;&gt;重复Bug")</f>
        <v>0</v>
      </c>
      <c r="I30" s="161">
        <f>COUNTIFS(缺陷明细!$A$2:$A$50000,$B$4,缺陷明细!$G$2:$G$50000,$C30,缺陷明细!$Q$2:$Q$50000,"已关闭",缺陷明细!$J$2:$J$50000,"评审")</f>
        <v>0</v>
      </c>
      <c r="J30" s="161">
        <f>COUNTIFS(缺陷明细!$A$2:$A$50000,$B$4,缺陷明细!$G$2:$G$50000,$C30,缺陷明细!$J$2:$J$50000,"单元测试",缺陷明细!$AA$2:$AA$50000,"&lt;&gt;丢弃",缺陷明细!$AA$2:$AA$50000,"&lt;&gt;设计如此",缺陷明细!$AA$2:$AA$50000,"&lt;&gt;重复Bug")</f>
        <v>0</v>
      </c>
      <c r="K30" s="162">
        <f>COUNTIFS(缺陷明细!$A$2:$A$50000,$B$4,缺陷明细!$G$2:$G$50000,$C30,缺陷明细!$Q$2:$Q$50000,"已关闭",缺陷明细!$J$2:$J$50000,"单元测试")</f>
        <v>0</v>
      </c>
      <c r="L30" s="163"/>
      <c r="M30" s="164"/>
      <c r="N30" s="72">
        <f>COUNTIFS(缺陷明细!$A$2:$A$50000,$B$4,缺陷明细!$G$2:$G$50000,$C30,缺陷明细!$J$2:$J$50000,"系统测试案例评审",缺陷明细!$AA$2:$AA$50000,"&lt;&gt;丢弃",缺陷明细!$AA$2:$AA$50000,"&lt;&gt;设计如此",缺陷明细!$AA$2:$AA$50000,"&lt;&gt;重复Bug")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COUNTIFS(缺陷明细!$A$2:$A$50000,$B$4,缺陷明细!$G$2:$G$50000,$C30,缺陷明细!$J$2:$J$50000,"系统测试",缺陷明细!$AA$2:$AA$50000,"&lt;&gt;丢弃",缺陷明细!$AA$2:$AA$50000,"&lt;&gt;设计如此",缺陷明细!$AA$2:$AA$50000,"&lt;&gt;重复Bug")</f>
        <v>0</v>
      </c>
      <c r="Q30" s="72">
        <f>COUNTIFS(缺陷明细!$A$2:$A$50000,$B$4,缺陷明细!$G$2:$G$50000,$C30,缺陷明细!$Q$2:$Q$50000,"已关闭",缺陷明细!$J$2:$J$50000,"系统测试")</f>
        <v>0</v>
      </c>
      <c r="R30" s="72">
        <f>COUNTIFS(缺陷明细!$A$2:$A$50000,$B$4,缺陷明细!$G$2:$G$50000,$C30,缺陷明细!$AA$2:$AA$50000,"丢弃",缺陷明细!$J$2:$J$50000,"系统测试")+COUNTIFS(缺陷明细!$A$2:$A$50000,$B$4,缺陷明细!$G$2:$G$50000,$C30,缺陷明细!$AA$2:$AA$50000,"设计如此",缺陷明细!$J$2:$J$50000,"系统测试"+COUNTIFS(缺陷明细!$A$2:$A$50000,$B$4,缺陷明细!$G$2:$G$50000,$C30,缺陷明细!$AA$2:$AA$50000,"重复Bug",缺陷明细!$J$2:$J$50000,"系统测试"))</f>
        <v>0</v>
      </c>
      <c r="S30" s="72">
        <f>COUNTIFS(缺陷明细!$A$2:$A$50000,$B$4,缺陷明细!$G$2:$G$50000,$C30,缺陷明细!$J$2:$J$50000,"系统测试",缺陷明细!$K$2:$K$50000,"致命",缺陷明细!$AA$2:$AA$50000,"&lt;&gt;丢弃",缺陷明细!$AA$2:$AA$50000,"&lt;&gt;设计如此",缺陷明细!$AA$2:$AA$50000,"&lt;&gt;重复Bug")+COUNTIFS(缺陷明细!$A$2:$A$50000,$B$4,缺陷明细!$G$2:$G$50000,$C30,缺陷明细!$J$2:$J$50000,"系统测试",缺陷明细!$K$2:$K$50000,"严重",缺陷明细!$AA$2:$AA$50000,"&lt;&gt;丢弃",缺陷明细!$AA$2:$AA$50000,"&lt;&gt;设计如此",缺陷明细!$AA$2:$AA$50000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COUNTIFS(缺陷明细!$A$2:$A$50000,$B$4,缺陷明细!$G$2:$G$50000,$C30,缺陷明细!$J$2:$J$50000,"验收测试",缺陷明细!$AA$2:$AA$50000,"&lt;&gt;丢弃",缺陷明细!$AA$2:$AA$50000,"&lt;&gt;设计如此",缺陷明细!$AA$2:$AA$50000,"&lt;&gt;重复Bug")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A$2:$AA$50000,"&lt;&gt;丢弃",缺陷明细!$AA$2:$AA$50000,"&lt;&gt;设计如此",缺陷明细!$AA$2:$AA$50000,"&lt;&gt;重复Bug")+COUNTIFS(缺陷明细!$A$2:$A$50000,$B$4,缺陷明细!$G$2:$G$50000,$C30,缺陷明细!$J$2:$J$50000,"验收测试",缺陷明细!$K$2:$K$50000,"严重",缺陷明细!$AA$2:$AA$50000,"&lt;&gt;丢弃",缺陷明细!$AA$2:$AA$50000,"&lt;&gt;设计如此",缺陷明细!$AA$2:$AA$50000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COUNTIFS(缺陷明细!$A$2:$A$50000,$B$4,缺陷明细!$G$2:$G$50000,$C30,缺陷明细!$J$2:$J$50000,"运维测试",缺陷明细!$AA$2:$AA$50000,"&lt;&gt;丢弃",缺陷明细!$AA$2:$AA$50000,"&lt;&gt;设计如此",缺陷明细!$AA$2:$AA$50000,"&lt;&gt;重复Bug")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A$2:$AA$50000,"&lt;&gt;丢弃",缺陷明细!$AA$2:$AA$50000,"&lt;&gt;设计如此",缺陷明细!$AA$2:$AA$50000,"&lt;&gt;重复Bug")+COUNTIFS(缺陷明细!$A$2:$A$50000,$B$4,缺陷明细!$G$2:$G$50000,$C30,缺陷明细!$J$2:$J$50000,"运维测试",缺陷明细!$K$2:$K$50000,"严重",缺陷明细!$AA$2:$AA$50000,"&lt;&gt;丢弃",缺陷明细!$AA$2:$AA$50000,"&lt;&gt;设计如此",缺陷明细!$AA$2:$AA$50000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51"/>
    </row>
    <row r="31" spans="1:37">
      <c r="A31">
        <v>27</v>
      </c>
      <c r="B31" s="57"/>
      <c r="C31" s="58"/>
      <c r="D31" s="84"/>
      <c r="E31" s="82"/>
      <c r="F31" s="165"/>
      <c r="G31" s="166"/>
      <c r="H31" s="305">
        <f>COUNTIFS(缺陷明细!$A$2:$A$50000,$B$4,缺陷明细!$G$2:$G$50000,$C31,缺陷明细!$J$2:$J$50000,"评审",缺陷明细!$AA$2:$AA$50000,"&lt;&gt;丢弃",缺陷明细!$AA$2:$AA$50000,"&lt;&gt;设计如此",缺陷明细!$AA$2:$AA$50000,"&lt;&gt;重复Bug")</f>
        <v>0</v>
      </c>
      <c r="I31" s="161">
        <f>COUNTIFS(缺陷明细!$A$2:$A$50000,$B$4,缺陷明细!$G$2:$G$50000,$C31,缺陷明细!$Q$2:$Q$50000,"已关闭",缺陷明细!$J$2:$J$50000,"评审")</f>
        <v>0</v>
      </c>
      <c r="J31" s="161">
        <f>COUNTIFS(缺陷明细!$A$2:$A$50000,$B$4,缺陷明细!$G$2:$G$50000,$C31,缺陷明细!$J$2:$J$50000,"单元测试",缺陷明细!$AA$2:$AA$50000,"&lt;&gt;丢弃",缺陷明细!$AA$2:$AA$50000,"&lt;&gt;设计如此",缺陷明细!$AA$2:$AA$50000,"&lt;&gt;重复Bug")</f>
        <v>0</v>
      </c>
      <c r="K31" s="162">
        <f>COUNTIFS(缺陷明细!$A$2:$A$50000,$B$4,缺陷明细!$G$2:$G$50000,$C31,缺陷明细!$Q$2:$Q$50000,"已关闭",缺陷明细!$J$2:$J$50000,"单元测试")</f>
        <v>0</v>
      </c>
      <c r="L31" s="163"/>
      <c r="M31" s="164"/>
      <c r="N31" s="72">
        <f>COUNTIFS(缺陷明细!$A$2:$A$50000,$B$4,缺陷明细!$G$2:$G$50000,$C31,缺陷明细!$J$2:$J$50000,"系统测试案例评审",缺陷明细!$AA$2:$AA$50000,"&lt;&gt;丢弃",缺陷明细!$AA$2:$AA$50000,"&lt;&gt;设计如此",缺陷明细!$AA$2:$AA$50000,"&lt;&gt;重复Bug")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COUNTIFS(缺陷明细!$A$2:$A$50000,$B$4,缺陷明细!$G$2:$G$50000,$C31,缺陷明细!$J$2:$J$50000,"系统测试",缺陷明细!$AA$2:$AA$50000,"&lt;&gt;丢弃",缺陷明细!$AA$2:$AA$50000,"&lt;&gt;设计如此",缺陷明细!$AA$2:$AA$50000,"&lt;&gt;重复Bug")</f>
        <v>0</v>
      </c>
      <c r="Q31" s="72">
        <f>COUNTIFS(缺陷明细!$A$2:$A$50000,$B$4,缺陷明细!$G$2:$G$50000,$C31,缺陷明细!$Q$2:$Q$50000,"已关闭",缺陷明细!$J$2:$J$50000,"系统测试")</f>
        <v>0</v>
      </c>
      <c r="R31" s="72">
        <f>COUNTIFS(缺陷明细!$A$2:$A$50000,$B$4,缺陷明细!$G$2:$G$50000,$C31,缺陷明细!$AA$2:$AA$50000,"丢弃",缺陷明细!$J$2:$J$50000,"系统测试")+COUNTIFS(缺陷明细!$A$2:$A$50000,$B$4,缺陷明细!$G$2:$G$50000,$C31,缺陷明细!$AA$2:$AA$50000,"设计如此",缺陷明细!$J$2:$J$50000,"系统测试"+COUNTIFS(缺陷明细!$A$2:$A$50000,$B$4,缺陷明细!$G$2:$G$50000,$C31,缺陷明细!$AA$2:$AA$50000,"重复Bug",缺陷明细!$J$2:$J$50000,"系统测试"))</f>
        <v>0</v>
      </c>
      <c r="S31" s="72">
        <f>COUNTIFS(缺陷明细!$A$2:$A$50000,$B$4,缺陷明细!$G$2:$G$50000,$C31,缺陷明细!$J$2:$J$50000,"系统测试",缺陷明细!$K$2:$K$50000,"致命",缺陷明细!$AA$2:$AA$50000,"&lt;&gt;丢弃",缺陷明细!$AA$2:$AA$50000,"&lt;&gt;设计如此",缺陷明细!$AA$2:$AA$50000,"&lt;&gt;重复Bug")+COUNTIFS(缺陷明细!$A$2:$A$50000,$B$4,缺陷明细!$G$2:$G$50000,$C31,缺陷明细!$J$2:$J$50000,"系统测试",缺陷明细!$K$2:$K$50000,"严重",缺陷明细!$AA$2:$AA$50000,"&lt;&gt;丢弃",缺陷明细!$AA$2:$AA$50000,"&lt;&gt;设计如此",缺陷明细!$AA$2:$AA$50000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COUNTIFS(缺陷明细!$A$2:$A$50000,$B$4,缺陷明细!$G$2:$G$50000,$C31,缺陷明细!$J$2:$J$50000,"验收测试",缺陷明细!$AA$2:$AA$50000,"&lt;&gt;丢弃",缺陷明细!$AA$2:$AA$50000,"&lt;&gt;设计如此",缺陷明细!$AA$2:$AA$50000,"&lt;&gt;重复Bug")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A$2:$AA$50000,"&lt;&gt;丢弃",缺陷明细!$AA$2:$AA$50000,"&lt;&gt;设计如此",缺陷明细!$AA$2:$AA$50000,"&lt;&gt;重复Bug")+COUNTIFS(缺陷明细!$A$2:$A$50000,$B$4,缺陷明细!$G$2:$G$50000,$C31,缺陷明细!$J$2:$J$50000,"验收测试",缺陷明细!$K$2:$K$50000,"严重",缺陷明细!$AA$2:$AA$50000,"&lt;&gt;丢弃",缺陷明细!$AA$2:$AA$50000,"&lt;&gt;设计如此",缺陷明细!$AA$2:$AA$50000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COUNTIFS(缺陷明细!$A$2:$A$50000,$B$4,缺陷明细!$G$2:$G$50000,$C31,缺陷明细!$J$2:$J$50000,"运维测试",缺陷明细!$AA$2:$AA$50000,"&lt;&gt;丢弃",缺陷明细!$AA$2:$AA$50000,"&lt;&gt;设计如此",缺陷明细!$AA$2:$AA$50000,"&lt;&gt;重复Bug")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A$2:$AA$50000,"&lt;&gt;丢弃",缺陷明细!$AA$2:$AA$50000,"&lt;&gt;设计如此",缺陷明细!$AA$2:$AA$50000,"&lt;&gt;重复Bug")+COUNTIFS(缺陷明细!$A$2:$A$50000,$B$4,缺陷明细!$G$2:$G$50000,$C31,缺陷明细!$J$2:$J$50000,"运维测试",缺陷明细!$K$2:$K$50000,"严重",缺陷明细!$AA$2:$AA$50000,"&lt;&gt;丢弃",缺陷明细!$AA$2:$AA$50000,"&lt;&gt;设计如此",缺陷明细!$AA$2:$AA$50000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51"/>
    </row>
    <row r="32" spans="1:37">
      <c r="A32">
        <v>28</v>
      </c>
      <c r="B32" s="57"/>
      <c r="C32" s="58"/>
      <c r="D32" s="84"/>
      <c r="E32" s="82"/>
      <c r="F32" s="165"/>
      <c r="G32" s="166"/>
      <c r="H32" s="305">
        <f>COUNTIFS(缺陷明细!$A$2:$A$50000,$B$4,缺陷明细!$G$2:$G$50000,$C32,缺陷明细!$J$2:$J$50000,"评审",缺陷明细!$AA$2:$AA$50000,"&lt;&gt;丢弃",缺陷明细!$AA$2:$AA$50000,"&lt;&gt;设计如此",缺陷明细!$AA$2:$AA$50000,"&lt;&gt;重复Bug")</f>
        <v>0</v>
      </c>
      <c r="I32" s="161">
        <f>COUNTIFS(缺陷明细!$A$2:$A$50000,$B$4,缺陷明细!$G$2:$G$50000,$C32,缺陷明细!$Q$2:$Q$50000,"已关闭",缺陷明细!$J$2:$J$50000,"评审")</f>
        <v>0</v>
      </c>
      <c r="J32" s="161">
        <f>COUNTIFS(缺陷明细!$A$2:$A$50000,$B$4,缺陷明细!$G$2:$G$50000,$C32,缺陷明细!$J$2:$J$50000,"单元测试",缺陷明细!$AA$2:$AA$50000,"&lt;&gt;丢弃",缺陷明细!$AA$2:$AA$50000,"&lt;&gt;设计如此",缺陷明细!$AA$2:$AA$50000,"&lt;&gt;重复Bug")</f>
        <v>0</v>
      </c>
      <c r="K32" s="162">
        <f>COUNTIFS(缺陷明细!$A$2:$A$50000,$B$4,缺陷明细!$G$2:$G$50000,$C32,缺陷明细!$Q$2:$Q$50000,"已关闭",缺陷明细!$J$2:$J$50000,"单元测试")</f>
        <v>0</v>
      </c>
      <c r="L32" s="163"/>
      <c r="M32" s="164"/>
      <c r="N32" s="72">
        <f>COUNTIFS(缺陷明细!$A$2:$A$50000,$B$4,缺陷明细!$G$2:$G$50000,$C32,缺陷明细!$J$2:$J$50000,"系统测试案例评审",缺陷明细!$AA$2:$AA$50000,"&lt;&gt;丢弃",缺陷明细!$AA$2:$AA$50000,"&lt;&gt;设计如此",缺陷明细!$AA$2:$AA$50000,"&lt;&gt;重复Bug")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COUNTIFS(缺陷明细!$A$2:$A$50000,$B$4,缺陷明细!$G$2:$G$50000,$C32,缺陷明细!$J$2:$J$50000,"系统测试",缺陷明细!$AA$2:$AA$50000,"&lt;&gt;丢弃",缺陷明细!$AA$2:$AA$50000,"&lt;&gt;设计如此",缺陷明细!$AA$2:$AA$50000,"&lt;&gt;重复Bug")</f>
        <v>0</v>
      </c>
      <c r="Q32" s="72">
        <f>COUNTIFS(缺陷明细!$A$2:$A$50000,$B$4,缺陷明细!$G$2:$G$50000,$C32,缺陷明细!$Q$2:$Q$50000,"已关闭",缺陷明细!$J$2:$J$50000,"系统测试")</f>
        <v>0</v>
      </c>
      <c r="R32" s="72">
        <f>COUNTIFS(缺陷明细!$A$2:$A$50000,$B$4,缺陷明细!$G$2:$G$50000,$C32,缺陷明细!$AA$2:$AA$50000,"丢弃",缺陷明细!$J$2:$J$50000,"系统测试")+COUNTIFS(缺陷明细!$A$2:$A$50000,$B$4,缺陷明细!$G$2:$G$50000,$C32,缺陷明细!$AA$2:$AA$50000,"设计如此",缺陷明细!$J$2:$J$50000,"系统测试"+COUNTIFS(缺陷明细!$A$2:$A$50000,$B$4,缺陷明细!$G$2:$G$50000,$C32,缺陷明细!$AA$2:$AA$50000,"重复Bug",缺陷明细!$J$2:$J$50000,"系统测试"))</f>
        <v>0</v>
      </c>
      <c r="S32" s="72">
        <f>COUNTIFS(缺陷明细!$A$2:$A$50000,$B$4,缺陷明细!$G$2:$G$50000,$C32,缺陷明细!$J$2:$J$50000,"系统测试",缺陷明细!$K$2:$K$50000,"致命",缺陷明细!$AA$2:$AA$50000,"&lt;&gt;丢弃",缺陷明细!$AA$2:$AA$50000,"&lt;&gt;设计如此",缺陷明细!$AA$2:$AA$50000,"&lt;&gt;重复Bug")+COUNTIFS(缺陷明细!$A$2:$A$50000,$B$4,缺陷明细!$G$2:$G$50000,$C32,缺陷明细!$J$2:$J$50000,"系统测试",缺陷明细!$K$2:$K$50000,"严重",缺陷明细!$AA$2:$AA$50000,"&lt;&gt;丢弃",缺陷明细!$AA$2:$AA$50000,"&lt;&gt;设计如此",缺陷明细!$AA$2:$AA$50000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COUNTIFS(缺陷明细!$A$2:$A$50000,$B$4,缺陷明细!$G$2:$G$50000,$C32,缺陷明细!$J$2:$J$50000,"验收测试",缺陷明细!$AA$2:$AA$50000,"&lt;&gt;丢弃",缺陷明细!$AA$2:$AA$50000,"&lt;&gt;设计如此",缺陷明细!$AA$2:$AA$50000,"&lt;&gt;重复Bug")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A$2:$AA$50000,"&lt;&gt;丢弃",缺陷明细!$AA$2:$AA$50000,"&lt;&gt;设计如此",缺陷明细!$AA$2:$AA$50000,"&lt;&gt;重复Bug")+COUNTIFS(缺陷明细!$A$2:$A$50000,$B$4,缺陷明细!$G$2:$G$50000,$C32,缺陷明细!$J$2:$J$50000,"验收测试",缺陷明细!$K$2:$K$50000,"严重",缺陷明细!$AA$2:$AA$50000,"&lt;&gt;丢弃",缺陷明细!$AA$2:$AA$50000,"&lt;&gt;设计如此",缺陷明细!$AA$2:$AA$50000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COUNTIFS(缺陷明细!$A$2:$A$50000,$B$4,缺陷明细!$G$2:$G$50000,$C32,缺陷明细!$J$2:$J$50000,"运维测试",缺陷明细!$AA$2:$AA$50000,"&lt;&gt;丢弃",缺陷明细!$AA$2:$AA$50000,"&lt;&gt;设计如此",缺陷明细!$AA$2:$AA$50000,"&lt;&gt;重复Bug")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A$2:$AA$50000,"&lt;&gt;丢弃",缺陷明细!$AA$2:$AA$50000,"&lt;&gt;设计如此",缺陷明细!$AA$2:$AA$50000,"&lt;&gt;重复Bug")+COUNTIFS(缺陷明细!$A$2:$A$50000,$B$4,缺陷明细!$G$2:$G$50000,$C32,缺陷明细!$J$2:$J$50000,"运维测试",缺陷明细!$K$2:$K$50000,"严重",缺陷明细!$AA$2:$AA$50000,"&lt;&gt;丢弃",缺陷明细!$AA$2:$AA$50000,"&lt;&gt;设计如此",缺陷明细!$AA$2:$AA$50000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51"/>
    </row>
    <row r="33" spans="1:37">
      <c r="A33">
        <v>29</v>
      </c>
      <c r="B33" s="57"/>
      <c r="C33" s="58"/>
      <c r="D33" s="84"/>
      <c r="E33" s="82"/>
      <c r="F33" s="165"/>
      <c r="G33" s="166"/>
      <c r="H33" s="305">
        <f>COUNTIFS(缺陷明细!$A$2:$A$50000,$B$4,缺陷明细!$G$2:$G$50000,$C33,缺陷明细!$J$2:$J$50000,"评审",缺陷明细!$AA$2:$AA$50000,"&lt;&gt;丢弃",缺陷明细!$AA$2:$AA$50000,"&lt;&gt;设计如此",缺陷明细!$AA$2:$AA$50000,"&lt;&gt;重复Bug")</f>
        <v>0</v>
      </c>
      <c r="I33" s="161">
        <f>COUNTIFS(缺陷明细!$A$2:$A$50000,$B$4,缺陷明细!$G$2:$G$50000,$C33,缺陷明细!$Q$2:$Q$50000,"已关闭",缺陷明细!$J$2:$J$50000,"评审")</f>
        <v>0</v>
      </c>
      <c r="J33" s="161">
        <f>COUNTIFS(缺陷明细!$A$2:$A$50000,$B$4,缺陷明细!$G$2:$G$50000,$C33,缺陷明细!$J$2:$J$50000,"单元测试",缺陷明细!$AA$2:$AA$50000,"&lt;&gt;丢弃",缺陷明细!$AA$2:$AA$50000,"&lt;&gt;设计如此",缺陷明细!$AA$2:$AA$50000,"&lt;&gt;重复Bug")</f>
        <v>0</v>
      </c>
      <c r="K33" s="162">
        <f>COUNTIFS(缺陷明细!$A$2:$A$50000,$B$4,缺陷明细!$G$2:$G$50000,$C33,缺陷明细!$Q$2:$Q$50000,"已关闭",缺陷明细!$J$2:$J$50000,"单元测试")</f>
        <v>0</v>
      </c>
      <c r="L33" s="163"/>
      <c r="M33" s="164"/>
      <c r="N33" s="72">
        <f>COUNTIFS(缺陷明细!$A$2:$A$50000,$B$4,缺陷明细!$G$2:$G$50000,$C33,缺陷明细!$J$2:$J$50000,"系统测试案例评审",缺陷明细!$AA$2:$AA$50000,"&lt;&gt;丢弃",缺陷明细!$AA$2:$AA$50000,"&lt;&gt;设计如此",缺陷明细!$AA$2:$AA$50000,"&lt;&gt;重复Bug")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COUNTIFS(缺陷明细!$A$2:$A$50000,$B$4,缺陷明细!$G$2:$G$50000,$C33,缺陷明细!$J$2:$J$50000,"系统测试",缺陷明细!$AA$2:$AA$50000,"&lt;&gt;丢弃",缺陷明细!$AA$2:$AA$50000,"&lt;&gt;设计如此",缺陷明细!$AA$2:$AA$50000,"&lt;&gt;重复Bug")</f>
        <v>0</v>
      </c>
      <c r="Q33" s="72">
        <f>COUNTIFS(缺陷明细!$A$2:$A$50000,$B$4,缺陷明细!$G$2:$G$50000,$C33,缺陷明细!$Q$2:$Q$50000,"已关闭",缺陷明细!$J$2:$J$50000,"系统测试")</f>
        <v>0</v>
      </c>
      <c r="R33" s="72">
        <f>COUNTIFS(缺陷明细!$A$2:$A$50000,$B$4,缺陷明细!$G$2:$G$50000,$C33,缺陷明细!$AA$2:$AA$50000,"丢弃",缺陷明细!$J$2:$J$50000,"系统测试")+COUNTIFS(缺陷明细!$A$2:$A$50000,$B$4,缺陷明细!$G$2:$G$50000,$C33,缺陷明细!$AA$2:$AA$50000,"设计如此",缺陷明细!$J$2:$J$50000,"系统测试"+COUNTIFS(缺陷明细!$A$2:$A$50000,$B$4,缺陷明细!$G$2:$G$50000,$C33,缺陷明细!$AA$2:$AA$50000,"重复Bug",缺陷明细!$J$2:$J$50000,"系统测试"))</f>
        <v>0</v>
      </c>
      <c r="S33" s="72">
        <f>COUNTIFS(缺陷明细!$A$2:$A$50000,$B$4,缺陷明细!$G$2:$G$50000,$C33,缺陷明细!$J$2:$J$50000,"系统测试",缺陷明细!$K$2:$K$50000,"致命",缺陷明细!$AA$2:$AA$50000,"&lt;&gt;丢弃",缺陷明细!$AA$2:$AA$50000,"&lt;&gt;设计如此",缺陷明细!$AA$2:$AA$50000,"&lt;&gt;重复Bug")+COUNTIFS(缺陷明细!$A$2:$A$50000,$B$4,缺陷明细!$G$2:$G$50000,$C33,缺陷明细!$J$2:$J$50000,"系统测试",缺陷明细!$K$2:$K$50000,"严重",缺陷明细!$AA$2:$AA$50000,"&lt;&gt;丢弃",缺陷明细!$AA$2:$AA$50000,"&lt;&gt;设计如此",缺陷明细!$AA$2:$AA$50000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COUNTIFS(缺陷明细!$A$2:$A$50000,$B$4,缺陷明细!$G$2:$G$50000,$C33,缺陷明细!$J$2:$J$50000,"验收测试",缺陷明细!$AA$2:$AA$50000,"&lt;&gt;丢弃",缺陷明细!$AA$2:$AA$50000,"&lt;&gt;设计如此",缺陷明细!$AA$2:$AA$50000,"&lt;&gt;重复Bug")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A$2:$AA$50000,"&lt;&gt;丢弃",缺陷明细!$AA$2:$AA$50000,"&lt;&gt;设计如此",缺陷明细!$AA$2:$AA$50000,"&lt;&gt;重复Bug")+COUNTIFS(缺陷明细!$A$2:$A$50000,$B$4,缺陷明细!$G$2:$G$50000,$C33,缺陷明细!$J$2:$J$50000,"验收测试",缺陷明细!$K$2:$K$50000,"严重",缺陷明细!$AA$2:$AA$50000,"&lt;&gt;丢弃",缺陷明细!$AA$2:$AA$50000,"&lt;&gt;设计如此",缺陷明细!$AA$2:$AA$50000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COUNTIFS(缺陷明细!$A$2:$A$50000,$B$4,缺陷明细!$G$2:$G$50000,$C33,缺陷明细!$J$2:$J$50000,"运维测试",缺陷明细!$AA$2:$AA$50000,"&lt;&gt;丢弃",缺陷明细!$AA$2:$AA$50000,"&lt;&gt;设计如此",缺陷明细!$AA$2:$AA$50000,"&lt;&gt;重复Bug")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A$2:$AA$50000,"&lt;&gt;丢弃",缺陷明细!$AA$2:$AA$50000,"&lt;&gt;设计如此",缺陷明细!$AA$2:$AA$50000,"&lt;&gt;重复Bug")+COUNTIFS(缺陷明细!$A$2:$A$50000,$B$4,缺陷明细!$G$2:$G$50000,$C33,缺陷明细!$J$2:$J$50000,"运维测试",缺陷明细!$K$2:$K$50000,"严重",缺陷明细!$AA$2:$AA$50000,"&lt;&gt;丢弃",缺陷明细!$AA$2:$AA$50000,"&lt;&gt;设计如此",缺陷明细!$AA$2:$AA$50000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51"/>
    </row>
    <row r="34" spans="1:37">
      <c r="A34">
        <v>30</v>
      </c>
      <c r="B34" s="57"/>
      <c r="C34" s="58"/>
      <c r="D34" s="84"/>
      <c r="E34" s="82"/>
      <c r="F34" s="165"/>
      <c r="G34" s="166"/>
      <c r="H34" s="305">
        <f>COUNTIFS(缺陷明细!$A$2:$A$50000,$B$4,缺陷明细!$G$2:$G$50000,$C34,缺陷明细!$J$2:$J$50000,"评审",缺陷明细!$AA$2:$AA$50000,"&lt;&gt;丢弃",缺陷明细!$AA$2:$AA$50000,"&lt;&gt;设计如此",缺陷明细!$AA$2:$AA$50000,"&lt;&gt;重复Bug")</f>
        <v>0</v>
      </c>
      <c r="I34" s="161">
        <f>COUNTIFS(缺陷明细!$A$2:$A$50000,$B$4,缺陷明细!$G$2:$G$50000,$C34,缺陷明细!$Q$2:$Q$50000,"已关闭",缺陷明细!$J$2:$J$50000,"评审")</f>
        <v>0</v>
      </c>
      <c r="J34" s="161">
        <f>COUNTIFS(缺陷明细!$A$2:$A$50000,$B$4,缺陷明细!$G$2:$G$50000,$C34,缺陷明细!$J$2:$J$50000,"单元测试",缺陷明细!$AA$2:$AA$50000,"&lt;&gt;丢弃",缺陷明细!$AA$2:$AA$50000,"&lt;&gt;设计如此",缺陷明细!$AA$2:$AA$50000,"&lt;&gt;重复Bug")</f>
        <v>0</v>
      </c>
      <c r="K34" s="162">
        <f>COUNTIFS(缺陷明细!$A$2:$A$50000,$B$4,缺陷明细!$G$2:$G$50000,$C34,缺陷明细!$Q$2:$Q$50000,"已关闭",缺陷明细!$J$2:$J$50000,"单元测试")</f>
        <v>0</v>
      </c>
      <c r="L34" s="163"/>
      <c r="M34" s="164"/>
      <c r="N34" s="72">
        <f>COUNTIFS(缺陷明细!$A$2:$A$50000,$B$4,缺陷明细!$G$2:$G$50000,$C34,缺陷明细!$J$2:$J$50000,"系统测试案例评审",缺陷明细!$AA$2:$AA$50000,"&lt;&gt;丢弃",缺陷明细!$AA$2:$AA$50000,"&lt;&gt;设计如此",缺陷明细!$AA$2:$AA$50000,"&lt;&gt;重复Bug")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COUNTIFS(缺陷明细!$A$2:$A$50000,$B$4,缺陷明细!$G$2:$G$50000,$C34,缺陷明细!$J$2:$J$50000,"系统测试",缺陷明细!$AA$2:$AA$50000,"&lt;&gt;丢弃",缺陷明细!$AA$2:$AA$50000,"&lt;&gt;设计如此",缺陷明细!$AA$2:$AA$50000,"&lt;&gt;重复Bug")</f>
        <v>0</v>
      </c>
      <c r="Q34" s="72">
        <f>COUNTIFS(缺陷明细!$A$2:$A$50000,$B$4,缺陷明细!$G$2:$G$50000,$C34,缺陷明细!$Q$2:$Q$50000,"已关闭",缺陷明细!$J$2:$J$50000,"系统测试")</f>
        <v>0</v>
      </c>
      <c r="R34" s="72">
        <f>COUNTIFS(缺陷明细!$A$2:$A$50000,$B$4,缺陷明细!$G$2:$G$50000,$C34,缺陷明细!$AA$2:$AA$50000,"丢弃",缺陷明细!$J$2:$J$50000,"系统测试")+COUNTIFS(缺陷明细!$A$2:$A$50000,$B$4,缺陷明细!$G$2:$G$50000,$C34,缺陷明细!$AA$2:$AA$50000,"设计如此",缺陷明细!$J$2:$J$50000,"系统测试"+COUNTIFS(缺陷明细!$A$2:$A$50000,$B$4,缺陷明细!$G$2:$G$50000,$C34,缺陷明细!$AA$2:$AA$50000,"重复Bug",缺陷明细!$J$2:$J$50000,"系统测试"))</f>
        <v>0</v>
      </c>
      <c r="S34" s="72">
        <f>COUNTIFS(缺陷明细!$A$2:$A$50000,$B$4,缺陷明细!$G$2:$G$50000,$C34,缺陷明细!$J$2:$J$50000,"系统测试",缺陷明细!$K$2:$K$50000,"致命",缺陷明细!$AA$2:$AA$50000,"&lt;&gt;丢弃",缺陷明细!$AA$2:$AA$50000,"&lt;&gt;设计如此",缺陷明细!$AA$2:$AA$50000,"&lt;&gt;重复Bug")+COUNTIFS(缺陷明细!$A$2:$A$50000,$B$4,缺陷明细!$G$2:$G$50000,$C34,缺陷明细!$J$2:$J$50000,"系统测试",缺陷明细!$K$2:$K$50000,"严重",缺陷明细!$AA$2:$AA$50000,"&lt;&gt;丢弃",缺陷明细!$AA$2:$AA$50000,"&lt;&gt;设计如此",缺陷明细!$AA$2:$AA$50000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COUNTIFS(缺陷明细!$A$2:$A$50000,$B$4,缺陷明细!$G$2:$G$50000,$C34,缺陷明细!$J$2:$J$50000,"验收测试",缺陷明细!$AA$2:$AA$50000,"&lt;&gt;丢弃",缺陷明细!$AA$2:$AA$50000,"&lt;&gt;设计如此",缺陷明细!$AA$2:$AA$50000,"&lt;&gt;重复Bug")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A$2:$AA$50000,"&lt;&gt;丢弃",缺陷明细!$AA$2:$AA$50000,"&lt;&gt;设计如此",缺陷明细!$AA$2:$AA$50000,"&lt;&gt;重复Bug")+COUNTIFS(缺陷明细!$A$2:$A$50000,$B$4,缺陷明细!$G$2:$G$50000,$C34,缺陷明细!$J$2:$J$50000,"验收测试",缺陷明细!$K$2:$K$50000,"严重",缺陷明细!$AA$2:$AA$50000,"&lt;&gt;丢弃",缺陷明细!$AA$2:$AA$50000,"&lt;&gt;设计如此",缺陷明细!$AA$2:$AA$50000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COUNTIFS(缺陷明细!$A$2:$A$50000,$B$4,缺陷明细!$G$2:$G$50000,$C34,缺陷明细!$J$2:$J$50000,"运维测试",缺陷明细!$AA$2:$AA$50000,"&lt;&gt;丢弃",缺陷明细!$AA$2:$AA$50000,"&lt;&gt;设计如此",缺陷明细!$AA$2:$AA$50000,"&lt;&gt;重复Bug")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A$2:$AA$50000,"&lt;&gt;丢弃",缺陷明细!$AA$2:$AA$50000,"&lt;&gt;设计如此",缺陷明细!$AA$2:$AA$50000,"&lt;&gt;重复Bug")+COUNTIFS(缺陷明细!$A$2:$A$50000,$B$4,缺陷明细!$G$2:$G$50000,$C34,缺陷明细!$J$2:$J$50000,"运维测试",缺陷明细!$K$2:$K$50000,"严重",缺陷明细!$AA$2:$AA$50000,"&lt;&gt;丢弃",缺陷明细!$AA$2:$AA$50000,"&lt;&gt;设计如此",缺陷明细!$AA$2:$AA$50000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51"/>
    </row>
    <row r="35" spans="1:37">
      <c r="A35">
        <v>31</v>
      </c>
      <c r="B35" s="57"/>
      <c r="C35" s="58"/>
      <c r="D35" s="84"/>
      <c r="E35" s="82"/>
      <c r="F35" s="165"/>
      <c r="G35" s="166"/>
      <c r="H35" s="305">
        <f>COUNTIFS(缺陷明细!$A$2:$A$50000,$B$4,缺陷明细!$G$2:$G$50000,$C35,缺陷明细!$J$2:$J$50000,"评审",缺陷明细!$AA$2:$AA$50000,"&lt;&gt;丢弃",缺陷明细!$AA$2:$AA$50000,"&lt;&gt;设计如此",缺陷明细!$AA$2:$AA$50000,"&lt;&gt;重复Bug")</f>
        <v>0</v>
      </c>
      <c r="I35" s="161">
        <f>COUNTIFS(缺陷明细!$A$2:$A$50000,$B$4,缺陷明细!$G$2:$G$50000,$C35,缺陷明细!$Q$2:$Q$50000,"已关闭",缺陷明细!$J$2:$J$50000,"评审")</f>
        <v>0</v>
      </c>
      <c r="J35" s="161">
        <f>COUNTIFS(缺陷明细!$A$2:$A$50000,$B$4,缺陷明细!$G$2:$G$50000,$C35,缺陷明细!$J$2:$J$50000,"单元测试",缺陷明细!$AA$2:$AA$50000,"&lt;&gt;丢弃",缺陷明细!$AA$2:$AA$50000,"&lt;&gt;设计如此",缺陷明细!$AA$2:$AA$50000,"&lt;&gt;重复Bug")</f>
        <v>0</v>
      </c>
      <c r="K35" s="162">
        <f>COUNTIFS(缺陷明细!$A$2:$A$50000,$B$4,缺陷明细!$G$2:$G$50000,$C35,缺陷明细!$Q$2:$Q$50000,"已关闭",缺陷明细!$J$2:$J$50000,"单元测试")</f>
        <v>0</v>
      </c>
      <c r="L35" s="163"/>
      <c r="M35" s="164"/>
      <c r="N35" s="72">
        <f>COUNTIFS(缺陷明细!$A$2:$A$50000,$B$4,缺陷明细!$G$2:$G$50000,$C35,缺陷明细!$J$2:$J$50000,"系统测试案例评审",缺陷明细!$AA$2:$AA$50000,"&lt;&gt;丢弃",缺陷明细!$AA$2:$AA$50000,"&lt;&gt;设计如此",缺陷明细!$AA$2:$AA$50000,"&lt;&gt;重复Bug")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COUNTIFS(缺陷明细!$A$2:$A$50000,$B$4,缺陷明细!$G$2:$G$50000,$C35,缺陷明细!$J$2:$J$50000,"系统测试",缺陷明细!$AA$2:$AA$50000,"&lt;&gt;丢弃",缺陷明细!$AA$2:$AA$50000,"&lt;&gt;设计如此",缺陷明细!$AA$2:$AA$50000,"&lt;&gt;重复Bug")</f>
        <v>0</v>
      </c>
      <c r="Q35" s="72">
        <f>COUNTIFS(缺陷明细!$A$2:$A$50000,$B$4,缺陷明细!$G$2:$G$50000,$C35,缺陷明细!$Q$2:$Q$50000,"已关闭",缺陷明细!$J$2:$J$50000,"系统测试")</f>
        <v>0</v>
      </c>
      <c r="R35" s="72">
        <f>COUNTIFS(缺陷明细!$A$2:$A$50000,$B$4,缺陷明细!$G$2:$G$50000,$C35,缺陷明细!$AA$2:$AA$50000,"丢弃",缺陷明细!$J$2:$J$50000,"系统测试")+COUNTIFS(缺陷明细!$A$2:$A$50000,$B$4,缺陷明细!$G$2:$G$50000,$C35,缺陷明细!$AA$2:$AA$50000,"设计如此",缺陷明细!$J$2:$J$50000,"系统测试"+COUNTIFS(缺陷明细!$A$2:$A$50000,$B$4,缺陷明细!$G$2:$G$50000,$C35,缺陷明细!$AA$2:$AA$50000,"重复Bug",缺陷明细!$J$2:$J$50000,"系统测试"))</f>
        <v>0</v>
      </c>
      <c r="S35" s="72">
        <f>COUNTIFS(缺陷明细!$A$2:$A$50000,$B$4,缺陷明细!$G$2:$G$50000,$C35,缺陷明细!$J$2:$J$50000,"系统测试",缺陷明细!$K$2:$K$50000,"致命",缺陷明细!$AA$2:$AA$50000,"&lt;&gt;丢弃",缺陷明细!$AA$2:$AA$50000,"&lt;&gt;设计如此",缺陷明细!$AA$2:$AA$50000,"&lt;&gt;重复Bug")+COUNTIFS(缺陷明细!$A$2:$A$50000,$B$4,缺陷明细!$G$2:$G$50000,$C35,缺陷明细!$J$2:$J$50000,"系统测试",缺陷明细!$K$2:$K$50000,"严重",缺陷明细!$AA$2:$AA$50000,"&lt;&gt;丢弃",缺陷明细!$AA$2:$AA$50000,"&lt;&gt;设计如此",缺陷明细!$AA$2:$AA$50000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COUNTIFS(缺陷明细!$A$2:$A$50000,$B$4,缺陷明细!$G$2:$G$50000,$C35,缺陷明细!$J$2:$J$50000,"验收测试",缺陷明细!$AA$2:$AA$50000,"&lt;&gt;丢弃",缺陷明细!$AA$2:$AA$50000,"&lt;&gt;设计如此",缺陷明细!$AA$2:$AA$50000,"&lt;&gt;重复Bug")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A$2:$AA$50000,"&lt;&gt;丢弃",缺陷明细!$AA$2:$AA$50000,"&lt;&gt;设计如此",缺陷明细!$AA$2:$AA$50000,"&lt;&gt;重复Bug")+COUNTIFS(缺陷明细!$A$2:$A$50000,$B$4,缺陷明细!$G$2:$G$50000,$C35,缺陷明细!$J$2:$J$50000,"验收测试",缺陷明细!$K$2:$K$50000,"严重",缺陷明细!$AA$2:$AA$50000,"&lt;&gt;丢弃",缺陷明细!$AA$2:$AA$50000,"&lt;&gt;设计如此",缺陷明细!$AA$2:$AA$50000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COUNTIFS(缺陷明细!$A$2:$A$50000,$B$4,缺陷明细!$G$2:$G$50000,$C35,缺陷明细!$J$2:$J$50000,"运维测试",缺陷明细!$AA$2:$AA$50000,"&lt;&gt;丢弃",缺陷明细!$AA$2:$AA$50000,"&lt;&gt;设计如此",缺陷明细!$AA$2:$AA$50000,"&lt;&gt;重复Bug")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A$2:$AA$50000,"&lt;&gt;丢弃",缺陷明细!$AA$2:$AA$50000,"&lt;&gt;设计如此",缺陷明细!$AA$2:$AA$50000,"&lt;&gt;重复Bug")+COUNTIFS(缺陷明细!$A$2:$A$50000,$B$4,缺陷明细!$G$2:$G$50000,$C35,缺陷明细!$J$2:$J$50000,"运维测试",缺陷明细!$K$2:$K$50000,"严重",缺陷明细!$AA$2:$AA$50000,"&lt;&gt;丢弃",缺陷明细!$AA$2:$AA$50000,"&lt;&gt;设计如此",缺陷明细!$AA$2:$AA$50000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51"/>
    </row>
    <row r="36" spans="1:37">
      <c r="A36">
        <v>32</v>
      </c>
      <c r="B36" s="57"/>
      <c r="C36" s="58"/>
      <c r="D36" s="84"/>
      <c r="E36" s="82"/>
      <c r="F36" s="165"/>
      <c r="G36" s="166"/>
      <c r="H36" s="305">
        <f>COUNTIFS(缺陷明细!$A$2:$A$50000,$B$4,缺陷明细!$G$2:$G$50000,$C36,缺陷明细!$J$2:$J$50000,"评审",缺陷明细!$AA$2:$AA$50000,"&lt;&gt;丢弃",缺陷明细!$AA$2:$AA$50000,"&lt;&gt;设计如此",缺陷明细!$AA$2:$AA$50000,"&lt;&gt;重复Bug")</f>
        <v>0</v>
      </c>
      <c r="I36" s="161">
        <f>COUNTIFS(缺陷明细!$A$2:$A$50000,$B$4,缺陷明细!$G$2:$G$50000,$C36,缺陷明细!$Q$2:$Q$50000,"已关闭",缺陷明细!$J$2:$J$50000,"评审")</f>
        <v>0</v>
      </c>
      <c r="J36" s="161">
        <f>COUNTIFS(缺陷明细!$A$2:$A$50000,$B$4,缺陷明细!$G$2:$G$50000,$C36,缺陷明细!$J$2:$J$50000,"单元测试",缺陷明细!$AA$2:$AA$50000,"&lt;&gt;丢弃",缺陷明细!$AA$2:$AA$50000,"&lt;&gt;设计如此",缺陷明细!$AA$2:$AA$50000,"&lt;&gt;重复Bug")</f>
        <v>0</v>
      </c>
      <c r="K36" s="162">
        <f>COUNTIFS(缺陷明细!$A$2:$A$50000,$B$4,缺陷明细!$G$2:$G$50000,$C36,缺陷明细!$Q$2:$Q$50000,"已关闭",缺陷明细!$J$2:$J$50000,"单元测试")</f>
        <v>0</v>
      </c>
      <c r="L36" s="163"/>
      <c r="M36" s="164"/>
      <c r="N36" s="72">
        <f>COUNTIFS(缺陷明细!$A$2:$A$50000,$B$4,缺陷明细!$G$2:$G$50000,$C36,缺陷明细!$J$2:$J$50000,"系统测试案例评审",缺陷明细!$AA$2:$AA$50000,"&lt;&gt;丢弃",缺陷明细!$AA$2:$AA$50000,"&lt;&gt;设计如此",缺陷明细!$AA$2:$AA$50000,"&lt;&gt;重复Bug")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COUNTIFS(缺陷明细!$A$2:$A$50000,$B$4,缺陷明细!$G$2:$G$50000,$C36,缺陷明细!$J$2:$J$50000,"系统测试",缺陷明细!$AA$2:$AA$50000,"&lt;&gt;丢弃",缺陷明细!$AA$2:$AA$50000,"&lt;&gt;设计如此",缺陷明细!$AA$2:$AA$50000,"&lt;&gt;重复Bug")</f>
        <v>0</v>
      </c>
      <c r="Q36" s="72">
        <f>COUNTIFS(缺陷明细!$A$2:$A$50000,$B$4,缺陷明细!$G$2:$G$50000,$C36,缺陷明细!$Q$2:$Q$50000,"已关闭",缺陷明细!$J$2:$J$50000,"系统测试")</f>
        <v>0</v>
      </c>
      <c r="R36" s="72">
        <f>COUNTIFS(缺陷明细!$A$2:$A$50000,$B$4,缺陷明细!$G$2:$G$50000,$C36,缺陷明细!$AA$2:$AA$50000,"丢弃",缺陷明细!$J$2:$J$50000,"系统测试")+COUNTIFS(缺陷明细!$A$2:$A$50000,$B$4,缺陷明细!$G$2:$G$50000,$C36,缺陷明细!$AA$2:$AA$50000,"设计如此",缺陷明细!$J$2:$J$50000,"系统测试"+COUNTIFS(缺陷明细!$A$2:$A$50000,$B$4,缺陷明细!$G$2:$G$50000,$C36,缺陷明细!$AA$2:$AA$50000,"重复Bug",缺陷明细!$J$2:$J$50000,"系统测试"))</f>
        <v>0</v>
      </c>
      <c r="S36" s="72">
        <f>COUNTIFS(缺陷明细!$A$2:$A$50000,$B$4,缺陷明细!$G$2:$G$50000,$C36,缺陷明细!$J$2:$J$50000,"系统测试",缺陷明细!$K$2:$K$50000,"致命",缺陷明细!$AA$2:$AA$50000,"&lt;&gt;丢弃",缺陷明细!$AA$2:$AA$50000,"&lt;&gt;设计如此",缺陷明细!$AA$2:$AA$50000,"&lt;&gt;重复Bug")+COUNTIFS(缺陷明细!$A$2:$A$50000,$B$4,缺陷明细!$G$2:$G$50000,$C36,缺陷明细!$J$2:$J$50000,"系统测试",缺陷明细!$K$2:$K$50000,"严重",缺陷明细!$AA$2:$AA$50000,"&lt;&gt;丢弃",缺陷明细!$AA$2:$AA$50000,"&lt;&gt;设计如此",缺陷明细!$AA$2:$AA$50000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COUNTIFS(缺陷明细!$A$2:$A$50000,$B$4,缺陷明细!$G$2:$G$50000,$C36,缺陷明细!$J$2:$J$50000,"验收测试",缺陷明细!$AA$2:$AA$50000,"&lt;&gt;丢弃",缺陷明细!$AA$2:$AA$50000,"&lt;&gt;设计如此",缺陷明细!$AA$2:$AA$50000,"&lt;&gt;重复Bug")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A$2:$AA$50000,"&lt;&gt;丢弃",缺陷明细!$AA$2:$AA$50000,"&lt;&gt;设计如此",缺陷明细!$AA$2:$AA$50000,"&lt;&gt;重复Bug")+COUNTIFS(缺陷明细!$A$2:$A$50000,$B$4,缺陷明细!$G$2:$G$50000,$C36,缺陷明细!$J$2:$J$50000,"验收测试",缺陷明细!$K$2:$K$50000,"严重",缺陷明细!$AA$2:$AA$50000,"&lt;&gt;丢弃",缺陷明细!$AA$2:$AA$50000,"&lt;&gt;设计如此",缺陷明细!$AA$2:$AA$50000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COUNTIFS(缺陷明细!$A$2:$A$50000,$B$4,缺陷明细!$G$2:$G$50000,$C36,缺陷明细!$J$2:$J$50000,"运维测试",缺陷明细!$AA$2:$AA$50000,"&lt;&gt;丢弃",缺陷明细!$AA$2:$AA$50000,"&lt;&gt;设计如此",缺陷明细!$AA$2:$AA$50000,"&lt;&gt;重复Bug")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A$2:$AA$50000,"&lt;&gt;丢弃",缺陷明细!$AA$2:$AA$50000,"&lt;&gt;设计如此",缺陷明细!$AA$2:$AA$50000,"&lt;&gt;重复Bug")+COUNTIFS(缺陷明细!$A$2:$A$50000,$B$4,缺陷明细!$G$2:$G$50000,$C36,缺陷明细!$J$2:$J$50000,"运维测试",缺陷明细!$K$2:$K$50000,"严重",缺陷明细!$AA$2:$AA$50000,"&lt;&gt;丢弃",缺陷明细!$AA$2:$AA$50000,"&lt;&gt;设计如此",缺陷明细!$AA$2:$AA$50000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51"/>
    </row>
    <row r="37" spans="1:37">
      <c r="A37">
        <v>33</v>
      </c>
      <c r="B37" s="57"/>
      <c r="C37" s="58"/>
      <c r="D37" s="84"/>
      <c r="E37" s="82"/>
      <c r="F37" s="165"/>
      <c r="G37" s="166"/>
      <c r="H37" s="305">
        <f>COUNTIFS(缺陷明细!$A$2:$A$50000,$B$4,缺陷明细!$G$2:$G$50000,$C37,缺陷明细!$J$2:$J$50000,"评审",缺陷明细!$AA$2:$AA$50000,"&lt;&gt;丢弃",缺陷明细!$AA$2:$AA$50000,"&lt;&gt;设计如此",缺陷明细!$AA$2:$AA$50000,"&lt;&gt;重复Bug")</f>
        <v>0</v>
      </c>
      <c r="I37" s="161">
        <f>COUNTIFS(缺陷明细!$A$2:$A$50000,$B$4,缺陷明细!$G$2:$G$50000,$C37,缺陷明细!$Q$2:$Q$50000,"已关闭",缺陷明细!$J$2:$J$50000,"评审")</f>
        <v>0</v>
      </c>
      <c r="J37" s="161">
        <f>COUNTIFS(缺陷明细!$A$2:$A$50000,$B$4,缺陷明细!$G$2:$G$50000,$C37,缺陷明细!$J$2:$J$50000,"单元测试",缺陷明细!$AA$2:$AA$50000,"&lt;&gt;丢弃",缺陷明细!$AA$2:$AA$50000,"&lt;&gt;设计如此",缺陷明细!$AA$2:$AA$50000,"&lt;&gt;重复Bug")</f>
        <v>0</v>
      </c>
      <c r="K37" s="162">
        <f>COUNTIFS(缺陷明细!$A$2:$A$50000,$B$4,缺陷明细!$G$2:$G$50000,$C37,缺陷明细!$Q$2:$Q$50000,"已关闭",缺陷明细!$J$2:$J$50000,"单元测试")</f>
        <v>0</v>
      </c>
      <c r="L37" s="163"/>
      <c r="M37" s="164"/>
      <c r="N37" s="72">
        <f>COUNTIFS(缺陷明细!$A$2:$A$50000,$B$4,缺陷明细!$G$2:$G$50000,$C37,缺陷明细!$J$2:$J$50000,"系统测试案例评审",缺陷明细!$AA$2:$AA$50000,"&lt;&gt;丢弃",缺陷明细!$AA$2:$AA$50000,"&lt;&gt;设计如此",缺陷明细!$AA$2:$AA$50000,"&lt;&gt;重复Bug")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COUNTIFS(缺陷明细!$A$2:$A$50000,$B$4,缺陷明细!$G$2:$G$50000,$C37,缺陷明细!$J$2:$J$50000,"系统测试",缺陷明细!$AA$2:$AA$50000,"&lt;&gt;丢弃",缺陷明细!$AA$2:$AA$50000,"&lt;&gt;设计如此",缺陷明细!$AA$2:$AA$50000,"&lt;&gt;重复Bug")</f>
        <v>0</v>
      </c>
      <c r="Q37" s="72">
        <f>COUNTIFS(缺陷明细!$A$2:$A$50000,$B$4,缺陷明细!$G$2:$G$50000,$C37,缺陷明细!$Q$2:$Q$50000,"已关闭",缺陷明细!$J$2:$J$50000,"系统测试")</f>
        <v>0</v>
      </c>
      <c r="R37" s="72">
        <f>COUNTIFS(缺陷明细!$A$2:$A$50000,$B$4,缺陷明细!$G$2:$G$50000,$C37,缺陷明细!$AA$2:$AA$50000,"丢弃",缺陷明细!$J$2:$J$50000,"系统测试")+COUNTIFS(缺陷明细!$A$2:$A$50000,$B$4,缺陷明细!$G$2:$G$50000,$C37,缺陷明细!$AA$2:$AA$50000,"设计如此",缺陷明细!$J$2:$J$50000,"系统测试"+COUNTIFS(缺陷明细!$A$2:$A$50000,$B$4,缺陷明细!$G$2:$G$50000,$C37,缺陷明细!$AA$2:$AA$50000,"重复Bug",缺陷明细!$J$2:$J$50000,"系统测试"))</f>
        <v>0</v>
      </c>
      <c r="S37" s="72">
        <f>COUNTIFS(缺陷明细!$A$2:$A$50000,$B$4,缺陷明细!$G$2:$G$50000,$C37,缺陷明细!$J$2:$J$50000,"系统测试",缺陷明细!$K$2:$K$50000,"致命",缺陷明细!$AA$2:$AA$50000,"&lt;&gt;丢弃",缺陷明细!$AA$2:$AA$50000,"&lt;&gt;设计如此",缺陷明细!$AA$2:$AA$50000,"&lt;&gt;重复Bug")+COUNTIFS(缺陷明细!$A$2:$A$50000,$B$4,缺陷明细!$G$2:$G$50000,$C37,缺陷明细!$J$2:$J$50000,"系统测试",缺陷明细!$K$2:$K$50000,"严重",缺陷明细!$AA$2:$AA$50000,"&lt;&gt;丢弃",缺陷明细!$AA$2:$AA$50000,"&lt;&gt;设计如此",缺陷明细!$AA$2:$AA$50000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COUNTIFS(缺陷明细!$A$2:$A$50000,$B$4,缺陷明细!$G$2:$G$50000,$C37,缺陷明细!$J$2:$J$50000,"验收测试",缺陷明细!$AA$2:$AA$50000,"&lt;&gt;丢弃",缺陷明细!$AA$2:$AA$50000,"&lt;&gt;设计如此",缺陷明细!$AA$2:$AA$50000,"&lt;&gt;重复Bug")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A$2:$AA$50000,"&lt;&gt;丢弃",缺陷明细!$AA$2:$AA$50000,"&lt;&gt;设计如此",缺陷明细!$AA$2:$AA$50000,"&lt;&gt;重复Bug")+COUNTIFS(缺陷明细!$A$2:$A$50000,$B$4,缺陷明细!$G$2:$G$50000,$C37,缺陷明细!$J$2:$J$50000,"验收测试",缺陷明细!$K$2:$K$50000,"严重",缺陷明细!$AA$2:$AA$50000,"&lt;&gt;丢弃",缺陷明细!$AA$2:$AA$50000,"&lt;&gt;设计如此",缺陷明细!$AA$2:$AA$50000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COUNTIFS(缺陷明细!$A$2:$A$50000,$B$4,缺陷明细!$G$2:$G$50000,$C37,缺陷明细!$J$2:$J$50000,"运维测试",缺陷明细!$AA$2:$AA$50000,"&lt;&gt;丢弃",缺陷明细!$AA$2:$AA$50000,"&lt;&gt;设计如此",缺陷明细!$AA$2:$AA$50000,"&lt;&gt;重复Bug")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A$2:$AA$50000,"&lt;&gt;丢弃",缺陷明细!$AA$2:$AA$50000,"&lt;&gt;设计如此",缺陷明细!$AA$2:$AA$50000,"&lt;&gt;重复Bug")+COUNTIFS(缺陷明细!$A$2:$A$50000,$B$4,缺陷明细!$G$2:$G$50000,$C37,缺陷明细!$J$2:$J$50000,"运维测试",缺陷明细!$K$2:$K$50000,"严重",缺陷明细!$AA$2:$AA$50000,"&lt;&gt;丢弃",缺陷明细!$AA$2:$AA$50000,"&lt;&gt;设计如此",缺陷明细!$AA$2:$AA$50000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51"/>
    </row>
    <row r="38" spans="1:37">
      <c r="A38">
        <v>34</v>
      </c>
      <c r="B38" s="57"/>
      <c r="C38" s="58"/>
      <c r="D38" s="84"/>
      <c r="E38" s="82"/>
      <c r="F38" s="165"/>
      <c r="G38" s="166"/>
      <c r="H38" s="305">
        <f>COUNTIFS(缺陷明细!$A$2:$A$50000,$B$4,缺陷明细!$G$2:$G$50000,$C38,缺陷明细!$J$2:$J$50000,"评审",缺陷明细!$AA$2:$AA$50000,"&lt;&gt;丢弃",缺陷明细!$AA$2:$AA$50000,"&lt;&gt;设计如此",缺陷明细!$AA$2:$AA$50000,"&lt;&gt;重复Bug")</f>
        <v>0</v>
      </c>
      <c r="I38" s="161">
        <f>COUNTIFS(缺陷明细!$A$2:$A$50000,$B$4,缺陷明细!$G$2:$G$50000,$C38,缺陷明细!$Q$2:$Q$50000,"已关闭",缺陷明细!$J$2:$J$50000,"评审")</f>
        <v>0</v>
      </c>
      <c r="J38" s="161">
        <f>COUNTIFS(缺陷明细!$A$2:$A$50000,$B$4,缺陷明细!$G$2:$G$50000,$C38,缺陷明细!$J$2:$J$50000,"单元测试",缺陷明细!$AA$2:$AA$50000,"&lt;&gt;丢弃",缺陷明细!$AA$2:$AA$50000,"&lt;&gt;设计如此",缺陷明细!$AA$2:$AA$50000,"&lt;&gt;重复Bug")</f>
        <v>0</v>
      </c>
      <c r="K38" s="162">
        <f>COUNTIFS(缺陷明细!$A$2:$A$50000,$B$4,缺陷明细!$G$2:$G$50000,$C38,缺陷明细!$Q$2:$Q$50000,"已关闭",缺陷明细!$J$2:$J$50000,"单元测试")</f>
        <v>0</v>
      </c>
      <c r="L38" s="163"/>
      <c r="M38" s="164"/>
      <c r="N38" s="72">
        <f>COUNTIFS(缺陷明细!$A$2:$A$50000,$B$4,缺陷明细!$G$2:$G$50000,$C38,缺陷明细!$J$2:$J$50000,"系统测试案例评审",缺陷明细!$AA$2:$AA$50000,"&lt;&gt;丢弃",缺陷明细!$AA$2:$AA$50000,"&lt;&gt;设计如此",缺陷明细!$AA$2:$AA$50000,"&lt;&gt;重复Bug")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COUNTIFS(缺陷明细!$A$2:$A$50000,$B$4,缺陷明细!$G$2:$G$50000,$C38,缺陷明细!$J$2:$J$50000,"系统测试",缺陷明细!$AA$2:$AA$50000,"&lt;&gt;丢弃",缺陷明细!$AA$2:$AA$50000,"&lt;&gt;设计如此",缺陷明细!$AA$2:$AA$50000,"&lt;&gt;重复Bug")</f>
        <v>0</v>
      </c>
      <c r="Q38" s="72">
        <f>COUNTIFS(缺陷明细!$A$2:$A$50000,$B$4,缺陷明细!$G$2:$G$50000,$C38,缺陷明细!$Q$2:$Q$50000,"已关闭",缺陷明细!$J$2:$J$50000,"系统测试")</f>
        <v>0</v>
      </c>
      <c r="R38" s="72">
        <f>COUNTIFS(缺陷明细!$A$2:$A$50000,$B$4,缺陷明细!$G$2:$G$50000,$C38,缺陷明细!$AA$2:$AA$50000,"丢弃",缺陷明细!$J$2:$J$50000,"系统测试")+COUNTIFS(缺陷明细!$A$2:$A$50000,$B$4,缺陷明细!$G$2:$G$50000,$C38,缺陷明细!$AA$2:$AA$50000,"设计如此",缺陷明细!$J$2:$J$50000,"系统测试"+COUNTIFS(缺陷明细!$A$2:$A$50000,$B$4,缺陷明细!$G$2:$G$50000,$C38,缺陷明细!$AA$2:$AA$50000,"重复Bug",缺陷明细!$J$2:$J$50000,"系统测试"))</f>
        <v>0</v>
      </c>
      <c r="S38" s="72">
        <f>COUNTIFS(缺陷明细!$A$2:$A$50000,$B$4,缺陷明细!$G$2:$G$50000,$C38,缺陷明细!$J$2:$J$50000,"系统测试",缺陷明细!$K$2:$K$50000,"致命",缺陷明细!$AA$2:$AA$50000,"&lt;&gt;丢弃",缺陷明细!$AA$2:$AA$50000,"&lt;&gt;设计如此",缺陷明细!$AA$2:$AA$50000,"&lt;&gt;重复Bug")+COUNTIFS(缺陷明细!$A$2:$A$50000,$B$4,缺陷明细!$G$2:$G$50000,$C38,缺陷明细!$J$2:$J$50000,"系统测试",缺陷明细!$K$2:$K$50000,"严重",缺陷明细!$AA$2:$AA$50000,"&lt;&gt;丢弃",缺陷明细!$AA$2:$AA$50000,"&lt;&gt;设计如此",缺陷明细!$AA$2:$AA$50000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COUNTIFS(缺陷明细!$A$2:$A$50000,$B$4,缺陷明细!$G$2:$G$50000,$C38,缺陷明细!$J$2:$J$50000,"验收测试",缺陷明细!$AA$2:$AA$50000,"&lt;&gt;丢弃",缺陷明细!$AA$2:$AA$50000,"&lt;&gt;设计如此",缺陷明细!$AA$2:$AA$50000,"&lt;&gt;重复Bug")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A$2:$AA$50000,"&lt;&gt;丢弃",缺陷明细!$AA$2:$AA$50000,"&lt;&gt;设计如此",缺陷明细!$AA$2:$AA$50000,"&lt;&gt;重复Bug")+COUNTIFS(缺陷明细!$A$2:$A$50000,$B$4,缺陷明细!$G$2:$G$50000,$C38,缺陷明细!$J$2:$J$50000,"验收测试",缺陷明细!$K$2:$K$50000,"严重",缺陷明细!$AA$2:$AA$50000,"&lt;&gt;丢弃",缺陷明细!$AA$2:$AA$50000,"&lt;&gt;设计如此",缺陷明细!$AA$2:$AA$50000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COUNTIFS(缺陷明细!$A$2:$A$50000,$B$4,缺陷明细!$G$2:$G$50000,$C38,缺陷明细!$J$2:$J$50000,"运维测试",缺陷明细!$AA$2:$AA$50000,"&lt;&gt;丢弃",缺陷明细!$AA$2:$AA$50000,"&lt;&gt;设计如此",缺陷明细!$AA$2:$AA$50000,"&lt;&gt;重复Bug")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A$2:$AA$50000,"&lt;&gt;丢弃",缺陷明细!$AA$2:$AA$50000,"&lt;&gt;设计如此",缺陷明细!$AA$2:$AA$50000,"&lt;&gt;重复Bug")+COUNTIFS(缺陷明细!$A$2:$A$50000,$B$4,缺陷明细!$G$2:$G$50000,$C38,缺陷明细!$J$2:$J$50000,"运维测试",缺陷明细!$K$2:$K$50000,"严重",缺陷明细!$AA$2:$AA$50000,"&lt;&gt;丢弃",缺陷明细!$AA$2:$AA$50000,"&lt;&gt;设计如此",缺陷明细!$AA$2:$AA$50000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51"/>
    </row>
    <row r="39" spans="1:37">
      <c r="A39">
        <v>35</v>
      </c>
      <c r="B39" s="57"/>
      <c r="C39" s="58"/>
      <c r="D39" s="84"/>
      <c r="E39" s="82"/>
      <c r="F39" s="165"/>
      <c r="G39" s="166"/>
      <c r="H39" s="305">
        <f>COUNTIFS(缺陷明细!$A$2:$A$50000,$B$4,缺陷明细!$G$2:$G$50000,$C39,缺陷明细!$J$2:$J$50000,"评审",缺陷明细!$AA$2:$AA$50000,"&lt;&gt;丢弃",缺陷明细!$AA$2:$AA$50000,"&lt;&gt;设计如此",缺陷明细!$AA$2:$AA$50000,"&lt;&gt;重复Bug")</f>
        <v>0</v>
      </c>
      <c r="I39" s="161">
        <f>COUNTIFS(缺陷明细!$A$2:$A$50000,$B$4,缺陷明细!$G$2:$G$50000,$C39,缺陷明细!$Q$2:$Q$50000,"已关闭",缺陷明细!$J$2:$J$50000,"评审")</f>
        <v>0</v>
      </c>
      <c r="J39" s="161">
        <f>COUNTIFS(缺陷明细!$A$2:$A$50000,$B$4,缺陷明细!$G$2:$G$50000,$C39,缺陷明细!$J$2:$J$50000,"单元测试",缺陷明细!$AA$2:$AA$50000,"&lt;&gt;丢弃",缺陷明细!$AA$2:$AA$50000,"&lt;&gt;设计如此",缺陷明细!$AA$2:$AA$50000,"&lt;&gt;重复Bug")</f>
        <v>0</v>
      </c>
      <c r="K39" s="162">
        <f>COUNTIFS(缺陷明细!$A$2:$A$50000,$B$4,缺陷明细!$G$2:$G$50000,$C39,缺陷明细!$Q$2:$Q$50000,"已关闭",缺陷明细!$J$2:$J$50000,"单元测试")</f>
        <v>0</v>
      </c>
      <c r="L39" s="163"/>
      <c r="M39" s="164"/>
      <c r="N39" s="72">
        <f>COUNTIFS(缺陷明细!$A$2:$A$50000,$B$4,缺陷明细!$G$2:$G$50000,$C39,缺陷明细!$J$2:$J$50000,"系统测试案例评审",缺陷明细!$AA$2:$AA$50000,"&lt;&gt;丢弃",缺陷明细!$AA$2:$AA$50000,"&lt;&gt;设计如此",缺陷明细!$AA$2:$AA$50000,"&lt;&gt;重复Bug")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COUNTIFS(缺陷明细!$A$2:$A$50000,$B$4,缺陷明细!$G$2:$G$50000,$C39,缺陷明细!$J$2:$J$50000,"系统测试",缺陷明细!$AA$2:$AA$50000,"&lt;&gt;丢弃",缺陷明细!$AA$2:$AA$50000,"&lt;&gt;设计如此",缺陷明细!$AA$2:$AA$50000,"&lt;&gt;重复Bug")</f>
        <v>0</v>
      </c>
      <c r="Q39" s="72">
        <f>COUNTIFS(缺陷明细!$A$2:$A$50000,$B$4,缺陷明细!$G$2:$G$50000,$C39,缺陷明细!$Q$2:$Q$50000,"已关闭",缺陷明细!$J$2:$J$50000,"系统测试")</f>
        <v>0</v>
      </c>
      <c r="R39" s="72">
        <f>COUNTIFS(缺陷明细!$A$2:$A$50000,$B$4,缺陷明细!$G$2:$G$50000,$C39,缺陷明细!$AA$2:$AA$50000,"丢弃",缺陷明细!$J$2:$J$50000,"系统测试")+COUNTIFS(缺陷明细!$A$2:$A$50000,$B$4,缺陷明细!$G$2:$G$50000,$C39,缺陷明细!$AA$2:$AA$50000,"设计如此",缺陷明细!$J$2:$J$50000,"系统测试"+COUNTIFS(缺陷明细!$A$2:$A$50000,$B$4,缺陷明细!$G$2:$G$50000,$C39,缺陷明细!$AA$2:$AA$50000,"重复Bug",缺陷明细!$J$2:$J$50000,"系统测试"))</f>
        <v>0</v>
      </c>
      <c r="S39" s="72">
        <f>COUNTIFS(缺陷明细!$A$2:$A$50000,$B$4,缺陷明细!$G$2:$G$50000,$C39,缺陷明细!$J$2:$J$50000,"系统测试",缺陷明细!$K$2:$K$50000,"致命",缺陷明细!$AA$2:$AA$50000,"&lt;&gt;丢弃",缺陷明细!$AA$2:$AA$50000,"&lt;&gt;设计如此",缺陷明细!$AA$2:$AA$50000,"&lt;&gt;重复Bug")+COUNTIFS(缺陷明细!$A$2:$A$50000,$B$4,缺陷明细!$G$2:$G$50000,$C39,缺陷明细!$J$2:$J$50000,"系统测试",缺陷明细!$K$2:$K$50000,"严重",缺陷明细!$AA$2:$AA$50000,"&lt;&gt;丢弃",缺陷明细!$AA$2:$AA$50000,"&lt;&gt;设计如此",缺陷明细!$AA$2:$AA$50000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COUNTIFS(缺陷明细!$A$2:$A$50000,$B$4,缺陷明细!$G$2:$G$50000,$C39,缺陷明细!$J$2:$J$50000,"验收测试",缺陷明细!$AA$2:$AA$50000,"&lt;&gt;丢弃",缺陷明细!$AA$2:$AA$50000,"&lt;&gt;设计如此",缺陷明细!$AA$2:$AA$50000,"&lt;&gt;重复Bug")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A$2:$AA$50000,"&lt;&gt;丢弃",缺陷明细!$AA$2:$AA$50000,"&lt;&gt;设计如此",缺陷明细!$AA$2:$AA$50000,"&lt;&gt;重复Bug")+COUNTIFS(缺陷明细!$A$2:$A$50000,$B$4,缺陷明细!$G$2:$G$50000,$C39,缺陷明细!$J$2:$J$50000,"验收测试",缺陷明细!$K$2:$K$50000,"严重",缺陷明细!$AA$2:$AA$50000,"&lt;&gt;丢弃",缺陷明细!$AA$2:$AA$50000,"&lt;&gt;设计如此",缺陷明细!$AA$2:$AA$50000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COUNTIFS(缺陷明细!$A$2:$A$50000,$B$4,缺陷明细!$G$2:$G$50000,$C39,缺陷明细!$J$2:$J$50000,"运维测试",缺陷明细!$AA$2:$AA$50000,"&lt;&gt;丢弃",缺陷明细!$AA$2:$AA$50000,"&lt;&gt;设计如此",缺陷明细!$AA$2:$AA$50000,"&lt;&gt;重复Bug")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A$2:$AA$50000,"&lt;&gt;丢弃",缺陷明细!$AA$2:$AA$50000,"&lt;&gt;设计如此",缺陷明细!$AA$2:$AA$50000,"&lt;&gt;重复Bug")+COUNTIFS(缺陷明细!$A$2:$A$50000,$B$4,缺陷明细!$G$2:$G$50000,$C39,缺陷明细!$J$2:$J$50000,"运维测试",缺陷明细!$K$2:$K$50000,"严重",缺陷明细!$AA$2:$AA$50000,"&lt;&gt;丢弃",缺陷明细!$AA$2:$AA$50000,"&lt;&gt;设计如此",缺陷明细!$AA$2:$AA$50000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51"/>
    </row>
    <row r="40" spans="1:37">
      <c r="A40">
        <v>36</v>
      </c>
      <c r="B40" s="57"/>
      <c r="C40" s="58"/>
      <c r="D40" s="84"/>
      <c r="E40" s="82"/>
      <c r="F40" s="165"/>
      <c r="G40" s="166"/>
      <c r="H40" s="305">
        <f>COUNTIFS(缺陷明细!$A$2:$A$50000,$B$4,缺陷明细!$G$2:$G$50000,$C40,缺陷明细!$J$2:$J$50000,"评审",缺陷明细!$AA$2:$AA$50000,"&lt;&gt;丢弃",缺陷明细!$AA$2:$AA$50000,"&lt;&gt;设计如此",缺陷明细!$AA$2:$AA$50000,"&lt;&gt;重复Bug")</f>
        <v>0</v>
      </c>
      <c r="I40" s="161">
        <f>COUNTIFS(缺陷明细!$A$2:$A$50000,$B$4,缺陷明细!$G$2:$G$50000,$C40,缺陷明细!$Q$2:$Q$50000,"已关闭",缺陷明细!$J$2:$J$50000,"评审")</f>
        <v>0</v>
      </c>
      <c r="J40" s="161">
        <f>COUNTIFS(缺陷明细!$A$2:$A$50000,$B$4,缺陷明细!$G$2:$G$50000,$C40,缺陷明细!$J$2:$J$50000,"单元测试",缺陷明细!$AA$2:$AA$50000,"&lt;&gt;丢弃",缺陷明细!$AA$2:$AA$50000,"&lt;&gt;设计如此",缺陷明细!$AA$2:$AA$50000,"&lt;&gt;重复Bug")</f>
        <v>0</v>
      </c>
      <c r="K40" s="162">
        <f>COUNTIFS(缺陷明细!$A$2:$A$50000,$B$4,缺陷明细!$G$2:$G$50000,$C40,缺陷明细!$Q$2:$Q$50000,"已关闭",缺陷明细!$J$2:$J$50000,"单元测试")</f>
        <v>0</v>
      </c>
      <c r="L40" s="163"/>
      <c r="M40" s="164"/>
      <c r="N40" s="72">
        <f>COUNTIFS(缺陷明细!$A$2:$A$50000,$B$4,缺陷明细!$G$2:$G$50000,$C40,缺陷明细!$J$2:$J$50000,"系统测试案例评审",缺陷明细!$AA$2:$AA$50000,"&lt;&gt;丢弃",缺陷明细!$AA$2:$AA$50000,"&lt;&gt;设计如此",缺陷明细!$AA$2:$AA$50000,"&lt;&gt;重复Bug")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COUNTIFS(缺陷明细!$A$2:$A$50000,$B$4,缺陷明细!$G$2:$G$50000,$C40,缺陷明细!$J$2:$J$50000,"系统测试",缺陷明细!$AA$2:$AA$50000,"&lt;&gt;丢弃",缺陷明细!$AA$2:$AA$50000,"&lt;&gt;设计如此",缺陷明细!$AA$2:$AA$50000,"&lt;&gt;重复Bug")</f>
        <v>0</v>
      </c>
      <c r="Q40" s="72">
        <f>COUNTIFS(缺陷明细!$A$2:$A$50000,$B$4,缺陷明细!$G$2:$G$50000,$C40,缺陷明细!$Q$2:$Q$50000,"已关闭",缺陷明细!$J$2:$J$50000,"系统测试")</f>
        <v>0</v>
      </c>
      <c r="R40" s="72">
        <f>COUNTIFS(缺陷明细!$A$2:$A$50000,$B$4,缺陷明细!$G$2:$G$50000,$C40,缺陷明细!$AA$2:$AA$50000,"丢弃",缺陷明细!$J$2:$J$50000,"系统测试")+COUNTIFS(缺陷明细!$A$2:$A$50000,$B$4,缺陷明细!$G$2:$G$50000,$C40,缺陷明细!$AA$2:$AA$50000,"设计如此",缺陷明细!$J$2:$J$50000,"系统测试"+COUNTIFS(缺陷明细!$A$2:$A$50000,$B$4,缺陷明细!$G$2:$G$50000,$C40,缺陷明细!$AA$2:$AA$50000,"重复Bug",缺陷明细!$J$2:$J$50000,"系统测试"))</f>
        <v>0</v>
      </c>
      <c r="S40" s="72">
        <f>COUNTIFS(缺陷明细!$A$2:$A$50000,$B$4,缺陷明细!$G$2:$G$50000,$C40,缺陷明细!$J$2:$J$50000,"系统测试",缺陷明细!$K$2:$K$50000,"致命",缺陷明细!$AA$2:$AA$50000,"&lt;&gt;丢弃",缺陷明细!$AA$2:$AA$50000,"&lt;&gt;设计如此",缺陷明细!$AA$2:$AA$50000,"&lt;&gt;重复Bug")+COUNTIFS(缺陷明细!$A$2:$A$50000,$B$4,缺陷明细!$G$2:$G$50000,$C40,缺陷明细!$J$2:$J$50000,"系统测试",缺陷明细!$K$2:$K$50000,"严重",缺陷明细!$AA$2:$AA$50000,"&lt;&gt;丢弃",缺陷明细!$AA$2:$AA$50000,"&lt;&gt;设计如此",缺陷明细!$AA$2:$AA$50000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COUNTIFS(缺陷明细!$A$2:$A$50000,$B$4,缺陷明细!$G$2:$G$50000,$C40,缺陷明细!$J$2:$J$50000,"验收测试",缺陷明细!$AA$2:$AA$50000,"&lt;&gt;丢弃",缺陷明细!$AA$2:$AA$50000,"&lt;&gt;设计如此",缺陷明细!$AA$2:$AA$50000,"&lt;&gt;重复Bug")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A$2:$AA$50000,"&lt;&gt;丢弃",缺陷明细!$AA$2:$AA$50000,"&lt;&gt;设计如此",缺陷明细!$AA$2:$AA$50000,"&lt;&gt;重复Bug")+COUNTIFS(缺陷明细!$A$2:$A$50000,$B$4,缺陷明细!$G$2:$G$50000,$C40,缺陷明细!$J$2:$J$50000,"验收测试",缺陷明细!$K$2:$K$50000,"严重",缺陷明细!$AA$2:$AA$50000,"&lt;&gt;丢弃",缺陷明细!$AA$2:$AA$50000,"&lt;&gt;设计如此",缺陷明细!$AA$2:$AA$50000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COUNTIFS(缺陷明细!$A$2:$A$50000,$B$4,缺陷明细!$G$2:$G$50000,$C40,缺陷明细!$J$2:$J$50000,"运维测试",缺陷明细!$AA$2:$AA$50000,"&lt;&gt;丢弃",缺陷明细!$AA$2:$AA$50000,"&lt;&gt;设计如此",缺陷明细!$AA$2:$AA$50000,"&lt;&gt;重复Bug")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A$2:$AA$50000,"&lt;&gt;丢弃",缺陷明细!$AA$2:$AA$50000,"&lt;&gt;设计如此",缺陷明细!$AA$2:$AA$50000,"&lt;&gt;重复Bug")+COUNTIFS(缺陷明细!$A$2:$A$50000,$B$4,缺陷明细!$G$2:$G$50000,$C40,缺陷明细!$J$2:$J$50000,"运维测试",缺陷明细!$K$2:$K$50000,"严重",缺陷明细!$AA$2:$AA$50000,"&lt;&gt;丢弃",缺陷明细!$AA$2:$AA$50000,"&lt;&gt;设计如此",缺陷明细!$AA$2:$AA$50000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51"/>
    </row>
    <row r="41" spans="1:37">
      <c r="A41">
        <v>37</v>
      </c>
      <c r="B41" s="57"/>
      <c r="C41" s="58"/>
      <c r="D41" s="84"/>
      <c r="E41" s="82"/>
      <c r="F41" s="165"/>
      <c r="G41" s="166"/>
      <c r="H41" s="305">
        <f>COUNTIFS(缺陷明细!$A$2:$A$50000,$B$4,缺陷明细!$G$2:$G$50000,$C41,缺陷明细!$J$2:$J$50000,"评审",缺陷明细!$AA$2:$AA$50000,"&lt;&gt;丢弃",缺陷明细!$AA$2:$AA$50000,"&lt;&gt;设计如此",缺陷明细!$AA$2:$AA$50000,"&lt;&gt;重复Bug")</f>
        <v>0</v>
      </c>
      <c r="I41" s="161">
        <f>COUNTIFS(缺陷明细!$A$2:$A$50000,$B$4,缺陷明细!$G$2:$G$50000,$C41,缺陷明细!$Q$2:$Q$50000,"已关闭",缺陷明细!$J$2:$J$50000,"评审")</f>
        <v>0</v>
      </c>
      <c r="J41" s="161">
        <f>COUNTIFS(缺陷明细!$A$2:$A$50000,$B$4,缺陷明细!$G$2:$G$50000,$C41,缺陷明细!$J$2:$J$50000,"单元测试",缺陷明细!$AA$2:$AA$50000,"&lt;&gt;丢弃",缺陷明细!$AA$2:$AA$50000,"&lt;&gt;设计如此",缺陷明细!$AA$2:$AA$50000,"&lt;&gt;重复Bug")</f>
        <v>0</v>
      </c>
      <c r="K41" s="162">
        <f>COUNTIFS(缺陷明细!$A$2:$A$50000,$B$4,缺陷明细!$G$2:$G$50000,$C41,缺陷明细!$Q$2:$Q$50000,"已关闭",缺陷明细!$J$2:$J$50000,"单元测试")</f>
        <v>0</v>
      </c>
      <c r="L41" s="163"/>
      <c r="M41" s="164"/>
      <c r="N41" s="72">
        <f>COUNTIFS(缺陷明细!$A$2:$A$50000,$B$4,缺陷明细!$G$2:$G$50000,$C41,缺陷明细!$J$2:$J$50000,"系统测试案例评审",缺陷明细!$AA$2:$AA$50000,"&lt;&gt;丢弃",缺陷明细!$AA$2:$AA$50000,"&lt;&gt;设计如此",缺陷明细!$AA$2:$AA$50000,"&lt;&gt;重复Bug")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COUNTIFS(缺陷明细!$A$2:$A$50000,$B$4,缺陷明细!$G$2:$G$50000,$C41,缺陷明细!$J$2:$J$50000,"系统测试",缺陷明细!$AA$2:$AA$50000,"&lt;&gt;丢弃",缺陷明细!$AA$2:$AA$50000,"&lt;&gt;设计如此",缺陷明细!$AA$2:$AA$50000,"&lt;&gt;重复Bug")</f>
        <v>0</v>
      </c>
      <c r="Q41" s="72">
        <f>COUNTIFS(缺陷明细!$A$2:$A$50000,$B$4,缺陷明细!$G$2:$G$50000,$C41,缺陷明细!$Q$2:$Q$50000,"已关闭",缺陷明细!$J$2:$J$50000,"系统测试")</f>
        <v>0</v>
      </c>
      <c r="R41" s="72">
        <f>COUNTIFS(缺陷明细!$A$2:$A$50000,$B$4,缺陷明细!$G$2:$G$50000,$C41,缺陷明细!$AA$2:$AA$50000,"丢弃",缺陷明细!$J$2:$J$50000,"系统测试")+COUNTIFS(缺陷明细!$A$2:$A$50000,$B$4,缺陷明细!$G$2:$G$50000,$C41,缺陷明细!$AA$2:$AA$50000,"设计如此",缺陷明细!$J$2:$J$50000,"系统测试"+COUNTIFS(缺陷明细!$A$2:$A$50000,$B$4,缺陷明细!$G$2:$G$50000,$C41,缺陷明细!$AA$2:$AA$50000,"重复Bug",缺陷明细!$J$2:$J$50000,"系统测试"))</f>
        <v>0</v>
      </c>
      <c r="S41" s="72">
        <f>COUNTIFS(缺陷明细!$A$2:$A$50000,$B$4,缺陷明细!$G$2:$G$50000,$C41,缺陷明细!$J$2:$J$50000,"系统测试",缺陷明细!$K$2:$K$50000,"致命",缺陷明细!$AA$2:$AA$50000,"&lt;&gt;丢弃",缺陷明细!$AA$2:$AA$50000,"&lt;&gt;设计如此",缺陷明细!$AA$2:$AA$50000,"&lt;&gt;重复Bug")+COUNTIFS(缺陷明细!$A$2:$A$50000,$B$4,缺陷明细!$G$2:$G$50000,$C41,缺陷明细!$J$2:$J$50000,"系统测试",缺陷明细!$K$2:$K$50000,"严重",缺陷明细!$AA$2:$AA$50000,"&lt;&gt;丢弃",缺陷明细!$AA$2:$AA$50000,"&lt;&gt;设计如此",缺陷明细!$AA$2:$AA$50000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COUNTIFS(缺陷明细!$A$2:$A$50000,$B$4,缺陷明细!$G$2:$G$50000,$C41,缺陷明细!$J$2:$J$50000,"验收测试",缺陷明细!$AA$2:$AA$50000,"&lt;&gt;丢弃",缺陷明细!$AA$2:$AA$50000,"&lt;&gt;设计如此",缺陷明细!$AA$2:$AA$50000,"&lt;&gt;重复Bug")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A$2:$AA$50000,"&lt;&gt;丢弃",缺陷明细!$AA$2:$AA$50000,"&lt;&gt;设计如此",缺陷明细!$AA$2:$AA$50000,"&lt;&gt;重复Bug")+COUNTIFS(缺陷明细!$A$2:$A$50000,$B$4,缺陷明细!$G$2:$G$50000,$C41,缺陷明细!$J$2:$J$50000,"验收测试",缺陷明细!$K$2:$K$50000,"严重",缺陷明细!$AA$2:$AA$50000,"&lt;&gt;丢弃",缺陷明细!$AA$2:$AA$50000,"&lt;&gt;设计如此",缺陷明细!$AA$2:$AA$50000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COUNTIFS(缺陷明细!$A$2:$A$50000,$B$4,缺陷明细!$G$2:$G$50000,$C41,缺陷明细!$J$2:$J$50000,"运维测试",缺陷明细!$AA$2:$AA$50000,"&lt;&gt;丢弃",缺陷明细!$AA$2:$AA$50000,"&lt;&gt;设计如此",缺陷明细!$AA$2:$AA$50000,"&lt;&gt;重复Bug")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A$2:$AA$50000,"&lt;&gt;丢弃",缺陷明细!$AA$2:$AA$50000,"&lt;&gt;设计如此",缺陷明细!$AA$2:$AA$50000,"&lt;&gt;重复Bug")+COUNTIFS(缺陷明细!$A$2:$A$50000,$B$4,缺陷明细!$G$2:$G$50000,$C41,缺陷明细!$J$2:$J$50000,"运维测试",缺陷明细!$K$2:$K$50000,"严重",缺陷明细!$AA$2:$AA$50000,"&lt;&gt;丢弃",缺陷明细!$AA$2:$AA$50000,"&lt;&gt;设计如此",缺陷明细!$AA$2:$AA$50000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51"/>
    </row>
    <row r="42" spans="1:37">
      <c r="A42">
        <v>38</v>
      </c>
      <c r="B42" s="57"/>
      <c r="C42" s="58"/>
      <c r="D42" s="84"/>
      <c r="E42" s="82"/>
      <c r="F42" s="165"/>
      <c r="G42" s="166"/>
      <c r="H42" s="305">
        <f>COUNTIFS(缺陷明细!$A$2:$A$50000,$B$4,缺陷明细!$G$2:$G$50000,$C42,缺陷明细!$J$2:$J$50000,"评审",缺陷明细!$AA$2:$AA$50000,"&lt;&gt;丢弃",缺陷明细!$AA$2:$AA$50000,"&lt;&gt;设计如此",缺陷明细!$AA$2:$AA$50000,"&lt;&gt;重复Bug")</f>
        <v>0</v>
      </c>
      <c r="I42" s="161">
        <f>COUNTIFS(缺陷明细!$A$2:$A$50000,$B$4,缺陷明细!$G$2:$G$50000,$C42,缺陷明细!$Q$2:$Q$50000,"已关闭",缺陷明细!$J$2:$J$50000,"评审")</f>
        <v>0</v>
      </c>
      <c r="J42" s="161">
        <f>COUNTIFS(缺陷明细!$A$2:$A$50000,$B$4,缺陷明细!$G$2:$G$50000,$C42,缺陷明细!$J$2:$J$50000,"单元测试",缺陷明细!$AA$2:$AA$50000,"&lt;&gt;丢弃",缺陷明细!$AA$2:$AA$50000,"&lt;&gt;设计如此",缺陷明细!$AA$2:$AA$50000,"&lt;&gt;重复Bug")</f>
        <v>0</v>
      </c>
      <c r="K42" s="162">
        <f>COUNTIFS(缺陷明细!$A$2:$A$50000,$B$4,缺陷明细!$G$2:$G$50000,$C42,缺陷明细!$Q$2:$Q$50000,"已关闭",缺陷明细!$J$2:$J$50000,"单元测试")</f>
        <v>0</v>
      </c>
      <c r="L42" s="163"/>
      <c r="M42" s="164"/>
      <c r="N42" s="72">
        <f>COUNTIFS(缺陷明细!$A$2:$A$50000,$B$4,缺陷明细!$G$2:$G$50000,$C42,缺陷明细!$J$2:$J$50000,"系统测试案例评审",缺陷明细!$AA$2:$AA$50000,"&lt;&gt;丢弃",缺陷明细!$AA$2:$AA$50000,"&lt;&gt;设计如此",缺陷明细!$AA$2:$AA$50000,"&lt;&gt;重复Bug")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COUNTIFS(缺陷明细!$A$2:$A$50000,$B$4,缺陷明细!$G$2:$G$50000,$C42,缺陷明细!$J$2:$J$50000,"系统测试",缺陷明细!$AA$2:$AA$50000,"&lt;&gt;丢弃",缺陷明细!$AA$2:$AA$50000,"&lt;&gt;设计如此",缺陷明细!$AA$2:$AA$50000,"&lt;&gt;重复Bug")</f>
        <v>0</v>
      </c>
      <c r="Q42" s="72">
        <f>COUNTIFS(缺陷明细!$A$2:$A$50000,$B$4,缺陷明细!$G$2:$G$50000,$C42,缺陷明细!$Q$2:$Q$50000,"已关闭",缺陷明细!$J$2:$J$50000,"系统测试")</f>
        <v>0</v>
      </c>
      <c r="R42" s="72">
        <f>COUNTIFS(缺陷明细!$A$2:$A$50000,$B$4,缺陷明细!$G$2:$G$50000,$C42,缺陷明细!$AA$2:$AA$50000,"丢弃",缺陷明细!$J$2:$J$50000,"系统测试")+COUNTIFS(缺陷明细!$A$2:$A$50000,$B$4,缺陷明细!$G$2:$G$50000,$C42,缺陷明细!$AA$2:$AA$50000,"设计如此",缺陷明细!$J$2:$J$50000,"系统测试"+COUNTIFS(缺陷明细!$A$2:$A$50000,$B$4,缺陷明细!$G$2:$G$50000,$C42,缺陷明细!$AA$2:$AA$50000,"重复Bug",缺陷明细!$J$2:$J$50000,"系统测试"))</f>
        <v>0</v>
      </c>
      <c r="S42" s="72">
        <f>COUNTIFS(缺陷明细!$A$2:$A$50000,$B$4,缺陷明细!$G$2:$G$50000,$C42,缺陷明细!$J$2:$J$50000,"系统测试",缺陷明细!$K$2:$K$50000,"致命",缺陷明细!$AA$2:$AA$50000,"&lt;&gt;丢弃",缺陷明细!$AA$2:$AA$50000,"&lt;&gt;设计如此",缺陷明细!$AA$2:$AA$50000,"&lt;&gt;重复Bug")+COUNTIFS(缺陷明细!$A$2:$A$50000,$B$4,缺陷明细!$G$2:$G$50000,$C42,缺陷明细!$J$2:$J$50000,"系统测试",缺陷明细!$K$2:$K$50000,"严重",缺陷明细!$AA$2:$AA$50000,"&lt;&gt;丢弃",缺陷明细!$AA$2:$AA$50000,"&lt;&gt;设计如此",缺陷明细!$AA$2:$AA$50000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COUNTIFS(缺陷明细!$A$2:$A$50000,$B$4,缺陷明细!$G$2:$G$50000,$C42,缺陷明细!$J$2:$J$50000,"验收测试",缺陷明细!$AA$2:$AA$50000,"&lt;&gt;丢弃",缺陷明细!$AA$2:$AA$50000,"&lt;&gt;设计如此",缺陷明细!$AA$2:$AA$50000,"&lt;&gt;重复Bug")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A$2:$AA$50000,"&lt;&gt;丢弃",缺陷明细!$AA$2:$AA$50000,"&lt;&gt;设计如此",缺陷明细!$AA$2:$AA$50000,"&lt;&gt;重复Bug")+COUNTIFS(缺陷明细!$A$2:$A$50000,$B$4,缺陷明细!$G$2:$G$50000,$C42,缺陷明细!$J$2:$J$50000,"验收测试",缺陷明细!$K$2:$K$50000,"严重",缺陷明细!$AA$2:$AA$50000,"&lt;&gt;丢弃",缺陷明细!$AA$2:$AA$50000,"&lt;&gt;设计如此",缺陷明细!$AA$2:$AA$50000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COUNTIFS(缺陷明细!$A$2:$A$50000,$B$4,缺陷明细!$G$2:$G$50000,$C42,缺陷明细!$J$2:$J$50000,"运维测试",缺陷明细!$AA$2:$AA$50000,"&lt;&gt;丢弃",缺陷明细!$AA$2:$AA$50000,"&lt;&gt;设计如此",缺陷明细!$AA$2:$AA$50000,"&lt;&gt;重复Bug")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A$2:$AA$50000,"&lt;&gt;丢弃",缺陷明细!$AA$2:$AA$50000,"&lt;&gt;设计如此",缺陷明细!$AA$2:$AA$50000,"&lt;&gt;重复Bug")+COUNTIFS(缺陷明细!$A$2:$A$50000,$B$4,缺陷明细!$G$2:$G$50000,$C42,缺陷明细!$J$2:$J$50000,"运维测试",缺陷明细!$K$2:$K$50000,"严重",缺陷明细!$AA$2:$AA$50000,"&lt;&gt;丢弃",缺陷明细!$AA$2:$AA$50000,"&lt;&gt;设计如此",缺陷明细!$AA$2:$AA$50000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51"/>
    </row>
    <row r="43" spans="1:37">
      <c r="A43">
        <v>39</v>
      </c>
      <c r="B43" s="57"/>
      <c r="C43" s="58"/>
      <c r="D43" s="84"/>
      <c r="E43" s="82"/>
      <c r="F43" s="165"/>
      <c r="G43" s="166"/>
      <c r="H43" s="305">
        <f>COUNTIFS(缺陷明细!$A$2:$A$50000,$B$4,缺陷明细!$G$2:$G$50000,$C43,缺陷明细!$J$2:$J$50000,"评审",缺陷明细!$AA$2:$AA$50000,"&lt;&gt;丢弃",缺陷明细!$AA$2:$AA$50000,"&lt;&gt;设计如此",缺陷明细!$AA$2:$AA$50000,"&lt;&gt;重复Bug")</f>
        <v>0</v>
      </c>
      <c r="I43" s="161">
        <f>COUNTIFS(缺陷明细!$A$2:$A$50000,$B$4,缺陷明细!$G$2:$G$50000,$C43,缺陷明细!$Q$2:$Q$50000,"已关闭",缺陷明细!$J$2:$J$50000,"评审")</f>
        <v>0</v>
      </c>
      <c r="J43" s="161">
        <f>COUNTIFS(缺陷明细!$A$2:$A$50000,$B$4,缺陷明细!$G$2:$G$50000,$C43,缺陷明细!$J$2:$J$50000,"单元测试",缺陷明细!$AA$2:$AA$50000,"&lt;&gt;丢弃",缺陷明细!$AA$2:$AA$50000,"&lt;&gt;设计如此",缺陷明细!$AA$2:$AA$50000,"&lt;&gt;重复Bug")</f>
        <v>0</v>
      </c>
      <c r="K43" s="162">
        <f>COUNTIFS(缺陷明细!$A$2:$A$50000,$B$4,缺陷明细!$G$2:$G$50000,$C43,缺陷明细!$Q$2:$Q$50000,"已关闭",缺陷明细!$J$2:$J$50000,"单元测试")</f>
        <v>0</v>
      </c>
      <c r="L43" s="163"/>
      <c r="M43" s="164"/>
      <c r="N43" s="72">
        <f>COUNTIFS(缺陷明细!$A$2:$A$50000,$B$4,缺陷明细!$G$2:$G$50000,$C43,缺陷明细!$J$2:$J$50000,"系统测试案例评审",缺陷明细!$AA$2:$AA$50000,"&lt;&gt;丢弃",缺陷明细!$AA$2:$AA$50000,"&lt;&gt;设计如此",缺陷明细!$AA$2:$AA$50000,"&lt;&gt;重复Bug")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COUNTIFS(缺陷明细!$A$2:$A$50000,$B$4,缺陷明细!$G$2:$G$50000,$C43,缺陷明细!$J$2:$J$50000,"系统测试",缺陷明细!$AA$2:$AA$50000,"&lt;&gt;丢弃",缺陷明细!$AA$2:$AA$50000,"&lt;&gt;设计如此",缺陷明细!$AA$2:$AA$50000,"&lt;&gt;重复Bug")</f>
        <v>0</v>
      </c>
      <c r="Q43" s="72">
        <f>COUNTIFS(缺陷明细!$A$2:$A$50000,$B$4,缺陷明细!$G$2:$G$50000,$C43,缺陷明细!$Q$2:$Q$50000,"已关闭",缺陷明细!$J$2:$J$50000,"系统测试")</f>
        <v>0</v>
      </c>
      <c r="R43" s="72">
        <f>COUNTIFS(缺陷明细!$A$2:$A$50000,$B$4,缺陷明细!$G$2:$G$50000,$C43,缺陷明细!$AA$2:$AA$50000,"丢弃",缺陷明细!$J$2:$J$50000,"系统测试")+COUNTIFS(缺陷明细!$A$2:$A$50000,$B$4,缺陷明细!$G$2:$G$50000,$C43,缺陷明细!$AA$2:$AA$50000,"设计如此",缺陷明细!$J$2:$J$50000,"系统测试"+COUNTIFS(缺陷明细!$A$2:$A$50000,$B$4,缺陷明细!$G$2:$G$50000,$C43,缺陷明细!$AA$2:$AA$50000,"重复Bug",缺陷明细!$J$2:$J$50000,"系统测试"))</f>
        <v>0</v>
      </c>
      <c r="S43" s="72">
        <f>COUNTIFS(缺陷明细!$A$2:$A$50000,$B$4,缺陷明细!$G$2:$G$50000,$C43,缺陷明细!$J$2:$J$50000,"系统测试",缺陷明细!$K$2:$K$50000,"致命",缺陷明细!$AA$2:$AA$50000,"&lt;&gt;丢弃",缺陷明细!$AA$2:$AA$50000,"&lt;&gt;设计如此",缺陷明细!$AA$2:$AA$50000,"&lt;&gt;重复Bug")+COUNTIFS(缺陷明细!$A$2:$A$50000,$B$4,缺陷明细!$G$2:$G$50000,$C43,缺陷明细!$J$2:$J$50000,"系统测试",缺陷明细!$K$2:$K$50000,"严重",缺陷明细!$AA$2:$AA$50000,"&lt;&gt;丢弃",缺陷明细!$AA$2:$AA$50000,"&lt;&gt;设计如此",缺陷明细!$AA$2:$AA$50000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COUNTIFS(缺陷明细!$A$2:$A$50000,$B$4,缺陷明细!$G$2:$G$50000,$C43,缺陷明细!$J$2:$J$50000,"验收测试",缺陷明细!$AA$2:$AA$50000,"&lt;&gt;丢弃",缺陷明细!$AA$2:$AA$50000,"&lt;&gt;设计如此",缺陷明细!$AA$2:$AA$50000,"&lt;&gt;重复Bug")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A$2:$AA$50000,"&lt;&gt;丢弃",缺陷明细!$AA$2:$AA$50000,"&lt;&gt;设计如此",缺陷明细!$AA$2:$AA$50000,"&lt;&gt;重复Bug")+COUNTIFS(缺陷明细!$A$2:$A$50000,$B$4,缺陷明细!$G$2:$G$50000,$C43,缺陷明细!$J$2:$J$50000,"验收测试",缺陷明细!$K$2:$K$50000,"严重",缺陷明细!$AA$2:$AA$50000,"&lt;&gt;丢弃",缺陷明细!$AA$2:$AA$50000,"&lt;&gt;设计如此",缺陷明细!$AA$2:$AA$50000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COUNTIFS(缺陷明细!$A$2:$A$50000,$B$4,缺陷明细!$G$2:$G$50000,$C43,缺陷明细!$J$2:$J$50000,"运维测试",缺陷明细!$AA$2:$AA$50000,"&lt;&gt;丢弃",缺陷明细!$AA$2:$AA$50000,"&lt;&gt;设计如此",缺陷明细!$AA$2:$AA$50000,"&lt;&gt;重复Bug")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A$2:$AA$50000,"&lt;&gt;丢弃",缺陷明细!$AA$2:$AA$50000,"&lt;&gt;设计如此",缺陷明细!$AA$2:$AA$50000,"&lt;&gt;重复Bug")+COUNTIFS(缺陷明细!$A$2:$A$50000,$B$4,缺陷明细!$G$2:$G$50000,$C43,缺陷明细!$J$2:$J$50000,"运维测试",缺陷明细!$K$2:$K$50000,"严重",缺陷明细!$AA$2:$AA$50000,"&lt;&gt;丢弃",缺陷明细!$AA$2:$AA$50000,"&lt;&gt;设计如此",缺陷明细!$AA$2:$AA$50000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51"/>
    </row>
    <row r="44" spans="1:37">
      <c r="A44">
        <v>40</v>
      </c>
      <c r="B44" s="57"/>
      <c r="C44" s="58"/>
      <c r="D44" s="84"/>
      <c r="E44" s="82"/>
      <c r="F44" s="165"/>
      <c r="G44" s="166"/>
      <c r="H44" s="305">
        <f>COUNTIFS(缺陷明细!$A$2:$A$50000,$B$4,缺陷明细!$G$2:$G$50000,$C44,缺陷明细!$J$2:$J$50000,"评审",缺陷明细!$AA$2:$AA$50000,"&lt;&gt;丢弃",缺陷明细!$AA$2:$AA$50000,"&lt;&gt;设计如此",缺陷明细!$AA$2:$AA$50000,"&lt;&gt;重复Bug")</f>
        <v>0</v>
      </c>
      <c r="I44" s="161">
        <f>COUNTIFS(缺陷明细!$A$2:$A$50000,$B$4,缺陷明细!$G$2:$G$50000,$C44,缺陷明细!$Q$2:$Q$50000,"已关闭",缺陷明细!$J$2:$J$50000,"评审")</f>
        <v>0</v>
      </c>
      <c r="J44" s="161">
        <f>COUNTIFS(缺陷明细!$A$2:$A$50000,$B$4,缺陷明细!$G$2:$G$50000,$C44,缺陷明细!$J$2:$J$50000,"单元测试",缺陷明细!$AA$2:$AA$50000,"&lt;&gt;丢弃",缺陷明细!$AA$2:$AA$50000,"&lt;&gt;设计如此",缺陷明细!$AA$2:$AA$50000,"&lt;&gt;重复Bug")</f>
        <v>0</v>
      </c>
      <c r="K44" s="162">
        <f>COUNTIFS(缺陷明细!$A$2:$A$50000,$B$4,缺陷明细!$G$2:$G$50000,$C44,缺陷明细!$Q$2:$Q$50000,"已关闭",缺陷明细!$J$2:$J$50000,"单元测试")</f>
        <v>0</v>
      </c>
      <c r="L44" s="163"/>
      <c r="M44" s="164"/>
      <c r="N44" s="72">
        <f>COUNTIFS(缺陷明细!$A$2:$A$50000,$B$4,缺陷明细!$G$2:$G$50000,$C44,缺陷明细!$J$2:$J$50000,"系统测试案例评审",缺陷明细!$AA$2:$AA$50000,"&lt;&gt;丢弃",缺陷明细!$AA$2:$AA$50000,"&lt;&gt;设计如此",缺陷明细!$AA$2:$AA$50000,"&lt;&gt;重复Bug")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COUNTIFS(缺陷明细!$A$2:$A$50000,$B$4,缺陷明细!$G$2:$G$50000,$C44,缺陷明细!$J$2:$J$50000,"系统测试",缺陷明细!$AA$2:$AA$50000,"&lt;&gt;丢弃",缺陷明细!$AA$2:$AA$50000,"&lt;&gt;设计如此",缺陷明细!$AA$2:$AA$50000,"&lt;&gt;重复Bug")</f>
        <v>0</v>
      </c>
      <c r="Q44" s="72">
        <f>COUNTIFS(缺陷明细!$A$2:$A$50000,$B$4,缺陷明细!$G$2:$G$50000,$C44,缺陷明细!$Q$2:$Q$50000,"已关闭",缺陷明细!$J$2:$J$50000,"系统测试")</f>
        <v>0</v>
      </c>
      <c r="R44" s="72">
        <f>COUNTIFS(缺陷明细!$A$2:$A$50000,$B$4,缺陷明细!$G$2:$G$50000,$C44,缺陷明细!$AA$2:$AA$50000,"丢弃",缺陷明细!$J$2:$J$50000,"系统测试")+COUNTIFS(缺陷明细!$A$2:$A$50000,$B$4,缺陷明细!$G$2:$G$50000,$C44,缺陷明细!$AA$2:$AA$50000,"设计如此",缺陷明细!$J$2:$J$50000,"系统测试"+COUNTIFS(缺陷明细!$A$2:$A$50000,$B$4,缺陷明细!$G$2:$G$50000,$C44,缺陷明细!$AA$2:$AA$50000,"重复Bug",缺陷明细!$J$2:$J$50000,"系统测试"))</f>
        <v>0</v>
      </c>
      <c r="S44" s="72">
        <f>COUNTIFS(缺陷明细!$A$2:$A$50000,$B$4,缺陷明细!$G$2:$G$50000,$C44,缺陷明细!$J$2:$J$50000,"系统测试",缺陷明细!$K$2:$K$50000,"致命",缺陷明细!$AA$2:$AA$50000,"&lt;&gt;丢弃",缺陷明细!$AA$2:$AA$50000,"&lt;&gt;设计如此",缺陷明细!$AA$2:$AA$50000,"&lt;&gt;重复Bug")+COUNTIFS(缺陷明细!$A$2:$A$50000,$B$4,缺陷明细!$G$2:$G$50000,$C44,缺陷明细!$J$2:$J$50000,"系统测试",缺陷明细!$K$2:$K$50000,"严重",缺陷明细!$AA$2:$AA$50000,"&lt;&gt;丢弃",缺陷明细!$AA$2:$AA$50000,"&lt;&gt;设计如此",缺陷明细!$AA$2:$AA$50000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COUNTIFS(缺陷明细!$A$2:$A$50000,$B$4,缺陷明细!$G$2:$G$50000,$C44,缺陷明细!$J$2:$J$50000,"验收测试",缺陷明细!$AA$2:$AA$50000,"&lt;&gt;丢弃",缺陷明细!$AA$2:$AA$50000,"&lt;&gt;设计如此",缺陷明细!$AA$2:$AA$50000,"&lt;&gt;重复Bug")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A$2:$AA$50000,"&lt;&gt;丢弃",缺陷明细!$AA$2:$AA$50000,"&lt;&gt;设计如此",缺陷明细!$AA$2:$AA$50000,"&lt;&gt;重复Bug")+COUNTIFS(缺陷明细!$A$2:$A$50000,$B$4,缺陷明细!$G$2:$G$50000,$C44,缺陷明细!$J$2:$J$50000,"验收测试",缺陷明细!$K$2:$K$50000,"严重",缺陷明细!$AA$2:$AA$50000,"&lt;&gt;丢弃",缺陷明细!$AA$2:$AA$50000,"&lt;&gt;设计如此",缺陷明细!$AA$2:$AA$50000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COUNTIFS(缺陷明细!$A$2:$A$50000,$B$4,缺陷明细!$G$2:$G$50000,$C44,缺陷明细!$J$2:$J$50000,"运维测试",缺陷明细!$AA$2:$AA$50000,"&lt;&gt;丢弃",缺陷明细!$AA$2:$AA$50000,"&lt;&gt;设计如此",缺陷明细!$AA$2:$AA$50000,"&lt;&gt;重复Bug")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A$2:$AA$50000,"&lt;&gt;丢弃",缺陷明细!$AA$2:$AA$50000,"&lt;&gt;设计如此",缺陷明细!$AA$2:$AA$50000,"&lt;&gt;重复Bug")+COUNTIFS(缺陷明细!$A$2:$A$50000,$B$4,缺陷明细!$G$2:$G$50000,$C44,缺陷明细!$J$2:$J$50000,"运维测试",缺陷明细!$K$2:$K$50000,"严重",缺陷明细!$AA$2:$AA$50000,"&lt;&gt;丢弃",缺陷明细!$AA$2:$AA$50000,"&lt;&gt;设计如此",缺陷明细!$AA$2:$AA$50000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51"/>
    </row>
    <row r="45" spans="1:37">
      <c r="A45">
        <v>41</v>
      </c>
      <c r="B45" s="57"/>
      <c r="C45" s="58"/>
      <c r="D45" s="84"/>
      <c r="E45" s="82"/>
      <c r="F45" s="165"/>
      <c r="G45" s="166"/>
      <c r="H45" s="305">
        <f>COUNTIFS(缺陷明细!$A$2:$A$50000,$B$4,缺陷明细!$G$2:$G$50000,$C45,缺陷明细!$J$2:$J$50000,"评审",缺陷明细!$AA$2:$AA$50000,"&lt;&gt;丢弃",缺陷明细!$AA$2:$AA$50000,"&lt;&gt;设计如此",缺陷明细!$AA$2:$AA$50000,"&lt;&gt;重复Bug")</f>
        <v>0</v>
      </c>
      <c r="I45" s="161">
        <f>COUNTIFS(缺陷明细!$A$2:$A$50000,$B$4,缺陷明细!$G$2:$G$50000,$C45,缺陷明细!$Q$2:$Q$50000,"已关闭",缺陷明细!$J$2:$J$50000,"评审")</f>
        <v>0</v>
      </c>
      <c r="J45" s="161">
        <f>COUNTIFS(缺陷明细!$A$2:$A$50000,$B$4,缺陷明细!$G$2:$G$50000,$C45,缺陷明细!$J$2:$J$50000,"单元测试",缺陷明细!$AA$2:$AA$50000,"&lt;&gt;丢弃",缺陷明细!$AA$2:$AA$50000,"&lt;&gt;设计如此",缺陷明细!$AA$2:$AA$50000,"&lt;&gt;重复Bug")</f>
        <v>0</v>
      </c>
      <c r="K45" s="162">
        <f>COUNTIFS(缺陷明细!$A$2:$A$50000,$B$4,缺陷明细!$G$2:$G$50000,$C45,缺陷明细!$Q$2:$Q$50000,"已关闭",缺陷明细!$J$2:$J$50000,"单元测试")</f>
        <v>0</v>
      </c>
      <c r="L45" s="163"/>
      <c r="M45" s="164"/>
      <c r="N45" s="72">
        <f>COUNTIFS(缺陷明细!$A$2:$A$50000,$B$4,缺陷明细!$G$2:$G$50000,$C45,缺陷明细!$J$2:$J$50000,"系统测试案例评审",缺陷明细!$AA$2:$AA$50000,"&lt;&gt;丢弃",缺陷明细!$AA$2:$AA$50000,"&lt;&gt;设计如此",缺陷明细!$AA$2:$AA$50000,"&lt;&gt;重复Bug")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COUNTIFS(缺陷明细!$A$2:$A$50000,$B$4,缺陷明细!$G$2:$G$50000,$C45,缺陷明细!$J$2:$J$50000,"系统测试",缺陷明细!$AA$2:$AA$50000,"&lt;&gt;丢弃",缺陷明细!$AA$2:$AA$50000,"&lt;&gt;设计如此",缺陷明细!$AA$2:$AA$50000,"&lt;&gt;重复Bug")</f>
        <v>0</v>
      </c>
      <c r="Q45" s="72">
        <f>COUNTIFS(缺陷明细!$A$2:$A$50000,$B$4,缺陷明细!$G$2:$G$50000,$C45,缺陷明细!$Q$2:$Q$50000,"已关闭",缺陷明细!$J$2:$J$50000,"系统测试")</f>
        <v>0</v>
      </c>
      <c r="R45" s="72">
        <f>COUNTIFS(缺陷明细!$A$2:$A$50000,$B$4,缺陷明细!$G$2:$G$50000,$C45,缺陷明细!$AA$2:$AA$50000,"丢弃",缺陷明细!$J$2:$J$50000,"系统测试")+COUNTIFS(缺陷明细!$A$2:$A$50000,$B$4,缺陷明细!$G$2:$G$50000,$C45,缺陷明细!$AA$2:$AA$50000,"设计如此",缺陷明细!$J$2:$J$50000,"系统测试"+COUNTIFS(缺陷明细!$A$2:$A$50000,$B$4,缺陷明细!$G$2:$G$50000,$C45,缺陷明细!$AA$2:$AA$50000,"重复Bug",缺陷明细!$J$2:$J$50000,"系统测试"))</f>
        <v>0</v>
      </c>
      <c r="S45" s="72">
        <f>COUNTIFS(缺陷明细!$A$2:$A$50000,$B$4,缺陷明细!$G$2:$G$50000,$C45,缺陷明细!$J$2:$J$50000,"系统测试",缺陷明细!$K$2:$K$50000,"致命",缺陷明细!$AA$2:$AA$50000,"&lt;&gt;丢弃",缺陷明细!$AA$2:$AA$50000,"&lt;&gt;设计如此",缺陷明细!$AA$2:$AA$50000,"&lt;&gt;重复Bug")+COUNTIFS(缺陷明细!$A$2:$A$50000,$B$4,缺陷明细!$G$2:$G$50000,$C45,缺陷明细!$J$2:$J$50000,"系统测试",缺陷明细!$K$2:$K$50000,"严重",缺陷明细!$AA$2:$AA$50000,"&lt;&gt;丢弃",缺陷明细!$AA$2:$AA$50000,"&lt;&gt;设计如此",缺陷明细!$AA$2:$AA$50000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COUNTIFS(缺陷明细!$A$2:$A$50000,$B$4,缺陷明细!$G$2:$G$50000,$C45,缺陷明细!$J$2:$J$50000,"验收测试",缺陷明细!$AA$2:$AA$50000,"&lt;&gt;丢弃",缺陷明细!$AA$2:$AA$50000,"&lt;&gt;设计如此",缺陷明细!$AA$2:$AA$50000,"&lt;&gt;重复Bug")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A$2:$AA$50000,"&lt;&gt;丢弃",缺陷明细!$AA$2:$AA$50000,"&lt;&gt;设计如此",缺陷明细!$AA$2:$AA$50000,"&lt;&gt;重复Bug")+COUNTIFS(缺陷明细!$A$2:$A$50000,$B$4,缺陷明细!$G$2:$G$50000,$C45,缺陷明细!$J$2:$J$50000,"验收测试",缺陷明细!$K$2:$K$50000,"严重",缺陷明细!$AA$2:$AA$50000,"&lt;&gt;丢弃",缺陷明细!$AA$2:$AA$50000,"&lt;&gt;设计如此",缺陷明细!$AA$2:$AA$50000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COUNTIFS(缺陷明细!$A$2:$A$50000,$B$4,缺陷明细!$G$2:$G$50000,$C45,缺陷明细!$J$2:$J$50000,"运维测试",缺陷明细!$AA$2:$AA$50000,"&lt;&gt;丢弃",缺陷明细!$AA$2:$AA$50000,"&lt;&gt;设计如此",缺陷明细!$AA$2:$AA$50000,"&lt;&gt;重复Bug")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A$2:$AA$50000,"&lt;&gt;丢弃",缺陷明细!$AA$2:$AA$50000,"&lt;&gt;设计如此",缺陷明细!$AA$2:$AA$50000,"&lt;&gt;重复Bug")+COUNTIFS(缺陷明细!$A$2:$A$50000,$B$4,缺陷明细!$G$2:$G$50000,$C45,缺陷明细!$J$2:$J$50000,"运维测试",缺陷明细!$K$2:$K$50000,"严重",缺陷明细!$AA$2:$AA$50000,"&lt;&gt;丢弃",缺陷明细!$AA$2:$AA$50000,"&lt;&gt;设计如此",缺陷明细!$AA$2:$AA$50000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51"/>
    </row>
    <row r="46" spans="1:37">
      <c r="A46">
        <v>42</v>
      </c>
      <c r="B46" s="57"/>
      <c r="C46" s="58"/>
      <c r="D46" s="84"/>
      <c r="E46" s="82"/>
      <c r="F46" s="165"/>
      <c r="G46" s="166"/>
      <c r="H46" s="305">
        <f>COUNTIFS(缺陷明细!$A$2:$A$50000,$B$4,缺陷明细!$G$2:$G$50000,$C46,缺陷明细!$J$2:$J$50000,"评审",缺陷明细!$AA$2:$AA$50000,"&lt;&gt;丢弃",缺陷明细!$AA$2:$AA$50000,"&lt;&gt;设计如此",缺陷明细!$AA$2:$AA$50000,"&lt;&gt;重复Bug")</f>
        <v>0</v>
      </c>
      <c r="I46" s="161">
        <f>COUNTIFS(缺陷明细!$A$2:$A$50000,$B$4,缺陷明细!$G$2:$G$50000,$C46,缺陷明细!$Q$2:$Q$50000,"已关闭",缺陷明细!$J$2:$J$50000,"评审")</f>
        <v>0</v>
      </c>
      <c r="J46" s="161">
        <f>COUNTIFS(缺陷明细!$A$2:$A$50000,$B$4,缺陷明细!$G$2:$G$50000,$C46,缺陷明细!$J$2:$J$50000,"单元测试",缺陷明细!$AA$2:$AA$50000,"&lt;&gt;丢弃",缺陷明细!$AA$2:$AA$50000,"&lt;&gt;设计如此",缺陷明细!$AA$2:$AA$50000,"&lt;&gt;重复Bug")</f>
        <v>0</v>
      </c>
      <c r="K46" s="162">
        <f>COUNTIFS(缺陷明细!$A$2:$A$50000,$B$4,缺陷明细!$G$2:$G$50000,$C46,缺陷明细!$Q$2:$Q$50000,"已关闭",缺陷明细!$J$2:$J$50000,"单元测试")</f>
        <v>0</v>
      </c>
      <c r="L46" s="163"/>
      <c r="M46" s="164"/>
      <c r="N46" s="72">
        <f>COUNTIFS(缺陷明细!$A$2:$A$50000,$B$4,缺陷明细!$G$2:$G$50000,$C46,缺陷明细!$J$2:$J$50000,"系统测试案例评审",缺陷明细!$AA$2:$AA$50000,"&lt;&gt;丢弃",缺陷明细!$AA$2:$AA$50000,"&lt;&gt;设计如此",缺陷明细!$AA$2:$AA$50000,"&lt;&gt;重复Bug")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COUNTIFS(缺陷明细!$A$2:$A$50000,$B$4,缺陷明细!$G$2:$G$50000,$C46,缺陷明细!$J$2:$J$50000,"系统测试",缺陷明细!$AA$2:$AA$50000,"&lt;&gt;丢弃",缺陷明细!$AA$2:$AA$50000,"&lt;&gt;设计如此",缺陷明细!$AA$2:$AA$50000,"&lt;&gt;重复Bug")</f>
        <v>0</v>
      </c>
      <c r="Q46" s="72">
        <f>COUNTIFS(缺陷明细!$A$2:$A$50000,$B$4,缺陷明细!$G$2:$G$50000,$C46,缺陷明细!$Q$2:$Q$50000,"已关闭",缺陷明细!$J$2:$J$50000,"系统测试")</f>
        <v>0</v>
      </c>
      <c r="R46" s="72">
        <f>COUNTIFS(缺陷明细!$A$2:$A$50000,$B$4,缺陷明细!$G$2:$G$50000,$C46,缺陷明细!$AA$2:$AA$50000,"丢弃",缺陷明细!$J$2:$J$50000,"系统测试")+COUNTIFS(缺陷明细!$A$2:$A$50000,$B$4,缺陷明细!$G$2:$G$50000,$C46,缺陷明细!$AA$2:$AA$50000,"设计如此",缺陷明细!$J$2:$J$50000,"系统测试"+COUNTIFS(缺陷明细!$A$2:$A$50000,$B$4,缺陷明细!$G$2:$G$50000,$C46,缺陷明细!$AA$2:$AA$50000,"重复Bug",缺陷明细!$J$2:$J$50000,"系统测试"))</f>
        <v>0</v>
      </c>
      <c r="S46" s="72">
        <f>COUNTIFS(缺陷明细!$A$2:$A$50000,$B$4,缺陷明细!$G$2:$G$50000,$C46,缺陷明细!$J$2:$J$50000,"系统测试",缺陷明细!$K$2:$K$50000,"致命",缺陷明细!$AA$2:$AA$50000,"&lt;&gt;丢弃",缺陷明细!$AA$2:$AA$50000,"&lt;&gt;设计如此",缺陷明细!$AA$2:$AA$50000,"&lt;&gt;重复Bug")+COUNTIFS(缺陷明细!$A$2:$A$50000,$B$4,缺陷明细!$G$2:$G$50000,$C46,缺陷明细!$J$2:$J$50000,"系统测试",缺陷明细!$K$2:$K$50000,"严重",缺陷明细!$AA$2:$AA$50000,"&lt;&gt;丢弃",缺陷明细!$AA$2:$AA$50000,"&lt;&gt;设计如此",缺陷明细!$AA$2:$AA$50000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COUNTIFS(缺陷明细!$A$2:$A$50000,$B$4,缺陷明细!$G$2:$G$50000,$C46,缺陷明细!$J$2:$J$50000,"验收测试",缺陷明细!$AA$2:$AA$50000,"&lt;&gt;丢弃",缺陷明细!$AA$2:$AA$50000,"&lt;&gt;设计如此",缺陷明细!$AA$2:$AA$50000,"&lt;&gt;重复Bug")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A$2:$AA$50000,"&lt;&gt;丢弃",缺陷明细!$AA$2:$AA$50000,"&lt;&gt;设计如此",缺陷明细!$AA$2:$AA$50000,"&lt;&gt;重复Bug")+COUNTIFS(缺陷明细!$A$2:$A$50000,$B$4,缺陷明细!$G$2:$G$50000,$C46,缺陷明细!$J$2:$J$50000,"验收测试",缺陷明细!$K$2:$K$50000,"严重",缺陷明细!$AA$2:$AA$50000,"&lt;&gt;丢弃",缺陷明细!$AA$2:$AA$50000,"&lt;&gt;设计如此",缺陷明细!$AA$2:$AA$50000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COUNTIFS(缺陷明细!$A$2:$A$50000,$B$4,缺陷明细!$G$2:$G$50000,$C46,缺陷明细!$J$2:$J$50000,"运维测试",缺陷明细!$AA$2:$AA$50000,"&lt;&gt;丢弃",缺陷明细!$AA$2:$AA$50000,"&lt;&gt;设计如此",缺陷明细!$AA$2:$AA$50000,"&lt;&gt;重复Bug")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A$2:$AA$50000,"&lt;&gt;丢弃",缺陷明细!$AA$2:$AA$50000,"&lt;&gt;设计如此",缺陷明细!$AA$2:$AA$50000,"&lt;&gt;重复Bug")+COUNTIFS(缺陷明细!$A$2:$A$50000,$B$4,缺陷明细!$G$2:$G$50000,$C46,缺陷明细!$J$2:$J$50000,"运维测试",缺陷明细!$K$2:$K$50000,"严重",缺陷明细!$AA$2:$AA$50000,"&lt;&gt;丢弃",缺陷明细!$AA$2:$AA$50000,"&lt;&gt;设计如此",缺陷明细!$AA$2:$AA$50000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51"/>
    </row>
    <row r="47" spans="1:37">
      <c r="A47">
        <v>43</v>
      </c>
      <c r="B47" s="57"/>
      <c r="C47" s="58"/>
      <c r="D47" s="84"/>
      <c r="E47" s="82"/>
      <c r="F47" s="165"/>
      <c r="G47" s="166"/>
      <c r="H47" s="305">
        <f>COUNTIFS(缺陷明细!$A$2:$A$50000,$B$4,缺陷明细!$G$2:$G$50000,$C47,缺陷明细!$J$2:$J$50000,"评审",缺陷明细!$AA$2:$AA$50000,"&lt;&gt;丢弃",缺陷明细!$AA$2:$AA$50000,"&lt;&gt;设计如此",缺陷明细!$AA$2:$AA$50000,"&lt;&gt;重复Bug")</f>
        <v>0</v>
      </c>
      <c r="I47" s="161">
        <f>COUNTIFS(缺陷明细!$A$2:$A$50000,$B$4,缺陷明细!$G$2:$G$50000,$C47,缺陷明细!$Q$2:$Q$50000,"已关闭",缺陷明细!$J$2:$J$50000,"评审")</f>
        <v>0</v>
      </c>
      <c r="J47" s="161">
        <f>COUNTIFS(缺陷明细!$A$2:$A$50000,$B$4,缺陷明细!$G$2:$G$50000,$C47,缺陷明细!$J$2:$J$50000,"单元测试",缺陷明细!$AA$2:$AA$50000,"&lt;&gt;丢弃",缺陷明细!$AA$2:$AA$50000,"&lt;&gt;设计如此",缺陷明细!$AA$2:$AA$50000,"&lt;&gt;重复Bug")</f>
        <v>0</v>
      </c>
      <c r="K47" s="162">
        <f>COUNTIFS(缺陷明细!$A$2:$A$50000,$B$4,缺陷明细!$G$2:$G$50000,$C47,缺陷明细!$Q$2:$Q$50000,"已关闭",缺陷明细!$J$2:$J$50000,"单元测试")</f>
        <v>0</v>
      </c>
      <c r="L47" s="163"/>
      <c r="M47" s="164"/>
      <c r="N47" s="72">
        <f>COUNTIFS(缺陷明细!$A$2:$A$50000,$B$4,缺陷明细!$G$2:$G$50000,$C47,缺陷明细!$J$2:$J$50000,"系统测试案例评审",缺陷明细!$AA$2:$AA$50000,"&lt;&gt;丢弃",缺陷明细!$AA$2:$AA$50000,"&lt;&gt;设计如此",缺陷明细!$AA$2:$AA$50000,"&lt;&gt;重复Bug")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COUNTIFS(缺陷明细!$A$2:$A$50000,$B$4,缺陷明细!$G$2:$G$50000,$C47,缺陷明细!$J$2:$J$50000,"系统测试",缺陷明细!$AA$2:$AA$50000,"&lt;&gt;丢弃",缺陷明细!$AA$2:$AA$50000,"&lt;&gt;设计如此",缺陷明细!$AA$2:$AA$50000,"&lt;&gt;重复Bug")</f>
        <v>0</v>
      </c>
      <c r="Q47" s="72">
        <f>COUNTIFS(缺陷明细!$A$2:$A$50000,$B$4,缺陷明细!$G$2:$G$50000,$C47,缺陷明细!$Q$2:$Q$50000,"已关闭",缺陷明细!$J$2:$J$50000,"系统测试")</f>
        <v>0</v>
      </c>
      <c r="R47" s="72">
        <f>COUNTIFS(缺陷明细!$A$2:$A$50000,$B$4,缺陷明细!$G$2:$G$50000,$C47,缺陷明细!$AA$2:$AA$50000,"丢弃",缺陷明细!$J$2:$J$50000,"系统测试")+COUNTIFS(缺陷明细!$A$2:$A$50000,$B$4,缺陷明细!$G$2:$G$50000,$C47,缺陷明细!$AA$2:$AA$50000,"设计如此",缺陷明细!$J$2:$J$50000,"系统测试"+COUNTIFS(缺陷明细!$A$2:$A$50000,$B$4,缺陷明细!$G$2:$G$50000,$C47,缺陷明细!$AA$2:$AA$50000,"重复Bug",缺陷明细!$J$2:$J$50000,"系统测试"))</f>
        <v>0</v>
      </c>
      <c r="S47" s="72">
        <f>COUNTIFS(缺陷明细!$A$2:$A$50000,$B$4,缺陷明细!$G$2:$G$50000,$C47,缺陷明细!$J$2:$J$50000,"系统测试",缺陷明细!$K$2:$K$50000,"致命",缺陷明细!$AA$2:$AA$50000,"&lt;&gt;丢弃",缺陷明细!$AA$2:$AA$50000,"&lt;&gt;设计如此",缺陷明细!$AA$2:$AA$50000,"&lt;&gt;重复Bug")+COUNTIFS(缺陷明细!$A$2:$A$50000,$B$4,缺陷明细!$G$2:$G$50000,$C47,缺陷明细!$J$2:$J$50000,"系统测试",缺陷明细!$K$2:$K$50000,"严重",缺陷明细!$AA$2:$AA$50000,"&lt;&gt;丢弃",缺陷明细!$AA$2:$AA$50000,"&lt;&gt;设计如此",缺陷明细!$AA$2:$AA$50000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COUNTIFS(缺陷明细!$A$2:$A$50000,$B$4,缺陷明细!$G$2:$G$50000,$C47,缺陷明细!$J$2:$J$50000,"验收测试",缺陷明细!$AA$2:$AA$50000,"&lt;&gt;丢弃",缺陷明细!$AA$2:$AA$50000,"&lt;&gt;设计如此",缺陷明细!$AA$2:$AA$50000,"&lt;&gt;重复Bug")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A$2:$AA$50000,"&lt;&gt;丢弃",缺陷明细!$AA$2:$AA$50000,"&lt;&gt;设计如此",缺陷明细!$AA$2:$AA$50000,"&lt;&gt;重复Bug")+COUNTIFS(缺陷明细!$A$2:$A$50000,$B$4,缺陷明细!$G$2:$G$50000,$C47,缺陷明细!$J$2:$J$50000,"验收测试",缺陷明细!$K$2:$K$50000,"严重",缺陷明细!$AA$2:$AA$50000,"&lt;&gt;丢弃",缺陷明细!$AA$2:$AA$50000,"&lt;&gt;设计如此",缺陷明细!$AA$2:$AA$50000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COUNTIFS(缺陷明细!$A$2:$A$50000,$B$4,缺陷明细!$G$2:$G$50000,$C47,缺陷明细!$J$2:$J$50000,"运维测试",缺陷明细!$AA$2:$AA$50000,"&lt;&gt;丢弃",缺陷明细!$AA$2:$AA$50000,"&lt;&gt;设计如此",缺陷明细!$AA$2:$AA$50000,"&lt;&gt;重复Bug")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A$2:$AA$50000,"&lt;&gt;丢弃",缺陷明细!$AA$2:$AA$50000,"&lt;&gt;设计如此",缺陷明细!$AA$2:$AA$50000,"&lt;&gt;重复Bug")+COUNTIFS(缺陷明细!$A$2:$A$50000,$B$4,缺陷明细!$G$2:$G$50000,$C47,缺陷明细!$J$2:$J$50000,"运维测试",缺陷明细!$K$2:$K$50000,"严重",缺陷明细!$AA$2:$AA$50000,"&lt;&gt;丢弃",缺陷明细!$AA$2:$AA$50000,"&lt;&gt;设计如此",缺陷明细!$AA$2:$AA$50000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51"/>
    </row>
    <row r="48" spans="1:37">
      <c r="A48">
        <v>44</v>
      </c>
      <c r="B48" s="57"/>
      <c r="C48" s="58"/>
      <c r="D48" s="84"/>
      <c r="E48" s="82"/>
      <c r="F48" s="165"/>
      <c r="G48" s="166"/>
      <c r="H48" s="305">
        <f>COUNTIFS(缺陷明细!$A$2:$A$50000,$B$4,缺陷明细!$G$2:$G$50000,$C48,缺陷明细!$J$2:$J$50000,"评审",缺陷明细!$AA$2:$AA$50000,"&lt;&gt;丢弃",缺陷明细!$AA$2:$AA$50000,"&lt;&gt;设计如此",缺陷明细!$AA$2:$AA$50000,"&lt;&gt;重复Bug")</f>
        <v>0</v>
      </c>
      <c r="I48" s="161">
        <f>COUNTIFS(缺陷明细!$A$2:$A$50000,$B$4,缺陷明细!$G$2:$G$50000,$C48,缺陷明细!$Q$2:$Q$50000,"已关闭",缺陷明细!$J$2:$J$50000,"评审")</f>
        <v>0</v>
      </c>
      <c r="J48" s="161">
        <f>COUNTIFS(缺陷明细!$A$2:$A$50000,$B$4,缺陷明细!$G$2:$G$50000,$C48,缺陷明细!$J$2:$J$50000,"单元测试",缺陷明细!$AA$2:$AA$50000,"&lt;&gt;丢弃",缺陷明细!$AA$2:$AA$50000,"&lt;&gt;设计如此",缺陷明细!$AA$2:$AA$50000,"&lt;&gt;重复Bug")</f>
        <v>0</v>
      </c>
      <c r="K48" s="162">
        <f>COUNTIFS(缺陷明细!$A$2:$A$50000,$B$4,缺陷明细!$G$2:$G$50000,$C48,缺陷明细!$Q$2:$Q$50000,"已关闭",缺陷明细!$J$2:$J$50000,"单元测试")</f>
        <v>0</v>
      </c>
      <c r="L48" s="163"/>
      <c r="M48" s="164"/>
      <c r="N48" s="72">
        <f>COUNTIFS(缺陷明细!$A$2:$A$50000,$B$4,缺陷明细!$G$2:$G$50000,$C48,缺陷明细!$J$2:$J$50000,"系统测试案例评审",缺陷明细!$AA$2:$AA$50000,"&lt;&gt;丢弃",缺陷明细!$AA$2:$AA$50000,"&lt;&gt;设计如此",缺陷明细!$AA$2:$AA$50000,"&lt;&gt;重复Bug")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COUNTIFS(缺陷明细!$A$2:$A$50000,$B$4,缺陷明细!$G$2:$G$50000,$C48,缺陷明细!$J$2:$J$50000,"系统测试",缺陷明细!$AA$2:$AA$50000,"&lt;&gt;丢弃",缺陷明细!$AA$2:$AA$50000,"&lt;&gt;设计如此",缺陷明细!$AA$2:$AA$50000,"&lt;&gt;重复Bug")</f>
        <v>0</v>
      </c>
      <c r="Q48" s="72">
        <f>COUNTIFS(缺陷明细!$A$2:$A$50000,$B$4,缺陷明细!$G$2:$G$50000,$C48,缺陷明细!$Q$2:$Q$50000,"已关闭",缺陷明细!$J$2:$J$50000,"系统测试")</f>
        <v>0</v>
      </c>
      <c r="R48" s="72">
        <f>COUNTIFS(缺陷明细!$A$2:$A$50000,$B$4,缺陷明细!$G$2:$G$50000,$C48,缺陷明细!$AA$2:$AA$50000,"丢弃",缺陷明细!$J$2:$J$50000,"系统测试")+COUNTIFS(缺陷明细!$A$2:$A$50000,$B$4,缺陷明细!$G$2:$G$50000,$C48,缺陷明细!$AA$2:$AA$50000,"设计如此",缺陷明细!$J$2:$J$50000,"系统测试"+COUNTIFS(缺陷明细!$A$2:$A$50000,$B$4,缺陷明细!$G$2:$G$50000,$C48,缺陷明细!$AA$2:$AA$50000,"重复Bug",缺陷明细!$J$2:$J$50000,"系统测试"))</f>
        <v>0</v>
      </c>
      <c r="S48" s="72">
        <f>COUNTIFS(缺陷明细!$A$2:$A$50000,$B$4,缺陷明细!$G$2:$G$50000,$C48,缺陷明细!$J$2:$J$50000,"系统测试",缺陷明细!$K$2:$K$50000,"致命",缺陷明细!$AA$2:$AA$50000,"&lt;&gt;丢弃",缺陷明细!$AA$2:$AA$50000,"&lt;&gt;设计如此",缺陷明细!$AA$2:$AA$50000,"&lt;&gt;重复Bug")+COUNTIFS(缺陷明细!$A$2:$A$50000,$B$4,缺陷明细!$G$2:$G$50000,$C48,缺陷明细!$J$2:$J$50000,"系统测试",缺陷明细!$K$2:$K$50000,"严重",缺陷明细!$AA$2:$AA$50000,"&lt;&gt;丢弃",缺陷明细!$AA$2:$AA$50000,"&lt;&gt;设计如此",缺陷明细!$AA$2:$AA$50000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COUNTIFS(缺陷明细!$A$2:$A$50000,$B$4,缺陷明细!$G$2:$G$50000,$C48,缺陷明细!$J$2:$J$50000,"验收测试",缺陷明细!$AA$2:$AA$50000,"&lt;&gt;丢弃",缺陷明细!$AA$2:$AA$50000,"&lt;&gt;设计如此",缺陷明细!$AA$2:$AA$50000,"&lt;&gt;重复Bug")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A$2:$AA$50000,"&lt;&gt;丢弃",缺陷明细!$AA$2:$AA$50000,"&lt;&gt;设计如此",缺陷明细!$AA$2:$AA$50000,"&lt;&gt;重复Bug")+COUNTIFS(缺陷明细!$A$2:$A$50000,$B$4,缺陷明细!$G$2:$G$50000,$C48,缺陷明细!$J$2:$J$50000,"验收测试",缺陷明细!$K$2:$K$50000,"严重",缺陷明细!$AA$2:$AA$50000,"&lt;&gt;丢弃",缺陷明细!$AA$2:$AA$50000,"&lt;&gt;设计如此",缺陷明细!$AA$2:$AA$50000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COUNTIFS(缺陷明细!$A$2:$A$50000,$B$4,缺陷明细!$G$2:$G$50000,$C48,缺陷明细!$J$2:$J$50000,"运维测试",缺陷明细!$AA$2:$AA$50000,"&lt;&gt;丢弃",缺陷明细!$AA$2:$AA$50000,"&lt;&gt;设计如此",缺陷明细!$AA$2:$AA$50000,"&lt;&gt;重复Bug")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A$2:$AA$50000,"&lt;&gt;丢弃",缺陷明细!$AA$2:$AA$50000,"&lt;&gt;设计如此",缺陷明细!$AA$2:$AA$50000,"&lt;&gt;重复Bug")+COUNTIFS(缺陷明细!$A$2:$A$50000,$B$4,缺陷明细!$G$2:$G$50000,$C48,缺陷明细!$J$2:$J$50000,"运维测试",缺陷明细!$K$2:$K$50000,"严重",缺陷明细!$AA$2:$AA$50000,"&lt;&gt;丢弃",缺陷明细!$AA$2:$AA$50000,"&lt;&gt;设计如此",缺陷明细!$AA$2:$AA$50000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51"/>
    </row>
    <row r="49" spans="1:37">
      <c r="A49">
        <v>45</v>
      </c>
      <c r="B49" s="57"/>
      <c r="C49" s="58"/>
      <c r="D49" s="84"/>
      <c r="E49" s="82"/>
      <c r="F49" s="165"/>
      <c r="G49" s="166"/>
      <c r="H49" s="305">
        <f>COUNTIFS(缺陷明细!$A$2:$A$50000,$B$4,缺陷明细!$G$2:$G$50000,$C49,缺陷明细!$J$2:$J$50000,"评审",缺陷明细!$AA$2:$AA$50000,"&lt;&gt;丢弃",缺陷明细!$AA$2:$AA$50000,"&lt;&gt;设计如此",缺陷明细!$AA$2:$AA$50000,"&lt;&gt;重复Bug")</f>
        <v>0</v>
      </c>
      <c r="I49" s="161">
        <f>COUNTIFS(缺陷明细!$A$2:$A$50000,$B$4,缺陷明细!$G$2:$G$50000,$C49,缺陷明细!$Q$2:$Q$50000,"已关闭",缺陷明细!$J$2:$J$50000,"评审")</f>
        <v>0</v>
      </c>
      <c r="J49" s="161">
        <f>COUNTIFS(缺陷明细!$A$2:$A$50000,$B$4,缺陷明细!$G$2:$G$50000,$C49,缺陷明细!$J$2:$J$50000,"单元测试",缺陷明细!$AA$2:$AA$50000,"&lt;&gt;丢弃",缺陷明细!$AA$2:$AA$50000,"&lt;&gt;设计如此",缺陷明细!$AA$2:$AA$50000,"&lt;&gt;重复Bug")</f>
        <v>0</v>
      </c>
      <c r="K49" s="162">
        <f>COUNTIFS(缺陷明细!$A$2:$A$50000,$B$4,缺陷明细!$G$2:$G$50000,$C49,缺陷明细!$Q$2:$Q$50000,"已关闭",缺陷明细!$J$2:$J$50000,"单元测试")</f>
        <v>0</v>
      </c>
      <c r="L49" s="163"/>
      <c r="M49" s="164"/>
      <c r="N49" s="72">
        <f>COUNTIFS(缺陷明细!$A$2:$A$50000,$B$4,缺陷明细!$G$2:$G$50000,$C49,缺陷明细!$J$2:$J$50000,"系统测试案例评审",缺陷明细!$AA$2:$AA$50000,"&lt;&gt;丢弃",缺陷明细!$AA$2:$AA$50000,"&lt;&gt;设计如此",缺陷明细!$AA$2:$AA$50000,"&lt;&gt;重复Bug")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COUNTIFS(缺陷明细!$A$2:$A$50000,$B$4,缺陷明细!$G$2:$G$50000,$C49,缺陷明细!$J$2:$J$50000,"系统测试",缺陷明细!$AA$2:$AA$50000,"&lt;&gt;丢弃",缺陷明细!$AA$2:$AA$50000,"&lt;&gt;设计如此",缺陷明细!$AA$2:$AA$50000,"&lt;&gt;重复Bug")</f>
        <v>0</v>
      </c>
      <c r="Q49" s="72">
        <f>COUNTIFS(缺陷明细!$A$2:$A$50000,$B$4,缺陷明细!$G$2:$G$50000,$C49,缺陷明细!$Q$2:$Q$50000,"已关闭",缺陷明细!$J$2:$J$50000,"系统测试")</f>
        <v>0</v>
      </c>
      <c r="R49" s="72">
        <f>COUNTIFS(缺陷明细!$A$2:$A$50000,$B$4,缺陷明细!$G$2:$G$50000,$C49,缺陷明细!$AA$2:$AA$50000,"丢弃",缺陷明细!$J$2:$J$50000,"系统测试")+COUNTIFS(缺陷明细!$A$2:$A$50000,$B$4,缺陷明细!$G$2:$G$50000,$C49,缺陷明细!$AA$2:$AA$50000,"设计如此",缺陷明细!$J$2:$J$50000,"系统测试"+COUNTIFS(缺陷明细!$A$2:$A$50000,$B$4,缺陷明细!$G$2:$G$50000,$C49,缺陷明细!$AA$2:$AA$50000,"重复Bug",缺陷明细!$J$2:$J$50000,"系统测试"))</f>
        <v>0</v>
      </c>
      <c r="S49" s="72">
        <f>COUNTIFS(缺陷明细!$A$2:$A$50000,$B$4,缺陷明细!$G$2:$G$50000,$C49,缺陷明细!$J$2:$J$50000,"系统测试",缺陷明细!$K$2:$K$50000,"致命",缺陷明细!$AA$2:$AA$50000,"&lt;&gt;丢弃",缺陷明细!$AA$2:$AA$50000,"&lt;&gt;设计如此",缺陷明细!$AA$2:$AA$50000,"&lt;&gt;重复Bug")+COUNTIFS(缺陷明细!$A$2:$A$50000,$B$4,缺陷明细!$G$2:$G$50000,$C49,缺陷明细!$J$2:$J$50000,"系统测试",缺陷明细!$K$2:$K$50000,"严重",缺陷明细!$AA$2:$AA$50000,"&lt;&gt;丢弃",缺陷明细!$AA$2:$AA$50000,"&lt;&gt;设计如此",缺陷明细!$AA$2:$AA$50000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COUNTIFS(缺陷明细!$A$2:$A$50000,$B$4,缺陷明细!$G$2:$G$50000,$C49,缺陷明细!$J$2:$J$50000,"验收测试",缺陷明细!$AA$2:$AA$50000,"&lt;&gt;丢弃",缺陷明细!$AA$2:$AA$50000,"&lt;&gt;设计如此",缺陷明细!$AA$2:$AA$50000,"&lt;&gt;重复Bug")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A$2:$AA$50000,"&lt;&gt;丢弃",缺陷明细!$AA$2:$AA$50000,"&lt;&gt;设计如此",缺陷明细!$AA$2:$AA$50000,"&lt;&gt;重复Bug")+COUNTIFS(缺陷明细!$A$2:$A$50000,$B$4,缺陷明细!$G$2:$G$50000,$C49,缺陷明细!$J$2:$J$50000,"验收测试",缺陷明细!$K$2:$K$50000,"严重",缺陷明细!$AA$2:$AA$50000,"&lt;&gt;丢弃",缺陷明细!$AA$2:$AA$50000,"&lt;&gt;设计如此",缺陷明细!$AA$2:$AA$50000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COUNTIFS(缺陷明细!$A$2:$A$50000,$B$4,缺陷明细!$G$2:$G$50000,$C49,缺陷明细!$J$2:$J$50000,"运维测试",缺陷明细!$AA$2:$AA$50000,"&lt;&gt;丢弃",缺陷明细!$AA$2:$AA$50000,"&lt;&gt;设计如此",缺陷明细!$AA$2:$AA$50000,"&lt;&gt;重复Bug")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A$2:$AA$50000,"&lt;&gt;丢弃",缺陷明细!$AA$2:$AA$50000,"&lt;&gt;设计如此",缺陷明细!$AA$2:$AA$50000,"&lt;&gt;重复Bug")+COUNTIFS(缺陷明细!$A$2:$A$50000,$B$4,缺陷明细!$G$2:$G$50000,$C49,缺陷明细!$J$2:$J$50000,"运维测试",缺陷明细!$K$2:$K$50000,"严重",缺陷明细!$AA$2:$AA$50000,"&lt;&gt;丢弃",缺陷明细!$AA$2:$AA$50000,"&lt;&gt;设计如此",缺陷明细!$AA$2:$AA$50000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51"/>
    </row>
    <row r="50" spans="1:37">
      <c r="A50">
        <v>46</v>
      </c>
      <c r="B50" s="57"/>
      <c r="C50" s="58"/>
      <c r="D50" s="84"/>
      <c r="E50" s="82"/>
      <c r="F50" s="165"/>
      <c r="G50" s="166"/>
      <c r="H50" s="305">
        <f>COUNTIFS(缺陷明细!$A$2:$A$50000,$B$4,缺陷明细!$G$2:$G$50000,$C50,缺陷明细!$J$2:$J$50000,"评审",缺陷明细!$AA$2:$AA$50000,"&lt;&gt;丢弃",缺陷明细!$AA$2:$AA$50000,"&lt;&gt;设计如此",缺陷明细!$AA$2:$AA$50000,"&lt;&gt;重复Bug")</f>
        <v>0</v>
      </c>
      <c r="I50" s="161">
        <f>COUNTIFS(缺陷明细!$A$2:$A$50000,$B$4,缺陷明细!$G$2:$G$50000,$C50,缺陷明细!$Q$2:$Q$50000,"已关闭",缺陷明细!$J$2:$J$50000,"评审")</f>
        <v>0</v>
      </c>
      <c r="J50" s="161">
        <f>COUNTIFS(缺陷明细!$A$2:$A$50000,$B$4,缺陷明细!$G$2:$G$50000,$C50,缺陷明细!$J$2:$J$50000,"单元测试",缺陷明细!$AA$2:$AA$50000,"&lt;&gt;丢弃",缺陷明细!$AA$2:$AA$50000,"&lt;&gt;设计如此",缺陷明细!$AA$2:$AA$50000,"&lt;&gt;重复Bug")</f>
        <v>0</v>
      </c>
      <c r="K50" s="162">
        <f>COUNTIFS(缺陷明细!$A$2:$A$50000,$B$4,缺陷明细!$G$2:$G$50000,$C50,缺陷明细!$Q$2:$Q$50000,"已关闭",缺陷明细!$J$2:$J$50000,"单元测试")</f>
        <v>0</v>
      </c>
      <c r="L50" s="163"/>
      <c r="M50" s="164"/>
      <c r="N50" s="72">
        <f>COUNTIFS(缺陷明细!$A$2:$A$50000,$B$4,缺陷明细!$G$2:$G$50000,$C50,缺陷明细!$J$2:$J$50000,"系统测试案例评审",缺陷明细!$AA$2:$AA$50000,"&lt;&gt;丢弃",缺陷明细!$AA$2:$AA$50000,"&lt;&gt;设计如此",缺陷明细!$AA$2:$AA$50000,"&lt;&gt;重复Bug")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COUNTIFS(缺陷明细!$A$2:$A$50000,$B$4,缺陷明细!$G$2:$G$50000,$C50,缺陷明细!$J$2:$J$50000,"系统测试",缺陷明细!$AA$2:$AA$50000,"&lt;&gt;丢弃",缺陷明细!$AA$2:$AA$50000,"&lt;&gt;设计如此",缺陷明细!$AA$2:$AA$50000,"&lt;&gt;重复Bug")</f>
        <v>0</v>
      </c>
      <c r="Q50" s="72">
        <f>COUNTIFS(缺陷明细!$A$2:$A$50000,$B$4,缺陷明细!$G$2:$G$50000,$C50,缺陷明细!$Q$2:$Q$50000,"已关闭",缺陷明细!$J$2:$J$50000,"系统测试")</f>
        <v>0</v>
      </c>
      <c r="R50" s="72">
        <f>COUNTIFS(缺陷明细!$A$2:$A$50000,$B$4,缺陷明细!$G$2:$G$50000,$C50,缺陷明细!$AA$2:$AA$50000,"丢弃",缺陷明细!$J$2:$J$50000,"系统测试")+COUNTIFS(缺陷明细!$A$2:$A$50000,$B$4,缺陷明细!$G$2:$G$50000,$C50,缺陷明细!$AA$2:$AA$50000,"设计如此",缺陷明细!$J$2:$J$50000,"系统测试"+COUNTIFS(缺陷明细!$A$2:$A$50000,$B$4,缺陷明细!$G$2:$G$50000,$C50,缺陷明细!$AA$2:$AA$50000,"重复Bug",缺陷明细!$J$2:$J$50000,"系统测试"))</f>
        <v>0</v>
      </c>
      <c r="S50" s="72">
        <f>COUNTIFS(缺陷明细!$A$2:$A$50000,$B$4,缺陷明细!$G$2:$G$50000,$C50,缺陷明细!$J$2:$J$50000,"系统测试",缺陷明细!$K$2:$K$50000,"致命",缺陷明细!$AA$2:$AA$50000,"&lt;&gt;丢弃",缺陷明细!$AA$2:$AA$50000,"&lt;&gt;设计如此",缺陷明细!$AA$2:$AA$50000,"&lt;&gt;重复Bug")+COUNTIFS(缺陷明细!$A$2:$A$50000,$B$4,缺陷明细!$G$2:$G$50000,$C50,缺陷明细!$J$2:$J$50000,"系统测试",缺陷明细!$K$2:$K$50000,"严重",缺陷明细!$AA$2:$AA$50000,"&lt;&gt;丢弃",缺陷明细!$AA$2:$AA$50000,"&lt;&gt;设计如此",缺陷明细!$AA$2:$AA$50000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COUNTIFS(缺陷明细!$A$2:$A$50000,$B$4,缺陷明细!$G$2:$G$50000,$C50,缺陷明细!$J$2:$J$50000,"验收测试",缺陷明细!$AA$2:$AA$50000,"&lt;&gt;丢弃",缺陷明细!$AA$2:$AA$50000,"&lt;&gt;设计如此",缺陷明细!$AA$2:$AA$50000,"&lt;&gt;重复Bug")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A$2:$AA$50000,"&lt;&gt;丢弃",缺陷明细!$AA$2:$AA$50000,"&lt;&gt;设计如此",缺陷明细!$AA$2:$AA$50000,"&lt;&gt;重复Bug")+COUNTIFS(缺陷明细!$A$2:$A$50000,$B$4,缺陷明细!$G$2:$G$50000,$C50,缺陷明细!$J$2:$J$50000,"验收测试",缺陷明细!$K$2:$K$50000,"严重",缺陷明细!$AA$2:$AA$50000,"&lt;&gt;丢弃",缺陷明细!$AA$2:$AA$50000,"&lt;&gt;设计如此",缺陷明细!$AA$2:$AA$50000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COUNTIFS(缺陷明细!$A$2:$A$50000,$B$4,缺陷明细!$G$2:$G$50000,$C50,缺陷明细!$J$2:$J$50000,"运维测试",缺陷明细!$AA$2:$AA$50000,"&lt;&gt;丢弃",缺陷明细!$AA$2:$AA$50000,"&lt;&gt;设计如此",缺陷明细!$AA$2:$AA$50000,"&lt;&gt;重复Bug")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A$2:$AA$50000,"&lt;&gt;丢弃",缺陷明细!$AA$2:$AA$50000,"&lt;&gt;设计如此",缺陷明细!$AA$2:$AA$50000,"&lt;&gt;重复Bug")+COUNTIFS(缺陷明细!$A$2:$A$50000,$B$4,缺陷明细!$G$2:$G$50000,$C50,缺陷明细!$J$2:$J$50000,"运维测试",缺陷明细!$K$2:$K$50000,"严重",缺陷明细!$AA$2:$AA$50000,"&lt;&gt;丢弃",缺陷明细!$AA$2:$AA$50000,"&lt;&gt;设计如此",缺陷明细!$AA$2:$AA$50000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51"/>
    </row>
    <row r="51" spans="1:37">
      <c r="A51">
        <v>47</v>
      </c>
      <c r="B51" s="57"/>
      <c r="C51" s="58"/>
      <c r="D51" s="84"/>
      <c r="E51" s="82"/>
      <c r="F51" s="165"/>
      <c r="G51" s="166"/>
      <c r="H51" s="305">
        <f>COUNTIFS(缺陷明细!$A$2:$A$50000,$B$4,缺陷明细!$G$2:$G$50000,$C51,缺陷明细!$J$2:$J$50000,"评审",缺陷明细!$AA$2:$AA$50000,"&lt;&gt;丢弃",缺陷明细!$AA$2:$AA$50000,"&lt;&gt;设计如此",缺陷明细!$AA$2:$AA$50000,"&lt;&gt;重复Bug")</f>
        <v>0</v>
      </c>
      <c r="I51" s="161">
        <f>COUNTIFS(缺陷明细!$A$2:$A$50000,$B$4,缺陷明细!$G$2:$G$50000,$C51,缺陷明细!$Q$2:$Q$50000,"已关闭",缺陷明细!$J$2:$J$50000,"评审")</f>
        <v>0</v>
      </c>
      <c r="J51" s="161">
        <f>COUNTIFS(缺陷明细!$A$2:$A$50000,$B$4,缺陷明细!$G$2:$G$50000,$C51,缺陷明细!$J$2:$J$50000,"单元测试",缺陷明细!$AA$2:$AA$50000,"&lt;&gt;丢弃",缺陷明细!$AA$2:$AA$50000,"&lt;&gt;设计如此",缺陷明细!$AA$2:$AA$50000,"&lt;&gt;重复Bug")</f>
        <v>0</v>
      </c>
      <c r="K51" s="162">
        <f>COUNTIFS(缺陷明细!$A$2:$A$50000,$B$4,缺陷明细!$G$2:$G$50000,$C51,缺陷明细!$Q$2:$Q$50000,"已关闭",缺陷明细!$J$2:$J$50000,"单元测试")</f>
        <v>0</v>
      </c>
      <c r="L51" s="163"/>
      <c r="M51" s="164"/>
      <c r="N51" s="72">
        <f>COUNTIFS(缺陷明细!$A$2:$A$50000,$B$4,缺陷明细!$G$2:$G$50000,$C51,缺陷明细!$J$2:$J$50000,"系统测试案例评审",缺陷明细!$AA$2:$AA$50000,"&lt;&gt;丢弃",缺陷明细!$AA$2:$AA$50000,"&lt;&gt;设计如此",缺陷明细!$AA$2:$AA$50000,"&lt;&gt;重复Bug")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COUNTIFS(缺陷明细!$A$2:$A$50000,$B$4,缺陷明细!$G$2:$G$50000,$C51,缺陷明细!$J$2:$J$50000,"系统测试",缺陷明细!$AA$2:$AA$50000,"&lt;&gt;丢弃",缺陷明细!$AA$2:$AA$50000,"&lt;&gt;设计如此",缺陷明细!$AA$2:$AA$50000,"&lt;&gt;重复Bug")</f>
        <v>0</v>
      </c>
      <c r="Q51" s="72">
        <f>COUNTIFS(缺陷明细!$A$2:$A$50000,$B$4,缺陷明细!$G$2:$G$50000,$C51,缺陷明细!$Q$2:$Q$50000,"已关闭",缺陷明细!$J$2:$J$50000,"系统测试")</f>
        <v>0</v>
      </c>
      <c r="R51" s="72">
        <f>COUNTIFS(缺陷明细!$A$2:$A$50000,$B$4,缺陷明细!$G$2:$G$50000,$C51,缺陷明细!$AA$2:$AA$50000,"丢弃",缺陷明细!$J$2:$J$50000,"系统测试")+COUNTIFS(缺陷明细!$A$2:$A$50000,$B$4,缺陷明细!$G$2:$G$50000,$C51,缺陷明细!$AA$2:$AA$50000,"设计如此",缺陷明细!$J$2:$J$50000,"系统测试"+COUNTIFS(缺陷明细!$A$2:$A$50000,$B$4,缺陷明细!$G$2:$G$50000,$C51,缺陷明细!$AA$2:$AA$50000,"重复Bug",缺陷明细!$J$2:$J$50000,"系统测试"))</f>
        <v>0</v>
      </c>
      <c r="S51" s="72">
        <f>COUNTIFS(缺陷明细!$A$2:$A$50000,$B$4,缺陷明细!$G$2:$G$50000,$C51,缺陷明细!$J$2:$J$50000,"系统测试",缺陷明细!$K$2:$K$50000,"致命",缺陷明细!$AA$2:$AA$50000,"&lt;&gt;丢弃",缺陷明细!$AA$2:$AA$50000,"&lt;&gt;设计如此",缺陷明细!$AA$2:$AA$50000,"&lt;&gt;重复Bug")+COUNTIFS(缺陷明细!$A$2:$A$50000,$B$4,缺陷明细!$G$2:$G$50000,$C51,缺陷明细!$J$2:$J$50000,"系统测试",缺陷明细!$K$2:$K$50000,"严重",缺陷明细!$AA$2:$AA$50000,"&lt;&gt;丢弃",缺陷明细!$AA$2:$AA$50000,"&lt;&gt;设计如此",缺陷明细!$AA$2:$AA$50000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COUNTIFS(缺陷明细!$A$2:$A$50000,$B$4,缺陷明细!$G$2:$G$50000,$C51,缺陷明细!$J$2:$J$50000,"验收测试",缺陷明细!$AA$2:$AA$50000,"&lt;&gt;丢弃",缺陷明细!$AA$2:$AA$50000,"&lt;&gt;设计如此",缺陷明细!$AA$2:$AA$50000,"&lt;&gt;重复Bug")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A$2:$AA$50000,"&lt;&gt;丢弃",缺陷明细!$AA$2:$AA$50000,"&lt;&gt;设计如此",缺陷明细!$AA$2:$AA$50000,"&lt;&gt;重复Bug")+COUNTIFS(缺陷明细!$A$2:$A$50000,$B$4,缺陷明细!$G$2:$G$50000,$C51,缺陷明细!$J$2:$J$50000,"验收测试",缺陷明细!$K$2:$K$50000,"严重",缺陷明细!$AA$2:$AA$50000,"&lt;&gt;丢弃",缺陷明细!$AA$2:$AA$50000,"&lt;&gt;设计如此",缺陷明细!$AA$2:$AA$50000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COUNTIFS(缺陷明细!$A$2:$A$50000,$B$4,缺陷明细!$G$2:$G$50000,$C51,缺陷明细!$J$2:$J$50000,"运维测试",缺陷明细!$AA$2:$AA$50000,"&lt;&gt;丢弃",缺陷明细!$AA$2:$AA$50000,"&lt;&gt;设计如此",缺陷明细!$AA$2:$AA$50000,"&lt;&gt;重复Bug")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A$2:$AA$50000,"&lt;&gt;丢弃",缺陷明细!$AA$2:$AA$50000,"&lt;&gt;设计如此",缺陷明细!$AA$2:$AA$50000,"&lt;&gt;重复Bug")+COUNTIFS(缺陷明细!$A$2:$A$50000,$B$4,缺陷明细!$G$2:$G$50000,$C51,缺陷明细!$J$2:$J$50000,"运维测试",缺陷明细!$K$2:$K$50000,"严重",缺陷明细!$AA$2:$AA$50000,"&lt;&gt;丢弃",缺陷明细!$AA$2:$AA$50000,"&lt;&gt;设计如此",缺陷明细!$AA$2:$AA$50000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51"/>
    </row>
    <row r="52" spans="1:37">
      <c r="A52">
        <v>48</v>
      </c>
      <c r="B52" s="57"/>
      <c r="C52" s="58"/>
      <c r="D52" s="84"/>
      <c r="E52" s="82"/>
      <c r="F52" s="165"/>
      <c r="G52" s="166"/>
      <c r="H52" s="305">
        <f>COUNTIFS(缺陷明细!$A$2:$A$50000,$B$4,缺陷明细!$G$2:$G$50000,$C52,缺陷明细!$J$2:$J$50000,"评审",缺陷明细!$AA$2:$AA$50000,"&lt;&gt;丢弃",缺陷明细!$AA$2:$AA$50000,"&lt;&gt;设计如此",缺陷明细!$AA$2:$AA$50000,"&lt;&gt;重复Bug")</f>
        <v>0</v>
      </c>
      <c r="I52" s="161">
        <f>COUNTIFS(缺陷明细!$A$2:$A$50000,$B$4,缺陷明细!$G$2:$G$50000,$C52,缺陷明细!$Q$2:$Q$50000,"已关闭",缺陷明细!$J$2:$J$50000,"评审")</f>
        <v>0</v>
      </c>
      <c r="J52" s="161">
        <f>COUNTIFS(缺陷明细!$A$2:$A$50000,$B$4,缺陷明细!$G$2:$G$50000,$C52,缺陷明细!$J$2:$J$50000,"单元测试",缺陷明细!$AA$2:$AA$50000,"&lt;&gt;丢弃",缺陷明细!$AA$2:$AA$50000,"&lt;&gt;设计如此",缺陷明细!$AA$2:$AA$50000,"&lt;&gt;重复Bug")</f>
        <v>0</v>
      </c>
      <c r="K52" s="162">
        <f>COUNTIFS(缺陷明细!$A$2:$A$50000,$B$4,缺陷明细!$G$2:$G$50000,$C52,缺陷明细!$Q$2:$Q$50000,"已关闭",缺陷明细!$J$2:$J$50000,"单元测试")</f>
        <v>0</v>
      </c>
      <c r="L52" s="163"/>
      <c r="M52" s="164"/>
      <c r="N52" s="72">
        <f>COUNTIFS(缺陷明细!$A$2:$A$50000,$B$4,缺陷明细!$G$2:$G$50000,$C52,缺陷明细!$J$2:$J$50000,"系统测试案例评审",缺陷明细!$AA$2:$AA$50000,"&lt;&gt;丢弃",缺陷明细!$AA$2:$AA$50000,"&lt;&gt;设计如此",缺陷明细!$AA$2:$AA$50000,"&lt;&gt;重复Bug")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COUNTIFS(缺陷明细!$A$2:$A$50000,$B$4,缺陷明细!$G$2:$G$50000,$C52,缺陷明细!$J$2:$J$50000,"系统测试",缺陷明细!$AA$2:$AA$50000,"&lt;&gt;丢弃",缺陷明细!$AA$2:$AA$50000,"&lt;&gt;设计如此",缺陷明细!$AA$2:$AA$50000,"&lt;&gt;重复Bug")</f>
        <v>0</v>
      </c>
      <c r="Q52" s="72">
        <f>COUNTIFS(缺陷明细!$A$2:$A$50000,$B$4,缺陷明细!$G$2:$G$50000,$C52,缺陷明细!$Q$2:$Q$50000,"已关闭",缺陷明细!$J$2:$J$50000,"系统测试")</f>
        <v>0</v>
      </c>
      <c r="R52" s="72">
        <f>COUNTIFS(缺陷明细!$A$2:$A$50000,$B$4,缺陷明细!$G$2:$G$50000,$C52,缺陷明细!$AA$2:$AA$50000,"丢弃",缺陷明细!$J$2:$J$50000,"系统测试")+COUNTIFS(缺陷明细!$A$2:$A$50000,$B$4,缺陷明细!$G$2:$G$50000,$C52,缺陷明细!$AA$2:$AA$50000,"设计如此",缺陷明细!$J$2:$J$50000,"系统测试"+COUNTIFS(缺陷明细!$A$2:$A$50000,$B$4,缺陷明细!$G$2:$G$50000,$C52,缺陷明细!$AA$2:$AA$50000,"重复Bug",缺陷明细!$J$2:$J$50000,"系统测试"))</f>
        <v>0</v>
      </c>
      <c r="S52" s="72">
        <f>COUNTIFS(缺陷明细!$A$2:$A$50000,$B$4,缺陷明细!$G$2:$G$50000,$C52,缺陷明细!$J$2:$J$50000,"系统测试",缺陷明细!$K$2:$K$50000,"致命",缺陷明细!$AA$2:$AA$50000,"&lt;&gt;丢弃",缺陷明细!$AA$2:$AA$50000,"&lt;&gt;设计如此",缺陷明细!$AA$2:$AA$50000,"&lt;&gt;重复Bug")+COUNTIFS(缺陷明细!$A$2:$A$50000,$B$4,缺陷明细!$G$2:$G$50000,$C52,缺陷明细!$J$2:$J$50000,"系统测试",缺陷明细!$K$2:$K$50000,"严重",缺陷明细!$AA$2:$AA$50000,"&lt;&gt;丢弃",缺陷明细!$AA$2:$AA$50000,"&lt;&gt;设计如此",缺陷明细!$AA$2:$AA$50000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COUNTIFS(缺陷明细!$A$2:$A$50000,$B$4,缺陷明细!$G$2:$G$50000,$C52,缺陷明细!$J$2:$J$50000,"验收测试",缺陷明细!$AA$2:$AA$50000,"&lt;&gt;丢弃",缺陷明细!$AA$2:$AA$50000,"&lt;&gt;设计如此",缺陷明细!$AA$2:$AA$50000,"&lt;&gt;重复Bug")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A$2:$AA$50000,"&lt;&gt;丢弃",缺陷明细!$AA$2:$AA$50000,"&lt;&gt;设计如此",缺陷明细!$AA$2:$AA$50000,"&lt;&gt;重复Bug")+COUNTIFS(缺陷明细!$A$2:$A$50000,$B$4,缺陷明细!$G$2:$G$50000,$C52,缺陷明细!$J$2:$J$50000,"验收测试",缺陷明细!$K$2:$K$50000,"严重",缺陷明细!$AA$2:$AA$50000,"&lt;&gt;丢弃",缺陷明细!$AA$2:$AA$50000,"&lt;&gt;设计如此",缺陷明细!$AA$2:$AA$50000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COUNTIFS(缺陷明细!$A$2:$A$50000,$B$4,缺陷明细!$G$2:$G$50000,$C52,缺陷明细!$J$2:$J$50000,"运维测试",缺陷明细!$AA$2:$AA$50000,"&lt;&gt;丢弃",缺陷明细!$AA$2:$AA$50000,"&lt;&gt;设计如此",缺陷明细!$AA$2:$AA$50000,"&lt;&gt;重复Bug")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A$2:$AA$50000,"&lt;&gt;丢弃",缺陷明细!$AA$2:$AA$50000,"&lt;&gt;设计如此",缺陷明细!$AA$2:$AA$50000,"&lt;&gt;重复Bug")+COUNTIFS(缺陷明细!$A$2:$A$50000,$B$4,缺陷明细!$G$2:$G$50000,$C52,缺陷明细!$J$2:$J$50000,"运维测试",缺陷明细!$K$2:$K$50000,"严重",缺陷明细!$AA$2:$AA$50000,"&lt;&gt;丢弃",缺陷明细!$AA$2:$AA$50000,"&lt;&gt;设计如此",缺陷明细!$AA$2:$AA$50000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51"/>
    </row>
    <row r="53" spans="1:37">
      <c r="A53">
        <v>49</v>
      </c>
      <c r="B53" s="57"/>
      <c r="C53" s="58"/>
      <c r="D53" s="84"/>
      <c r="E53" s="82"/>
      <c r="F53" s="165"/>
      <c r="G53" s="166"/>
      <c r="H53" s="305">
        <f>COUNTIFS(缺陷明细!$A$2:$A$50000,$B$4,缺陷明细!$G$2:$G$50000,$C53,缺陷明细!$J$2:$J$50000,"评审",缺陷明细!$AA$2:$AA$50000,"&lt;&gt;丢弃",缺陷明细!$AA$2:$AA$50000,"&lt;&gt;设计如此",缺陷明细!$AA$2:$AA$50000,"&lt;&gt;重复Bug")</f>
        <v>0</v>
      </c>
      <c r="I53" s="161">
        <f>COUNTIFS(缺陷明细!$A$2:$A$50000,$B$4,缺陷明细!$G$2:$G$50000,$C53,缺陷明细!$Q$2:$Q$50000,"已关闭",缺陷明细!$J$2:$J$50000,"评审")</f>
        <v>0</v>
      </c>
      <c r="J53" s="161">
        <f>COUNTIFS(缺陷明细!$A$2:$A$50000,$B$4,缺陷明细!$G$2:$G$50000,$C53,缺陷明细!$J$2:$J$50000,"单元测试",缺陷明细!$AA$2:$AA$50000,"&lt;&gt;丢弃",缺陷明细!$AA$2:$AA$50000,"&lt;&gt;设计如此",缺陷明细!$AA$2:$AA$50000,"&lt;&gt;重复Bug")</f>
        <v>0</v>
      </c>
      <c r="K53" s="162">
        <f>COUNTIFS(缺陷明细!$A$2:$A$50000,$B$4,缺陷明细!$G$2:$G$50000,$C53,缺陷明细!$Q$2:$Q$50000,"已关闭",缺陷明细!$J$2:$J$50000,"单元测试")</f>
        <v>0</v>
      </c>
      <c r="L53" s="163"/>
      <c r="M53" s="164"/>
      <c r="N53" s="72">
        <f>COUNTIFS(缺陷明细!$A$2:$A$50000,$B$4,缺陷明细!$G$2:$G$50000,$C53,缺陷明细!$J$2:$J$50000,"系统测试案例评审",缺陷明细!$AA$2:$AA$50000,"&lt;&gt;丢弃",缺陷明细!$AA$2:$AA$50000,"&lt;&gt;设计如此",缺陷明细!$AA$2:$AA$50000,"&lt;&gt;重复Bug")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COUNTIFS(缺陷明细!$A$2:$A$50000,$B$4,缺陷明细!$G$2:$G$50000,$C53,缺陷明细!$J$2:$J$50000,"系统测试",缺陷明细!$AA$2:$AA$50000,"&lt;&gt;丢弃",缺陷明细!$AA$2:$AA$50000,"&lt;&gt;设计如此",缺陷明细!$AA$2:$AA$50000,"&lt;&gt;重复Bug")</f>
        <v>0</v>
      </c>
      <c r="Q53" s="72">
        <f>COUNTIFS(缺陷明细!$A$2:$A$50000,$B$4,缺陷明细!$G$2:$G$50000,$C53,缺陷明细!$Q$2:$Q$50000,"已关闭",缺陷明细!$J$2:$J$50000,"系统测试")</f>
        <v>0</v>
      </c>
      <c r="R53" s="72">
        <f>COUNTIFS(缺陷明细!$A$2:$A$50000,$B$4,缺陷明细!$G$2:$G$50000,$C53,缺陷明细!$AA$2:$AA$50000,"丢弃",缺陷明细!$J$2:$J$50000,"系统测试")+COUNTIFS(缺陷明细!$A$2:$A$50000,$B$4,缺陷明细!$G$2:$G$50000,$C53,缺陷明细!$AA$2:$AA$50000,"设计如此",缺陷明细!$J$2:$J$50000,"系统测试"+COUNTIFS(缺陷明细!$A$2:$A$50000,$B$4,缺陷明细!$G$2:$G$50000,$C53,缺陷明细!$AA$2:$AA$50000,"重复Bug",缺陷明细!$J$2:$J$50000,"系统测试"))</f>
        <v>0</v>
      </c>
      <c r="S53" s="72">
        <f>COUNTIFS(缺陷明细!$A$2:$A$50000,$B$4,缺陷明细!$G$2:$G$50000,$C53,缺陷明细!$J$2:$J$50000,"系统测试",缺陷明细!$K$2:$K$50000,"致命",缺陷明细!$AA$2:$AA$50000,"&lt;&gt;丢弃",缺陷明细!$AA$2:$AA$50000,"&lt;&gt;设计如此",缺陷明细!$AA$2:$AA$50000,"&lt;&gt;重复Bug")+COUNTIFS(缺陷明细!$A$2:$A$50000,$B$4,缺陷明细!$G$2:$G$50000,$C53,缺陷明细!$J$2:$J$50000,"系统测试",缺陷明细!$K$2:$K$50000,"严重",缺陷明细!$AA$2:$AA$50000,"&lt;&gt;丢弃",缺陷明细!$AA$2:$AA$50000,"&lt;&gt;设计如此",缺陷明细!$AA$2:$AA$50000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COUNTIFS(缺陷明细!$A$2:$A$50000,$B$4,缺陷明细!$G$2:$G$50000,$C53,缺陷明细!$J$2:$J$50000,"验收测试",缺陷明细!$AA$2:$AA$50000,"&lt;&gt;丢弃",缺陷明细!$AA$2:$AA$50000,"&lt;&gt;设计如此",缺陷明细!$AA$2:$AA$50000,"&lt;&gt;重复Bug")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A$2:$AA$50000,"&lt;&gt;丢弃",缺陷明细!$AA$2:$AA$50000,"&lt;&gt;设计如此",缺陷明细!$AA$2:$AA$50000,"&lt;&gt;重复Bug")+COUNTIFS(缺陷明细!$A$2:$A$50000,$B$4,缺陷明细!$G$2:$G$50000,$C53,缺陷明细!$J$2:$J$50000,"验收测试",缺陷明细!$K$2:$K$50000,"严重",缺陷明细!$AA$2:$AA$50000,"&lt;&gt;丢弃",缺陷明细!$AA$2:$AA$50000,"&lt;&gt;设计如此",缺陷明细!$AA$2:$AA$50000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COUNTIFS(缺陷明细!$A$2:$A$50000,$B$4,缺陷明细!$G$2:$G$50000,$C53,缺陷明细!$J$2:$J$50000,"运维测试",缺陷明细!$AA$2:$AA$50000,"&lt;&gt;丢弃",缺陷明细!$AA$2:$AA$50000,"&lt;&gt;设计如此",缺陷明细!$AA$2:$AA$50000,"&lt;&gt;重复Bug")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A$2:$AA$50000,"&lt;&gt;丢弃",缺陷明细!$AA$2:$AA$50000,"&lt;&gt;设计如此",缺陷明细!$AA$2:$AA$50000,"&lt;&gt;重复Bug")+COUNTIFS(缺陷明细!$A$2:$A$50000,$B$4,缺陷明细!$G$2:$G$50000,$C53,缺陷明细!$J$2:$J$50000,"运维测试",缺陷明细!$K$2:$K$50000,"严重",缺陷明细!$AA$2:$AA$50000,"&lt;&gt;丢弃",缺陷明细!$AA$2:$AA$50000,"&lt;&gt;设计如此",缺陷明细!$AA$2:$AA$50000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51"/>
    </row>
    <row r="54" spans="1:37">
      <c r="A54">
        <v>50</v>
      </c>
      <c r="B54" s="57"/>
      <c r="C54" s="58"/>
      <c r="D54" s="84"/>
      <c r="E54" s="82"/>
      <c r="F54" s="165"/>
      <c r="G54" s="166"/>
      <c r="H54" s="305">
        <f>COUNTIFS(缺陷明细!$A$2:$A$50000,$B$4,缺陷明细!$G$2:$G$50000,$C54,缺陷明细!$J$2:$J$50000,"评审",缺陷明细!$AA$2:$AA$50000,"&lt;&gt;丢弃",缺陷明细!$AA$2:$AA$50000,"&lt;&gt;设计如此",缺陷明细!$AA$2:$AA$50000,"&lt;&gt;重复Bug")</f>
        <v>0</v>
      </c>
      <c r="I54" s="161">
        <f>COUNTIFS(缺陷明细!$A$2:$A$50000,$B$4,缺陷明细!$G$2:$G$50000,$C54,缺陷明细!$Q$2:$Q$50000,"已关闭",缺陷明细!$J$2:$J$50000,"评审")</f>
        <v>0</v>
      </c>
      <c r="J54" s="161">
        <f>COUNTIFS(缺陷明细!$A$2:$A$50000,$B$4,缺陷明细!$G$2:$G$50000,$C54,缺陷明细!$J$2:$J$50000,"单元测试",缺陷明细!$AA$2:$AA$50000,"&lt;&gt;丢弃",缺陷明细!$AA$2:$AA$50000,"&lt;&gt;设计如此",缺陷明细!$AA$2:$AA$50000,"&lt;&gt;重复Bug")</f>
        <v>0</v>
      </c>
      <c r="K54" s="162">
        <f>COUNTIFS(缺陷明细!$A$2:$A$50000,$B$4,缺陷明细!$G$2:$G$50000,$C54,缺陷明细!$Q$2:$Q$50000,"已关闭",缺陷明细!$J$2:$J$50000,"单元测试")</f>
        <v>0</v>
      </c>
      <c r="L54" s="163"/>
      <c r="M54" s="164"/>
      <c r="N54" s="72">
        <f>COUNTIFS(缺陷明细!$A$2:$A$50000,$B$4,缺陷明细!$G$2:$G$50000,$C54,缺陷明细!$J$2:$J$50000,"系统测试案例评审",缺陷明细!$AA$2:$AA$50000,"&lt;&gt;丢弃",缺陷明细!$AA$2:$AA$50000,"&lt;&gt;设计如此",缺陷明细!$AA$2:$AA$50000,"&lt;&gt;重复Bug")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COUNTIFS(缺陷明细!$A$2:$A$50000,$B$4,缺陷明细!$G$2:$G$50000,$C54,缺陷明细!$J$2:$J$50000,"系统测试",缺陷明细!$AA$2:$AA$50000,"&lt;&gt;丢弃",缺陷明细!$AA$2:$AA$50000,"&lt;&gt;设计如此",缺陷明细!$AA$2:$AA$50000,"&lt;&gt;重复Bug")</f>
        <v>0</v>
      </c>
      <c r="Q54" s="72">
        <f>COUNTIFS(缺陷明细!$A$2:$A$50000,$B$4,缺陷明细!$G$2:$G$50000,$C54,缺陷明细!$Q$2:$Q$50000,"已关闭",缺陷明细!$J$2:$J$50000,"系统测试")</f>
        <v>0</v>
      </c>
      <c r="R54" s="72">
        <f>COUNTIFS(缺陷明细!$A$2:$A$50000,$B$4,缺陷明细!$G$2:$G$50000,$C54,缺陷明细!$AA$2:$AA$50000,"丢弃",缺陷明细!$J$2:$J$50000,"系统测试")+COUNTIFS(缺陷明细!$A$2:$A$50000,$B$4,缺陷明细!$G$2:$G$50000,$C54,缺陷明细!$AA$2:$AA$50000,"设计如此",缺陷明细!$J$2:$J$50000,"系统测试"+COUNTIFS(缺陷明细!$A$2:$A$50000,$B$4,缺陷明细!$G$2:$G$50000,$C54,缺陷明细!$AA$2:$AA$50000,"重复Bug",缺陷明细!$J$2:$J$50000,"系统测试"))</f>
        <v>0</v>
      </c>
      <c r="S54" s="72">
        <f>COUNTIFS(缺陷明细!$A$2:$A$50000,$B$4,缺陷明细!$G$2:$G$50000,$C54,缺陷明细!$J$2:$J$50000,"系统测试",缺陷明细!$K$2:$K$50000,"致命",缺陷明细!$AA$2:$AA$50000,"&lt;&gt;丢弃",缺陷明细!$AA$2:$AA$50000,"&lt;&gt;设计如此",缺陷明细!$AA$2:$AA$50000,"&lt;&gt;重复Bug")+COUNTIFS(缺陷明细!$A$2:$A$50000,$B$4,缺陷明细!$G$2:$G$50000,$C54,缺陷明细!$J$2:$J$50000,"系统测试",缺陷明细!$K$2:$K$50000,"严重",缺陷明细!$AA$2:$AA$50000,"&lt;&gt;丢弃",缺陷明细!$AA$2:$AA$50000,"&lt;&gt;设计如此",缺陷明细!$AA$2:$AA$50000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COUNTIFS(缺陷明细!$A$2:$A$50000,$B$4,缺陷明细!$G$2:$G$50000,$C54,缺陷明细!$J$2:$J$50000,"验收测试",缺陷明细!$AA$2:$AA$50000,"&lt;&gt;丢弃",缺陷明细!$AA$2:$AA$50000,"&lt;&gt;设计如此",缺陷明细!$AA$2:$AA$50000,"&lt;&gt;重复Bug")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A$2:$AA$50000,"&lt;&gt;丢弃",缺陷明细!$AA$2:$AA$50000,"&lt;&gt;设计如此",缺陷明细!$AA$2:$AA$50000,"&lt;&gt;重复Bug")+COUNTIFS(缺陷明细!$A$2:$A$50000,$B$4,缺陷明细!$G$2:$G$50000,$C54,缺陷明细!$J$2:$J$50000,"验收测试",缺陷明细!$K$2:$K$50000,"严重",缺陷明细!$AA$2:$AA$50000,"&lt;&gt;丢弃",缺陷明细!$AA$2:$AA$50000,"&lt;&gt;设计如此",缺陷明细!$AA$2:$AA$50000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COUNTIFS(缺陷明细!$A$2:$A$50000,$B$4,缺陷明细!$G$2:$G$50000,$C54,缺陷明细!$J$2:$J$50000,"运维测试",缺陷明细!$AA$2:$AA$50000,"&lt;&gt;丢弃",缺陷明细!$AA$2:$AA$50000,"&lt;&gt;设计如此",缺陷明细!$AA$2:$AA$50000,"&lt;&gt;重复Bug")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A$2:$AA$50000,"&lt;&gt;丢弃",缺陷明细!$AA$2:$AA$50000,"&lt;&gt;设计如此",缺陷明细!$AA$2:$AA$50000,"&lt;&gt;重复Bug")+COUNTIFS(缺陷明细!$A$2:$A$50000,$B$4,缺陷明细!$G$2:$G$50000,$C54,缺陷明细!$J$2:$J$50000,"运维测试",缺陷明细!$K$2:$K$50000,"严重",缺陷明细!$AA$2:$AA$50000,"&lt;&gt;丢弃",缺陷明细!$AA$2:$AA$50000,"&lt;&gt;设计如此",缺陷明细!$AA$2:$AA$50000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51"/>
    </row>
    <row r="55" spans="1:37" ht="13.8" thickBot="1">
      <c r="B55" s="147"/>
      <c r="C55" s="109"/>
      <c r="D55" s="85"/>
      <c r="E55" s="156"/>
      <c r="F55" s="169"/>
      <c r="G55" s="170"/>
      <c r="H55" s="306">
        <f>COUNTIFS(缺陷明细!$A$2:$A$50000,$B$4,缺陷明细!$G$2:$G$50000,$C55,缺陷明细!$J$2:$J$50000,"评审",缺陷明细!$AA$2:$AA$50000,"&lt;&gt;丢弃",缺陷明细!$AA$2:$AA$50000,"&lt;&gt;设计如此",缺陷明细!$AA$2:$AA$50000,"&lt;&gt;重复Bug")</f>
        <v>0</v>
      </c>
      <c r="I55" s="307">
        <f>COUNTIFS(缺陷明细!$A$2:$A$50000,$B$4,缺陷明细!$G$2:$G$50000,$C55,缺陷明细!$Q$2:$Q$50000,"已关闭",缺陷明细!$J$2:$J$50000,"评审")</f>
        <v>0</v>
      </c>
      <c r="J55" s="307">
        <f>COUNTIFS(缺陷明细!$A$2:$A$50000,$B$4,缺陷明细!$G$2:$G$50000,$C55,缺陷明细!$J$2:$J$50000,"单元测试",缺陷明细!$AA$2:$AA$50000,"&lt;&gt;丢弃",缺陷明细!$AA$2:$AA$50000,"&lt;&gt;设计如此",缺陷明细!$AA$2:$AA$50000,"&lt;&gt;重复Bug")</f>
        <v>0</v>
      </c>
      <c r="K55" s="308">
        <f>COUNTIFS(缺陷明细!$A$2:$A$50000,$B$4,缺陷明细!$G$2:$G$50000,$C55,缺陷明细!$Q$2:$Q$50000,"已关闭",缺陷明细!$J$2:$J$50000,"单元测试")</f>
        <v>0</v>
      </c>
      <c r="L55" s="309"/>
      <c r="M55" s="310"/>
      <c r="N55" s="311">
        <f>COUNTIFS(缺陷明细!$A$2:$A$50000,$B$4,缺陷明细!$G$2:$G$50000,$C55,缺陷明细!$J$2:$J$50000,"系统测试案例评审",缺陷明细!$AA$2:$AA$50000,"&lt;&gt;丢弃",缺陷明细!$AA$2:$AA$50000,"&lt;&gt;设计如此",缺陷明细!$AA$2:$AA$50000,"&lt;&gt;重复Bug")</f>
        <v>0</v>
      </c>
      <c r="O55" s="311">
        <f>COUNTIFS(缺陷明细!$A$2:$A$50000,$B$4,缺陷明细!$G$2:$G$50000,$C55,缺陷明细!$Q$2:$Q$50000,"已关闭",缺陷明细!$J$2:$J$50000,"系统测试案例评审")</f>
        <v>0</v>
      </c>
      <c r="P55" s="311">
        <f>COUNTIFS(缺陷明细!$A$2:$A$50000,$B$4,缺陷明细!$G$2:$G$50000,$C55,缺陷明细!$J$2:$J$50000,"系统测试",缺陷明细!$AA$2:$AA$50000,"&lt;&gt;丢弃",缺陷明细!$AA$2:$AA$50000,"&lt;&gt;设计如此",缺陷明细!$AA$2:$AA$50000,"&lt;&gt;重复Bug")</f>
        <v>0</v>
      </c>
      <c r="Q55" s="311">
        <f>COUNTIFS(缺陷明细!$A$2:$A$50000,$B$4,缺陷明细!$G$2:$G$50000,$C55,缺陷明细!$Q$2:$Q$50000,"已关闭",缺陷明细!$J$2:$J$50000,"系统测试")</f>
        <v>0</v>
      </c>
      <c r="R55" s="311">
        <f>COUNTIFS(缺陷明细!$A$2:$A$50000,$B$4,缺陷明细!$G$2:$G$50000,$C55,缺陷明细!$AA$2:$AA$50000,"丢弃",缺陷明细!$J$2:$J$50000,"系统测试")+COUNTIFS(缺陷明细!$A$2:$A$50000,$B$4,缺陷明细!$G$2:$G$50000,$C55,缺陷明细!$AA$2:$AA$50000,"设计如此",缺陷明细!$J$2:$J$50000,"系统测试"+COUNTIFS(缺陷明细!$A$2:$A$50000,$B$4,缺陷明细!$G$2:$G$50000,$C55,缺陷明细!$AA$2:$AA$50000,"重复Bug",缺陷明细!$J$2:$J$50000,"系统测试"))</f>
        <v>0</v>
      </c>
      <c r="S55" s="311">
        <f>COUNTIFS(缺陷明细!$A$2:$A$50000,$B$4,缺陷明细!$G$2:$G$50000,$C55,缺陷明细!$J$2:$J$50000,"系统测试",缺陷明细!$K$2:$K$50000,"致命",缺陷明细!$AA$2:$AA$50000,"&lt;&gt;丢弃",缺陷明细!$AA$2:$AA$50000,"&lt;&gt;设计如此",缺陷明细!$AA$2:$AA$50000,"&lt;&gt;重复Bug")+COUNTIFS(缺陷明细!$A$2:$A$50000,$B$4,缺陷明细!$G$2:$G$50000,$C55,缺陷明细!$J$2:$J$50000,"系统测试",缺陷明细!$K$2:$K$50000,"严重",缺陷明细!$AA$2:$AA$50000,"&lt;&gt;丢弃",缺陷明细!$AA$2:$AA$50000,"&lt;&gt;设计如此",缺陷明细!$AA$2:$AA$50000,"&lt;&gt;重复Bug")</f>
        <v>0</v>
      </c>
      <c r="T55" s="312">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313">
        <f>COUNTIFS(缺陷明细!$A$2:$A$50000,$B$4,缺陷明细!$G$2:$G$50000,$C55,缺陷明细!$J$2:$J$50000,"验收测试",缺陷明细!$AA$2:$AA$50000,"&lt;&gt;丢弃",缺陷明细!$AA$2:$AA$50000,"&lt;&gt;设计如此",缺陷明细!$AA$2:$AA$50000,"&lt;&gt;重复Bug")</f>
        <v>0</v>
      </c>
      <c r="V55" s="314">
        <f>COUNTIFS(缺陷明细!$A$2:$A$50000,$B$4,缺陷明细!$G$2:$G$50000,$C55,缺陷明细!$Q$2:$Q$50000,"已关闭",缺陷明细!$J$2:$J$50000,"验收测试")</f>
        <v>0</v>
      </c>
      <c r="W55" s="314">
        <f>COUNTIFS(缺陷明细!$A$2:$A$50000,$B$4,缺陷明细!$G$2:$G$50000,$C55,缺陷明细!$J$2:$J$50000,"验收测试",缺陷明细!$K$2:$K$50000,"致命",缺陷明细!$AA$2:$AA$50000,"&lt;&gt;丢弃",缺陷明细!$AA$2:$AA$50000,"&lt;&gt;设计如此",缺陷明细!$AA$2:$AA$50000,"&lt;&gt;重复Bug")+COUNTIFS(缺陷明细!$A$2:$A$50000,$B$4,缺陷明细!$G$2:$G$50000,$C55,缺陷明细!$J$2:$J$50000,"验收测试",缺陷明细!$K$2:$K$50000,"严重",缺陷明细!$AA$2:$AA$50000,"&lt;&gt;丢弃",缺陷明细!$AA$2:$AA$50000,"&lt;&gt;设计如此",缺陷明细!$AA$2:$AA$50000,"&lt;&gt;重复Bug")</f>
        <v>0</v>
      </c>
      <c r="X55" s="315">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316">
        <f>COUNTIFS(缺陷明细!$A$2:$A$50000,$B$4,缺陷明细!$G$2:$G$50000,$C55,缺陷明细!$J$2:$J$50000,"运维测试",缺陷明细!$AA$2:$AA$50000,"&lt;&gt;丢弃",缺陷明细!$AA$2:$AA$50000,"&lt;&gt;设计如此",缺陷明细!$AA$2:$AA$50000,"&lt;&gt;重复Bug")</f>
        <v>0</v>
      </c>
      <c r="Z55" s="317">
        <f>COUNTIFS(缺陷明细!$A$2:$A$50000,$B$4,缺陷明细!$G$2:$G$50000,$C55,缺陷明细!$Q$2:$Q$50000,"已关闭",缺陷明细!$J$2:$J$50000,"运维测试")</f>
        <v>0</v>
      </c>
      <c r="AA55" s="311">
        <f>COUNTIFS(缺陷明细!$A$2:$A$50000,$B$4,缺陷明细!$G$2:$G$50000,$C55,缺陷明细!$J$2:$J$50000,"运维测试",缺陷明细!$K$2:$K$50000,"致命",缺陷明细!$AA$2:$AA$50000,"&lt;&gt;丢弃",缺陷明细!$AA$2:$AA$50000,"&lt;&gt;设计如此",缺陷明细!$AA$2:$AA$50000,"&lt;&gt;重复Bug")+COUNTIFS(缺陷明细!$A$2:$A$50000,$B$4,缺陷明细!$G$2:$G$50000,$C55,缺陷明细!$J$2:$J$50000,"运维测试",缺陷明细!$K$2:$K$50000,"严重",缺陷明细!$AA$2:$AA$50000,"&lt;&gt;丢弃",缺陷明细!$AA$2:$AA$50000,"&lt;&gt;设计如此",缺陷明细!$AA$2:$AA$50000,"&lt;&gt;重复Bug")</f>
        <v>0</v>
      </c>
      <c r="AB55" s="312">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7">
        <f t="shared" si="0"/>
        <v>0</v>
      </c>
      <c r="AD55" s="158">
        <f t="shared" si="0"/>
        <v>0</v>
      </c>
      <c r="AE55" s="158">
        <f t="shared" si="1"/>
        <v>0</v>
      </c>
      <c r="AF55" s="158">
        <f t="shared" si="1"/>
        <v>0</v>
      </c>
      <c r="AG55" s="158">
        <f t="shared" si="2"/>
        <v>0</v>
      </c>
      <c r="AH55" s="158">
        <f t="shared" si="2"/>
        <v>0</v>
      </c>
      <c r="AI55" s="158">
        <f t="shared" si="3"/>
        <v>0</v>
      </c>
      <c r="AJ55" s="148">
        <f t="shared" si="3"/>
        <v>0</v>
      </c>
      <c r="AK55" s="152"/>
    </row>
    <row r="56" spans="1:37">
      <c r="B56" s="397" t="s">
        <v>209</v>
      </c>
      <c r="C56" s="398"/>
      <c r="D56" s="142">
        <f>COUNTA(D5:D55)</f>
        <v>0</v>
      </c>
      <c r="E56" s="142">
        <f>COUNTIF(E2:E55,"是")</f>
        <v>0</v>
      </c>
      <c r="F56" s="142">
        <f>SUMIFS(F5:F500,$E$5:$E$500,"是")</f>
        <v>0</v>
      </c>
      <c r="G56" s="142">
        <f t="shared" ref="G56:AJ56" si="4">SUMIFS(G5:G500,$E$5:$E$500,"是")</f>
        <v>0</v>
      </c>
      <c r="H56" s="142">
        <f t="shared" si="4"/>
        <v>0</v>
      </c>
      <c r="I56" s="142">
        <f t="shared" si="4"/>
        <v>0</v>
      </c>
      <c r="J56" s="142">
        <f t="shared" si="4"/>
        <v>0</v>
      </c>
      <c r="K56" s="142">
        <f t="shared" si="4"/>
        <v>0</v>
      </c>
      <c r="L56" s="142">
        <f t="shared" si="4"/>
        <v>0</v>
      </c>
      <c r="M56" s="142">
        <f t="shared" si="4"/>
        <v>0</v>
      </c>
      <c r="N56" s="142">
        <f t="shared" si="4"/>
        <v>0</v>
      </c>
      <c r="O56" s="142">
        <f t="shared" si="4"/>
        <v>0</v>
      </c>
      <c r="P56" s="142">
        <f t="shared" si="4"/>
        <v>0</v>
      </c>
      <c r="Q56" s="142">
        <f t="shared" si="4"/>
        <v>0</v>
      </c>
      <c r="R56" s="142">
        <f t="shared" si="4"/>
        <v>0</v>
      </c>
      <c r="S56" s="142">
        <f t="shared" si="4"/>
        <v>0</v>
      </c>
      <c r="T56" s="142">
        <f t="shared" si="4"/>
        <v>0</v>
      </c>
      <c r="U56" s="142">
        <f t="shared" si="4"/>
        <v>0</v>
      </c>
      <c r="V56" s="142">
        <f t="shared" si="4"/>
        <v>0</v>
      </c>
      <c r="W56" s="142">
        <f t="shared" si="4"/>
        <v>0</v>
      </c>
      <c r="X56" s="142">
        <f t="shared" si="4"/>
        <v>0</v>
      </c>
      <c r="Y56" s="142">
        <f t="shared" si="4"/>
        <v>0</v>
      </c>
      <c r="Z56" s="142">
        <f t="shared" si="4"/>
        <v>0</v>
      </c>
      <c r="AA56" s="142">
        <f t="shared" si="4"/>
        <v>0</v>
      </c>
      <c r="AB56" s="142">
        <f t="shared" si="4"/>
        <v>0</v>
      </c>
      <c r="AC56" s="142">
        <f t="shared" si="4"/>
        <v>0</v>
      </c>
      <c r="AD56" s="142">
        <f t="shared" si="4"/>
        <v>0</v>
      </c>
      <c r="AE56" s="142">
        <f t="shared" si="4"/>
        <v>0</v>
      </c>
      <c r="AF56" s="142">
        <f t="shared" si="4"/>
        <v>0</v>
      </c>
      <c r="AG56" s="142">
        <f t="shared" si="4"/>
        <v>0</v>
      </c>
      <c r="AH56" s="142">
        <f t="shared" si="4"/>
        <v>0</v>
      </c>
      <c r="AI56" s="142">
        <f t="shared" si="4"/>
        <v>0</v>
      </c>
      <c r="AJ56" s="142">
        <f t="shared" si="4"/>
        <v>0</v>
      </c>
      <c r="AK56" s="30"/>
    </row>
    <row r="57" spans="1:37">
      <c r="C57" s="153"/>
      <c r="D57" s="154"/>
      <c r="E57" s="143"/>
      <c r="F57" s="143"/>
      <c r="G57" s="143"/>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row>
    <row r="59" spans="1:37">
      <c r="F59" s="98"/>
    </row>
  </sheetData>
  <mergeCells count="13">
    <mergeCell ref="AC2:AJ2"/>
    <mergeCell ref="AK2:AK3"/>
    <mergeCell ref="U2:X2"/>
    <mergeCell ref="H1:AB1"/>
    <mergeCell ref="F2:G2"/>
    <mergeCell ref="H2:K2"/>
    <mergeCell ref="L2:T2"/>
    <mergeCell ref="Y2:AB2"/>
    <mergeCell ref="B56:C56"/>
    <mergeCell ref="B2:B3"/>
    <mergeCell ref="C2:C3"/>
    <mergeCell ref="D2:D3"/>
    <mergeCell ref="E2:E3"/>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G19" sqref="G19"/>
    </sheetView>
  </sheetViews>
  <sheetFormatPr defaultColWidth="9" defaultRowHeight="13.2"/>
  <cols>
    <col min="1" max="1" width="5.109375" customWidth="1"/>
    <col min="3" max="3" width="29.33203125" customWidth="1"/>
    <col min="4" max="4" width="6.33203125" customWidth="1"/>
    <col min="5" max="5" width="5.88671875" style="38" customWidth="1"/>
    <col min="6" max="7" width="5.6640625" style="38" customWidth="1"/>
    <col min="8" max="36" width="5.6640625" customWidth="1"/>
    <col min="37" max="37" width="20" customWidth="1"/>
    <col min="38" max="38" width="8.109375" customWidth="1"/>
  </cols>
  <sheetData>
    <row r="1" spans="1:37" ht="13.5" customHeight="1" thickBot="1">
      <c r="A1" s="29"/>
      <c r="B1" s="272" t="s">
        <v>61</v>
      </c>
      <c r="C1" s="272"/>
      <c r="D1" s="272"/>
      <c r="E1" s="272"/>
      <c r="F1" s="273"/>
      <c r="G1" s="273"/>
      <c r="H1" s="407" t="s">
        <v>63</v>
      </c>
      <c r="I1" s="407"/>
      <c r="J1" s="407"/>
      <c r="K1" s="407"/>
      <c r="L1" s="407"/>
      <c r="M1" s="407"/>
      <c r="N1" s="407"/>
      <c r="O1" s="407"/>
      <c r="P1" s="407"/>
      <c r="Q1" s="407"/>
      <c r="R1" s="407"/>
      <c r="S1" s="407"/>
      <c r="T1" s="407"/>
      <c r="U1" s="407"/>
      <c r="V1" s="407"/>
      <c r="W1" s="407"/>
      <c r="X1" s="407"/>
      <c r="Y1" s="407"/>
      <c r="Z1" s="407"/>
      <c r="AA1" s="407"/>
      <c r="AB1" s="407"/>
      <c r="AC1" s="145"/>
      <c r="AD1" s="145"/>
      <c r="AE1" s="145"/>
      <c r="AF1" s="145"/>
      <c r="AG1" s="145"/>
      <c r="AH1" s="145"/>
      <c r="AI1" s="145"/>
      <c r="AJ1" s="146"/>
      <c r="AK1" s="155"/>
    </row>
    <row r="2" spans="1:37" ht="12.75" customHeight="1" thickBot="1">
      <c r="B2" s="399" t="s">
        <v>180</v>
      </c>
      <c r="C2" s="408" t="s">
        <v>60</v>
      </c>
      <c r="D2" s="410" t="s">
        <v>104</v>
      </c>
      <c r="E2" s="401" t="s">
        <v>181</v>
      </c>
      <c r="F2" s="408" t="s">
        <v>182</v>
      </c>
      <c r="G2" s="409"/>
      <c r="H2" s="403" t="s">
        <v>210</v>
      </c>
      <c r="I2" s="403"/>
      <c r="J2" s="403"/>
      <c r="K2" s="403"/>
      <c r="L2" s="404" t="s">
        <v>183</v>
      </c>
      <c r="M2" s="405"/>
      <c r="N2" s="405"/>
      <c r="O2" s="405"/>
      <c r="P2" s="405"/>
      <c r="Q2" s="405"/>
      <c r="R2" s="405"/>
      <c r="S2" s="405"/>
      <c r="T2" s="406"/>
      <c r="U2" s="395" t="s">
        <v>44</v>
      </c>
      <c r="V2" s="396"/>
      <c r="W2" s="396"/>
      <c r="X2" s="396"/>
      <c r="Y2" s="413" t="s">
        <v>64</v>
      </c>
      <c r="Z2" s="414"/>
      <c r="AA2" s="414"/>
      <c r="AB2" s="414"/>
      <c r="AC2" s="390" t="s">
        <v>2</v>
      </c>
      <c r="AD2" s="391"/>
      <c r="AE2" s="391"/>
      <c r="AF2" s="391"/>
      <c r="AG2" s="391"/>
      <c r="AH2" s="391"/>
      <c r="AI2" s="391"/>
      <c r="AJ2" s="392"/>
      <c r="AK2" s="393" t="s">
        <v>4</v>
      </c>
    </row>
    <row r="3" spans="1:37" ht="84.6" thickBot="1">
      <c r="B3" s="400"/>
      <c r="C3" s="412"/>
      <c r="D3" s="411"/>
      <c r="E3" s="402"/>
      <c r="F3" s="274" t="s">
        <v>273</v>
      </c>
      <c r="G3" s="275" t="s">
        <v>274</v>
      </c>
      <c r="H3" s="34" t="s">
        <v>105</v>
      </c>
      <c r="I3" s="34" t="s">
        <v>106</v>
      </c>
      <c r="J3" s="34" t="s">
        <v>107</v>
      </c>
      <c r="K3" s="34" t="s">
        <v>108</v>
      </c>
      <c r="L3" s="33" t="s">
        <v>185</v>
      </c>
      <c r="M3" s="34" t="s">
        <v>186</v>
      </c>
      <c r="N3" s="31" t="s">
        <v>45</v>
      </c>
      <c r="O3" s="31" t="s">
        <v>46</v>
      </c>
      <c r="P3" s="31" t="s">
        <v>34</v>
      </c>
      <c r="Q3" s="31" t="s">
        <v>36</v>
      </c>
      <c r="R3" s="31" t="s">
        <v>187</v>
      </c>
      <c r="S3" s="31" t="s">
        <v>35</v>
      </c>
      <c r="T3" s="32" t="s">
        <v>37</v>
      </c>
      <c r="U3" s="106" t="s">
        <v>110</v>
      </c>
      <c r="V3" s="35" t="s">
        <v>111</v>
      </c>
      <c r="W3" s="35" t="s">
        <v>188</v>
      </c>
      <c r="X3" s="35" t="s">
        <v>112</v>
      </c>
      <c r="Y3" s="106" t="s">
        <v>65</v>
      </c>
      <c r="Z3" s="35" t="s">
        <v>66</v>
      </c>
      <c r="AA3" s="35" t="s">
        <v>67</v>
      </c>
      <c r="AB3" s="36" t="s">
        <v>190</v>
      </c>
      <c r="AC3" s="33" t="s">
        <v>38</v>
      </c>
      <c r="AD3" s="31" t="s">
        <v>39</v>
      </c>
      <c r="AE3" s="31" t="s">
        <v>40</v>
      </c>
      <c r="AF3" s="31" t="s">
        <v>41</v>
      </c>
      <c r="AG3" s="31" t="s">
        <v>113</v>
      </c>
      <c r="AH3" s="31" t="s">
        <v>115</v>
      </c>
      <c r="AI3" s="31" t="s">
        <v>116</v>
      </c>
      <c r="AJ3" s="32" t="s">
        <v>114</v>
      </c>
      <c r="AK3" s="394"/>
    </row>
    <row r="4" spans="1:37" ht="13.8" thickBot="1">
      <c r="B4" s="102" t="s">
        <v>269</v>
      </c>
      <c r="C4" s="80" t="s">
        <v>207</v>
      </c>
      <c r="D4" s="141"/>
      <c r="E4" s="137"/>
      <c r="F4" s="107"/>
      <c r="G4" s="81"/>
      <c r="H4" s="69"/>
      <c r="I4" s="63"/>
      <c r="J4" s="63"/>
      <c r="K4" s="64"/>
      <c r="L4" s="77"/>
      <c r="M4" s="108"/>
      <c r="N4" s="63"/>
      <c r="O4" s="63"/>
      <c r="P4" s="63"/>
      <c r="Q4" s="63"/>
      <c r="R4" s="63"/>
      <c r="S4" s="63"/>
      <c r="T4" s="64"/>
      <c r="U4" s="62"/>
      <c r="V4" s="63"/>
      <c r="W4" s="63"/>
      <c r="X4" s="64"/>
      <c r="Y4" s="62"/>
      <c r="Z4" s="63"/>
      <c r="AA4" s="63"/>
      <c r="AB4" s="64"/>
      <c r="AC4" s="69"/>
      <c r="AD4" s="63"/>
      <c r="AE4" s="63"/>
      <c r="AF4" s="63"/>
      <c r="AG4" s="63"/>
      <c r="AH4" s="63"/>
      <c r="AI4" s="63"/>
      <c r="AJ4" s="64"/>
      <c r="AK4" s="149"/>
    </row>
    <row r="5" spans="1:37">
      <c r="A5">
        <v>1</v>
      </c>
      <c r="B5" s="78"/>
      <c r="C5" s="79"/>
      <c r="D5" s="82"/>
      <c r="E5" s="82"/>
      <c r="F5" s="159"/>
      <c r="G5" s="160"/>
      <c r="H5" s="293">
        <f>COUNTIFS(缺陷明细!$A$2:$A$50000,$B$4,缺陷明细!$G$2:$G$50000,$C5,缺陷明细!$J$2:$J$50000,"评审",缺陷明细!$AA$2:$AA$50000,"&lt;&gt;丢弃",缺陷明细!$AA$2:$AA$50000,"&lt;&gt;设计如此",缺陷明细!$AA$2:$AA$50000,"&lt;&gt;重复Bug")</f>
        <v>0</v>
      </c>
      <c r="I5" s="294">
        <f>COUNTIFS(缺陷明细!$A$2:$A$50000,$B$4,缺陷明细!$G$2:$G$50000,$C5,缺陷明细!$Q$2:$Q$50000,"已关闭",缺陷明细!$J$2:$J$50000,"评审")</f>
        <v>0</v>
      </c>
      <c r="J5" s="294">
        <f>COUNTIFS(缺陷明细!$A$2:$A$50000,$B$4,缺陷明细!$G$2:$G$50000,$C5,缺陷明细!$J$2:$J$50000,"单元测试",缺陷明细!$AA$2:$AA$50000,"&lt;&gt;丢弃",缺陷明细!$AA$2:$AA$50000,"&lt;&gt;设计如此",缺陷明细!$AA$2:$AA$50000,"&lt;&gt;重复Bug")</f>
        <v>0</v>
      </c>
      <c r="K5" s="295">
        <f>COUNTIFS(缺陷明细!$A$2:$A$50000,$B$4,缺陷明细!$G$2:$G$50000,$C5,缺陷明细!$Q$2:$Q$50000,"已关闭",缺陷明细!$J$2:$J$50000,"单元测试")</f>
        <v>0</v>
      </c>
      <c r="L5" s="296"/>
      <c r="M5" s="297"/>
      <c r="N5" s="298">
        <f>COUNTIFS(缺陷明细!$A$2:$A$50000,$B$4,缺陷明细!$G$2:$G$50000,$C5,缺陷明细!$J$2:$J$50000,"系统测试案例评审",缺陷明细!$AA$2:$AA$50000,"&lt;&gt;丢弃",缺陷明细!$AA$2:$AA$50000,"&lt;&gt;设计如此",缺陷明细!$AA$2:$AA$50000,"&lt;&gt;重复Bug")</f>
        <v>0</v>
      </c>
      <c r="O5" s="298">
        <f>COUNTIFS(缺陷明细!$A$2:$A$50000,$B$4,缺陷明细!$G$2:$G$50000,$C5,缺陷明细!$Q$2:$Q$50000,"已关闭",缺陷明细!$J$2:$J$50000,"系统测试案例评审")</f>
        <v>0</v>
      </c>
      <c r="P5" s="298">
        <f>COUNTIFS(缺陷明细!$A$2:$A$50000,$B$4,缺陷明细!$G$2:$G$50000,$C5,缺陷明细!$J$2:$J$50000,"系统测试",缺陷明细!$AA$2:$AA$50000,"&lt;&gt;丢弃",缺陷明细!$AA$2:$AA$50000,"&lt;&gt;设计如此",缺陷明细!$AA$2:$AA$50000,"&lt;&gt;重复Bug")</f>
        <v>0</v>
      </c>
      <c r="Q5" s="298">
        <f>COUNTIFS(缺陷明细!$A$2:$A$50000,$B$4,缺陷明细!$G$2:$G$50000,$C5,缺陷明细!$Q$2:$Q$50000,"已关闭",缺陷明细!$J$2:$J$50000,"系统测试")</f>
        <v>0</v>
      </c>
      <c r="R5" s="298">
        <f>COUNTIFS(缺陷明细!$A$2:$A$50000,$B$4,缺陷明细!$G$2:$G$50000,$C5,缺陷明细!$AA$2:$AA$50000,"丢弃",缺陷明细!$J$2:$J$50000,"系统测试")+COUNTIFS(缺陷明细!$A$2:$A$50000,$B$4,缺陷明细!$G$2:$G$50000,$C5,缺陷明细!$AA$2:$AA$50000,"设计如此",缺陷明细!$J$2:$J$50000,"系统测试"+COUNTIFS(缺陷明细!$A$2:$A$50000,$B$4,缺陷明细!$G$2:$G$50000,$C5,缺陷明细!$AA$2:$AA$50000,"重复Bug",缺陷明细!$J$2:$J$50000,"系统测试"))</f>
        <v>0</v>
      </c>
      <c r="S5" s="298">
        <f>COUNTIFS(缺陷明细!$A$2:$A$50000,$B$4,缺陷明细!$G$2:$G$50000,$C5,缺陷明细!$J$2:$J$50000,"系统测试",缺陷明细!$K$2:$K$50000,"致命",缺陷明细!$AA$2:$AA$50000,"&lt;&gt;丢弃",缺陷明细!$AA$2:$AA$50000,"&lt;&gt;设计如此",缺陷明细!$AA$2:$AA$50000,"&lt;&gt;重复Bug")+COUNTIFS(缺陷明细!$A$2:$A$50000,$B$4,缺陷明细!$G$2:$G$50000,$C5,缺陷明细!$J$2:$J$50000,"系统测试",缺陷明细!$K$2:$K$50000,"严重",缺陷明细!$AA$2:$AA$50000,"&lt;&gt;丢弃",缺陷明细!$AA$2:$AA$50000,"&lt;&gt;设计如此",缺陷明细!$AA$2:$AA$50000,"&lt;&gt;重复Bug")</f>
        <v>0</v>
      </c>
      <c r="T5" s="299">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300">
        <f>COUNTIFS(缺陷明细!$A$2:$A$50000,$B$4,缺陷明细!$G$2:$G$50000,$C5,缺陷明细!$J$2:$J$50000,"验收测试",缺陷明细!$AA$2:$AA$50000,"&lt;&gt;丢弃",缺陷明细!$AA$2:$AA$50000,"&lt;&gt;设计如此",缺陷明细!$AA$2:$AA$50000,"&lt;&gt;重复Bug")</f>
        <v>0</v>
      </c>
      <c r="V5" s="301">
        <f>COUNTIFS(缺陷明细!$A$2:$A$50000,$B$4,缺陷明细!$G$2:$G$50000,$C5,缺陷明细!$Q$2:$Q$50000,"已关闭",缺陷明细!$J$2:$J$50000,"验收测试")</f>
        <v>0</v>
      </c>
      <c r="W5" s="301">
        <f>COUNTIFS(缺陷明细!$A$2:$A$50000,$B$4,缺陷明细!$G$2:$G$50000,$C5,缺陷明细!$J$2:$J$50000,"验收测试",缺陷明细!$K$2:$K$50000,"致命",缺陷明细!$AA$2:$AA$50000,"&lt;&gt;丢弃",缺陷明细!$AA$2:$AA$50000,"&lt;&gt;设计如此",缺陷明细!$AA$2:$AA$50000,"&lt;&gt;重复Bug")+COUNTIFS(缺陷明细!$A$2:$A$50000,$B$4,缺陷明细!$G$2:$G$50000,$C5,缺陷明细!$J$2:$J$50000,"验收测试",缺陷明细!$K$2:$K$50000,"严重",缺陷明细!$AA$2:$AA$50000,"&lt;&gt;丢弃",缺陷明细!$AA$2:$AA$50000,"&lt;&gt;设计如此",缺陷明细!$AA$2:$AA$50000,"&lt;&gt;重复Bug")</f>
        <v>0</v>
      </c>
      <c r="X5" s="302">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303">
        <f>COUNTIFS(缺陷明细!$A$2:$A$50000,$B$4,缺陷明细!$G$2:$G$50000,$C5,缺陷明细!$J$2:$J$50000,"运维测试",缺陷明细!$AA$2:$AA$50000,"&lt;&gt;丢弃",缺陷明细!$AA$2:$AA$50000,"&lt;&gt;设计如此",缺陷明细!$AA$2:$AA$50000,"&lt;&gt;重复Bug")</f>
        <v>0</v>
      </c>
      <c r="Z5" s="304">
        <f>COUNTIFS(缺陷明细!$A$2:$A$50000,$B$4,缺陷明细!$G$2:$G$50000,$C5,缺陷明细!$Q$2:$Q$50000,"已关闭",缺陷明细!$J$2:$J$50000,"运维测试")</f>
        <v>0</v>
      </c>
      <c r="AA5" s="298">
        <f>COUNTIFS(缺陷明细!$A$2:$A$50000,$B$4,缺陷明细!$G$2:$G$50000,$C5,缺陷明细!$J$2:$J$50000,"运维测试",缺陷明细!$K$2:$K$50000,"致命",缺陷明细!$AA$2:$AA$50000,"&lt;&gt;丢弃",缺陷明细!$AA$2:$AA$50000,"&lt;&gt;设计如此",缺陷明细!$AA$2:$AA$50000,"&lt;&gt;重复Bug")+COUNTIFS(缺陷明细!$A$2:$A$50000,$B$4,缺陷明细!$G$2:$G$50000,$C5,缺陷明细!$J$2:$J$50000,"运维测试",缺陷明细!$K$2:$K$50000,"严重",缺陷明细!$AA$2:$AA$50000,"&lt;&gt;丢弃",缺陷明细!$AA$2:$AA$50000,"&lt;&gt;设计如此",缺陷明细!$AA$2:$AA$50000,"&lt;&gt;重复Bug")</f>
        <v>0</v>
      </c>
      <c r="AB5" s="299">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50"/>
    </row>
    <row r="6" spans="1:37">
      <c r="A6">
        <v>2</v>
      </c>
      <c r="B6" s="57"/>
      <c r="C6" s="58"/>
      <c r="D6" s="83"/>
      <c r="E6" s="82"/>
      <c r="F6" s="165"/>
      <c r="G6" s="166"/>
      <c r="H6" s="305">
        <f>COUNTIFS(缺陷明细!$A$2:$A$50000,$B$4,缺陷明细!$G$2:$G$50000,$C6,缺陷明细!$J$2:$J$50000,"评审",缺陷明细!$AA$2:$AA$50000,"&lt;&gt;丢弃",缺陷明细!$AA$2:$AA$50000,"&lt;&gt;设计如此",缺陷明细!$AA$2:$AA$50000,"&lt;&gt;重复Bug")</f>
        <v>0</v>
      </c>
      <c r="I6" s="161">
        <f>COUNTIFS(缺陷明细!$A$2:$A$50000,$B$4,缺陷明细!$G$2:$G$50000,$C6,缺陷明细!$Q$2:$Q$50000,"已关闭",缺陷明细!$J$2:$J$50000,"评审")</f>
        <v>0</v>
      </c>
      <c r="J6" s="161">
        <f>COUNTIFS(缺陷明细!$A$2:$A$50000,$B$4,缺陷明细!$G$2:$G$50000,$C6,缺陷明细!$J$2:$J$50000,"单元测试",缺陷明细!$AA$2:$AA$50000,"&lt;&gt;丢弃",缺陷明细!$AA$2:$AA$50000,"&lt;&gt;设计如此",缺陷明细!$AA$2:$AA$50000,"&lt;&gt;重复Bug")</f>
        <v>0</v>
      </c>
      <c r="K6" s="162">
        <f>COUNTIFS(缺陷明细!$A$2:$A$50000,$B$4,缺陷明细!$G$2:$G$50000,$C6,缺陷明细!$Q$2:$Q$50000,"已关闭",缺陷明细!$J$2:$J$50000,"单元测试")</f>
        <v>0</v>
      </c>
      <c r="L6" s="163"/>
      <c r="M6" s="164"/>
      <c r="N6" s="72">
        <f>COUNTIFS(缺陷明细!$A$2:$A$50000,$B$4,缺陷明细!$G$2:$G$50000,$C6,缺陷明细!$J$2:$J$50000,"系统测试案例评审",缺陷明细!$AA$2:$AA$50000,"&lt;&gt;丢弃",缺陷明细!$AA$2:$AA$50000,"&lt;&gt;设计如此",缺陷明细!$AA$2:$AA$50000,"&lt;&gt;重复Bug")</f>
        <v>0</v>
      </c>
      <c r="O6" s="72">
        <f>COUNTIFS(缺陷明细!$A$2:$A$50000,$B$4,缺陷明细!$G$2:$G$50000,$C6,缺陷明细!$Q$2:$Q$50000,"已关闭",缺陷明细!$J$2:$J$50000,"系统测试案例评审")</f>
        <v>0</v>
      </c>
      <c r="P6" s="72">
        <f>COUNTIFS(缺陷明细!$A$2:$A$50000,$B$4,缺陷明细!$G$2:$G$50000,$C6,缺陷明细!$J$2:$J$50000,"系统测试",缺陷明细!$AA$2:$AA$50000,"&lt;&gt;丢弃",缺陷明细!$AA$2:$AA$50000,"&lt;&gt;设计如此",缺陷明细!$AA$2:$AA$50000,"&lt;&gt;重复Bug")</f>
        <v>0</v>
      </c>
      <c r="Q6" s="72">
        <f>COUNTIFS(缺陷明细!$A$2:$A$50000,$B$4,缺陷明细!$G$2:$G$50000,$C6,缺陷明细!$Q$2:$Q$50000,"已关闭",缺陷明细!$J$2:$J$50000,"系统测试")</f>
        <v>0</v>
      </c>
      <c r="R6" s="72">
        <f>COUNTIFS(缺陷明细!$A$2:$A$50000,$B$4,缺陷明细!$G$2:$G$50000,$C6,缺陷明细!$AA$2:$AA$50000,"丢弃",缺陷明细!$J$2:$J$50000,"系统测试")+COUNTIFS(缺陷明细!$A$2:$A$50000,$B$4,缺陷明细!$G$2:$G$50000,$C6,缺陷明细!$AA$2:$AA$50000,"设计如此",缺陷明细!$J$2:$J$50000,"系统测试"+COUNTIFS(缺陷明细!$A$2:$A$50000,$B$4,缺陷明细!$G$2:$G$50000,$C6,缺陷明细!$AA$2:$AA$50000,"重复Bug",缺陷明细!$J$2:$J$50000,"系统测试"))</f>
        <v>0</v>
      </c>
      <c r="S6" s="72">
        <f>COUNTIFS(缺陷明细!$A$2:$A$50000,$B$4,缺陷明细!$G$2:$G$50000,$C6,缺陷明细!$J$2:$J$50000,"系统测试",缺陷明细!$K$2:$K$50000,"致命",缺陷明细!$AA$2:$AA$50000,"&lt;&gt;丢弃",缺陷明细!$AA$2:$AA$50000,"&lt;&gt;设计如此",缺陷明细!$AA$2:$AA$50000,"&lt;&gt;重复Bug")+COUNTIFS(缺陷明细!$A$2:$A$50000,$B$4,缺陷明细!$G$2:$G$50000,$C6,缺陷明细!$J$2:$J$50000,"系统测试",缺陷明细!$K$2:$K$50000,"严重",缺陷明细!$AA$2:$AA$50000,"&lt;&gt;丢弃",缺陷明细!$AA$2:$AA$50000,"&lt;&gt;设计如此",缺陷明细!$AA$2:$AA$50000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COUNTIFS(缺陷明细!$A$2:$A$50000,$B$4,缺陷明细!$G$2:$G$50000,$C6,缺陷明细!$J$2:$J$50000,"验收测试",缺陷明细!$AA$2:$AA$50000,"&lt;&gt;丢弃",缺陷明细!$AA$2:$AA$50000,"&lt;&gt;设计如此",缺陷明细!$AA$2:$AA$50000,"&lt;&gt;重复Bug")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A$2:$AA$50000,"&lt;&gt;丢弃",缺陷明细!$AA$2:$AA$50000,"&lt;&gt;设计如此",缺陷明细!$AA$2:$AA$50000,"&lt;&gt;重复Bug")+COUNTIFS(缺陷明细!$A$2:$A$50000,$B$4,缺陷明细!$G$2:$G$50000,$C6,缺陷明细!$J$2:$J$50000,"验收测试",缺陷明细!$K$2:$K$50000,"严重",缺陷明细!$AA$2:$AA$50000,"&lt;&gt;丢弃",缺陷明细!$AA$2:$AA$50000,"&lt;&gt;设计如此",缺陷明细!$AA$2:$AA$50000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COUNTIFS(缺陷明细!$A$2:$A$50000,$B$4,缺陷明细!$G$2:$G$50000,$C6,缺陷明细!$J$2:$J$50000,"运维测试",缺陷明细!$AA$2:$AA$50000,"&lt;&gt;丢弃",缺陷明细!$AA$2:$AA$50000,"&lt;&gt;设计如此",缺陷明细!$AA$2:$AA$50000,"&lt;&gt;重复Bug")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A$2:$AA$50000,"&lt;&gt;丢弃",缺陷明细!$AA$2:$AA$50000,"&lt;&gt;设计如此",缺陷明细!$AA$2:$AA$50000,"&lt;&gt;重复Bug")+COUNTIFS(缺陷明细!$A$2:$A$50000,$B$4,缺陷明细!$G$2:$G$50000,$C6,缺陷明细!$J$2:$J$50000,"运维测试",缺陷明细!$K$2:$K$50000,"严重",缺陷明细!$AA$2:$AA$50000,"&lt;&gt;丢弃",缺陷明细!$AA$2:$AA$50000,"&lt;&gt;设计如此",缺陷明细!$AA$2:$AA$50000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51"/>
    </row>
    <row r="7" spans="1:37">
      <c r="A7">
        <v>3</v>
      </c>
      <c r="B7" s="57"/>
      <c r="C7" s="58"/>
      <c r="D7" s="83"/>
      <c r="E7" s="82"/>
      <c r="F7" s="165"/>
      <c r="G7" s="166"/>
      <c r="H7" s="305">
        <f>COUNTIFS(缺陷明细!$A$2:$A$50000,$B$4,缺陷明细!$G$2:$G$50000,$C7,缺陷明细!$J$2:$J$50000,"评审",缺陷明细!$AA$2:$AA$50000,"&lt;&gt;丢弃",缺陷明细!$AA$2:$AA$50000,"&lt;&gt;设计如此",缺陷明细!$AA$2:$AA$50000,"&lt;&gt;重复Bug")</f>
        <v>0</v>
      </c>
      <c r="I7" s="161">
        <f>COUNTIFS(缺陷明细!$A$2:$A$50000,$B$4,缺陷明细!$G$2:$G$50000,$C7,缺陷明细!$Q$2:$Q$50000,"已关闭",缺陷明细!$J$2:$J$50000,"评审")</f>
        <v>0</v>
      </c>
      <c r="J7" s="161">
        <f>COUNTIFS(缺陷明细!$A$2:$A$50000,$B$4,缺陷明细!$G$2:$G$50000,$C7,缺陷明细!$J$2:$J$50000,"单元测试",缺陷明细!$AA$2:$AA$50000,"&lt;&gt;丢弃",缺陷明细!$AA$2:$AA$50000,"&lt;&gt;设计如此",缺陷明细!$AA$2:$AA$50000,"&lt;&gt;重复Bug")</f>
        <v>0</v>
      </c>
      <c r="K7" s="162">
        <f>COUNTIFS(缺陷明细!$A$2:$A$50000,$B$4,缺陷明细!$G$2:$G$50000,$C7,缺陷明细!$Q$2:$Q$50000,"已关闭",缺陷明细!$J$2:$J$50000,"单元测试")</f>
        <v>0</v>
      </c>
      <c r="L7" s="163"/>
      <c r="M7" s="164"/>
      <c r="N7" s="72">
        <f>COUNTIFS(缺陷明细!$A$2:$A$50000,$B$4,缺陷明细!$G$2:$G$50000,$C7,缺陷明细!$J$2:$J$50000,"系统测试案例评审",缺陷明细!$AA$2:$AA$50000,"&lt;&gt;丢弃",缺陷明细!$AA$2:$AA$50000,"&lt;&gt;设计如此",缺陷明细!$AA$2:$AA$50000,"&lt;&gt;重复Bug")</f>
        <v>0</v>
      </c>
      <c r="O7" s="72">
        <f>COUNTIFS(缺陷明细!$A$2:$A$50000,$B$4,缺陷明细!$G$2:$G$50000,$C7,缺陷明细!$Q$2:$Q$50000,"已关闭",缺陷明细!$J$2:$J$50000,"系统测试案例评审")</f>
        <v>0</v>
      </c>
      <c r="P7" s="72">
        <f>COUNTIFS(缺陷明细!$A$2:$A$50000,$B$4,缺陷明细!$G$2:$G$50000,$C7,缺陷明细!$J$2:$J$50000,"系统测试",缺陷明细!$AA$2:$AA$50000,"&lt;&gt;丢弃",缺陷明细!$AA$2:$AA$50000,"&lt;&gt;设计如此",缺陷明细!$AA$2:$AA$50000,"&lt;&gt;重复Bug")</f>
        <v>0</v>
      </c>
      <c r="Q7" s="72">
        <f>COUNTIFS(缺陷明细!$A$2:$A$50000,$B$4,缺陷明细!$G$2:$G$50000,$C7,缺陷明细!$Q$2:$Q$50000,"已关闭",缺陷明细!$J$2:$J$50000,"系统测试")</f>
        <v>0</v>
      </c>
      <c r="R7" s="72">
        <f>COUNTIFS(缺陷明细!$A$2:$A$50000,$B$4,缺陷明细!$G$2:$G$50000,$C7,缺陷明细!$AA$2:$AA$50000,"丢弃",缺陷明细!$J$2:$J$50000,"系统测试")+COUNTIFS(缺陷明细!$A$2:$A$50000,$B$4,缺陷明细!$G$2:$G$50000,$C7,缺陷明细!$AA$2:$AA$50000,"设计如此",缺陷明细!$J$2:$J$50000,"系统测试"+COUNTIFS(缺陷明细!$A$2:$A$50000,$B$4,缺陷明细!$G$2:$G$50000,$C7,缺陷明细!$AA$2:$AA$50000,"重复Bug",缺陷明细!$J$2:$J$50000,"系统测试"))</f>
        <v>0</v>
      </c>
      <c r="S7" s="72">
        <f>COUNTIFS(缺陷明细!$A$2:$A$50000,$B$4,缺陷明细!$G$2:$G$50000,$C7,缺陷明细!$J$2:$J$50000,"系统测试",缺陷明细!$K$2:$K$50000,"致命",缺陷明细!$AA$2:$AA$50000,"&lt;&gt;丢弃",缺陷明细!$AA$2:$AA$50000,"&lt;&gt;设计如此",缺陷明细!$AA$2:$AA$50000,"&lt;&gt;重复Bug")+COUNTIFS(缺陷明细!$A$2:$A$50000,$B$4,缺陷明细!$G$2:$G$50000,$C7,缺陷明细!$J$2:$J$50000,"系统测试",缺陷明细!$K$2:$K$50000,"严重",缺陷明细!$AA$2:$AA$50000,"&lt;&gt;丢弃",缺陷明细!$AA$2:$AA$50000,"&lt;&gt;设计如此",缺陷明细!$AA$2:$AA$50000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COUNTIFS(缺陷明细!$A$2:$A$50000,$B$4,缺陷明细!$G$2:$G$50000,$C7,缺陷明细!$J$2:$J$50000,"验收测试",缺陷明细!$AA$2:$AA$50000,"&lt;&gt;丢弃",缺陷明细!$AA$2:$AA$50000,"&lt;&gt;设计如此",缺陷明细!$AA$2:$AA$50000,"&lt;&gt;重复Bug")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A$2:$AA$50000,"&lt;&gt;丢弃",缺陷明细!$AA$2:$AA$50000,"&lt;&gt;设计如此",缺陷明细!$AA$2:$AA$50000,"&lt;&gt;重复Bug")+COUNTIFS(缺陷明细!$A$2:$A$50000,$B$4,缺陷明细!$G$2:$G$50000,$C7,缺陷明细!$J$2:$J$50000,"验收测试",缺陷明细!$K$2:$K$50000,"严重",缺陷明细!$AA$2:$AA$50000,"&lt;&gt;丢弃",缺陷明细!$AA$2:$AA$50000,"&lt;&gt;设计如此",缺陷明细!$AA$2:$AA$50000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COUNTIFS(缺陷明细!$A$2:$A$50000,$B$4,缺陷明细!$G$2:$G$50000,$C7,缺陷明细!$J$2:$J$50000,"运维测试",缺陷明细!$AA$2:$AA$50000,"&lt;&gt;丢弃",缺陷明细!$AA$2:$AA$50000,"&lt;&gt;设计如此",缺陷明细!$AA$2:$AA$50000,"&lt;&gt;重复Bug")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A$2:$AA$50000,"&lt;&gt;丢弃",缺陷明细!$AA$2:$AA$50000,"&lt;&gt;设计如此",缺陷明细!$AA$2:$AA$50000,"&lt;&gt;重复Bug")+COUNTIFS(缺陷明细!$A$2:$A$50000,$B$4,缺陷明细!$G$2:$G$50000,$C7,缺陷明细!$J$2:$J$50000,"运维测试",缺陷明细!$K$2:$K$50000,"严重",缺陷明细!$AA$2:$AA$50000,"&lt;&gt;丢弃",缺陷明细!$AA$2:$AA$50000,"&lt;&gt;设计如此",缺陷明细!$AA$2:$AA$50000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51"/>
    </row>
    <row r="8" spans="1:37">
      <c r="A8">
        <v>4</v>
      </c>
      <c r="B8" s="57"/>
      <c r="C8" s="58"/>
      <c r="D8" s="83"/>
      <c r="E8" s="82"/>
      <c r="F8" s="165"/>
      <c r="G8" s="166"/>
      <c r="H8" s="305">
        <f>COUNTIFS(缺陷明细!$A$2:$A$50000,$B$4,缺陷明细!$G$2:$G$50000,$C8,缺陷明细!$J$2:$J$50000,"评审",缺陷明细!$AA$2:$AA$50000,"&lt;&gt;丢弃",缺陷明细!$AA$2:$AA$50000,"&lt;&gt;设计如此",缺陷明细!$AA$2:$AA$50000,"&lt;&gt;重复Bug")</f>
        <v>0</v>
      </c>
      <c r="I8" s="161">
        <f>COUNTIFS(缺陷明细!$A$2:$A$50000,$B$4,缺陷明细!$G$2:$G$50000,$C8,缺陷明细!$Q$2:$Q$50000,"已关闭",缺陷明细!$J$2:$J$50000,"评审")</f>
        <v>0</v>
      </c>
      <c r="J8" s="161">
        <f>COUNTIFS(缺陷明细!$A$2:$A$50000,$B$4,缺陷明细!$G$2:$G$50000,$C8,缺陷明细!$J$2:$J$50000,"单元测试",缺陷明细!$AA$2:$AA$50000,"&lt;&gt;丢弃",缺陷明细!$AA$2:$AA$50000,"&lt;&gt;设计如此",缺陷明细!$AA$2:$AA$50000,"&lt;&gt;重复Bug")</f>
        <v>0</v>
      </c>
      <c r="K8" s="162">
        <f>COUNTIFS(缺陷明细!$A$2:$A$50000,$B$4,缺陷明细!$G$2:$G$50000,$C8,缺陷明细!$Q$2:$Q$50000,"已关闭",缺陷明细!$J$2:$J$50000,"单元测试")</f>
        <v>0</v>
      </c>
      <c r="L8" s="163"/>
      <c r="M8" s="164"/>
      <c r="N8" s="72">
        <f>COUNTIFS(缺陷明细!$A$2:$A$50000,$B$4,缺陷明细!$G$2:$G$50000,$C8,缺陷明细!$J$2:$J$50000,"系统测试案例评审",缺陷明细!$AA$2:$AA$50000,"&lt;&gt;丢弃",缺陷明细!$AA$2:$AA$50000,"&lt;&gt;设计如此",缺陷明细!$AA$2:$AA$50000,"&lt;&gt;重复Bug")</f>
        <v>0</v>
      </c>
      <c r="O8" s="72">
        <f>COUNTIFS(缺陷明细!$A$2:$A$50000,$B$4,缺陷明细!$G$2:$G$50000,$C8,缺陷明细!$Q$2:$Q$50000,"已关闭",缺陷明细!$J$2:$J$50000,"系统测试案例评审")</f>
        <v>0</v>
      </c>
      <c r="P8" s="72">
        <f>COUNTIFS(缺陷明细!$A$2:$A$50000,$B$4,缺陷明细!$G$2:$G$50000,$C8,缺陷明细!$J$2:$J$50000,"系统测试",缺陷明细!$AA$2:$AA$50000,"&lt;&gt;丢弃",缺陷明细!$AA$2:$AA$50000,"&lt;&gt;设计如此",缺陷明细!$AA$2:$AA$50000,"&lt;&gt;重复Bug")</f>
        <v>0</v>
      </c>
      <c r="Q8" s="72">
        <f>COUNTIFS(缺陷明细!$A$2:$A$50000,$B$4,缺陷明细!$G$2:$G$50000,$C8,缺陷明细!$Q$2:$Q$50000,"已关闭",缺陷明细!$J$2:$J$50000,"系统测试")</f>
        <v>0</v>
      </c>
      <c r="R8" s="72">
        <f>COUNTIFS(缺陷明细!$A$2:$A$50000,$B$4,缺陷明细!$G$2:$G$50000,$C8,缺陷明细!$AA$2:$AA$50000,"丢弃",缺陷明细!$J$2:$J$50000,"系统测试")+COUNTIFS(缺陷明细!$A$2:$A$50000,$B$4,缺陷明细!$G$2:$G$50000,$C8,缺陷明细!$AA$2:$AA$50000,"设计如此",缺陷明细!$J$2:$J$50000,"系统测试"+COUNTIFS(缺陷明细!$A$2:$A$50000,$B$4,缺陷明细!$G$2:$G$50000,$C8,缺陷明细!$AA$2:$AA$50000,"重复Bug",缺陷明细!$J$2:$J$50000,"系统测试"))</f>
        <v>0</v>
      </c>
      <c r="S8" s="72">
        <f>COUNTIFS(缺陷明细!$A$2:$A$50000,$B$4,缺陷明细!$G$2:$G$50000,$C8,缺陷明细!$J$2:$J$50000,"系统测试",缺陷明细!$K$2:$K$50000,"致命",缺陷明细!$AA$2:$AA$50000,"&lt;&gt;丢弃",缺陷明细!$AA$2:$AA$50000,"&lt;&gt;设计如此",缺陷明细!$AA$2:$AA$50000,"&lt;&gt;重复Bug")+COUNTIFS(缺陷明细!$A$2:$A$50000,$B$4,缺陷明细!$G$2:$G$50000,$C8,缺陷明细!$J$2:$J$50000,"系统测试",缺陷明细!$K$2:$K$50000,"严重",缺陷明细!$AA$2:$AA$50000,"&lt;&gt;丢弃",缺陷明细!$AA$2:$AA$50000,"&lt;&gt;设计如此",缺陷明细!$AA$2:$AA$50000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COUNTIFS(缺陷明细!$A$2:$A$50000,$B$4,缺陷明细!$G$2:$G$50000,$C8,缺陷明细!$J$2:$J$50000,"验收测试",缺陷明细!$AA$2:$AA$50000,"&lt;&gt;丢弃",缺陷明细!$AA$2:$AA$50000,"&lt;&gt;设计如此",缺陷明细!$AA$2:$AA$50000,"&lt;&gt;重复Bug")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A$2:$AA$50000,"&lt;&gt;丢弃",缺陷明细!$AA$2:$AA$50000,"&lt;&gt;设计如此",缺陷明细!$AA$2:$AA$50000,"&lt;&gt;重复Bug")+COUNTIFS(缺陷明细!$A$2:$A$50000,$B$4,缺陷明细!$G$2:$G$50000,$C8,缺陷明细!$J$2:$J$50000,"验收测试",缺陷明细!$K$2:$K$50000,"严重",缺陷明细!$AA$2:$AA$50000,"&lt;&gt;丢弃",缺陷明细!$AA$2:$AA$50000,"&lt;&gt;设计如此",缺陷明细!$AA$2:$AA$50000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COUNTIFS(缺陷明细!$A$2:$A$50000,$B$4,缺陷明细!$G$2:$G$50000,$C8,缺陷明细!$J$2:$J$50000,"运维测试",缺陷明细!$AA$2:$AA$50000,"&lt;&gt;丢弃",缺陷明细!$AA$2:$AA$50000,"&lt;&gt;设计如此",缺陷明细!$AA$2:$AA$50000,"&lt;&gt;重复Bug")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A$2:$AA$50000,"&lt;&gt;丢弃",缺陷明细!$AA$2:$AA$50000,"&lt;&gt;设计如此",缺陷明细!$AA$2:$AA$50000,"&lt;&gt;重复Bug")+COUNTIFS(缺陷明细!$A$2:$A$50000,$B$4,缺陷明细!$G$2:$G$50000,$C8,缺陷明细!$J$2:$J$50000,"运维测试",缺陷明细!$K$2:$K$50000,"严重",缺陷明细!$AA$2:$AA$50000,"&lt;&gt;丢弃",缺陷明细!$AA$2:$AA$50000,"&lt;&gt;设计如此",缺陷明细!$AA$2:$AA$50000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51"/>
    </row>
    <row r="9" spans="1:37">
      <c r="A9">
        <v>5</v>
      </c>
      <c r="B9" s="57"/>
      <c r="C9" s="59"/>
      <c r="D9" s="84"/>
      <c r="E9" s="82"/>
      <c r="F9" s="167"/>
      <c r="G9" s="168"/>
      <c r="H9" s="305">
        <f>COUNTIFS(缺陷明细!$A$2:$A$50000,$B$4,缺陷明细!$G$2:$G$50000,$C9,缺陷明细!$J$2:$J$50000,"评审",缺陷明细!$AA$2:$AA$50000,"&lt;&gt;丢弃",缺陷明细!$AA$2:$AA$50000,"&lt;&gt;设计如此",缺陷明细!$AA$2:$AA$50000,"&lt;&gt;重复Bug")</f>
        <v>0</v>
      </c>
      <c r="I9" s="161">
        <f>COUNTIFS(缺陷明细!$A$2:$A$50000,$B$4,缺陷明细!$G$2:$G$50000,$C9,缺陷明细!$Q$2:$Q$50000,"已关闭",缺陷明细!$J$2:$J$50000,"评审")</f>
        <v>0</v>
      </c>
      <c r="J9" s="161">
        <f>COUNTIFS(缺陷明细!$A$2:$A$50000,$B$4,缺陷明细!$G$2:$G$50000,$C9,缺陷明细!$J$2:$J$50000,"单元测试",缺陷明细!$AA$2:$AA$50000,"&lt;&gt;丢弃",缺陷明细!$AA$2:$AA$50000,"&lt;&gt;设计如此",缺陷明细!$AA$2:$AA$50000,"&lt;&gt;重复Bug")</f>
        <v>0</v>
      </c>
      <c r="K9" s="162">
        <f>COUNTIFS(缺陷明细!$A$2:$A$50000,$B$4,缺陷明细!$G$2:$G$50000,$C9,缺陷明细!$Q$2:$Q$50000,"已关闭",缺陷明细!$J$2:$J$50000,"单元测试")</f>
        <v>0</v>
      </c>
      <c r="L9" s="163"/>
      <c r="M9" s="164"/>
      <c r="N9" s="72">
        <f>COUNTIFS(缺陷明细!$A$2:$A$50000,$B$4,缺陷明细!$G$2:$G$50000,$C9,缺陷明细!$J$2:$J$50000,"系统测试案例评审",缺陷明细!$AA$2:$AA$50000,"&lt;&gt;丢弃",缺陷明细!$AA$2:$AA$50000,"&lt;&gt;设计如此",缺陷明细!$AA$2:$AA$50000,"&lt;&gt;重复Bug")</f>
        <v>0</v>
      </c>
      <c r="O9" s="72">
        <f>COUNTIFS(缺陷明细!$A$2:$A$50000,$B$4,缺陷明细!$G$2:$G$50000,$C9,缺陷明细!$Q$2:$Q$50000,"已关闭",缺陷明细!$J$2:$J$50000,"系统测试案例评审")</f>
        <v>0</v>
      </c>
      <c r="P9" s="72">
        <f>COUNTIFS(缺陷明细!$A$2:$A$50000,$B$4,缺陷明细!$G$2:$G$50000,$C9,缺陷明细!$J$2:$J$50000,"系统测试",缺陷明细!$AA$2:$AA$50000,"&lt;&gt;丢弃",缺陷明细!$AA$2:$AA$50000,"&lt;&gt;设计如此",缺陷明细!$AA$2:$AA$50000,"&lt;&gt;重复Bug")</f>
        <v>0</v>
      </c>
      <c r="Q9" s="72">
        <f>COUNTIFS(缺陷明细!$A$2:$A$50000,$B$4,缺陷明细!$G$2:$G$50000,$C9,缺陷明细!$Q$2:$Q$50000,"已关闭",缺陷明细!$J$2:$J$50000,"系统测试")</f>
        <v>0</v>
      </c>
      <c r="R9" s="72">
        <f>COUNTIFS(缺陷明细!$A$2:$A$50000,$B$4,缺陷明细!$G$2:$G$50000,$C9,缺陷明细!$AA$2:$AA$50000,"丢弃",缺陷明细!$J$2:$J$50000,"系统测试")+COUNTIFS(缺陷明细!$A$2:$A$50000,$B$4,缺陷明细!$G$2:$G$50000,$C9,缺陷明细!$AA$2:$AA$50000,"设计如此",缺陷明细!$J$2:$J$50000,"系统测试"+COUNTIFS(缺陷明细!$A$2:$A$50000,$B$4,缺陷明细!$G$2:$G$50000,$C9,缺陷明细!$AA$2:$AA$50000,"重复Bug",缺陷明细!$J$2:$J$50000,"系统测试"))</f>
        <v>0</v>
      </c>
      <c r="S9" s="72">
        <f>COUNTIFS(缺陷明细!$A$2:$A$50000,$B$4,缺陷明细!$G$2:$G$50000,$C9,缺陷明细!$J$2:$J$50000,"系统测试",缺陷明细!$K$2:$K$50000,"致命",缺陷明细!$AA$2:$AA$50000,"&lt;&gt;丢弃",缺陷明细!$AA$2:$AA$50000,"&lt;&gt;设计如此",缺陷明细!$AA$2:$AA$50000,"&lt;&gt;重复Bug")+COUNTIFS(缺陷明细!$A$2:$A$50000,$B$4,缺陷明细!$G$2:$G$50000,$C9,缺陷明细!$J$2:$J$50000,"系统测试",缺陷明细!$K$2:$K$50000,"严重",缺陷明细!$AA$2:$AA$50000,"&lt;&gt;丢弃",缺陷明细!$AA$2:$AA$50000,"&lt;&gt;设计如此",缺陷明细!$AA$2:$AA$50000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COUNTIFS(缺陷明细!$A$2:$A$50000,$B$4,缺陷明细!$G$2:$G$50000,$C9,缺陷明细!$J$2:$J$50000,"验收测试",缺陷明细!$AA$2:$AA$50000,"&lt;&gt;丢弃",缺陷明细!$AA$2:$AA$50000,"&lt;&gt;设计如此",缺陷明细!$AA$2:$AA$50000,"&lt;&gt;重复Bug")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A$2:$AA$50000,"&lt;&gt;丢弃",缺陷明细!$AA$2:$AA$50000,"&lt;&gt;设计如此",缺陷明细!$AA$2:$AA$50000,"&lt;&gt;重复Bug")+COUNTIFS(缺陷明细!$A$2:$A$50000,$B$4,缺陷明细!$G$2:$G$50000,$C9,缺陷明细!$J$2:$J$50000,"验收测试",缺陷明细!$K$2:$K$50000,"严重",缺陷明细!$AA$2:$AA$50000,"&lt;&gt;丢弃",缺陷明细!$AA$2:$AA$50000,"&lt;&gt;设计如此",缺陷明细!$AA$2:$AA$50000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COUNTIFS(缺陷明细!$A$2:$A$50000,$B$4,缺陷明细!$G$2:$G$50000,$C9,缺陷明细!$J$2:$J$50000,"运维测试",缺陷明细!$AA$2:$AA$50000,"&lt;&gt;丢弃",缺陷明细!$AA$2:$AA$50000,"&lt;&gt;设计如此",缺陷明细!$AA$2:$AA$50000,"&lt;&gt;重复Bug")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A$2:$AA$50000,"&lt;&gt;丢弃",缺陷明细!$AA$2:$AA$50000,"&lt;&gt;设计如此",缺陷明细!$AA$2:$AA$50000,"&lt;&gt;重复Bug")+COUNTIFS(缺陷明细!$A$2:$A$50000,$B$4,缺陷明细!$G$2:$G$50000,$C9,缺陷明细!$J$2:$J$50000,"运维测试",缺陷明细!$K$2:$K$50000,"严重",缺陷明细!$AA$2:$AA$50000,"&lt;&gt;丢弃",缺陷明细!$AA$2:$AA$50000,"&lt;&gt;设计如此",缺陷明细!$AA$2:$AA$50000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51"/>
    </row>
    <row r="10" spans="1:37">
      <c r="A10">
        <v>6</v>
      </c>
      <c r="B10" s="57"/>
      <c r="C10" s="58"/>
      <c r="D10" s="84"/>
      <c r="E10" s="82"/>
      <c r="F10" s="165"/>
      <c r="G10" s="166"/>
      <c r="H10" s="305">
        <f>COUNTIFS(缺陷明细!$A$2:$A$50000,$B$4,缺陷明细!$G$2:$G$50000,$C10,缺陷明细!$J$2:$J$50000,"评审",缺陷明细!$AA$2:$AA$50000,"&lt;&gt;丢弃",缺陷明细!$AA$2:$AA$50000,"&lt;&gt;设计如此",缺陷明细!$AA$2:$AA$50000,"&lt;&gt;重复Bug")</f>
        <v>0</v>
      </c>
      <c r="I10" s="161">
        <f>COUNTIFS(缺陷明细!$A$2:$A$50000,$B$4,缺陷明细!$G$2:$G$50000,$C10,缺陷明细!$Q$2:$Q$50000,"已关闭",缺陷明细!$J$2:$J$50000,"评审")</f>
        <v>0</v>
      </c>
      <c r="J10" s="161">
        <f>COUNTIFS(缺陷明细!$A$2:$A$50000,$B$4,缺陷明细!$G$2:$G$50000,$C10,缺陷明细!$J$2:$J$50000,"单元测试",缺陷明细!$AA$2:$AA$50000,"&lt;&gt;丢弃",缺陷明细!$AA$2:$AA$50000,"&lt;&gt;设计如此",缺陷明细!$AA$2:$AA$50000,"&lt;&gt;重复Bug")</f>
        <v>0</v>
      </c>
      <c r="K10" s="162">
        <f>COUNTIFS(缺陷明细!$A$2:$A$50000,$B$4,缺陷明细!$G$2:$G$50000,$C10,缺陷明细!$Q$2:$Q$50000,"已关闭",缺陷明细!$J$2:$J$50000,"单元测试")</f>
        <v>0</v>
      </c>
      <c r="L10" s="163"/>
      <c r="M10" s="164"/>
      <c r="N10" s="72">
        <f>COUNTIFS(缺陷明细!$A$2:$A$50000,$B$4,缺陷明细!$G$2:$G$50000,$C10,缺陷明细!$J$2:$J$50000,"系统测试案例评审",缺陷明细!$AA$2:$AA$50000,"&lt;&gt;丢弃",缺陷明细!$AA$2:$AA$50000,"&lt;&gt;设计如此",缺陷明细!$AA$2:$AA$50000,"&lt;&gt;重复Bug")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COUNTIFS(缺陷明细!$A$2:$A$50000,$B$4,缺陷明细!$G$2:$G$50000,$C10,缺陷明细!$J$2:$J$50000,"系统测试",缺陷明细!$AA$2:$AA$50000,"&lt;&gt;丢弃",缺陷明细!$AA$2:$AA$50000,"&lt;&gt;设计如此",缺陷明细!$AA$2:$AA$50000,"&lt;&gt;重复Bug")</f>
        <v>0</v>
      </c>
      <c r="Q10" s="72">
        <f>COUNTIFS(缺陷明细!$A$2:$A$50000,$B$4,缺陷明细!$G$2:$G$50000,$C10,缺陷明细!$Q$2:$Q$50000,"已关闭",缺陷明细!$J$2:$J$50000,"系统测试")</f>
        <v>0</v>
      </c>
      <c r="R10" s="72">
        <f>COUNTIFS(缺陷明细!$A$2:$A$50000,$B$4,缺陷明细!$G$2:$G$50000,$C10,缺陷明细!$AA$2:$AA$50000,"丢弃",缺陷明细!$J$2:$J$50000,"系统测试")+COUNTIFS(缺陷明细!$A$2:$A$50000,$B$4,缺陷明细!$G$2:$G$50000,$C10,缺陷明细!$AA$2:$AA$50000,"设计如此",缺陷明细!$J$2:$J$50000,"系统测试"+COUNTIFS(缺陷明细!$A$2:$A$50000,$B$4,缺陷明细!$G$2:$G$50000,$C10,缺陷明细!$AA$2:$AA$50000,"重复Bug",缺陷明细!$J$2:$J$50000,"系统测试"))</f>
        <v>0</v>
      </c>
      <c r="S10" s="72">
        <f>COUNTIFS(缺陷明细!$A$2:$A$50000,$B$4,缺陷明细!$G$2:$G$50000,$C10,缺陷明细!$J$2:$J$50000,"系统测试",缺陷明细!$K$2:$K$50000,"致命",缺陷明细!$AA$2:$AA$50000,"&lt;&gt;丢弃",缺陷明细!$AA$2:$AA$50000,"&lt;&gt;设计如此",缺陷明细!$AA$2:$AA$50000,"&lt;&gt;重复Bug")+COUNTIFS(缺陷明细!$A$2:$A$50000,$B$4,缺陷明细!$G$2:$G$50000,$C10,缺陷明细!$J$2:$J$50000,"系统测试",缺陷明细!$K$2:$K$50000,"严重",缺陷明细!$AA$2:$AA$50000,"&lt;&gt;丢弃",缺陷明细!$AA$2:$AA$50000,"&lt;&gt;设计如此",缺陷明细!$AA$2:$AA$50000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COUNTIFS(缺陷明细!$A$2:$A$50000,$B$4,缺陷明细!$G$2:$G$50000,$C10,缺陷明细!$J$2:$J$50000,"验收测试",缺陷明细!$AA$2:$AA$50000,"&lt;&gt;丢弃",缺陷明细!$AA$2:$AA$50000,"&lt;&gt;设计如此",缺陷明细!$AA$2:$AA$50000,"&lt;&gt;重复Bug")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A$2:$AA$50000,"&lt;&gt;丢弃",缺陷明细!$AA$2:$AA$50000,"&lt;&gt;设计如此",缺陷明细!$AA$2:$AA$50000,"&lt;&gt;重复Bug")+COUNTIFS(缺陷明细!$A$2:$A$50000,$B$4,缺陷明细!$G$2:$G$50000,$C10,缺陷明细!$J$2:$J$50000,"验收测试",缺陷明细!$K$2:$K$50000,"严重",缺陷明细!$AA$2:$AA$50000,"&lt;&gt;丢弃",缺陷明细!$AA$2:$AA$50000,"&lt;&gt;设计如此",缺陷明细!$AA$2:$AA$50000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COUNTIFS(缺陷明细!$A$2:$A$50000,$B$4,缺陷明细!$G$2:$G$50000,$C10,缺陷明细!$J$2:$J$50000,"运维测试",缺陷明细!$AA$2:$AA$50000,"&lt;&gt;丢弃",缺陷明细!$AA$2:$AA$50000,"&lt;&gt;设计如此",缺陷明细!$AA$2:$AA$50000,"&lt;&gt;重复Bug")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A$2:$AA$50000,"&lt;&gt;丢弃",缺陷明细!$AA$2:$AA$50000,"&lt;&gt;设计如此",缺陷明细!$AA$2:$AA$50000,"&lt;&gt;重复Bug")+COUNTIFS(缺陷明细!$A$2:$A$50000,$B$4,缺陷明细!$G$2:$G$50000,$C10,缺陷明细!$J$2:$J$50000,"运维测试",缺陷明细!$K$2:$K$50000,"严重",缺陷明细!$AA$2:$AA$50000,"&lt;&gt;丢弃",缺陷明细!$AA$2:$AA$50000,"&lt;&gt;设计如此",缺陷明细!$AA$2:$AA$50000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51"/>
    </row>
    <row r="11" spans="1:37">
      <c r="A11">
        <v>7</v>
      </c>
      <c r="B11" s="57"/>
      <c r="C11" s="58"/>
      <c r="D11" s="84"/>
      <c r="E11" s="82"/>
      <c r="F11" s="165"/>
      <c r="G11" s="166"/>
      <c r="H11" s="305">
        <f>COUNTIFS(缺陷明细!$A$2:$A$50000,$B$4,缺陷明细!$G$2:$G$50000,$C11,缺陷明细!$J$2:$J$50000,"评审",缺陷明细!$AA$2:$AA$50000,"&lt;&gt;丢弃",缺陷明细!$AA$2:$AA$50000,"&lt;&gt;设计如此",缺陷明细!$AA$2:$AA$50000,"&lt;&gt;重复Bug")</f>
        <v>0</v>
      </c>
      <c r="I11" s="161">
        <f>COUNTIFS(缺陷明细!$A$2:$A$50000,$B$4,缺陷明细!$G$2:$G$50000,$C11,缺陷明细!$Q$2:$Q$50000,"已关闭",缺陷明细!$J$2:$J$50000,"评审")</f>
        <v>0</v>
      </c>
      <c r="J11" s="161">
        <f>COUNTIFS(缺陷明细!$A$2:$A$50000,$B$4,缺陷明细!$G$2:$G$50000,$C11,缺陷明细!$J$2:$J$50000,"单元测试",缺陷明细!$AA$2:$AA$50000,"&lt;&gt;丢弃",缺陷明细!$AA$2:$AA$50000,"&lt;&gt;设计如此",缺陷明细!$AA$2:$AA$50000,"&lt;&gt;重复Bug")</f>
        <v>0</v>
      </c>
      <c r="K11" s="162">
        <f>COUNTIFS(缺陷明细!$A$2:$A$50000,$B$4,缺陷明细!$G$2:$G$50000,$C11,缺陷明细!$Q$2:$Q$50000,"已关闭",缺陷明细!$J$2:$J$50000,"单元测试")</f>
        <v>0</v>
      </c>
      <c r="L11" s="163"/>
      <c r="M11" s="164"/>
      <c r="N11" s="72">
        <f>COUNTIFS(缺陷明细!$A$2:$A$50000,$B$4,缺陷明细!$G$2:$G$50000,$C11,缺陷明细!$J$2:$J$50000,"系统测试案例评审",缺陷明细!$AA$2:$AA$50000,"&lt;&gt;丢弃",缺陷明细!$AA$2:$AA$50000,"&lt;&gt;设计如此",缺陷明细!$AA$2:$AA$50000,"&lt;&gt;重复Bug")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COUNTIFS(缺陷明细!$A$2:$A$50000,$B$4,缺陷明细!$G$2:$G$50000,$C11,缺陷明细!$J$2:$J$50000,"系统测试",缺陷明细!$AA$2:$AA$50000,"&lt;&gt;丢弃",缺陷明细!$AA$2:$AA$50000,"&lt;&gt;设计如此",缺陷明细!$AA$2:$AA$50000,"&lt;&gt;重复Bug")</f>
        <v>0</v>
      </c>
      <c r="Q11" s="72">
        <f>COUNTIFS(缺陷明细!$A$2:$A$50000,$B$4,缺陷明细!$G$2:$G$50000,$C11,缺陷明细!$Q$2:$Q$50000,"已关闭",缺陷明细!$J$2:$J$50000,"系统测试")</f>
        <v>0</v>
      </c>
      <c r="R11" s="72">
        <f>COUNTIFS(缺陷明细!$A$2:$A$50000,$B$4,缺陷明细!$G$2:$G$50000,$C11,缺陷明细!$AA$2:$AA$50000,"丢弃",缺陷明细!$J$2:$J$50000,"系统测试")+COUNTIFS(缺陷明细!$A$2:$A$50000,$B$4,缺陷明细!$G$2:$G$50000,$C11,缺陷明细!$AA$2:$AA$50000,"设计如此",缺陷明细!$J$2:$J$50000,"系统测试"+COUNTIFS(缺陷明细!$A$2:$A$50000,$B$4,缺陷明细!$G$2:$G$50000,$C11,缺陷明细!$AA$2:$AA$50000,"重复Bug",缺陷明细!$J$2:$J$50000,"系统测试"))</f>
        <v>0</v>
      </c>
      <c r="S11" s="72">
        <f>COUNTIFS(缺陷明细!$A$2:$A$50000,$B$4,缺陷明细!$G$2:$G$50000,$C11,缺陷明细!$J$2:$J$50000,"系统测试",缺陷明细!$K$2:$K$50000,"致命",缺陷明细!$AA$2:$AA$50000,"&lt;&gt;丢弃",缺陷明细!$AA$2:$AA$50000,"&lt;&gt;设计如此",缺陷明细!$AA$2:$AA$50000,"&lt;&gt;重复Bug")+COUNTIFS(缺陷明细!$A$2:$A$50000,$B$4,缺陷明细!$G$2:$G$50000,$C11,缺陷明细!$J$2:$J$50000,"系统测试",缺陷明细!$K$2:$K$50000,"严重",缺陷明细!$AA$2:$AA$50000,"&lt;&gt;丢弃",缺陷明细!$AA$2:$AA$50000,"&lt;&gt;设计如此",缺陷明细!$AA$2:$AA$50000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COUNTIFS(缺陷明细!$A$2:$A$50000,$B$4,缺陷明细!$G$2:$G$50000,$C11,缺陷明细!$J$2:$J$50000,"验收测试",缺陷明细!$AA$2:$AA$50000,"&lt;&gt;丢弃",缺陷明细!$AA$2:$AA$50000,"&lt;&gt;设计如此",缺陷明细!$AA$2:$AA$50000,"&lt;&gt;重复Bug")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A$2:$AA$50000,"&lt;&gt;丢弃",缺陷明细!$AA$2:$AA$50000,"&lt;&gt;设计如此",缺陷明细!$AA$2:$AA$50000,"&lt;&gt;重复Bug")+COUNTIFS(缺陷明细!$A$2:$A$50000,$B$4,缺陷明细!$G$2:$G$50000,$C11,缺陷明细!$J$2:$J$50000,"验收测试",缺陷明细!$K$2:$K$50000,"严重",缺陷明细!$AA$2:$AA$50000,"&lt;&gt;丢弃",缺陷明细!$AA$2:$AA$50000,"&lt;&gt;设计如此",缺陷明细!$AA$2:$AA$50000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COUNTIFS(缺陷明细!$A$2:$A$50000,$B$4,缺陷明细!$G$2:$G$50000,$C11,缺陷明细!$J$2:$J$50000,"运维测试",缺陷明细!$AA$2:$AA$50000,"&lt;&gt;丢弃",缺陷明细!$AA$2:$AA$50000,"&lt;&gt;设计如此",缺陷明细!$AA$2:$AA$50000,"&lt;&gt;重复Bug")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A$2:$AA$50000,"&lt;&gt;丢弃",缺陷明细!$AA$2:$AA$50000,"&lt;&gt;设计如此",缺陷明细!$AA$2:$AA$50000,"&lt;&gt;重复Bug")+COUNTIFS(缺陷明细!$A$2:$A$50000,$B$4,缺陷明细!$G$2:$G$50000,$C11,缺陷明细!$J$2:$J$50000,"运维测试",缺陷明细!$K$2:$K$50000,"严重",缺陷明细!$AA$2:$AA$50000,"&lt;&gt;丢弃",缺陷明细!$AA$2:$AA$50000,"&lt;&gt;设计如此",缺陷明细!$AA$2:$AA$50000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51"/>
    </row>
    <row r="12" spans="1:37">
      <c r="A12">
        <v>8</v>
      </c>
      <c r="B12" s="57"/>
      <c r="C12" s="58"/>
      <c r="D12" s="84"/>
      <c r="E12" s="82"/>
      <c r="F12" s="165"/>
      <c r="G12" s="166"/>
      <c r="H12" s="305">
        <f>COUNTIFS(缺陷明细!$A$2:$A$50000,$B$4,缺陷明细!$G$2:$G$50000,$C12,缺陷明细!$J$2:$J$50000,"评审",缺陷明细!$AA$2:$AA$50000,"&lt;&gt;丢弃",缺陷明细!$AA$2:$AA$50000,"&lt;&gt;设计如此",缺陷明细!$AA$2:$AA$50000,"&lt;&gt;重复Bug")</f>
        <v>0</v>
      </c>
      <c r="I12" s="161">
        <f>COUNTIFS(缺陷明细!$A$2:$A$50000,$B$4,缺陷明细!$G$2:$G$50000,$C12,缺陷明细!$Q$2:$Q$50000,"已关闭",缺陷明细!$J$2:$J$50000,"评审")</f>
        <v>0</v>
      </c>
      <c r="J12" s="161">
        <f>COUNTIFS(缺陷明细!$A$2:$A$50000,$B$4,缺陷明细!$G$2:$G$50000,$C12,缺陷明细!$J$2:$J$50000,"单元测试",缺陷明细!$AA$2:$AA$50000,"&lt;&gt;丢弃",缺陷明细!$AA$2:$AA$50000,"&lt;&gt;设计如此",缺陷明细!$AA$2:$AA$50000,"&lt;&gt;重复Bug")</f>
        <v>0</v>
      </c>
      <c r="K12" s="162">
        <f>COUNTIFS(缺陷明细!$A$2:$A$50000,$B$4,缺陷明细!$G$2:$G$50000,$C12,缺陷明细!$Q$2:$Q$50000,"已关闭",缺陷明细!$J$2:$J$50000,"单元测试")</f>
        <v>0</v>
      </c>
      <c r="L12" s="163"/>
      <c r="M12" s="164"/>
      <c r="N12" s="72">
        <f>COUNTIFS(缺陷明细!$A$2:$A$50000,$B$4,缺陷明细!$G$2:$G$50000,$C12,缺陷明细!$J$2:$J$50000,"系统测试案例评审",缺陷明细!$AA$2:$AA$50000,"&lt;&gt;丢弃",缺陷明细!$AA$2:$AA$50000,"&lt;&gt;设计如此",缺陷明细!$AA$2:$AA$50000,"&lt;&gt;重复Bug")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COUNTIFS(缺陷明细!$A$2:$A$50000,$B$4,缺陷明细!$G$2:$G$50000,$C12,缺陷明细!$J$2:$J$50000,"系统测试",缺陷明细!$AA$2:$AA$50000,"&lt;&gt;丢弃",缺陷明细!$AA$2:$AA$50000,"&lt;&gt;设计如此",缺陷明细!$AA$2:$AA$50000,"&lt;&gt;重复Bug")</f>
        <v>0</v>
      </c>
      <c r="Q12" s="72">
        <f>COUNTIFS(缺陷明细!$A$2:$A$50000,$B$4,缺陷明细!$G$2:$G$50000,$C12,缺陷明细!$Q$2:$Q$50000,"已关闭",缺陷明细!$J$2:$J$50000,"系统测试")</f>
        <v>0</v>
      </c>
      <c r="R12" s="72">
        <f>COUNTIFS(缺陷明细!$A$2:$A$50000,$B$4,缺陷明细!$G$2:$G$50000,$C12,缺陷明细!$AA$2:$AA$50000,"丢弃",缺陷明细!$J$2:$J$50000,"系统测试")+COUNTIFS(缺陷明细!$A$2:$A$50000,$B$4,缺陷明细!$G$2:$G$50000,$C12,缺陷明细!$AA$2:$AA$50000,"设计如此",缺陷明细!$J$2:$J$50000,"系统测试"+COUNTIFS(缺陷明细!$A$2:$A$50000,$B$4,缺陷明细!$G$2:$G$50000,$C12,缺陷明细!$AA$2:$AA$50000,"重复Bug",缺陷明细!$J$2:$J$50000,"系统测试"))</f>
        <v>0</v>
      </c>
      <c r="S12" s="72">
        <f>COUNTIFS(缺陷明细!$A$2:$A$50000,$B$4,缺陷明细!$G$2:$G$50000,$C12,缺陷明细!$J$2:$J$50000,"系统测试",缺陷明细!$K$2:$K$50000,"致命",缺陷明细!$AA$2:$AA$50000,"&lt;&gt;丢弃",缺陷明细!$AA$2:$AA$50000,"&lt;&gt;设计如此",缺陷明细!$AA$2:$AA$50000,"&lt;&gt;重复Bug")+COUNTIFS(缺陷明细!$A$2:$A$50000,$B$4,缺陷明细!$G$2:$G$50000,$C12,缺陷明细!$J$2:$J$50000,"系统测试",缺陷明细!$K$2:$K$50000,"严重",缺陷明细!$AA$2:$AA$50000,"&lt;&gt;丢弃",缺陷明细!$AA$2:$AA$50000,"&lt;&gt;设计如此",缺陷明细!$AA$2:$AA$50000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COUNTIFS(缺陷明细!$A$2:$A$50000,$B$4,缺陷明细!$G$2:$G$50000,$C12,缺陷明细!$J$2:$J$50000,"验收测试",缺陷明细!$AA$2:$AA$50000,"&lt;&gt;丢弃",缺陷明细!$AA$2:$AA$50000,"&lt;&gt;设计如此",缺陷明细!$AA$2:$AA$50000,"&lt;&gt;重复Bug")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A$2:$AA$50000,"&lt;&gt;丢弃",缺陷明细!$AA$2:$AA$50000,"&lt;&gt;设计如此",缺陷明细!$AA$2:$AA$50000,"&lt;&gt;重复Bug")+COUNTIFS(缺陷明细!$A$2:$A$50000,$B$4,缺陷明细!$G$2:$G$50000,$C12,缺陷明细!$J$2:$J$50000,"验收测试",缺陷明细!$K$2:$K$50000,"严重",缺陷明细!$AA$2:$AA$50000,"&lt;&gt;丢弃",缺陷明细!$AA$2:$AA$50000,"&lt;&gt;设计如此",缺陷明细!$AA$2:$AA$50000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COUNTIFS(缺陷明细!$A$2:$A$50000,$B$4,缺陷明细!$G$2:$G$50000,$C12,缺陷明细!$J$2:$J$50000,"运维测试",缺陷明细!$AA$2:$AA$50000,"&lt;&gt;丢弃",缺陷明细!$AA$2:$AA$50000,"&lt;&gt;设计如此",缺陷明细!$AA$2:$AA$50000,"&lt;&gt;重复Bug")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A$2:$AA$50000,"&lt;&gt;丢弃",缺陷明细!$AA$2:$AA$50000,"&lt;&gt;设计如此",缺陷明细!$AA$2:$AA$50000,"&lt;&gt;重复Bug")+COUNTIFS(缺陷明细!$A$2:$A$50000,$B$4,缺陷明细!$G$2:$G$50000,$C12,缺陷明细!$J$2:$J$50000,"运维测试",缺陷明细!$K$2:$K$50000,"严重",缺陷明细!$AA$2:$AA$50000,"&lt;&gt;丢弃",缺陷明细!$AA$2:$AA$50000,"&lt;&gt;设计如此",缺陷明细!$AA$2:$AA$50000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51"/>
    </row>
    <row r="13" spans="1:37">
      <c r="A13">
        <v>9</v>
      </c>
      <c r="B13" s="57"/>
      <c r="C13" s="58"/>
      <c r="D13" s="84"/>
      <c r="E13" s="82"/>
      <c r="F13" s="165"/>
      <c r="G13" s="166"/>
      <c r="H13" s="305">
        <f>COUNTIFS(缺陷明细!$A$2:$A$50000,$B$4,缺陷明细!$G$2:$G$50000,$C13,缺陷明细!$J$2:$J$50000,"评审",缺陷明细!$AA$2:$AA$50000,"&lt;&gt;丢弃",缺陷明细!$AA$2:$AA$50000,"&lt;&gt;设计如此",缺陷明细!$AA$2:$AA$50000,"&lt;&gt;重复Bug")</f>
        <v>0</v>
      </c>
      <c r="I13" s="161">
        <f>COUNTIFS(缺陷明细!$A$2:$A$50000,$B$4,缺陷明细!$G$2:$G$50000,$C13,缺陷明细!$Q$2:$Q$50000,"已关闭",缺陷明细!$J$2:$J$50000,"评审")</f>
        <v>0</v>
      </c>
      <c r="J13" s="161">
        <f>COUNTIFS(缺陷明细!$A$2:$A$50000,$B$4,缺陷明细!$G$2:$G$50000,$C13,缺陷明细!$J$2:$J$50000,"单元测试",缺陷明细!$AA$2:$AA$50000,"&lt;&gt;丢弃",缺陷明细!$AA$2:$AA$50000,"&lt;&gt;设计如此",缺陷明细!$AA$2:$AA$50000,"&lt;&gt;重复Bug")</f>
        <v>0</v>
      </c>
      <c r="K13" s="162">
        <f>COUNTIFS(缺陷明细!$A$2:$A$50000,$B$4,缺陷明细!$G$2:$G$50000,$C13,缺陷明细!$Q$2:$Q$50000,"已关闭",缺陷明细!$J$2:$J$50000,"单元测试")</f>
        <v>0</v>
      </c>
      <c r="L13" s="163"/>
      <c r="M13" s="164"/>
      <c r="N13" s="72">
        <f>COUNTIFS(缺陷明细!$A$2:$A$50000,$B$4,缺陷明细!$G$2:$G$50000,$C13,缺陷明细!$J$2:$J$50000,"系统测试案例评审",缺陷明细!$AA$2:$AA$50000,"&lt;&gt;丢弃",缺陷明细!$AA$2:$AA$50000,"&lt;&gt;设计如此",缺陷明细!$AA$2:$AA$50000,"&lt;&gt;重复Bug")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COUNTIFS(缺陷明细!$A$2:$A$50000,$B$4,缺陷明细!$G$2:$G$50000,$C13,缺陷明细!$J$2:$J$50000,"系统测试",缺陷明细!$AA$2:$AA$50000,"&lt;&gt;丢弃",缺陷明细!$AA$2:$AA$50000,"&lt;&gt;设计如此",缺陷明细!$AA$2:$AA$50000,"&lt;&gt;重复Bug")</f>
        <v>0</v>
      </c>
      <c r="Q13" s="72">
        <f>COUNTIFS(缺陷明细!$A$2:$A$50000,$B$4,缺陷明细!$G$2:$G$50000,$C13,缺陷明细!$Q$2:$Q$50000,"已关闭",缺陷明细!$J$2:$J$50000,"系统测试")</f>
        <v>0</v>
      </c>
      <c r="R13" s="72">
        <f>COUNTIFS(缺陷明细!$A$2:$A$50000,$B$4,缺陷明细!$G$2:$G$50000,$C13,缺陷明细!$AA$2:$AA$50000,"丢弃",缺陷明细!$J$2:$J$50000,"系统测试")+COUNTIFS(缺陷明细!$A$2:$A$50000,$B$4,缺陷明细!$G$2:$G$50000,$C13,缺陷明细!$AA$2:$AA$50000,"设计如此",缺陷明细!$J$2:$J$50000,"系统测试"+COUNTIFS(缺陷明细!$A$2:$A$50000,$B$4,缺陷明细!$G$2:$G$50000,$C13,缺陷明细!$AA$2:$AA$50000,"重复Bug",缺陷明细!$J$2:$J$50000,"系统测试"))</f>
        <v>0</v>
      </c>
      <c r="S13" s="72">
        <f>COUNTIFS(缺陷明细!$A$2:$A$50000,$B$4,缺陷明细!$G$2:$G$50000,$C13,缺陷明细!$J$2:$J$50000,"系统测试",缺陷明细!$K$2:$K$50000,"致命",缺陷明细!$AA$2:$AA$50000,"&lt;&gt;丢弃",缺陷明细!$AA$2:$AA$50000,"&lt;&gt;设计如此",缺陷明细!$AA$2:$AA$50000,"&lt;&gt;重复Bug")+COUNTIFS(缺陷明细!$A$2:$A$50000,$B$4,缺陷明细!$G$2:$G$50000,$C13,缺陷明细!$J$2:$J$50000,"系统测试",缺陷明细!$K$2:$K$50000,"严重",缺陷明细!$AA$2:$AA$50000,"&lt;&gt;丢弃",缺陷明细!$AA$2:$AA$50000,"&lt;&gt;设计如此",缺陷明细!$AA$2:$AA$50000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COUNTIFS(缺陷明细!$A$2:$A$50000,$B$4,缺陷明细!$G$2:$G$50000,$C13,缺陷明细!$J$2:$J$50000,"验收测试",缺陷明细!$AA$2:$AA$50000,"&lt;&gt;丢弃",缺陷明细!$AA$2:$AA$50000,"&lt;&gt;设计如此",缺陷明细!$AA$2:$AA$50000,"&lt;&gt;重复Bug")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A$2:$AA$50000,"&lt;&gt;丢弃",缺陷明细!$AA$2:$AA$50000,"&lt;&gt;设计如此",缺陷明细!$AA$2:$AA$50000,"&lt;&gt;重复Bug")+COUNTIFS(缺陷明细!$A$2:$A$50000,$B$4,缺陷明细!$G$2:$G$50000,$C13,缺陷明细!$J$2:$J$50000,"验收测试",缺陷明细!$K$2:$K$50000,"严重",缺陷明细!$AA$2:$AA$50000,"&lt;&gt;丢弃",缺陷明细!$AA$2:$AA$50000,"&lt;&gt;设计如此",缺陷明细!$AA$2:$AA$50000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COUNTIFS(缺陷明细!$A$2:$A$50000,$B$4,缺陷明细!$G$2:$G$50000,$C13,缺陷明细!$J$2:$J$50000,"运维测试",缺陷明细!$AA$2:$AA$50000,"&lt;&gt;丢弃",缺陷明细!$AA$2:$AA$50000,"&lt;&gt;设计如此",缺陷明细!$AA$2:$AA$50000,"&lt;&gt;重复Bug")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A$2:$AA$50000,"&lt;&gt;丢弃",缺陷明细!$AA$2:$AA$50000,"&lt;&gt;设计如此",缺陷明细!$AA$2:$AA$50000,"&lt;&gt;重复Bug")+COUNTIFS(缺陷明细!$A$2:$A$50000,$B$4,缺陷明细!$G$2:$G$50000,$C13,缺陷明细!$J$2:$J$50000,"运维测试",缺陷明细!$K$2:$K$50000,"严重",缺陷明细!$AA$2:$AA$50000,"&lt;&gt;丢弃",缺陷明细!$AA$2:$AA$50000,"&lt;&gt;设计如此",缺陷明细!$AA$2:$AA$50000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51"/>
    </row>
    <row r="14" spans="1:37">
      <c r="A14">
        <v>10</v>
      </c>
      <c r="B14" s="57"/>
      <c r="C14" s="58"/>
      <c r="D14" s="84"/>
      <c r="E14" s="82"/>
      <c r="F14" s="165"/>
      <c r="G14" s="166"/>
      <c r="H14" s="305">
        <f>COUNTIFS(缺陷明细!$A$2:$A$50000,$B$4,缺陷明细!$G$2:$G$50000,$C14,缺陷明细!$J$2:$J$50000,"评审",缺陷明细!$AA$2:$AA$50000,"&lt;&gt;丢弃",缺陷明细!$AA$2:$AA$50000,"&lt;&gt;设计如此",缺陷明细!$AA$2:$AA$50000,"&lt;&gt;重复Bug")</f>
        <v>0</v>
      </c>
      <c r="I14" s="161">
        <f>COUNTIFS(缺陷明细!$A$2:$A$50000,$B$4,缺陷明细!$G$2:$G$50000,$C14,缺陷明细!$Q$2:$Q$50000,"已关闭",缺陷明细!$J$2:$J$50000,"评审")</f>
        <v>0</v>
      </c>
      <c r="J14" s="161">
        <f>COUNTIFS(缺陷明细!$A$2:$A$50000,$B$4,缺陷明细!$G$2:$G$50000,$C14,缺陷明细!$J$2:$J$50000,"单元测试",缺陷明细!$AA$2:$AA$50000,"&lt;&gt;丢弃",缺陷明细!$AA$2:$AA$50000,"&lt;&gt;设计如此",缺陷明细!$AA$2:$AA$50000,"&lt;&gt;重复Bug")</f>
        <v>0</v>
      </c>
      <c r="K14" s="162">
        <f>COUNTIFS(缺陷明细!$A$2:$A$50000,$B$4,缺陷明细!$G$2:$G$50000,$C14,缺陷明细!$Q$2:$Q$50000,"已关闭",缺陷明细!$J$2:$J$50000,"单元测试")</f>
        <v>0</v>
      </c>
      <c r="L14" s="163"/>
      <c r="M14" s="164"/>
      <c r="N14" s="72">
        <f>COUNTIFS(缺陷明细!$A$2:$A$50000,$B$4,缺陷明细!$G$2:$G$50000,$C14,缺陷明细!$J$2:$J$50000,"系统测试案例评审",缺陷明细!$AA$2:$AA$50000,"&lt;&gt;丢弃",缺陷明细!$AA$2:$AA$50000,"&lt;&gt;设计如此",缺陷明细!$AA$2:$AA$50000,"&lt;&gt;重复Bug")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COUNTIFS(缺陷明细!$A$2:$A$50000,$B$4,缺陷明细!$G$2:$G$50000,$C14,缺陷明细!$J$2:$J$50000,"系统测试",缺陷明细!$AA$2:$AA$50000,"&lt;&gt;丢弃",缺陷明细!$AA$2:$AA$50000,"&lt;&gt;设计如此",缺陷明细!$AA$2:$AA$50000,"&lt;&gt;重复Bug")</f>
        <v>0</v>
      </c>
      <c r="Q14" s="72">
        <f>COUNTIFS(缺陷明细!$A$2:$A$50000,$B$4,缺陷明细!$G$2:$G$50000,$C14,缺陷明细!$Q$2:$Q$50000,"已关闭",缺陷明细!$J$2:$J$50000,"系统测试")</f>
        <v>0</v>
      </c>
      <c r="R14" s="72">
        <f>COUNTIFS(缺陷明细!$A$2:$A$50000,$B$4,缺陷明细!$G$2:$G$50000,$C14,缺陷明细!$AA$2:$AA$50000,"丢弃",缺陷明细!$J$2:$J$50000,"系统测试")+COUNTIFS(缺陷明细!$A$2:$A$50000,$B$4,缺陷明细!$G$2:$G$50000,$C14,缺陷明细!$AA$2:$AA$50000,"设计如此",缺陷明细!$J$2:$J$50000,"系统测试"+COUNTIFS(缺陷明细!$A$2:$A$50000,$B$4,缺陷明细!$G$2:$G$50000,$C14,缺陷明细!$AA$2:$AA$50000,"重复Bug",缺陷明细!$J$2:$J$50000,"系统测试"))</f>
        <v>0</v>
      </c>
      <c r="S14" s="72">
        <f>COUNTIFS(缺陷明细!$A$2:$A$50000,$B$4,缺陷明细!$G$2:$G$50000,$C14,缺陷明细!$J$2:$J$50000,"系统测试",缺陷明细!$K$2:$K$50000,"致命",缺陷明细!$AA$2:$AA$50000,"&lt;&gt;丢弃",缺陷明细!$AA$2:$AA$50000,"&lt;&gt;设计如此",缺陷明细!$AA$2:$AA$50000,"&lt;&gt;重复Bug")+COUNTIFS(缺陷明细!$A$2:$A$50000,$B$4,缺陷明细!$G$2:$G$50000,$C14,缺陷明细!$J$2:$J$50000,"系统测试",缺陷明细!$K$2:$K$50000,"严重",缺陷明细!$AA$2:$AA$50000,"&lt;&gt;丢弃",缺陷明细!$AA$2:$AA$50000,"&lt;&gt;设计如此",缺陷明细!$AA$2:$AA$50000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COUNTIFS(缺陷明细!$A$2:$A$50000,$B$4,缺陷明细!$G$2:$G$50000,$C14,缺陷明细!$J$2:$J$50000,"验收测试",缺陷明细!$AA$2:$AA$50000,"&lt;&gt;丢弃",缺陷明细!$AA$2:$AA$50000,"&lt;&gt;设计如此",缺陷明细!$AA$2:$AA$50000,"&lt;&gt;重复Bug")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A$2:$AA$50000,"&lt;&gt;丢弃",缺陷明细!$AA$2:$AA$50000,"&lt;&gt;设计如此",缺陷明细!$AA$2:$AA$50000,"&lt;&gt;重复Bug")+COUNTIFS(缺陷明细!$A$2:$A$50000,$B$4,缺陷明细!$G$2:$G$50000,$C14,缺陷明细!$J$2:$J$50000,"验收测试",缺陷明细!$K$2:$K$50000,"严重",缺陷明细!$AA$2:$AA$50000,"&lt;&gt;丢弃",缺陷明细!$AA$2:$AA$50000,"&lt;&gt;设计如此",缺陷明细!$AA$2:$AA$50000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COUNTIFS(缺陷明细!$A$2:$A$50000,$B$4,缺陷明细!$G$2:$G$50000,$C14,缺陷明细!$J$2:$J$50000,"运维测试",缺陷明细!$AA$2:$AA$50000,"&lt;&gt;丢弃",缺陷明细!$AA$2:$AA$50000,"&lt;&gt;设计如此",缺陷明细!$AA$2:$AA$50000,"&lt;&gt;重复Bug")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A$2:$AA$50000,"&lt;&gt;丢弃",缺陷明细!$AA$2:$AA$50000,"&lt;&gt;设计如此",缺陷明细!$AA$2:$AA$50000,"&lt;&gt;重复Bug")+COUNTIFS(缺陷明细!$A$2:$A$50000,$B$4,缺陷明细!$G$2:$G$50000,$C14,缺陷明细!$J$2:$J$50000,"运维测试",缺陷明细!$K$2:$K$50000,"严重",缺陷明细!$AA$2:$AA$50000,"&lt;&gt;丢弃",缺陷明细!$AA$2:$AA$50000,"&lt;&gt;设计如此",缺陷明细!$AA$2:$AA$50000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51"/>
    </row>
    <row r="15" spans="1:37">
      <c r="A15">
        <v>11</v>
      </c>
      <c r="B15" s="57"/>
      <c r="C15" s="58"/>
      <c r="D15" s="84"/>
      <c r="E15" s="82"/>
      <c r="F15" s="165"/>
      <c r="G15" s="166"/>
      <c r="H15" s="305">
        <f>COUNTIFS(缺陷明细!$A$2:$A$50000,$B$4,缺陷明细!$G$2:$G$50000,$C15,缺陷明细!$J$2:$J$50000,"评审",缺陷明细!$AA$2:$AA$50000,"&lt;&gt;丢弃",缺陷明细!$AA$2:$AA$50000,"&lt;&gt;设计如此",缺陷明细!$AA$2:$AA$50000,"&lt;&gt;重复Bug")</f>
        <v>0</v>
      </c>
      <c r="I15" s="161">
        <f>COUNTIFS(缺陷明细!$A$2:$A$50000,$B$4,缺陷明细!$G$2:$G$50000,$C15,缺陷明细!$Q$2:$Q$50000,"已关闭",缺陷明细!$J$2:$J$50000,"评审")</f>
        <v>0</v>
      </c>
      <c r="J15" s="161">
        <f>COUNTIFS(缺陷明细!$A$2:$A$50000,$B$4,缺陷明细!$G$2:$G$50000,$C15,缺陷明细!$J$2:$J$50000,"单元测试",缺陷明细!$AA$2:$AA$50000,"&lt;&gt;丢弃",缺陷明细!$AA$2:$AA$50000,"&lt;&gt;设计如此",缺陷明细!$AA$2:$AA$50000,"&lt;&gt;重复Bug")</f>
        <v>0</v>
      </c>
      <c r="K15" s="162">
        <f>COUNTIFS(缺陷明细!$A$2:$A$50000,$B$4,缺陷明细!$G$2:$G$50000,$C15,缺陷明细!$Q$2:$Q$50000,"已关闭",缺陷明细!$J$2:$J$50000,"单元测试")</f>
        <v>0</v>
      </c>
      <c r="L15" s="163"/>
      <c r="M15" s="164"/>
      <c r="N15" s="72">
        <f>COUNTIFS(缺陷明细!$A$2:$A$50000,$B$4,缺陷明细!$G$2:$G$50000,$C15,缺陷明细!$J$2:$J$50000,"系统测试案例评审",缺陷明细!$AA$2:$AA$50000,"&lt;&gt;丢弃",缺陷明细!$AA$2:$AA$50000,"&lt;&gt;设计如此",缺陷明细!$AA$2:$AA$50000,"&lt;&gt;重复Bug")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COUNTIFS(缺陷明细!$A$2:$A$50000,$B$4,缺陷明细!$G$2:$G$50000,$C15,缺陷明细!$J$2:$J$50000,"系统测试",缺陷明细!$AA$2:$AA$50000,"&lt;&gt;丢弃",缺陷明细!$AA$2:$AA$50000,"&lt;&gt;设计如此",缺陷明细!$AA$2:$AA$50000,"&lt;&gt;重复Bug")</f>
        <v>0</v>
      </c>
      <c r="Q15" s="72">
        <f>COUNTIFS(缺陷明细!$A$2:$A$50000,$B$4,缺陷明细!$G$2:$G$50000,$C15,缺陷明细!$Q$2:$Q$50000,"已关闭",缺陷明细!$J$2:$J$50000,"系统测试")</f>
        <v>0</v>
      </c>
      <c r="R15" s="72">
        <f>COUNTIFS(缺陷明细!$A$2:$A$50000,$B$4,缺陷明细!$G$2:$G$50000,$C15,缺陷明细!$AA$2:$AA$50000,"丢弃",缺陷明细!$J$2:$J$50000,"系统测试")+COUNTIFS(缺陷明细!$A$2:$A$50000,$B$4,缺陷明细!$G$2:$G$50000,$C15,缺陷明细!$AA$2:$AA$50000,"设计如此",缺陷明细!$J$2:$J$50000,"系统测试"+COUNTIFS(缺陷明细!$A$2:$A$50000,$B$4,缺陷明细!$G$2:$G$50000,$C15,缺陷明细!$AA$2:$AA$50000,"重复Bug",缺陷明细!$J$2:$J$50000,"系统测试"))</f>
        <v>0</v>
      </c>
      <c r="S15" s="72">
        <f>COUNTIFS(缺陷明细!$A$2:$A$50000,$B$4,缺陷明细!$G$2:$G$50000,$C15,缺陷明细!$J$2:$J$50000,"系统测试",缺陷明细!$K$2:$K$50000,"致命",缺陷明细!$AA$2:$AA$50000,"&lt;&gt;丢弃",缺陷明细!$AA$2:$AA$50000,"&lt;&gt;设计如此",缺陷明细!$AA$2:$AA$50000,"&lt;&gt;重复Bug")+COUNTIFS(缺陷明细!$A$2:$A$50000,$B$4,缺陷明细!$G$2:$G$50000,$C15,缺陷明细!$J$2:$J$50000,"系统测试",缺陷明细!$K$2:$K$50000,"严重",缺陷明细!$AA$2:$AA$50000,"&lt;&gt;丢弃",缺陷明细!$AA$2:$AA$50000,"&lt;&gt;设计如此",缺陷明细!$AA$2:$AA$50000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COUNTIFS(缺陷明细!$A$2:$A$50000,$B$4,缺陷明细!$G$2:$G$50000,$C15,缺陷明细!$J$2:$J$50000,"验收测试",缺陷明细!$AA$2:$AA$50000,"&lt;&gt;丢弃",缺陷明细!$AA$2:$AA$50000,"&lt;&gt;设计如此",缺陷明细!$AA$2:$AA$50000,"&lt;&gt;重复Bug")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A$2:$AA$50000,"&lt;&gt;丢弃",缺陷明细!$AA$2:$AA$50000,"&lt;&gt;设计如此",缺陷明细!$AA$2:$AA$50000,"&lt;&gt;重复Bug")+COUNTIFS(缺陷明细!$A$2:$A$50000,$B$4,缺陷明细!$G$2:$G$50000,$C15,缺陷明细!$J$2:$J$50000,"验收测试",缺陷明细!$K$2:$K$50000,"严重",缺陷明细!$AA$2:$AA$50000,"&lt;&gt;丢弃",缺陷明细!$AA$2:$AA$50000,"&lt;&gt;设计如此",缺陷明细!$AA$2:$AA$50000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COUNTIFS(缺陷明细!$A$2:$A$50000,$B$4,缺陷明细!$G$2:$G$50000,$C15,缺陷明细!$J$2:$J$50000,"运维测试",缺陷明细!$AA$2:$AA$50000,"&lt;&gt;丢弃",缺陷明细!$AA$2:$AA$50000,"&lt;&gt;设计如此",缺陷明细!$AA$2:$AA$50000,"&lt;&gt;重复Bug")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A$2:$AA$50000,"&lt;&gt;丢弃",缺陷明细!$AA$2:$AA$50000,"&lt;&gt;设计如此",缺陷明细!$AA$2:$AA$50000,"&lt;&gt;重复Bug")+COUNTIFS(缺陷明细!$A$2:$A$50000,$B$4,缺陷明细!$G$2:$G$50000,$C15,缺陷明细!$J$2:$J$50000,"运维测试",缺陷明细!$K$2:$K$50000,"严重",缺陷明细!$AA$2:$AA$50000,"&lt;&gt;丢弃",缺陷明细!$AA$2:$AA$50000,"&lt;&gt;设计如此",缺陷明细!$AA$2:$AA$50000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51"/>
    </row>
    <row r="16" spans="1:37">
      <c r="A16">
        <v>12</v>
      </c>
      <c r="B16" s="57"/>
      <c r="C16" s="58"/>
      <c r="D16" s="84"/>
      <c r="E16" s="82"/>
      <c r="F16" s="165"/>
      <c r="G16" s="166"/>
      <c r="H16" s="305">
        <f>COUNTIFS(缺陷明细!$A$2:$A$50000,$B$4,缺陷明细!$G$2:$G$50000,$C16,缺陷明细!$J$2:$J$50000,"评审",缺陷明细!$AA$2:$AA$50000,"&lt;&gt;丢弃",缺陷明细!$AA$2:$AA$50000,"&lt;&gt;设计如此",缺陷明细!$AA$2:$AA$50000,"&lt;&gt;重复Bug")</f>
        <v>0</v>
      </c>
      <c r="I16" s="161">
        <f>COUNTIFS(缺陷明细!$A$2:$A$50000,$B$4,缺陷明细!$G$2:$G$50000,$C16,缺陷明细!$Q$2:$Q$50000,"已关闭",缺陷明细!$J$2:$J$50000,"评审")</f>
        <v>0</v>
      </c>
      <c r="J16" s="161">
        <f>COUNTIFS(缺陷明细!$A$2:$A$50000,$B$4,缺陷明细!$G$2:$G$50000,$C16,缺陷明细!$J$2:$J$50000,"单元测试",缺陷明细!$AA$2:$AA$50000,"&lt;&gt;丢弃",缺陷明细!$AA$2:$AA$50000,"&lt;&gt;设计如此",缺陷明细!$AA$2:$AA$50000,"&lt;&gt;重复Bug")</f>
        <v>0</v>
      </c>
      <c r="K16" s="162">
        <f>COUNTIFS(缺陷明细!$A$2:$A$50000,$B$4,缺陷明细!$G$2:$G$50000,$C16,缺陷明细!$Q$2:$Q$50000,"已关闭",缺陷明细!$J$2:$J$50000,"单元测试")</f>
        <v>0</v>
      </c>
      <c r="L16" s="163"/>
      <c r="M16" s="164"/>
      <c r="N16" s="72">
        <f>COUNTIFS(缺陷明细!$A$2:$A$50000,$B$4,缺陷明细!$G$2:$G$50000,$C16,缺陷明细!$J$2:$J$50000,"系统测试案例评审",缺陷明细!$AA$2:$AA$50000,"&lt;&gt;丢弃",缺陷明细!$AA$2:$AA$50000,"&lt;&gt;设计如此",缺陷明细!$AA$2:$AA$50000,"&lt;&gt;重复Bug")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COUNTIFS(缺陷明细!$A$2:$A$50000,$B$4,缺陷明细!$G$2:$G$50000,$C16,缺陷明细!$J$2:$J$50000,"系统测试",缺陷明细!$AA$2:$AA$50000,"&lt;&gt;丢弃",缺陷明细!$AA$2:$AA$50000,"&lt;&gt;设计如此",缺陷明细!$AA$2:$AA$50000,"&lt;&gt;重复Bug")</f>
        <v>0</v>
      </c>
      <c r="Q16" s="72">
        <f>COUNTIFS(缺陷明细!$A$2:$A$50000,$B$4,缺陷明细!$G$2:$G$50000,$C16,缺陷明细!$Q$2:$Q$50000,"已关闭",缺陷明细!$J$2:$J$50000,"系统测试")</f>
        <v>0</v>
      </c>
      <c r="R16" s="72">
        <f>COUNTIFS(缺陷明细!$A$2:$A$50000,$B$4,缺陷明细!$G$2:$G$50000,$C16,缺陷明细!$AA$2:$AA$50000,"丢弃",缺陷明细!$J$2:$J$50000,"系统测试")+COUNTIFS(缺陷明细!$A$2:$A$50000,$B$4,缺陷明细!$G$2:$G$50000,$C16,缺陷明细!$AA$2:$AA$50000,"设计如此",缺陷明细!$J$2:$J$50000,"系统测试"+COUNTIFS(缺陷明细!$A$2:$A$50000,$B$4,缺陷明细!$G$2:$G$50000,$C16,缺陷明细!$AA$2:$AA$50000,"重复Bug",缺陷明细!$J$2:$J$50000,"系统测试"))</f>
        <v>0</v>
      </c>
      <c r="S16" s="72">
        <f>COUNTIFS(缺陷明细!$A$2:$A$50000,$B$4,缺陷明细!$G$2:$G$50000,$C16,缺陷明细!$J$2:$J$50000,"系统测试",缺陷明细!$K$2:$K$50000,"致命",缺陷明细!$AA$2:$AA$50000,"&lt;&gt;丢弃",缺陷明细!$AA$2:$AA$50000,"&lt;&gt;设计如此",缺陷明细!$AA$2:$AA$50000,"&lt;&gt;重复Bug")+COUNTIFS(缺陷明细!$A$2:$A$50000,$B$4,缺陷明细!$G$2:$G$50000,$C16,缺陷明细!$J$2:$J$50000,"系统测试",缺陷明细!$K$2:$K$50000,"严重",缺陷明细!$AA$2:$AA$50000,"&lt;&gt;丢弃",缺陷明细!$AA$2:$AA$50000,"&lt;&gt;设计如此",缺陷明细!$AA$2:$AA$50000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COUNTIFS(缺陷明细!$A$2:$A$50000,$B$4,缺陷明细!$G$2:$G$50000,$C16,缺陷明细!$J$2:$J$50000,"验收测试",缺陷明细!$AA$2:$AA$50000,"&lt;&gt;丢弃",缺陷明细!$AA$2:$AA$50000,"&lt;&gt;设计如此",缺陷明细!$AA$2:$AA$50000,"&lt;&gt;重复Bug")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A$2:$AA$50000,"&lt;&gt;丢弃",缺陷明细!$AA$2:$AA$50000,"&lt;&gt;设计如此",缺陷明细!$AA$2:$AA$50000,"&lt;&gt;重复Bug")+COUNTIFS(缺陷明细!$A$2:$A$50000,$B$4,缺陷明细!$G$2:$G$50000,$C16,缺陷明细!$J$2:$J$50000,"验收测试",缺陷明细!$K$2:$K$50000,"严重",缺陷明细!$AA$2:$AA$50000,"&lt;&gt;丢弃",缺陷明细!$AA$2:$AA$50000,"&lt;&gt;设计如此",缺陷明细!$AA$2:$AA$50000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COUNTIFS(缺陷明细!$A$2:$A$50000,$B$4,缺陷明细!$G$2:$G$50000,$C16,缺陷明细!$J$2:$J$50000,"运维测试",缺陷明细!$AA$2:$AA$50000,"&lt;&gt;丢弃",缺陷明细!$AA$2:$AA$50000,"&lt;&gt;设计如此",缺陷明细!$AA$2:$AA$50000,"&lt;&gt;重复Bug")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A$2:$AA$50000,"&lt;&gt;丢弃",缺陷明细!$AA$2:$AA$50000,"&lt;&gt;设计如此",缺陷明细!$AA$2:$AA$50000,"&lt;&gt;重复Bug")+COUNTIFS(缺陷明细!$A$2:$A$50000,$B$4,缺陷明细!$G$2:$G$50000,$C16,缺陷明细!$J$2:$J$50000,"运维测试",缺陷明细!$K$2:$K$50000,"严重",缺陷明细!$AA$2:$AA$50000,"&lt;&gt;丢弃",缺陷明细!$AA$2:$AA$50000,"&lt;&gt;设计如此",缺陷明细!$AA$2:$AA$50000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51"/>
    </row>
    <row r="17" spans="1:37">
      <c r="A17">
        <v>13</v>
      </c>
      <c r="B17" s="57"/>
      <c r="C17" s="58"/>
      <c r="D17" s="84"/>
      <c r="E17" s="82"/>
      <c r="F17" s="165"/>
      <c r="G17" s="166"/>
      <c r="H17" s="305">
        <f>COUNTIFS(缺陷明细!$A$2:$A$50000,$B$4,缺陷明细!$G$2:$G$50000,$C17,缺陷明细!$J$2:$J$50000,"评审",缺陷明细!$AA$2:$AA$50000,"&lt;&gt;丢弃",缺陷明细!$AA$2:$AA$50000,"&lt;&gt;设计如此",缺陷明细!$AA$2:$AA$50000,"&lt;&gt;重复Bug")</f>
        <v>0</v>
      </c>
      <c r="I17" s="161">
        <f>COUNTIFS(缺陷明细!$A$2:$A$50000,$B$4,缺陷明细!$G$2:$G$50000,$C17,缺陷明细!$Q$2:$Q$50000,"已关闭",缺陷明细!$J$2:$J$50000,"评审")</f>
        <v>0</v>
      </c>
      <c r="J17" s="161">
        <f>COUNTIFS(缺陷明细!$A$2:$A$50000,$B$4,缺陷明细!$G$2:$G$50000,$C17,缺陷明细!$J$2:$J$50000,"单元测试",缺陷明细!$AA$2:$AA$50000,"&lt;&gt;丢弃",缺陷明细!$AA$2:$AA$50000,"&lt;&gt;设计如此",缺陷明细!$AA$2:$AA$50000,"&lt;&gt;重复Bug")</f>
        <v>0</v>
      </c>
      <c r="K17" s="162">
        <f>COUNTIFS(缺陷明细!$A$2:$A$50000,$B$4,缺陷明细!$G$2:$G$50000,$C17,缺陷明细!$Q$2:$Q$50000,"已关闭",缺陷明细!$J$2:$J$50000,"单元测试")</f>
        <v>0</v>
      </c>
      <c r="L17" s="163"/>
      <c r="M17" s="164"/>
      <c r="N17" s="72">
        <f>COUNTIFS(缺陷明细!$A$2:$A$50000,$B$4,缺陷明细!$G$2:$G$50000,$C17,缺陷明细!$J$2:$J$50000,"系统测试案例评审",缺陷明细!$AA$2:$AA$50000,"&lt;&gt;丢弃",缺陷明细!$AA$2:$AA$50000,"&lt;&gt;设计如此",缺陷明细!$AA$2:$AA$50000,"&lt;&gt;重复Bug")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COUNTIFS(缺陷明细!$A$2:$A$50000,$B$4,缺陷明细!$G$2:$G$50000,$C17,缺陷明细!$J$2:$J$50000,"系统测试",缺陷明细!$AA$2:$AA$50000,"&lt;&gt;丢弃",缺陷明细!$AA$2:$AA$50000,"&lt;&gt;设计如此",缺陷明细!$AA$2:$AA$50000,"&lt;&gt;重复Bug")</f>
        <v>0</v>
      </c>
      <c r="Q17" s="72">
        <f>COUNTIFS(缺陷明细!$A$2:$A$50000,$B$4,缺陷明细!$G$2:$G$50000,$C17,缺陷明细!$Q$2:$Q$50000,"已关闭",缺陷明细!$J$2:$J$50000,"系统测试")</f>
        <v>0</v>
      </c>
      <c r="R17" s="72">
        <f>COUNTIFS(缺陷明细!$A$2:$A$50000,$B$4,缺陷明细!$G$2:$G$50000,$C17,缺陷明细!$AA$2:$AA$50000,"丢弃",缺陷明细!$J$2:$J$50000,"系统测试")+COUNTIFS(缺陷明细!$A$2:$A$50000,$B$4,缺陷明细!$G$2:$G$50000,$C17,缺陷明细!$AA$2:$AA$50000,"设计如此",缺陷明细!$J$2:$J$50000,"系统测试"+COUNTIFS(缺陷明细!$A$2:$A$50000,$B$4,缺陷明细!$G$2:$G$50000,$C17,缺陷明细!$AA$2:$AA$50000,"重复Bug",缺陷明细!$J$2:$J$50000,"系统测试"))</f>
        <v>0</v>
      </c>
      <c r="S17" s="72">
        <f>COUNTIFS(缺陷明细!$A$2:$A$50000,$B$4,缺陷明细!$G$2:$G$50000,$C17,缺陷明细!$J$2:$J$50000,"系统测试",缺陷明细!$K$2:$K$50000,"致命",缺陷明细!$AA$2:$AA$50000,"&lt;&gt;丢弃",缺陷明细!$AA$2:$AA$50000,"&lt;&gt;设计如此",缺陷明细!$AA$2:$AA$50000,"&lt;&gt;重复Bug")+COUNTIFS(缺陷明细!$A$2:$A$50000,$B$4,缺陷明细!$G$2:$G$50000,$C17,缺陷明细!$J$2:$J$50000,"系统测试",缺陷明细!$K$2:$K$50000,"严重",缺陷明细!$AA$2:$AA$50000,"&lt;&gt;丢弃",缺陷明细!$AA$2:$AA$50000,"&lt;&gt;设计如此",缺陷明细!$AA$2:$AA$50000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COUNTIFS(缺陷明细!$A$2:$A$50000,$B$4,缺陷明细!$G$2:$G$50000,$C17,缺陷明细!$J$2:$J$50000,"验收测试",缺陷明细!$AA$2:$AA$50000,"&lt;&gt;丢弃",缺陷明细!$AA$2:$AA$50000,"&lt;&gt;设计如此",缺陷明细!$AA$2:$AA$50000,"&lt;&gt;重复Bug")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A$2:$AA$50000,"&lt;&gt;丢弃",缺陷明细!$AA$2:$AA$50000,"&lt;&gt;设计如此",缺陷明细!$AA$2:$AA$50000,"&lt;&gt;重复Bug")+COUNTIFS(缺陷明细!$A$2:$A$50000,$B$4,缺陷明细!$G$2:$G$50000,$C17,缺陷明细!$J$2:$J$50000,"验收测试",缺陷明细!$K$2:$K$50000,"严重",缺陷明细!$AA$2:$AA$50000,"&lt;&gt;丢弃",缺陷明细!$AA$2:$AA$50000,"&lt;&gt;设计如此",缺陷明细!$AA$2:$AA$50000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COUNTIFS(缺陷明细!$A$2:$A$50000,$B$4,缺陷明细!$G$2:$G$50000,$C17,缺陷明细!$J$2:$J$50000,"运维测试",缺陷明细!$AA$2:$AA$50000,"&lt;&gt;丢弃",缺陷明细!$AA$2:$AA$50000,"&lt;&gt;设计如此",缺陷明细!$AA$2:$AA$50000,"&lt;&gt;重复Bug")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A$2:$AA$50000,"&lt;&gt;丢弃",缺陷明细!$AA$2:$AA$50000,"&lt;&gt;设计如此",缺陷明细!$AA$2:$AA$50000,"&lt;&gt;重复Bug")+COUNTIFS(缺陷明细!$A$2:$A$50000,$B$4,缺陷明细!$G$2:$G$50000,$C17,缺陷明细!$J$2:$J$50000,"运维测试",缺陷明细!$K$2:$K$50000,"严重",缺陷明细!$AA$2:$AA$50000,"&lt;&gt;丢弃",缺陷明细!$AA$2:$AA$50000,"&lt;&gt;设计如此",缺陷明细!$AA$2:$AA$50000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51"/>
    </row>
    <row r="18" spans="1:37">
      <c r="A18">
        <v>14</v>
      </c>
      <c r="B18" s="57"/>
      <c r="C18" s="58"/>
      <c r="D18" s="84"/>
      <c r="E18" s="82"/>
      <c r="F18" s="165"/>
      <c r="G18" s="166"/>
      <c r="H18" s="305">
        <f>COUNTIFS(缺陷明细!$A$2:$A$50000,$B$4,缺陷明细!$G$2:$G$50000,$C18,缺陷明细!$J$2:$J$50000,"评审",缺陷明细!$AA$2:$AA$50000,"&lt;&gt;丢弃",缺陷明细!$AA$2:$AA$50000,"&lt;&gt;设计如此",缺陷明细!$AA$2:$AA$50000,"&lt;&gt;重复Bug")</f>
        <v>0</v>
      </c>
      <c r="I18" s="161">
        <f>COUNTIFS(缺陷明细!$A$2:$A$50000,$B$4,缺陷明细!$G$2:$G$50000,$C18,缺陷明细!$Q$2:$Q$50000,"已关闭",缺陷明细!$J$2:$J$50000,"评审")</f>
        <v>0</v>
      </c>
      <c r="J18" s="161">
        <f>COUNTIFS(缺陷明细!$A$2:$A$50000,$B$4,缺陷明细!$G$2:$G$50000,$C18,缺陷明细!$J$2:$J$50000,"单元测试",缺陷明细!$AA$2:$AA$50000,"&lt;&gt;丢弃",缺陷明细!$AA$2:$AA$50000,"&lt;&gt;设计如此",缺陷明细!$AA$2:$AA$50000,"&lt;&gt;重复Bug")</f>
        <v>0</v>
      </c>
      <c r="K18" s="162">
        <f>COUNTIFS(缺陷明细!$A$2:$A$50000,$B$4,缺陷明细!$G$2:$G$50000,$C18,缺陷明细!$Q$2:$Q$50000,"已关闭",缺陷明细!$J$2:$J$50000,"单元测试")</f>
        <v>0</v>
      </c>
      <c r="L18" s="163"/>
      <c r="M18" s="164"/>
      <c r="N18" s="72">
        <f>COUNTIFS(缺陷明细!$A$2:$A$50000,$B$4,缺陷明细!$G$2:$G$50000,$C18,缺陷明细!$J$2:$J$50000,"系统测试案例评审",缺陷明细!$AA$2:$AA$50000,"&lt;&gt;丢弃",缺陷明细!$AA$2:$AA$50000,"&lt;&gt;设计如此",缺陷明细!$AA$2:$AA$50000,"&lt;&gt;重复Bug")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COUNTIFS(缺陷明细!$A$2:$A$50000,$B$4,缺陷明细!$G$2:$G$50000,$C18,缺陷明细!$J$2:$J$50000,"系统测试",缺陷明细!$AA$2:$AA$50000,"&lt;&gt;丢弃",缺陷明细!$AA$2:$AA$50000,"&lt;&gt;设计如此",缺陷明细!$AA$2:$AA$50000,"&lt;&gt;重复Bug")</f>
        <v>0</v>
      </c>
      <c r="Q18" s="72">
        <f>COUNTIFS(缺陷明细!$A$2:$A$50000,$B$4,缺陷明细!$G$2:$G$50000,$C18,缺陷明细!$Q$2:$Q$50000,"已关闭",缺陷明细!$J$2:$J$50000,"系统测试")</f>
        <v>0</v>
      </c>
      <c r="R18" s="72">
        <f>COUNTIFS(缺陷明细!$A$2:$A$50000,$B$4,缺陷明细!$G$2:$G$50000,$C18,缺陷明细!$AA$2:$AA$50000,"丢弃",缺陷明细!$J$2:$J$50000,"系统测试")+COUNTIFS(缺陷明细!$A$2:$A$50000,$B$4,缺陷明细!$G$2:$G$50000,$C18,缺陷明细!$AA$2:$AA$50000,"设计如此",缺陷明细!$J$2:$J$50000,"系统测试"+COUNTIFS(缺陷明细!$A$2:$A$50000,$B$4,缺陷明细!$G$2:$G$50000,$C18,缺陷明细!$AA$2:$AA$50000,"重复Bug",缺陷明细!$J$2:$J$50000,"系统测试"))</f>
        <v>0</v>
      </c>
      <c r="S18" s="72">
        <f>COUNTIFS(缺陷明细!$A$2:$A$50000,$B$4,缺陷明细!$G$2:$G$50000,$C18,缺陷明细!$J$2:$J$50000,"系统测试",缺陷明细!$K$2:$K$50000,"致命",缺陷明细!$AA$2:$AA$50000,"&lt;&gt;丢弃",缺陷明细!$AA$2:$AA$50000,"&lt;&gt;设计如此",缺陷明细!$AA$2:$AA$50000,"&lt;&gt;重复Bug")+COUNTIFS(缺陷明细!$A$2:$A$50000,$B$4,缺陷明细!$G$2:$G$50000,$C18,缺陷明细!$J$2:$J$50000,"系统测试",缺陷明细!$K$2:$K$50000,"严重",缺陷明细!$AA$2:$AA$50000,"&lt;&gt;丢弃",缺陷明细!$AA$2:$AA$50000,"&lt;&gt;设计如此",缺陷明细!$AA$2:$AA$50000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COUNTIFS(缺陷明细!$A$2:$A$50000,$B$4,缺陷明细!$G$2:$G$50000,$C18,缺陷明细!$J$2:$J$50000,"验收测试",缺陷明细!$AA$2:$AA$50000,"&lt;&gt;丢弃",缺陷明细!$AA$2:$AA$50000,"&lt;&gt;设计如此",缺陷明细!$AA$2:$AA$50000,"&lt;&gt;重复Bug")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A$2:$AA$50000,"&lt;&gt;丢弃",缺陷明细!$AA$2:$AA$50000,"&lt;&gt;设计如此",缺陷明细!$AA$2:$AA$50000,"&lt;&gt;重复Bug")+COUNTIFS(缺陷明细!$A$2:$A$50000,$B$4,缺陷明细!$G$2:$G$50000,$C18,缺陷明细!$J$2:$J$50000,"验收测试",缺陷明细!$K$2:$K$50000,"严重",缺陷明细!$AA$2:$AA$50000,"&lt;&gt;丢弃",缺陷明细!$AA$2:$AA$50000,"&lt;&gt;设计如此",缺陷明细!$AA$2:$AA$50000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COUNTIFS(缺陷明细!$A$2:$A$50000,$B$4,缺陷明细!$G$2:$G$50000,$C18,缺陷明细!$J$2:$J$50000,"运维测试",缺陷明细!$AA$2:$AA$50000,"&lt;&gt;丢弃",缺陷明细!$AA$2:$AA$50000,"&lt;&gt;设计如此",缺陷明细!$AA$2:$AA$50000,"&lt;&gt;重复Bug")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A$2:$AA$50000,"&lt;&gt;丢弃",缺陷明细!$AA$2:$AA$50000,"&lt;&gt;设计如此",缺陷明细!$AA$2:$AA$50000,"&lt;&gt;重复Bug")+COUNTIFS(缺陷明细!$A$2:$A$50000,$B$4,缺陷明细!$G$2:$G$50000,$C18,缺陷明细!$J$2:$J$50000,"运维测试",缺陷明细!$K$2:$K$50000,"严重",缺陷明细!$AA$2:$AA$50000,"&lt;&gt;丢弃",缺陷明细!$AA$2:$AA$50000,"&lt;&gt;设计如此",缺陷明细!$AA$2:$AA$50000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51"/>
    </row>
    <row r="19" spans="1:37">
      <c r="A19">
        <v>15</v>
      </c>
      <c r="B19" s="57"/>
      <c r="C19" s="58"/>
      <c r="D19" s="84"/>
      <c r="E19" s="82"/>
      <c r="F19" s="165"/>
      <c r="G19" s="166"/>
      <c r="H19" s="305">
        <f>COUNTIFS(缺陷明细!$A$2:$A$50000,$B$4,缺陷明细!$G$2:$G$50000,$C19,缺陷明细!$J$2:$J$50000,"评审",缺陷明细!$AA$2:$AA$50000,"&lt;&gt;丢弃",缺陷明细!$AA$2:$AA$50000,"&lt;&gt;设计如此",缺陷明细!$AA$2:$AA$50000,"&lt;&gt;重复Bug")</f>
        <v>0</v>
      </c>
      <c r="I19" s="161">
        <f>COUNTIFS(缺陷明细!$A$2:$A$50000,$B$4,缺陷明细!$G$2:$G$50000,$C19,缺陷明细!$Q$2:$Q$50000,"已关闭",缺陷明细!$J$2:$J$50000,"评审")</f>
        <v>0</v>
      </c>
      <c r="J19" s="161">
        <f>COUNTIFS(缺陷明细!$A$2:$A$50000,$B$4,缺陷明细!$G$2:$G$50000,$C19,缺陷明细!$J$2:$J$50000,"单元测试",缺陷明细!$AA$2:$AA$50000,"&lt;&gt;丢弃",缺陷明细!$AA$2:$AA$50000,"&lt;&gt;设计如此",缺陷明细!$AA$2:$AA$50000,"&lt;&gt;重复Bug")</f>
        <v>0</v>
      </c>
      <c r="K19" s="162">
        <f>COUNTIFS(缺陷明细!$A$2:$A$50000,$B$4,缺陷明细!$G$2:$G$50000,$C19,缺陷明细!$Q$2:$Q$50000,"已关闭",缺陷明细!$J$2:$J$50000,"单元测试")</f>
        <v>0</v>
      </c>
      <c r="L19" s="163"/>
      <c r="M19" s="164"/>
      <c r="N19" s="72">
        <f>COUNTIFS(缺陷明细!$A$2:$A$50000,$B$4,缺陷明细!$G$2:$G$50000,$C19,缺陷明细!$J$2:$J$50000,"系统测试案例评审",缺陷明细!$AA$2:$AA$50000,"&lt;&gt;丢弃",缺陷明细!$AA$2:$AA$50000,"&lt;&gt;设计如此",缺陷明细!$AA$2:$AA$50000,"&lt;&gt;重复Bug")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COUNTIFS(缺陷明细!$A$2:$A$50000,$B$4,缺陷明细!$G$2:$G$50000,$C19,缺陷明细!$J$2:$J$50000,"系统测试",缺陷明细!$AA$2:$AA$50000,"&lt;&gt;丢弃",缺陷明细!$AA$2:$AA$50000,"&lt;&gt;设计如此",缺陷明细!$AA$2:$AA$50000,"&lt;&gt;重复Bug")</f>
        <v>0</v>
      </c>
      <c r="Q19" s="72">
        <f>COUNTIFS(缺陷明细!$A$2:$A$50000,$B$4,缺陷明细!$G$2:$G$50000,$C19,缺陷明细!$Q$2:$Q$50000,"已关闭",缺陷明细!$J$2:$J$50000,"系统测试")</f>
        <v>0</v>
      </c>
      <c r="R19" s="72">
        <f>COUNTIFS(缺陷明细!$A$2:$A$50000,$B$4,缺陷明细!$G$2:$G$50000,$C19,缺陷明细!$AA$2:$AA$50000,"丢弃",缺陷明细!$J$2:$J$50000,"系统测试")+COUNTIFS(缺陷明细!$A$2:$A$50000,$B$4,缺陷明细!$G$2:$G$50000,$C19,缺陷明细!$AA$2:$AA$50000,"设计如此",缺陷明细!$J$2:$J$50000,"系统测试"+COUNTIFS(缺陷明细!$A$2:$A$50000,$B$4,缺陷明细!$G$2:$G$50000,$C19,缺陷明细!$AA$2:$AA$50000,"重复Bug",缺陷明细!$J$2:$J$50000,"系统测试"))</f>
        <v>0</v>
      </c>
      <c r="S19" s="72">
        <f>COUNTIFS(缺陷明细!$A$2:$A$50000,$B$4,缺陷明细!$G$2:$G$50000,$C19,缺陷明细!$J$2:$J$50000,"系统测试",缺陷明细!$K$2:$K$50000,"致命",缺陷明细!$AA$2:$AA$50000,"&lt;&gt;丢弃",缺陷明细!$AA$2:$AA$50000,"&lt;&gt;设计如此",缺陷明细!$AA$2:$AA$50000,"&lt;&gt;重复Bug")+COUNTIFS(缺陷明细!$A$2:$A$50000,$B$4,缺陷明细!$G$2:$G$50000,$C19,缺陷明细!$J$2:$J$50000,"系统测试",缺陷明细!$K$2:$K$50000,"严重",缺陷明细!$AA$2:$AA$50000,"&lt;&gt;丢弃",缺陷明细!$AA$2:$AA$50000,"&lt;&gt;设计如此",缺陷明细!$AA$2:$AA$50000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COUNTIFS(缺陷明细!$A$2:$A$50000,$B$4,缺陷明细!$G$2:$G$50000,$C19,缺陷明细!$J$2:$J$50000,"验收测试",缺陷明细!$AA$2:$AA$50000,"&lt;&gt;丢弃",缺陷明细!$AA$2:$AA$50000,"&lt;&gt;设计如此",缺陷明细!$AA$2:$AA$50000,"&lt;&gt;重复Bug")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A$2:$AA$50000,"&lt;&gt;丢弃",缺陷明细!$AA$2:$AA$50000,"&lt;&gt;设计如此",缺陷明细!$AA$2:$AA$50000,"&lt;&gt;重复Bug")+COUNTIFS(缺陷明细!$A$2:$A$50000,$B$4,缺陷明细!$G$2:$G$50000,$C19,缺陷明细!$J$2:$J$50000,"验收测试",缺陷明细!$K$2:$K$50000,"严重",缺陷明细!$AA$2:$AA$50000,"&lt;&gt;丢弃",缺陷明细!$AA$2:$AA$50000,"&lt;&gt;设计如此",缺陷明细!$AA$2:$AA$50000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COUNTIFS(缺陷明细!$A$2:$A$50000,$B$4,缺陷明细!$G$2:$G$50000,$C19,缺陷明细!$J$2:$J$50000,"运维测试",缺陷明细!$AA$2:$AA$50000,"&lt;&gt;丢弃",缺陷明细!$AA$2:$AA$50000,"&lt;&gt;设计如此",缺陷明细!$AA$2:$AA$50000,"&lt;&gt;重复Bug")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A$2:$AA$50000,"&lt;&gt;丢弃",缺陷明细!$AA$2:$AA$50000,"&lt;&gt;设计如此",缺陷明细!$AA$2:$AA$50000,"&lt;&gt;重复Bug")+COUNTIFS(缺陷明细!$A$2:$A$50000,$B$4,缺陷明细!$G$2:$G$50000,$C19,缺陷明细!$J$2:$J$50000,"运维测试",缺陷明细!$K$2:$K$50000,"严重",缺陷明细!$AA$2:$AA$50000,"&lt;&gt;丢弃",缺陷明细!$AA$2:$AA$50000,"&lt;&gt;设计如此",缺陷明细!$AA$2:$AA$50000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51"/>
    </row>
    <row r="20" spans="1:37">
      <c r="A20">
        <v>16</v>
      </c>
      <c r="B20" s="57"/>
      <c r="C20" s="58"/>
      <c r="D20" s="84"/>
      <c r="E20" s="82"/>
      <c r="F20" s="165"/>
      <c r="G20" s="166"/>
      <c r="H20" s="305">
        <f>COUNTIFS(缺陷明细!$A$2:$A$50000,$B$4,缺陷明细!$G$2:$G$50000,$C20,缺陷明细!$J$2:$J$50000,"评审",缺陷明细!$AA$2:$AA$50000,"&lt;&gt;丢弃",缺陷明细!$AA$2:$AA$50000,"&lt;&gt;设计如此",缺陷明细!$AA$2:$AA$50000,"&lt;&gt;重复Bug")</f>
        <v>0</v>
      </c>
      <c r="I20" s="161">
        <f>COUNTIFS(缺陷明细!$A$2:$A$50000,$B$4,缺陷明细!$G$2:$G$50000,$C20,缺陷明细!$Q$2:$Q$50000,"已关闭",缺陷明细!$J$2:$J$50000,"评审")</f>
        <v>0</v>
      </c>
      <c r="J20" s="161">
        <f>COUNTIFS(缺陷明细!$A$2:$A$50000,$B$4,缺陷明细!$G$2:$G$50000,$C20,缺陷明细!$J$2:$J$50000,"单元测试",缺陷明细!$AA$2:$AA$50000,"&lt;&gt;丢弃",缺陷明细!$AA$2:$AA$50000,"&lt;&gt;设计如此",缺陷明细!$AA$2:$AA$50000,"&lt;&gt;重复Bug")</f>
        <v>0</v>
      </c>
      <c r="K20" s="162">
        <f>COUNTIFS(缺陷明细!$A$2:$A$50000,$B$4,缺陷明细!$G$2:$G$50000,$C20,缺陷明细!$Q$2:$Q$50000,"已关闭",缺陷明细!$J$2:$J$50000,"单元测试")</f>
        <v>0</v>
      </c>
      <c r="L20" s="163"/>
      <c r="M20" s="164"/>
      <c r="N20" s="72">
        <f>COUNTIFS(缺陷明细!$A$2:$A$50000,$B$4,缺陷明细!$G$2:$G$50000,$C20,缺陷明细!$J$2:$J$50000,"系统测试案例评审",缺陷明细!$AA$2:$AA$50000,"&lt;&gt;丢弃",缺陷明细!$AA$2:$AA$50000,"&lt;&gt;设计如此",缺陷明细!$AA$2:$AA$50000,"&lt;&gt;重复Bug")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COUNTIFS(缺陷明细!$A$2:$A$50000,$B$4,缺陷明细!$G$2:$G$50000,$C20,缺陷明细!$J$2:$J$50000,"系统测试",缺陷明细!$AA$2:$AA$50000,"&lt;&gt;丢弃",缺陷明细!$AA$2:$AA$50000,"&lt;&gt;设计如此",缺陷明细!$AA$2:$AA$50000,"&lt;&gt;重复Bug")</f>
        <v>0</v>
      </c>
      <c r="Q20" s="72">
        <f>COUNTIFS(缺陷明细!$A$2:$A$50000,$B$4,缺陷明细!$G$2:$G$50000,$C20,缺陷明细!$Q$2:$Q$50000,"已关闭",缺陷明细!$J$2:$J$50000,"系统测试")</f>
        <v>0</v>
      </c>
      <c r="R20" s="72">
        <f>COUNTIFS(缺陷明细!$A$2:$A$50000,$B$4,缺陷明细!$G$2:$G$50000,$C20,缺陷明细!$AA$2:$AA$50000,"丢弃",缺陷明细!$J$2:$J$50000,"系统测试")+COUNTIFS(缺陷明细!$A$2:$A$50000,$B$4,缺陷明细!$G$2:$G$50000,$C20,缺陷明细!$AA$2:$AA$50000,"设计如此",缺陷明细!$J$2:$J$50000,"系统测试"+COUNTIFS(缺陷明细!$A$2:$A$50000,$B$4,缺陷明细!$G$2:$G$50000,$C20,缺陷明细!$AA$2:$AA$50000,"重复Bug",缺陷明细!$J$2:$J$50000,"系统测试"))</f>
        <v>0</v>
      </c>
      <c r="S20" s="72">
        <f>COUNTIFS(缺陷明细!$A$2:$A$50000,$B$4,缺陷明细!$G$2:$G$50000,$C20,缺陷明细!$J$2:$J$50000,"系统测试",缺陷明细!$K$2:$K$50000,"致命",缺陷明细!$AA$2:$AA$50000,"&lt;&gt;丢弃",缺陷明细!$AA$2:$AA$50000,"&lt;&gt;设计如此",缺陷明细!$AA$2:$AA$50000,"&lt;&gt;重复Bug")+COUNTIFS(缺陷明细!$A$2:$A$50000,$B$4,缺陷明细!$G$2:$G$50000,$C20,缺陷明细!$J$2:$J$50000,"系统测试",缺陷明细!$K$2:$K$50000,"严重",缺陷明细!$AA$2:$AA$50000,"&lt;&gt;丢弃",缺陷明细!$AA$2:$AA$50000,"&lt;&gt;设计如此",缺陷明细!$AA$2:$AA$50000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COUNTIFS(缺陷明细!$A$2:$A$50000,$B$4,缺陷明细!$G$2:$G$50000,$C20,缺陷明细!$J$2:$J$50000,"验收测试",缺陷明细!$AA$2:$AA$50000,"&lt;&gt;丢弃",缺陷明细!$AA$2:$AA$50000,"&lt;&gt;设计如此",缺陷明细!$AA$2:$AA$50000,"&lt;&gt;重复Bug")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A$2:$AA$50000,"&lt;&gt;丢弃",缺陷明细!$AA$2:$AA$50000,"&lt;&gt;设计如此",缺陷明细!$AA$2:$AA$50000,"&lt;&gt;重复Bug")+COUNTIFS(缺陷明细!$A$2:$A$50000,$B$4,缺陷明细!$G$2:$G$50000,$C20,缺陷明细!$J$2:$J$50000,"验收测试",缺陷明细!$K$2:$K$50000,"严重",缺陷明细!$AA$2:$AA$50000,"&lt;&gt;丢弃",缺陷明细!$AA$2:$AA$50000,"&lt;&gt;设计如此",缺陷明细!$AA$2:$AA$50000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COUNTIFS(缺陷明细!$A$2:$A$50000,$B$4,缺陷明细!$G$2:$G$50000,$C20,缺陷明细!$J$2:$J$50000,"运维测试",缺陷明细!$AA$2:$AA$50000,"&lt;&gt;丢弃",缺陷明细!$AA$2:$AA$50000,"&lt;&gt;设计如此",缺陷明细!$AA$2:$AA$50000,"&lt;&gt;重复Bug")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A$2:$AA$50000,"&lt;&gt;丢弃",缺陷明细!$AA$2:$AA$50000,"&lt;&gt;设计如此",缺陷明细!$AA$2:$AA$50000,"&lt;&gt;重复Bug")+COUNTIFS(缺陷明细!$A$2:$A$50000,$B$4,缺陷明细!$G$2:$G$50000,$C20,缺陷明细!$J$2:$J$50000,"运维测试",缺陷明细!$K$2:$K$50000,"严重",缺陷明细!$AA$2:$AA$50000,"&lt;&gt;丢弃",缺陷明细!$AA$2:$AA$50000,"&lt;&gt;设计如此",缺陷明细!$AA$2:$AA$50000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51"/>
    </row>
    <row r="21" spans="1:37">
      <c r="A21">
        <v>17</v>
      </c>
      <c r="B21" s="57"/>
      <c r="C21" s="58"/>
      <c r="D21" s="84"/>
      <c r="E21" s="82"/>
      <c r="F21" s="165"/>
      <c r="G21" s="166"/>
      <c r="H21" s="305">
        <f>COUNTIFS(缺陷明细!$A$2:$A$50000,$B$4,缺陷明细!$G$2:$G$50000,$C21,缺陷明细!$J$2:$J$50000,"评审",缺陷明细!$AA$2:$AA$50000,"&lt;&gt;丢弃",缺陷明细!$AA$2:$AA$50000,"&lt;&gt;设计如此",缺陷明细!$AA$2:$AA$50000,"&lt;&gt;重复Bug")</f>
        <v>0</v>
      </c>
      <c r="I21" s="161">
        <f>COUNTIFS(缺陷明细!$A$2:$A$50000,$B$4,缺陷明细!$G$2:$G$50000,$C21,缺陷明细!$Q$2:$Q$50000,"已关闭",缺陷明细!$J$2:$J$50000,"评审")</f>
        <v>0</v>
      </c>
      <c r="J21" s="161">
        <f>COUNTIFS(缺陷明细!$A$2:$A$50000,$B$4,缺陷明细!$G$2:$G$50000,$C21,缺陷明细!$J$2:$J$50000,"单元测试",缺陷明细!$AA$2:$AA$50000,"&lt;&gt;丢弃",缺陷明细!$AA$2:$AA$50000,"&lt;&gt;设计如此",缺陷明细!$AA$2:$AA$50000,"&lt;&gt;重复Bug")</f>
        <v>0</v>
      </c>
      <c r="K21" s="162">
        <f>COUNTIFS(缺陷明细!$A$2:$A$50000,$B$4,缺陷明细!$G$2:$G$50000,$C21,缺陷明细!$Q$2:$Q$50000,"已关闭",缺陷明细!$J$2:$J$50000,"单元测试")</f>
        <v>0</v>
      </c>
      <c r="L21" s="163"/>
      <c r="M21" s="164"/>
      <c r="N21" s="72">
        <f>COUNTIFS(缺陷明细!$A$2:$A$50000,$B$4,缺陷明细!$G$2:$G$50000,$C21,缺陷明细!$J$2:$J$50000,"系统测试案例评审",缺陷明细!$AA$2:$AA$50000,"&lt;&gt;丢弃",缺陷明细!$AA$2:$AA$50000,"&lt;&gt;设计如此",缺陷明细!$AA$2:$AA$50000,"&lt;&gt;重复Bug")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COUNTIFS(缺陷明细!$A$2:$A$50000,$B$4,缺陷明细!$G$2:$G$50000,$C21,缺陷明细!$J$2:$J$50000,"系统测试",缺陷明细!$AA$2:$AA$50000,"&lt;&gt;丢弃",缺陷明细!$AA$2:$AA$50000,"&lt;&gt;设计如此",缺陷明细!$AA$2:$AA$50000,"&lt;&gt;重复Bug")</f>
        <v>0</v>
      </c>
      <c r="Q21" s="72">
        <f>COUNTIFS(缺陷明细!$A$2:$A$50000,$B$4,缺陷明细!$G$2:$G$50000,$C21,缺陷明细!$Q$2:$Q$50000,"已关闭",缺陷明细!$J$2:$J$50000,"系统测试")</f>
        <v>0</v>
      </c>
      <c r="R21" s="72">
        <f>COUNTIFS(缺陷明细!$A$2:$A$50000,$B$4,缺陷明细!$G$2:$G$50000,$C21,缺陷明细!$AA$2:$AA$50000,"丢弃",缺陷明细!$J$2:$J$50000,"系统测试")+COUNTIFS(缺陷明细!$A$2:$A$50000,$B$4,缺陷明细!$G$2:$G$50000,$C21,缺陷明细!$AA$2:$AA$50000,"设计如此",缺陷明细!$J$2:$J$50000,"系统测试"+COUNTIFS(缺陷明细!$A$2:$A$50000,$B$4,缺陷明细!$G$2:$G$50000,$C21,缺陷明细!$AA$2:$AA$50000,"重复Bug",缺陷明细!$J$2:$J$50000,"系统测试"))</f>
        <v>0</v>
      </c>
      <c r="S21" s="72">
        <f>COUNTIFS(缺陷明细!$A$2:$A$50000,$B$4,缺陷明细!$G$2:$G$50000,$C21,缺陷明细!$J$2:$J$50000,"系统测试",缺陷明细!$K$2:$K$50000,"致命",缺陷明细!$AA$2:$AA$50000,"&lt;&gt;丢弃",缺陷明细!$AA$2:$AA$50000,"&lt;&gt;设计如此",缺陷明细!$AA$2:$AA$50000,"&lt;&gt;重复Bug")+COUNTIFS(缺陷明细!$A$2:$A$50000,$B$4,缺陷明细!$G$2:$G$50000,$C21,缺陷明细!$J$2:$J$50000,"系统测试",缺陷明细!$K$2:$K$50000,"严重",缺陷明细!$AA$2:$AA$50000,"&lt;&gt;丢弃",缺陷明细!$AA$2:$AA$50000,"&lt;&gt;设计如此",缺陷明细!$AA$2:$AA$50000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COUNTIFS(缺陷明细!$A$2:$A$50000,$B$4,缺陷明细!$G$2:$G$50000,$C21,缺陷明细!$J$2:$J$50000,"验收测试",缺陷明细!$AA$2:$AA$50000,"&lt;&gt;丢弃",缺陷明细!$AA$2:$AA$50000,"&lt;&gt;设计如此",缺陷明细!$AA$2:$AA$50000,"&lt;&gt;重复Bug")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A$2:$AA$50000,"&lt;&gt;丢弃",缺陷明细!$AA$2:$AA$50000,"&lt;&gt;设计如此",缺陷明细!$AA$2:$AA$50000,"&lt;&gt;重复Bug")+COUNTIFS(缺陷明细!$A$2:$A$50000,$B$4,缺陷明细!$G$2:$G$50000,$C21,缺陷明细!$J$2:$J$50000,"验收测试",缺陷明细!$K$2:$K$50000,"严重",缺陷明细!$AA$2:$AA$50000,"&lt;&gt;丢弃",缺陷明细!$AA$2:$AA$50000,"&lt;&gt;设计如此",缺陷明细!$AA$2:$AA$50000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COUNTIFS(缺陷明细!$A$2:$A$50000,$B$4,缺陷明细!$G$2:$G$50000,$C21,缺陷明细!$J$2:$J$50000,"运维测试",缺陷明细!$AA$2:$AA$50000,"&lt;&gt;丢弃",缺陷明细!$AA$2:$AA$50000,"&lt;&gt;设计如此",缺陷明细!$AA$2:$AA$50000,"&lt;&gt;重复Bug")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A$2:$AA$50000,"&lt;&gt;丢弃",缺陷明细!$AA$2:$AA$50000,"&lt;&gt;设计如此",缺陷明细!$AA$2:$AA$50000,"&lt;&gt;重复Bug")+COUNTIFS(缺陷明细!$A$2:$A$50000,$B$4,缺陷明细!$G$2:$G$50000,$C21,缺陷明细!$J$2:$J$50000,"运维测试",缺陷明细!$K$2:$K$50000,"严重",缺陷明细!$AA$2:$AA$50000,"&lt;&gt;丢弃",缺陷明细!$AA$2:$AA$50000,"&lt;&gt;设计如此",缺陷明细!$AA$2:$AA$50000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51"/>
    </row>
    <row r="22" spans="1:37">
      <c r="A22">
        <v>18</v>
      </c>
      <c r="B22" s="57"/>
      <c r="C22" s="58"/>
      <c r="D22" s="84"/>
      <c r="E22" s="82"/>
      <c r="F22" s="165"/>
      <c r="G22" s="166"/>
      <c r="H22" s="305">
        <f>COUNTIFS(缺陷明细!$A$2:$A$50000,$B$4,缺陷明细!$G$2:$G$50000,$C22,缺陷明细!$J$2:$J$50000,"评审",缺陷明细!$AA$2:$AA$50000,"&lt;&gt;丢弃",缺陷明细!$AA$2:$AA$50000,"&lt;&gt;设计如此",缺陷明细!$AA$2:$AA$50000,"&lt;&gt;重复Bug")</f>
        <v>0</v>
      </c>
      <c r="I22" s="161">
        <f>COUNTIFS(缺陷明细!$A$2:$A$50000,$B$4,缺陷明细!$G$2:$G$50000,$C22,缺陷明细!$Q$2:$Q$50000,"已关闭",缺陷明细!$J$2:$J$50000,"评审")</f>
        <v>0</v>
      </c>
      <c r="J22" s="161">
        <f>COUNTIFS(缺陷明细!$A$2:$A$50000,$B$4,缺陷明细!$G$2:$G$50000,$C22,缺陷明细!$J$2:$J$50000,"单元测试",缺陷明细!$AA$2:$AA$50000,"&lt;&gt;丢弃",缺陷明细!$AA$2:$AA$50000,"&lt;&gt;设计如此",缺陷明细!$AA$2:$AA$50000,"&lt;&gt;重复Bug")</f>
        <v>0</v>
      </c>
      <c r="K22" s="162">
        <f>COUNTIFS(缺陷明细!$A$2:$A$50000,$B$4,缺陷明细!$G$2:$G$50000,$C22,缺陷明细!$Q$2:$Q$50000,"已关闭",缺陷明细!$J$2:$J$50000,"单元测试")</f>
        <v>0</v>
      </c>
      <c r="L22" s="163"/>
      <c r="M22" s="164"/>
      <c r="N22" s="72">
        <f>COUNTIFS(缺陷明细!$A$2:$A$50000,$B$4,缺陷明细!$G$2:$G$50000,$C22,缺陷明细!$J$2:$J$50000,"系统测试案例评审",缺陷明细!$AA$2:$AA$50000,"&lt;&gt;丢弃",缺陷明细!$AA$2:$AA$50000,"&lt;&gt;设计如此",缺陷明细!$AA$2:$AA$50000,"&lt;&gt;重复Bug")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COUNTIFS(缺陷明细!$A$2:$A$50000,$B$4,缺陷明细!$G$2:$G$50000,$C22,缺陷明细!$J$2:$J$50000,"系统测试",缺陷明细!$AA$2:$AA$50000,"&lt;&gt;丢弃",缺陷明细!$AA$2:$AA$50000,"&lt;&gt;设计如此",缺陷明细!$AA$2:$AA$50000,"&lt;&gt;重复Bug")</f>
        <v>0</v>
      </c>
      <c r="Q22" s="72">
        <f>COUNTIFS(缺陷明细!$A$2:$A$50000,$B$4,缺陷明细!$G$2:$G$50000,$C22,缺陷明细!$Q$2:$Q$50000,"已关闭",缺陷明细!$J$2:$J$50000,"系统测试")</f>
        <v>0</v>
      </c>
      <c r="R22" s="72">
        <f>COUNTIFS(缺陷明细!$A$2:$A$50000,$B$4,缺陷明细!$G$2:$G$50000,$C22,缺陷明细!$AA$2:$AA$50000,"丢弃",缺陷明细!$J$2:$J$50000,"系统测试")+COUNTIFS(缺陷明细!$A$2:$A$50000,$B$4,缺陷明细!$G$2:$G$50000,$C22,缺陷明细!$AA$2:$AA$50000,"设计如此",缺陷明细!$J$2:$J$50000,"系统测试"+COUNTIFS(缺陷明细!$A$2:$A$50000,$B$4,缺陷明细!$G$2:$G$50000,$C22,缺陷明细!$AA$2:$AA$50000,"重复Bug",缺陷明细!$J$2:$J$50000,"系统测试"))</f>
        <v>0</v>
      </c>
      <c r="S22" s="72">
        <f>COUNTIFS(缺陷明细!$A$2:$A$50000,$B$4,缺陷明细!$G$2:$G$50000,$C22,缺陷明细!$J$2:$J$50000,"系统测试",缺陷明细!$K$2:$K$50000,"致命",缺陷明细!$AA$2:$AA$50000,"&lt;&gt;丢弃",缺陷明细!$AA$2:$AA$50000,"&lt;&gt;设计如此",缺陷明细!$AA$2:$AA$50000,"&lt;&gt;重复Bug")+COUNTIFS(缺陷明细!$A$2:$A$50000,$B$4,缺陷明细!$G$2:$G$50000,$C22,缺陷明细!$J$2:$J$50000,"系统测试",缺陷明细!$K$2:$K$50000,"严重",缺陷明细!$AA$2:$AA$50000,"&lt;&gt;丢弃",缺陷明细!$AA$2:$AA$50000,"&lt;&gt;设计如此",缺陷明细!$AA$2:$AA$50000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COUNTIFS(缺陷明细!$A$2:$A$50000,$B$4,缺陷明细!$G$2:$G$50000,$C22,缺陷明细!$J$2:$J$50000,"验收测试",缺陷明细!$AA$2:$AA$50000,"&lt;&gt;丢弃",缺陷明细!$AA$2:$AA$50000,"&lt;&gt;设计如此",缺陷明细!$AA$2:$AA$50000,"&lt;&gt;重复Bug")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A$2:$AA$50000,"&lt;&gt;丢弃",缺陷明细!$AA$2:$AA$50000,"&lt;&gt;设计如此",缺陷明细!$AA$2:$AA$50000,"&lt;&gt;重复Bug")+COUNTIFS(缺陷明细!$A$2:$A$50000,$B$4,缺陷明细!$G$2:$G$50000,$C22,缺陷明细!$J$2:$J$50000,"验收测试",缺陷明细!$K$2:$K$50000,"严重",缺陷明细!$AA$2:$AA$50000,"&lt;&gt;丢弃",缺陷明细!$AA$2:$AA$50000,"&lt;&gt;设计如此",缺陷明细!$AA$2:$AA$50000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COUNTIFS(缺陷明细!$A$2:$A$50000,$B$4,缺陷明细!$G$2:$G$50000,$C22,缺陷明细!$J$2:$J$50000,"运维测试",缺陷明细!$AA$2:$AA$50000,"&lt;&gt;丢弃",缺陷明细!$AA$2:$AA$50000,"&lt;&gt;设计如此",缺陷明细!$AA$2:$AA$50000,"&lt;&gt;重复Bug")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A$2:$AA$50000,"&lt;&gt;丢弃",缺陷明细!$AA$2:$AA$50000,"&lt;&gt;设计如此",缺陷明细!$AA$2:$AA$50000,"&lt;&gt;重复Bug")+COUNTIFS(缺陷明细!$A$2:$A$50000,$B$4,缺陷明细!$G$2:$G$50000,$C22,缺陷明细!$J$2:$J$50000,"运维测试",缺陷明细!$K$2:$K$50000,"严重",缺陷明细!$AA$2:$AA$50000,"&lt;&gt;丢弃",缺陷明细!$AA$2:$AA$50000,"&lt;&gt;设计如此",缺陷明细!$AA$2:$AA$50000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51"/>
    </row>
    <row r="23" spans="1:37">
      <c r="A23">
        <v>19</v>
      </c>
      <c r="B23" s="57"/>
      <c r="C23" s="58"/>
      <c r="D23" s="84"/>
      <c r="E23" s="82"/>
      <c r="F23" s="165"/>
      <c r="G23" s="166"/>
      <c r="H23" s="305">
        <f>COUNTIFS(缺陷明细!$A$2:$A$50000,$B$4,缺陷明细!$G$2:$G$50000,$C23,缺陷明细!$J$2:$J$50000,"评审",缺陷明细!$AA$2:$AA$50000,"&lt;&gt;丢弃",缺陷明细!$AA$2:$AA$50000,"&lt;&gt;设计如此",缺陷明细!$AA$2:$AA$50000,"&lt;&gt;重复Bug")</f>
        <v>0</v>
      </c>
      <c r="I23" s="161">
        <f>COUNTIFS(缺陷明细!$A$2:$A$50000,$B$4,缺陷明细!$G$2:$G$50000,$C23,缺陷明细!$Q$2:$Q$50000,"已关闭",缺陷明细!$J$2:$J$50000,"评审")</f>
        <v>0</v>
      </c>
      <c r="J23" s="161">
        <f>COUNTIFS(缺陷明细!$A$2:$A$50000,$B$4,缺陷明细!$G$2:$G$50000,$C23,缺陷明细!$J$2:$J$50000,"单元测试",缺陷明细!$AA$2:$AA$50000,"&lt;&gt;丢弃",缺陷明细!$AA$2:$AA$50000,"&lt;&gt;设计如此",缺陷明细!$AA$2:$AA$50000,"&lt;&gt;重复Bug")</f>
        <v>0</v>
      </c>
      <c r="K23" s="162">
        <f>COUNTIFS(缺陷明细!$A$2:$A$50000,$B$4,缺陷明细!$G$2:$G$50000,$C23,缺陷明细!$Q$2:$Q$50000,"已关闭",缺陷明细!$J$2:$J$50000,"单元测试")</f>
        <v>0</v>
      </c>
      <c r="L23" s="163"/>
      <c r="M23" s="164"/>
      <c r="N23" s="72">
        <f>COUNTIFS(缺陷明细!$A$2:$A$50000,$B$4,缺陷明细!$G$2:$G$50000,$C23,缺陷明细!$J$2:$J$50000,"系统测试案例评审",缺陷明细!$AA$2:$AA$50000,"&lt;&gt;丢弃",缺陷明细!$AA$2:$AA$50000,"&lt;&gt;设计如此",缺陷明细!$AA$2:$AA$50000,"&lt;&gt;重复Bug")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COUNTIFS(缺陷明细!$A$2:$A$50000,$B$4,缺陷明细!$G$2:$G$50000,$C23,缺陷明细!$J$2:$J$50000,"系统测试",缺陷明细!$AA$2:$AA$50000,"&lt;&gt;丢弃",缺陷明细!$AA$2:$AA$50000,"&lt;&gt;设计如此",缺陷明细!$AA$2:$AA$50000,"&lt;&gt;重复Bug")</f>
        <v>0</v>
      </c>
      <c r="Q23" s="72">
        <f>COUNTIFS(缺陷明细!$A$2:$A$50000,$B$4,缺陷明细!$G$2:$G$50000,$C23,缺陷明细!$Q$2:$Q$50000,"已关闭",缺陷明细!$J$2:$J$50000,"系统测试")</f>
        <v>0</v>
      </c>
      <c r="R23" s="72">
        <f>COUNTIFS(缺陷明细!$A$2:$A$50000,$B$4,缺陷明细!$G$2:$G$50000,$C23,缺陷明细!$AA$2:$AA$50000,"丢弃",缺陷明细!$J$2:$J$50000,"系统测试")+COUNTIFS(缺陷明细!$A$2:$A$50000,$B$4,缺陷明细!$G$2:$G$50000,$C23,缺陷明细!$AA$2:$AA$50000,"设计如此",缺陷明细!$J$2:$J$50000,"系统测试"+COUNTIFS(缺陷明细!$A$2:$A$50000,$B$4,缺陷明细!$G$2:$G$50000,$C23,缺陷明细!$AA$2:$AA$50000,"重复Bug",缺陷明细!$J$2:$J$50000,"系统测试"))</f>
        <v>0</v>
      </c>
      <c r="S23" s="72">
        <f>COUNTIFS(缺陷明细!$A$2:$A$50000,$B$4,缺陷明细!$G$2:$G$50000,$C23,缺陷明细!$J$2:$J$50000,"系统测试",缺陷明细!$K$2:$K$50000,"致命",缺陷明细!$AA$2:$AA$50000,"&lt;&gt;丢弃",缺陷明细!$AA$2:$AA$50000,"&lt;&gt;设计如此",缺陷明细!$AA$2:$AA$50000,"&lt;&gt;重复Bug")+COUNTIFS(缺陷明细!$A$2:$A$50000,$B$4,缺陷明细!$G$2:$G$50000,$C23,缺陷明细!$J$2:$J$50000,"系统测试",缺陷明细!$K$2:$K$50000,"严重",缺陷明细!$AA$2:$AA$50000,"&lt;&gt;丢弃",缺陷明细!$AA$2:$AA$50000,"&lt;&gt;设计如此",缺陷明细!$AA$2:$AA$50000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COUNTIFS(缺陷明细!$A$2:$A$50000,$B$4,缺陷明细!$G$2:$G$50000,$C23,缺陷明细!$J$2:$J$50000,"验收测试",缺陷明细!$AA$2:$AA$50000,"&lt;&gt;丢弃",缺陷明细!$AA$2:$AA$50000,"&lt;&gt;设计如此",缺陷明细!$AA$2:$AA$50000,"&lt;&gt;重复Bug")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A$2:$AA$50000,"&lt;&gt;丢弃",缺陷明细!$AA$2:$AA$50000,"&lt;&gt;设计如此",缺陷明细!$AA$2:$AA$50000,"&lt;&gt;重复Bug")+COUNTIFS(缺陷明细!$A$2:$A$50000,$B$4,缺陷明细!$G$2:$G$50000,$C23,缺陷明细!$J$2:$J$50000,"验收测试",缺陷明细!$K$2:$K$50000,"严重",缺陷明细!$AA$2:$AA$50000,"&lt;&gt;丢弃",缺陷明细!$AA$2:$AA$50000,"&lt;&gt;设计如此",缺陷明细!$AA$2:$AA$50000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COUNTIFS(缺陷明细!$A$2:$A$50000,$B$4,缺陷明细!$G$2:$G$50000,$C23,缺陷明细!$J$2:$J$50000,"运维测试",缺陷明细!$AA$2:$AA$50000,"&lt;&gt;丢弃",缺陷明细!$AA$2:$AA$50000,"&lt;&gt;设计如此",缺陷明细!$AA$2:$AA$50000,"&lt;&gt;重复Bug")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A$2:$AA$50000,"&lt;&gt;丢弃",缺陷明细!$AA$2:$AA$50000,"&lt;&gt;设计如此",缺陷明细!$AA$2:$AA$50000,"&lt;&gt;重复Bug")+COUNTIFS(缺陷明细!$A$2:$A$50000,$B$4,缺陷明细!$G$2:$G$50000,$C23,缺陷明细!$J$2:$J$50000,"运维测试",缺陷明细!$K$2:$K$50000,"严重",缺陷明细!$AA$2:$AA$50000,"&lt;&gt;丢弃",缺陷明细!$AA$2:$AA$50000,"&lt;&gt;设计如此",缺陷明细!$AA$2:$AA$50000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51"/>
    </row>
    <row r="24" spans="1:37">
      <c r="A24">
        <v>20</v>
      </c>
      <c r="B24" s="57"/>
      <c r="C24" s="58"/>
      <c r="D24" s="84"/>
      <c r="E24" s="82"/>
      <c r="F24" s="165"/>
      <c r="G24" s="166"/>
      <c r="H24" s="305">
        <f>COUNTIFS(缺陷明细!$A$2:$A$50000,$B$4,缺陷明细!$G$2:$G$50000,$C24,缺陷明细!$J$2:$J$50000,"评审",缺陷明细!$AA$2:$AA$50000,"&lt;&gt;丢弃",缺陷明细!$AA$2:$AA$50000,"&lt;&gt;设计如此",缺陷明细!$AA$2:$AA$50000,"&lt;&gt;重复Bug")</f>
        <v>0</v>
      </c>
      <c r="I24" s="161">
        <f>COUNTIFS(缺陷明细!$A$2:$A$50000,$B$4,缺陷明细!$G$2:$G$50000,$C24,缺陷明细!$Q$2:$Q$50000,"已关闭",缺陷明细!$J$2:$J$50000,"评审")</f>
        <v>0</v>
      </c>
      <c r="J24" s="161">
        <f>COUNTIFS(缺陷明细!$A$2:$A$50000,$B$4,缺陷明细!$G$2:$G$50000,$C24,缺陷明细!$J$2:$J$50000,"单元测试",缺陷明细!$AA$2:$AA$50000,"&lt;&gt;丢弃",缺陷明细!$AA$2:$AA$50000,"&lt;&gt;设计如此",缺陷明细!$AA$2:$AA$50000,"&lt;&gt;重复Bug")</f>
        <v>0</v>
      </c>
      <c r="K24" s="162">
        <f>COUNTIFS(缺陷明细!$A$2:$A$50000,$B$4,缺陷明细!$G$2:$G$50000,$C24,缺陷明细!$Q$2:$Q$50000,"已关闭",缺陷明细!$J$2:$J$50000,"单元测试")</f>
        <v>0</v>
      </c>
      <c r="L24" s="163"/>
      <c r="M24" s="164"/>
      <c r="N24" s="72">
        <f>COUNTIFS(缺陷明细!$A$2:$A$50000,$B$4,缺陷明细!$G$2:$G$50000,$C24,缺陷明细!$J$2:$J$50000,"系统测试案例评审",缺陷明细!$AA$2:$AA$50000,"&lt;&gt;丢弃",缺陷明细!$AA$2:$AA$50000,"&lt;&gt;设计如此",缺陷明细!$AA$2:$AA$50000,"&lt;&gt;重复Bug")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COUNTIFS(缺陷明细!$A$2:$A$50000,$B$4,缺陷明细!$G$2:$G$50000,$C24,缺陷明细!$J$2:$J$50000,"系统测试",缺陷明细!$AA$2:$AA$50000,"&lt;&gt;丢弃",缺陷明细!$AA$2:$AA$50000,"&lt;&gt;设计如此",缺陷明细!$AA$2:$AA$50000,"&lt;&gt;重复Bug")</f>
        <v>0</v>
      </c>
      <c r="Q24" s="72">
        <f>COUNTIFS(缺陷明细!$A$2:$A$50000,$B$4,缺陷明细!$G$2:$G$50000,$C24,缺陷明细!$Q$2:$Q$50000,"已关闭",缺陷明细!$J$2:$J$50000,"系统测试")</f>
        <v>0</v>
      </c>
      <c r="R24" s="72">
        <f>COUNTIFS(缺陷明细!$A$2:$A$50000,$B$4,缺陷明细!$G$2:$G$50000,$C24,缺陷明细!$AA$2:$AA$50000,"丢弃",缺陷明细!$J$2:$J$50000,"系统测试")+COUNTIFS(缺陷明细!$A$2:$A$50000,$B$4,缺陷明细!$G$2:$G$50000,$C24,缺陷明细!$AA$2:$AA$50000,"设计如此",缺陷明细!$J$2:$J$50000,"系统测试"+COUNTIFS(缺陷明细!$A$2:$A$50000,$B$4,缺陷明细!$G$2:$G$50000,$C24,缺陷明细!$AA$2:$AA$50000,"重复Bug",缺陷明细!$J$2:$J$50000,"系统测试"))</f>
        <v>0</v>
      </c>
      <c r="S24" s="72">
        <f>COUNTIFS(缺陷明细!$A$2:$A$50000,$B$4,缺陷明细!$G$2:$G$50000,$C24,缺陷明细!$J$2:$J$50000,"系统测试",缺陷明细!$K$2:$K$50000,"致命",缺陷明细!$AA$2:$AA$50000,"&lt;&gt;丢弃",缺陷明细!$AA$2:$AA$50000,"&lt;&gt;设计如此",缺陷明细!$AA$2:$AA$50000,"&lt;&gt;重复Bug")+COUNTIFS(缺陷明细!$A$2:$A$50000,$B$4,缺陷明细!$G$2:$G$50000,$C24,缺陷明细!$J$2:$J$50000,"系统测试",缺陷明细!$K$2:$K$50000,"严重",缺陷明细!$AA$2:$AA$50000,"&lt;&gt;丢弃",缺陷明细!$AA$2:$AA$50000,"&lt;&gt;设计如此",缺陷明细!$AA$2:$AA$50000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COUNTIFS(缺陷明细!$A$2:$A$50000,$B$4,缺陷明细!$G$2:$G$50000,$C24,缺陷明细!$J$2:$J$50000,"验收测试",缺陷明细!$AA$2:$AA$50000,"&lt;&gt;丢弃",缺陷明细!$AA$2:$AA$50000,"&lt;&gt;设计如此",缺陷明细!$AA$2:$AA$50000,"&lt;&gt;重复Bug")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A$2:$AA$50000,"&lt;&gt;丢弃",缺陷明细!$AA$2:$AA$50000,"&lt;&gt;设计如此",缺陷明细!$AA$2:$AA$50000,"&lt;&gt;重复Bug")+COUNTIFS(缺陷明细!$A$2:$A$50000,$B$4,缺陷明细!$G$2:$G$50000,$C24,缺陷明细!$J$2:$J$50000,"验收测试",缺陷明细!$K$2:$K$50000,"严重",缺陷明细!$AA$2:$AA$50000,"&lt;&gt;丢弃",缺陷明细!$AA$2:$AA$50000,"&lt;&gt;设计如此",缺陷明细!$AA$2:$AA$50000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COUNTIFS(缺陷明细!$A$2:$A$50000,$B$4,缺陷明细!$G$2:$G$50000,$C24,缺陷明细!$J$2:$J$50000,"运维测试",缺陷明细!$AA$2:$AA$50000,"&lt;&gt;丢弃",缺陷明细!$AA$2:$AA$50000,"&lt;&gt;设计如此",缺陷明细!$AA$2:$AA$50000,"&lt;&gt;重复Bug")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A$2:$AA$50000,"&lt;&gt;丢弃",缺陷明细!$AA$2:$AA$50000,"&lt;&gt;设计如此",缺陷明细!$AA$2:$AA$50000,"&lt;&gt;重复Bug")+COUNTIFS(缺陷明细!$A$2:$A$50000,$B$4,缺陷明细!$G$2:$G$50000,$C24,缺陷明细!$J$2:$J$50000,"运维测试",缺陷明细!$K$2:$K$50000,"严重",缺陷明细!$AA$2:$AA$50000,"&lt;&gt;丢弃",缺陷明细!$AA$2:$AA$50000,"&lt;&gt;设计如此",缺陷明细!$AA$2:$AA$50000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51"/>
    </row>
    <row r="25" spans="1:37">
      <c r="A25">
        <v>21</v>
      </c>
      <c r="B25" s="57"/>
      <c r="C25" s="58"/>
      <c r="D25" s="84"/>
      <c r="E25" s="82"/>
      <c r="F25" s="165"/>
      <c r="G25" s="166"/>
      <c r="H25" s="305">
        <f>COUNTIFS(缺陷明细!$A$2:$A$50000,$B$4,缺陷明细!$G$2:$G$50000,$C25,缺陷明细!$J$2:$J$50000,"评审",缺陷明细!$AA$2:$AA$50000,"&lt;&gt;丢弃",缺陷明细!$AA$2:$AA$50000,"&lt;&gt;设计如此",缺陷明细!$AA$2:$AA$50000,"&lt;&gt;重复Bug")</f>
        <v>0</v>
      </c>
      <c r="I25" s="161">
        <f>COUNTIFS(缺陷明细!$A$2:$A$50000,$B$4,缺陷明细!$G$2:$G$50000,$C25,缺陷明细!$Q$2:$Q$50000,"已关闭",缺陷明细!$J$2:$J$50000,"评审")</f>
        <v>0</v>
      </c>
      <c r="J25" s="161">
        <f>COUNTIFS(缺陷明细!$A$2:$A$50000,$B$4,缺陷明细!$G$2:$G$50000,$C25,缺陷明细!$J$2:$J$50000,"单元测试",缺陷明细!$AA$2:$AA$50000,"&lt;&gt;丢弃",缺陷明细!$AA$2:$AA$50000,"&lt;&gt;设计如此",缺陷明细!$AA$2:$AA$50000,"&lt;&gt;重复Bug")</f>
        <v>0</v>
      </c>
      <c r="K25" s="162">
        <f>COUNTIFS(缺陷明细!$A$2:$A$50000,$B$4,缺陷明细!$G$2:$G$50000,$C25,缺陷明细!$Q$2:$Q$50000,"已关闭",缺陷明细!$J$2:$J$50000,"单元测试")</f>
        <v>0</v>
      </c>
      <c r="L25" s="163"/>
      <c r="M25" s="164"/>
      <c r="N25" s="72">
        <f>COUNTIFS(缺陷明细!$A$2:$A$50000,$B$4,缺陷明细!$G$2:$G$50000,$C25,缺陷明细!$J$2:$J$50000,"系统测试案例评审",缺陷明细!$AA$2:$AA$50000,"&lt;&gt;丢弃",缺陷明细!$AA$2:$AA$50000,"&lt;&gt;设计如此",缺陷明细!$AA$2:$AA$50000,"&lt;&gt;重复Bug")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COUNTIFS(缺陷明细!$A$2:$A$50000,$B$4,缺陷明细!$G$2:$G$50000,$C25,缺陷明细!$J$2:$J$50000,"系统测试",缺陷明细!$AA$2:$AA$50000,"&lt;&gt;丢弃",缺陷明细!$AA$2:$AA$50000,"&lt;&gt;设计如此",缺陷明细!$AA$2:$AA$50000,"&lt;&gt;重复Bug")</f>
        <v>0</v>
      </c>
      <c r="Q25" s="72">
        <f>COUNTIFS(缺陷明细!$A$2:$A$50000,$B$4,缺陷明细!$G$2:$G$50000,$C25,缺陷明细!$Q$2:$Q$50000,"已关闭",缺陷明细!$J$2:$J$50000,"系统测试")</f>
        <v>0</v>
      </c>
      <c r="R25" s="72">
        <f>COUNTIFS(缺陷明细!$A$2:$A$50000,$B$4,缺陷明细!$G$2:$G$50000,$C25,缺陷明细!$AA$2:$AA$50000,"丢弃",缺陷明细!$J$2:$J$50000,"系统测试")+COUNTIFS(缺陷明细!$A$2:$A$50000,$B$4,缺陷明细!$G$2:$G$50000,$C25,缺陷明细!$AA$2:$AA$50000,"设计如此",缺陷明细!$J$2:$J$50000,"系统测试"+COUNTIFS(缺陷明细!$A$2:$A$50000,$B$4,缺陷明细!$G$2:$G$50000,$C25,缺陷明细!$AA$2:$AA$50000,"重复Bug",缺陷明细!$J$2:$J$50000,"系统测试"))</f>
        <v>0</v>
      </c>
      <c r="S25" s="72">
        <f>COUNTIFS(缺陷明细!$A$2:$A$50000,$B$4,缺陷明细!$G$2:$G$50000,$C25,缺陷明细!$J$2:$J$50000,"系统测试",缺陷明细!$K$2:$K$50000,"致命",缺陷明细!$AA$2:$AA$50000,"&lt;&gt;丢弃",缺陷明细!$AA$2:$AA$50000,"&lt;&gt;设计如此",缺陷明细!$AA$2:$AA$50000,"&lt;&gt;重复Bug")+COUNTIFS(缺陷明细!$A$2:$A$50000,$B$4,缺陷明细!$G$2:$G$50000,$C25,缺陷明细!$J$2:$J$50000,"系统测试",缺陷明细!$K$2:$K$50000,"严重",缺陷明细!$AA$2:$AA$50000,"&lt;&gt;丢弃",缺陷明细!$AA$2:$AA$50000,"&lt;&gt;设计如此",缺陷明细!$AA$2:$AA$50000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COUNTIFS(缺陷明细!$A$2:$A$50000,$B$4,缺陷明细!$G$2:$G$50000,$C25,缺陷明细!$J$2:$J$50000,"验收测试",缺陷明细!$AA$2:$AA$50000,"&lt;&gt;丢弃",缺陷明细!$AA$2:$AA$50000,"&lt;&gt;设计如此",缺陷明细!$AA$2:$AA$50000,"&lt;&gt;重复Bug")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A$2:$AA$50000,"&lt;&gt;丢弃",缺陷明细!$AA$2:$AA$50000,"&lt;&gt;设计如此",缺陷明细!$AA$2:$AA$50000,"&lt;&gt;重复Bug")+COUNTIFS(缺陷明细!$A$2:$A$50000,$B$4,缺陷明细!$G$2:$G$50000,$C25,缺陷明细!$J$2:$J$50000,"验收测试",缺陷明细!$K$2:$K$50000,"严重",缺陷明细!$AA$2:$AA$50000,"&lt;&gt;丢弃",缺陷明细!$AA$2:$AA$50000,"&lt;&gt;设计如此",缺陷明细!$AA$2:$AA$50000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COUNTIFS(缺陷明细!$A$2:$A$50000,$B$4,缺陷明细!$G$2:$G$50000,$C25,缺陷明细!$J$2:$J$50000,"运维测试",缺陷明细!$AA$2:$AA$50000,"&lt;&gt;丢弃",缺陷明细!$AA$2:$AA$50000,"&lt;&gt;设计如此",缺陷明细!$AA$2:$AA$50000,"&lt;&gt;重复Bug")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A$2:$AA$50000,"&lt;&gt;丢弃",缺陷明细!$AA$2:$AA$50000,"&lt;&gt;设计如此",缺陷明细!$AA$2:$AA$50000,"&lt;&gt;重复Bug")+COUNTIFS(缺陷明细!$A$2:$A$50000,$B$4,缺陷明细!$G$2:$G$50000,$C25,缺陷明细!$J$2:$J$50000,"运维测试",缺陷明细!$K$2:$K$50000,"严重",缺陷明细!$AA$2:$AA$50000,"&lt;&gt;丢弃",缺陷明细!$AA$2:$AA$50000,"&lt;&gt;设计如此",缺陷明细!$AA$2:$AA$50000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51"/>
    </row>
    <row r="26" spans="1:37">
      <c r="A26">
        <v>22</v>
      </c>
      <c r="B26" s="57"/>
      <c r="C26" s="58"/>
      <c r="D26" s="84"/>
      <c r="E26" s="82"/>
      <c r="F26" s="165"/>
      <c r="G26" s="166"/>
      <c r="H26" s="305">
        <f>COUNTIFS(缺陷明细!$A$2:$A$50000,$B$4,缺陷明细!$G$2:$G$50000,$C26,缺陷明细!$J$2:$J$50000,"评审",缺陷明细!$AA$2:$AA$50000,"&lt;&gt;丢弃",缺陷明细!$AA$2:$AA$50000,"&lt;&gt;设计如此",缺陷明细!$AA$2:$AA$50000,"&lt;&gt;重复Bug")</f>
        <v>0</v>
      </c>
      <c r="I26" s="161">
        <f>COUNTIFS(缺陷明细!$A$2:$A$50000,$B$4,缺陷明细!$G$2:$G$50000,$C26,缺陷明细!$Q$2:$Q$50000,"已关闭",缺陷明细!$J$2:$J$50000,"评审")</f>
        <v>0</v>
      </c>
      <c r="J26" s="161">
        <f>COUNTIFS(缺陷明细!$A$2:$A$50000,$B$4,缺陷明细!$G$2:$G$50000,$C26,缺陷明细!$J$2:$J$50000,"单元测试",缺陷明细!$AA$2:$AA$50000,"&lt;&gt;丢弃",缺陷明细!$AA$2:$AA$50000,"&lt;&gt;设计如此",缺陷明细!$AA$2:$AA$50000,"&lt;&gt;重复Bug")</f>
        <v>0</v>
      </c>
      <c r="K26" s="162">
        <f>COUNTIFS(缺陷明细!$A$2:$A$50000,$B$4,缺陷明细!$G$2:$G$50000,$C26,缺陷明细!$Q$2:$Q$50000,"已关闭",缺陷明细!$J$2:$J$50000,"单元测试")</f>
        <v>0</v>
      </c>
      <c r="L26" s="163"/>
      <c r="M26" s="164"/>
      <c r="N26" s="72">
        <f>COUNTIFS(缺陷明细!$A$2:$A$50000,$B$4,缺陷明细!$G$2:$G$50000,$C26,缺陷明细!$J$2:$J$50000,"系统测试案例评审",缺陷明细!$AA$2:$AA$50000,"&lt;&gt;丢弃",缺陷明细!$AA$2:$AA$50000,"&lt;&gt;设计如此",缺陷明细!$AA$2:$AA$50000,"&lt;&gt;重复Bug")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COUNTIFS(缺陷明细!$A$2:$A$50000,$B$4,缺陷明细!$G$2:$G$50000,$C26,缺陷明细!$J$2:$J$50000,"系统测试",缺陷明细!$AA$2:$AA$50000,"&lt;&gt;丢弃",缺陷明细!$AA$2:$AA$50000,"&lt;&gt;设计如此",缺陷明细!$AA$2:$AA$50000,"&lt;&gt;重复Bug")</f>
        <v>0</v>
      </c>
      <c r="Q26" s="72">
        <f>COUNTIFS(缺陷明细!$A$2:$A$50000,$B$4,缺陷明细!$G$2:$G$50000,$C26,缺陷明细!$Q$2:$Q$50000,"已关闭",缺陷明细!$J$2:$J$50000,"系统测试")</f>
        <v>0</v>
      </c>
      <c r="R26" s="72">
        <f>COUNTIFS(缺陷明细!$A$2:$A$50000,$B$4,缺陷明细!$G$2:$G$50000,$C26,缺陷明细!$AA$2:$AA$50000,"丢弃",缺陷明细!$J$2:$J$50000,"系统测试")+COUNTIFS(缺陷明细!$A$2:$A$50000,$B$4,缺陷明细!$G$2:$G$50000,$C26,缺陷明细!$AA$2:$AA$50000,"设计如此",缺陷明细!$J$2:$J$50000,"系统测试"+COUNTIFS(缺陷明细!$A$2:$A$50000,$B$4,缺陷明细!$G$2:$G$50000,$C26,缺陷明细!$AA$2:$AA$50000,"重复Bug",缺陷明细!$J$2:$J$50000,"系统测试"))</f>
        <v>0</v>
      </c>
      <c r="S26" s="72">
        <f>COUNTIFS(缺陷明细!$A$2:$A$50000,$B$4,缺陷明细!$G$2:$G$50000,$C26,缺陷明细!$J$2:$J$50000,"系统测试",缺陷明细!$K$2:$K$50000,"致命",缺陷明细!$AA$2:$AA$50000,"&lt;&gt;丢弃",缺陷明细!$AA$2:$AA$50000,"&lt;&gt;设计如此",缺陷明细!$AA$2:$AA$50000,"&lt;&gt;重复Bug")+COUNTIFS(缺陷明细!$A$2:$A$50000,$B$4,缺陷明细!$G$2:$G$50000,$C26,缺陷明细!$J$2:$J$50000,"系统测试",缺陷明细!$K$2:$K$50000,"严重",缺陷明细!$AA$2:$AA$50000,"&lt;&gt;丢弃",缺陷明细!$AA$2:$AA$50000,"&lt;&gt;设计如此",缺陷明细!$AA$2:$AA$50000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COUNTIFS(缺陷明细!$A$2:$A$50000,$B$4,缺陷明细!$G$2:$G$50000,$C26,缺陷明细!$J$2:$J$50000,"验收测试",缺陷明细!$AA$2:$AA$50000,"&lt;&gt;丢弃",缺陷明细!$AA$2:$AA$50000,"&lt;&gt;设计如此",缺陷明细!$AA$2:$AA$50000,"&lt;&gt;重复Bug")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A$2:$AA$50000,"&lt;&gt;丢弃",缺陷明细!$AA$2:$AA$50000,"&lt;&gt;设计如此",缺陷明细!$AA$2:$AA$50000,"&lt;&gt;重复Bug")+COUNTIFS(缺陷明细!$A$2:$A$50000,$B$4,缺陷明细!$G$2:$G$50000,$C26,缺陷明细!$J$2:$J$50000,"验收测试",缺陷明细!$K$2:$K$50000,"严重",缺陷明细!$AA$2:$AA$50000,"&lt;&gt;丢弃",缺陷明细!$AA$2:$AA$50000,"&lt;&gt;设计如此",缺陷明细!$AA$2:$AA$50000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COUNTIFS(缺陷明细!$A$2:$A$50000,$B$4,缺陷明细!$G$2:$G$50000,$C26,缺陷明细!$J$2:$J$50000,"运维测试",缺陷明细!$AA$2:$AA$50000,"&lt;&gt;丢弃",缺陷明细!$AA$2:$AA$50000,"&lt;&gt;设计如此",缺陷明细!$AA$2:$AA$50000,"&lt;&gt;重复Bug")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A$2:$AA$50000,"&lt;&gt;丢弃",缺陷明细!$AA$2:$AA$50000,"&lt;&gt;设计如此",缺陷明细!$AA$2:$AA$50000,"&lt;&gt;重复Bug")+COUNTIFS(缺陷明细!$A$2:$A$50000,$B$4,缺陷明细!$G$2:$G$50000,$C26,缺陷明细!$J$2:$J$50000,"运维测试",缺陷明细!$K$2:$K$50000,"严重",缺陷明细!$AA$2:$AA$50000,"&lt;&gt;丢弃",缺陷明细!$AA$2:$AA$50000,"&lt;&gt;设计如此",缺陷明细!$AA$2:$AA$50000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51"/>
    </row>
    <row r="27" spans="1:37">
      <c r="A27">
        <v>23</v>
      </c>
      <c r="B27" s="57"/>
      <c r="C27" s="58"/>
      <c r="D27" s="84"/>
      <c r="E27" s="82"/>
      <c r="F27" s="165"/>
      <c r="G27" s="166"/>
      <c r="H27" s="305">
        <f>COUNTIFS(缺陷明细!$A$2:$A$50000,$B$4,缺陷明细!$G$2:$G$50000,$C27,缺陷明细!$J$2:$J$50000,"评审",缺陷明细!$AA$2:$AA$50000,"&lt;&gt;丢弃",缺陷明细!$AA$2:$AA$50000,"&lt;&gt;设计如此",缺陷明细!$AA$2:$AA$50000,"&lt;&gt;重复Bug")</f>
        <v>0</v>
      </c>
      <c r="I27" s="161">
        <f>COUNTIFS(缺陷明细!$A$2:$A$50000,$B$4,缺陷明细!$G$2:$G$50000,$C27,缺陷明细!$Q$2:$Q$50000,"已关闭",缺陷明细!$J$2:$J$50000,"评审")</f>
        <v>0</v>
      </c>
      <c r="J27" s="161">
        <f>COUNTIFS(缺陷明细!$A$2:$A$50000,$B$4,缺陷明细!$G$2:$G$50000,$C27,缺陷明细!$J$2:$J$50000,"单元测试",缺陷明细!$AA$2:$AA$50000,"&lt;&gt;丢弃",缺陷明细!$AA$2:$AA$50000,"&lt;&gt;设计如此",缺陷明细!$AA$2:$AA$50000,"&lt;&gt;重复Bug")</f>
        <v>0</v>
      </c>
      <c r="K27" s="162">
        <f>COUNTIFS(缺陷明细!$A$2:$A$50000,$B$4,缺陷明细!$G$2:$G$50000,$C27,缺陷明细!$Q$2:$Q$50000,"已关闭",缺陷明细!$J$2:$J$50000,"单元测试")</f>
        <v>0</v>
      </c>
      <c r="L27" s="163"/>
      <c r="M27" s="164"/>
      <c r="N27" s="72">
        <f>COUNTIFS(缺陷明细!$A$2:$A$50000,$B$4,缺陷明细!$G$2:$G$50000,$C27,缺陷明细!$J$2:$J$50000,"系统测试案例评审",缺陷明细!$AA$2:$AA$50000,"&lt;&gt;丢弃",缺陷明细!$AA$2:$AA$50000,"&lt;&gt;设计如此",缺陷明细!$AA$2:$AA$50000,"&lt;&gt;重复Bug")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COUNTIFS(缺陷明细!$A$2:$A$50000,$B$4,缺陷明细!$G$2:$G$50000,$C27,缺陷明细!$J$2:$J$50000,"系统测试",缺陷明细!$AA$2:$AA$50000,"&lt;&gt;丢弃",缺陷明细!$AA$2:$AA$50000,"&lt;&gt;设计如此",缺陷明细!$AA$2:$AA$50000,"&lt;&gt;重复Bug")</f>
        <v>0</v>
      </c>
      <c r="Q27" s="72">
        <f>COUNTIFS(缺陷明细!$A$2:$A$50000,$B$4,缺陷明细!$G$2:$G$50000,$C27,缺陷明细!$Q$2:$Q$50000,"已关闭",缺陷明细!$J$2:$J$50000,"系统测试")</f>
        <v>0</v>
      </c>
      <c r="R27" s="72">
        <f>COUNTIFS(缺陷明细!$A$2:$A$50000,$B$4,缺陷明细!$G$2:$G$50000,$C27,缺陷明细!$AA$2:$AA$50000,"丢弃",缺陷明细!$J$2:$J$50000,"系统测试")+COUNTIFS(缺陷明细!$A$2:$A$50000,$B$4,缺陷明细!$G$2:$G$50000,$C27,缺陷明细!$AA$2:$AA$50000,"设计如此",缺陷明细!$J$2:$J$50000,"系统测试"+COUNTIFS(缺陷明细!$A$2:$A$50000,$B$4,缺陷明细!$G$2:$G$50000,$C27,缺陷明细!$AA$2:$AA$50000,"重复Bug",缺陷明细!$J$2:$J$50000,"系统测试"))</f>
        <v>0</v>
      </c>
      <c r="S27" s="72">
        <f>COUNTIFS(缺陷明细!$A$2:$A$50000,$B$4,缺陷明细!$G$2:$G$50000,$C27,缺陷明细!$J$2:$J$50000,"系统测试",缺陷明细!$K$2:$K$50000,"致命",缺陷明细!$AA$2:$AA$50000,"&lt;&gt;丢弃",缺陷明细!$AA$2:$AA$50000,"&lt;&gt;设计如此",缺陷明细!$AA$2:$AA$50000,"&lt;&gt;重复Bug")+COUNTIFS(缺陷明细!$A$2:$A$50000,$B$4,缺陷明细!$G$2:$G$50000,$C27,缺陷明细!$J$2:$J$50000,"系统测试",缺陷明细!$K$2:$K$50000,"严重",缺陷明细!$AA$2:$AA$50000,"&lt;&gt;丢弃",缺陷明细!$AA$2:$AA$50000,"&lt;&gt;设计如此",缺陷明细!$AA$2:$AA$50000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COUNTIFS(缺陷明细!$A$2:$A$50000,$B$4,缺陷明细!$G$2:$G$50000,$C27,缺陷明细!$J$2:$J$50000,"验收测试",缺陷明细!$AA$2:$AA$50000,"&lt;&gt;丢弃",缺陷明细!$AA$2:$AA$50000,"&lt;&gt;设计如此",缺陷明细!$AA$2:$AA$50000,"&lt;&gt;重复Bug")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A$2:$AA$50000,"&lt;&gt;丢弃",缺陷明细!$AA$2:$AA$50000,"&lt;&gt;设计如此",缺陷明细!$AA$2:$AA$50000,"&lt;&gt;重复Bug")+COUNTIFS(缺陷明细!$A$2:$A$50000,$B$4,缺陷明细!$G$2:$G$50000,$C27,缺陷明细!$J$2:$J$50000,"验收测试",缺陷明细!$K$2:$K$50000,"严重",缺陷明细!$AA$2:$AA$50000,"&lt;&gt;丢弃",缺陷明细!$AA$2:$AA$50000,"&lt;&gt;设计如此",缺陷明细!$AA$2:$AA$50000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COUNTIFS(缺陷明细!$A$2:$A$50000,$B$4,缺陷明细!$G$2:$G$50000,$C27,缺陷明细!$J$2:$J$50000,"运维测试",缺陷明细!$AA$2:$AA$50000,"&lt;&gt;丢弃",缺陷明细!$AA$2:$AA$50000,"&lt;&gt;设计如此",缺陷明细!$AA$2:$AA$50000,"&lt;&gt;重复Bug")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A$2:$AA$50000,"&lt;&gt;丢弃",缺陷明细!$AA$2:$AA$50000,"&lt;&gt;设计如此",缺陷明细!$AA$2:$AA$50000,"&lt;&gt;重复Bug")+COUNTIFS(缺陷明细!$A$2:$A$50000,$B$4,缺陷明细!$G$2:$G$50000,$C27,缺陷明细!$J$2:$J$50000,"运维测试",缺陷明细!$K$2:$K$50000,"严重",缺陷明细!$AA$2:$AA$50000,"&lt;&gt;丢弃",缺陷明细!$AA$2:$AA$50000,"&lt;&gt;设计如此",缺陷明细!$AA$2:$AA$50000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51"/>
    </row>
    <row r="28" spans="1:37">
      <c r="A28">
        <v>24</v>
      </c>
      <c r="B28" s="57"/>
      <c r="C28" s="58"/>
      <c r="D28" s="84"/>
      <c r="E28" s="82"/>
      <c r="F28" s="165"/>
      <c r="G28" s="166"/>
      <c r="H28" s="305">
        <f>COUNTIFS(缺陷明细!$A$2:$A$50000,$B$4,缺陷明细!$G$2:$G$50000,$C28,缺陷明细!$J$2:$J$50000,"评审",缺陷明细!$AA$2:$AA$50000,"&lt;&gt;丢弃",缺陷明细!$AA$2:$AA$50000,"&lt;&gt;设计如此",缺陷明细!$AA$2:$AA$50000,"&lt;&gt;重复Bug")</f>
        <v>0</v>
      </c>
      <c r="I28" s="161">
        <f>COUNTIFS(缺陷明细!$A$2:$A$50000,$B$4,缺陷明细!$G$2:$G$50000,$C28,缺陷明细!$Q$2:$Q$50000,"已关闭",缺陷明细!$J$2:$J$50000,"评审")</f>
        <v>0</v>
      </c>
      <c r="J28" s="161">
        <f>COUNTIFS(缺陷明细!$A$2:$A$50000,$B$4,缺陷明细!$G$2:$G$50000,$C28,缺陷明细!$J$2:$J$50000,"单元测试",缺陷明细!$AA$2:$AA$50000,"&lt;&gt;丢弃",缺陷明细!$AA$2:$AA$50000,"&lt;&gt;设计如此",缺陷明细!$AA$2:$AA$50000,"&lt;&gt;重复Bug")</f>
        <v>0</v>
      </c>
      <c r="K28" s="162">
        <f>COUNTIFS(缺陷明细!$A$2:$A$50000,$B$4,缺陷明细!$G$2:$G$50000,$C28,缺陷明细!$Q$2:$Q$50000,"已关闭",缺陷明细!$J$2:$J$50000,"单元测试")</f>
        <v>0</v>
      </c>
      <c r="L28" s="163"/>
      <c r="M28" s="164"/>
      <c r="N28" s="72">
        <f>COUNTIFS(缺陷明细!$A$2:$A$50000,$B$4,缺陷明细!$G$2:$G$50000,$C28,缺陷明细!$J$2:$J$50000,"系统测试案例评审",缺陷明细!$AA$2:$AA$50000,"&lt;&gt;丢弃",缺陷明细!$AA$2:$AA$50000,"&lt;&gt;设计如此",缺陷明细!$AA$2:$AA$50000,"&lt;&gt;重复Bug")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COUNTIFS(缺陷明细!$A$2:$A$50000,$B$4,缺陷明细!$G$2:$G$50000,$C28,缺陷明细!$J$2:$J$50000,"系统测试",缺陷明细!$AA$2:$AA$50000,"&lt;&gt;丢弃",缺陷明细!$AA$2:$AA$50000,"&lt;&gt;设计如此",缺陷明细!$AA$2:$AA$50000,"&lt;&gt;重复Bug")</f>
        <v>0</v>
      </c>
      <c r="Q28" s="72">
        <f>COUNTIFS(缺陷明细!$A$2:$A$50000,$B$4,缺陷明细!$G$2:$G$50000,$C28,缺陷明细!$Q$2:$Q$50000,"已关闭",缺陷明细!$J$2:$J$50000,"系统测试")</f>
        <v>0</v>
      </c>
      <c r="R28" s="72">
        <f>COUNTIFS(缺陷明细!$A$2:$A$50000,$B$4,缺陷明细!$G$2:$G$50000,$C28,缺陷明细!$AA$2:$AA$50000,"丢弃",缺陷明细!$J$2:$J$50000,"系统测试")+COUNTIFS(缺陷明细!$A$2:$A$50000,$B$4,缺陷明细!$G$2:$G$50000,$C28,缺陷明细!$AA$2:$AA$50000,"设计如此",缺陷明细!$J$2:$J$50000,"系统测试"+COUNTIFS(缺陷明细!$A$2:$A$50000,$B$4,缺陷明细!$G$2:$G$50000,$C28,缺陷明细!$AA$2:$AA$50000,"重复Bug",缺陷明细!$J$2:$J$50000,"系统测试"))</f>
        <v>0</v>
      </c>
      <c r="S28" s="72">
        <f>COUNTIFS(缺陷明细!$A$2:$A$50000,$B$4,缺陷明细!$G$2:$G$50000,$C28,缺陷明细!$J$2:$J$50000,"系统测试",缺陷明细!$K$2:$K$50000,"致命",缺陷明细!$AA$2:$AA$50000,"&lt;&gt;丢弃",缺陷明细!$AA$2:$AA$50000,"&lt;&gt;设计如此",缺陷明细!$AA$2:$AA$50000,"&lt;&gt;重复Bug")+COUNTIFS(缺陷明细!$A$2:$A$50000,$B$4,缺陷明细!$G$2:$G$50000,$C28,缺陷明细!$J$2:$J$50000,"系统测试",缺陷明细!$K$2:$K$50000,"严重",缺陷明细!$AA$2:$AA$50000,"&lt;&gt;丢弃",缺陷明细!$AA$2:$AA$50000,"&lt;&gt;设计如此",缺陷明细!$AA$2:$AA$50000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COUNTIFS(缺陷明细!$A$2:$A$50000,$B$4,缺陷明细!$G$2:$G$50000,$C28,缺陷明细!$J$2:$J$50000,"验收测试",缺陷明细!$AA$2:$AA$50000,"&lt;&gt;丢弃",缺陷明细!$AA$2:$AA$50000,"&lt;&gt;设计如此",缺陷明细!$AA$2:$AA$50000,"&lt;&gt;重复Bug")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A$2:$AA$50000,"&lt;&gt;丢弃",缺陷明细!$AA$2:$AA$50000,"&lt;&gt;设计如此",缺陷明细!$AA$2:$AA$50000,"&lt;&gt;重复Bug")+COUNTIFS(缺陷明细!$A$2:$A$50000,$B$4,缺陷明细!$G$2:$G$50000,$C28,缺陷明细!$J$2:$J$50000,"验收测试",缺陷明细!$K$2:$K$50000,"严重",缺陷明细!$AA$2:$AA$50000,"&lt;&gt;丢弃",缺陷明细!$AA$2:$AA$50000,"&lt;&gt;设计如此",缺陷明细!$AA$2:$AA$50000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COUNTIFS(缺陷明细!$A$2:$A$50000,$B$4,缺陷明细!$G$2:$G$50000,$C28,缺陷明细!$J$2:$J$50000,"运维测试",缺陷明细!$AA$2:$AA$50000,"&lt;&gt;丢弃",缺陷明细!$AA$2:$AA$50000,"&lt;&gt;设计如此",缺陷明细!$AA$2:$AA$50000,"&lt;&gt;重复Bug")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A$2:$AA$50000,"&lt;&gt;丢弃",缺陷明细!$AA$2:$AA$50000,"&lt;&gt;设计如此",缺陷明细!$AA$2:$AA$50000,"&lt;&gt;重复Bug")+COUNTIFS(缺陷明细!$A$2:$A$50000,$B$4,缺陷明细!$G$2:$G$50000,$C28,缺陷明细!$J$2:$J$50000,"运维测试",缺陷明细!$K$2:$K$50000,"严重",缺陷明细!$AA$2:$AA$50000,"&lt;&gt;丢弃",缺陷明细!$AA$2:$AA$50000,"&lt;&gt;设计如此",缺陷明细!$AA$2:$AA$50000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51"/>
    </row>
    <row r="29" spans="1:37">
      <c r="A29">
        <v>25</v>
      </c>
      <c r="B29" s="57"/>
      <c r="C29" s="58"/>
      <c r="D29" s="84"/>
      <c r="E29" s="82"/>
      <c r="F29" s="165"/>
      <c r="G29" s="166"/>
      <c r="H29" s="305">
        <f>COUNTIFS(缺陷明细!$A$2:$A$50000,$B$4,缺陷明细!$G$2:$G$50000,$C29,缺陷明细!$J$2:$J$50000,"评审",缺陷明细!$AA$2:$AA$50000,"&lt;&gt;丢弃",缺陷明细!$AA$2:$AA$50000,"&lt;&gt;设计如此",缺陷明细!$AA$2:$AA$50000,"&lt;&gt;重复Bug")</f>
        <v>0</v>
      </c>
      <c r="I29" s="161">
        <f>COUNTIFS(缺陷明细!$A$2:$A$50000,$B$4,缺陷明细!$G$2:$G$50000,$C29,缺陷明细!$Q$2:$Q$50000,"已关闭",缺陷明细!$J$2:$J$50000,"评审")</f>
        <v>0</v>
      </c>
      <c r="J29" s="161">
        <f>COUNTIFS(缺陷明细!$A$2:$A$50000,$B$4,缺陷明细!$G$2:$G$50000,$C29,缺陷明细!$J$2:$J$50000,"单元测试",缺陷明细!$AA$2:$AA$50000,"&lt;&gt;丢弃",缺陷明细!$AA$2:$AA$50000,"&lt;&gt;设计如此",缺陷明细!$AA$2:$AA$50000,"&lt;&gt;重复Bug")</f>
        <v>0</v>
      </c>
      <c r="K29" s="162">
        <f>COUNTIFS(缺陷明细!$A$2:$A$50000,$B$4,缺陷明细!$G$2:$G$50000,$C29,缺陷明细!$Q$2:$Q$50000,"已关闭",缺陷明细!$J$2:$J$50000,"单元测试")</f>
        <v>0</v>
      </c>
      <c r="L29" s="163"/>
      <c r="M29" s="164"/>
      <c r="N29" s="72">
        <f>COUNTIFS(缺陷明细!$A$2:$A$50000,$B$4,缺陷明细!$G$2:$G$50000,$C29,缺陷明细!$J$2:$J$50000,"系统测试案例评审",缺陷明细!$AA$2:$AA$50000,"&lt;&gt;丢弃",缺陷明细!$AA$2:$AA$50000,"&lt;&gt;设计如此",缺陷明细!$AA$2:$AA$50000,"&lt;&gt;重复Bug")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COUNTIFS(缺陷明细!$A$2:$A$50000,$B$4,缺陷明细!$G$2:$G$50000,$C29,缺陷明细!$J$2:$J$50000,"系统测试",缺陷明细!$AA$2:$AA$50000,"&lt;&gt;丢弃",缺陷明细!$AA$2:$AA$50000,"&lt;&gt;设计如此",缺陷明细!$AA$2:$AA$50000,"&lt;&gt;重复Bug")</f>
        <v>0</v>
      </c>
      <c r="Q29" s="72">
        <f>COUNTIFS(缺陷明细!$A$2:$A$50000,$B$4,缺陷明细!$G$2:$G$50000,$C29,缺陷明细!$Q$2:$Q$50000,"已关闭",缺陷明细!$J$2:$J$50000,"系统测试")</f>
        <v>0</v>
      </c>
      <c r="R29" s="72">
        <f>COUNTIFS(缺陷明细!$A$2:$A$50000,$B$4,缺陷明细!$G$2:$G$50000,$C29,缺陷明细!$AA$2:$AA$50000,"丢弃",缺陷明细!$J$2:$J$50000,"系统测试")+COUNTIFS(缺陷明细!$A$2:$A$50000,$B$4,缺陷明细!$G$2:$G$50000,$C29,缺陷明细!$AA$2:$AA$50000,"设计如此",缺陷明细!$J$2:$J$50000,"系统测试"+COUNTIFS(缺陷明细!$A$2:$A$50000,$B$4,缺陷明细!$G$2:$G$50000,$C29,缺陷明细!$AA$2:$AA$50000,"重复Bug",缺陷明细!$J$2:$J$50000,"系统测试"))</f>
        <v>0</v>
      </c>
      <c r="S29" s="72">
        <f>COUNTIFS(缺陷明细!$A$2:$A$50000,$B$4,缺陷明细!$G$2:$G$50000,$C29,缺陷明细!$J$2:$J$50000,"系统测试",缺陷明细!$K$2:$K$50000,"致命",缺陷明细!$AA$2:$AA$50000,"&lt;&gt;丢弃",缺陷明细!$AA$2:$AA$50000,"&lt;&gt;设计如此",缺陷明细!$AA$2:$AA$50000,"&lt;&gt;重复Bug")+COUNTIFS(缺陷明细!$A$2:$A$50000,$B$4,缺陷明细!$G$2:$G$50000,$C29,缺陷明细!$J$2:$J$50000,"系统测试",缺陷明细!$K$2:$K$50000,"严重",缺陷明细!$AA$2:$AA$50000,"&lt;&gt;丢弃",缺陷明细!$AA$2:$AA$50000,"&lt;&gt;设计如此",缺陷明细!$AA$2:$AA$50000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COUNTIFS(缺陷明细!$A$2:$A$50000,$B$4,缺陷明细!$G$2:$G$50000,$C29,缺陷明细!$J$2:$J$50000,"验收测试",缺陷明细!$AA$2:$AA$50000,"&lt;&gt;丢弃",缺陷明细!$AA$2:$AA$50000,"&lt;&gt;设计如此",缺陷明细!$AA$2:$AA$50000,"&lt;&gt;重复Bug")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A$2:$AA$50000,"&lt;&gt;丢弃",缺陷明细!$AA$2:$AA$50000,"&lt;&gt;设计如此",缺陷明细!$AA$2:$AA$50000,"&lt;&gt;重复Bug")+COUNTIFS(缺陷明细!$A$2:$A$50000,$B$4,缺陷明细!$G$2:$G$50000,$C29,缺陷明细!$J$2:$J$50000,"验收测试",缺陷明细!$K$2:$K$50000,"严重",缺陷明细!$AA$2:$AA$50000,"&lt;&gt;丢弃",缺陷明细!$AA$2:$AA$50000,"&lt;&gt;设计如此",缺陷明细!$AA$2:$AA$50000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COUNTIFS(缺陷明细!$A$2:$A$50000,$B$4,缺陷明细!$G$2:$G$50000,$C29,缺陷明细!$J$2:$J$50000,"运维测试",缺陷明细!$AA$2:$AA$50000,"&lt;&gt;丢弃",缺陷明细!$AA$2:$AA$50000,"&lt;&gt;设计如此",缺陷明细!$AA$2:$AA$50000,"&lt;&gt;重复Bug")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A$2:$AA$50000,"&lt;&gt;丢弃",缺陷明细!$AA$2:$AA$50000,"&lt;&gt;设计如此",缺陷明细!$AA$2:$AA$50000,"&lt;&gt;重复Bug")+COUNTIFS(缺陷明细!$A$2:$A$50000,$B$4,缺陷明细!$G$2:$G$50000,$C29,缺陷明细!$J$2:$J$50000,"运维测试",缺陷明细!$K$2:$K$50000,"严重",缺陷明细!$AA$2:$AA$50000,"&lt;&gt;丢弃",缺陷明细!$AA$2:$AA$50000,"&lt;&gt;设计如此",缺陷明细!$AA$2:$AA$50000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51"/>
    </row>
    <row r="30" spans="1:37">
      <c r="A30">
        <v>26</v>
      </c>
      <c r="B30" s="57"/>
      <c r="C30" s="58"/>
      <c r="D30" s="84"/>
      <c r="E30" s="82"/>
      <c r="F30" s="165"/>
      <c r="G30" s="166"/>
      <c r="H30" s="305">
        <f>COUNTIFS(缺陷明细!$A$2:$A$50000,$B$4,缺陷明细!$G$2:$G$50000,$C30,缺陷明细!$J$2:$J$50000,"评审",缺陷明细!$AA$2:$AA$50000,"&lt;&gt;丢弃",缺陷明细!$AA$2:$AA$50000,"&lt;&gt;设计如此",缺陷明细!$AA$2:$AA$50000,"&lt;&gt;重复Bug")</f>
        <v>0</v>
      </c>
      <c r="I30" s="161">
        <f>COUNTIFS(缺陷明细!$A$2:$A$50000,$B$4,缺陷明细!$G$2:$G$50000,$C30,缺陷明细!$Q$2:$Q$50000,"已关闭",缺陷明细!$J$2:$J$50000,"评审")</f>
        <v>0</v>
      </c>
      <c r="J30" s="161">
        <f>COUNTIFS(缺陷明细!$A$2:$A$50000,$B$4,缺陷明细!$G$2:$G$50000,$C30,缺陷明细!$J$2:$J$50000,"单元测试",缺陷明细!$AA$2:$AA$50000,"&lt;&gt;丢弃",缺陷明细!$AA$2:$AA$50000,"&lt;&gt;设计如此",缺陷明细!$AA$2:$AA$50000,"&lt;&gt;重复Bug")</f>
        <v>0</v>
      </c>
      <c r="K30" s="162">
        <f>COUNTIFS(缺陷明细!$A$2:$A$50000,$B$4,缺陷明细!$G$2:$G$50000,$C30,缺陷明细!$Q$2:$Q$50000,"已关闭",缺陷明细!$J$2:$J$50000,"单元测试")</f>
        <v>0</v>
      </c>
      <c r="L30" s="163"/>
      <c r="M30" s="164"/>
      <c r="N30" s="72">
        <f>COUNTIFS(缺陷明细!$A$2:$A$50000,$B$4,缺陷明细!$G$2:$G$50000,$C30,缺陷明细!$J$2:$J$50000,"系统测试案例评审",缺陷明细!$AA$2:$AA$50000,"&lt;&gt;丢弃",缺陷明细!$AA$2:$AA$50000,"&lt;&gt;设计如此",缺陷明细!$AA$2:$AA$50000,"&lt;&gt;重复Bug")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COUNTIFS(缺陷明细!$A$2:$A$50000,$B$4,缺陷明细!$G$2:$G$50000,$C30,缺陷明细!$J$2:$J$50000,"系统测试",缺陷明细!$AA$2:$AA$50000,"&lt;&gt;丢弃",缺陷明细!$AA$2:$AA$50000,"&lt;&gt;设计如此",缺陷明细!$AA$2:$AA$50000,"&lt;&gt;重复Bug")</f>
        <v>0</v>
      </c>
      <c r="Q30" s="72">
        <f>COUNTIFS(缺陷明细!$A$2:$A$50000,$B$4,缺陷明细!$G$2:$G$50000,$C30,缺陷明细!$Q$2:$Q$50000,"已关闭",缺陷明细!$J$2:$J$50000,"系统测试")</f>
        <v>0</v>
      </c>
      <c r="R30" s="72">
        <f>COUNTIFS(缺陷明细!$A$2:$A$50000,$B$4,缺陷明细!$G$2:$G$50000,$C30,缺陷明细!$AA$2:$AA$50000,"丢弃",缺陷明细!$J$2:$J$50000,"系统测试")+COUNTIFS(缺陷明细!$A$2:$A$50000,$B$4,缺陷明细!$G$2:$G$50000,$C30,缺陷明细!$AA$2:$AA$50000,"设计如此",缺陷明细!$J$2:$J$50000,"系统测试"+COUNTIFS(缺陷明细!$A$2:$A$50000,$B$4,缺陷明细!$G$2:$G$50000,$C30,缺陷明细!$AA$2:$AA$50000,"重复Bug",缺陷明细!$J$2:$J$50000,"系统测试"))</f>
        <v>0</v>
      </c>
      <c r="S30" s="72">
        <f>COUNTIFS(缺陷明细!$A$2:$A$50000,$B$4,缺陷明细!$G$2:$G$50000,$C30,缺陷明细!$J$2:$J$50000,"系统测试",缺陷明细!$K$2:$K$50000,"致命",缺陷明细!$AA$2:$AA$50000,"&lt;&gt;丢弃",缺陷明细!$AA$2:$AA$50000,"&lt;&gt;设计如此",缺陷明细!$AA$2:$AA$50000,"&lt;&gt;重复Bug")+COUNTIFS(缺陷明细!$A$2:$A$50000,$B$4,缺陷明细!$G$2:$G$50000,$C30,缺陷明细!$J$2:$J$50000,"系统测试",缺陷明细!$K$2:$K$50000,"严重",缺陷明细!$AA$2:$AA$50000,"&lt;&gt;丢弃",缺陷明细!$AA$2:$AA$50000,"&lt;&gt;设计如此",缺陷明细!$AA$2:$AA$50000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COUNTIFS(缺陷明细!$A$2:$A$50000,$B$4,缺陷明细!$G$2:$G$50000,$C30,缺陷明细!$J$2:$J$50000,"验收测试",缺陷明细!$AA$2:$AA$50000,"&lt;&gt;丢弃",缺陷明细!$AA$2:$AA$50000,"&lt;&gt;设计如此",缺陷明细!$AA$2:$AA$50000,"&lt;&gt;重复Bug")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A$2:$AA$50000,"&lt;&gt;丢弃",缺陷明细!$AA$2:$AA$50000,"&lt;&gt;设计如此",缺陷明细!$AA$2:$AA$50000,"&lt;&gt;重复Bug")+COUNTIFS(缺陷明细!$A$2:$A$50000,$B$4,缺陷明细!$G$2:$G$50000,$C30,缺陷明细!$J$2:$J$50000,"验收测试",缺陷明细!$K$2:$K$50000,"严重",缺陷明细!$AA$2:$AA$50000,"&lt;&gt;丢弃",缺陷明细!$AA$2:$AA$50000,"&lt;&gt;设计如此",缺陷明细!$AA$2:$AA$50000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COUNTIFS(缺陷明细!$A$2:$A$50000,$B$4,缺陷明细!$G$2:$G$50000,$C30,缺陷明细!$J$2:$J$50000,"运维测试",缺陷明细!$AA$2:$AA$50000,"&lt;&gt;丢弃",缺陷明细!$AA$2:$AA$50000,"&lt;&gt;设计如此",缺陷明细!$AA$2:$AA$50000,"&lt;&gt;重复Bug")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A$2:$AA$50000,"&lt;&gt;丢弃",缺陷明细!$AA$2:$AA$50000,"&lt;&gt;设计如此",缺陷明细!$AA$2:$AA$50000,"&lt;&gt;重复Bug")+COUNTIFS(缺陷明细!$A$2:$A$50000,$B$4,缺陷明细!$G$2:$G$50000,$C30,缺陷明细!$J$2:$J$50000,"运维测试",缺陷明细!$K$2:$K$50000,"严重",缺陷明细!$AA$2:$AA$50000,"&lt;&gt;丢弃",缺陷明细!$AA$2:$AA$50000,"&lt;&gt;设计如此",缺陷明细!$AA$2:$AA$50000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51"/>
    </row>
    <row r="31" spans="1:37">
      <c r="A31">
        <v>27</v>
      </c>
      <c r="B31" s="57"/>
      <c r="C31" s="58"/>
      <c r="D31" s="84"/>
      <c r="E31" s="82"/>
      <c r="F31" s="165"/>
      <c r="G31" s="166"/>
      <c r="H31" s="305">
        <f>COUNTIFS(缺陷明细!$A$2:$A$50000,$B$4,缺陷明细!$G$2:$G$50000,$C31,缺陷明细!$J$2:$J$50000,"评审",缺陷明细!$AA$2:$AA$50000,"&lt;&gt;丢弃",缺陷明细!$AA$2:$AA$50000,"&lt;&gt;设计如此",缺陷明细!$AA$2:$AA$50000,"&lt;&gt;重复Bug")</f>
        <v>0</v>
      </c>
      <c r="I31" s="161">
        <f>COUNTIFS(缺陷明细!$A$2:$A$50000,$B$4,缺陷明细!$G$2:$G$50000,$C31,缺陷明细!$Q$2:$Q$50000,"已关闭",缺陷明细!$J$2:$J$50000,"评审")</f>
        <v>0</v>
      </c>
      <c r="J31" s="161">
        <f>COUNTIFS(缺陷明细!$A$2:$A$50000,$B$4,缺陷明细!$G$2:$G$50000,$C31,缺陷明细!$J$2:$J$50000,"单元测试",缺陷明细!$AA$2:$AA$50000,"&lt;&gt;丢弃",缺陷明细!$AA$2:$AA$50000,"&lt;&gt;设计如此",缺陷明细!$AA$2:$AA$50000,"&lt;&gt;重复Bug")</f>
        <v>0</v>
      </c>
      <c r="K31" s="162">
        <f>COUNTIFS(缺陷明细!$A$2:$A$50000,$B$4,缺陷明细!$G$2:$G$50000,$C31,缺陷明细!$Q$2:$Q$50000,"已关闭",缺陷明细!$J$2:$J$50000,"单元测试")</f>
        <v>0</v>
      </c>
      <c r="L31" s="163"/>
      <c r="M31" s="164"/>
      <c r="N31" s="72">
        <f>COUNTIFS(缺陷明细!$A$2:$A$50000,$B$4,缺陷明细!$G$2:$G$50000,$C31,缺陷明细!$J$2:$J$50000,"系统测试案例评审",缺陷明细!$AA$2:$AA$50000,"&lt;&gt;丢弃",缺陷明细!$AA$2:$AA$50000,"&lt;&gt;设计如此",缺陷明细!$AA$2:$AA$50000,"&lt;&gt;重复Bug")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COUNTIFS(缺陷明细!$A$2:$A$50000,$B$4,缺陷明细!$G$2:$G$50000,$C31,缺陷明细!$J$2:$J$50000,"系统测试",缺陷明细!$AA$2:$AA$50000,"&lt;&gt;丢弃",缺陷明细!$AA$2:$AA$50000,"&lt;&gt;设计如此",缺陷明细!$AA$2:$AA$50000,"&lt;&gt;重复Bug")</f>
        <v>0</v>
      </c>
      <c r="Q31" s="72">
        <f>COUNTIFS(缺陷明细!$A$2:$A$50000,$B$4,缺陷明细!$G$2:$G$50000,$C31,缺陷明细!$Q$2:$Q$50000,"已关闭",缺陷明细!$J$2:$J$50000,"系统测试")</f>
        <v>0</v>
      </c>
      <c r="R31" s="72">
        <f>COUNTIFS(缺陷明细!$A$2:$A$50000,$B$4,缺陷明细!$G$2:$G$50000,$C31,缺陷明细!$AA$2:$AA$50000,"丢弃",缺陷明细!$J$2:$J$50000,"系统测试")+COUNTIFS(缺陷明细!$A$2:$A$50000,$B$4,缺陷明细!$G$2:$G$50000,$C31,缺陷明细!$AA$2:$AA$50000,"设计如此",缺陷明细!$J$2:$J$50000,"系统测试"+COUNTIFS(缺陷明细!$A$2:$A$50000,$B$4,缺陷明细!$G$2:$G$50000,$C31,缺陷明细!$AA$2:$AA$50000,"重复Bug",缺陷明细!$J$2:$J$50000,"系统测试"))</f>
        <v>0</v>
      </c>
      <c r="S31" s="72">
        <f>COUNTIFS(缺陷明细!$A$2:$A$50000,$B$4,缺陷明细!$G$2:$G$50000,$C31,缺陷明细!$J$2:$J$50000,"系统测试",缺陷明细!$K$2:$K$50000,"致命",缺陷明细!$AA$2:$AA$50000,"&lt;&gt;丢弃",缺陷明细!$AA$2:$AA$50000,"&lt;&gt;设计如此",缺陷明细!$AA$2:$AA$50000,"&lt;&gt;重复Bug")+COUNTIFS(缺陷明细!$A$2:$A$50000,$B$4,缺陷明细!$G$2:$G$50000,$C31,缺陷明细!$J$2:$J$50000,"系统测试",缺陷明细!$K$2:$K$50000,"严重",缺陷明细!$AA$2:$AA$50000,"&lt;&gt;丢弃",缺陷明细!$AA$2:$AA$50000,"&lt;&gt;设计如此",缺陷明细!$AA$2:$AA$50000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COUNTIFS(缺陷明细!$A$2:$A$50000,$B$4,缺陷明细!$G$2:$G$50000,$C31,缺陷明细!$J$2:$J$50000,"验收测试",缺陷明细!$AA$2:$AA$50000,"&lt;&gt;丢弃",缺陷明细!$AA$2:$AA$50000,"&lt;&gt;设计如此",缺陷明细!$AA$2:$AA$50000,"&lt;&gt;重复Bug")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A$2:$AA$50000,"&lt;&gt;丢弃",缺陷明细!$AA$2:$AA$50000,"&lt;&gt;设计如此",缺陷明细!$AA$2:$AA$50000,"&lt;&gt;重复Bug")+COUNTIFS(缺陷明细!$A$2:$A$50000,$B$4,缺陷明细!$G$2:$G$50000,$C31,缺陷明细!$J$2:$J$50000,"验收测试",缺陷明细!$K$2:$K$50000,"严重",缺陷明细!$AA$2:$AA$50000,"&lt;&gt;丢弃",缺陷明细!$AA$2:$AA$50000,"&lt;&gt;设计如此",缺陷明细!$AA$2:$AA$50000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COUNTIFS(缺陷明细!$A$2:$A$50000,$B$4,缺陷明细!$G$2:$G$50000,$C31,缺陷明细!$J$2:$J$50000,"运维测试",缺陷明细!$AA$2:$AA$50000,"&lt;&gt;丢弃",缺陷明细!$AA$2:$AA$50000,"&lt;&gt;设计如此",缺陷明细!$AA$2:$AA$50000,"&lt;&gt;重复Bug")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A$2:$AA$50000,"&lt;&gt;丢弃",缺陷明细!$AA$2:$AA$50000,"&lt;&gt;设计如此",缺陷明细!$AA$2:$AA$50000,"&lt;&gt;重复Bug")+COUNTIFS(缺陷明细!$A$2:$A$50000,$B$4,缺陷明细!$G$2:$G$50000,$C31,缺陷明细!$J$2:$J$50000,"运维测试",缺陷明细!$K$2:$K$50000,"严重",缺陷明细!$AA$2:$AA$50000,"&lt;&gt;丢弃",缺陷明细!$AA$2:$AA$50000,"&lt;&gt;设计如此",缺陷明细!$AA$2:$AA$50000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51"/>
    </row>
    <row r="32" spans="1:37">
      <c r="A32">
        <v>28</v>
      </c>
      <c r="B32" s="57"/>
      <c r="C32" s="58"/>
      <c r="D32" s="84"/>
      <c r="E32" s="82"/>
      <c r="F32" s="165"/>
      <c r="G32" s="166"/>
      <c r="H32" s="305">
        <f>COUNTIFS(缺陷明细!$A$2:$A$50000,$B$4,缺陷明细!$G$2:$G$50000,$C32,缺陷明细!$J$2:$J$50000,"评审",缺陷明细!$AA$2:$AA$50000,"&lt;&gt;丢弃",缺陷明细!$AA$2:$AA$50000,"&lt;&gt;设计如此",缺陷明细!$AA$2:$AA$50000,"&lt;&gt;重复Bug")</f>
        <v>0</v>
      </c>
      <c r="I32" s="161">
        <f>COUNTIFS(缺陷明细!$A$2:$A$50000,$B$4,缺陷明细!$G$2:$G$50000,$C32,缺陷明细!$Q$2:$Q$50000,"已关闭",缺陷明细!$J$2:$J$50000,"评审")</f>
        <v>0</v>
      </c>
      <c r="J32" s="161">
        <f>COUNTIFS(缺陷明细!$A$2:$A$50000,$B$4,缺陷明细!$G$2:$G$50000,$C32,缺陷明细!$J$2:$J$50000,"单元测试",缺陷明细!$AA$2:$AA$50000,"&lt;&gt;丢弃",缺陷明细!$AA$2:$AA$50000,"&lt;&gt;设计如此",缺陷明细!$AA$2:$AA$50000,"&lt;&gt;重复Bug")</f>
        <v>0</v>
      </c>
      <c r="K32" s="162">
        <f>COUNTIFS(缺陷明细!$A$2:$A$50000,$B$4,缺陷明细!$G$2:$G$50000,$C32,缺陷明细!$Q$2:$Q$50000,"已关闭",缺陷明细!$J$2:$J$50000,"单元测试")</f>
        <v>0</v>
      </c>
      <c r="L32" s="163"/>
      <c r="M32" s="164"/>
      <c r="N32" s="72">
        <f>COUNTIFS(缺陷明细!$A$2:$A$50000,$B$4,缺陷明细!$G$2:$G$50000,$C32,缺陷明细!$J$2:$J$50000,"系统测试案例评审",缺陷明细!$AA$2:$AA$50000,"&lt;&gt;丢弃",缺陷明细!$AA$2:$AA$50000,"&lt;&gt;设计如此",缺陷明细!$AA$2:$AA$50000,"&lt;&gt;重复Bug")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COUNTIFS(缺陷明细!$A$2:$A$50000,$B$4,缺陷明细!$G$2:$G$50000,$C32,缺陷明细!$J$2:$J$50000,"系统测试",缺陷明细!$AA$2:$AA$50000,"&lt;&gt;丢弃",缺陷明细!$AA$2:$AA$50000,"&lt;&gt;设计如此",缺陷明细!$AA$2:$AA$50000,"&lt;&gt;重复Bug")</f>
        <v>0</v>
      </c>
      <c r="Q32" s="72">
        <f>COUNTIFS(缺陷明细!$A$2:$A$50000,$B$4,缺陷明细!$G$2:$G$50000,$C32,缺陷明细!$Q$2:$Q$50000,"已关闭",缺陷明细!$J$2:$J$50000,"系统测试")</f>
        <v>0</v>
      </c>
      <c r="R32" s="72">
        <f>COUNTIFS(缺陷明细!$A$2:$A$50000,$B$4,缺陷明细!$G$2:$G$50000,$C32,缺陷明细!$AA$2:$AA$50000,"丢弃",缺陷明细!$J$2:$J$50000,"系统测试")+COUNTIFS(缺陷明细!$A$2:$A$50000,$B$4,缺陷明细!$G$2:$G$50000,$C32,缺陷明细!$AA$2:$AA$50000,"设计如此",缺陷明细!$J$2:$J$50000,"系统测试"+COUNTIFS(缺陷明细!$A$2:$A$50000,$B$4,缺陷明细!$G$2:$G$50000,$C32,缺陷明细!$AA$2:$AA$50000,"重复Bug",缺陷明细!$J$2:$J$50000,"系统测试"))</f>
        <v>0</v>
      </c>
      <c r="S32" s="72">
        <f>COUNTIFS(缺陷明细!$A$2:$A$50000,$B$4,缺陷明细!$G$2:$G$50000,$C32,缺陷明细!$J$2:$J$50000,"系统测试",缺陷明细!$K$2:$K$50000,"致命",缺陷明细!$AA$2:$AA$50000,"&lt;&gt;丢弃",缺陷明细!$AA$2:$AA$50000,"&lt;&gt;设计如此",缺陷明细!$AA$2:$AA$50000,"&lt;&gt;重复Bug")+COUNTIFS(缺陷明细!$A$2:$A$50000,$B$4,缺陷明细!$G$2:$G$50000,$C32,缺陷明细!$J$2:$J$50000,"系统测试",缺陷明细!$K$2:$K$50000,"严重",缺陷明细!$AA$2:$AA$50000,"&lt;&gt;丢弃",缺陷明细!$AA$2:$AA$50000,"&lt;&gt;设计如此",缺陷明细!$AA$2:$AA$50000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COUNTIFS(缺陷明细!$A$2:$A$50000,$B$4,缺陷明细!$G$2:$G$50000,$C32,缺陷明细!$J$2:$J$50000,"验收测试",缺陷明细!$AA$2:$AA$50000,"&lt;&gt;丢弃",缺陷明细!$AA$2:$AA$50000,"&lt;&gt;设计如此",缺陷明细!$AA$2:$AA$50000,"&lt;&gt;重复Bug")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A$2:$AA$50000,"&lt;&gt;丢弃",缺陷明细!$AA$2:$AA$50000,"&lt;&gt;设计如此",缺陷明细!$AA$2:$AA$50000,"&lt;&gt;重复Bug")+COUNTIFS(缺陷明细!$A$2:$A$50000,$B$4,缺陷明细!$G$2:$G$50000,$C32,缺陷明细!$J$2:$J$50000,"验收测试",缺陷明细!$K$2:$K$50000,"严重",缺陷明细!$AA$2:$AA$50000,"&lt;&gt;丢弃",缺陷明细!$AA$2:$AA$50000,"&lt;&gt;设计如此",缺陷明细!$AA$2:$AA$50000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COUNTIFS(缺陷明细!$A$2:$A$50000,$B$4,缺陷明细!$G$2:$G$50000,$C32,缺陷明细!$J$2:$J$50000,"运维测试",缺陷明细!$AA$2:$AA$50000,"&lt;&gt;丢弃",缺陷明细!$AA$2:$AA$50000,"&lt;&gt;设计如此",缺陷明细!$AA$2:$AA$50000,"&lt;&gt;重复Bug")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A$2:$AA$50000,"&lt;&gt;丢弃",缺陷明细!$AA$2:$AA$50000,"&lt;&gt;设计如此",缺陷明细!$AA$2:$AA$50000,"&lt;&gt;重复Bug")+COUNTIFS(缺陷明细!$A$2:$A$50000,$B$4,缺陷明细!$G$2:$G$50000,$C32,缺陷明细!$J$2:$J$50000,"运维测试",缺陷明细!$K$2:$K$50000,"严重",缺陷明细!$AA$2:$AA$50000,"&lt;&gt;丢弃",缺陷明细!$AA$2:$AA$50000,"&lt;&gt;设计如此",缺陷明细!$AA$2:$AA$50000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51"/>
    </row>
    <row r="33" spans="1:37">
      <c r="A33">
        <v>29</v>
      </c>
      <c r="B33" s="57"/>
      <c r="C33" s="58"/>
      <c r="D33" s="84"/>
      <c r="E33" s="82"/>
      <c r="F33" s="165"/>
      <c r="G33" s="166"/>
      <c r="H33" s="305">
        <f>COUNTIFS(缺陷明细!$A$2:$A$50000,$B$4,缺陷明细!$G$2:$G$50000,$C33,缺陷明细!$J$2:$J$50000,"评审",缺陷明细!$AA$2:$AA$50000,"&lt;&gt;丢弃",缺陷明细!$AA$2:$AA$50000,"&lt;&gt;设计如此",缺陷明细!$AA$2:$AA$50000,"&lt;&gt;重复Bug")</f>
        <v>0</v>
      </c>
      <c r="I33" s="161">
        <f>COUNTIFS(缺陷明细!$A$2:$A$50000,$B$4,缺陷明细!$G$2:$G$50000,$C33,缺陷明细!$Q$2:$Q$50000,"已关闭",缺陷明细!$J$2:$J$50000,"评审")</f>
        <v>0</v>
      </c>
      <c r="J33" s="161">
        <f>COUNTIFS(缺陷明细!$A$2:$A$50000,$B$4,缺陷明细!$G$2:$G$50000,$C33,缺陷明细!$J$2:$J$50000,"单元测试",缺陷明细!$AA$2:$AA$50000,"&lt;&gt;丢弃",缺陷明细!$AA$2:$AA$50000,"&lt;&gt;设计如此",缺陷明细!$AA$2:$AA$50000,"&lt;&gt;重复Bug")</f>
        <v>0</v>
      </c>
      <c r="K33" s="162">
        <f>COUNTIFS(缺陷明细!$A$2:$A$50000,$B$4,缺陷明细!$G$2:$G$50000,$C33,缺陷明细!$Q$2:$Q$50000,"已关闭",缺陷明细!$J$2:$J$50000,"单元测试")</f>
        <v>0</v>
      </c>
      <c r="L33" s="163"/>
      <c r="M33" s="164"/>
      <c r="N33" s="72">
        <f>COUNTIFS(缺陷明细!$A$2:$A$50000,$B$4,缺陷明细!$G$2:$G$50000,$C33,缺陷明细!$J$2:$J$50000,"系统测试案例评审",缺陷明细!$AA$2:$AA$50000,"&lt;&gt;丢弃",缺陷明细!$AA$2:$AA$50000,"&lt;&gt;设计如此",缺陷明细!$AA$2:$AA$50000,"&lt;&gt;重复Bug")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COUNTIFS(缺陷明细!$A$2:$A$50000,$B$4,缺陷明细!$G$2:$G$50000,$C33,缺陷明细!$J$2:$J$50000,"系统测试",缺陷明细!$AA$2:$AA$50000,"&lt;&gt;丢弃",缺陷明细!$AA$2:$AA$50000,"&lt;&gt;设计如此",缺陷明细!$AA$2:$AA$50000,"&lt;&gt;重复Bug")</f>
        <v>0</v>
      </c>
      <c r="Q33" s="72">
        <f>COUNTIFS(缺陷明细!$A$2:$A$50000,$B$4,缺陷明细!$G$2:$G$50000,$C33,缺陷明细!$Q$2:$Q$50000,"已关闭",缺陷明细!$J$2:$J$50000,"系统测试")</f>
        <v>0</v>
      </c>
      <c r="R33" s="72">
        <f>COUNTIFS(缺陷明细!$A$2:$A$50000,$B$4,缺陷明细!$G$2:$G$50000,$C33,缺陷明细!$AA$2:$AA$50000,"丢弃",缺陷明细!$J$2:$J$50000,"系统测试")+COUNTIFS(缺陷明细!$A$2:$A$50000,$B$4,缺陷明细!$G$2:$G$50000,$C33,缺陷明细!$AA$2:$AA$50000,"设计如此",缺陷明细!$J$2:$J$50000,"系统测试"+COUNTIFS(缺陷明细!$A$2:$A$50000,$B$4,缺陷明细!$G$2:$G$50000,$C33,缺陷明细!$AA$2:$AA$50000,"重复Bug",缺陷明细!$J$2:$J$50000,"系统测试"))</f>
        <v>0</v>
      </c>
      <c r="S33" s="72">
        <f>COUNTIFS(缺陷明细!$A$2:$A$50000,$B$4,缺陷明细!$G$2:$G$50000,$C33,缺陷明细!$J$2:$J$50000,"系统测试",缺陷明细!$K$2:$K$50000,"致命",缺陷明细!$AA$2:$AA$50000,"&lt;&gt;丢弃",缺陷明细!$AA$2:$AA$50000,"&lt;&gt;设计如此",缺陷明细!$AA$2:$AA$50000,"&lt;&gt;重复Bug")+COUNTIFS(缺陷明细!$A$2:$A$50000,$B$4,缺陷明细!$G$2:$G$50000,$C33,缺陷明细!$J$2:$J$50000,"系统测试",缺陷明细!$K$2:$K$50000,"严重",缺陷明细!$AA$2:$AA$50000,"&lt;&gt;丢弃",缺陷明细!$AA$2:$AA$50000,"&lt;&gt;设计如此",缺陷明细!$AA$2:$AA$50000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COUNTIFS(缺陷明细!$A$2:$A$50000,$B$4,缺陷明细!$G$2:$G$50000,$C33,缺陷明细!$J$2:$J$50000,"验收测试",缺陷明细!$AA$2:$AA$50000,"&lt;&gt;丢弃",缺陷明细!$AA$2:$AA$50000,"&lt;&gt;设计如此",缺陷明细!$AA$2:$AA$50000,"&lt;&gt;重复Bug")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A$2:$AA$50000,"&lt;&gt;丢弃",缺陷明细!$AA$2:$AA$50000,"&lt;&gt;设计如此",缺陷明细!$AA$2:$AA$50000,"&lt;&gt;重复Bug")+COUNTIFS(缺陷明细!$A$2:$A$50000,$B$4,缺陷明细!$G$2:$G$50000,$C33,缺陷明细!$J$2:$J$50000,"验收测试",缺陷明细!$K$2:$K$50000,"严重",缺陷明细!$AA$2:$AA$50000,"&lt;&gt;丢弃",缺陷明细!$AA$2:$AA$50000,"&lt;&gt;设计如此",缺陷明细!$AA$2:$AA$50000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COUNTIFS(缺陷明细!$A$2:$A$50000,$B$4,缺陷明细!$G$2:$G$50000,$C33,缺陷明细!$J$2:$J$50000,"运维测试",缺陷明细!$AA$2:$AA$50000,"&lt;&gt;丢弃",缺陷明细!$AA$2:$AA$50000,"&lt;&gt;设计如此",缺陷明细!$AA$2:$AA$50000,"&lt;&gt;重复Bug")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A$2:$AA$50000,"&lt;&gt;丢弃",缺陷明细!$AA$2:$AA$50000,"&lt;&gt;设计如此",缺陷明细!$AA$2:$AA$50000,"&lt;&gt;重复Bug")+COUNTIFS(缺陷明细!$A$2:$A$50000,$B$4,缺陷明细!$G$2:$G$50000,$C33,缺陷明细!$J$2:$J$50000,"运维测试",缺陷明细!$K$2:$K$50000,"严重",缺陷明细!$AA$2:$AA$50000,"&lt;&gt;丢弃",缺陷明细!$AA$2:$AA$50000,"&lt;&gt;设计如此",缺陷明细!$AA$2:$AA$50000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51"/>
    </row>
    <row r="34" spans="1:37">
      <c r="A34">
        <v>30</v>
      </c>
      <c r="B34" s="57"/>
      <c r="C34" s="58"/>
      <c r="D34" s="84"/>
      <c r="E34" s="82"/>
      <c r="F34" s="165"/>
      <c r="G34" s="166"/>
      <c r="H34" s="305">
        <f>COUNTIFS(缺陷明细!$A$2:$A$50000,$B$4,缺陷明细!$G$2:$G$50000,$C34,缺陷明细!$J$2:$J$50000,"评审",缺陷明细!$AA$2:$AA$50000,"&lt;&gt;丢弃",缺陷明细!$AA$2:$AA$50000,"&lt;&gt;设计如此",缺陷明细!$AA$2:$AA$50000,"&lt;&gt;重复Bug")</f>
        <v>0</v>
      </c>
      <c r="I34" s="161">
        <f>COUNTIFS(缺陷明细!$A$2:$A$50000,$B$4,缺陷明细!$G$2:$G$50000,$C34,缺陷明细!$Q$2:$Q$50000,"已关闭",缺陷明细!$J$2:$J$50000,"评审")</f>
        <v>0</v>
      </c>
      <c r="J34" s="161">
        <f>COUNTIFS(缺陷明细!$A$2:$A$50000,$B$4,缺陷明细!$G$2:$G$50000,$C34,缺陷明细!$J$2:$J$50000,"单元测试",缺陷明细!$AA$2:$AA$50000,"&lt;&gt;丢弃",缺陷明细!$AA$2:$AA$50000,"&lt;&gt;设计如此",缺陷明细!$AA$2:$AA$50000,"&lt;&gt;重复Bug")</f>
        <v>0</v>
      </c>
      <c r="K34" s="162">
        <f>COUNTIFS(缺陷明细!$A$2:$A$50000,$B$4,缺陷明细!$G$2:$G$50000,$C34,缺陷明细!$Q$2:$Q$50000,"已关闭",缺陷明细!$J$2:$J$50000,"单元测试")</f>
        <v>0</v>
      </c>
      <c r="L34" s="163"/>
      <c r="M34" s="164"/>
      <c r="N34" s="72">
        <f>COUNTIFS(缺陷明细!$A$2:$A$50000,$B$4,缺陷明细!$G$2:$G$50000,$C34,缺陷明细!$J$2:$J$50000,"系统测试案例评审",缺陷明细!$AA$2:$AA$50000,"&lt;&gt;丢弃",缺陷明细!$AA$2:$AA$50000,"&lt;&gt;设计如此",缺陷明细!$AA$2:$AA$50000,"&lt;&gt;重复Bug")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COUNTIFS(缺陷明细!$A$2:$A$50000,$B$4,缺陷明细!$G$2:$G$50000,$C34,缺陷明细!$J$2:$J$50000,"系统测试",缺陷明细!$AA$2:$AA$50000,"&lt;&gt;丢弃",缺陷明细!$AA$2:$AA$50000,"&lt;&gt;设计如此",缺陷明细!$AA$2:$AA$50000,"&lt;&gt;重复Bug")</f>
        <v>0</v>
      </c>
      <c r="Q34" s="72">
        <f>COUNTIFS(缺陷明细!$A$2:$A$50000,$B$4,缺陷明细!$G$2:$G$50000,$C34,缺陷明细!$Q$2:$Q$50000,"已关闭",缺陷明细!$J$2:$J$50000,"系统测试")</f>
        <v>0</v>
      </c>
      <c r="R34" s="72">
        <f>COUNTIFS(缺陷明细!$A$2:$A$50000,$B$4,缺陷明细!$G$2:$G$50000,$C34,缺陷明细!$AA$2:$AA$50000,"丢弃",缺陷明细!$J$2:$J$50000,"系统测试")+COUNTIFS(缺陷明细!$A$2:$A$50000,$B$4,缺陷明细!$G$2:$G$50000,$C34,缺陷明细!$AA$2:$AA$50000,"设计如此",缺陷明细!$J$2:$J$50000,"系统测试"+COUNTIFS(缺陷明细!$A$2:$A$50000,$B$4,缺陷明细!$G$2:$G$50000,$C34,缺陷明细!$AA$2:$AA$50000,"重复Bug",缺陷明细!$J$2:$J$50000,"系统测试"))</f>
        <v>0</v>
      </c>
      <c r="S34" s="72">
        <f>COUNTIFS(缺陷明细!$A$2:$A$50000,$B$4,缺陷明细!$G$2:$G$50000,$C34,缺陷明细!$J$2:$J$50000,"系统测试",缺陷明细!$K$2:$K$50000,"致命",缺陷明细!$AA$2:$AA$50000,"&lt;&gt;丢弃",缺陷明细!$AA$2:$AA$50000,"&lt;&gt;设计如此",缺陷明细!$AA$2:$AA$50000,"&lt;&gt;重复Bug")+COUNTIFS(缺陷明细!$A$2:$A$50000,$B$4,缺陷明细!$G$2:$G$50000,$C34,缺陷明细!$J$2:$J$50000,"系统测试",缺陷明细!$K$2:$K$50000,"严重",缺陷明细!$AA$2:$AA$50000,"&lt;&gt;丢弃",缺陷明细!$AA$2:$AA$50000,"&lt;&gt;设计如此",缺陷明细!$AA$2:$AA$50000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COUNTIFS(缺陷明细!$A$2:$A$50000,$B$4,缺陷明细!$G$2:$G$50000,$C34,缺陷明细!$J$2:$J$50000,"验收测试",缺陷明细!$AA$2:$AA$50000,"&lt;&gt;丢弃",缺陷明细!$AA$2:$AA$50000,"&lt;&gt;设计如此",缺陷明细!$AA$2:$AA$50000,"&lt;&gt;重复Bug")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A$2:$AA$50000,"&lt;&gt;丢弃",缺陷明细!$AA$2:$AA$50000,"&lt;&gt;设计如此",缺陷明细!$AA$2:$AA$50000,"&lt;&gt;重复Bug")+COUNTIFS(缺陷明细!$A$2:$A$50000,$B$4,缺陷明细!$G$2:$G$50000,$C34,缺陷明细!$J$2:$J$50000,"验收测试",缺陷明细!$K$2:$K$50000,"严重",缺陷明细!$AA$2:$AA$50000,"&lt;&gt;丢弃",缺陷明细!$AA$2:$AA$50000,"&lt;&gt;设计如此",缺陷明细!$AA$2:$AA$50000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COUNTIFS(缺陷明细!$A$2:$A$50000,$B$4,缺陷明细!$G$2:$G$50000,$C34,缺陷明细!$J$2:$J$50000,"运维测试",缺陷明细!$AA$2:$AA$50000,"&lt;&gt;丢弃",缺陷明细!$AA$2:$AA$50000,"&lt;&gt;设计如此",缺陷明细!$AA$2:$AA$50000,"&lt;&gt;重复Bug")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A$2:$AA$50000,"&lt;&gt;丢弃",缺陷明细!$AA$2:$AA$50000,"&lt;&gt;设计如此",缺陷明细!$AA$2:$AA$50000,"&lt;&gt;重复Bug")+COUNTIFS(缺陷明细!$A$2:$A$50000,$B$4,缺陷明细!$G$2:$G$50000,$C34,缺陷明细!$J$2:$J$50000,"运维测试",缺陷明细!$K$2:$K$50000,"严重",缺陷明细!$AA$2:$AA$50000,"&lt;&gt;丢弃",缺陷明细!$AA$2:$AA$50000,"&lt;&gt;设计如此",缺陷明细!$AA$2:$AA$50000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51"/>
    </row>
    <row r="35" spans="1:37">
      <c r="A35">
        <v>31</v>
      </c>
      <c r="B35" s="57"/>
      <c r="C35" s="58"/>
      <c r="D35" s="84"/>
      <c r="E35" s="82"/>
      <c r="F35" s="165"/>
      <c r="G35" s="166"/>
      <c r="H35" s="305">
        <f>COUNTIFS(缺陷明细!$A$2:$A$50000,$B$4,缺陷明细!$G$2:$G$50000,$C35,缺陷明细!$J$2:$J$50000,"评审",缺陷明细!$AA$2:$AA$50000,"&lt;&gt;丢弃",缺陷明细!$AA$2:$AA$50000,"&lt;&gt;设计如此",缺陷明细!$AA$2:$AA$50000,"&lt;&gt;重复Bug")</f>
        <v>0</v>
      </c>
      <c r="I35" s="161">
        <f>COUNTIFS(缺陷明细!$A$2:$A$50000,$B$4,缺陷明细!$G$2:$G$50000,$C35,缺陷明细!$Q$2:$Q$50000,"已关闭",缺陷明细!$J$2:$J$50000,"评审")</f>
        <v>0</v>
      </c>
      <c r="J35" s="161">
        <f>COUNTIFS(缺陷明细!$A$2:$A$50000,$B$4,缺陷明细!$G$2:$G$50000,$C35,缺陷明细!$J$2:$J$50000,"单元测试",缺陷明细!$AA$2:$AA$50000,"&lt;&gt;丢弃",缺陷明细!$AA$2:$AA$50000,"&lt;&gt;设计如此",缺陷明细!$AA$2:$AA$50000,"&lt;&gt;重复Bug")</f>
        <v>0</v>
      </c>
      <c r="K35" s="162">
        <f>COUNTIFS(缺陷明细!$A$2:$A$50000,$B$4,缺陷明细!$G$2:$G$50000,$C35,缺陷明细!$Q$2:$Q$50000,"已关闭",缺陷明细!$J$2:$J$50000,"单元测试")</f>
        <v>0</v>
      </c>
      <c r="L35" s="163"/>
      <c r="M35" s="164"/>
      <c r="N35" s="72">
        <f>COUNTIFS(缺陷明细!$A$2:$A$50000,$B$4,缺陷明细!$G$2:$G$50000,$C35,缺陷明细!$J$2:$J$50000,"系统测试案例评审",缺陷明细!$AA$2:$AA$50000,"&lt;&gt;丢弃",缺陷明细!$AA$2:$AA$50000,"&lt;&gt;设计如此",缺陷明细!$AA$2:$AA$50000,"&lt;&gt;重复Bug")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COUNTIFS(缺陷明细!$A$2:$A$50000,$B$4,缺陷明细!$G$2:$G$50000,$C35,缺陷明细!$J$2:$J$50000,"系统测试",缺陷明细!$AA$2:$AA$50000,"&lt;&gt;丢弃",缺陷明细!$AA$2:$AA$50000,"&lt;&gt;设计如此",缺陷明细!$AA$2:$AA$50000,"&lt;&gt;重复Bug")</f>
        <v>0</v>
      </c>
      <c r="Q35" s="72">
        <f>COUNTIFS(缺陷明细!$A$2:$A$50000,$B$4,缺陷明细!$G$2:$G$50000,$C35,缺陷明细!$Q$2:$Q$50000,"已关闭",缺陷明细!$J$2:$J$50000,"系统测试")</f>
        <v>0</v>
      </c>
      <c r="R35" s="72">
        <f>COUNTIFS(缺陷明细!$A$2:$A$50000,$B$4,缺陷明细!$G$2:$G$50000,$C35,缺陷明细!$AA$2:$AA$50000,"丢弃",缺陷明细!$J$2:$J$50000,"系统测试")+COUNTIFS(缺陷明细!$A$2:$A$50000,$B$4,缺陷明细!$G$2:$G$50000,$C35,缺陷明细!$AA$2:$AA$50000,"设计如此",缺陷明细!$J$2:$J$50000,"系统测试"+COUNTIFS(缺陷明细!$A$2:$A$50000,$B$4,缺陷明细!$G$2:$G$50000,$C35,缺陷明细!$AA$2:$AA$50000,"重复Bug",缺陷明细!$J$2:$J$50000,"系统测试"))</f>
        <v>0</v>
      </c>
      <c r="S35" s="72">
        <f>COUNTIFS(缺陷明细!$A$2:$A$50000,$B$4,缺陷明细!$G$2:$G$50000,$C35,缺陷明细!$J$2:$J$50000,"系统测试",缺陷明细!$K$2:$K$50000,"致命",缺陷明细!$AA$2:$AA$50000,"&lt;&gt;丢弃",缺陷明细!$AA$2:$AA$50000,"&lt;&gt;设计如此",缺陷明细!$AA$2:$AA$50000,"&lt;&gt;重复Bug")+COUNTIFS(缺陷明细!$A$2:$A$50000,$B$4,缺陷明细!$G$2:$G$50000,$C35,缺陷明细!$J$2:$J$50000,"系统测试",缺陷明细!$K$2:$K$50000,"严重",缺陷明细!$AA$2:$AA$50000,"&lt;&gt;丢弃",缺陷明细!$AA$2:$AA$50000,"&lt;&gt;设计如此",缺陷明细!$AA$2:$AA$50000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COUNTIFS(缺陷明细!$A$2:$A$50000,$B$4,缺陷明细!$G$2:$G$50000,$C35,缺陷明细!$J$2:$J$50000,"验收测试",缺陷明细!$AA$2:$AA$50000,"&lt;&gt;丢弃",缺陷明细!$AA$2:$AA$50000,"&lt;&gt;设计如此",缺陷明细!$AA$2:$AA$50000,"&lt;&gt;重复Bug")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A$2:$AA$50000,"&lt;&gt;丢弃",缺陷明细!$AA$2:$AA$50000,"&lt;&gt;设计如此",缺陷明细!$AA$2:$AA$50000,"&lt;&gt;重复Bug")+COUNTIFS(缺陷明细!$A$2:$A$50000,$B$4,缺陷明细!$G$2:$G$50000,$C35,缺陷明细!$J$2:$J$50000,"验收测试",缺陷明细!$K$2:$K$50000,"严重",缺陷明细!$AA$2:$AA$50000,"&lt;&gt;丢弃",缺陷明细!$AA$2:$AA$50000,"&lt;&gt;设计如此",缺陷明细!$AA$2:$AA$50000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COUNTIFS(缺陷明细!$A$2:$A$50000,$B$4,缺陷明细!$G$2:$G$50000,$C35,缺陷明细!$J$2:$J$50000,"运维测试",缺陷明细!$AA$2:$AA$50000,"&lt;&gt;丢弃",缺陷明细!$AA$2:$AA$50000,"&lt;&gt;设计如此",缺陷明细!$AA$2:$AA$50000,"&lt;&gt;重复Bug")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A$2:$AA$50000,"&lt;&gt;丢弃",缺陷明细!$AA$2:$AA$50000,"&lt;&gt;设计如此",缺陷明细!$AA$2:$AA$50000,"&lt;&gt;重复Bug")+COUNTIFS(缺陷明细!$A$2:$A$50000,$B$4,缺陷明细!$G$2:$G$50000,$C35,缺陷明细!$J$2:$J$50000,"运维测试",缺陷明细!$K$2:$K$50000,"严重",缺陷明细!$AA$2:$AA$50000,"&lt;&gt;丢弃",缺陷明细!$AA$2:$AA$50000,"&lt;&gt;设计如此",缺陷明细!$AA$2:$AA$50000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51"/>
    </row>
    <row r="36" spans="1:37">
      <c r="A36">
        <v>32</v>
      </c>
      <c r="B36" s="57"/>
      <c r="C36" s="58"/>
      <c r="D36" s="84"/>
      <c r="E36" s="82"/>
      <c r="F36" s="165"/>
      <c r="G36" s="166"/>
      <c r="H36" s="305">
        <f>COUNTIFS(缺陷明细!$A$2:$A$50000,$B$4,缺陷明细!$G$2:$G$50000,$C36,缺陷明细!$J$2:$J$50000,"评审",缺陷明细!$AA$2:$AA$50000,"&lt;&gt;丢弃",缺陷明细!$AA$2:$AA$50000,"&lt;&gt;设计如此",缺陷明细!$AA$2:$AA$50000,"&lt;&gt;重复Bug")</f>
        <v>0</v>
      </c>
      <c r="I36" s="161">
        <f>COUNTIFS(缺陷明细!$A$2:$A$50000,$B$4,缺陷明细!$G$2:$G$50000,$C36,缺陷明细!$Q$2:$Q$50000,"已关闭",缺陷明细!$J$2:$J$50000,"评审")</f>
        <v>0</v>
      </c>
      <c r="J36" s="161">
        <f>COUNTIFS(缺陷明细!$A$2:$A$50000,$B$4,缺陷明细!$G$2:$G$50000,$C36,缺陷明细!$J$2:$J$50000,"单元测试",缺陷明细!$AA$2:$AA$50000,"&lt;&gt;丢弃",缺陷明细!$AA$2:$AA$50000,"&lt;&gt;设计如此",缺陷明细!$AA$2:$AA$50000,"&lt;&gt;重复Bug")</f>
        <v>0</v>
      </c>
      <c r="K36" s="162">
        <f>COUNTIFS(缺陷明细!$A$2:$A$50000,$B$4,缺陷明细!$G$2:$G$50000,$C36,缺陷明细!$Q$2:$Q$50000,"已关闭",缺陷明细!$J$2:$J$50000,"单元测试")</f>
        <v>0</v>
      </c>
      <c r="L36" s="163"/>
      <c r="M36" s="164"/>
      <c r="N36" s="72">
        <f>COUNTIFS(缺陷明细!$A$2:$A$50000,$B$4,缺陷明细!$G$2:$G$50000,$C36,缺陷明细!$J$2:$J$50000,"系统测试案例评审",缺陷明细!$AA$2:$AA$50000,"&lt;&gt;丢弃",缺陷明细!$AA$2:$AA$50000,"&lt;&gt;设计如此",缺陷明细!$AA$2:$AA$50000,"&lt;&gt;重复Bug")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COUNTIFS(缺陷明细!$A$2:$A$50000,$B$4,缺陷明细!$G$2:$G$50000,$C36,缺陷明细!$J$2:$J$50000,"系统测试",缺陷明细!$AA$2:$AA$50000,"&lt;&gt;丢弃",缺陷明细!$AA$2:$AA$50000,"&lt;&gt;设计如此",缺陷明细!$AA$2:$AA$50000,"&lt;&gt;重复Bug")</f>
        <v>0</v>
      </c>
      <c r="Q36" s="72">
        <f>COUNTIFS(缺陷明细!$A$2:$A$50000,$B$4,缺陷明细!$G$2:$G$50000,$C36,缺陷明细!$Q$2:$Q$50000,"已关闭",缺陷明细!$J$2:$J$50000,"系统测试")</f>
        <v>0</v>
      </c>
      <c r="R36" s="72">
        <f>COUNTIFS(缺陷明细!$A$2:$A$50000,$B$4,缺陷明细!$G$2:$G$50000,$C36,缺陷明细!$AA$2:$AA$50000,"丢弃",缺陷明细!$J$2:$J$50000,"系统测试")+COUNTIFS(缺陷明细!$A$2:$A$50000,$B$4,缺陷明细!$G$2:$G$50000,$C36,缺陷明细!$AA$2:$AA$50000,"设计如此",缺陷明细!$J$2:$J$50000,"系统测试"+COUNTIFS(缺陷明细!$A$2:$A$50000,$B$4,缺陷明细!$G$2:$G$50000,$C36,缺陷明细!$AA$2:$AA$50000,"重复Bug",缺陷明细!$J$2:$J$50000,"系统测试"))</f>
        <v>0</v>
      </c>
      <c r="S36" s="72">
        <f>COUNTIFS(缺陷明细!$A$2:$A$50000,$B$4,缺陷明细!$G$2:$G$50000,$C36,缺陷明细!$J$2:$J$50000,"系统测试",缺陷明细!$K$2:$K$50000,"致命",缺陷明细!$AA$2:$AA$50000,"&lt;&gt;丢弃",缺陷明细!$AA$2:$AA$50000,"&lt;&gt;设计如此",缺陷明细!$AA$2:$AA$50000,"&lt;&gt;重复Bug")+COUNTIFS(缺陷明细!$A$2:$A$50000,$B$4,缺陷明细!$G$2:$G$50000,$C36,缺陷明细!$J$2:$J$50000,"系统测试",缺陷明细!$K$2:$K$50000,"严重",缺陷明细!$AA$2:$AA$50000,"&lt;&gt;丢弃",缺陷明细!$AA$2:$AA$50000,"&lt;&gt;设计如此",缺陷明细!$AA$2:$AA$50000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COUNTIFS(缺陷明细!$A$2:$A$50000,$B$4,缺陷明细!$G$2:$G$50000,$C36,缺陷明细!$J$2:$J$50000,"验收测试",缺陷明细!$AA$2:$AA$50000,"&lt;&gt;丢弃",缺陷明细!$AA$2:$AA$50000,"&lt;&gt;设计如此",缺陷明细!$AA$2:$AA$50000,"&lt;&gt;重复Bug")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A$2:$AA$50000,"&lt;&gt;丢弃",缺陷明细!$AA$2:$AA$50000,"&lt;&gt;设计如此",缺陷明细!$AA$2:$AA$50000,"&lt;&gt;重复Bug")+COUNTIFS(缺陷明细!$A$2:$A$50000,$B$4,缺陷明细!$G$2:$G$50000,$C36,缺陷明细!$J$2:$J$50000,"验收测试",缺陷明细!$K$2:$K$50000,"严重",缺陷明细!$AA$2:$AA$50000,"&lt;&gt;丢弃",缺陷明细!$AA$2:$AA$50000,"&lt;&gt;设计如此",缺陷明细!$AA$2:$AA$50000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COUNTIFS(缺陷明细!$A$2:$A$50000,$B$4,缺陷明细!$G$2:$G$50000,$C36,缺陷明细!$J$2:$J$50000,"运维测试",缺陷明细!$AA$2:$AA$50000,"&lt;&gt;丢弃",缺陷明细!$AA$2:$AA$50000,"&lt;&gt;设计如此",缺陷明细!$AA$2:$AA$50000,"&lt;&gt;重复Bug")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A$2:$AA$50000,"&lt;&gt;丢弃",缺陷明细!$AA$2:$AA$50000,"&lt;&gt;设计如此",缺陷明细!$AA$2:$AA$50000,"&lt;&gt;重复Bug")+COUNTIFS(缺陷明细!$A$2:$A$50000,$B$4,缺陷明细!$G$2:$G$50000,$C36,缺陷明细!$J$2:$J$50000,"运维测试",缺陷明细!$K$2:$K$50000,"严重",缺陷明细!$AA$2:$AA$50000,"&lt;&gt;丢弃",缺陷明细!$AA$2:$AA$50000,"&lt;&gt;设计如此",缺陷明细!$AA$2:$AA$50000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51"/>
    </row>
    <row r="37" spans="1:37">
      <c r="A37">
        <v>33</v>
      </c>
      <c r="B37" s="57"/>
      <c r="C37" s="58"/>
      <c r="D37" s="84"/>
      <c r="E37" s="82"/>
      <c r="F37" s="165"/>
      <c r="G37" s="166"/>
      <c r="H37" s="305">
        <f>COUNTIFS(缺陷明细!$A$2:$A$50000,$B$4,缺陷明细!$G$2:$G$50000,$C37,缺陷明细!$J$2:$J$50000,"评审",缺陷明细!$AA$2:$AA$50000,"&lt;&gt;丢弃",缺陷明细!$AA$2:$AA$50000,"&lt;&gt;设计如此",缺陷明细!$AA$2:$AA$50000,"&lt;&gt;重复Bug")</f>
        <v>0</v>
      </c>
      <c r="I37" s="161">
        <f>COUNTIFS(缺陷明细!$A$2:$A$50000,$B$4,缺陷明细!$G$2:$G$50000,$C37,缺陷明细!$Q$2:$Q$50000,"已关闭",缺陷明细!$J$2:$J$50000,"评审")</f>
        <v>0</v>
      </c>
      <c r="J37" s="161">
        <f>COUNTIFS(缺陷明细!$A$2:$A$50000,$B$4,缺陷明细!$G$2:$G$50000,$C37,缺陷明细!$J$2:$J$50000,"单元测试",缺陷明细!$AA$2:$AA$50000,"&lt;&gt;丢弃",缺陷明细!$AA$2:$AA$50000,"&lt;&gt;设计如此",缺陷明细!$AA$2:$AA$50000,"&lt;&gt;重复Bug")</f>
        <v>0</v>
      </c>
      <c r="K37" s="162">
        <f>COUNTIFS(缺陷明细!$A$2:$A$50000,$B$4,缺陷明细!$G$2:$G$50000,$C37,缺陷明细!$Q$2:$Q$50000,"已关闭",缺陷明细!$J$2:$J$50000,"单元测试")</f>
        <v>0</v>
      </c>
      <c r="L37" s="163"/>
      <c r="M37" s="164"/>
      <c r="N37" s="72">
        <f>COUNTIFS(缺陷明细!$A$2:$A$50000,$B$4,缺陷明细!$G$2:$G$50000,$C37,缺陷明细!$J$2:$J$50000,"系统测试案例评审",缺陷明细!$AA$2:$AA$50000,"&lt;&gt;丢弃",缺陷明细!$AA$2:$AA$50000,"&lt;&gt;设计如此",缺陷明细!$AA$2:$AA$50000,"&lt;&gt;重复Bug")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COUNTIFS(缺陷明细!$A$2:$A$50000,$B$4,缺陷明细!$G$2:$G$50000,$C37,缺陷明细!$J$2:$J$50000,"系统测试",缺陷明细!$AA$2:$AA$50000,"&lt;&gt;丢弃",缺陷明细!$AA$2:$AA$50000,"&lt;&gt;设计如此",缺陷明细!$AA$2:$AA$50000,"&lt;&gt;重复Bug")</f>
        <v>0</v>
      </c>
      <c r="Q37" s="72">
        <f>COUNTIFS(缺陷明细!$A$2:$A$50000,$B$4,缺陷明细!$G$2:$G$50000,$C37,缺陷明细!$Q$2:$Q$50000,"已关闭",缺陷明细!$J$2:$J$50000,"系统测试")</f>
        <v>0</v>
      </c>
      <c r="R37" s="72">
        <f>COUNTIFS(缺陷明细!$A$2:$A$50000,$B$4,缺陷明细!$G$2:$G$50000,$C37,缺陷明细!$AA$2:$AA$50000,"丢弃",缺陷明细!$J$2:$J$50000,"系统测试")+COUNTIFS(缺陷明细!$A$2:$A$50000,$B$4,缺陷明细!$G$2:$G$50000,$C37,缺陷明细!$AA$2:$AA$50000,"设计如此",缺陷明细!$J$2:$J$50000,"系统测试"+COUNTIFS(缺陷明细!$A$2:$A$50000,$B$4,缺陷明细!$G$2:$G$50000,$C37,缺陷明细!$AA$2:$AA$50000,"重复Bug",缺陷明细!$J$2:$J$50000,"系统测试"))</f>
        <v>0</v>
      </c>
      <c r="S37" s="72">
        <f>COUNTIFS(缺陷明细!$A$2:$A$50000,$B$4,缺陷明细!$G$2:$G$50000,$C37,缺陷明细!$J$2:$J$50000,"系统测试",缺陷明细!$K$2:$K$50000,"致命",缺陷明细!$AA$2:$AA$50000,"&lt;&gt;丢弃",缺陷明细!$AA$2:$AA$50000,"&lt;&gt;设计如此",缺陷明细!$AA$2:$AA$50000,"&lt;&gt;重复Bug")+COUNTIFS(缺陷明细!$A$2:$A$50000,$B$4,缺陷明细!$G$2:$G$50000,$C37,缺陷明细!$J$2:$J$50000,"系统测试",缺陷明细!$K$2:$K$50000,"严重",缺陷明细!$AA$2:$AA$50000,"&lt;&gt;丢弃",缺陷明细!$AA$2:$AA$50000,"&lt;&gt;设计如此",缺陷明细!$AA$2:$AA$50000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COUNTIFS(缺陷明细!$A$2:$A$50000,$B$4,缺陷明细!$G$2:$G$50000,$C37,缺陷明细!$J$2:$J$50000,"验收测试",缺陷明细!$AA$2:$AA$50000,"&lt;&gt;丢弃",缺陷明细!$AA$2:$AA$50000,"&lt;&gt;设计如此",缺陷明细!$AA$2:$AA$50000,"&lt;&gt;重复Bug")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A$2:$AA$50000,"&lt;&gt;丢弃",缺陷明细!$AA$2:$AA$50000,"&lt;&gt;设计如此",缺陷明细!$AA$2:$AA$50000,"&lt;&gt;重复Bug")+COUNTIFS(缺陷明细!$A$2:$A$50000,$B$4,缺陷明细!$G$2:$G$50000,$C37,缺陷明细!$J$2:$J$50000,"验收测试",缺陷明细!$K$2:$K$50000,"严重",缺陷明细!$AA$2:$AA$50000,"&lt;&gt;丢弃",缺陷明细!$AA$2:$AA$50000,"&lt;&gt;设计如此",缺陷明细!$AA$2:$AA$50000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COUNTIFS(缺陷明细!$A$2:$A$50000,$B$4,缺陷明细!$G$2:$G$50000,$C37,缺陷明细!$J$2:$J$50000,"运维测试",缺陷明细!$AA$2:$AA$50000,"&lt;&gt;丢弃",缺陷明细!$AA$2:$AA$50000,"&lt;&gt;设计如此",缺陷明细!$AA$2:$AA$50000,"&lt;&gt;重复Bug")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A$2:$AA$50000,"&lt;&gt;丢弃",缺陷明细!$AA$2:$AA$50000,"&lt;&gt;设计如此",缺陷明细!$AA$2:$AA$50000,"&lt;&gt;重复Bug")+COUNTIFS(缺陷明细!$A$2:$A$50000,$B$4,缺陷明细!$G$2:$G$50000,$C37,缺陷明细!$J$2:$J$50000,"运维测试",缺陷明细!$K$2:$K$50000,"严重",缺陷明细!$AA$2:$AA$50000,"&lt;&gt;丢弃",缺陷明细!$AA$2:$AA$50000,"&lt;&gt;设计如此",缺陷明细!$AA$2:$AA$50000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51"/>
    </row>
    <row r="38" spans="1:37">
      <c r="A38">
        <v>34</v>
      </c>
      <c r="B38" s="57"/>
      <c r="C38" s="58"/>
      <c r="D38" s="84"/>
      <c r="E38" s="82"/>
      <c r="F38" s="165"/>
      <c r="G38" s="166"/>
      <c r="H38" s="305">
        <f>COUNTIFS(缺陷明细!$A$2:$A$50000,$B$4,缺陷明细!$G$2:$G$50000,$C38,缺陷明细!$J$2:$J$50000,"评审",缺陷明细!$AA$2:$AA$50000,"&lt;&gt;丢弃",缺陷明细!$AA$2:$AA$50000,"&lt;&gt;设计如此",缺陷明细!$AA$2:$AA$50000,"&lt;&gt;重复Bug")</f>
        <v>0</v>
      </c>
      <c r="I38" s="161">
        <f>COUNTIFS(缺陷明细!$A$2:$A$50000,$B$4,缺陷明细!$G$2:$G$50000,$C38,缺陷明细!$Q$2:$Q$50000,"已关闭",缺陷明细!$J$2:$J$50000,"评审")</f>
        <v>0</v>
      </c>
      <c r="J38" s="161">
        <f>COUNTIFS(缺陷明细!$A$2:$A$50000,$B$4,缺陷明细!$G$2:$G$50000,$C38,缺陷明细!$J$2:$J$50000,"单元测试",缺陷明细!$AA$2:$AA$50000,"&lt;&gt;丢弃",缺陷明细!$AA$2:$AA$50000,"&lt;&gt;设计如此",缺陷明细!$AA$2:$AA$50000,"&lt;&gt;重复Bug")</f>
        <v>0</v>
      </c>
      <c r="K38" s="162">
        <f>COUNTIFS(缺陷明细!$A$2:$A$50000,$B$4,缺陷明细!$G$2:$G$50000,$C38,缺陷明细!$Q$2:$Q$50000,"已关闭",缺陷明细!$J$2:$J$50000,"单元测试")</f>
        <v>0</v>
      </c>
      <c r="L38" s="163"/>
      <c r="M38" s="164"/>
      <c r="N38" s="72">
        <f>COUNTIFS(缺陷明细!$A$2:$A$50000,$B$4,缺陷明细!$G$2:$G$50000,$C38,缺陷明细!$J$2:$J$50000,"系统测试案例评审",缺陷明细!$AA$2:$AA$50000,"&lt;&gt;丢弃",缺陷明细!$AA$2:$AA$50000,"&lt;&gt;设计如此",缺陷明细!$AA$2:$AA$50000,"&lt;&gt;重复Bug")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COUNTIFS(缺陷明细!$A$2:$A$50000,$B$4,缺陷明细!$G$2:$G$50000,$C38,缺陷明细!$J$2:$J$50000,"系统测试",缺陷明细!$AA$2:$AA$50000,"&lt;&gt;丢弃",缺陷明细!$AA$2:$AA$50000,"&lt;&gt;设计如此",缺陷明细!$AA$2:$AA$50000,"&lt;&gt;重复Bug")</f>
        <v>0</v>
      </c>
      <c r="Q38" s="72">
        <f>COUNTIFS(缺陷明细!$A$2:$A$50000,$B$4,缺陷明细!$G$2:$G$50000,$C38,缺陷明细!$Q$2:$Q$50000,"已关闭",缺陷明细!$J$2:$J$50000,"系统测试")</f>
        <v>0</v>
      </c>
      <c r="R38" s="72">
        <f>COUNTIFS(缺陷明细!$A$2:$A$50000,$B$4,缺陷明细!$G$2:$G$50000,$C38,缺陷明细!$AA$2:$AA$50000,"丢弃",缺陷明细!$J$2:$J$50000,"系统测试")+COUNTIFS(缺陷明细!$A$2:$A$50000,$B$4,缺陷明细!$G$2:$G$50000,$C38,缺陷明细!$AA$2:$AA$50000,"设计如此",缺陷明细!$J$2:$J$50000,"系统测试"+COUNTIFS(缺陷明细!$A$2:$A$50000,$B$4,缺陷明细!$G$2:$G$50000,$C38,缺陷明细!$AA$2:$AA$50000,"重复Bug",缺陷明细!$J$2:$J$50000,"系统测试"))</f>
        <v>0</v>
      </c>
      <c r="S38" s="72">
        <f>COUNTIFS(缺陷明细!$A$2:$A$50000,$B$4,缺陷明细!$G$2:$G$50000,$C38,缺陷明细!$J$2:$J$50000,"系统测试",缺陷明细!$K$2:$K$50000,"致命",缺陷明细!$AA$2:$AA$50000,"&lt;&gt;丢弃",缺陷明细!$AA$2:$AA$50000,"&lt;&gt;设计如此",缺陷明细!$AA$2:$AA$50000,"&lt;&gt;重复Bug")+COUNTIFS(缺陷明细!$A$2:$A$50000,$B$4,缺陷明细!$G$2:$G$50000,$C38,缺陷明细!$J$2:$J$50000,"系统测试",缺陷明细!$K$2:$K$50000,"严重",缺陷明细!$AA$2:$AA$50000,"&lt;&gt;丢弃",缺陷明细!$AA$2:$AA$50000,"&lt;&gt;设计如此",缺陷明细!$AA$2:$AA$50000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COUNTIFS(缺陷明细!$A$2:$A$50000,$B$4,缺陷明细!$G$2:$G$50000,$C38,缺陷明细!$J$2:$J$50000,"验收测试",缺陷明细!$AA$2:$AA$50000,"&lt;&gt;丢弃",缺陷明细!$AA$2:$AA$50000,"&lt;&gt;设计如此",缺陷明细!$AA$2:$AA$50000,"&lt;&gt;重复Bug")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A$2:$AA$50000,"&lt;&gt;丢弃",缺陷明细!$AA$2:$AA$50000,"&lt;&gt;设计如此",缺陷明细!$AA$2:$AA$50000,"&lt;&gt;重复Bug")+COUNTIFS(缺陷明细!$A$2:$A$50000,$B$4,缺陷明细!$G$2:$G$50000,$C38,缺陷明细!$J$2:$J$50000,"验收测试",缺陷明细!$K$2:$K$50000,"严重",缺陷明细!$AA$2:$AA$50000,"&lt;&gt;丢弃",缺陷明细!$AA$2:$AA$50000,"&lt;&gt;设计如此",缺陷明细!$AA$2:$AA$50000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COUNTIFS(缺陷明细!$A$2:$A$50000,$B$4,缺陷明细!$G$2:$G$50000,$C38,缺陷明细!$J$2:$J$50000,"运维测试",缺陷明细!$AA$2:$AA$50000,"&lt;&gt;丢弃",缺陷明细!$AA$2:$AA$50000,"&lt;&gt;设计如此",缺陷明细!$AA$2:$AA$50000,"&lt;&gt;重复Bug")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A$2:$AA$50000,"&lt;&gt;丢弃",缺陷明细!$AA$2:$AA$50000,"&lt;&gt;设计如此",缺陷明细!$AA$2:$AA$50000,"&lt;&gt;重复Bug")+COUNTIFS(缺陷明细!$A$2:$A$50000,$B$4,缺陷明细!$G$2:$G$50000,$C38,缺陷明细!$J$2:$J$50000,"运维测试",缺陷明细!$K$2:$K$50000,"严重",缺陷明细!$AA$2:$AA$50000,"&lt;&gt;丢弃",缺陷明细!$AA$2:$AA$50000,"&lt;&gt;设计如此",缺陷明细!$AA$2:$AA$50000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51"/>
    </row>
    <row r="39" spans="1:37">
      <c r="A39">
        <v>35</v>
      </c>
      <c r="B39" s="57"/>
      <c r="C39" s="58"/>
      <c r="D39" s="84"/>
      <c r="E39" s="82"/>
      <c r="F39" s="165"/>
      <c r="G39" s="166"/>
      <c r="H39" s="305">
        <f>COUNTIFS(缺陷明细!$A$2:$A$50000,$B$4,缺陷明细!$G$2:$G$50000,$C39,缺陷明细!$J$2:$J$50000,"评审",缺陷明细!$AA$2:$AA$50000,"&lt;&gt;丢弃",缺陷明细!$AA$2:$AA$50000,"&lt;&gt;设计如此",缺陷明细!$AA$2:$AA$50000,"&lt;&gt;重复Bug")</f>
        <v>0</v>
      </c>
      <c r="I39" s="161">
        <f>COUNTIFS(缺陷明细!$A$2:$A$50000,$B$4,缺陷明细!$G$2:$G$50000,$C39,缺陷明细!$Q$2:$Q$50000,"已关闭",缺陷明细!$J$2:$J$50000,"评审")</f>
        <v>0</v>
      </c>
      <c r="J39" s="161">
        <f>COUNTIFS(缺陷明细!$A$2:$A$50000,$B$4,缺陷明细!$G$2:$G$50000,$C39,缺陷明细!$J$2:$J$50000,"单元测试",缺陷明细!$AA$2:$AA$50000,"&lt;&gt;丢弃",缺陷明细!$AA$2:$AA$50000,"&lt;&gt;设计如此",缺陷明细!$AA$2:$AA$50000,"&lt;&gt;重复Bug")</f>
        <v>0</v>
      </c>
      <c r="K39" s="162">
        <f>COUNTIFS(缺陷明细!$A$2:$A$50000,$B$4,缺陷明细!$G$2:$G$50000,$C39,缺陷明细!$Q$2:$Q$50000,"已关闭",缺陷明细!$J$2:$J$50000,"单元测试")</f>
        <v>0</v>
      </c>
      <c r="L39" s="163"/>
      <c r="M39" s="164"/>
      <c r="N39" s="72">
        <f>COUNTIFS(缺陷明细!$A$2:$A$50000,$B$4,缺陷明细!$G$2:$G$50000,$C39,缺陷明细!$J$2:$J$50000,"系统测试案例评审",缺陷明细!$AA$2:$AA$50000,"&lt;&gt;丢弃",缺陷明细!$AA$2:$AA$50000,"&lt;&gt;设计如此",缺陷明细!$AA$2:$AA$50000,"&lt;&gt;重复Bug")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COUNTIFS(缺陷明细!$A$2:$A$50000,$B$4,缺陷明细!$G$2:$G$50000,$C39,缺陷明细!$J$2:$J$50000,"系统测试",缺陷明细!$AA$2:$AA$50000,"&lt;&gt;丢弃",缺陷明细!$AA$2:$AA$50000,"&lt;&gt;设计如此",缺陷明细!$AA$2:$AA$50000,"&lt;&gt;重复Bug")</f>
        <v>0</v>
      </c>
      <c r="Q39" s="72">
        <f>COUNTIFS(缺陷明细!$A$2:$A$50000,$B$4,缺陷明细!$G$2:$G$50000,$C39,缺陷明细!$Q$2:$Q$50000,"已关闭",缺陷明细!$J$2:$J$50000,"系统测试")</f>
        <v>0</v>
      </c>
      <c r="R39" s="72">
        <f>COUNTIFS(缺陷明细!$A$2:$A$50000,$B$4,缺陷明细!$G$2:$G$50000,$C39,缺陷明细!$AA$2:$AA$50000,"丢弃",缺陷明细!$J$2:$J$50000,"系统测试")+COUNTIFS(缺陷明细!$A$2:$A$50000,$B$4,缺陷明细!$G$2:$G$50000,$C39,缺陷明细!$AA$2:$AA$50000,"设计如此",缺陷明细!$J$2:$J$50000,"系统测试"+COUNTIFS(缺陷明细!$A$2:$A$50000,$B$4,缺陷明细!$G$2:$G$50000,$C39,缺陷明细!$AA$2:$AA$50000,"重复Bug",缺陷明细!$J$2:$J$50000,"系统测试"))</f>
        <v>0</v>
      </c>
      <c r="S39" s="72">
        <f>COUNTIFS(缺陷明细!$A$2:$A$50000,$B$4,缺陷明细!$G$2:$G$50000,$C39,缺陷明细!$J$2:$J$50000,"系统测试",缺陷明细!$K$2:$K$50000,"致命",缺陷明细!$AA$2:$AA$50000,"&lt;&gt;丢弃",缺陷明细!$AA$2:$AA$50000,"&lt;&gt;设计如此",缺陷明细!$AA$2:$AA$50000,"&lt;&gt;重复Bug")+COUNTIFS(缺陷明细!$A$2:$A$50000,$B$4,缺陷明细!$G$2:$G$50000,$C39,缺陷明细!$J$2:$J$50000,"系统测试",缺陷明细!$K$2:$K$50000,"严重",缺陷明细!$AA$2:$AA$50000,"&lt;&gt;丢弃",缺陷明细!$AA$2:$AA$50000,"&lt;&gt;设计如此",缺陷明细!$AA$2:$AA$50000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COUNTIFS(缺陷明细!$A$2:$A$50000,$B$4,缺陷明细!$G$2:$G$50000,$C39,缺陷明细!$J$2:$J$50000,"验收测试",缺陷明细!$AA$2:$AA$50000,"&lt;&gt;丢弃",缺陷明细!$AA$2:$AA$50000,"&lt;&gt;设计如此",缺陷明细!$AA$2:$AA$50000,"&lt;&gt;重复Bug")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A$2:$AA$50000,"&lt;&gt;丢弃",缺陷明细!$AA$2:$AA$50000,"&lt;&gt;设计如此",缺陷明细!$AA$2:$AA$50000,"&lt;&gt;重复Bug")+COUNTIFS(缺陷明细!$A$2:$A$50000,$B$4,缺陷明细!$G$2:$G$50000,$C39,缺陷明细!$J$2:$J$50000,"验收测试",缺陷明细!$K$2:$K$50000,"严重",缺陷明细!$AA$2:$AA$50000,"&lt;&gt;丢弃",缺陷明细!$AA$2:$AA$50000,"&lt;&gt;设计如此",缺陷明细!$AA$2:$AA$50000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COUNTIFS(缺陷明细!$A$2:$A$50000,$B$4,缺陷明细!$G$2:$G$50000,$C39,缺陷明细!$J$2:$J$50000,"运维测试",缺陷明细!$AA$2:$AA$50000,"&lt;&gt;丢弃",缺陷明细!$AA$2:$AA$50000,"&lt;&gt;设计如此",缺陷明细!$AA$2:$AA$50000,"&lt;&gt;重复Bug")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A$2:$AA$50000,"&lt;&gt;丢弃",缺陷明细!$AA$2:$AA$50000,"&lt;&gt;设计如此",缺陷明细!$AA$2:$AA$50000,"&lt;&gt;重复Bug")+COUNTIFS(缺陷明细!$A$2:$A$50000,$B$4,缺陷明细!$G$2:$G$50000,$C39,缺陷明细!$J$2:$J$50000,"运维测试",缺陷明细!$K$2:$K$50000,"严重",缺陷明细!$AA$2:$AA$50000,"&lt;&gt;丢弃",缺陷明细!$AA$2:$AA$50000,"&lt;&gt;设计如此",缺陷明细!$AA$2:$AA$50000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51"/>
    </row>
    <row r="40" spans="1:37">
      <c r="A40">
        <v>36</v>
      </c>
      <c r="B40" s="57"/>
      <c r="C40" s="58"/>
      <c r="D40" s="84"/>
      <c r="E40" s="82"/>
      <c r="F40" s="165"/>
      <c r="G40" s="166"/>
      <c r="H40" s="305">
        <f>COUNTIFS(缺陷明细!$A$2:$A$50000,$B$4,缺陷明细!$G$2:$G$50000,$C40,缺陷明细!$J$2:$J$50000,"评审",缺陷明细!$AA$2:$AA$50000,"&lt;&gt;丢弃",缺陷明细!$AA$2:$AA$50000,"&lt;&gt;设计如此",缺陷明细!$AA$2:$AA$50000,"&lt;&gt;重复Bug")</f>
        <v>0</v>
      </c>
      <c r="I40" s="161">
        <f>COUNTIFS(缺陷明细!$A$2:$A$50000,$B$4,缺陷明细!$G$2:$G$50000,$C40,缺陷明细!$Q$2:$Q$50000,"已关闭",缺陷明细!$J$2:$J$50000,"评审")</f>
        <v>0</v>
      </c>
      <c r="J40" s="161">
        <f>COUNTIFS(缺陷明细!$A$2:$A$50000,$B$4,缺陷明细!$G$2:$G$50000,$C40,缺陷明细!$J$2:$J$50000,"单元测试",缺陷明细!$AA$2:$AA$50000,"&lt;&gt;丢弃",缺陷明细!$AA$2:$AA$50000,"&lt;&gt;设计如此",缺陷明细!$AA$2:$AA$50000,"&lt;&gt;重复Bug")</f>
        <v>0</v>
      </c>
      <c r="K40" s="162">
        <f>COUNTIFS(缺陷明细!$A$2:$A$50000,$B$4,缺陷明细!$G$2:$G$50000,$C40,缺陷明细!$Q$2:$Q$50000,"已关闭",缺陷明细!$J$2:$J$50000,"单元测试")</f>
        <v>0</v>
      </c>
      <c r="L40" s="163"/>
      <c r="M40" s="164"/>
      <c r="N40" s="72">
        <f>COUNTIFS(缺陷明细!$A$2:$A$50000,$B$4,缺陷明细!$G$2:$G$50000,$C40,缺陷明细!$J$2:$J$50000,"系统测试案例评审",缺陷明细!$AA$2:$AA$50000,"&lt;&gt;丢弃",缺陷明细!$AA$2:$AA$50000,"&lt;&gt;设计如此",缺陷明细!$AA$2:$AA$50000,"&lt;&gt;重复Bug")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COUNTIFS(缺陷明细!$A$2:$A$50000,$B$4,缺陷明细!$G$2:$G$50000,$C40,缺陷明细!$J$2:$J$50000,"系统测试",缺陷明细!$AA$2:$AA$50000,"&lt;&gt;丢弃",缺陷明细!$AA$2:$AA$50000,"&lt;&gt;设计如此",缺陷明细!$AA$2:$AA$50000,"&lt;&gt;重复Bug")</f>
        <v>0</v>
      </c>
      <c r="Q40" s="72">
        <f>COUNTIFS(缺陷明细!$A$2:$A$50000,$B$4,缺陷明细!$G$2:$G$50000,$C40,缺陷明细!$Q$2:$Q$50000,"已关闭",缺陷明细!$J$2:$J$50000,"系统测试")</f>
        <v>0</v>
      </c>
      <c r="R40" s="72">
        <f>COUNTIFS(缺陷明细!$A$2:$A$50000,$B$4,缺陷明细!$G$2:$G$50000,$C40,缺陷明细!$AA$2:$AA$50000,"丢弃",缺陷明细!$J$2:$J$50000,"系统测试")+COUNTIFS(缺陷明细!$A$2:$A$50000,$B$4,缺陷明细!$G$2:$G$50000,$C40,缺陷明细!$AA$2:$AA$50000,"设计如此",缺陷明细!$J$2:$J$50000,"系统测试"+COUNTIFS(缺陷明细!$A$2:$A$50000,$B$4,缺陷明细!$G$2:$G$50000,$C40,缺陷明细!$AA$2:$AA$50000,"重复Bug",缺陷明细!$J$2:$J$50000,"系统测试"))</f>
        <v>0</v>
      </c>
      <c r="S40" s="72">
        <f>COUNTIFS(缺陷明细!$A$2:$A$50000,$B$4,缺陷明细!$G$2:$G$50000,$C40,缺陷明细!$J$2:$J$50000,"系统测试",缺陷明细!$K$2:$K$50000,"致命",缺陷明细!$AA$2:$AA$50000,"&lt;&gt;丢弃",缺陷明细!$AA$2:$AA$50000,"&lt;&gt;设计如此",缺陷明细!$AA$2:$AA$50000,"&lt;&gt;重复Bug")+COUNTIFS(缺陷明细!$A$2:$A$50000,$B$4,缺陷明细!$G$2:$G$50000,$C40,缺陷明细!$J$2:$J$50000,"系统测试",缺陷明细!$K$2:$K$50000,"严重",缺陷明细!$AA$2:$AA$50000,"&lt;&gt;丢弃",缺陷明细!$AA$2:$AA$50000,"&lt;&gt;设计如此",缺陷明细!$AA$2:$AA$50000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COUNTIFS(缺陷明细!$A$2:$A$50000,$B$4,缺陷明细!$G$2:$G$50000,$C40,缺陷明细!$J$2:$J$50000,"验收测试",缺陷明细!$AA$2:$AA$50000,"&lt;&gt;丢弃",缺陷明细!$AA$2:$AA$50000,"&lt;&gt;设计如此",缺陷明细!$AA$2:$AA$50000,"&lt;&gt;重复Bug")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A$2:$AA$50000,"&lt;&gt;丢弃",缺陷明细!$AA$2:$AA$50000,"&lt;&gt;设计如此",缺陷明细!$AA$2:$AA$50000,"&lt;&gt;重复Bug")+COUNTIFS(缺陷明细!$A$2:$A$50000,$B$4,缺陷明细!$G$2:$G$50000,$C40,缺陷明细!$J$2:$J$50000,"验收测试",缺陷明细!$K$2:$K$50000,"严重",缺陷明细!$AA$2:$AA$50000,"&lt;&gt;丢弃",缺陷明细!$AA$2:$AA$50000,"&lt;&gt;设计如此",缺陷明细!$AA$2:$AA$50000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COUNTIFS(缺陷明细!$A$2:$A$50000,$B$4,缺陷明细!$G$2:$G$50000,$C40,缺陷明细!$J$2:$J$50000,"运维测试",缺陷明细!$AA$2:$AA$50000,"&lt;&gt;丢弃",缺陷明细!$AA$2:$AA$50000,"&lt;&gt;设计如此",缺陷明细!$AA$2:$AA$50000,"&lt;&gt;重复Bug")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A$2:$AA$50000,"&lt;&gt;丢弃",缺陷明细!$AA$2:$AA$50000,"&lt;&gt;设计如此",缺陷明细!$AA$2:$AA$50000,"&lt;&gt;重复Bug")+COUNTIFS(缺陷明细!$A$2:$A$50000,$B$4,缺陷明细!$G$2:$G$50000,$C40,缺陷明细!$J$2:$J$50000,"运维测试",缺陷明细!$K$2:$K$50000,"严重",缺陷明细!$AA$2:$AA$50000,"&lt;&gt;丢弃",缺陷明细!$AA$2:$AA$50000,"&lt;&gt;设计如此",缺陷明细!$AA$2:$AA$50000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51"/>
    </row>
    <row r="41" spans="1:37">
      <c r="A41">
        <v>37</v>
      </c>
      <c r="B41" s="57"/>
      <c r="C41" s="58"/>
      <c r="D41" s="84"/>
      <c r="E41" s="82"/>
      <c r="F41" s="165"/>
      <c r="G41" s="166"/>
      <c r="H41" s="305">
        <f>COUNTIFS(缺陷明细!$A$2:$A$50000,$B$4,缺陷明细!$G$2:$G$50000,$C41,缺陷明细!$J$2:$J$50000,"评审",缺陷明细!$AA$2:$AA$50000,"&lt;&gt;丢弃",缺陷明细!$AA$2:$AA$50000,"&lt;&gt;设计如此",缺陷明细!$AA$2:$AA$50000,"&lt;&gt;重复Bug")</f>
        <v>0</v>
      </c>
      <c r="I41" s="161">
        <f>COUNTIFS(缺陷明细!$A$2:$A$50000,$B$4,缺陷明细!$G$2:$G$50000,$C41,缺陷明细!$Q$2:$Q$50000,"已关闭",缺陷明细!$J$2:$J$50000,"评审")</f>
        <v>0</v>
      </c>
      <c r="J41" s="161">
        <f>COUNTIFS(缺陷明细!$A$2:$A$50000,$B$4,缺陷明细!$G$2:$G$50000,$C41,缺陷明细!$J$2:$J$50000,"单元测试",缺陷明细!$AA$2:$AA$50000,"&lt;&gt;丢弃",缺陷明细!$AA$2:$AA$50000,"&lt;&gt;设计如此",缺陷明细!$AA$2:$AA$50000,"&lt;&gt;重复Bug")</f>
        <v>0</v>
      </c>
      <c r="K41" s="162">
        <f>COUNTIFS(缺陷明细!$A$2:$A$50000,$B$4,缺陷明细!$G$2:$G$50000,$C41,缺陷明细!$Q$2:$Q$50000,"已关闭",缺陷明细!$J$2:$J$50000,"单元测试")</f>
        <v>0</v>
      </c>
      <c r="L41" s="163"/>
      <c r="M41" s="164"/>
      <c r="N41" s="72">
        <f>COUNTIFS(缺陷明细!$A$2:$A$50000,$B$4,缺陷明细!$G$2:$G$50000,$C41,缺陷明细!$J$2:$J$50000,"系统测试案例评审",缺陷明细!$AA$2:$AA$50000,"&lt;&gt;丢弃",缺陷明细!$AA$2:$AA$50000,"&lt;&gt;设计如此",缺陷明细!$AA$2:$AA$50000,"&lt;&gt;重复Bug")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COUNTIFS(缺陷明细!$A$2:$A$50000,$B$4,缺陷明细!$G$2:$G$50000,$C41,缺陷明细!$J$2:$J$50000,"系统测试",缺陷明细!$AA$2:$AA$50000,"&lt;&gt;丢弃",缺陷明细!$AA$2:$AA$50000,"&lt;&gt;设计如此",缺陷明细!$AA$2:$AA$50000,"&lt;&gt;重复Bug")</f>
        <v>0</v>
      </c>
      <c r="Q41" s="72">
        <f>COUNTIFS(缺陷明细!$A$2:$A$50000,$B$4,缺陷明细!$G$2:$G$50000,$C41,缺陷明细!$Q$2:$Q$50000,"已关闭",缺陷明细!$J$2:$J$50000,"系统测试")</f>
        <v>0</v>
      </c>
      <c r="R41" s="72">
        <f>COUNTIFS(缺陷明细!$A$2:$A$50000,$B$4,缺陷明细!$G$2:$G$50000,$C41,缺陷明细!$AA$2:$AA$50000,"丢弃",缺陷明细!$J$2:$J$50000,"系统测试")+COUNTIFS(缺陷明细!$A$2:$A$50000,$B$4,缺陷明细!$G$2:$G$50000,$C41,缺陷明细!$AA$2:$AA$50000,"设计如此",缺陷明细!$J$2:$J$50000,"系统测试"+COUNTIFS(缺陷明细!$A$2:$A$50000,$B$4,缺陷明细!$G$2:$G$50000,$C41,缺陷明细!$AA$2:$AA$50000,"重复Bug",缺陷明细!$J$2:$J$50000,"系统测试"))</f>
        <v>0</v>
      </c>
      <c r="S41" s="72">
        <f>COUNTIFS(缺陷明细!$A$2:$A$50000,$B$4,缺陷明细!$G$2:$G$50000,$C41,缺陷明细!$J$2:$J$50000,"系统测试",缺陷明细!$K$2:$K$50000,"致命",缺陷明细!$AA$2:$AA$50000,"&lt;&gt;丢弃",缺陷明细!$AA$2:$AA$50000,"&lt;&gt;设计如此",缺陷明细!$AA$2:$AA$50000,"&lt;&gt;重复Bug")+COUNTIFS(缺陷明细!$A$2:$A$50000,$B$4,缺陷明细!$G$2:$G$50000,$C41,缺陷明细!$J$2:$J$50000,"系统测试",缺陷明细!$K$2:$K$50000,"严重",缺陷明细!$AA$2:$AA$50000,"&lt;&gt;丢弃",缺陷明细!$AA$2:$AA$50000,"&lt;&gt;设计如此",缺陷明细!$AA$2:$AA$50000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COUNTIFS(缺陷明细!$A$2:$A$50000,$B$4,缺陷明细!$G$2:$G$50000,$C41,缺陷明细!$J$2:$J$50000,"验收测试",缺陷明细!$AA$2:$AA$50000,"&lt;&gt;丢弃",缺陷明细!$AA$2:$AA$50000,"&lt;&gt;设计如此",缺陷明细!$AA$2:$AA$50000,"&lt;&gt;重复Bug")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A$2:$AA$50000,"&lt;&gt;丢弃",缺陷明细!$AA$2:$AA$50000,"&lt;&gt;设计如此",缺陷明细!$AA$2:$AA$50000,"&lt;&gt;重复Bug")+COUNTIFS(缺陷明细!$A$2:$A$50000,$B$4,缺陷明细!$G$2:$G$50000,$C41,缺陷明细!$J$2:$J$50000,"验收测试",缺陷明细!$K$2:$K$50000,"严重",缺陷明细!$AA$2:$AA$50000,"&lt;&gt;丢弃",缺陷明细!$AA$2:$AA$50000,"&lt;&gt;设计如此",缺陷明细!$AA$2:$AA$50000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COUNTIFS(缺陷明细!$A$2:$A$50000,$B$4,缺陷明细!$G$2:$G$50000,$C41,缺陷明细!$J$2:$J$50000,"运维测试",缺陷明细!$AA$2:$AA$50000,"&lt;&gt;丢弃",缺陷明细!$AA$2:$AA$50000,"&lt;&gt;设计如此",缺陷明细!$AA$2:$AA$50000,"&lt;&gt;重复Bug")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A$2:$AA$50000,"&lt;&gt;丢弃",缺陷明细!$AA$2:$AA$50000,"&lt;&gt;设计如此",缺陷明细!$AA$2:$AA$50000,"&lt;&gt;重复Bug")+COUNTIFS(缺陷明细!$A$2:$A$50000,$B$4,缺陷明细!$G$2:$G$50000,$C41,缺陷明细!$J$2:$J$50000,"运维测试",缺陷明细!$K$2:$K$50000,"严重",缺陷明细!$AA$2:$AA$50000,"&lt;&gt;丢弃",缺陷明细!$AA$2:$AA$50000,"&lt;&gt;设计如此",缺陷明细!$AA$2:$AA$50000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51"/>
    </row>
    <row r="42" spans="1:37">
      <c r="A42">
        <v>38</v>
      </c>
      <c r="B42" s="57"/>
      <c r="C42" s="58"/>
      <c r="D42" s="84"/>
      <c r="E42" s="82"/>
      <c r="F42" s="165"/>
      <c r="G42" s="166"/>
      <c r="H42" s="305">
        <f>COUNTIFS(缺陷明细!$A$2:$A$50000,$B$4,缺陷明细!$G$2:$G$50000,$C42,缺陷明细!$J$2:$J$50000,"评审",缺陷明细!$AA$2:$AA$50000,"&lt;&gt;丢弃",缺陷明细!$AA$2:$AA$50000,"&lt;&gt;设计如此",缺陷明细!$AA$2:$AA$50000,"&lt;&gt;重复Bug")</f>
        <v>0</v>
      </c>
      <c r="I42" s="161">
        <f>COUNTIFS(缺陷明细!$A$2:$A$50000,$B$4,缺陷明细!$G$2:$G$50000,$C42,缺陷明细!$Q$2:$Q$50000,"已关闭",缺陷明细!$J$2:$J$50000,"评审")</f>
        <v>0</v>
      </c>
      <c r="J42" s="161">
        <f>COUNTIFS(缺陷明细!$A$2:$A$50000,$B$4,缺陷明细!$G$2:$G$50000,$C42,缺陷明细!$J$2:$J$50000,"单元测试",缺陷明细!$AA$2:$AA$50000,"&lt;&gt;丢弃",缺陷明细!$AA$2:$AA$50000,"&lt;&gt;设计如此",缺陷明细!$AA$2:$AA$50000,"&lt;&gt;重复Bug")</f>
        <v>0</v>
      </c>
      <c r="K42" s="162">
        <f>COUNTIFS(缺陷明细!$A$2:$A$50000,$B$4,缺陷明细!$G$2:$G$50000,$C42,缺陷明细!$Q$2:$Q$50000,"已关闭",缺陷明细!$J$2:$J$50000,"单元测试")</f>
        <v>0</v>
      </c>
      <c r="L42" s="163"/>
      <c r="M42" s="164"/>
      <c r="N42" s="72">
        <f>COUNTIFS(缺陷明细!$A$2:$A$50000,$B$4,缺陷明细!$G$2:$G$50000,$C42,缺陷明细!$J$2:$J$50000,"系统测试案例评审",缺陷明细!$AA$2:$AA$50000,"&lt;&gt;丢弃",缺陷明细!$AA$2:$AA$50000,"&lt;&gt;设计如此",缺陷明细!$AA$2:$AA$50000,"&lt;&gt;重复Bug")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COUNTIFS(缺陷明细!$A$2:$A$50000,$B$4,缺陷明细!$G$2:$G$50000,$C42,缺陷明细!$J$2:$J$50000,"系统测试",缺陷明细!$AA$2:$AA$50000,"&lt;&gt;丢弃",缺陷明细!$AA$2:$AA$50000,"&lt;&gt;设计如此",缺陷明细!$AA$2:$AA$50000,"&lt;&gt;重复Bug")</f>
        <v>0</v>
      </c>
      <c r="Q42" s="72">
        <f>COUNTIFS(缺陷明细!$A$2:$A$50000,$B$4,缺陷明细!$G$2:$G$50000,$C42,缺陷明细!$Q$2:$Q$50000,"已关闭",缺陷明细!$J$2:$J$50000,"系统测试")</f>
        <v>0</v>
      </c>
      <c r="R42" s="72">
        <f>COUNTIFS(缺陷明细!$A$2:$A$50000,$B$4,缺陷明细!$G$2:$G$50000,$C42,缺陷明细!$AA$2:$AA$50000,"丢弃",缺陷明细!$J$2:$J$50000,"系统测试")+COUNTIFS(缺陷明细!$A$2:$A$50000,$B$4,缺陷明细!$G$2:$G$50000,$C42,缺陷明细!$AA$2:$AA$50000,"设计如此",缺陷明细!$J$2:$J$50000,"系统测试"+COUNTIFS(缺陷明细!$A$2:$A$50000,$B$4,缺陷明细!$G$2:$G$50000,$C42,缺陷明细!$AA$2:$AA$50000,"重复Bug",缺陷明细!$J$2:$J$50000,"系统测试"))</f>
        <v>0</v>
      </c>
      <c r="S42" s="72">
        <f>COUNTIFS(缺陷明细!$A$2:$A$50000,$B$4,缺陷明细!$G$2:$G$50000,$C42,缺陷明细!$J$2:$J$50000,"系统测试",缺陷明细!$K$2:$K$50000,"致命",缺陷明细!$AA$2:$AA$50000,"&lt;&gt;丢弃",缺陷明细!$AA$2:$AA$50000,"&lt;&gt;设计如此",缺陷明细!$AA$2:$AA$50000,"&lt;&gt;重复Bug")+COUNTIFS(缺陷明细!$A$2:$A$50000,$B$4,缺陷明细!$G$2:$G$50000,$C42,缺陷明细!$J$2:$J$50000,"系统测试",缺陷明细!$K$2:$K$50000,"严重",缺陷明细!$AA$2:$AA$50000,"&lt;&gt;丢弃",缺陷明细!$AA$2:$AA$50000,"&lt;&gt;设计如此",缺陷明细!$AA$2:$AA$50000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COUNTIFS(缺陷明细!$A$2:$A$50000,$B$4,缺陷明细!$G$2:$G$50000,$C42,缺陷明细!$J$2:$J$50000,"验收测试",缺陷明细!$AA$2:$AA$50000,"&lt;&gt;丢弃",缺陷明细!$AA$2:$AA$50000,"&lt;&gt;设计如此",缺陷明细!$AA$2:$AA$50000,"&lt;&gt;重复Bug")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A$2:$AA$50000,"&lt;&gt;丢弃",缺陷明细!$AA$2:$AA$50000,"&lt;&gt;设计如此",缺陷明细!$AA$2:$AA$50000,"&lt;&gt;重复Bug")+COUNTIFS(缺陷明细!$A$2:$A$50000,$B$4,缺陷明细!$G$2:$G$50000,$C42,缺陷明细!$J$2:$J$50000,"验收测试",缺陷明细!$K$2:$K$50000,"严重",缺陷明细!$AA$2:$AA$50000,"&lt;&gt;丢弃",缺陷明细!$AA$2:$AA$50000,"&lt;&gt;设计如此",缺陷明细!$AA$2:$AA$50000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COUNTIFS(缺陷明细!$A$2:$A$50000,$B$4,缺陷明细!$G$2:$G$50000,$C42,缺陷明细!$J$2:$J$50000,"运维测试",缺陷明细!$AA$2:$AA$50000,"&lt;&gt;丢弃",缺陷明细!$AA$2:$AA$50000,"&lt;&gt;设计如此",缺陷明细!$AA$2:$AA$50000,"&lt;&gt;重复Bug")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A$2:$AA$50000,"&lt;&gt;丢弃",缺陷明细!$AA$2:$AA$50000,"&lt;&gt;设计如此",缺陷明细!$AA$2:$AA$50000,"&lt;&gt;重复Bug")+COUNTIFS(缺陷明细!$A$2:$A$50000,$B$4,缺陷明细!$G$2:$G$50000,$C42,缺陷明细!$J$2:$J$50000,"运维测试",缺陷明细!$K$2:$K$50000,"严重",缺陷明细!$AA$2:$AA$50000,"&lt;&gt;丢弃",缺陷明细!$AA$2:$AA$50000,"&lt;&gt;设计如此",缺陷明细!$AA$2:$AA$50000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51"/>
    </row>
    <row r="43" spans="1:37">
      <c r="A43">
        <v>39</v>
      </c>
      <c r="B43" s="57"/>
      <c r="C43" s="58"/>
      <c r="D43" s="84"/>
      <c r="E43" s="82"/>
      <c r="F43" s="165"/>
      <c r="G43" s="166"/>
      <c r="H43" s="305">
        <f>COUNTIFS(缺陷明细!$A$2:$A$50000,$B$4,缺陷明细!$G$2:$G$50000,$C43,缺陷明细!$J$2:$J$50000,"评审",缺陷明细!$AA$2:$AA$50000,"&lt;&gt;丢弃",缺陷明细!$AA$2:$AA$50000,"&lt;&gt;设计如此",缺陷明细!$AA$2:$AA$50000,"&lt;&gt;重复Bug")</f>
        <v>0</v>
      </c>
      <c r="I43" s="161">
        <f>COUNTIFS(缺陷明细!$A$2:$A$50000,$B$4,缺陷明细!$G$2:$G$50000,$C43,缺陷明细!$Q$2:$Q$50000,"已关闭",缺陷明细!$J$2:$J$50000,"评审")</f>
        <v>0</v>
      </c>
      <c r="J43" s="161">
        <f>COUNTIFS(缺陷明细!$A$2:$A$50000,$B$4,缺陷明细!$G$2:$G$50000,$C43,缺陷明细!$J$2:$J$50000,"单元测试",缺陷明细!$AA$2:$AA$50000,"&lt;&gt;丢弃",缺陷明细!$AA$2:$AA$50000,"&lt;&gt;设计如此",缺陷明细!$AA$2:$AA$50000,"&lt;&gt;重复Bug")</f>
        <v>0</v>
      </c>
      <c r="K43" s="162">
        <f>COUNTIFS(缺陷明细!$A$2:$A$50000,$B$4,缺陷明细!$G$2:$G$50000,$C43,缺陷明细!$Q$2:$Q$50000,"已关闭",缺陷明细!$J$2:$J$50000,"单元测试")</f>
        <v>0</v>
      </c>
      <c r="L43" s="163"/>
      <c r="M43" s="164"/>
      <c r="N43" s="72">
        <f>COUNTIFS(缺陷明细!$A$2:$A$50000,$B$4,缺陷明细!$G$2:$G$50000,$C43,缺陷明细!$J$2:$J$50000,"系统测试案例评审",缺陷明细!$AA$2:$AA$50000,"&lt;&gt;丢弃",缺陷明细!$AA$2:$AA$50000,"&lt;&gt;设计如此",缺陷明细!$AA$2:$AA$50000,"&lt;&gt;重复Bug")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COUNTIFS(缺陷明细!$A$2:$A$50000,$B$4,缺陷明细!$G$2:$G$50000,$C43,缺陷明细!$J$2:$J$50000,"系统测试",缺陷明细!$AA$2:$AA$50000,"&lt;&gt;丢弃",缺陷明细!$AA$2:$AA$50000,"&lt;&gt;设计如此",缺陷明细!$AA$2:$AA$50000,"&lt;&gt;重复Bug")</f>
        <v>0</v>
      </c>
      <c r="Q43" s="72">
        <f>COUNTIFS(缺陷明细!$A$2:$A$50000,$B$4,缺陷明细!$G$2:$G$50000,$C43,缺陷明细!$Q$2:$Q$50000,"已关闭",缺陷明细!$J$2:$J$50000,"系统测试")</f>
        <v>0</v>
      </c>
      <c r="R43" s="72">
        <f>COUNTIFS(缺陷明细!$A$2:$A$50000,$B$4,缺陷明细!$G$2:$G$50000,$C43,缺陷明细!$AA$2:$AA$50000,"丢弃",缺陷明细!$J$2:$J$50000,"系统测试")+COUNTIFS(缺陷明细!$A$2:$A$50000,$B$4,缺陷明细!$G$2:$G$50000,$C43,缺陷明细!$AA$2:$AA$50000,"设计如此",缺陷明细!$J$2:$J$50000,"系统测试"+COUNTIFS(缺陷明细!$A$2:$A$50000,$B$4,缺陷明细!$G$2:$G$50000,$C43,缺陷明细!$AA$2:$AA$50000,"重复Bug",缺陷明细!$J$2:$J$50000,"系统测试"))</f>
        <v>0</v>
      </c>
      <c r="S43" s="72">
        <f>COUNTIFS(缺陷明细!$A$2:$A$50000,$B$4,缺陷明细!$G$2:$G$50000,$C43,缺陷明细!$J$2:$J$50000,"系统测试",缺陷明细!$K$2:$K$50000,"致命",缺陷明细!$AA$2:$AA$50000,"&lt;&gt;丢弃",缺陷明细!$AA$2:$AA$50000,"&lt;&gt;设计如此",缺陷明细!$AA$2:$AA$50000,"&lt;&gt;重复Bug")+COUNTIFS(缺陷明细!$A$2:$A$50000,$B$4,缺陷明细!$G$2:$G$50000,$C43,缺陷明细!$J$2:$J$50000,"系统测试",缺陷明细!$K$2:$K$50000,"严重",缺陷明细!$AA$2:$AA$50000,"&lt;&gt;丢弃",缺陷明细!$AA$2:$AA$50000,"&lt;&gt;设计如此",缺陷明细!$AA$2:$AA$50000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COUNTIFS(缺陷明细!$A$2:$A$50000,$B$4,缺陷明细!$G$2:$G$50000,$C43,缺陷明细!$J$2:$J$50000,"验收测试",缺陷明细!$AA$2:$AA$50000,"&lt;&gt;丢弃",缺陷明细!$AA$2:$AA$50000,"&lt;&gt;设计如此",缺陷明细!$AA$2:$AA$50000,"&lt;&gt;重复Bug")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A$2:$AA$50000,"&lt;&gt;丢弃",缺陷明细!$AA$2:$AA$50000,"&lt;&gt;设计如此",缺陷明细!$AA$2:$AA$50000,"&lt;&gt;重复Bug")+COUNTIFS(缺陷明细!$A$2:$A$50000,$B$4,缺陷明细!$G$2:$G$50000,$C43,缺陷明细!$J$2:$J$50000,"验收测试",缺陷明细!$K$2:$K$50000,"严重",缺陷明细!$AA$2:$AA$50000,"&lt;&gt;丢弃",缺陷明细!$AA$2:$AA$50000,"&lt;&gt;设计如此",缺陷明细!$AA$2:$AA$50000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COUNTIFS(缺陷明细!$A$2:$A$50000,$B$4,缺陷明细!$G$2:$G$50000,$C43,缺陷明细!$J$2:$J$50000,"运维测试",缺陷明细!$AA$2:$AA$50000,"&lt;&gt;丢弃",缺陷明细!$AA$2:$AA$50000,"&lt;&gt;设计如此",缺陷明细!$AA$2:$AA$50000,"&lt;&gt;重复Bug")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A$2:$AA$50000,"&lt;&gt;丢弃",缺陷明细!$AA$2:$AA$50000,"&lt;&gt;设计如此",缺陷明细!$AA$2:$AA$50000,"&lt;&gt;重复Bug")+COUNTIFS(缺陷明细!$A$2:$A$50000,$B$4,缺陷明细!$G$2:$G$50000,$C43,缺陷明细!$J$2:$J$50000,"运维测试",缺陷明细!$K$2:$K$50000,"严重",缺陷明细!$AA$2:$AA$50000,"&lt;&gt;丢弃",缺陷明细!$AA$2:$AA$50000,"&lt;&gt;设计如此",缺陷明细!$AA$2:$AA$50000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51"/>
    </row>
    <row r="44" spans="1:37">
      <c r="A44">
        <v>40</v>
      </c>
      <c r="B44" s="57"/>
      <c r="C44" s="58"/>
      <c r="D44" s="84"/>
      <c r="E44" s="82"/>
      <c r="F44" s="165"/>
      <c r="G44" s="166"/>
      <c r="H44" s="305">
        <f>COUNTIFS(缺陷明细!$A$2:$A$50000,$B$4,缺陷明细!$G$2:$G$50000,$C44,缺陷明细!$J$2:$J$50000,"评审",缺陷明细!$AA$2:$AA$50000,"&lt;&gt;丢弃",缺陷明细!$AA$2:$AA$50000,"&lt;&gt;设计如此",缺陷明细!$AA$2:$AA$50000,"&lt;&gt;重复Bug")</f>
        <v>0</v>
      </c>
      <c r="I44" s="161">
        <f>COUNTIFS(缺陷明细!$A$2:$A$50000,$B$4,缺陷明细!$G$2:$G$50000,$C44,缺陷明细!$Q$2:$Q$50000,"已关闭",缺陷明细!$J$2:$J$50000,"评审")</f>
        <v>0</v>
      </c>
      <c r="J44" s="161">
        <f>COUNTIFS(缺陷明细!$A$2:$A$50000,$B$4,缺陷明细!$G$2:$G$50000,$C44,缺陷明细!$J$2:$J$50000,"单元测试",缺陷明细!$AA$2:$AA$50000,"&lt;&gt;丢弃",缺陷明细!$AA$2:$AA$50000,"&lt;&gt;设计如此",缺陷明细!$AA$2:$AA$50000,"&lt;&gt;重复Bug")</f>
        <v>0</v>
      </c>
      <c r="K44" s="162">
        <f>COUNTIFS(缺陷明细!$A$2:$A$50000,$B$4,缺陷明细!$G$2:$G$50000,$C44,缺陷明细!$Q$2:$Q$50000,"已关闭",缺陷明细!$J$2:$J$50000,"单元测试")</f>
        <v>0</v>
      </c>
      <c r="L44" s="163"/>
      <c r="M44" s="164"/>
      <c r="N44" s="72">
        <f>COUNTIFS(缺陷明细!$A$2:$A$50000,$B$4,缺陷明细!$G$2:$G$50000,$C44,缺陷明细!$J$2:$J$50000,"系统测试案例评审",缺陷明细!$AA$2:$AA$50000,"&lt;&gt;丢弃",缺陷明细!$AA$2:$AA$50000,"&lt;&gt;设计如此",缺陷明细!$AA$2:$AA$50000,"&lt;&gt;重复Bug")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COUNTIFS(缺陷明细!$A$2:$A$50000,$B$4,缺陷明细!$G$2:$G$50000,$C44,缺陷明细!$J$2:$J$50000,"系统测试",缺陷明细!$AA$2:$AA$50000,"&lt;&gt;丢弃",缺陷明细!$AA$2:$AA$50000,"&lt;&gt;设计如此",缺陷明细!$AA$2:$AA$50000,"&lt;&gt;重复Bug")</f>
        <v>0</v>
      </c>
      <c r="Q44" s="72">
        <f>COUNTIFS(缺陷明细!$A$2:$A$50000,$B$4,缺陷明细!$G$2:$G$50000,$C44,缺陷明细!$Q$2:$Q$50000,"已关闭",缺陷明细!$J$2:$J$50000,"系统测试")</f>
        <v>0</v>
      </c>
      <c r="R44" s="72">
        <f>COUNTIFS(缺陷明细!$A$2:$A$50000,$B$4,缺陷明细!$G$2:$G$50000,$C44,缺陷明细!$AA$2:$AA$50000,"丢弃",缺陷明细!$J$2:$J$50000,"系统测试")+COUNTIFS(缺陷明细!$A$2:$A$50000,$B$4,缺陷明细!$G$2:$G$50000,$C44,缺陷明细!$AA$2:$AA$50000,"设计如此",缺陷明细!$J$2:$J$50000,"系统测试"+COUNTIFS(缺陷明细!$A$2:$A$50000,$B$4,缺陷明细!$G$2:$G$50000,$C44,缺陷明细!$AA$2:$AA$50000,"重复Bug",缺陷明细!$J$2:$J$50000,"系统测试"))</f>
        <v>0</v>
      </c>
      <c r="S44" s="72">
        <f>COUNTIFS(缺陷明细!$A$2:$A$50000,$B$4,缺陷明细!$G$2:$G$50000,$C44,缺陷明细!$J$2:$J$50000,"系统测试",缺陷明细!$K$2:$K$50000,"致命",缺陷明细!$AA$2:$AA$50000,"&lt;&gt;丢弃",缺陷明细!$AA$2:$AA$50000,"&lt;&gt;设计如此",缺陷明细!$AA$2:$AA$50000,"&lt;&gt;重复Bug")+COUNTIFS(缺陷明细!$A$2:$A$50000,$B$4,缺陷明细!$G$2:$G$50000,$C44,缺陷明细!$J$2:$J$50000,"系统测试",缺陷明细!$K$2:$K$50000,"严重",缺陷明细!$AA$2:$AA$50000,"&lt;&gt;丢弃",缺陷明细!$AA$2:$AA$50000,"&lt;&gt;设计如此",缺陷明细!$AA$2:$AA$50000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COUNTIFS(缺陷明细!$A$2:$A$50000,$B$4,缺陷明细!$G$2:$G$50000,$C44,缺陷明细!$J$2:$J$50000,"验收测试",缺陷明细!$AA$2:$AA$50000,"&lt;&gt;丢弃",缺陷明细!$AA$2:$AA$50000,"&lt;&gt;设计如此",缺陷明细!$AA$2:$AA$50000,"&lt;&gt;重复Bug")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A$2:$AA$50000,"&lt;&gt;丢弃",缺陷明细!$AA$2:$AA$50000,"&lt;&gt;设计如此",缺陷明细!$AA$2:$AA$50000,"&lt;&gt;重复Bug")+COUNTIFS(缺陷明细!$A$2:$A$50000,$B$4,缺陷明细!$G$2:$G$50000,$C44,缺陷明细!$J$2:$J$50000,"验收测试",缺陷明细!$K$2:$K$50000,"严重",缺陷明细!$AA$2:$AA$50000,"&lt;&gt;丢弃",缺陷明细!$AA$2:$AA$50000,"&lt;&gt;设计如此",缺陷明细!$AA$2:$AA$50000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COUNTIFS(缺陷明细!$A$2:$A$50000,$B$4,缺陷明细!$G$2:$G$50000,$C44,缺陷明细!$J$2:$J$50000,"运维测试",缺陷明细!$AA$2:$AA$50000,"&lt;&gt;丢弃",缺陷明细!$AA$2:$AA$50000,"&lt;&gt;设计如此",缺陷明细!$AA$2:$AA$50000,"&lt;&gt;重复Bug")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A$2:$AA$50000,"&lt;&gt;丢弃",缺陷明细!$AA$2:$AA$50000,"&lt;&gt;设计如此",缺陷明细!$AA$2:$AA$50000,"&lt;&gt;重复Bug")+COUNTIFS(缺陷明细!$A$2:$A$50000,$B$4,缺陷明细!$G$2:$G$50000,$C44,缺陷明细!$J$2:$J$50000,"运维测试",缺陷明细!$K$2:$K$50000,"严重",缺陷明细!$AA$2:$AA$50000,"&lt;&gt;丢弃",缺陷明细!$AA$2:$AA$50000,"&lt;&gt;设计如此",缺陷明细!$AA$2:$AA$50000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51"/>
    </row>
    <row r="45" spans="1:37">
      <c r="A45">
        <v>41</v>
      </c>
      <c r="B45" s="57"/>
      <c r="C45" s="58"/>
      <c r="D45" s="84"/>
      <c r="E45" s="82"/>
      <c r="F45" s="165"/>
      <c r="G45" s="166"/>
      <c r="H45" s="305">
        <f>COUNTIFS(缺陷明细!$A$2:$A$50000,$B$4,缺陷明细!$G$2:$G$50000,$C45,缺陷明细!$J$2:$J$50000,"评审",缺陷明细!$AA$2:$AA$50000,"&lt;&gt;丢弃",缺陷明细!$AA$2:$AA$50000,"&lt;&gt;设计如此",缺陷明细!$AA$2:$AA$50000,"&lt;&gt;重复Bug")</f>
        <v>0</v>
      </c>
      <c r="I45" s="161">
        <f>COUNTIFS(缺陷明细!$A$2:$A$50000,$B$4,缺陷明细!$G$2:$G$50000,$C45,缺陷明细!$Q$2:$Q$50000,"已关闭",缺陷明细!$J$2:$J$50000,"评审")</f>
        <v>0</v>
      </c>
      <c r="J45" s="161">
        <f>COUNTIFS(缺陷明细!$A$2:$A$50000,$B$4,缺陷明细!$G$2:$G$50000,$C45,缺陷明细!$J$2:$J$50000,"单元测试",缺陷明细!$AA$2:$AA$50000,"&lt;&gt;丢弃",缺陷明细!$AA$2:$AA$50000,"&lt;&gt;设计如此",缺陷明细!$AA$2:$AA$50000,"&lt;&gt;重复Bug")</f>
        <v>0</v>
      </c>
      <c r="K45" s="162">
        <f>COUNTIFS(缺陷明细!$A$2:$A$50000,$B$4,缺陷明细!$G$2:$G$50000,$C45,缺陷明细!$Q$2:$Q$50000,"已关闭",缺陷明细!$J$2:$J$50000,"单元测试")</f>
        <v>0</v>
      </c>
      <c r="L45" s="163"/>
      <c r="M45" s="164"/>
      <c r="N45" s="72">
        <f>COUNTIFS(缺陷明细!$A$2:$A$50000,$B$4,缺陷明细!$G$2:$G$50000,$C45,缺陷明细!$J$2:$J$50000,"系统测试案例评审",缺陷明细!$AA$2:$AA$50000,"&lt;&gt;丢弃",缺陷明细!$AA$2:$AA$50000,"&lt;&gt;设计如此",缺陷明细!$AA$2:$AA$50000,"&lt;&gt;重复Bug")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COUNTIFS(缺陷明细!$A$2:$A$50000,$B$4,缺陷明细!$G$2:$G$50000,$C45,缺陷明细!$J$2:$J$50000,"系统测试",缺陷明细!$AA$2:$AA$50000,"&lt;&gt;丢弃",缺陷明细!$AA$2:$AA$50000,"&lt;&gt;设计如此",缺陷明细!$AA$2:$AA$50000,"&lt;&gt;重复Bug")</f>
        <v>0</v>
      </c>
      <c r="Q45" s="72">
        <f>COUNTIFS(缺陷明细!$A$2:$A$50000,$B$4,缺陷明细!$G$2:$G$50000,$C45,缺陷明细!$Q$2:$Q$50000,"已关闭",缺陷明细!$J$2:$J$50000,"系统测试")</f>
        <v>0</v>
      </c>
      <c r="R45" s="72">
        <f>COUNTIFS(缺陷明细!$A$2:$A$50000,$B$4,缺陷明细!$G$2:$G$50000,$C45,缺陷明细!$AA$2:$AA$50000,"丢弃",缺陷明细!$J$2:$J$50000,"系统测试")+COUNTIFS(缺陷明细!$A$2:$A$50000,$B$4,缺陷明细!$G$2:$G$50000,$C45,缺陷明细!$AA$2:$AA$50000,"设计如此",缺陷明细!$J$2:$J$50000,"系统测试"+COUNTIFS(缺陷明细!$A$2:$A$50000,$B$4,缺陷明细!$G$2:$G$50000,$C45,缺陷明细!$AA$2:$AA$50000,"重复Bug",缺陷明细!$J$2:$J$50000,"系统测试"))</f>
        <v>0</v>
      </c>
      <c r="S45" s="72">
        <f>COUNTIFS(缺陷明细!$A$2:$A$50000,$B$4,缺陷明细!$G$2:$G$50000,$C45,缺陷明细!$J$2:$J$50000,"系统测试",缺陷明细!$K$2:$K$50000,"致命",缺陷明细!$AA$2:$AA$50000,"&lt;&gt;丢弃",缺陷明细!$AA$2:$AA$50000,"&lt;&gt;设计如此",缺陷明细!$AA$2:$AA$50000,"&lt;&gt;重复Bug")+COUNTIFS(缺陷明细!$A$2:$A$50000,$B$4,缺陷明细!$G$2:$G$50000,$C45,缺陷明细!$J$2:$J$50000,"系统测试",缺陷明细!$K$2:$K$50000,"严重",缺陷明细!$AA$2:$AA$50000,"&lt;&gt;丢弃",缺陷明细!$AA$2:$AA$50000,"&lt;&gt;设计如此",缺陷明细!$AA$2:$AA$50000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COUNTIFS(缺陷明细!$A$2:$A$50000,$B$4,缺陷明细!$G$2:$G$50000,$C45,缺陷明细!$J$2:$J$50000,"验收测试",缺陷明细!$AA$2:$AA$50000,"&lt;&gt;丢弃",缺陷明细!$AA$2:$AA$50000,"&lt;&gt;设计如此",缺陷明细!$AA$2:$AA$50000,"&lt;&gt;重复Bug")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A$2:$AA$50000,"&lt;&gt;丢弃",缺陷明细!$AA$2:$AA$50000,"&lt;&gt;设计如此",缺陷明细!$AA$2:$AA$50000,"&lt;&gt;重复Bug")+COUNTIFS(缺陷明细!$A$2:$A$50000,$B$4,缺陷明细!$G$2:$G$50000,$C45,缺陷明细!$J$2:$J$50000,"验收测试",缺陷明细!$K$2:$K$50000,"严重",缺陷明细!$AA$2:$AA$50000,"&lt;&gt;丢弃",缺陷明细!$AA$2:$AA$50000,"&lt;&gt;设计如此",缺陷明细!$AA$2:$AA$50000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COUNTIFS(缺陷明细!$A$2:$A$50000,$B$4,缺陷明细!$G$2:$G$50000,$C45,缺陷明细!$J$2:$J$50000,"运维测试",缺陷明细!$AA$2:$AA$50000,"&lt;&gt;丢弃",缺陷明细!$AA$2:$AA$50000,"&lt;&gt;设计如此",缺陷明细!$AA$2:$AA$50000,"&lt;&gt;重复Bug")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A$2:$AA$50000,"&lt;&gt;丢弃",缺陷明细!$AA$2:$AA$50000,"&lt;&gt;设计如此",缺陷明细!$AA$2:$AA$50000,"&lt;&gt;重复Bug")+COUNTIFS(缺陷明细!$A$2:$A$50000,$B$4,缺陷明细!$G$2:$G$50000,$C45,缺陷明细!$J$2:$J$50000,"运维测试",缺陷明细!$K$2:$K$50000,"严重",缺陷明细!$AA$2:$AA$50000,"&lt;&gt;丢弃",缺陷明细!$AA$2:$AA$50000,"&lt;&gt;设计如此",缺陷明细!$AA$2:$AA$50000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51"/>
    </row>
    <row r="46" spans="1:37">
      <c r="A46">
        <v>42</v>
      </c>
      <c r="B46" s="57"/>
      <c r="C46" s="58"/>
      <c r="D46" s="84"/>
      <c r="E46" s="82"/>
      <c r="F46" s="165"/>
      <c r="G46" s="166"/>
      <c r="H46" s="305">
        <f>COUNTIFS(缺陷明细!$A$2:$A$50000,$B$4,缺陷明细!$G$2:$G$50000,$C46,缺陷明细!$J$2:$J$50000,"评审",缺陷明细!$AA$2:$AA$50000,"&lt;&gt;丢弃",缺陷明细!$AA$2:$AA$50000,"&lt;&gt;设计如此",缺陷明细!$AA$2:$AA$50000,"&lt;&gt;重复Bug")</f>
        <v>0</v>
      </c>
      <c r="I46" s="161">
        <f>COUNTIFS(缺陷明细!$A$2:$A$50000,$B$4,缺陷明细!$G$2:$G$50000,$C46,缺陷明细!$Q$2:$Q$50000,"已关闭",缺陷明细!$J$2:$J$50000,"评审")</f>
        <v>0</v>
      </c>
      <c r="J46" s="161">
        <f>COUNTIFS(缺陷明细!$A$2:$A$50000,$B$4,缺陷明细!$G$2:$G$50000,$C46,缺陷明细!$J$2:$J$50000,"单元测试",缺陷明细!$AA$2:$AA$50000,"&lt;&gt;丢弃",缺陷明细!$AA$2:$AA$50000,"&lt;&gt;设计如此",缺陷明细!$AA$2:$AA$50000,"&lt;&gt;重复Bug")</f>
        <v>0</v>
      </c>
      <c r="K46" s="162">
        <f>COUNTIFS(缺陷明细!$A$2:$A$50000,$B$4,缺陷明细!$G$2:$G$50000,$C46,缺陷明细!$Q$2:$Q$50000,"已关闭",缺陷明细!$J$2:$J$50000,"单元测试")</f>
        <v>0</v>
      </c>
      <c r="L46" s="163"/>
      <c r="M46" s="164"/>
      <c r="N46" s="72">
        <f>COUNTIFS(缺陷明细!$A$2:$A$50000,$B$4,缺陷明细!$G$2:$G$50000,$C46,缺陷明细!$J$2:$J$50000,"系统测试案例评审",缺陷明细!$AA$2:$AA$50000,"&lt;&gt;丢弃",缺陷明细!$AA$2:$AA$50000,"&lt;&gt;设计如此",缺陷明细!$AA$2:$AA$50000,"&lt;&gt;重复Bug")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COUNTIFS(缺陷明细!$A$2:$A$50000,$B$4,缺陷明细!$G$2:$G$50000,$C46,缺陷明细!$J$2:$J$50000,"系统测试",缺陷明细!$AA$2:$AA$50000,"&lt;&gt;丢弃",缺陷明细!$AA$2:$AA$50000,"&lt;&gt;设计如此",缺陷明细!$AA$2:$AA$50000,"&lt;&gt;重复Bug")</f>
        <v>0</v>
      </c>
      <c r="Q46" s="72">
        <f>COUNTIFS(缺陷明细!$A$2:$A$50000,$B$4,缺陷明细!$G$2:$G$50000,$C46,缺陷明细!$Q$2:$Q$50000,"已关闭",缺陷明细!$J$2:$J$50000,"系统测试")</f>
        <v>0</v>
      </c>
      <c r="R46" s="72">
        <f>COUNTIFS(缺陷明细!$A$2:$A$50000,$B$4,缺陷明细!$G$2:$G$50000,$C46,缺陷明细!$AA$2:$AA$50000,"丢弃",缺陷明细!$J$2:$J$50000,"系统测试")+COUNTIFS(缺陷明细!$A$2:$A$50000,$B$4,缺陷明细!$G$2:$G$50000,$C46,缺陷明细!$AA$2:$AA$50000,"设计如此",缺陷明细!$J$2:$J$50000,"系统测试"+COUNTIFS(缺陷明细!$A$2:$A$50000,$B$4,缺陷明细!$G$2:$G$50000,$C46,缺陷明细!$AA$2:$AA$50000,"重复Bug",缺陷明细!$J$2:$J$50000,"系统测试"))</f>
        <v>0</v>
      </c>
      <c r="S46" s="72">
        <f>COUNTIFS(缺陷明细!$A$2:$A$50000,$B$4,缺陷明细!$G$2:$G$50000,$C46,缺陷明细!$J$2:$J$50000,"系统测试",缺陷明细!$K$2:$K$50000,"致命",缺陷明细!$AA$2:$AA$50000,"&lt;&gt;丢弃",缺陷明细!$AA$2:$AA$50000,"&lt;&gt;设计如此",缺陷明细!$AA$2:$AA$50000,"&lt;&gt;重复Bug")+COUNTIFS(缺陷明细!$A$2:$A$50000,$B$4,缺陷明细!$G$2:$G$50000,$C46,缺陷明细!$J$2:$J$50000,"系统测试",缺陷明细!$K$2:$K$50000,"严重",缺陷明细!$AA$2:$AA$50000,"&lt;&gt;丢弃",缺陷明细!$AA$2:$AA$50000,"&lt;&gt;设计如此",缺陷明细!$AA$2:$AA$50000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COUNTIFS(缺陷明细!$A$2:$A$50000,$B$4,缺陷明细!$G$2:$G$50000,$C46,缺陷明细!$J$2:$J$50000,"验收测试",缺陷明细!$AA$2:$AA$50000,"&lt;&gt;丢弃",缺陷明细!$AA$2:$AA$50000,"&lt;&gt;设计如此",缺陷明细!$AA$2:$AA$50000,"&lt;&gt;重复Bug")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A$2:$AA$50000,"&lt;&gt;丢弃",缺陷明细!$AA$2:$AA$50000,"&lt;&gt;设计如此",缺陷明细!$AA$2:$AA$50000,"&lt;&gt;重复Bug")+COUNTIFS(缺陷明细!$A$2:$A$50000,$B$4,缺陷明细!$G$2:$G$50000,$C46,缺陷明细!$J$2:$J$50000,"验收测试",缺陷明细!$K$2:$K$50000,"严重",缺陷明细!$AA$2:$AA$50000,"&lt;&gt;丢弃",缺陷明细!$AA$2:$AA$50000,"&lt;&gt;设计如此",缺陷明细!$AA$2:$AA$50000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COUNTIFS(缺陷明细!$A$2:$A$50000,$B$4,缺陷明细!$G$2:$G$50000,$C46,缺陷明细!$J$2:$J$50000,"运维测试",缺陷明细!$AA$2:$AA$50000,"&lt;&gt;丢弃",缺陷明细!$AA$2:$AA$50000,"&lt;&gt;设计如此",缺陷明细!$AA$2:$AA$50000,"&lt;&gt;重复Bug")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A$2:$AA$50000,"&lt;&gt;丢弃",缺陷明细!$AA$2:$AA$50000,"&lt;&gt;设计如此",缺陷明细!$AA$2:$AA$50000,"&lt;&gt;重复Bug")+COUNTIFS(缺陷明细!$A$2:$A$50000,$B$4,缺陷明细!$G$2:$G$50000,$C46,缺陷明细!$J$2:$J$50000,"运维测试",缺陷明细!$K$2:$K$50000,"严重",缺陷明细!$AA$2:$AA$50000,"&lt;&gt;丢弃",缺陷明细!$AA$2:$AA$50000,"&lt;&gt;设计如此",缺陷明细!$AA$2:$AA$50000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51"/>
    </row>
    <row r="47" spans="1:37">
      <c r="A47">
        <v>43</v>
      </c>
      <c r="B47" s="57"/>
      <c r="C47" s="58"/>
      <c r="D47" s="84"/>
      <c r="E47" s="82"/>
      <c r="F47" s="165"/>
      <c r="G47" s="166"/>
      <c r="H47" s="305">
        <f>COUNTIFS(缺陷明细!$A$2:$A$50000,$B$4,缺陷明细!$G$2:$G$50000,$C47,缺陷明细!$J$2:$J$50000,"评审",缺陷明细!$AA$2:$AA$50000,"&lt;&gt;丢弃",缺陷明细!$AA$2:$AA$50000,"&lt;&gt;设计如此",缺陷明细!$AA$2:$AA$50000,"&lt;&gt;重复Bug")</f>
        <v>0</v>
      </c>
      <c r="I47" s="161">
        <f>COUNTIFS(缺陷明细!$A$2:$A$50000,$B$4,缺陷明细!$G$2:$G$50000,$C47,缺陷明细!$Q$2:$Q$50000,"已关闭",缺陷明细!$J$2:$J$50000,"评审")</f>
        <v>0</v>
      </c>
      <c r="J47" s="161">
        <f>COUNTIFS(缺陷明细!$A$2:$A$50000,$B$4,缺陷明细!$G$2:$G$50000,$C47,缺陷明细!$J$2:$J$50000,"单元测试",缺陷明细!$AA$2:$AA$50000,"&lt;&gt;丢弃",缺陷明细!$AA$2:$AA$50000,"&lt;&gt;设计如此",缺陷明细!$AA$2:$AA$50000,"&lt;&gt;重复Bug")</f>
        <v>0</v>
      </c>
      <c r="K47" s="162">
        <f>COUNTIFS(缺陷明细!$A$2:$A$50000,$B$4,缺陷明细!$G$2:$G$50000,$C47,缺陷明细!$Q$2:$Q$50000,"已关闭",缺陷明细!$J$2:$J$50000,"单元测试")</f>
        <v>0</v>
      </c>
      <c r="L47" s="163"/>
      <c r="M47" s="164"/>
      <c r="N47" s="72">
        <f>COUNTIFS(缺陷明细!$A$2:$A$50000,$B$4,缺陷明细!$G$2:$G$50000,$C47,缺陷明细!$J$2:$J$50000,"系统测试案例评审",缺陷明细!$AA$2:$AA$50000,"&lt;&gt;丢弃",缺陷明细!$AA$2:$AA$50000,"&lt;&gt;设计如此",缺陷明细!$AA$2:$AA$50000,"&lt;&gt;重复Bug")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COUNTIFS(缺陷明细!$A$2:$A$50000,$B$4,缺陷明细!$G$2:$G$50000,$C47,缺陷明细!$J$2:$J$50000,"系统测试",缺陷明细!$AA$2:$AA$50000,"&lt;&gt;丢弃",缺陷明细!$AA$2:$AA$50000,"&lt;&gt;设计如此",缺陷明细!$AA$2:$AA$50000,"&lt;&gt;重复Bug")</f>
        <v>0</v>
      </c>
      <c r="Q47" s="72">
        <f>COUNTIFS(缺陷明细!$A$2:$A$50000,$B$4,缺陷明细!$G$2:$G$50000,$C47,缺陷明细!$Q$2:$Q$50000,"已关闭",缺陷明细!$J$2:$J$50000,"系统测试")</f>
        <v>0</v>
      </c>
      <c r="R47" s="72">
        <f>COUNTIFS(缺陷明细!$A$2:$A$50000,$B$4,缺陷明细!$G$2:$G$50000,$C47,缺陷明细!$AA$2:$AA$50000,"丢弃",缺陷明细!$J$2:$J$50000,"系统测试")+COUNTIFS(缺陷明细!$A$2:$A$50000,$B$4,缺陷明细!$G$2:$G$50000,$C47,缺陷明细!$AA$2:$AA$50000,"设计如此",缺陷明细!$J$2:$J$50000,"系统测试"+COUNTIFS(缺陷明细!$A$2:$A$50000,$B$4,缺陷明细!$G$2:$G$50000,$C47,缺陷明细!$AA$2:$AA$50000,"重复Bug",缺陷明细!$J$2:$J$50000,"系统测试"))</f>
        <v>0</v>
      </c>
      <c r="S47" s="72">
        <f>COUNTIFS(缺陷明细!$A$2:$A$50000,$B$4,缺陷明细!$G$2:$G$50000,$C47,缺陷明细!$J$2:$J$50000,"系统测试",缺陷明细!$K$2:$K$50000,"致命",缺陷明细!$AA$2:$AA$50000,"&lt;&gt;丢弃",缺陷明细!$AA$2:$AA$50000,"&lt;&gt;设计如此",缺陷明细!$AA$2:$AA$50000,"&lt;&gt;重复Bug")+COUNTIFS(缺陷明细!$A$2:$A$50000,$B$4,缺陷明细!$G$2:$G$50000,$C47,缺陷明细!$J$2:$J$50000,"系统测试",缺陷明细!$K$2:$K$50000,"严重",缺陷明细!$AA$2:$AA$50000,"&lt;&gt;丢弃",缺陷明细!$AA$2:$AA$50000,"&lt;&gt;设计如此",缺陷明细!$AA$2:$AA$50000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COUNTIFS(缺陷明细!$A$2:$A$50000,$B$4,缺陷明细!$G$2:$G$50000,$C47,缺陷明细!$J$2:$J$50000,"验收测试",缺陷明细!$AA$2:$AA$50000,"&lt;&gt;丢弃",缺陷明细!$AA$2:$AA$50000,"&lt;&gt;设计如此",缺陷明细!$AA$2:$AA$50000,"&lt;&gt;重复Bug")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A$2:$AA$50000,"&lt;&gt;丢弃",缺陷明细!$AA$2:$AA$50000,"&lt;&gt;设计如此",缺陷明细!$AA$2:$AA$50000,"&lt;&gt;重复Bug")+COUNTIFS(缺陷明细!$A$2:$A$50000,$B$4,缺陷明细!$G$2:$G$50000,$C47,缺陷明细!$J$2:$J$50000,"验收测试",缺陷明细!$K$2:$K$50000,"严重",缺陷明细!$AA$2:$AA$50000,"&lt;&gt;丢弃",缺陷明细!$AA$2:$AA$50000,"&lt;&gt;设计如此",缺陷明细!$AA$2:$AA$50000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COUNTIFS(缺陷明细!$A$2:$A$50000,$B$4,缺陷明细!$G$2:$G$50000,$C47,缺陷明细!$J$2:$J$50000,"运维测试",缺陷明细!$AA$2:$AA$50000,"&lt;&gt;丢弃",缺陷明细!$AA$2:$AA$50000,"&lt;&gt;设计如此",缺陷明细!$AA$2:$AA$50000,"&lt;&gt;重复Bug")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A$2:$AA$50000,"&lt;&gt;丢弃",缺陷明细!$AA$2:$AA$50000,"&lt;&gt;设计如此",缺陷明细!$AA$2:$AA$50000,"&lt;&gt;重复Bug")+COUNTIFS(缺陷明细!$A$2:$A$50000,$B$4,缺陷明细!$G$2:$G$50000,$C47,缺陷明细!$J$2:$J$50000,"运维测试",缺陷明细!$K$2:$K$50000,"严重",缺陷明细!$AA$2:$AA$50000,"&lt;&gt;丢弃",缺陷明细!$AA$2:$AA$50000,"&lt;&gt;设计如此",缺陷明细!$AA$2:$AA$50000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51"/>
    </row>
    <row r="48" spans="1:37">
      <c r="A48">
        <v>44</v>
      </c>
      <c r="B48" s="57"/>
      <c r="C48" s="58"/>
      <c r="D48" s="84"/>
      <c r="E48" s="82"/>
      <c r="F48" s="165"/>
      <c r="G48" s="166"/>
      <c r="H48" s="305">
        <f>COUNTIFS(缺陷明细!$A$2:$A$50000,$B$4,缺陷明细!$G$2:$G$50000,$C48,缺陷明细!$J$2:$J$50000,"评审",缺陷明细!$AA$2:$AA$50000,"&lt;&gt;丢弃",缺陷明细!$AA$2:$AA$50000,"&lt;&gt;设计如此",缺陷明细!$AA$2:$AA$50000,"&lt;&gt;重复Bug")</f>
        <v>0</v>
      </c>
      <c r="I48" s="161">
        <f>COUNTIFS(缺陷明细!$A$2:$A$50000,$B$4,缺陷明细!$G$2:$G$50000,$C48,缺陷明细!$Q$2:$Q$50000,"已关闭",缺陷明细!$J$2:$J$50000,"评审")</f>
        <v>0</v>
      </c>
      <c r="J48" s="161">
        <f>COUNTIFS(缺陷明细!$A$2:$A$50000,$B$4,缺陷明细!$G$2:$G$50000,$C48,缺陷明细!$J$2:$J$50000,"单元测试",缺陷明细!$AA$2:$AA$50000,"&lt;&gt;丢弃",缺陷明细!$AA$2:$AA$50000,"&lt;&gt;设计如此",缺陷明细!$AA$2:$AA$50000,"&lt;&gt;重复Bug")</f>
        <v>0</v>
      </c>
      <c r="K48" s="162">
        <f>COUNTIFS(缺陷明细!$A$2:$A$50000,$B$4,缺陷明细!$G$2:$G$50000,$C48,缺陷明细!$Q$2:$Q$50000,"已关闭",缺陷明细!$J$2:$J$50000,"单元测试")</f>
        <v>0</v>
      </c>
      <c r="L48" s="163"/>
      <c r="M48" s="164"/>
      <c r="N48" s="72">
        <f>COUNTIFS(缺陷明细!$A$2:$A$50000,$B$4,缺陷明细!$G$2:$G$50000,$C48,缺陷明细!$J$2:$J$50000,"系统测试案例评审",缺陷明细!$AA$2:$AA$50000,"&lt;&gt;丢弃",缺陷明细!$AA$2:$AA$50000,"&lt;&gt;设计如此",缺陷明细!$AA$2:$AA$50000,"&lt;&gt;重复Bug")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COUNTIFS(缺陷明细!$A$2:$A$50000,$B$4,缺陷明细!$G$2:$G$50000,$C48,缺陷明细!$J$2:$J$50000,"系统测试",缺陷明细!$AA$2:$AA$50000,"&lt;&gt;丢弃",缺陷明细!$AA$2:$AA$50000,"&lt;&gt;设计如此",缺陷明细!$AA$2:$AA$50000,"&lt;&gt;重复Bug")</f>
        <v>0</v>
      </c>
      <c r="Q48" s="72">
        <f>COUNTIFS(缺陷明细!$A$2:$A$50000,$B$4,缺陷明细!$G$2:$G$50000,$C48,缺陷明细!$Q$2:$Q$50000,"已关闭",缺陷明细!$J$2:$J$50000,"系统测试")</f>
        <v>0</v>
      </c>
      <c r="R48" s="72">
        <f>COUNTIFS(缺陷明细!$A$2:$A$50000,$B$4,缺陷明细!$G$2:$G$50000,$C48,缺陷明细!$AA$2:$AA$50000,"丢弃",缺陷明细!$J$2:$J$50000,"系统测试")+COUNTIFS(缺陷明细!$A$2:$A$50000,$B$4,缺陷明细!$G$2:$G$50000,$C48,缺陷明细!$AA$2:$AA$50000,"设计如此",缺陷明细!$J$2:$J$50000,"系统测试"+COUNTIFS(缺陷明细!$A$2:$A$50000,$B$4,缺陷明细!$G$2:$G$50000,$C48,缺陷明细!$AA$2:$AA$50000,"重复Bug",缺陷明细!$J$2:$J$50000,"系统测试"))</f>
        <v>0</v>
      </c>
      <c r="S48" s="72">
        <f>COUNTIFS(缺陷明细!$A$2:$A$50000,$B$4,缺陷明细!$G$2:$G$50000,$C48,缺陷明细!$J$2:$J$50000,"系统测试",缺陷明细!$K$2:$K$50000,"致命",缺陷明细!$AA$2:$AA$50000,"&lt;&gt;丢弃",缺陷明细!$AA$2:$AA$50000,"&lt;&gt;设计如此",缺陷明细!$AA$2:$AA$50000,"&lt;&gt;重复Bug")+COUNTIFS(缺陷明细!$A$2:$A$50000,$B$4,缺陷明细!$G$2:$G$50000,$C48,缺陷明细!$J$2:$J$50000,"系统测试",缺陷明细!$K$2:$K$50000,"严重",缺陷明细!$AA$2:$AA$50000,"&lt;&gt;丢弃",缺陷明细!$AA$2:$AA$50000,"&lt;&gt;设计如此",缺陷明细!$AA$2:$AA$50000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COUNTIFS(缺陷明细!$A$2:$A$50000,$B$4,缺陷明细!$G$2:$G$50000,$C48,缺陷明细!$J$2:$J$50000,"验收测试",缺陷明细!$AA$2:$AA$50000,"&lt;&gt;丢弃",缺陷明细!$AA$2:$AA$50000,"&lt;&gt;设计如此",缺陷明细!$AA$2:$AA$50000,"&lt;&gt;重复Bug")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A$2:$AA$50000,"&lt;&gt;丢弃",缺陷明细!$AA$2:$AA$50000,"&lt;&gt;设计如此",缺陷明细!$AA$2:$AA$50000,"&lt;&gt;重复Bug")+COUNTIFS(缺陷明细!$A$2:$A$50000,$B$4,缺陷明细!$G$2:$G$50000,$C48,缺陷明细!$J$2:$J$50000,"验收测试",缺陷明细!$K$2:$K$50000,"严重",缺陷明细!$AA$2:$AA$50000,"&lt;&gt;丢弃",缺陷明细!$AA$2:$AA$50000,"&lt;&gt;设计如此",缺陷明细!$AA$2:$AA$50000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COUNTIFS(缺陷明细!$A$2:$A$50000,$B$4,缺陷明细!$G$2:$G$50000,$C48,缺陷明细!$J$2:$J$50000,"运维测试",缺陷明细!$AA$2:$AA$50000,"&lt;&gt;丢弃",缺陷明细!$AA$2:$AA$50000,"&lt;&gt;设计如此",缺陷明细!$AA$2:$AA$50000,"&lt;&gt;重复Bug")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A$2:$AA$50000,"&lt;&gt;丢弃",缺陷明细!$AA$2:$AA$50000,"&lt;&gt;设计如此",缺陷明细!$AA$2:$AA$50000,"&lt;&gt;重复Bug")+COUNTIFS(缺陷明细!$A$2:$A$50000,$B$4,缺陷明细!$G$2:$G$50000,$C48,缺陷明细!$J$2:$J$50000,"运维测试",缺陷明细!$K$2:$K$50000,"严重",缺陷明细!$AA$2:$AA$50000,"&lt;&gt;丢弃",缺陷明细!$AA$2:$AA$50000,"&lt;&gt;设计如此",缺陷明细!$AA$2:$AA$50000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51"/>
    </row>
    <row r="49" spans="1:37">
      <c r="A49">
        <v>45</v>
      </c>
      <c r="B49" s="57"/>
      <c r="C49" s="58"/>
      <c r="D49" s="84"/>
      <c r="E49" s="82"/>
      <c r="F49" s="165"/>
      <c r="G49" s="166"/>
      <c r="H49" s="305">
        <f>COUNTIFS(缺陷明细!$A$2:$A$50000,$B$4,缺陷明细!$G$2:$G$50000,$C49,缺陷明细!$J$2:$J$50000,"评审",缺陷明细!$AA$2:$AA$50000,"&lt;&gt;丢弃",缺陷明细!$AA$2:$AA$50000,"&lt;&gt;设计如此",缺陷明细!$AA$2:$AA$50000,"&lt;&gt;重复Bug")</f>
        <v>0</v>
      </c>
      <c r="I49" s="161">
        <f>COUNTIFS(缺陷明细!$A$2:$A$50000,$B$4,缺陷明细!$G$2:$G$50000,$C49,缺陷明细!$Q$2:$Q$50000,"已关闭",缺陷明细!$J$2:$J$50000,"评审")</f>
        <v>0</v>
      </c>
      <c r="J49" s="161">
        <f>COUNTIFS(缺陷明细!$A$2:$A$50000,$B$4,缺陷明细!$G$2:$G$50000,$C49,缺陷明细!$J$2:$J$50000,"单元测试",缺陷明细!$AA$2:$AA$50000,"&lt;&gt;丢弃",缺陷明细!$AA$2:$AA$50000,"&lt;&gt;设计如此",缺陷明细!$AA$2:$AA$50000,"&lt;&gt;重复Bug")</f>
        <v>0</v>
      </c>
      <c r="K49" s="162">
        <f>COUNTIFS(缺陷明细!$A$2:$A$50000,$B$4,缺陷明细!$G$2:$G$50000,$C49,缺陷明细!$Q$2:$Q$50000,"已关闭",缺陷明细!$J$2:$J$50000,"单元测试")</f>
        <v>0</v>
      </c>
      <c r="L49" s="163"/>
      <c r="M49" s="164"/>
      <c r="N49" s="72">
        <f>COUNTIFS(缺陷明细!$A$2:$A$50000,$B$4,缺陷明细!$G$2:$G$50000,$C49,缺陷明细!$J$2:$J$50000,"系统测试案例评审",缺陷明细!$AA$2:$AA$50000,"&lt;&gt;丢弃",缺陷明细!$AA$2:$AA$50000,"&lt;&gt;设计如此",缺陷明细!$AA$2:$AA$50000,"&lt;&gt;重复Bug")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COUNTIFS(缺陷明细!$A$2:$A$50000,$B$4,缺陷明细!$G$2:$G$50000,$C49,缺陷明细!$J$2:$J$50000,"系统测试",缺陷明细!$AA$2:$AA$50000,"&lt;&gt;丢弃",缺陷明细!$AA$2:$AA$50000,"&lt;&gt;设计如此",缺陷明细!$AA$2:$AA$50000,"&lt;&gt;重复Bug")</f>
        <v>0</v>
      </c>
      <c r="Q49" s="72">
        <f>COUNTIFS(缺陷明细!$A$2:$A$50000,$B$4,缺陷明细!$G$2:$G$50000,$C49,缺陷明细!$Q$2:$Q$50000,"已关闭",缺陷明细!$J$2:$J$50000,"系统测试")</f>
        <v>0</v>
      </c>
      <c r="R49" s="72">
        <f>COUNTIFS(缺陷明细!$A$2:$A$50000,$B$4,缺陷明细!$G$2:$G$50000,$C49,缺陷明细!$AA$2:$AA$50000,"丢弃",缺陷明细!$J$2:$J$50000,"系统测试")+COUNTIFS(缺陷明细!$A$2:$A$50000,$B$4,缺陷明细!$G$2:$G$50000,$C49,缺陷明细!$AA$2:$AA$50000,"设计如此",缺陷明细!$J$2:$J$50000,"系统测试"+COUNTIFS(缺陷明细!$A$2:$A$50000,$B$4,缺陷明细!$G$2:$G$50000,$C49,缺陷明细!$AA$2:$AA$50000,"重复Bug",缺陷明细!$J$2:$J$50000,"系统测试"))</f>
        <v>0</v>
      </c>
      <c r="S49" s="72">
        <f>COUNTIFS(缺陷明细!$A$2:$A$50000,$B$4,缺陷明细!$G$2:$G$50000,$C49,缺陷明细!$J$2:$J$50000,"系统测试",缺陷明细!$K$2:$K$50000,"致命",缺陷明细!$AA$2:$AA$50000,"&lt;&gt;丢弃",缺陷明细!$AA$2:$AA$50000,"&lt;&gt;设计如此",缺陷明细!$AA$2:$AA$50000,"&lt;&gt;重复Bug")+COUNTIFS(缺陷明细!$A$2:$A$50000,$B$4,缺陷明细!$G$2:$G$50000,$C49,缺陷明细!$J$2:$J$50000,"系统测试",缺陷明细!$K$2:$K$50000,"严重",缺陷明细!$AA$2:$AA$50000,"&lt;&gt;丢弃",缺陷明细!$AA$2:$AA$50000,"&lt;&gt;设计如此",缺陷明细!$AA$2:$AA$50000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COUNTIFS(缺陷明细!$A$2:$A$50000,$B$4,缺陷明细!$G$2:$G$50000,$C49,缺陷明细!$J$2:$J$50000,"验收测试",缺陷明细!$AA$2:$AA$50000,"&lt;&gt;丢弃",缺陷明细!$AA$2:$AA$50000,"&lt;&gt;设计如此",缺陷明细!$AA$2:$AA$50000,"&lt;&gt;重复Bug")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A$2:$AA$50000,"&lt;&gt;丢弃",缺陷明细!$AA$2:$AA$50000,"&lt;&gt;设计如此",缺陷明细!$AA$2:$AA$50000,"&lt;&gt;重复Bug")+COUNTIFS(缺陷明细!$A$2:$A$50000,$B$4,缺陷明细!$G$2:$G$50000,$C49,缺陷明细!$J$2:$J$50000,"验收测试",缺陷明细!$K$2:$K$50000,"严重",缺陷明细!$AA$2:$AA$50000,"&lt;&gt;丢弃",缺陷明细!$AA$2:$AA$50000,"&lt;&gt;设计如此",缺陷明细!$AA$2:$AA$50000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COUNTIFS(缺陷明细!$A$2:$A$50000,$B$4,缺陷明细!$G$2:$G$50000,$C49,缺陷明细!$J$2:$J$50000,"运维测试",缺陷明细!$AA$2:$AA$50000,"&lt;&gt;丢弃",缺陷明细!$AA$2:$AA$50000,"&lt;&gt;设计如此",缺陷明细!$AA$2:$AA$50000,"&lt;&gt;重复Bug")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A$2:$AA$50000,"&lt;&gt;丢弃",缺陷明细!$AA$2:$AA$50000,"&lt;&gt;设计如此",缺陷明细!$AA$2:$AA$50000,"&lt;&gt;重复Bug")+COUNTIFS(缺陷明细!$A$2:$A$50000,$B$4,缺陷明细!$G$2:$G$50000,$C49,缺陷明细!$J$2:$J$50000,"运维测试",缺陷明细!$K$2:$K$50000,"严重",缺陷明细!$AA$2:$AA$50000,"&lt;&gt;丢弃",缺陷明细!$AA$2:$AA$50000,"&lt;&gt;设计如此",缺陷明细!$AA$2:$AA$50000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51"/>
    </row>
    <row r="50" spans="1:37">
      <c r="A50">
        <v>46</v>
      </c>
      <c r="B50" s="57"/>
      <c r="C50" s="58"/>
      <c r="D50" s="84"/>
      <c r="E50" s="82"/>
      <c r="F50" s="165"/>
      <c r="G50" s="166"/>
      <c r="H50" s="305">
        <f>COUNTIFS(缺陷明细!$A$2:$A$50000,$B$4,缺陷明细!$G$2:$G$50000,$C50,缺陷明细!$J$2:$J$50000,"评审",缺陷明细!$AA$2:$AA$50000,"&lt;&gt;丢弃",缺陷明细!$AA$2:$AA$50000,"&lt;&gt;设计如此",缺陷明细!$AA$2:$AA$50000,"&lt;&gt;重复Bug")</f>
        <v>0</v>
      </c>
      <c r="I50" s="161">
        <f>COUNTIFS(缺陷明细!$A$2:$A$50000,$B$4,缺陷明细!$G$2:$G$50000,$C50,缺陷明细!$Q$2:$Q$50000,"已关闭",缺陷明细!$J$2:$J$50000,"评审")</f>
        <v>0</v>
      </c>
      <c r="J50" s="161">
        <f>COUNTIFS(缺陷明细!$A$2:$A$50000,$B$4,缺陷明细!$G$2:$G$50000,$C50,缺陷明细!$J$2:$J$50000,"单元测试",缺陷明细!$AA$2:$AA$50000,"&lt;&gt;丢弃",缺陷明细!$AA$2:$AA$50000,"&lt;&gt;设计如此",缺陷明细!$AA$2:$AA$50000,"&lt;&gt;重复Bug")</f>
        <v>0</v>
      </c>
      <c r="K50" s="162">
        <f>COUNTIFS(缺陷明细!$A$2:$A$50000,$B$4,缺陷明细!$G$2:$G$50000,$C50,缺陷明细!$Q$2:$Q$50000,"已关闭",缺陷明细!$J$2:$J$50000,"单元测试")</f>
        <v>0</v>
      </c>
      <c r="L50" s="163"/>
      <c r="M50" s="164"/>
      <c r="N50" s="72">
        <f>COUNTIFS(缺陷明细!$A$2:$A$50000,$B$4,缺陷明细!$G$2:$G$50000,$C50,缺陷明细!$J$2:$J$50000,"系统测试案例评审",缺陷明细!$AA$2:$AA$50000,"&lt;&gt;丢弃",缺陷明细!$AA$2:$AA$50000,"&lt;&gt;设计如此",缺陷明细!$AA$2:$AA$50000,"&lt;&gt;重复Bug")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COUNTIFS(缺陷明细!$A$2:$A$50000,$B$4,缺陷明细!$G$2:$G$50000,$C50,缺陷明细!$J$2:$J$50000,"系统测试",缺陷明细!$AA$2:$AA$50000,"&lt;&gt;丢弃",缺陷明细!$AA$2:$AA$50000,"&lt;&gt;设计如此",缺陷明细!$AA$2:$AA$50000,"&lt;&gt;重复Bug")</f>
        <v>0</v>
      </c>
      <c r="Q50" s="72">
        <f>COUNTIFS(缺陷明细!$A$2:$A$50000,$B$4,缺陷明细!$G$2:$G$50000,$C50,缺陷明细!$Q$2:$Q$50000,"已关闭",缺陷明细!$J$2:$J$50000,"系统测试")</f>
        <v>0</v>
      </c>
      <c r="R50" s="72">
        <f>COUNTIFS(缺陷明细!$A$2:$A$50000,$B$4,缺陷明细!$G$2:$G$50000,$C50,缺陷明细!$AA$2:$AA$50000,"丢弃",缺陷明细!$J$2:$J$50000,"系统测试")+COUNTIFS(缺陷明细!$A$2:$A$50000,$B$4,缺陷明细!$G$2:$G$50000,$C50,缺陷明细!$AA$2:$AA$50000,"设计如此",缺陷明细!$J$2:$J$50000,"系统测试"+COUNTIFS(缺陷明细!$A$2:$A$50000,$B$4,缺陷明细!$G$2:$G$50000,$C50,缺陷明细!$AA$2:$AA$50000,"重复Bug",缺陷明细!$J$2:$J$50000,"系统测试"))</f>
        <v>0</v>
      </c>
      <c r="S50" s="72">
        <f>COUNTIFS(缺陷明细!$A$2:$A$50000,$B$4,缺陷明细!$G$2:$G$50000,$C50,缺陷明细!$J$2:$J$50000,"系统测试",缺陷明细!$K$2:$K$50000,"致命",缺陷明细!$AA$2:$AA$50000,"&lt;&gt;丢弃",缺陷明细!$AA$2:$AA$50000,"&lt;&gt;设计如此",缺陷明细!$AA$2:$AA$50000,"&lt;&gt;重复Bug")+COUNTIFS(缺陷明细!$A$2:$A$50000,$B$4,缺陷明细!$G$2:$G$50000,$C50,缺陷明细!$J$2:$J$50000,"系统测试",缺陷明细!$K$2:$K$50000,"严重",缺陷明细!$AA$2:$AA$50000,"&lt;&gt;丢弃",缺陷明细!$AA$2:$AA$50000,"&lt;&gt;设计如此",缺陷明细!$AA$2:$AA$50000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COUNTIFS(缺陷明细!$A$2:$A$50000,$B$4,缺陷明细!$G$2:$G$50000,$C50,缺陷明细!$J$2:$J$50000,"验收测试",缺陷明细!$AA$2:$AA$50000,"&lt;&gt;丢弃",缺陷明细!$AA$2:$AA$50000,"&lt;&gt;设计如此",缺陷明细!$AA$2:$AA$50000,"&lt;&gt;重复Bug")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A$2:$AA$50000,"&lt;&gt;丢弃",缺陷明细!$AA$2:$AA$50000,"&lt;&gt;设计如此",缺陷明细!$AA$2:$AA$50000,"&lt;&gt;重复Bug")+COUNTIFS(缺陷明细!$A$2:$A$50000,$B$4,缺陷明细!$G$2:$G$50000,$C50,缺陷明细!$J$2:$J$50000,"验收测试",缺陷明细!$K$2:$K$50000,"严重",缺陷明细!$AA$2:$AA$50000,"&lt;&gt;丢弃",缺陷明细!$AA$2:$AA$50000,"&lt;&gt;设计如此",缺陷明细!$AA$2:$AA$50000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COUNTIFS(缺陷明细!$A$2:$A$50000,$B$4,缺陷明细!$G$2:$G$50000,$C50,缺陷明细!$J$2:$J$50000,"运维测试",缺陷明细!$AA$2:$AA$50000,"&lt;&gt;丢弃",缺陷明细!$AA$2:$AA$50000,"&lt;&gt;设计如此",缺陷明细!$AA$2:$AA$50000,"&lt;&gt;重复Bug")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A$2:$AA$50000,"&lt;&gt;丢弃",缺陷明细!$AA$2:$AA$50000,"&lt;&gt;设计如此",缺陷明细!$AA$2:$AA$50000,"&lt;&gt;重复Bug")+COUNTIFS(缺陷明细!$A$2:$A$50000,$B$4,缺陷明细!$G$2:$G$50000,$C50,缺陷明细!$J$2:$J$50000,"运维测试",缺陷明细!$K$2:$K$50000,"严重",缺陷明细!$AA$2:$AA$50000,"&lt;&gt;丢弃",缺陷明细!$AA$2:$AA$50000,"&lt;&gt;设计如此",缺陷明细!$AA$2:$AA$50000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51"/>
    </row>
    <row r="51" spans="1:37">
      <c r="A51">
        <v>47</v>
      </c>
      <c r="B51" s="57"/>
      <c r="C51" s="58"/>
      <c r="D51" s="84"/>
      <c r="E51" s="82"/>
      <c r="F51" s="165"/>
      <c r="G51" s="166"/>
      <c r="H51" s="305">
        <f>COUNTIFS(缺陷明细!$A$2:$A$50000,$B$4,缺陷明细!$G$2:$G$50000,$C51,缺陷明细!$J$2:$J$50000,"评审",缺陷明细!$AA$2:$AA$50000,"&lt;&gt;丢弃",缺陷明细!$AA$2:$AA$50000,"&lt;&gt;设计如此",缺陷明细!$AA$2:$AA$50000,"&lt;&gt;重复Bug")</f>
        <v>0</v>
      </c>
      <c r="I51" s="161">
        <f>COUNTIFS(缺陷明细!$A$2:$A$50000,$B$4,缺陷明细!$G$2:$G$50000,$C51,缺陷明细!$Q$2:$Q$50000,"已关闭",缺陷明细!$J$2:$J$50000,"评审")</f>
        <v>0</v>
      </c>
      <c r="J51" s="161">
        <f>COUNTIFS(缺陷明细!$A$2:$A$50000,$B$4,缺陷明细!$G$2:$G$50000,$C51,缺陷明细!$J$2:$J$50000,"单元测试",缺陷明细!$AA$2:$AA$50000,"&lt;&gt;丢弃",缺陷明细!$AA$2:$AA$50000,"&lt;&gt;设计如此",缺陷明细!$AA$2:$AA$50000,"&lt;&gt;重复Bug")</f>
        <v>0</v>
      </c>
      <c r="K51" s="162">
        <f>COUNTIFS(缺陷明细!$A$2:$A$50000,$B$4,缺陷明细!$G$2:$G$50000,$C51,缺陷明细!$Q$2:$Q$50000,"已关闭",缺陷明细!$J$2:$J$50000,"单元测试")</f>
        <v>0</v>
      </c>
      <c r="L51" s="163"/>
      <c r="M51" s="164"/>
      <c r="N51" s="72">
        <f>COUNTIFS(缺陷明细!$A$2:$A$50000,$B$4,缺陷明细!$G$2:$G$50000,$C51,缺陷明细!$J$2:$J$50000,"系统测试案例评审",缺陷明细!$AA$2:$AA$50000,"&lt;&gt;丢弃",缺陷明细!$AA$2:$AA$50000,"&lt;&gt;设计如此",缺陷明细!$AA$2:$AA$50000,"&lt;&gt;重复Bug")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COUNTIFS(缺陷明细!$A$2:$A$50000,$B$4,缺陷明细!$G$2:$G$50000,$C51,缺陷明细!$J$2:$J$50000,"系统测试",缺陷明细!$AA$2:$AA$50000,"&lt;&gt;丢弃",缺陷明细!$AA$2:$AA$50000,"&lt;&gt;设计如此",缺陷明细!$AA$2:$AA$50000,"&lt;&gt;重复Bug")</f>
        <v>0</v>
      </c>
      <c r="Q51" s="72">
        <f>COUNTIFS(缺陷明细!$A$2:$A$50000,$B$4,缺陷明细!$G$2:$G$50000,$C51,缺陷明细!$Q$2:$Q$50000,"已关闭",缺陷明细!$J$2:$J$50000,"系统测试")</f>
        <v>0</v>
      </c>
      <c r="R51" s="72">
        <f>COUNTIFS(缺陷明细!$A$2:$A$50000,$B$4,缺陷明细!$G$2:$G$50000,$C51,缺陷明细!$AA$2:$AA$50000,"丢弃",缺陷明细!$J$2:$J$50000,"系统测试")+COUNTIFS(缺陷明细!$A$2:$A$50000,$B$4,缺陷明细!$G$2:$G$50000,$C51,缺陷明细!$AA$2:$AA$50000,"设计如此",缺陷明细!$J$2:$J$50000,"系统测试"+COUNTIFS(缺陷明细!$A$2:$A$50000,$B$4,缺陷明细!$G$2:$G$50000,$C51,缺陷明细!$AA$2:$AA$50000,"重复Bug",缺陷明细!$J$2:$J$50000,"系统测试"))</f>
        <v>0</v>
      </c>
      <c r="S51" s="72">
        <f>COUNTIFS(缺陷明细!$A$2:$A$50000,$B$4,缺陷明细!$G$2:$G$50000,$C51,缺陷明细!$J$2:$J$50000,"系统测试",缺陷明细!$K$2:$K$50000,"致命",缺陷明细!$AA$2:$AA$50000,"&lt;&gt;丢弃",缺陷明细!$AA$2:$AA$50000,"&lt;&gt;设计如此",缺陷明细!$AA$2:$AA$50000,"&lt;&gt;重复Bug")+COUNTIFS(缺陷明细!$A$2:$A$50000,$B$4,缺陷明细!$G$2:$G$50000,$C51,缺陷明细!$J$2:$J$50000,"系统测试",缺陷明细!$K$2:$K$50000,"严重",缺陷明细!$AA$2:$AA$50000,"&lt;&gt;丢弃",缺陷明细!$AA$2:$AA$50000,"&lt;&gt;设计如此",缺陷明细!$AA$2:$AA$50000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COUNTIFS(缺陷明细!$A$2:$A$50000,$B$4,缺陷明细!$G$2:$G$50000,$C51,缺陷明细!$J$2:$J$50000,"验收测试",缺陷明细!$AA$2:$AA$50000,"&lt;&gt;丢弃",缺陷明细!$AA$2:$AA$50000,"&lt;&gt;设计如此",缺陷明细!$AA$2:$AA$50000,"&lt;&gt;重复Bug")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A$2:$AA$50000,"&lt;&gt;丢弃",缺陷明细!$AA$2:$AA$50000,"&lt;&gt;设计如此",缺陷明细!$AA$2:$AA$50000,"&lt;&gt;重复Bug")+COUNTIFS(缺陷明细!$A$2:$A$50000,$B$4,缺陷明细!$G$2:$G$50000,$C51,缺陷明细!$J$2:$J$50000,"验收测试",缺陷明细!$K$2:$K$50000,"严重",缺陷明细!$AA$2:$AA$50000,"&lt;&gt;丢弃",缺陷明细!$AA$2:$AA$50000,"&lt;&gt;设计如此",缺陷明细!$AA$2:$AA$50000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COUNTIFS(缺陷明细!$A$2:$A$50000,$B$4,缺陷明细!$G$2:$G$50000,$C51,缺陷明细!$J$2:$J$50000,"运维测试",缺陷明细!$AA$2:$AA$50000,"&lt;&gt;丢弃",缺陷明细!$AA$2:$AA$50000,"&lt;&gt;设计如此",缺陷明细!$AA$2:$AA$50000,"&lt;&gt;重复Bug")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A$2:$AA$50000,"&lt;&gt;丢弃",缺陷明细!$AA$2:$AA$50000,"&lt;&gt;设计如此",缺陷明细!$AA$2:$AA$50000,"&lt;&gt;重复Bug")+COUNTIFS(缺陷明细!$A$2:$A$50000,$B$4,缺陷明细!$G$2:$G$50000,$C51,缺陷明细!$J$2:$J$50000,"运维测试",缺陷明细!$K$2:$K$50000,"严重",缺陷明细!$AA$2:$AA$50000,"&lt;&gt;丢弃",缺陷明细!$AA$2:$AA$50000,"&lt;&gt;设计如此",缺陷明细!$AA$2:$AA$50000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51"/>
    </row>
    <row r="52" spans="1:37">
      <c r="A52">
        <v>48</v>
      </c>
      <c r="B52" s="57"/>
      <c r="C52" s="58"/>
      <c r="D52" s="84"/>
      <c r="E52" s="82"/>
      <c r="F52" s="165"/>
      <c r="G52" s="166"/>
      <c r="H52" s="305">
        <f>COUNTIFS(缺陷明细!$A$2:$A$50000,$B$4,缺陷明细!$G$2:$G$50000,$C52,缺陷明细!$J$2:$J$50000,"评审",缺陷明细!$AA$2:$AA$50000,"&lt;&gt;丢弃",缺陷明细!$AA$2:$AA$50000,"&lt;&gt;设计如此",缺陷明细!$AA$2:$AA$50000,"&lt;&gt;重复Bug")</f>
        <v>0</v>
      </c>
      <c r="I52" s="161">
        <f>COUNTIFS(缺陷明细!$A$2:$A$50000,$B$4,缺陷明细!$G$2:$G$50000,$C52,缺陷明细!$Q$2:$Q$50000,"已关闭",缺陷明细!$J$2:$J$50000,"评审")</f>
        <v>0</v>
      </c>
      <c r="J52" s="161">
        <f>COUNTIFS(缺陷明细!$A$2:$A$50000,$B$4,缺陷明细!$G$2:$G$50000,$C52,缺陷明细!$J$2:$J$50000,"单元测试",缺陷明细!$AA$2:$AA$50000,"&lt;&gt;丢弃",缺陷明细!$AA$2:$AA$50000,"&lt;&gt;设计如此",缺陷明细!$AA$2:$AA$50000,"&lt;&gt;重复Bug")</f>
        <v>0</v>
      </c>
      <c r="K52" s="162">
        <f>COUNTIFS(缺陷明细!$A$2:$A$50000,$B$4,缺陷明细!$G$2:$G$50000,$C52,缺陷明细!$Q$2:$Q$50000,"已关闭",缺陷明细!$J$2:$J$50000,"单元测试")</f>
        <v>0</v>
      </c>
      <c r="L52" s="163"/>
      <c r="M52" s="164"/>
      <c r="N52" s="72">
        <f>COUNTIFS(缺陷明细!$A$2:$A$50000,$B$4,缺陷明细!$G$2:$G$50000,$C52,缺陷明细!$J$2:$J$50000,"系统测试案例评审",缺陷明细!$AA$2:$AA$50000,"&lt;&gt;丢弃",缺陷明细!$AA$2:$AA$50000,"&lt;&gt;设计如此",缺陷明细!$AA$2:$AA$50000,"&lt;&gt;重复Bug")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COUNTIFS(缺陷明细!$A$2:$A$50000,$B$4,缺陷明细!$G$2:$G$50000,$C52,缺陷明细!$J$2:$J$50000,"系统测试",缺陷明细!$AA$2:$AA$50000,"&lt;&gt;丢弃",缺陷明细!$AA$2:$AA$50000,"&lt;&gt;设计如此",缺陷明细!$AA$2:$AA$50000,"&lt;&gt;重复Bug")</f>
        <v>0</v>
      </c>
      <c r="Q52" s="72">
        <f>COUNTIFS(缺陷明细!$A$2:$A$50000,$B$4,缺陷明细!$G$2:$G$50000,$C52,缺陷明细!$Q$2:$Q$50000,"已关闭",缺陷明细!$J$2:$J$50000,"系统测试")</f>
        <v>0</v>
      </c>
      <c r="R52" s="72">
        <f>COUNTIFS(缺陷明细!$A$2:$A$50000,$B$4,缺陷明细!$G$2:$G$50000,$C52,缺陷明细!$AA$2:$AA$50000,"丢弃",缺陷明细!$J$2:$J$50000,"系统测试")+COUNTIFS(缺陷明细!$A$2:$A$50000,$B$4,缺陷明细!$G$2:$G$50000,$C52,缺陷明细!$AA$2:$AA$50000,"设计如此",缺陷明细!$J$2:$J$50000,"系统测试"+COUNTIFS(缺陷明细!$A$2:$A$50000,$B$4,缺陷明细!$G$2:$G$50000,$C52,缺陷明细!$AA$2:$AA$50000,"重复Bug",缺陷明细!$J$2:$J$50000,"系统测试"))</f>
        <v>0</v>
      </c>
      <c r="S52" s="72">
        <f>COUNTIFS(缺陷明细!$A$2:$A$50000,$B$4,缺陷明细!$G$2:$G$50000,$C52,缺陷明细!$J$2:$J$50000,"系统测试",缺陷明细!$K$2:$K$50000,"致命",缺陷明细!$AA$2:$AA$50000,"&lt;&gt;丢弃",缺陷明细!$AA$2:$AA$50000,"&lt;&gt;设计如此",缺陷明细!$AA$2:$AA$50000,"&lt;&gt;重复Bug")+COUNTIFS(缺陷明细!$A$2:$A$50000,$B$4,缺陷明细!$G$2:$G$50000,$C52,缺陷明细!$J$2:$J$50000,"系统测试",缺陷明细!$K$2:$K$50000,"严重",缺陷明细!$AA$2:$AA$50000,"&lt;&gt;丢弃",缺陷明细!$AA$2:$AA$50000,"&lt;&gt;设计如此",缺陷明细!$AA$2:$AA$50000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COUNTIFS(缺陷明细!$A$2:$A$50000,$B$4,缺陷明细!$G$2:$G$50000,$C52,缺陷明细!$J$2:$J$50000,"验收测试",缺陷明细!$AA$2:$AA$50000,"&lt;&gt;丢弃",缺陷明细!$AA$2:$AA$50000,"&lt;&gt;设计如此",缺陷明细!$AA$2:$AA$50000,"&lt;&gt;重复Bug")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A$2:$AA$50000,"&lt;&gt;丢弃",缺陷明细!$AA$2:$AA$50000,"&lt;&gt;设计如此",缺陷明细!$AA$2:$AA$50000,"&lt;&gt;重复Bug")+COUNTIFS(缺陷明细!$A$2:$A$50000,$B$4,缺陷明细!$G$2:$G$50000,$C52,缺陷明细!$J$2:$J$50000,"验收测试",缺陷明细!$K$2:$K$50000,"严重",缺陷明细!$AA$2:$AA$50000,"&lt;&gt;丢弃",缺陷明细!$AA$2:$AA$50000,"&lt;&gt;设计如此",缺陷明细!$AA$2:$AA$50000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COUNTIFS(缺陷明细!$A$2:$A$50000,$B$4,缺陷明细!$G$2:$G$50000,$C52,缺陷明细!$J$2:$J$50000,"运维测试",缺陷明细!$AA$2:$AA$50000,"&lt;&gt;丢弃",缺陷明细!$AA$2:$AA$50000,"&lt;&gt;设计如此",缺陷明细!$AA$2:$AA$50000,"&lt;&gt;重复Bug")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A$2:$AA$50000,"&lt;&gt;丢弃",缺陷明细!$AA$2:$AA$50000,"&lt;&gt;设计如此",缺陷明细!$AA$2:$AA$50000,"&lt;&gt;重复Bug")+COUNTIFS(缺陷明细!$A$2:$A$50000,$B$4,缺陷明细!$G$2:$G$50000,$C52,缺陷明细!$J$2:$J$50000,"运维测试",缺陷明细!$K$2:$K$50000,"严重",缺陷明细!$AA$2:$AA$50000,"&lt;&gt;丢弃",缺陷明细!$AA$2:$AA$50000,"&lt;&gt;设计如此",缺陷明细!$AA$2:$AA$50000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51"/>
    </row>
    <row r="53" spans="1:37">
      <c r="A53">
        <v>49</v>
      </c>
      <c r="B53" s="57"/>
      <c r="C53" s="58"/>
      <c r="D53" s="84"/>
      <c r="E53" s="82"/>
      <c r="F53" s="165"/>
      <c r="G53" s="166"/>
      <c r="H53" s="305">
        <f>COUNTIFS(缺陷明细!$A$2:$A$50000,$B$4,缺陷明细!$G$2:$G$50000,$C53,缺陷明细!$J$2:$J$50000,"评审",缺陷明细!$AA$2:$AA$50000,"&lt;&gt;丢弃",缺陷明细!$AA$2:$AA$50000,"&lt;&gt;设计如此",缺陷明细!$AA$2:$AA$50000,"&lt;&gt;重复Bug")</f>
        <v>0</v>
      </c>
      <c r="I53" s="161">
        <f>COUNTIFS(缺陷明细!$A$2:$A$50000,$B$4,缺陷明细!$G$2:$G$50000,$C53,缺陷明细!$Q$2:$Q$50000,"已关闭",缺陷明细!$J$2:$J$50000,"评审")</f>
        <v>0</v>
      </c>
      <c r="J53" s="161">
        <f>COUNTIFS(缺陷明细!$A$2:$A$50000,$B$4,缺陷明细!$G$2:$G$50000,$C53,缺陷明细!$J$2:$J$50000,"单元测试",缺陷明细!$AA$2:$AA$50000,"&lt;&gt;丢弃",缺陷明细!$AA$2:$AA$50000,"&lt;&gt;设计如此",缺陷明细!$AA$2:$AA$50000,"&lt;&gt;重复Bug")</f>
        <v>0</v>
      </c>
      <c r="K53" s="162">
        <f>COUNTIFS(缺陷明细!$A$2:$A$50000,$B$4,缺陷明细!$G$2:$G$50000,$C53,缺陷明细!$Q$2:$Q$50000,"已关闭",缺陷明细!$J$2:$J$50000,"单元测试")</f>
        <v>0</v>
      </c>
      <c r="L53" s="163"/>
      <c r="M53" s="164"/>
      <c r="N53" s="72">
        <f>COUNTIFS(缺陷明细!$A$2:$A$50000,$B$4,缺陷明细!$G$2:$G$50000,$C53,缺陷明细!$J$2:$J$50000,"系统测试案例评审",缺陷明细!$AA$2:$AA$50000,"&lt;&gt;丢弃",缺陷明细!$AA$2:$AA$50000,"&lt;&gt;设计如此",缺陷明细!$AA$2:$AA$50000,"&lt;&gt;重复Bug")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COUNTIFS(缺陷明细!$A$2:$A$50000,$B$4,缺陷明细!$G$2:$G$50000,$C53,缺陷明细!$J$2:$J$50000,"系统测试",缺陷明细!$AA$2:$AA$50000,"&lt;&gt;丢弃",缺陷明细!$AA$2:$AA$50000,"&lt;&gt;设计如此",缺陷明细!$AA$2:$AA$50000,"&lt;&gt;重复Bug")</f>
        <v>0</v>
      </c>
      <c r="Q53" s="72">
        <f>COUNTIFS(缺陷明细!$A$2:$A$50000,$B$4,缺陷明细!$G$2:$G$50000,$C53,缺陷明细!$Q$2:$Q$50000,"已关闭",缺陷明细!$J$2:$J$50000,"系统测试")</f>
        <v>0</v>
      </c>
      <c r="R53" s="72">
        <f>COUNTIFS(缺陷明细!$A$2:$A$50000,$B$4,缺陷明细!$G$2:$G$50000,$C53,缺陷明细!$AA$2:$AA$50000,"丢弃",缺陷明细!$J$2:$J$50000,"系统测试")+COUNTIFS(缺陷明细!$A$2:$A$50000,$B$4,缺陷明细!$G$2:$G$50000,$C53,缺陷明细!$AA$2:$AA$50000,"设计如此",缺陷明细!$J$2:$J$50000,"系统测试"+COUNTIFS(缺陷明细!$A$2:$A$50000,$B$4,缺陷明细!$G$2:$G$50000,$C53,缺陷明细!$AA$2:$AA$50000,"重复Bug",缺陷明细!$J$2:$J$50000,"系统测试"))</f>
        <v>0</v>
      </c>
      <c r="S53" s="72">
        <f>COUNTIFS(缺陷明细!$A$2:$A$50000,$B$4,缺陷明细!$G$2:$G$50000,$C53,缺陷明细!$J$2:$J$50000,"系统测试",缺陷明细!$K$2:$K$50000,"致命",缺陷明细!$AA$2:$AA$50000,"&lt;&gt;丢弃",缺陷明细!$AA$2:$AA$50000,"&lt;&gt;设计如此",缺陷明细!$AA$2:$AA$50000,"&lt;&gt;重复Bug")+COUNTIFS(缺陷明细!$A$2:$A$50000,$B$4,缺陷明细!$G$2:$G$50000,$C53,缺陷明细!$J$2:$J$50000,"系统测试",缺陷明细!$K$2:$K$50000,"严重",缺陷明细!$AA$2:$AA$50000,"&lt;&gt;丢弃",缺陷明细!$AA$2:$AA$50000,"&lt;&gt;设计如此",缺陷明细!$AA$2:$AA$50000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COUNTIFS(缺陷明细!$A$2:$A$50000,$B$4,缺陷明细!$G$2:$G$50000,$C53,缺陷明细!$J$2:$J$50000,"验收测试",缺陷明细!$AA$2:$AA$50000,"&lt;&gt;丢弃",缺陷明细!$AA$2:$AA$50000,"&lt;&gt;设计如此",缺陷明细!$AA$2:$AA$50000,"&lt;&gt;重复Bug")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A$2:$AA$50000,"&lt;&gt;丢弃",缺陷明细!$AA$2:$AA$50000,"&lt;&gt;设计如此",缺陷明细!$AA$2:$AA$50000,"&lt;&gt;重复Bug")+COUNTIFS(缺陷明细!$A$2:$A$50000,$B$4,缺陷明细!$G$2:$G$50000,$C53,缺陷明细!$J$2:$J$50000,"验收测试",缺陷明细!$K$2:$K$50000,"严重",缺陷明细!$AA$2:$AA$50000,"&lt;&gt;丢弃",缺陷明细!$AA$2:$AA$50000,"&lt;&gt;设计如此",缺陷明细!$AA$2:$AA$50000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COUNTIFS(缺陷明细!$A$2:$A$50000,$B$4,缺陷明细!$G$2:$G$50000,$C53,缺陷明细!$J$2:$J$50000,"运维测试",缺陷明细!$AA$2:$AA$50000,"&lt;&gt;丢弃",缺陷明细!$AA$2:$AA$50000,"&lt;&gt;设计如此",缺陷明细!$AA$2:$AA$50000,"&lt;&gt;重复Bug")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A$2:$AA$50000,"&lt;&gt;丢弃",缺陷明细!$AA$2:$AA$50000,"&lt;&gt;设计如此",缺陷明细!$AA$2:$AA$50000,"&lt;&gt;重复Bug")+COUNTIFS(缺陷明细!$A$2:$A$50000,$B$4,缺陷明细!$G$2:$G$50000,$C53,缺陷明细!$J$2:$J$50000,"运维测试",缺陷明细!$K$2:$K$50000,"严重",缺陷明细!$AA$2:$AA$50000,"&lt;&gt;丢弃",缺陷明细!$AA$2:$AA$50000,"&lt;&gt;设计如此",缺陷明细!$AA$2:$AA$50000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51"/>
    </row>
    <row r="54" spans="1:37">
      <c r="A54">
        <v>50</v>
      </c>
      <c r="B54" s="57"/>
      <c r="C54" s="58"/>
      <c r="D54" s="84"/>
      <c r="E54" s="82"/>
      <c r="F54" s="165"/>
      <c r="G54" s="166"/>
      <c r="H54" s="305">
        <f>COUNTIFS(缺陷明细!$A$2:$A$50000,$B$4,缺陷明细!$G$2:$G$50000,$C54,缺陷明细!$J$2:$J$50000,"评审",缺陷明细!$AA$2:$AA$50000,"&lt;&gt;丢弃",缺陷明细!$AA$2:$AA$50000,"&lt;&gt;设计如此",缺陷明细!$AA$2:$AA$50000,"&lt;&gt;重复Bug")</f>
        <v>0</v>
      </c>
      <c r="I54" s="161">
        <f>COUNTIFS(缺陷明细!$A$2:$A$50000,$B$4,缺陷明细!$G$2:$G$50000,$C54,缺陷明细!$Q$2:$Q$50000,"已关闭",缺陷明细!$J$2:$J$50000,"评审")</f>
        <v>0</v>
      </c>
      <c r="J54" s="161">
        <f>COUNTIFS(缺陷明细!$A$2:$A$50000,$B$4,缺陷明细!$G$2:$G$50000,$C54,缺陷明细!$J$2:$J$50000,"单元测试",缺陷明细!$AA$2:$AA$50000,"&lt;&gt;丢弃",缺陷明细!$AA$2:$AA$50000,"&lt;&gt;设计如此",缺陷明细!$AA$2:$AA$50000,"&lt;&gt;重复Bug")</f>
        <v>0</v>
      </c>
      <c r="K54" s="162">
        <f>COUNTIFS(缺陷明细!$A$2:$A$50000,$B$4,缺陷明细!$G$2:$G$50000,$C54,缺陷明细!$Q$2:$Q$50000,"已关闭",缺陷明细!$J$2:$J$50000,"单元测试")</f>
        <v>0</v>
      </c>
      <c r="L54" s="163"/>
      <c r="M54" s="164"/>
      <c r="N54" s="72">
        <f>COUNTIFS(缺陷明细!$A$2:$A$50000,$B$4,缺陷明细!$G$2:$G$50000,$C54,缺陷明细!$J$2:$J$50000,"系统测试案例评审",缺陷明细!$AA$2:$AA$50000,"&lt;&gt;丢弃",缺陷明细!$AA$2:$AA$50000,"&lt;&gt;设计如此",缺陷明细!$AA$2:$AA$50000,"&lt;&gt;重复Bug")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COUNTIFS(缺陷明细!$A$2:$A$50000,$B$4,缺陷明细!$G$2:$G$50000,$C54,缺陷明细!$J$2:$J$50000,"系统测试",缺陷明细!$AA$2:$AA$50000,"&lt;&gt;丢弃",缺陷明细!$AA$2:$AA$50000,"&lt;&gt;设计如此",缺陷明细!$AA$2:$AA$50000,"&lt;&gt;重复Bug")</f>
        <v>0</v>
      </c>
      <c r="Q54" s="72">
        <f>COUNTIFS(缺陷明细!$A$2:$A$50000,$B$4,缺陷明细!$G$2:$G$50000,$C54,缺陷明细!$Q$2:$Q$50000,"已关闭",缺陷明细!$J$2:$J$50000,"系统测试")</f>
        <v>0</v>
      </c>
      <c r="R54" s="72">
        <f>COUNTIFS(缺陷明细!$A$2:$A$50000,$B$4,缺陷明细!$G$2:$G$50000,$C54,缺陷明细!$AA$2:$AA$50000,"丢弃",缺陷明细!$J$2:$J$50000,"系统测试")+COUNTIFS(缺陷明细!$A$2:$A$50000,$B$4,缺陷明细!$G$2:$G$50000,$C54,缺陷明细!$AA$2:$AA$50000,"设计如此",缺陷明细!$J$2:$J$50000,"系统测试"+COUNTIFS(缺陷明细!$A$2:$A$50000,$B$4,缺陷明细!$G$2:$G$50000,$C54,缺陷明细!$AA$2:$AA$50000,"重复Bug",缺陷明细!$J$2:$J$50000,"系统测试"))</f>
        <v>0</v>
      </c>
      <c r="S54" s="72">
        <f>COUNTIFS(缺陷明细!$A$2:$A$50000,$B$4,缺陷明细!$G$2:$G$50000,$C54,缺陷明细!$J$2:$J$50000,"系统测试",缺陷明细!$K$2:$K$50000,"致命",缺陷明细!$AA$2:$AA$50000,"&lt;&gt;丢弃",缺陷明细!$AA$2:$AA$50000,"&lt;&gt;设计如此",缺陷明细!$AA$2:$AA$50000,"&lt;&gt;重复Bug")+COUNTIFS(缺陷明细!$A$2:$A$50000,$B$4,缺陷明细!$G$2:$G$50000,$C54,缺陷明细!$J$2:$J$50000,"系统测试",缺陷明细!$K$2:$K$50000,"严重",缺陷明细!$AA$2:$AA$50000,"&lt;&gt;丢弃",缺陷明细!$AA$2:$AA$50000,"&lt;&gt;设计如此",缺陷明细!$AA$2:$AA$50000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COUNTIFS(缺陷明细!$A$2:$A$50000,$B$4,缺陷明细!$G$2:$G$50000,$C54,缺陷明细!$J$2:$J$50000,"验收测试",缺陷明细!$AA$2:$AA$50000,"&lt;&gt;丢弃",缺陷明细!$AA$2:$AA$50000,"&lt;&gt;设计如此",缺陷明细!$AA$2:$AA$50000,"&lt;&gt;重复Bug")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A$2:$AA$50000,"&lt;&gt;丢弃",缺陷明细!$AA$2:$AA$50000,"&lt;&gt;设计如此",缺陷明细!$AA$2:$AA$50000,"&lt;&gt;重复Bug")+COUNTIFS(缺陷明细!$A$2:$A$50000,$B$4,缺陷明细!$G$2:$G$50000,$C54,缺陷明细!$J$2:$J$50000,"验收测试",缺陷明细!$K$2:$K$50000,"严重",缺陷明细!$AA$2:$AA$50000,"&lt;&gt;丢弃",缺陷明细!$AA$2:$AA$50000,"&lt;&gt;设计如此",缺陷明细!$AA$2:$AA$50000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COUNTIFS(缺陷明细!$A$2:$A$50000,$B$4,缺陷明细!$G$2:$G$50000,$C54,缺陷明细!$J$2:$J$50000,"运维测试",缺陷明细!$AA$2:$AA$50000,"&lt;&gt;丢弃",缺陷明细!$AA$2:$AA$50000,"&lt;&gt;设计如此",缺陷明细!$AA$2:$AA$50000,"&lt;&gt;重复Bug")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A$2:$AA$50000,"&lt;&gt;丢弃",缺陷明细!$AA$2:$AA$50000,"&lt;&gt;设计如此",缺陷明细!$AA$2:$AA$50000,"&lt;&gt;重复Bug")+COUNTIFS(缺陷明细!$A$2:$A$50000,$B$4,缺陷明细!$G$2:$G$50000,$C54,缺陷明细!$J$2:$J$50000,"运维测试",缺陷明细!$K$2:$K$50000,"严重",缺陷明细!$AA$2:$AA$50000,"&lt;&gt;丢弃",缺陷明细!$AA$2:$AA$50000,"&lt;&gt;设计如此",缺陷明细!$AA$2:$AA$50000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51"/>
    </row>
    <row r="55" spans="1:37" ht="13.8" thickBot="1">
      <c r="B55" s="147"/>
      <c r="C55" s="109"/>
      <c r="D55" s="85"/>
      <c r="E55" s="156"/>
      <c r="F55" s="169"/>
      <c r="G55" s="170"/>
      <c r="H55" s="306">
        <f>COUNTIFS(缺陷明细!$A$2:$A$50000,$B$4,缺陷明细!$G$2:$G$50000,$C55,缺陷明细!$J$2:$J$50000,"评审",缺陷明细!$AA$2:$AA$50000,"&lt;&gt;丢弃",缺陷明细!$AA$2:$AA$50000,"&lt;&gt;设计如此",缺陷明细!$AA$2:$AA$50000,"&lt;&gt;重复Bug")</f>
        <v>0</v>
      </c>
      <c r="I55" s="307">
        <f>COUNTIFS(缺陷明细!$A$2:$A$50000,$B$4,缺陷明细!$G$2:$G$50000,$C55,缺陷明细!$Q$2:$Q$50000,"已关闭",缺陷明细!$J$2:$J$50000,"评审")</f>
        <v>0</v>
      </c>
      <c r="J55" s="307">
        <f>COUNTIFS(缺陷明细!$A$2:$A$50000,$B$4,缺陷明细!$G$2:$G$50000,$C55,缺陷明细!$J$2:$J$50000,"单元测试",缺陷明细!$AA$2:$AA$50000,"&lt;&gt;丢弃",缺陷明细!$AA$2:$AA$50000,"&lt;&gt;设计如此",缺陷明细!$AA$2:$AA$50000,"&lt;&gt;重复Bug")</f>
        <v>0</v>
      </c>
      <c r="K55" s="308">
        <f>COUNTIFS(缺陷明细!$A$2:$A$50000,$B$4,缺陷明细!$G$2:$G$50000,$C55,缺陷明细!$Q$2:$Q$50000,"已关闭",缺陷明细!$J$2:$J$50000,"单元测试")</f>
        <v>0</v>
      </c>
      <c r="L55" s="309"/>
      <c r="M55" s="310"/>
      <c r="N55" s="311">
        <f>COUNTIFS(缺陷明细!$A$2:$A$50000,$B$4,缺陷明细!$G$2:$G$50000,$C55,缺陷明细!$J$2:$J$50000,"系统测试案例评审",缺陷明细!$AA$2:$AA$50000,"&lt;&gt;丢弃",缺陷明细!$AA$2:$AA$50000,"&lt;&gt;设计如此",缺陷明细!$AA$2:$AA$50000,"&lt;&gt;重复Bug")</f>
        <v>0</v>
      </c>
      <c r="O55" s="311">
        <f>COUNTIFS(缺陷明细!$A$2:$A$50000,$B$4,缺陷明细!$G$2:$G$50000,$C55,缺陷明细!$Q$2:$Q$50000,"已关闭",缺陷明细!$J$2:$J$50000,"系统测试案例评审")</f>
        <v>0</v>
      </c>
      <c r="P55" s="311">
        <f>COUNTIFS(缺陷明细!$A$2:$A$50000,$B$4,缺陷明细!$G$2:$G$50000,$C55,缺陷明细!$J$2:$J$50000,"系统测试",缺陷明细!$AA$2:$AA$50000,"&lt;&gt;丢弃",缺陷明细!$AA$2:$AA$50000,"&lt;&gt;设计如此",缺陷明细!$AA$2:$AA$50000,"&lt;&gt;重复Bug")</f>
        <v>0</v>
      </c>
      <c r="Q55" s="311">
        <f>COUNTIFS(缺陷明细!$A$2:$A$50000,$B$4,缺陷明细!$G$2:$G$50000,$C55,缺陷明细!$Q$2:$Q$50000,"已关闭",缺陷明细!$J$2:$J$50000,"系统测试")</f>
        <v>0</v>
      </c>
      <c r="R55" s="311">
        <f>COUNTIFS(缺陷明细!$A$2:$A$50000,$B$4,缺陷明细!$G$2:$G$50000,$C55,缺陷明细!$AA$2:$AA$50000,"丢弃",缺陷明细!$J$2:$J$50000,"系统测试")+COUNTIFS(缺陷明细!$A$2:$A$50000,$B$4,缺陷明细!$G$2:$G$50000,$C55,缺陷明细!$AA$2:$AA$50000,"设计如此",缺陷明细!$J$2:$J$50000,"系统测试"+COUNTIFS(缺陷明细!$A$2:$A$50000,$B$4,缺陷明细!$G$2:$G$50000,$C55,缺陷明细!$AA$2:$AA$50000,"重复Bug",缺陷明细!$J$2:$J$50000,"系统测试"))</f>
        <v>0</v>
      </c>
      <c r="S55" s="311">
        <f>COUNTIFS(缺陷明细!$A$2:$A$50000,$B$4,缺陷明细!$G$2:$G$50000,$C55,缺陷明细!$J$2:$J$50000,"系统测试",缺陷明细!$K$2:$K$50000,"致命",缺陷明细!$AA$2:$AA$50000,"&lt;&gt;丢弃",缺陷明细!$AA$2:$AA$50000,"&lt;&gt;设计如此",缺陷明细!$AA$2:$AA$50000,"&lt;&gt;重复Bug")+COUNTIFS(缺陷明细!$A$2:$A$50000,$B$4,缺陷明细!$G$2:$G$50000,$C55,缺陷明细!$J$2:$J$50000,"系统测试",缺陷明细!$K$2:$K$50000,"严重",缺陷明细!$AA$2:$AA$50000,"&lt;&gt;丢弃",缺陷明细!$AA$2:$AA$50000,"&lt;&gt;设计如此",缺陷明细!$AA$2:$AA$50000,"&lt;&gt;重复Bug")</f>
        <v>0</v>
      </c>
      <c r="T55" s="312">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313">
        <f>COUNTIFS(缺陷明细!$A$2:$A$50000,$B$4,缺陷明细!$G$2:$G$50000,$C55,缺陷明细!$J$2:$J$50000,"验收测试",缺陷明细!$AA$2:$AA$50000,"&lt;&gt;丢弃",缺陷明细!$AA$2:$AA$50000,"&lt;&gt;设计如此",缺陷明细!$AA$2:$AA$50000,"&lt;&gt;重复Bug")</f>
        <v>0</v>
      </c>
      <c r="V55" s="314">
        <f>COUNTIFS(缺陷明细!$A$2:$A$50000,$B$4,缺陷明细!$G$2:$G$50000,$C55,缺陷明细!$Q$2:$Q$50000,"已关闭",缺陷明细!$J$2:$J$50000,"验收测试")</f>
        <v>0</v>
      </c>
      <c r="W55" s="314">
        <f>COUNTIFS(缺陷明细!$A$2:$A$50000,$B$4,缺陷明细!$G$2:$G$50000,$C55,缺陷明细!$J$2:$J$50000,"验收测试",缺陷明细!$K$2:$K$50000,"致命",缺陷明细!$AA$2:$AA$50000,"&lt;&gt;丢弃",缺陷明细!$AA$2:$AA$50000,"&lt;&gt;设计如此",缺陷明细!$AA$2:$AA$50000,"&lt;&gt;重复Bug")+COUNTIFS(缺陷明细!$A$2:$A$50000,$B$4,缺陷明细!$G$2:$G$50000,$C55,缺陷明细!$J$2:$J$50000,"验收测试",缺陷明细!$K$2:$K$50000,"严重",缺陷明细!$AA$2:$AA$50000,"&lt;&gt;丢弃",缺陷明细!$AA$2:$AA$50000,"&lt;&gt;设计如此",缺陷明细!$AA$2:$AA$50000,"&lt;&gt;重复Bug")</f>
        <v>0</v>
      </c>
      <c r="X55" s="315">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316">
        <f>COUNTIFS(缺陷明细!$A$2:$A$50000,$B$4,缺陷明细!$G$2:$G$50000,$C55,缺陷明细!$J$2:$J$50000,"运维测试",缺陷明细!$AA$2:$AA$50000,"&lt;&gt;丢弃",缺陷明细!$AA$2:$AA$50000,"&lt;&gt;设计如此",缺陷明细!$AA$2:$AA$50000,"&lt;&gt;重复Bug")</f>
        <v>0</v>
      </c>
      <c r="Z55" s="317">
        <f>COUNTIFS(缺陷明细!$A$2:$A$50000,$B$4,缺陷明细!$G$2:$G$50000,$C55,缺陷明细!$Q$2:$Q$50000,"已关闭",缺陷明细!$J$2:$J$50000,"运维测试")</f>
        <v>0</v>
      </c>
      <c r="AA55" s="311">
        <f>COUNTIFS(缺陷明细!$A$2:$A$50000,$B$4,缺陷明细!$G$2:$G$50000,$C55,缺陷明细!$J$2:$J$50000,"运维测试",缺陷明细!$K$2:$K$50000,"致命",缺陷明细!$AA$2:$AA$50000,"&lt;&gt;丢弃",缺陷明细!$AA$2:$AA$50000,"&lt;&gt;设计如此",缺陷明细!$AA$2:$AA$50000,"&lt;&gt;重复Bug")+COUNTIFS(缺陷明细!$A$2:$A$50000,$B$4,缺陷明细!$G$2:$G$50000,$C55,缺陷明细!$J$2:$J$50000,"运维测试",缺陷明细!$K$2:$K$50000,"严重",缺陷明细!$AA$2:$AA$50000,"&lt;&gt;丢弃",缺陷明细!$AA$2:$AA$50000,"&lt;&gt;设计如此",缺陷明细!$AA$2:$AA$50000,"&lt;&gt;重复Bug")</f>
        <v>0</v>
      </c>
      <c r="AB55" s="312">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7">
        <f t="shared" si="0"/>
        <v>0</v>
      </c>
      <c r="AD55" s="158">
        <f t="shared" si="0"/>
        <v>0</v>
      </c>
      <c r="AE55" s="158">
        <f t="shared" si="1"/>
        <v>0</v>
      </c>
      <c r="AF55" s="158">
        <f t="shared" si="1"/>
        <v>0</v>
      </c>
      <c r="AG55" s="158">
        <f t="shared" si="2"/>
        <v>0</v>
      </c>
      <c r="AH55" s="158">
        <f t="shared" si="2"/>
        <v>0</v>
      </c>
      <c r="AI55" s="158">
        <f t="shared" si="3"/>
        <v>0</v>
      </c>
      <c r="AJ55" s="148">
        <f t="shared" si="3"/>
        <v>0</v>
      </c>
      <c r="AK55" s="152"/>
    </row>
    <row r="56" spans="1:37">
      <c r="B56" s="397" t="s">
        <v>209</v>
      </c>
      <c r="C56" s="398"/>
      <c r="D56" s="142">
        <f>COUNTA(D5:D55)</f>
        <v>0</v>
      </c>
      <c r="E56" s="142">
        <f>COUNTIF(E2:E55,"是")</f>
        <v>0</v>
      </c>
      <c r="F56" s="142">
        <f>SUMIFS(F5:F500,$E$5:$E$500,"是")</f>
        <v>0</v>
      </c>
      <c r="G56" s="142">
        <f t="shared" ref="G56:AJ56" si="4">SUMIFS(G5:G500,$E$5:$E$500,"是")</f>
        <v>0</v>
      </c>
      <c r="H56" s="142">
        <f t="shared" si="4"/>
        <v>0</v>
      </c>
      <c r="I56" s="142">
        <f t="shared" si="4"/>
        <v>0</v>
      </c>
      <c r="J56" s="142">
        <f t="shared" si="4"/>
        <v>0</v>
      </c>
      <c r="K56" s="142">
        <f t="shared" si="4"/>
        <v>0</v>
      </c>
      <c r="L56" s="142">
        <f t="shared" si="4"/>
        <v>0</v>
      </c>
      <c r="M56" s="142">
        <f t="shared" si="4"/>
        <v>0</v>
      </c>
      <c r="N56" s="142">
        <f t="shared" si="4"/>
        <v>0</v>
      </c>
      <c r="O56" s="142">
        <f t="shared" si="4"/>
        <v>0</v>
      </c>
      <c r="P56" s="142">
        <f t="shared" si="4"/>
        <v>0</v>
      </c>
      <c r="Q56" s="142">
        <f t="shared" si="4"/>
        <v>0</v>
      </c>
      <c r="R56" s="142">
        <f t="shared" si="4"/>
        <v>0</v>
      </c>
      <c r="S56" s="142">
        <f t="shared" si="4"/>
        <v>0</v>
      </c>
      <c r="T56" s="142">
        <f t="shared" si="4"/>
        <v>0</v>
      </c>
      <c r="U56" s="142">
        <f t="shared" si="4"/>
        <v>0</v>
      </c>
      <c r="V56" s="142">
        <f t="shared" si="4"/>
        <v>0</v>
      </c>
      <c r="W56" s="142">
        <f t="shared" si="4"/>
        <v>0</v>
      </c>
      <c r="X56" s="142">
        <f t="shared" si="4"/>
        <v>0</v>
      </c>
      <c r="Y56" s="142">
        <f t="shared" si="4"/>
        <v>0</v>
      </c>
      <c r="Z56" s="142">
        <f t="shared" si="4"/>
        <v>0</v>
      </c>
      <c r="AA56" s="142">
        <f t="shared" si="4"/>
        <v>0</v>
      </c>
      <c r="AB56" s="142">
        <f t="shared" si="4"/>
        <v>0</v>
      </c>
      <c r="AC56" s="142">
        <f t="shared" si="4"/>
        <v>0</v>
      </c>
      <c r="AD56" s="142">
        <f t="shared" si="4"/>
        <v>0</v>
      </c>
      <c r="AE56" s="142">
        <f t="shared" si="4"/>
        <v>0</v>
      </c>
      <c r="AF56" s="142">
        <f t="shared" si="4"/>
        <v>0</v>
      </c>
      <c r="AG56" s="142">
        <f t="shared" si="4"/>
        <v>0</v>
      </c>
      <c r="AH56" s="142">
        <f t="shared" si="4"/>
        <v>0</v>
      </c>
      <c r="AI56" s="142">
        <f t="shared" si="4"/>
        <v>0</v>
      </c>
      <c r="AJ56" s="142">
        <f t="shared" si="4"/>
        <v>0</v>
      </c>
      <c r="AK56" s="30"/>
    </row>
    <row r="57" spans="1:37">
      <c r="C57" s="153"/>
      <c r="D57" s="154"/>
      <c r="E57" s="143"/>
      <c r="F57" s="143"/>
      <c r="G57" s="143"/>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row>
    <row r="59" spans="1:37">
      <c r="F59" s="98"/>
    </row>
  </sheetData>
  <mergeCells count="13">
    <mergeCell ref="AC2:AJ2"/>
    <mergeCell ref="AK2:AK3"/>
    <mergeCell ref="U2:X2"/>
    <mergeCell ref="H1:AB1"/>
    <mergeCell ref="F2:G2"/>
    <mergeCell ref="H2:K2"/>
    <mergeCell ref="L2:T2"/>
    <mergeCell ref="Y2:AB2"/>
    <mergeCell ref="B56:C56"/>
    <mergeCell ref="B2:B3"/>
    <mergeCell ref="C2:C3"/>
    <mergeCell ref="D2:D3"/>
    <mergeCell ref="E2:E3"/>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00FF"/>
  </sheetPr>
  <dimension ref="A1:AK59"/>
  <sheetViews>
    <sheetView workbookViewId="0">
      <selection activeCell="C10" sqref="C10"/>
    </sheetView>
  </sheetViews>
  <sheetFormatPr defaultColWidth="9" defaultRowHeight="13.2"/>
  <cols>
    <col min="1" max="1" width="5.109375" customWidth="1"/>
    <col min="3" max="3" width="29.33203125" customWidth="1"/>
    <col min="4" max="4" width="6.33203125" customWidth="1"/>
    <col min="5" max="5" width="5.88671875" style="38" customWidth="1"/>
    <col min="6" max="7" width="5.6640625" style="38" customWidth="1"/>
    <col min="8" max="36" width="5.6640625" customWidth="1"/>
    <col min="37" max="37" width="20" customWidth="1"/>
    <col min="38" max="38" width="8.109375" customWidth="1"/>
  </cols>
  <sheetData>
    <row r="1" spans="1:37" ht="13.5" customHeight="1" thickBot="1">
      <c r="A1" s="29"/>
      <c r="B1" s="272" t="s">
        <v>61</v>
      </c>
      <c r="C1" s="272"/>
      <c r="D1" s="272"/>
      <c r="E1" s="272"/>
      <c r="F1" s="273"/>
      <c r="G1" s="273"/>
      <c r="H1" s="407" t="s">
        <v>63</v>
      </c>
      <c r="I1" s="407"/>
      <c r="J1" s="407"/>
      <c r="K1" s="407"/>
      <c r="L1" s="407"/>
      <c r="M1" s="407"/>
      <c r="N1" s="407"/>
      <c r="O1" s="407"/>
      <c r="P1" s="407"/>
      <c r="Q1" s="407"/>
      <c r="R1" s="407"/>
      <c r="S1" s="407"/>
      <c r="T1" s="407"/>
      <c r="U1" s="407"/>
      <c r="V1" s="407"/>
      <c r="W1" s="407"/>
      <c r="X1" s="407"/>
      <c r="Y1" s="407"/>
      <c r="Z1" s="407"/>
      <c r="AA1" s="407"/>
      <c r="AB1" s="407"/>
      <c r="AC1" s="145"/>
      <c r="AD1" s="145"/>
      <c r="AE1" s="145"/>
      <c r="AF1" s="145"/>
      <c r="AG1" s="145"/>
      <c r="AH1" s="145"/>
      <c r="AI1" s="145"/>
      <c r="AJ1" s="146"/>
      <c r="AK1" s="155"/>
    </row>
    <row r="2" spans="1:37" ht="12.75" customHeight="1" thickBot="1">
      <c r="B2" s="399" t="s">
        <v>180</v>
      </c>
      <c r="C2" s="408" t="s">
        <v>60</v>
      </c>
      <c r="D2" s="410" t="s">
        <v>104</v>
      </c>
      <c r="E2" s="401" t="s">
        <v>181</v>
      </c>
      <c r="F2" s="408" t="s">
        <v>182</v>
      </c>
      <c r="G2" s="409"/>
      <c r="H2" s="403" t="s">
        <v>210</v>
      </c>
      <c r="I2" s="403"/>
      <c r="J2" s="403"/>
      <c r="K2" s="403"/>
      <c r="L2" s="404" t="s">
        <v>183</v>
      </c>
      <c r="M2" s="405"/>
      <c r="N2" s="405"/>
      <c r="O2" s="405"/>
      <c r="P2" s="405"/>
      <c r="Q2" s="405"/>
      <c r="R2" s="405"/>
      <c r="S2" s="405"/>
      <c r="T2" s="406"/>
      <c r="U2" s="395" t="s">
        <v>44</v>
      </c>
      <c r="V2" s="396"/>
      <c r="W2" s="396"/>
      <c r="X2" s="396"/>
      <c r="Y2" s="413" t="s">
        <v>64</v>
      </c>
      <c r="Z2" s="414"/>
      <c r="AA2" s="414"/>
      <c r="AB2" s="414"/>
      <c r="AC2" s="390" t="s">
        <v>2</v>
      </c>
      <c r="AD2" s="391"/>
      <c r="AE2" s="391"/>
      <c r="AF2" s="391"/>
      <c r="AG2" s="391"/>
      <c r="AH2" s="391"/>
      <c r="AI2" s="391"/>
      <c r="AJ2" s="392"/>
      <c r="AK2" s="393" t="s">
        <v>4</v>
      </c>
    </row>
    <row r="3" spans="1:37" ht="84.6" thickBot="1">
      <c r="B3" s="400"/>
      <c r="C3" s="412"/>
      <c r="D3" s="411"/>
      <c r="E3" s="402"/>
      <c r="F3" s="274" t="s">
        <v>273</v>
      </c>
      <c r="G3" s="275" t="s">
        <v>274</v>
      </c>
      <c r="H3" s="34" t="s">
        <v>105</v>
      </c>
      <c r="I3" s="34" t="s">
        <v>106</v>
      </c>
      <c r="J3" s="34" t="s">
        <v>107</v>
      </c>
      <c r="K3" s="34" t="s">
        <v>108</v>
      </c>
      <c r="L3" s="33" t="s">
        <v>185</v>
      </c>
      <c r="M3" s="34" t="s">
        <v>186</v>
      </c>
      <c r="N3" s="31" t="s">
        <v>45</v>
      </c>
      <c r="O3" s="31" t="s">
        <v>46</v>
      </c>
      <c r="P3" s="31" t="s">
        <v>34</v>
      </c>
      <c r="Q3" s="31" t="s">
        <v>36</v>
      </c>
      <c r="R3" s="31" t="s">
        <v>187</v>
      </c>
      <c r="S3" s="31" t="s">
        <v>35</v>
      </c>
      <c r="T3" s="32" t="s">
        <v>37</v>
      </c>
      <c r="U3" s="106" t="s">
        <v>110</v>
      </c>
      <c r="V3" s="35" t="s">
        <v>111</v>
      </c>
      <c r="W3" s="35" t="s">
        <v>188</v>
      </c>
      <c r="X3" s="35" t="s">
        <v>112</v>
      </c>
      <c r="Y3" s="106" t="s">
        <v>65</v>
      </c>
      <c r="Z3" s="35" t="s">
        <v>66</v>
      </c>
      <c r="AA3" s="35" t="s">
        <v>67</v>
      </c>
      <c r="AB3" s="36" t="s">
        <v>190</v>
      </c>
      <c r="AC3" s="33" t="s">
        <v>38</v>
      </c>
      <c r="AD3" s="31" t="s">
        <v>39</v>
      </c>
      <c r="AE3" s="31" t="s">
        <v>40</v>
      </c>
      <c r="AF3" s="31" t="s">
        <v>41</v>
      </c>
      <c r="AG3" s="31" t="s">
        <v>113</v>
      </c>
      <c r="AH3" s="31" t="s">
        <v>115</v>
      </c>
      <c r="AI3" s="31" t="s">
        <v>116</v>
      </c>
      <c r="AJ3" s="32" t="s">
        <v>114</v>
      </c>
      <c r="AK3" s="394"/>
    </row>
    <row r="4" spans="1:37" ht="13.8" thickBot="1">
      <c r="B4" s="102" t="s">
        <v>250</v>
      </c>
      <c r="C4" s="80" t="s">
        <v>207</v>
      </c>
      <c r="D4" s="141"/>
      <c r="E4" s="137"/>
      <c r="F4" s="107"/>
      <c r="G4" s="81"/>
      <c r="H4" s="69"/>
      <c r="I4" s="63"/>
      <c r="J4" s="63"/>
      <c r="K4" s="64"/>
      <c r="L4" s="77"/>
      <c r="M4" s="108"/>
      <c r="N4" s="63"/>
      <c r="O4" s="63"/>
      <c r="P4" s="63"/>
      <c r="Q4" s="63"/>
      <c r="R4" s="63"/>
      <c r="S4" s="63"/>
      <c r="T4" s="64"/>
      <c r="U4" s="62"/>
      <c r="V4" s="63"/>
      <c r="W4" s="63"/>
      <c r="X4" s="64"/>
      <c r="Y4" s="62"/>
      <c r="Z4" s="63"/>
      <c r="AA4" s="63"/>
      <c r="AB4" s="64"/>
      <c r="AC4" s="69"/>
      <c r="AD4" s="63"/>
      <c r="AE4" s="63"/>
      <c r="AF4" s="63"/>
      <c r="AG4" s="63"/>
      <c r="AH4" s="63"/>
      <c r="AI4" s="63"/>
      <c r="AJ4" s="64"/>
      <c r="AK4" s="149"/>
    </row>
    <row r="5" spans="1:37">
      <c r="A5">
        <v>1</v>
      </c>
      <c r="B5" s="78"/>
      <c r="C5" s="79"/>
      <c r="D5" s="82"/>
      <c r="E5" s="82"/>
      <c r="F5" s="159"/>
      <c r="G5" s="160"/>
      <c r="H5" s="293">
        <f>COUNTIFS(缺陷明细!$A$2:$A$50000,$B$4,缺陷明细!$G$2:$G$50000,$C5,缺陷明细!$J$2:$J$50000,"评审",缺陷明细!$AA$2:$AA$50000,"&lt;&gt;丢弃",缺陷明细!$AA$2:$AA$50000,"&lt;&gt;设计如此",缺陷明细!$AA$2:$AA$50000,"&lt;&gt;重复Bug")</f>
        <v>0</v>
      </c>
      <c r="I5" s="294">
        <f>COUNTIFS(缺陷明细!$A$2:$A$50000,$B$4,缺陷明细!$G$2:$G$50000,$C5,缺陷明细!$Q$2:$Q$50000,"已关闭",缺陷明细!$J$2:$J$50000,"评审")</f>
        <v>0</v>
      </c>
      <c r="J5" s="294">
        <f>COUNTIFS(缺陷明细!$A$2:$A$50000,$B$4,缺陷明细!$G$2:$G$50000,$C5,缺陷明细!$J$2:$J$50000,"单元测试",缺陷明细!$AA$2:$AA$50000,"&lt;&gt;丢弃",缺陷明细!$AA$2:$AA$50000,"&lt;&gt;设计如此",缺陷明细!$AA$2:$AA$50000,"&lt;&gt;重复Bug")</f>
        <v>0</v>
      </c>
      <c r="K5" s="295">
        <f>COUNTIFS(缺陷明细!$A$2:$A$50000,$B$4,缺陷明细!$G$2:$G$50000,$C5,缺陷明细!$Q$2:$Q$50000,"已关闭",缺陷明细!$J$2:$J$50000,"单元测试")</f>
        <v>0</v>
      </c>
      <c r="L5" s="296"/>
      <c r="M5" s="297"/>
      <c r="N5" s="298">
        <f>COUNTIFS(缺陷明细!$A$2:$A$50000,$B$4,缺陷明细!$G$2:$G$50000,$C5,缺陷明细!$J$2:$J$50000,"系统测试案例评审",缺陷明细!$AA$2:$AA$50000,"&lt;&gt;丢弃",缺陷明细!$AA$2:$AA$50000,"&lt;&gt;设计如此",缺陷明细!$AA$2:$AA$50000,"&lt;&gt;重复Bug")</f>
        <v>0</v>
      </c>
      <c r="O5" s="298">
        <f>COUNTIFS(缺陷明细!$A$2:$A$50000,$B$4,缺陷明细!$G$2:$G$50000,$C5,缺陷明细!$Q$2:$Q$50000,"已关闭",缺陷明细!$J$2:$J$50000,"系统测试案例评审")</f>
        <v>0</v>
      </c>
      <c r="P5" s="298">
        <f>COUNTIFS(缺陷明细!$A$2:$A$50000,$B$4,缺陷明细!$G$2:$G$50000,$C5,缺陷明细!$J$2:$J$50000,"系统测试",缺陷明细!$AA$2:$AA$50000,"&lt;&gt;丢弃",缺陷明细!$AA$2:$AA$50000,"&lt;&gt;设计如此",缺陷明细!$AA$2:$AA$50000,"&lt;&gt;重复Bug")</f>
        <v>0</v>
      </c>
      <c r="Q5" s="298">
        <f>COUNTIFS(缺陷明细!$A$2:$A$50000,$B$4,缺陷明细!$G$2:$G$50000,$C5,缺陷明细!$Q$2:$Q$50000,"已关闭",缺陷明细!$J$2:$J$50000,"系统测试")</f>
        <v>0</v>
      </c>
      <c r="R5" s="298">
        <f>COUNTIFS(缺陷明细!$A$2:$A$50000,$B$4,缺陷明细!$G$2:$G$50000,$C5,缺陷明细!$AA$2:$AA$50000,"丢弃",缺陷明细!$J$2:$J$50000,"系统测试")+COUNTIFS(缺陷明细!$A$2:$A$50000,$B$4,缺陷明细!$G$2:$G$50000,$C5,缺陷明细!$AA$2:$AA$50000,"设计如此",缺陷明细!$J$2:$J$50000,"系统测试"+COUNTIFS(缺陷明细!$A$2:$A$50000,$B$4,缺陷明细!$G$2:$G$50000,$C5,缺陷明细!$AA$2:$AA$50000,"重复Bug",缺陷明细!$J$2:$J$50000,"系统测试"))</f>
        <v>0</v>
      </c>
      <c r="S5" s="298">
        <f>COUNTIFS(缺陷明细!$A$2:$A$50000,$B$4,缺陷明细!$G$2:$G$50000,$C5,缺陷明细!$J$2:$J$50000,"系统测试",缺陷明细!$K$2:$K$50000,"致命",缺陷明细!$AA$2:$AA$50000,"&lt;&gt;丢弃",缺陷明细!$AA$2:$AA$50000,"&lt;&gt;设计如此",缺陷明细!$AA$2:$AA$50000,"&lt;&gt;重复Bug")+COUNTIFS(缺陷明细!$A$2:$A$50000,$B$4,缺陷明细!$G$2:$G$50000,$C5,缺陷明细!$J$2:$J$50000,"系统测试",缺陷明细!$K$2:$K$50000,"严重",缺陷明细!$AA$2:$AA$50000,"&lt;&gt;丢弃",缺陷明细!$AA$2:$AA$50000,"&lt;&gt;设计如此",缺陷明细!$AA$2:$AA$50000,"&lt;&gt;重复Bug")</f>
        <v>0</v>
      </c>
      <c r="T5" s="299">
        <f>COUNTIFS(缺陷明细!$A$2:$A$50000,$B$4,缺陷明细!$G$2:$G$50000,$C5,缺陷明细!$Q$2:$Q$50000,"已关闭",缺陷明细!$J$2:$J$50000,"系统测试",缺陷明细!$K$2:$K$50000,"致命")+COUNTIFS(缺陷明细!$A$2:$A$50000,$B$4,缺陷明细!$G$2:$G$50000,$C5,缺陷明细!$Q$2:$Q$50000,"已关闭",缺陷明细!$J$2:$J$50000,"系统测试",缺陷明细!$K$2:$K$50000,"严重")</f>
        <v>0</v>
      </c>
      <c r="U5" s="300">
        <f>COUNTIFS(缺陷明细!$A$2:$A$50000,$B$4,缺陷明细!$G$2:$G$50000,$C5,缺陷明细!$J$2:$J$50000,"验收测试",缺陷明细!$AA$2:$AA$50000,"&lt;&gt;丢弃",缺陷明细!$AA$2:$AA$50000,"&lt;&gt;设计如此",缺陷明细!$AA$2:$AA$50000,"&lt;&gt;重复Bug")</f>
        <v>0</v>
      </c>
      <c r="V5" s="301">
        <f>COUNTIFS(缺陷明细!$A$2:$A$50000,$B$4,缺陷明细!$G$2:$G$50000,$C5,缺陷明细!$Q$2:$Q$50000,"已关闭",缺陷明细!$J$2:$J$50000,"验收测试")</f>
        <v>0</v>
      </c>
      <c r="W5" s="301">
        <f>COUNTIFS(缺陷明细!$A$2:$A$50000,$B$4,缺陷明细!$G$2:$G$50000,$C5,缺陷明细!$J$2:$J$50000,"验收测试",缺陷明细!$K$2:$K$50000,"致命",缺陷明细!$AA$2:$AA$50000,"&lt;&gt;丢弃",缺陷明细!$AA$2:$AA$50000,"&lt;&gt;设计如此",缺陷明细!$AA$2:$AA$50000,"&lt;&gt;重复Bug")+COUNTIFS(缺陷明细!$A$2:$A$50000,$B$4,缺陷明细!$G$2:$G$50000,$C5,缺陷明细!$J$2:$J$50000,"验收测试",缺陷明细!$K$2:$K$50000,"严重",缺陷明细!$AA$2:$AA$50000,"&lt;&gt;丢弃",缺陷明细!$AA$2:$AA$50000,"&lt;&gt;设计如此",缺陷明细!$AA$2:$AA$50000,"&lt;&gt;重复Bug")</f>
        <v>0</v>
      </c>
      <c r="X5" s="302">
        <f>COUNTIFS(缺陷明细!$A$2:$A$50000,$B$4,缺陷明细!$G$2:$G$50000,$C5,缺陷明细!$Q$2:$Q$50000,"已关闭",缺陷明细!$J$2:$J$50000,"验收测试",缺陷明细!$K$2:$K$50000,"致命")+COUNTIFS(缺陷明细!$A$2:$A$50000,$B$4,缺陷明细!$G$2:$G$50000,$C5,缺陷明细!$Q$2:$Q$50000,"已关闭",缺陷明细!$J$2:$J$50000,"验收测试",缺陷明细!$K$2:$K$50000,"严重")</f>
        <v>0</v>
      </c>
      <c r="Y5" s="303">
        <f>COUNTIFS(缺陷明细!$A$2:$A$50000,$B$4,缺陷明细!$G$2:$G$50000,$C5,缺陷明细!$J$2:$J$50000,"运维测试",缺陷明细!$AA$2:$AA$50000,"&lt;&gt;丢弃",缺陷明细!$AA$2:$AA$50000,"&lt;&gt;设计如此",缺陷明细!$AA$2:$AA$50000,"&lt;&gt;重复Bug")</f>
        <v>0</v>
      </c>
      <c r="Z5" s="304">
        <f>COUNTIFS(缺陷明细!$A$2:$A$50000,$B$4,缺陷明细!$G$2:$G$50000,$C5,缺陷明细!$Q$2:$Q$50000,"已关闭",缺陷明细!$J$2:$J$50000,"运维测试")</f>
        <v>0</v>
      </c>
      <c r="AA5" s="298">
        <f>COUNTIFS(缺陷明细!$A$2:$A$50000,$B$4,缺陷明细!$G$2:$G$50000,$C5,缺陷明细!$J$2:$J$50000,"运维测试",缺陷明细!$K$2:$K$50000,"致命",缺陷明细!$AA$2:$AA$50000,"&lt;&gt;丢弃",缺陷明细!$AA$2:$AA$50000,"&lt;&gt;设计如此",缺陷明细!$AA$2:$AA$50000,"&lt;&gt;重复Bug")+COUNTIFS(缺陷明细!$A$2:$A$50000,$B$4,缺陷明细!$G$2:$G$50000,$C5,缺陷明细!$J$2:$J$50000,"运维测试",缺陷明细!$K$2:$K$50000,"严重",缺陷明细!$AA$2:$AA$50000,"&lt;&gt;丢弃",缺陷明细!$AA$2:$AA$50000,"&lt;&gt;设计如此",缺陷明细!$AA$2:$AA$50000,"&lt;&gt;重复Bug")</f>
        <v>0</v>
      </c>
      <c r="AB5" s="299">
        <f>COUNTIFS(缺陷明细!$A$2:$A$50000,$B$4,缺陷明细!$G$2:$G$50000,$C5,缺陷明细!$Q$2:$Q$50000,"已关闭",缺陷明细!$J$2:$J$50000,"运维测试",缺陷明细!$K$2:$K$50000,"致命")+COUNTIFS(缺陷明细!$A$2:$A$50000,$B$4,缺陷明细!$G$2:$G$50000,$C5,缺陷明细!$Q$2:$Q$50000,"已关闭",缺陷明细!$J$2:$J$50000,"运维测试",缺陷明细!$K$2:$K$50000,"严重")</f>
        <v>0</v>
      </c>
      <c r="AC5" s="68">
        <f>H5</f>
        <v>0</v>
      </c>
      <c r="AD5" s="60">
        <f>I5</f>
        <v>0</v>
      </c>
      <c r="AE5" s="60">
        <f>H5+J5</f>
        <v>0</v>
      </c>
      <c r="AF5" s="60">
        <f>I5+K5</f>
        <v>0</v>
      </c>
      <c r="AG5" s="60">
        <f>H5+J5+P5</f>
        <v>0</v>
      </c>
      <c r="AH5" s="60">
        <f>I5+K5+Q5</f>
        <v>0</v>
      </c>
      <c r="AI5" s="60">
        <f>Y5</f>
        <v>0</v>
      </c>
      <c r="AJ5" s="61">
        <f>Z5</f>
        <v>0</v>
      </c>
      <c r="AK5" s="150"/>
    </row>
    <row r="6" spans="1:37">
      <c r="A6">
        <v>2</v>
      </c>
      <c r="B6" s="57"/>
      <c r="C6" s="58"/>
      <c r="D6" s="83"/>
      <c r="E6" s="82"/>
      <c r="F6" s="165"/>
      <c r="G6" s="166"/>
      <c r="H6" s="305">
        <f>COUNTIFS(缺陷明细!$A$2:$A$50000,$B$4,缺陷明细!$G$2:$G$50000,$C6,缺陷明细!$J$2:$J$50000,"评审",缺陷明细!$AA$2:$AA$50000,"&lt;&gt;丢弃",缺陷明细!$AA$2:$AA$50000,"&lt;&gt;设计如此",缺陷明细!$AA$2:$AA$50000,"&lt;&gt;重复Bug")</f>
        <v>0</v>
      </c>
      <c r="I6" s="161">
        <f>COUNTIFS(缺陷明细!$A$2:$A$50000,$B$4,缺陷明细!$G$2:$G$50000,$C6,缺陷明细!$Q$2:$Q$50000,"已关闭",缺陷明细!$J$2:$J$50000,"评审")</f>
        <v>0</v>
      </c>
      <c r="J6" s="161">
        <f>COUNTIFS(缺陷明细!$A$2:$A$50000,$B$4,缺陷明细!$G$2:$G$50000,$C6,缺陷明细!$J$2:$J$50000,"单元测试",缺陷明细!$AA$2:$AA$50000,"&lt;&gt;丢弃",缺陷明细!$AA$2:$AA$50000,"&lt;&gt;设计如此",缺陷明细!$AA$2:$AA$50000,"&lt;&gt;重复Bug")</f>
        <v>0</v>
      </c>
      <c r="K6" s="162">
        <f>COUNTIFS(缺陷明细!$A$2:$A$50000,$B$4,缺陷明细!$G$2:$G$50000,$C6,缺陷明细!$Q$2:$Q$50000,"已关闭",缺陷明细!$J$2:$J$50000,"单元测试")</f>
        <v>0</v>
      </c>
      <c r="L6" s="163"/>
      <c r="M6" s="164"/>
      <c r="N6" s="72">
        <f>COUNTIFS(缺陷明细!$A$2:$A$50000,$B$4,缺陷明细!$G$2:$G$50000,$C6,缺陷明细!$J$2:$J$50000,"系统测试案例评审",缺陷明细!$AA$2:$AA$50000,"&lt;&gt;丢弃",缺陷明细!$AA$2:$AA$50000,"&lt;&gt;设计如此",缺陷明细!$AA$2:$AA$50000,"&lt;&gt;重复Bug")</f>
        <v>0</v>
      </c>
      <c r="O6" s="72">
        <f>COUNTIFS(缺陷明细!$A$2:$A$50000,$B$4,缺陷明细!$G$2:$G$50000,$C6,缺陷明细!$Q$2:$Q$50000,"已关闭",缺陷明细!$J$2:$J$50000,"系统测试案例评审")</f>
        <v>0</v>
      </c>
      <c r="P6" s="72">
        <f>COUNTIFS(缺陷明细!$A$2:$A$50000,$B$4,缺陷明细!$G$2:$G$50000,$C6,缺陷明细!$J$2:$J$50000,"系统测试",缺陷明细!$AA$2:$AA$50000,"&lt;&gt;丢弃",缺陷明细!$AA$2:$AA$50000,"&lt;&gt;设计如此",缺陷明细!$AA$2:$AA$50000,"&lt;&gt;重复Bug")</f>
        <v>0</v>
      </c>
      <c r="Q6" s="72">
        <f>COUNTIFS(缺陷明细!$A$2:$A$50000,$B$4,缺陷明细!$G$2:$G$50000,$C6,缺陷明细!$Q$2:$Q$50000,"已关闭",缺陷明细!$J$2:$J$50000,"系统测试")</f>
        <v>0</v>
      </c>
      <c r="R6" s="72">
        <f>COUNTIFS(缺陷明细!$A$2:$A$50000,$B$4,缺陷明细!$G$2:$G$50000,$C6,缺陷明细!$AA$2:$AA$50000,"丢弃",缺陷明细!$J$2:$J$50000,"系统测试")+COUNTIFS(缺陷明细!$A$2:$A$50000,$B$4,缺陷明细!$G$2:$G$50000,$C6,缺陷明细!$AA$2:$AA$50000,"设计如此",缺陷明细!$J$2:$J$50000,"系统测试"+COUNTIFS(缺陷明细!$A$2:$A$50000,$B$4,缺陷明细!$G$2:$G$50000,$C6,缺陷明细!$AA$2:$AA$50000,"重复Bug",缺陷明细!$J$2:$J$50000,"系统测试"))</f>
        <v>0</v>
      </c>
      <c r="S6" s="72">
        <f>COUNTIFS(缺陷明细!$A$2:$A$50000,$B$4,缺陷明细!$G$2:$G$50000,$C6,缺陷明细!$J$2:$J$50000,"系统测试",缺陷明细!$K$2:$K$50000,"致命",缺陷明细!$AA$2:$AA$50000,"&lt;&gt;丢弃",缺陷明细!$AA$2:$AA$50000,"&lt;&gt;设计如此",缺陷明细!$AA$2:$AA$50000,"&lt;&gt;重复Bug")+COUNTIFS(缺陷明细!$A$2:$A$50000,$B$4,缺陷明细!$G$2:$G$50000,$C6,缺陷明细!$J$2:$J$50000,"系统测试",缺陷明细!$K$2:$K$50000,"严重",缺陷明细!$AA$2:$AA$50000,"&lt;&gt;丢弃",缺陷明细!$AA$2:$AA$50000,"&lt;&gt;设计如此",缺陷明细!$AA$2:$AA$50000,"&lt;&gt;重复Bug")</f>
        <v>0</v>
      </c>
      <c r="T6" s="73">
        <f>COUNTIFS(缺陷明细!$A$2:$A$50000,$B$4,缺陷明细!$G$2:$G$50000,$C6,缺陷明细!$Q$2:$Q$50000,"已关闭",缺陷明细!$J$2:$J$50000,"系统测试",缺陷明细!$K$2:$K$50000,"致命")+COUNTIFS(缺陷明细!$A$2:$A$50000,$B$4,缺陷明细!$G$2:$G$50000,$C6,缺陷明细!$Q$2:$Q$50000,"已关闭",缺陷明细!$J$2:$J$50000,"系统测试",缺陷明细!$K$2:$K$50000,"严重")</f>
        <v>0</v>
      </c>
      <c r="U6" s="74">
        <f>COUNTIFS(缺陷明细!$A$2:$A$50000,$B$4,缺陷明细!$G$2:$G$50000,$C6,缺陷明细!$J$2:$J$50000,"验收测试",缺陷明细!$AA$2:$AA$50000,"&lt;&gt;丢弃",缺陷明细!$AA$2:$AA$50000,"&lt;&gt;设计如此",缺陷明细!$AA$2:$AA$50000,"&lt;&gt;重复Bug")</f>
        <v>0</v>
      </c>
      <c r="V6" s="75">
        <f>COUNTIFS(缺陷明细!$A$2:$A$50000,$B$4,缺陷明细!$G$2:$G$50000,$C6,缺陷明细!$Q$2:$Q$50000,"已关闭",缺陷明细!$J$2:$J$50000,"验收测试")</f>
        <v>0</v>
      </c>
      <c r="W6" s="75">
        <f>COUNTIFS(缺陷明细!$A$2:$A$50000,$B$4,缺陷明细!$G$2:$G$50000,$C6,缺陷明细!$J$2:$J$50000,"验收测试",缺陷明细!$K$2:$K$50000,"致命",缺陷明细!$AA$2:$AA$50000,"&lt;&gt;丢弃",缺陷明细!$AA$2:$AA$50000,"&lt;&gt;设计如此",缺陷明细!$AA$2:$AA$50000,"&lt;&gt;重复Bug")+COUNTIFS(缺陷明细!$A$2:$A$50000,$B$4,缺陷明细!$G$2:$G$50000,$C6,缺陷明细!$J$2:$J$50000,"验收测试",缺陷明细!$K$2:$K$50000,"严重",缺陷明细!$AA$2:$AA$50000,"&lt;&gt;丢弃",缺陷明细!$AA$2:$AA$50000,"&lt;&gt;设计如此",缺陷明细!$AA$2:$AA$50000,"&lt;&gt;重复Bug")</f>
        <v>0</v>
      </c>
      <c r="X6" s="76">
        <f>COUNTIFS(缺陷明细!$A$2:$A$50000,$B$4,缺陷明细!$G$2:$G$50000,$C6,缺陷明细!$Q$2:$Q$50000,"已关闭",缺陷明细!$J$2:$J$50000,"验收测试",缺陷明细!$K$2:$K$50000,"致命")+COUNTIFS(缺陷明细!$A$2:$A$50000,$B$4,缺陷明细!$G$2:$G$50000,$C6,缺陷明细!$Q$2:$Q$50000,"已关闭",缺陷明细!$J$2:$J$50000,"验收测试",缺陷明细!$K$2:$K$50000,"严重")</f>
        <v>0</v>
      </c>
      <c r="Y6" s="70">
        <f>COUNTIFS(缺陷明细!$A$2:$A$50000,$B$4,缺陷明细!$G$2:$G$50000,$C6,缺陷明细!$J$2:$J$50000,"运维测试",缺陷明细!$AA$2:$AA$50000,"&lt;&gt;丢弃",缺陷明细!$AA$2:$AA$50000,"&lt;&gt;设计如此",缺陷明细!$AA$2:$AA$50000,"&lt;&gt;重复Bug")</f>
        <v>0</v>
      </c>
      <c r="Z6" s="71">
        <f>COUNTIFS(缺陷明细!$A$2:$A$50000,$B$4,缺陷明细!$G$2:$G$50000,$C6,缺陷明细!$Q$2:$Q$50000,"已关闭",缺陷明细!$J$2:$J$50000,"运维测试")</f>
        <v>0</v>
      </c>
      <c r="AA6" s="72">
        <f>COUNTIFS(缺陷明细!$A$2:$A$50000,$B$4,缺陷明细!$G$2:$G$50000,$C6,缺陷明细!$J$2:$J$50000,"运维测试",缺陷明细!$K$2:$K$50000,"致命",缺陷明细!$AA$2:$AA$50000,"&lt;&gt;丢弃",缺陷明细!$AA$2:$AA$50000,"&lt;&gt;设计如此",缺陷明细!$AA$2:$AA$50000,"&lt;&gt;重复Bug")+COUNTIFS(缺陷明细!$A$2:$A$50000,$B$4,缺陷明细!$G$2:$G$50000,$C6,缺陷明细!$J$2:$J$50000,"运维测试",缺陷明细!$K$2:$K$50000,"严重",缺陷明细!$AA$2:$AA$50000,"&lt;&gt;丢弃",缺陷明细!$AA$2:$AA$50000,"&lt;&gt;设计如此",缺陷明细!$AA$2:$AA$50000,"&lt;&gt;重复Bug")</f>
        <v>0</v>
      </c>
      <c r="AB6" s="73">
        <f>COUNTIFS(缺陷明细!$A$2:$A$50000,$B$4,缺陷明细!$G$2:$G$50000,$C6,缺陷明细!$Q$2:$Q$50000,"已关闭",缺陷明细!$J$2:$J$50000,"运维测试",缺陷明细!$K$2:$K$50000,"致命")+COUNTIFS(缺陷明细!$A$2:$A$50000,$B$4,缺陷明细!$G$2:$G$50000,$C6,缺陷明细!$Q$2:$Q$50000,"已关闭",缺陷明细!$J$2:$J$50000,"运维测试",缺陷明细!$K$2:$K$50000,"严重")</f>
        <v>0</v>
      </c>
      <c r="AC6" s="68">
        <f t="shared" ref="AC6:AD55" si="0">H6</f>
        <v>0</v>
      </c>
      <c r="AD6" s="60">
        <f t="shared" si="0"/>
        <v>0</v>
      </c>
      <c r="AE6" s="60">
        <f t="shared" ref="AE6:AF55" si="1">H6+J6</f>
        <v>0</v>
      </c>
      <c r="AF6" s="60">
        <f t="shared" si="1"/>
        <v>0</v>
      </c>
      <c r="AG6" s="60">
        <f t="shared" ref="AG6:AH55" si="2">H6+J6+P6</f>
        <v>0</v>
      </c>
      <c r="AH6" s="60">
        <f t="shared" si="2"/>
        <v>0</v>
      </c>
      <c r="AI6" s="60">
        <f t="shared" ref="AI6:AJ55" si="3">Y6</f>
        <v>0</v>
      </c>
      <c r="AJ6" s="61">
        <f t="shared" si="3"/>
        <v>0</v>
      </c>
      <c r="AK6" s="151"/>
    </row>
    <row r="7" spans="1:37">
      <c r="A7">
        <v>3</v>
      </c>
      <c r="B7" s="57"/>
      <c r="C7" s="58"/>
      <c r="D7" s="83"/>
      <c r="E7" s="82"/>
      <c r="F7" s="165"/>
      <c r="G7" s="166"/>
      <c r="H7" s="305">
        <f>COUNTIFS(缺陷明细!$A$2:$A$50000,$B$4,缺陷明细!$G$2:$G$50000,$C7,缺陷明细!$J$2:$J$50000,"评审",缺陷明细!$AA$2:$AA$50000,"&lt;&gt;丢弃",缺陷明细!$AA$2:$AA$50000,"&lt;&gt;设计如此",缺陷明细!$AA$2:$AA$50000,"&lt;&gt;重复Bug")</f>
        <v>0</v>
      </c>
      <c r="I7" s="161">
        <f>COUNTIFS(缺陷明细!$A$2:$A$50000,$B$4,缺陷明细!$G$2:$G$50000,$C7,缺陷明细!$Q$2:$Q$50000,"已关闭",缺陷明细!$J$2:$J$50000,"评审")</f>
        <v>0</v>
      </c>
      <c r="J7" s="161">
        <f>COUNTIFS(缺陷明细!$A$2:$A$50000,$B$4,缺陷明细!$G$2:$G$50000,$C7,缺陷明细!$J$2:$J$50000,"单元测试",缺陷明细!$AA$2:$AA$50000,"&lt;&gt;丢弃",缺陷明细!$AA$2:$AA$50000,"&lt;&gt;设计如此",缺陷明细!$AA$2:$AA$50000,"&lt;&gt;重复Bug")</f>
        <v>0</v>
      </c>
      <c r="K7" s="162">
        <f>COUNTIFS(缺陷明细!$A$2:$A$50000,$B$4,缺陷明细!$G$2:$G$50000,$C7,缺陷明细!$Q$2:$Q$50000,"已关闭",缺陷明细!$J$2:$J$50000,"单元测试")</f>
        <v>0</v>
      </c>
      <c r="L7" s="163"/>
      <c r="M7" s="164"/>
      <c r="N7" s="72">
        <f>COUNTIFS(缺陷明细!$A$2:$A$50000,$B$4,缺陷明细!$G$2:$G$50000,$C7,缺陷明细!$J$2:$J$50000,"系统测试案例评审",缺陷明细!$AA$2:$AA$50000,"&lt;&gt;丢弃",缺陷明细!$AA$2:$AA$50000,"&lt;&gt;设计如此",缺陷明细!$AA$2:$AA$50000,"&lt;&gt;重复Bug")</f>
        <v>0</v>
      </c>
      <c r="O7" s="72">
        <f>COUNTIFS(缺陷明细!$A$2:$A$50000,$B$4,缺陷明细!$G$2:$G$50000,$C7,缺陷明细!$Q$2:$Q$50000,"已关闭",缺陷明细!$J$2:$J$50000,"系统测试案例评审")</f>
        <v>0</v>
      </c>
      <c r="P7" s="72">
        <f>COUNTIFS(缺陷明细!$A$2:$A$50000,$B$4,缺陷明细!$G$2:$G$50000,$C7,缺陷明细!$J$2:$J$50000,"系统测试",缺陷明细!$AA$2:$AA$50000,"&lt;&gt;丢弃",缺陷明细!$AA$2:$AA$50000,"&lt;&gt;设计如此",缺陷明细!$AA$2:$AA$50000,"&lt;&gt;重复Bug")</f>
        <v>0</v>
      </c>
      <c r="Q7" s="72">
        <f>COUNTIFS(缺陷明细!$A$2:$A$50000,$B$4,缺陷明细!$G$2:$G$50000,$C7,缺陷明细!$Q$2:$Q$50000,"已关闭",缺陷明细!$J$2:$J$50000,"系统测试")</f>
        <v>0</v>
      </c>
      <c r="R7" s="72">
        <f>COUNTIFS(缺陷明细!$A$2:$A$50000,$B$4,缺陷明细!$G$2:$G$50000,$C7,缺陷明细!$AA$2:$AA$50000,"丢弃",缺陷明细!$J$2:$J$50000,"系统测试")+COUNTIFS(缺陷明细!$A$2:$A$50000,$B$4,缺陷明细!$G$2:$G$50000,$C7,缺陷明细!$AA$2:$AA$50000,"设计如此",缺陷明细!$J$2:$J$50000,"系统测试"+COUNTIFS(缺陷明细!$A$2:$A$50000,$B$4,缺陷明细!$G$2:$G$50000,$C7,缺陷明细!$AA$2:$AA$50000,"重复Bug",缺陷明细!$J$2:$J$50000,"系统测试"))</f>
        <v>0</v>
      </c>
      <c r="S7" s="72">
        <f>COUNTIFS(缺陷明细!$A$2:$A$50000,$B$4,缺陷明细!$G$2:$G$50000,$C7,缺陷明细!$J$2:$J$50000,"系统测试",缺陷明细!$K$2:$K$50000,"致命",缺陷明细!$AA$2:$AA$50000,"&lt;&gt;丢弃",缺陷明细!$AA$2:$AA$50000,"&lt;&gt;设计如此",缺陷明细!$AA$2:$AA$50000,"&lt;&gt;重复Bug")+COUNTIFS(缺陷明细!$A$2:$A$50000,$B$4,缺陷明细!$G$2:$G$50000,$C7,缺陷明细!$J$2:$J$50000,"系统测试",缺陷明细!$K$2:$K$50000,"严重",缺陷明细!$AA$2:$AA$50000,"&lt;&gt;丢弃",缺陷明细!$AA$2:$AA$50000,"&lt;&gt;设计如此",缺陷明细!$AA$2:$AA$50000,"&lt;&gt;重复Bug")</f>
        <v>0</v>
      </c>
      <c r="T7" s="73">
        <f>COUNTIFS(缺陷明细!$A$2:$A$50000,$B$4,缺陷明细!$G$2:$G$50000,$C7,缺陷明细!$Q$2:$Q$50000,"已关闭",缺陷明细!$J$2:$J$50000,"系统测试",缺陷明细!$K$2:$K$50000,"致命")+COUNTIFS(缺陷明细!$A$2:$A$50000,$B$4,缺陷明细!$G$2:$G$50000,$C7,缺陷明细!$Q$2:$Q$50000,"已关闭",缺陷明细!$J$2:$J$50000,"系统测试",缺陷明细!$K$2:$K$50000,"严重")</f>
        <v>0</v>
      </c>
      <c r="U7" s="74">
        <f>COUNTIFS(缺陷明细!$A$2:$A$50000,$B$4,缺陷明细!$G$2:$G$50000,$C7,缺陷明细!$J$2:$J$50000,"验收测试",缺陷明细!$AA$2:$AA$50000,"&lt;&gt;丢弃",缺陷明细!$AA$2:$AA$50000,"&lt;&gt;设计如此",缺陷明细!$AA$2:$AA$50000,"&lt;&gt;重复Bug")</f>
        <v>0</v>
      </c>
      <c r="V7" s="75">
        <f>COUNTIFS(缺陷明细!$A$2:$A$50000,$B$4,缺陷明细!$G$2:$G$50000,$C7,缺陷明细!$Q$2:$Q$50000,"已关闭",缺陷明细!$J$2:$J$50000,"验收测试")</f>
        <v>0</v>
      </c>
      <c r="W7" s="75">
        <f>COUNTIFS(缺陷明细!$A$2:$A$50000,$B$4,缺陷明细!$G$2:$G$50000,$C7,缺陷明细!$J$2:$J$50000,"验收测试",缺陷明细!$K$2:$K$50000,"致命",缺陷明细!$AA$2:$AA$50000,"&lt;&gt;丢弃",缺陷明细!$AA$2:$AA$50000,"&lt;&gt;设计如此",缺陷明细!$AA$2:$AA$50000,"&lt;&gt;重复Bug")+COUNTIFS(缺陷明细!$A$2:$A$50000,$B$4,缺陷明细!$G$2:$G$50000,$C7,缺陷明细!$J$2:$J$50000,"验收测试",缺陷明细!$K$2:$K$50000,"严重",缺陷明细!$AA$2:$AA$50000,"&lt;&gt;丢弃",缺陷明细!$AA$2:$AA$50000,"&lt;&gt;设计如此",缺陷明细!$AA$2:$AA$50000,"&lt;&gt;重复Bug")</f>
        <v>0</v>
      </c>
      <c r="X7" s="76">
        <f>COUNTIFS(缺陷明细!$A$2:$A$50000,$B$4,缺陷明细!$G$2:$G$50000,$C7,缺陷明细!$Q$2:$Q$50000,"已关闭",缺陷明细!$J$2:$J$50000,"验收测试",缺陷明细!$K$2:$K$50000,"致命")+COUNTIFS(缺陷明细!$A$2:$A$50000,$B$4,缺陷明细!$G$2:$G$50000,$C7,缺陷明细!$Q$2:$Q$50000,"已关闭",缺陷明细!$J$2:$J$50000,"验收测试",缺陷明细!$K$2:$K$50000,"严重")</f>
        <v>0</v>
      </c>
      <c r="Y7" s="70">
        <f>COUNTIFS(缺陷明细!$A$2:$A$50000,$B$4,缺陷明细!$G$2:$G$50000,$C7,缺陷明细!$J$2:$J$50000,"运维测试",缺陷明细!$AA$2:$AA$50000,"&lt;&gt;丢弃",缺陷明细!$AA$2:$AA$50000,"&lt;&gt;设计如此",缺陷明细!$AA$2:$AA$50000,"&lt;&gt;重复Bug")</f>
        <v>0</v>
      </c>
      <c r="Z7" s="71">
        <f>COUNTIFS(缺陷明细!$A$2:$A$50000,$B$4,缺陷明细!$G$2:$G$50000,$C7,缺陷明细!$Q$2:$Q$50000,"已关闭",缺陷明细!$J$2:$J$50000,"运维测试")</f>
        <v>0</v>
      </c>
      <c r="AA7" s="72">
        <f>COUNTIFS(缺陷明细!$A$2:$A$50000,$B$4,缺陷明细!$G$2:$G$50000,$C7,缺陷明细!$J$2:$J$50000,"运维测试",缺陷明细!$K$2:$K$50000,"致命",缺陷明细!$AA$2:$AA$50000,"&lt;&gt;丢弃",缺陷明细!$AA$2:$AA$50000,"&lt;&gt;设计如此",缺陷明细!$AA$2:$AA$50000,"&lt;&gt;重复Bug")+COUNTIFS(缺陷明细!$A$2:$A$50000,$B$4,缺陷明细!$G$2:$G$50000,$C7,缺陷明细!$J$2:$J$50000,"运维测试",缺陷明细!$K$2:$K$50000,"严重",缺陷明细!$AA$2:$AA$50000,"&lt;&gt;丢弃",缺陷明细!$AA$2:$AA$50000,"&lt;&gt;设计如此",缺陷明细!$AA$2:$AA$50000,"&lt;&gt;重复Bug")</f>
        <v>0</v>
      </c>
      <c r="AB7" s="73">
        <f>COUNTIFS(缺陷明细!$A$2:$A$50000,$B$4,缺陷明细!$G$2:$G$50000,$C7,缺陷明细!$Q$2:$Q$50000,"已关闭",缺陷明细!$J$2:$J$50000,"运维测试",缺陷明细!$K$2:$K$50000,"致命")+COUNTIFS(缺陷明细!$A$2:$A$50000,$B$4,缺陷明细!$G$2:$G$50000,$C7,缺陷明细!$Q$2:$Q$50000,"已关闭",缺陷明细!$J$2:$J$50000,"运维测试",缺陷明细!$K$2:$K$50000,"严重")</f>
        <v>0</v>
      </c>
      <c r="AC7" s="68">
        <f t="shared" si="0"/>
        <v>0</v>
      </c>
      <c r="AD7" s="60">
        <f t="shared" si="0"/>
        <v>0</v>
      </c>
      <c r="AE7" s="60">
        <f t="shared" si="1"/>
        <v>0</v>
      </c>
      <c r="AF7" s="60">
        <f t="shared" si="1"/>
        <v>0</v>
      </c>
      <c r="AG7" s="60">
        <f t="shared" si="2"/>
        <v>0</v>
      </c>
      <c r="AH7" s="60">
        <f t="shared" si="2"/>
        <v>0</v>
      </c>
      <c r="AI7" s="60">
        <f t="shared" si="3"/>
        <v>0</v>
      </c>
      <c r="AJ7" s="61">
        <f t="shared" si="3"/>
        <v>0</v>
      </c>
      <c r="AK7" s="151"/>
    </row>
    <row r="8" spans="1:37">
      <c r="A8">
        <v>4</v>
      </c>
      <c r="B8" s="57"/>
      <c r="C8" s="58"/>
      <c r="D8" s="83"/>
      <c r="E8" s="82"/>
      <c r="F8" s="165"/>
      <c r="G8" s="166"/>
      <c r="H8" s="305">
        <f>COUNTIFS(缺陷明细!$A$2:$A$50000,$B$4,缺陷明细!$G$2:$G$50000,$C8,缺陷明细!$J$2:$J$50000,"评审",缺陷明细!$AA$2:$AA$50000,"&lt;&gt;丢弃",缺陷明细!$AA$2:$AA$50000,"&lt;&gt;设计如此",缺陷明细!$AA$2:$AA$50000,"&lt;&gt;重复Bug")</f>
        <v>0</v>
      </c>
      <c r="I8" s="161">
        <f>COUNTIFS(缺陷明细!$A$2:$A$50000,$B$4,缺陷明细!$G$2:$G$50000,$C8,缺陷明细!$Q$2:$Q$50000,"已关闭",缺陷明细!$J$2:$J$50000,"评审")</f>
        <v>0</v>
      </c>
      <c r="J8" s="161">
        <f>COUNTIFS(缺陷明细!$A$2:$A$50000,$B$4,缺陷明细!$G$2:$G$50000,$C8,缺陷明细!$J$2:$J$50000,"单元测试",缺陷明细!$AA$2:$AA$50000,"&lt;&gt;丢弃",缺陷明细!$AA$2:$AA$50000,"&lt;&gt;设计如此",缺陷明细!$AA$2:$AA$50000,"&lt;&gt;重复Bug")</f>
        <v>0</v>
      </c>
      <c r="K8" s="162">
        <f>COUNTIFS(缺陷明细!$A$2:$A$50000,$B$4,缺陷明细!$G$2:$G$50000,$C8,缺陷明细!$Q$2:$Q$50000,"已关闭",缺陷明细!$J$2:$J$50000,"单元测试")</f>
        <v>0</v>
      </c>
      <c r="L8" s="163"/>
      <c r="M8" s="164"/>
      <c r="N8" s="72">
        <f>COUNTIFS(缺陷明细!$A$2:$A$50000,$B$4,缺陷明细!$G$2:$G$50000,$C8,缺陷明细!$J$2:$J$50000,"系统测试案例评审",缺陷明细!$AA$2:$AA$50000,"&lt;&gt;丢弃",缺陷明细!$AA$2:$AA$50000,"&lt;&gt;设计如此",缺陷明细!$AA$2:$AA$50000,"&lt;&gt;重复Bug")</f>
        <v>0</v>
      </c>
      <c r="O8" s="72">
        <f>COUNTIFS(缺陷明细!$A$2:$A$50000,$B$4,缺陷明细!$G$2:$G$50000,$C8,缺陷明细!$Q$2:$Q$50000,"已关闭",缺陷明细!$J$2:$J$50000,"系统测试案例评审")</f>
        <v>0</v>
      </c>
      <c r="P8" s="72">
        <f>COUNTIFS(缺陷明细!$A$2:$A$50000,$B$4,缺陷明细!$G$2:$G$50000,$C8,缺陷明细!$J$2:$J$50000,"系统测试",缺陷明细!$AA$2:$AA$50000,"&lt;&gt;丢弃",缺陷明细!$AA$2:$AA$50000,"&lt;&gt;设计如此",缺陷明细!$AA$2:$AA$50000,"&lt;&gt;重复Bug")</f>
        <v>0</v>
      </c>
      <c r="Q8" s="72">
        <f>COUNTIFS(缺陷明细!$A$2:$A$50000,$B$4,缺陷明细!$G$2:$G$50000,$C8,缺陷明细!$Q$2:$Q$50000,"已关闭",缺陷明细!$J$2:$J$50000,"系统测试")</f>
        <v>0</v>
      </c>
      <c r="R8" s="72">
        <f>COUNTIFS(缺陷明细!$A$2:$A$50000,$B$4,缺陷明细!$G$2:$G$50000,$C8,缺陷明细!$AA$2:$AA$50000,"丢弃",缺陷明细!$J$2:$J$50000,"系统测试")+COUNTIFS(缺陷明细!$A$2:$A$50000,$B$4,缺陷明细!$G$2:$G$50000,$C8,缺陷明细!$AA$2:$AA$50000,"设计如此",缺陷明细!$J$2:$J$50000,"系统测试"+COUNTIFS(缺陷明细!$A$2:$A$50000,$B$4,缺陷明细!$G$2:$G$50000,$C8,缺陷明细!$AA$2:$AA$50000,"重复Bug",缺陷明细!$J$2:$J$50000,"系统测试"))</f>
        <v>0</v>
      </c>
      <c r="S8" s="72">
        <f>COUNTIFS(缺陷明细!$A$2:$A$50000,$B$4,缺陷明细!$G$2:$G$50000,$C8,缺陷明细!$J$2:$J$50000,"系统测试",缺陷明细!$K$2:$K$50000,"致命",缺陷明细!$AA$2:$AA$50000,"&lt;&gt;丢弃",缺陷明细!$AA$2:$AA$50000,"&lt;&gt;设计如此",缺陷明细!$AA$2:$AA$50000,"&lt;&gt;重复Bug")+COUNTIFS(缺陷明细!$A$2:$A$50000,$B$4,缺陷明细!$G$2:$G$50000,$C8,缺陷明细!$J$2:$J$50000,"系统测试",缺陷明细!$K$2:$K$50000,"严重",缺陷明细!$AA$2:$AA$50000,"&lt;&gt;丢弃",缺陷明细!$AA$2:$AA$50000,"&lt;&gt;设计如此",缺陷明细!$AA$2:$AA$50000,"&lt;&gt;重复Bug")</f>
        <v>0</v>
      </c>
      <c r="T8" s="73">
        <f>COUNTIFS(缺陷明细!$A$2:$A$50000,$B$4,缺陷明细!$G$2:$G$50000,$C8,缺陷明细!$Q$2:$Q$50000,"已关闭",缺陷明细!$J$2:$J$50000,"系统测试",缺陷明细!$K$2:$K$50000,"致命")+COUNTIFS(缺陷明细!$A$2:$A$50000,$B$4,缺陷明细!$G$2:$G$50000,$C8,缺陷明细!$Q$2:$Q$50000,"已关闭",缺陷明细!$J$2:$J$50000,"系统测试",缺陷明细!$K$2:$K$50000,"严重")</f>
        <v>0</v>
      </c>
      <c r="U8" s="74">
        <f>COUNTIFS(缺陷明细!$A$2:$A$50000,$B$4,缺陷明细!$G$2:$G$50000,$C8,缺陷明细!$J$2:$J$50000,"验收测试",缺陷明细!$AA$2:$AA$50000,"&lt;&gt;丢弃",缺陷明细!$AA$2:$AA$50000,"&lt;&gt;设计如此",缺陷明细!$AA$2:$AA$50000,"&lt;&gt;重复Bug")</f>
        <v>0</v>
      </c>
      <c r="V8" s="75">
        <f>COUNTIFS(缺陷明细!$A$2:$A$50000,$B$4,缺陷明细!$G$2:$G$50000,$C8,缺陷明细!$Q$2:$Q$50000,"已关闭",缺陷明细!$J$2:$J$50000,"验收测试")</f>
        <v>0</v>
      </c>
      <c r="W8" s="75">
        <f>COUNTIFS(缺陷明细!$A$2:$A$50000,$B$4,缺陷明细!$G$2:$G$50000,$C8,缺陷明细!$J$2:$J$50000,"验收测试",缺陷明细!$K$2:$K$50000,"致命",缺陷明细!$AA$2:$AA$50000,"&lt;&gt;丢弃",缺陷明细!$AA$2:$AA$50000,"&lt;&gt;设计如此",缺陷明细!$AA$2:$AA$50000,"&lt;&gt;重复Bug")+COUNTIFS(缺陷明细!$A$2:$A$50000,$B$4,缺陷明细!$G$2:$G$50000,$C8,缺陷明细!$J$2:$J$50000,"验收测试",缺陷明细!$K$2:$K$50000,"严重",缺陷明细!$AA$2:$AA$50000,"&lt;&gt;丢弃",缺陷明细!$AA$2:$AA$50000,"&lt;&gt;设计如此",缺陷明细!$AA$2:$AA$50000,"&lt;&gt;重复Bug")</f>
        <v>0</v>
      </c>
      <c r="X8" s="76">
        <f>COUNTIFS(缺陷明细!$A$2:$A$50000,$B$4,缺陷明细!$G$2:$G$50000,$C8,缺陷明细!$Q$2:$Q$50000,"已关闭",缺陷明细!$J$2:$J$50000,"验收测试",缺陷明细!$K$2:$K$50000,"致命")+COUNTIFS(缺陷明细!$A$2:$A$50000,$B$4,缺陷明细!$G$2:$G$50000,$C8,缺陷明细!$Q$2:$Q$50000,"已关闭",缺陷明细!$J$2:$J$50000,"验收测试",缺陷明细!$K$2:$K$50000,"严重")</f>
        <v>0</v>
      </c>
      <c r="Y8" s="70">
        <f>COUNTIFS(缺陷明细!$A$2:$A$50000,$B$4,缺陷明细!$G$2:$G$50000,$C8,缺陷明细!$J$2:$J$50000,"运维测试",缺陷明细!$AA$2:$AA$50000,"&lt;&gt;丢弃",缺陷明细!$AA$2:$AA$50000,"&lt;&gt;设计如此",缺陷明细!$AA$2:$AA$50000,"&lt;&gt;重复Bug")</f>
        <v>0</v>
      </c>
      <c r="Z8" s="71">
        <f>COUNTIFS(缺陷明细!$A$2:$A$50000,$B$4,缺陷明细!$G$2:$G$50000,$C8,缺陷明细!$Q$2:$Q$50000,"已关闭",缺陷明细!$J$2:$J$50000,"运维测试")</f>
        <v>0</v>
      </c>
      <c r="AA8" s="72">
        <f>COUNTIFS(缺陷明细!$A$2:$A$50000,$B$4,缺陷明细!$G$2:$G$50000,$C8,缺陷明细!$J$2:$J$50000,"运维测试",缺陷明细!$K$2:$K$50000,"致命",缺陷明细!$AA$2:$AA$50000,"&lt;&gt;丢弃",缺陷明细!$AA$2:$AA$50000,"&lt;&gt;设计如此",缺陷明细!$AA$2:$AA$50000,"&lt;&gt;重复Bug")+COUNTIFS(缺陷明细!$A$2:$A$50000,$B$4,缺陷明细!$G$2:$G$50000,$C8,缺陷明细!$J$2:$J$50000,"运维测试",缺陷明细!$K$2:$K$50000,"严重",缺陷明细!$AA$2:$AA$50000,"&lt;&gt;丢弃",缺陷明细!$AA$2:$AA$50000,"&lt;&gt;设计如此",缺陷明细!$AA$2:$AA$50000,"&lt;&gt;重复Bug")</f>
        <v>0</v>
      </c>
      <c r="AB8" s="73">
        <f>COUNTIFS(缺陷明细!$A$2:$A$50000,$B$4,缺陷明细!$G$2:$G$50000,$C8,缺陷明细!$Q$2:$Q$50000,"已关闭",缺陷明细!$J$2:$J$50000,"运维测试",缺陷明细!$K$2:$K$50000,"致命")+COUNTIFS(缺陷明细!$A$2:$A$50000,$B$4,缺陷明细!$G$2:$G$50000,$C8,缺陷明细!$Q$2:$Q$50000,"已关闭",缺陷明细!$J$2:$J$50000,"运维测试",缺陷明细!$K$2:$K$50000,"严重")</f>
        <v>0</v>
      </c>
      <c r="AC8" s="68">
        <f t="shared" si="0"/>
        <v>0</v>
      </c>
      <c r="AD8" s="60">
        <f t="shared" si="0"/>
        <v>0</v>
      </c>
      <c r="AE8" s="60">
        <f t="shared" si="1"/>
        <v>0</v>
      </c>
      <c r="AF8" s="60">
        <f t="shared" si="1"/>
        <v>0</v>
      </c>
      <c r="AG8" s="60">
        <f t="shared" si="2"/>
        <v>0</v>
      </c>
      <c r="AH8" s="60">
        <f t="shared" si="2"/>
        <v>0</v>
      </c>
      <c r="AI8" s="60">
        <f t="shared" si="3"/>
        <v>0</v>
      </c>
      <c r="AJ8" s="61">
        <f t="shared" si="3"/>
        <v>0</v>
      </c>
      <c r="AK8" s="151"/>
    </row>
    <row r="9" spans="1:37">
      <c r="A9">
        <v>5</v>
      </c>
      <c r="B9" s="57"/>
      <c r="C9" s="59"/>
      <c r="D9" s="84"/>
      <c r="E9" s="82"/>
      <c r="F9" s="167"/>
      <c r="G9" s="168"/>
      <c r="H9" s="305">
        <f>COUNTIFS(缺陷明细!$A$2:$A$50000,$B$4,缺陷明细!$G$2:$G$50000,$C9,缺陷明细!$J$2:$J$50000,"评审",缺陷明细!$AA$2:$AA$50000,"&lt;&gt;丢弃",缺陷明细!$AA$2:$AA$50000,"&lt;&gt;设计如此",缺陷明细!$AA$2:$AA$50000,"&lt;&gt;重复Bug")</f>
        <v>0</v>
      </c>
      <c r="I9" s="161">
        <f>COUNTIFS(缺陷明细!$A$2:$A$50000,$B$4,缺陷明细!$G$2:$G$50000,$C9,缺陷明细!$Q$2:$Q$50000,"已关闭",缺陷明细!$J$2:$J$50000,"评审")</f>
        <v>0</v>
      </c>
      <c r="J9" s="161">
        <f>COUNTIFS(缺陷明细!$A$2:$A$50000,$B$4,缺陷明细!$G$2:$G$50000,$C9,缺陷明细!$J$2:$J$50000,"单元测试",缺陷明细!$AA$2:$AA$50000,"&lt;&gt;丢弃",缺陷明细!$AA$2:$AA$50000,"&lt;&gt;设计如此",缺陷明细!$AA$2:$AA$50000,"&lt;&gt;重复Bug")</f>
        <v>0</v>
      </c>
      <c r="K9" s="162">
        <f>COUNTIFS(缺陷明细!$A$2:$A$50000,$B$4,缺陷明细!$G$2:$G$50000,$C9,缺陷明细!$Q$2:$Q$50000,"已关闭",缺陷明细!$J$2:$J$50000,"单元测试")</f>
        <v>0</v>
      </c>
      <c r="L9" s="163"/>
      <c r="M9" s="164"/>
      <c r="N9" s="72">
        <f>COUNTIFS(缺陷明细!$A$2:$A$50000,$B$4,缺陷明细!$G$2:$G$50000,$C9,缺陷明细!$J$2:$J$50000,"系统测试案例评审",缺陷明细!$AA$2:$AA$50000,"&lt;&gt;丢弃",缺陷明细!$AA$2:$AA$50000,"&lt;&gt;设计如此",缺陷明细!$AA$2:$AA$50000,"&lt;&gt;重复Bug")</f>
        <v>0</v>
      </c>
      <c r="O9" s="72">
        <f>COUNTIFS(缺陷明细!$A$2:$A$50000,$B$4,缺陷明细!$G$2:$G$50000,$C9,缺陷明细!$Q$2:$Q$50000,"已关闭",缺陷明细!$J$2:$J$50000,"系统测试案例评审")</f>
        <v>0</v>
      </c>
      <c r="P9" s="72">
        <f>COUNTIFS(缺陷明细!$A$2:$A$50000,$B$4,缺陷明细!$G$2:$G$50000,$C9,缺陷明细!$J$2:$J$50000,"系统测试",缺陷明细!$AA$2:$AA$50000,"&lt;&gt;丢弃",缺陷明细!$AA$2:$AA$50000,"&lt;&gt;设计如此",缺陷明细!$AA$2:$AA$50000,"&lt;&gt;重复Bug")</f>
        <v>0</v>
      </c>
      <c r="Q9" s="72">
        <f>COUNTIFS(缺陷明细!$A$2:$A$50000,$B$4,缺陷明细!$G$2:$G$50000,$C9,缺陷明细!$Q$2:$Q$50000,"已关闭",缺陷明细!$J$2:$J$50000,"系统测试")</f>
        <v>0</v>
      </c>
      <c r="R9" s="72">
        <f>COUNTIFS(缺陷明细!$A$2:$A$50000,$B$4,缺陷明细!$G$2:$G$50000,$C9,缺陷明细!$AA$2:$AA$50000,"丢弃",缺陷明细!$J$2:$J$50000,"系统测试")+COUNTIFS(缺陷明细!$A$2:$A$50000,$B$4,缺陷明细!$G$2:$G$50000,$C9,缺陷明细!$AA$2:$AA$50000,"设计如此",缺陷明细!$J$2:$J$50000,"系统测试"+COUNTIFS(缺陷明细!$A$2:$A$50000,$B$4,缺陷明细!$G$2:$G$50000,$C9,缺陷明细!$AA$2:$AA$50000,"重复Bug",缺陷明细!$J$2:$J$50000,"系统测试"))</f>
        <v>0</v>
      </c>
      <c r="S9" s="72">
        <f>COUNTIFS(缺陷明细!$A$2:$A$50000,$B$4,缺陷明细!$G$2:$G$50000,$C9,缺陷明细!$J$2:$J$50000,"系统测试",缺陷明细!$K$2:$K$50000,"致命",缺陷明细!$AA$2:$AA$50000,"&lt;&gt;丢弃",缺陷明细!$AA$2:$AA$50000,"&lt;&gt;设计如此",缺陷明细!$AA$2:$AA$50000,"&lt;&gt;重复Bug")+COUNTIFS(缺陷明细!$A$2:$A$50000,$B$4,缺陷明细!$G$2:$G$50000,$C9,缺陷明细!$J$2:$J$50000,"系统测试",缺陷明细!$K$2:$K$50000,"严重",缺陷明细!$AA$2:$AA$50000,"&lt;&gt;丢弃",缺陷明细!$AA$2:$AA$50000,"&lt;&gt;设计如此",缺陷明细!$AA$2:$AA$50000,"&lt;&gt;重复Bug")</f>
        <v>0</v>
      </c>
      <c r="T9" s="73">
        <f>COUNTIFS(缺陷明细!$A$2:$A$50000,$B$4,缺陷明细!$G$2:$G$50000,$C9,缺陷明细!$Q$2:$Q$50000,"已关闭",缺陷明细!$J$2:$J$50000,"系统测试",缺陷明细!$K$2:$K$50000,"致命")+COUNTIFS(缺陷明细!$A$2:$A$50000,$B$4,缺陷明细!$G$2:$G$50000,$C9,缺陷明细!$Q$2:$Q$50000,"已关闭",缺陷明细!$J$2:$J$50000,"系统测试",缺陷明细!$K$2:$K$50000,"严重")</f>
        <v>0</v>
      </c>
      <c r="U9" s="74">
        <f>COUNTIFS(缺陷明细!$A$2:$A$50000,$B$4,缺陷明细!$G$2:$G$50000,$C9,缺陷明细!$J$2:$J$50000,"验收测试",缺陷明细!$AA$2:$AA$50000,"&lt;&gt;丢弃",缺陷明细!$AA$2:$AA$50000,"&lt;&gt;设计如此",缺陷明细!$AA$2:$AA$50000,"&lt;&gt;重复Bug")</f>
        <v>0</v>
      </c>
      <c r="V9" s="75">
        <f>COUNTIFS(缺陷明细!$A$2:$A$50000,$B$4,缺陷明细!$G$2:$G$50000,$C9,缺陷明细!$Q$2:$Q$50000,"已关闭",缺陷明细!$J$2:$J$50000,"验收测试")</f>
        <v>0</v>
      </c>
      <c r="W9" s="75">
        <f>COUNTIFS(缺陷明细!$A$2:$A$50000,$B$4,缺陷明细!$G$2:$G$50000,$C9,缺陷明细!$J$2:$J$50000,"验收测试",缺陷明细!$K$2:$K$50000,"致命",缺陷明细!$AA$2:$AA$50000,"&lt;&gt;丢弃",缺陷明细!$AA$2:$AA$50000,"&lt;&gt;设计如此",缺陷明细!$AA$2:$AA$50000,"&lt;&gt;重复Bug")+COUNTIFS(缺陷明细!$A$2:$A$50000,$B$4,缺陷明细!$G$2:$G$50000,$C9,缺陷明细!$J$2:$J$50000,"验收测试",缺陷明细!$K$2:$K$50000,"严重",缺陷明细!$AA$2:$AA$50000,"&lt;&gt;丢弃",缺陷明细!$AA$2:$AA$50000,"&lt;&gt;设计如此",缺陷明细!$AA$2:$AA$50000,"&lt;&gt;重复Bug")</f>
        <v>0</v>
      </c>
      <c r="X9" s="76">
        <f>COUNTIFS(缺陷明细!$A$2:$A$50000,$B$4,缺陷明细!$G$2:$G$50000,$C9,缺陷明细!$Q$2:$Q$50000,"已关闭",缺陷明细!$J$2:$J$50000,"验收测试",缺陷明细!$K$2:$K$50000,"致命")+COUNTIFS(缺陷明细!$A$2:$A$50000,$B$4,缺陷明细!$G$2:$G$50000,$C9,缺陷明细!$Q$2:$Q$50000,"已关闭",缺陷明细!$J$2:$J$50000,"验收测试",缺陷明细!$K$2:$K$50000,"严重")</f>
        <v>0</v>
      </c>
      <c r="Y9" s="70">
        <f>COUNTIFS(缺陷明细!$A$2:$A$50000,$B$4,缺陷明细!$G$2:$G$50000,$C9,缺陷明细!$J$2:$J$50000,"运维测试",缺陷明细!$AA$2:$AA$50000,"&lt;&gt;丢弃",缺陷明细!$AA$2:$AA$50000,"&lt;&gt;设计如此",缺陷明细!$AA$2:$AA$50000,"&lt;&gt;重复Bug")</f>
        <v>0</v>
      </c>
      <c r="Z9" s="71">
        <f>COUNTIFS(缺陷明细!$A$2:$A$50000,$B$4,缺陷明细!$G$2:$G$50000,$C9,缺陷明细!$Q$2:$Q$50000,"已关闭",缺陷明细!$J$2:$J$50000,"运维测试")</f>
        <v>0</v>
      </c>
      <c r="AA9" s="72">
        <f>COUNTIFS(缺陷明细!$A$2:$A$50000,$B$4,缺陷明细!$G$2:$G$50000,$C9,缺陷明细!$J$2:$J$50000,"运维测试",缺陷明细!$K$2:$K$50000,"致命",缺陷明细!$AA$2:$AA$50000,"&lt;&gt;丢弃",缺陷明细!$AA$2:$AA$50000,"&lt;&gt;设计如此",缺陷明细!$AA$2:$AA$50000,"&lt;&gt;重复Bug")+COUNTIFS(缺陷明细!$A$2:$A$50000,$B$4,缺陷明细!$G$2:$G$50000,$C9,缺陷明细!$J$2:$J$50000,"运维测试",缺陷明细!$K$2:$K$50000,"严重",缺陷明细!$AA$2:$AA$50000,"&lt;&gt;丢弃",缺陷明细!$AA$2:$AA$50000,"&lt;&gt;设计如此",缺陷明细!$AA$2:$AA$50000,"&lt;&gt;重复Bug")</f>
        <v>0</v>
      </c>
      <c r="AB9" s="73">
        <f>COUNTIFS(缺陷明细!$A$2:$A$50000,$B$4,缺陷明细!$G$2:$G$50000,$C9,缺陷明细!$Q$2:$Q$50000,"已关闭",缺陷明细!$J$2:$J$50000,"运维测试",缺陷明细!$K$2:$K$50000,"致命")+COUNTIFS(缺陷明细!$A$2:$A$50000,$B$4,缺陷明细!$G$2:$G$50000,$C9,缺陷明细!$Q$2:$Q$50000,"已关闭",缺陷明细!$J$2:$J$50000,"运维测试",缺陷明细!$K$2:$K$50000,"严重")</f>
        <v>0</v>
      </c>
      <c r="AC9" s="68">
        <f t="shared" si="0"/>
        <v>0</v>
      </c>
      <c r="AD9" s="60">
        <f t="shared" si="0"/>
        <v>0</v>
      </c>
      <c r="AE9" s="60">
        <f t="shared" si="1"/>
        <v>0</v>
      </c>
      <c r="AF9" s="60">
        <f t="shared" si="1"/>
        <v>0</v>
      </c>
      <c r="AG9" s="60">
        <f t="shared" si="2"/>
        <v>0</v>
      </c>
      <c r="AH9" s="60">
        <f t="shared" si="2"/>
        <v>0</v>
      </c>
      <c r="AI9" s="60">
        <f t="shared" si="3"/>
        <v>0</v>
      </c>
      <c r="AJ9" s="61">
        <f t="shared" si="3"/>
        <v>0</v>
      </c>
      <c r="AK9" s="151"/>
    </row>
    <row r="10" spans="1:37">
      <c r="A10">
        <v>6</v>
      </c>
      <c r="B10" s="57"/>
      <c r="C10" s="58"/>
      <c r="D10" s="84"/>
      <c r="E10" s="82"/>
      <c r="F10" s="165"/>
      <c r="G10" s="166"/>
      <c r="H10" s="305">
        <f>COUNTIFS(缺陷明细!$A$2:$A$50000,$B$4,缺陷明细!$G$2:$G$50000,$C10,缺陷明细!$J$2:$J$50000,"评审",缺陷明细!$AA$2:$AA$50000,"&lt;&gt;丢弃",缺陷明细!$AA$2:$AA$50000,"&lt;&gt;设计如此",缺陷明细!$AA$2:$AA$50000,"&lt;&gt;重复Bug")</f>
        <v>0</v>
      </c>
      <c r="I10" s="161">
        <f>COUNTIFS(缺陷明细!$A$2:$A$50000,$B$4,缺陷明细!$G$2:$G$50000,$C10,缺陷明细!$Q$2:$Q$50000,"已关闭",缺陷明细!$J$2:$J$50000,"评审")</f>
        <v>0</v>
      </c>
      <c r="J10" s="161">
        <f>COUNTIFS(缺陷明细!$A$2:$A$50000,$B$4,缺陷明细!$G$2:$G$50000,$C10,缺陷明细!$J$2:$J$50000,"单元测试",缺陷明细!$AA$2:$AA$50000,"&lt;&gt;丢弃",缺陷明细!$AA$2:$AA$50000,"&lt;&gt;设计如此",缺陷明细!$AA$2:$AA$50000,"&lt;&gt;重复Bug")</f>
        <v>0</v>
      </c>
      <c r="K10" s="162">
        <f>COUNTIFS(缺陷明细!$A$2:$A$50000,$B$4,缺陷明细!$G$2:$G$50000,$C10,缺陷明细!$Q$2:$Q$50000,"已关闭",缺陷明细!$J$2:$J$50000,"单元测试")</f>
        <v>0</v>
      </c>
      <c r="L10" s="163"/>
      <c r="M10" s="164"/>
      <c r="N10" s="72">
        <f>COUNTIFS(缺陷明细!$A$2:$A$50000,$B$4,缺陷明细!$G$2:$G$50000,$C10,缺陷明细!$J$2:$J$50000,"系统测试案例评审",缺陷明细!$AA$2:$AA$50000,"&lt;&gt;丢弃",缺陷明细!$AA$2:$AA$50000,"&lt;&gt;设计如此",缺陷明细!$AA$2:$AA$50000,"&lt;&gt;重复Bug")</f>
        <v>0</v>
      </c>
      <c r="O10" s="72">
        <f>COUNTIFS(缺陷明细!$A$2:$A$50000,$B$4,缺陷明细!$G$2:$G$50000,$C10,缺陷明细!$Q$2:$Q$50000,"已关闭",缺陷明细!$J$2:$J$50000,"系统测试案例评审")</f>
        <v>0</v>
      </c>
      <c r="P10" s="72">
        <f>COUNTIFS(缺陷明细!$A$2:$A$50000,$B$4,缺陷明细!$G$2:$G$50000,$C10,缺陷明细!$J$2:$J$50000,"系统测试",缺陷明细!$AA$2:$AA$50000,"&lt;&gt;丢弃",缺陷明细!$AA$2:$AA$50000,"&lt;&gt;设计如此",缺陷明细!$AA$2:$AA$50000,"&lt;&gt;重复Bug")</f>
        <v>0</v>
      </c>
      <c r="Q10" s="72">
        <f>COUNTIFS(缺陷明细!$A$2:$A$50000,$B$4,缺陷明细!$G$2:$G$50000,$C10,缺陷明细!$Q$2:$Q$50000,"已关闭",缺陷明细!$J$2:$J$50000,"系统测试")</f>
        <v>0</v>
      </c>
      <c r="R10" s="72">
        <f>COUNTIFS(缺陷明细!$A$2:$A$50000,$B$4,缺陷明细!$G$2:$G$50000,$C10,缺陷明细!$AA$2:$AA$50000,"丢弃",缺陷明细!$J$2:$J$50000,"系统测试")+COUNTIFS(缺陷明细!$A$2:$A$50000,$B$4,缺陷明细!$G$2:$G$50000,$C10,缺陷明细!$AA$2:$AA$50000,"设计如此",缺陷明细!$J$2:$J$50000,"系统测试"+COUNTIFS(缺陷明细!$A$2:$A$50000,$B$4,缺陷明细!$G$2:$G$50000,$C10,缺陷明细!$AA$2:$AA$50000,"重复Bug",缺陷明细!$J$2:$J$50000,"系统测试"))</f>
        <v>0</v>
      </c>
      <c r="S10" s="72">
        <f>COUNTIFS(缺陷明细!$A$2:$A$50000,$B$4,缺陷明细!$G$2:$G$50000,$C10,缺陷明细!$J$2:$J$50000,"系统测试",缺陷明细!$K$2:$K$50000,"致命",缺陷明细!$AA$2:$AA$50000,"&lt;&gt;丢弃",缺陷明细!$AA$2:$AA$50000,"&lt;&gt;设计如此",缺陷明细!$AA$2:$AA$50000,"&lt;&gt;重复Bug")+COUNTIFS(缺陷明细!$A$2:$A$50000,$B$4,缺陷明细!$G$2:$G$50000,$C10,缺陷明细!$J$2:$J$50000,"系统测试",缺陷明细!$K$2:$K$50000,"严重",缺陷明细!$AA$2:$AA$50000,"&lt;&gt;丢弃",缺陷明细!$AA$2:$AA$50000,"&lt;&gt;设计如此",缺陷明细!$AA$2:$AA$50000,"&lt;&gt;重复Bug")</f>
        <v>0</v>
      </c>
      <c r="T10" s="73">
        <f>COUNTIFS(缺陷明细!$A$2:$A$50000,$B$4,缺陷明细!$G$2:$G$50000,$C10,缺陷明细!$Q$2:$Q$50000,"已关闭",缺陷明细!$J$2:$J$50000,"系统测试",缺陷明细!$K$2:$K$50000,"致命")+COUNTIFS(缺陷明细!$A$2:$A$50000,$B$4,缺陷明细!$G$2:$G$50000,$C10,缺陷明细!$Q$2:$Q$50000,"已关闭",缺陷明细!$J$2:$J$50000,"系统测试",缺陷明细!$K$2:$K$50000,"严重")</f>
        <v>0</v>
      </c>
      <c r="U10" s="74">
        <f>COUNTIFS(缺陷明细!$A$2:$A$50000,$B$4,缺陷明细!$G$2:$G$50000,$C10,缺陷明细!$J$2:$J$50000,"验收测试",缺陷明细!$AA$2:$AA$50000,"&lt;&gt;丢弃",缺陷明细!$AA$2:$AA$50000,"&lt;&gt;设计如此",缺陷明细!$AA$2:$AA$50000,"&lt;&gt;重复Bug")</f>
        <v>0</v>
      </c>
      <c r="V10" s="75">
        <f>COUNTIFS(缺陷明细!$A$2:$A$50000,$B$4,缺陷明细!$G$2:$G$50000,$C10,缺陷明细!$Q$2:$Q$50000,"已关闭",缺陷明细!$J$2:$J$50000,"验收测试")</f>
        <v>0</v>
      </c>
      <c r="W10" s="75">
        <f>COUNTIFS(缺陷明细!$A$2:$A$50000,$B$4,缺陷明细!$G$2:$G$50000,$C10,缺陷明细!$J$2:$J$50000,"验收测试",缺陷明细!$K$2:$K$50000,"致命",缺陷明细!$AA$2:$AA$50000,"&lt;&gt;丢弃",缺陷明细!$AA$2:$AA$50000,"&lt;&gt;设计如此",缺陷明细!$AA$2:$AA$50000,"&lt;&gt;重复Bug")+COUNTIFS(缺陷明细!$A$2:$A$50000,$B$4,缺陷明细!$G$2:$G$50000,$C10,缺陷明细!$J$2:$J$50000,"验收测试",缺陷明细!$K$2:$K$50000,"严重",缺陷明细!$AA$2:$AA$50000,"&lt;&gt;丢弃",缺陷明细!$AA$2:$AA$50000,"&lt;&gt;设计如此",缺陷明细!$AA$2:$AA$50000,"&lt;&gt;重复Bug")</f>
        <v>0</v>
      </c>
      <c r="X10" s="76">
        <f>COUNTIFS(缺陷明细!$A$2:$A$50000,$B$4,缺陷明细!$G$2:$G$50000,$C10,缺陷明细!$Q$2:$Q$50000,"已关闭",缺陷明细!$J$2:$J$50000,"验收测试",缺陷明细!$K$2:$K$50000,"致命")+COUNTIFS(缺陷明细!$A$2:$A$50000,$B$4,缺陷明细!$G$2:$G$50000,$C10,缺陷明细!$Q$2:$Q$50000,"已关闭",缺陷明细!$J$2:$J$50000,"验收测试",缺陷明细!$K$2:$K$50000,"严重")</f>
        <v>0</v>
      </c>
      <c r="Y10" s="70">
        <f>COUNTIFS(缺陷明细!$A$2:$A$50000,$B$4,缺陷明细!$G$2:$G$50000,$C10,缺陷明细!$J$2:$J$50000,"运维测试",缺陷明细!$AA$2:$AA$50000,"&lt;&gt;丢弃",缺陷明细!$AA$2:$AA$50000,"&lt;&gt;设计如此",缺陷明细!$AA$2:$AA$50000,"&lt;&gt;重复Bug")</f>
        <v>0</v>
      </c>
      <c r="Z10" s="71">
        <f>COUNTIFS(缺陷明细!$A$2:$A$50000,$B$4,缺陷明细!$G$2:$G$50000,$C10,缺陷明细!$Q$2:$Q$50000,"已关闭",缺陷明细!$J$2:$J$50000,"运维测试")</f>
        <v>0</v>
      </c>
      <c r="AA10" s="72">
        <f>COUNTIFS(缺陷明细!$A$2:$A$50000,$B$4,缺陷明细!$G$2:$G$50000,$C10,缺陷明细!$J$2:$J$50000,"运维测试",缺陷明细!$K$2:$K$50000,"致命",缺陷明细!$AA$2:$AA$50000,"&lt;&gt;丢弃",缺陷明细!$AA$2:$AA$50000,"&lt;&gt;设计如此",缺陷明细!$AA$2:$AA$50000,"&lt;&gt;重复Bug")+COUNTIFS(缺陷明细!$A$2:$A$50000,$B$4,缺陷明细!$G$2:$G$50000,$C10,缺陷明细!$J$2:$J$50000,"运维测试",缺陷明细!$K$2:$K$50000,"严重",缺陷明细!$AA$2:$AA$50000,"&lt;&gt;丢弃",缺陷明细!$AA$2:$AA$50000,"&lt;&gt;设计如此",缺陷明细!$AA$2:$AA$50000,"&lt;&gt;重复Bug")</f>
        <v>0</v>
      </c>
      <c r="AB10" s="73">
        <f>COUNTIFS(缺陷明细!$A$2:$A$50000,$B$4,缺陷明细!$G$2:$G$50000,$C10,缺陷明细!$Q$2:$Q$50000,"已关闭",缺陷明细!$J$2:$J$50000,"运维测试",缺陷明细!$K$2:$K$50000,"致命")+COUNTIFS(缺陷明细!$A$2:$A$50000,$B$4,缺陷明细!$G$2:$G$50000,$C10,缺陷明细!$Q$2:$Q$50000,"已关闭",缺陷明细!$J$2:$J$50000,"运维测试",缺陷明细!$K$2:$K$50000,"严重")</f>
        <v>0</v>
      </c>
      <c r="AC10" s="68">
        <f t="shared" si="0"/>
        <v>0</v>
      </c>
      <c r="AD10" s="60">
        <f t="shared" si="0"/>
        <v>0</v>
      </c>
      <c r="AE10" s="60">
        <f t="shared" si="1"/>
        <v>0</v>
      </c>
      <c r="AF10" s="60">
        <f t="shared" si="1"/>
        <v>0</v>
      </c>
      <c r="AG10" s="60">
        <f t="shared" si="2"/>
        <v>0</v>
      </c>
      <c r="AH10" s="60">
        <f t="shared" si="2"/>
        <v>0</v>
      </c>
      <c r="AI10" s="60">
        <f t="shared" si="3"/>
        <v>0</v>
      </c>
      <c r="AJ10" s="61">
        <f t="shared" si="3"/>
        <v>0</v>
      </c>
      <c r="AK10" s="151"/>
    </row>
    <row r="11" spans="1:37">
      <c r="A11">
        <v>7</v>
      </c>
      <c r="B11" s="57"/>
      <c r="C11" s="58"/>
      <c r="D11" s="84"/>
      <c r="E11" s="82"/>
      <c r="F11" s="165"/>
      <c r="G11" s="166"/>
      <c r="H11" s="305">
        <f>COUNTIFS(缺陷明细!$A$2:$A$50000,$B$4,缺陷明细!$G$2:$G$50000,$C11,缺陷明细!$J$2:$J$50000,"评审",缺陷明细!$AA$2:$AA$50000,"&lt;&gt;丢弃",缺陷明细!$AA$2:$AA$50000,"&lt;&gt;设计如此",缺陷明细!$AA$2:$AA$50000,"&lt;&gt;重复Bug")</f>
        <v>0</v>
      </c>
      <c r="I11" s="161">
        <f>COUNTIFS(缺陷明细!$A$2:$A$50000,$B$4,缺陷明细!$G$2:$G$50000,$C11,缺陷明细!$Q$2:$Q$50000,"已关闭",缺陷明细!$J$2:$J$50000,"评审")</f>
        <v>0</v>
      </c>
      <c r="J11" s="161">
        <f>COUNTIFS(缺陷明细!$A$2:$A$50000,$B$4,缺陷明细!$G$2:$G$50000,$C11,缺陷明细!$J$2:$J$50000,"单元测试",缺陷明细!$AA$2:$AA$50000,"&lt;&gt;丢弃",缺陷明细!$AA$2:$AA$50000,"&lt;&gt;设计如此",缺陷明细!$AA$2:$AA$50000,"&lt;&gt;重复Bug")</f>
        <v>0</v>
      </c>
      <c r="K11" s="162">
        <f>COUNTIFS(缺陷明细!$A$2:$A$50000,$B$4,缺陷明细!$G$2:$G$50000,$C11,缺陷明细!$Q$2:$Q$50000,"已关闭",缺陷明细!$J$2:$J$50000,"单元测试")</f>
        <v>0</v>
      </c>
      <c r="L11" s="163"/>
      <c r="M11" s="164"/>
      <c r="N11" s="72">
        <f>COUNTIFS(缺陷明细!$A$2:$A$50000,$B$4,缺陷明细!$G$2:$G$50000,$C11,缺陷明细!$J$2:$J$50000,"系统测试案例评审",缺陷明细!$AA$2:$AA$50000,"&lt;&gt;丢弃",缺陷明细!$AA$2:$AA$50000,"&lt;&gt;设计如此",缺陷明细!$AA$2:$AA$50000,"&lt;&gt;重复Bug")</f>
        <v>0</v>
      </c>
      <c r="O11" s="72">
        <f>COUNTIFS(缺陷明细!$A$2:$A$50000,$B$4,缺陷明细!$G$2:$G$50000,$C11,缺陷明细!$Q$2:$Q$50000,"已关闭",缺陷明细!$J$2:$J$50000,"系统测试案例评审")</f>
        <v>0</v>
      </c>
      <c r="P11" s="72">
        <f>COUNTIFS(缺陷明细!$A$2:$A$50000,$B$4,缺陷明细!$G$2:$G$50000,$C11,缺陷明细!$J$2:$J$50000,"系统测试",缺陷明细!$AA$2:$AA$50000,"&lt;&gt;丢弃",缺陷明细!$AA$2:$AA$50000,"&lt;&gt;设计如此",缺陷明细!$AA$2:$AA$50000,"&lt;&gt;重复Bug")</f>
        <v>0</v>
      </c>
      <c r="Q11" s="72">
        <f>COUNTIFS(缺陷明细!$A$2:$A$50000,$B$4,缺陷明细!$G$2:$G$50000,$C11,缺陷明细!$Q$2:$Q$50000,"已关闭",缺陷明细!$J$2:$J$50000,"系统测试")</f>
        <v>0</v>
      </c>
      <c r="R11" s="72">
        <f>COUNTIFS(缺陷明细!$A$2:$A$50000,$B$4,缺陷明细!$G$2:$G$50000,$C11,缺陷明细!$AA$2:$AA$50000,"丢弃",缺陷明细!$J$2:$J$50000,"系统测试")+COUNTIFS(缺陷明细!$A$2:$A$50000,$B$4,缺陷明细!$G$2:$G$50000,$C11,缺陷明细!$AA$2:$AA$50000,"设计如此",缺陷明细!$J$2:$J$50000,"系统测试"+COUNTIFS(缺陷明细!$A$2:$A$50000,$B$4,缺陷明细!$G$2:$G$50000,$C11,缺陷明细!$AA$2:$AA$50000,"重复Bug",缺陷明细!$J$2:$J$50000,"系统测试"))</f>
        <v>0</v>
      </c>
      <c r="S11" s="72">
        <f>COUNTIFS(缺陷明细!$A$2:$A$50000,$B$4,缺陷明细!$G$2:$G$50000,$C11,缺陷明细!$J$2:$J$50000,"系统测试",缺陷明细!$K$2:$K$50000,"致命",缺陷明细!$AA$2:$AA$50000,"&lt;&gt;丢弃",缺陷明细!$AA$2:$AA$50000,"&lt;&gt;设计如此",缺陷明细!$AA$2:$AA$50000,"&lt;&gt;重复Bug")+COUNTIFS(缺陷明细!$A$2:$A$50000,$B$4,缺陷明细!$G$2:$G$50000,$C11,缺陷明细!$J$2:$J$50000,"系统测试",缺陷明细!$K$2:$K$50000,"严重",缺陷明细!$AA$2:$AA$50000,"&lt;&gt;丢弃",缺陷明细!$AA$2:$AA$50000,"&lt;&gt;设计如此",缺陷明细!$AA$2:$AA$50000,"&lt;&gt;重复Bug")</f>
        <v>0</v>
      </c>
      <c r="T11" s="73">
        <f>COUNTIFS(缺陷明细!$A$2:$A$50000,$B$4,缺陷明细!$G$2:$G$50000,$C11,缺陷明细!$Q$2:$Q$50000,"已关闭",缺陷明细!$J$2:$J$50000,"系统测试",缺陷明细!$K$2:$K$50000,"致命")+COUNTIFS(缺陷明细!$A$2:$A$50000,$B$4,缺陷明细!$G$2:$G$50000,$C11,缺陷明细!$Q$2:$Q$50000,"已关闭",缺陷明细!$J$2:$J$50000,"系统测试",缺陷明细!$K$2:$K$50000,"严重")</f>
        <v>0</v>
      </c>
      <c r="U11" s="74">
        <f>COUNTIFS(缺陷明细!$A$2:$A$50000,$B$4,缺陷明细!$G$2:$G$50000,$C11,缺陷明细!$J$2:$J$50000,"验收测试",缺陷明细!$AA$2:$AA$50000,"&lt;&gt;丢弃",缺陷明细!$AA$2:$AA$50000,"&lt;&gt;设计如此",缺陷明细!$AA$2:$AA$50000,"&lt;&gt;重复Bug")</f>
        <v>0</v>
      </c>
      <c r="V11" s="75">
        <f>COUNTIFS(缺陷明细!$A$2:$A$50000,$B$4,缺陷明细!$G$2:$G$50000,$C11,缺陷明细!$Q$2:$Q$50000,"已关闭",缺陷明细!$J$2:$J$50000,"验收测试")</f>
        <v>0</v>
      </c>
      <c r="W11" s="75">
        <f>COUNTIFS(缺陷明细!$A$2:$A$50000,$B$4,缺陷明细!$G$2:$G$50000,$C11,缺陷明细!$J$2:$J$50000,"验收测试",缺陷明细!$K$2:$K$50000,"致命",缺陷明细!$AA$2:$AA$50000,"&lt;&gt;丢弃",缺陷明细!$AA$2:$AA$50000,"&lt;&gt;设计如此",缺陷明细!$AA$2:$AA$50000,"&lt;&gt;重复Bug")+COUNTIFS(缺陷明细!$A$2:$A$50000,$B$4,缺陷明细!$G$2:$G$50000,$C11,缺陷明细!$J$2:$J$50000,"验收测试",缺陷明细!$K$2:$K$50000,"严重",缺陷明细!$AA$2:$AA$50000,"&lt;&gt;丢弃",缺陷明细!$AA$2:$AA$50000,"&lt;&gt;设计如此",缺陷明细!$AA$2:$AA$50000,"&lt;&gt;重复Bug")</f>
        <v>0</v>
      </c>
      <c r="X11" s="76">
        <f>COUNTIFS(缺陷明细!$A$2:$A$50000,$B$4,缺陷明细!$G$2:$G$50000,$C11,缺陷明细!$Q$2:$Q$50000,"已关闭",缺陷明细!$J$2:$J$50000,"验收测试",缺陷明细!$K$2:$K$50000,"致命")+COUNTIFS(缺陷明细!$A$2:$A$50000,$B$4,缺陷明细!$G$2:$G$50000,$C11,缺陷明细!$Q$2:$Q$50000,"已关闭",缺陷明细!$J$2:$J$50000,"验收测试",缺陷明细!$K$2:$K$50000,"严重")</f>
        <v>0</v>
      </c>
      <c r="Y11" s="70">
        <f>COUNTIFS(缺陷明细!$A$2:$A$50000,$B$4,缺陷明细!$G$2:$G$50000,$C11,缺陷明细!$J$2:$J$50000,"运维测试",缺陷明细!$AA$2:$AA$50000,"&lt;&gt;丢弃",缺陷明细!$AA$2:$AA$50000,"&lt;&gt;设计如此",缺陷明细!$AA$2:$AA$50000,"&lt;&gt;重复Bug")</f>
        <v>0</v>
      </c>
      <c r="Z11" s="71">
        <f>COUNTIFS(缺陷明细!$A$2:$A$50000,$B$4,缺陷明细!$G$2:$G$50000,$C11,缺陷明细!$Q$2:$Q$50000,"已关闭",缺陷明细!$J$2:$J$50000,"运维测试")</f>
        <v>0</v>
      </c>
      <c r="AA11" s="72">
        <f>COUNTIFS(缺陷明细!$A$2:$A$50000,$B$4,缺陷明细!$G$2:$G$50000,$C11,缺陷明细!$J$2:$J$50000,"运维测试",缺陷明细!$K$2:$K$50000,"致命",缺陷明细!$AA$2:$AA$50000,"&lt;&gt;丢弃",缺陷明细!$AA$2:$AA$50000,"&lt;&gt;设计如此",缺陷明细!$AA$2:$AA$50000,"&lt;&gt;重复Bug")+COUNTIFS(缺陷明细!$A$2:$A$50000,$B$4,缺陷明细!$G$2:$G$50000,$C11,缺陷明细!$J$2:$J$50000,"运维测试",缺陷明细!$K$2:$K$50000,"严重",缺陷明细!$AA$2:$AA$50000,"&lt;&gt;丢弃",缺陷明细!$AA$2:$AA$50000,"&lt;&gt;设计如此",缺陷明细!$AA$2:$AA$50000,"&lt;&gt;重复Bug")</f>
        <v>0</v>
      </c>
      <c r="AB11" s="73">
        <f>COUNTIFS(缺陷明细!$A$2:$A$50000,$B$4,缺陷明细!$G$2:$G$50000,$C11,缺陷明细!$Q$2:$Q$50000,"已关闭",缺陷明细!$J$2:$J$50000,"运维测试",缺陷明细!$K$2:$K$50000,"致命")+COUNTIFS(缺陷明细!$A$2:$A$50000,$B$4,缺陷明细!$G$2:$G$50000,$C11,缺陷明细!$Q$2:$Q$50000,"已关闭",缺陷明细!$J$2:$J$50000,"运维测试",缺陷明细!$K$2:$K$50000,"严重")</f>
        <v>0</v>
      </c>
      <c r="AC11" s="68">
        <f t="shared" si="0"/>
        <v>0</v>
      </c>
      <c r="AD11" s="60">
        <f t="shared" si="0"/>
        <v>0</v>
      </c>
      <c r="AE11" s="60">
        <f t="shared" si="1"/>
        <v>0</v>
      </c>
      <c r="AF11" s="60">
        <f t="shared" si="1"/>
        <v>0</v>
      </c>
      <c r="AG11" s="60">
        <f t="shared" si="2"/>
        <v>0</v>
      </c>
      <c r="AH11" s="60">
        <f t="shared" si="2"/>
        <v>0</v>
      </c>
      <c r="AI11" s="60">
        <f t="shared" si="3"/>
        <v>0</v>
      </c>
      <c r="AJ11" s="61">
        <f t="shared" si="3"/>
        <v>0</v>
      </c>
      <c r="AK11" s="151"/>
    </row>
    <row r="12" spans="1:37">
      <c r="A12">
        <v>8</v>
      </c>
      <c r="B12" s="57"/>
      <c r="C12" s="58"/>
      <c r="D12" s="84"/>
      <c r="E12" s="82"/>
      <c r="F12" s="165"/>
      <c r="G12" s="166"/>
      <c r="H12" s="305">
        <f>COUNTIFS(缺陷明细!$A$2:$A$50000,$B$4,缺陷明细!$G$2:$G$50000,$C12,缺陷明细!$J$2:$J$50000,"评审",缺陷明细!$AA$2:$AA$50000,"&lt;&gt;丢弃",缺陷明细!$AA$2:$AA$50000,"&lt;&gt;设计如此",缺陷明细!$AA$2:$AA$50000,"&lt;&gt;重复Bug")</f>
        <v>0</v>
      </c>
      <c r="I12" s="161">
        <f>COUNTIFS(缺陷明细!$A$2:$A$50000,$B$4,缺陷明细!$G$2:$G$50000,$C12,缺陷明细!$Q$2:$Q$50000,"已关闭",缺陷明细!$J$2:$J$50000,"评审")</f>
        <v>0</v>
      </c>
      <c r="J12" s="161">
        <f>COUNTIFS(缺陷明细!$A$2:$A$50000,$B$4,缺陷明细!$G$2:$G$50000,$C12,缺陷明细!$J$2:$J$50000,"单元测试",缺陷明细!$AA$2:$AA$50000,"&lt;&gt;丢弃",缺陷明细!$AA$2:$AA$50000,"&lt;&gt;设计如此",缺陷明细!$AA$2:$AA$50000,"&lt;&gt;重复Bug")</f>
        <v>0</v>
      </c>
      <c r="K12" s="162">
        <f>COUNTIFS(缺陷明细!$A$2:$A$50000,$B$4,缺陷明细!$G$2:$G$50000,$C12,缺陷明细!$Q$2:$Q$50000,"已关闭",缺陷明细!$J$2:$J$50000,"单元测试")</f>
        <v>0</v>
      </c>
      <c r="L12" s="163"/>
      <c r="M12" s="164"/>
      <c r="N12" s="72">
        <f>COUNTIFS(缺陷明细!$A$2:$A$50000,$B$4,缺陷明细!$G$2:$G$50000,$C12,缺陷明细!$J$2:$J$50000,"系统测试案例评审",缺陷明细!$AA$2:$AA$50000,"&lt;&gt;丢弃",缺陷明细!$AA$2:$AA$50000,"&lt;&gt;设计如此",缺陷明细!$AA$2:$AA$50000,"&lt;&gt;重复Bug")</f>
        <v>0</v>
      </c>
      <c r="O12" s="72">
        <f>COUNTIFS(缺陷明细!$A$2:$A$50000,$B$4,缺陷明细!$G$2:$G$50000,$C12,缺陷明细!$Q$2:$Q$50000,"已关闭",缺陷明细!$J$2:$J$50000,"系统测试案例评审")</f>
        <v>0</v>
      </c>
      <c r="P12" s="72">
        <f>COUNTIFS(缺陷明细!$A$2:$A$50000,$B$4,缺陷明细!$G$2:$G$50000,$C12,缺陷明细!$J$2:$J$50000,"系统测试",缺陷明细!$AA$2:$AA$50000,"&lt;&gt;丢弃",缺陷明细!$AA$2:$AA$50000,"&lt;&gt;设计如此",缺陷明细!$AA$2:$AA$50000,"&lt;&gt;重复Bug")</f>
        <v>0</v>
      </c>
      <c r="Q12" s="72">
        <f>COUNTIFS(缺陷明细!$A$2:$A$50000,$B$4,缺陷明细!$G$2:$G$50000,$C12,缺陷明细!$Q$2:$Q$50000,"已关闭",缺陷明细!$J$2:$J$50000,"系统测试")</f>
        <v>0</v>
      </c>
      <c r="R12" s="72">
        <f>COUNTIFS(缺陷明细!$A$2:$A$50000,$B$4,缺陷明细!$G$2:$G$50000,$C12,缺陷明细!$AA$2:$AA$50000,"丢弃",缺陷明细!$J$2:$J$50000,"系统测试")+COUNTIFS(缺陷明细!$A$2:$A$50000,$B$4,缺陷明细!$G$2:$G$50000,$C12,缺陷明细!$AA$2:$AA$50000,"设计如此",缺陷明细!$J$2:$J$50000,"系统测试"+COUNTIFS(缺陷明细!$A$2:$A$50000,$B$4,缺陷明细!$G$2:$G$50000,$C12,缺陷明细!$AA$2:$AA$50000,"重复Bug",缺陷明细!$J$2:$J$50000,"系统测试"))</f>
        <v>0</v>
      </c>
      <c r="S12" s="72">
        <f>COUNTIFS(缺陷明细!$A$2:$A$50000,$B$4,缺陷明细!$G$2:$G$50000,$C12,缺陷明细!$J$2:$J$50000,"系统测试",缺陷明细!$K$2:$K$50000,"致命",缺陷明细!$AA$2:$AA$50000,"&lt;&gt;丢弃",缺陷明细!$AA$2:$AA$50000,"&lt;&gt;设计如此",缺陷明细!$AA$2:$AA$50000,"&lt;&gt;重复Bug")+COUNTIFS(缺陷明细!$A$2:$A$50000,$B$4,缺陷明细!$G$2:$G$50000,$C12,缺陷明细!$J$2:$J$50000,"系统测试",缺陷明细!$K$2:$K$50000,"严重",缺陷明细!$AA$2:$AA$50000,"&lt;&gt;丢弃",缺陷明细!$AA$2:$AA$50000,"&lt;&gt;设计如此",缺陷明细!$AA$2:$AA$50000,"&lt;&gt;重复Bug")</f>
        <v>0</v>
      </c>
      <c r="T12" s="73">
        <f>COUNTIFS(缺陷明细!$A$2:$A$50000,$B$4,缺陷明细!$G$2:$G$50000,$C12,缺陷明细!$Q$2:$Q$50000,"已关闭",缺陷明细!$J$2:$J$50000,"系统测试",缺陷明细!$K$2:$K$50000,"致命")+COUNTIFS(缺陷明细!$A$2:$A$50000,$B$4,缺陷明细!$G$2:$G$50000,$C12,缺陷明细!$Q$2:$Q$50000,"已关闭",缺陷明细!$J$2:$J$50000,"系统测试",缺陷明细!$K$2:$K$50000,"严重")</f>
        <v>0</v>
      </c>
      <c r="U12" s="74">
        <f>COUNTIFS(缺陷明细!$A$2:$A$50000,$B$4,缺陷明细!$G$2:$G$50000,$C12,缺陷明细!$J$2:$J$50000,"验收测试",缺陷明细!$AA$2:$AA$50000,"&lt;&gt;丢弃",缺陷明细!$AA$2:$AA$50000,"&lt;&gt;设计如此",缺陷明细!$AA$2:$AA$50000,"&lt;&gt;重复Bug")</f>
        <v>0</v>
      </c>
      <c r="V12" s="75">
        <f>COUNTIFS(缺陷明细!$A$2:$A$50000,$B$4,缺陷明细!$G$2:$G$50000,$C12,缺陷明细!$Q$2:$Q$50000,"已关闭",缺陷明细!$J$2:$J$50000,"验收测试")</f>
        <v>0</v>
      </c>
      <c r="W12" s="75">
        <f>COUNTIFS(缺陷明细!$A$2:$A$50000,$B$4,缺陷明细!$G$2:$G$50000,$C12,缺陷明细!$J$2:$J$50000,"验收测试",缺陷明细!$K$2:$K$50000,"致命",缺陷明细!$AA$2:$AA$50000,"&lt;&gt;丢弃",缺陷明细!$AA$2:$AA$50000,"&lt;&gt;设计如此",缺陷明细!$AA$2:$AA$50000,"&lt;&gt;重复Bug")+COUNTIFS(缺陷明细!$A$2:$A$50000,$B$4,缺陷明细!$G$2:$G$50000,$C12,缺陷明细!$J$2:$J$50000,"验收测试",缺陷明细!$K$2:$K$50000,"严重",缺陷明细!$AA$2:$AA$50000,"&lt;&gt;丢弃",缺陷明细!$AA$2:$AA$50000,"&lt;&gt;设计如此",缺陷明细!$AA$2:$AA$50000,"&lt;&gt;重复Bug")</f>
        <v>0</v>
      </c>
      <c r="X12" s="76">
        <f>COUNTIFS(缺陷明细!$A$2:$A$50000,$B$4,缺陷明细!$G$2:$G$50000,$C12,缺陷明细!$Q$2:$Q$50000,"已关闭",缺陷明细!$J$2:$J$50000,"验收测试",缺陷明细!$K$2:$K$50000,"致命")+COUNTIFS(缺陷明细!$A$2:$A$50000,$B$4,缺陷明细!$G$2:$G$50000,$C12,缺陷明细!$Q$2:$Q$50000,"已关闭",缺陷明细!$J$2:$J$50000,"验收测试",缺陷明细!$K$2:$K$50000,"严重")</f>
        <v>0</v>
      </c>
      <c r="Y12" s="70">
        <f>COUNTIFS(缺陷明细!$A$2:$A$50000,$B$4,缺陷明细!$G$2:$G$50000,$C12,缺陷明细!$J$2:$J$50000,"运维测试",缺陷明细!$AA$2:$AA$50000,"&lt;&gt;丢弃",缺陷明细!$AA$2:$AA$50000,"&lt;&gt;设计如此",缺陷明细!$AA$2:$AA$50000,"&lt;&gt;重复Bug")</f>
        <v>0</v>
      </c>
      <c r="Z12" s="71">
        <f>COUNTIFS(缺陷明细!$A$2:$A$50000,$B$4,缺陷明细!$G$2:$G$50000,$C12,缺陷明细!$Q$2:$Q$50000,"已关闭",缺陷明细!$J$2:$J$50000,"运维测试")</f>
        <v>0</v>
      </c>
      <c r="AA12" s="72">
        <f>COUNTIFS(缺陷明细!$A$2:$A$50000,$B$4,缺陷明细!$G$2:$G$50000,$C12,缺陷明细!$J$2:$J$50000,"运维测试",缺陷明细!$K$2:$K$50000,"致命",缺陷明细!$AA$2:$AA$50000,"&lt;&gt;丢弃",缺陷明细!$AA$2:$AA$50000,"&lt;&gt;设计如此",缺陷明细!$AA$2:$AA$50000,"&lt;&gt;重复Bug")+COUNTIFS(缺陷明细!$A$2:$A$50000,$B$4,缺陷明细!$G$2:$G$50000,$C12,缺陷明细!$J$2:$J$50000,"运维测试",缺陷明细!$K$2:$K$50000,"严重",缺陷明细!$AA$2:$AA$50000,"&lt;&gt;丢弃",缺陷明细!$AA$2:$AA$50000,"&lt;&gt;设计如此",缺陷明细!$AA$2:$AA$50000,"&lt;&gt;重复Bug")</f>
        <v>0</v>
      </c>
      <c r="AB12" s="73">
        <f>COUNTIFS(缺陷明细!$A$2:$A$50000,$B$4,缺陷明细!$G$2:$G$50000,$C12,缺陷明细!$Q$2:$Q$50000,"已关闭",缺陷明细!$J$2:$J$50000,"运维测试",缺陷明细!$K$2:$K$50000,"致命")+COUNTIFS(缺陷明细!$A$2:$A$50000,$B$4,缺陷明细!$G$2:$G$50000,$C12,缺陷明细!$Q$2:$Q$50000,"已关闭",缺陷明细!$J$2:$J$50000,"运维测试",缺陷明细!$K$2:$K$50000,"严重")</f>
        <v>0</v>
      </c>
      <c r="AC12" s="68">
        <f t="shared" si="0"/>
        <v>0</v>
      </c>
      <c r="AD12" s="60">
        <f t="shared" si="0"/>
        <v>0</v>
      </c>
      <c r="AE12" s="60">
        <f t="shared" si="1"/>
        <v>0</v>
      </c>
      <c r="AF12" s="60">
        <f t="shared" si="1"/>
        <v>0</v>
      </c>
      <c r="AG12" s="60">
        <f t="shared" si="2"/>
        <v>0</v>
      </c>
      <c r="AH12" s="60">
        <f t="shared" si="2"/>
        <v>0</v>
      </c>
      <c r="AI12" s="60">
        <f t="shared" si="3"/>
        <v>0</v>
      </c>
      <c r="AJ12" s="61">
        <f t="shared" si="3"/>
        <v>0</v>
      </c>
      <c r="AK12" s="151"/>
    </row>
    <row r="13" spans="1:37">
      <c r="A13">
        <v>9</v>
      </c>
      <c r="B13" s="57"/>
      <c r="C13" s="58"/>
      <c r="D13" s="84"/>
      <c r="E13" s="82"/>
      <c r="F13" s="165"/>
      <c r="G13" s="166"/>
      <c r="H13" s="305">
        <f>COUNTIFS(缺陷明细!$A$2:$A$50000,$B$4,缺陷明细!$G$2:$G$50000,$C13,缺陷明细!$J$2:$J$50000,"评审",缺陷明细!$AA$2:$AA$50000,"&lt;&gt;丢弃",缺陷明细!$AA$2:$AA$50000,"&lt;&gt;设计如此",缺陷明细!$AA$2:$AA$50000,"&lt;&gt;重复Bug")</f>
        <v>0</v>
      </c>
      <c r="I13" s="161">
        <f>COUNTIFS(缺陷明细!$A$2:$A$50000,$B$4,缺陷明细!$G$2:$G$50000,$C13,缺陷明细!$Q$2:$Q$50000,"已关闭",缺陷明细!$J$2:$J$50000,"评审")</f>
        <v>0</v>
      </c>
      <c r="J13" s="161">
        <f>COUNTIFS(缺陷明细!$A$2:$A$50000,$B$4,缺陷明细!$G$2:$G$50000,$C13,缺陷明细!$J$2:$J$50000,"单元测试",缺陷明细!$AA$2:$AA$50000,"&lt;&gt;丢弃",缺陷明细!$AA$2:$AA$50000,"&lt;&gt;设计如此",缺陷明细!$AA$2:$AA$50000,"&lt;&gt;重复Bug")</f>
        <v>0</v>
      </c>
      <c r="K13" s="162">
        <f>COUNTIFS(缺陷明细!$A$2:$A$50000,$B$4,缺陷明细!$G$2:$G$50000,$C13,缺陷明细!$Q$2:$Q$50000,"已关闭",缺陷明细!$J$2:$J$50000,"单元测试")</f>
        <v>0</v>
      </c>
      <c r="L13" s="163"/>
      <c r="M13" s="164"/>
      <c r="N13" s="72">
        <f>COUNTIFS(缺陷明细!$A$2:$A$50000,$B$4,缺陷明细!$G$2:$G$50000,$C13,缺陷明细!$J$2:$J$50000,"系统测试案例评审",缺陷明细!$AA$2:$AA$50000,"&lt;&gt;丢弃",缺陷明细!$AA$2:$AA$50000,"&lt;&gt;设计如此",缺陷明细!$AA$2:$AA$50000,"&lt;&gt;重复Bug")</f>
        <v>0</v>
      </c>
      <c r="O13" s="72">
        <f>COUNTIFS(缺陷明细!$A$2:$A$50000,$B$4,缺陷明细!$G$2:$G$50000,$C13,缺陷明细!$Q$2:$Q$50000,"已关闭",缺陷明细!$J$2:$J$50000,"系统测试案例评审")</f>
        <v>0</v>
      </c>
      <c r="P13" s="72">
        <f>COUNTIFS(缺陷明细!$A$2:$A$50000,$B$4,缺陷明细!$G$2:$G$50000,$C13,缺陷明细!$J$2:$J$50000,"系统测试",缺陷明细!$AA$2:$AA$50000,"&lt;&gt;丢弃",缺陷明细!$AA$2:$AA$50000,"&lt;&gt;设计如此",缺陷明细!$AA$2:$AA$50000,"&lt;&gt;重复Bug")</f>
        <v>0</v>
      </c>
      <c r="Q13" s="72">
        <f>COUNTIFS(缺陷明细!$A$2:$A$50000,$B$4,缺陷明细!$G$2:$G$50000,$C13,缺陷明细!$Q$2:$Q$50000,"已关闭",缺陷明细!$J$2:$J$50000,"系统测试")</f>
        <v>0</v>
      </c>
      <c r="R13" s="72">
        <f>COUNTIFS(缺陷明细!$A$2:$A$50000,$B$4,缺陷明细!$G$2:$G$50000,$C13,缺陷明细!$AA$2:$AA$50000,"丢弃",缺陷明细!$J$2:$J$50000,"系统测试")+COUNTIFS(缺陷明细!$A$2:$A$50000,$B$4,缺陷明细!$G$2:$G$50000,$C13,缺陷明细!$AA$2:$AA$50000,"设计如此",缺陷明细!$J$2:$J$50000,"系统测试"+COUNTIFS(缺陷明细!$A$2:$A$50000,$B$4,缺陷明细!$G$2:$G$50000,$C13,缺陷明细!$AA$2:$AA$50000,"重复Bug",缺陷明细!$J$2:$J$50000,"系统测试"))</f>
        <v>0</v>
      </c>
      <c r="S13" s="72">
        <f>COUNTIFS(缺陷明细!$A$2:$A$50000,$B$4,缺陷明细!$G$2:$G$50000,$C13,缺陷明细!$J$2:$J$50000,"系统测试",缺陷明细!$K$2:$K$50000,"致命",缺陷明细!$AA$2:$AA$50000,"&lt;&gt;丢弃",缺陷明细!$AA$2:$AA$50000,"&lt;&gt;设计如此",缺陷明细!$AA$2:$AA$50000,"&lt;&gt;重复Bug")+COUNTIFS(缺陷明细!$A$2:$A$50000,$B$4,缺陷明细!$G$2:$G$50000,$C13,缺陷明细!$J$2:$J$50000,"系统测试",缺陷明细!$K$2:$K$50000,"严重",缺陷明细!$AA$2:$AA$50000,"&lt;&gt;丢弃",缺陷明细!$AA$2:$AA$50000,"&lt;&gt;设计如此",缺陷明细!$AA$2:$AA$50000,"&lt;&gt;重复Bug")</f>
        <v>0</v>
      </c>
      <c r="T13" s="73">
        <f>COUNTIFS(缺陷明细!$A$2:$A$50000,$B$4,缺陷明细!$G$2:$G$50000,$C13,缺陷明细!$Q$2:$Q$50000,"已关闭",缺陷明细!$J$2:$J$50000,"系统测试",缺陷明细!$K$2:$K$50000,"致命")+COUNTIFS(缺陷明细!$A$2:$A$50000,$B$4,缺陷明细!$G$2:$G$50000,$C13,缺陷明细!$Q$2:$Q$50000,"已关闭",缺陷明细!$J$2:$J$50000,"系统测试",缺陷明细!$K$2:$K$50000,"严重")</f>
        <v>0</v>
      </c>
      <c r="U13" s="74">
        <f>COUNTIFS(缺陷明细!$A$2:$A$50000,$B$4,缺陷明细!$G$2:$G$50000,$C13,缺陷明细!$J$2:$J$50000,"验收测试",缺陷明细!$AA$2:$AA$50000,"&lt;&gt;丢弃",缺陷明细!$AA$2:$AA$50000,"&lt;&gt;设计如此",缺陷明细!$AA$2:$AA$50000,"&lt;&gt;重复Bug")</f>
        <v>0</v>
      </c>
      <c r="V13" s="75">
        <f>COUNTIFS(缺陷明细!$A$2:$A$50000,$B$4,缺陷明细!$G$2:$G$50000,$C13,缺陷明细!$Q$2:$Q$50000,"已关闭",缺陷明细!$J$2:$J$50000,"验收测试")</f>
        <v>0</v>
      </c>
      <c r="W13" s="75">
        <f>COUNTIFS(缺陷明细!$A$2:$A$50000,$B$4,缺陷明细!$G$2:$G$50000,$C13,缺陷明细!$J$2:$J$50000,"验收测试",缺陷明细!$K$2:$K$50000,"致命",缺陷明细!$AA$2:$AA$50000,"&lt;&gt;丢弃",缺陷明细!$AA$2:$AA$50000,"&lt;&gt;设计如此",缺陷明细!$AA$2:$AA$50000,"&lt;&gt;重复Bug")+COUNTIFS(缺陷明细!$A$2:$A$50000,$B$4,缺陷明细!$G$2:$G$50000,$C13,缺陷明细!$J$2:$J$50000,"验收测试",缺陷明细!$K$2:$K$50000,"严重",缺陷明细!$AA$2:$AA$50000,"&lt;&gt;丢弃",缺陷明细!$AA$2:$AA$50000,"&lt;&gt;设计如此",缺陷明细!$AA$2:$AA$50000,"&lt;&gt;重复Bug")</f>
        <v>0</v>
      </c>
      <c r="X13" s="76">
        <f>COUNTIFS(缺陷明细!$A$2:$A$50000,$B$4,缺陷明细!$G$2:$G$50000,$C13,缺陷明细!$Q$2:$Q$50000,"已关闭",缺陷明细!$J$2:$J$50000,"验收测试",缺陷明细!$K$2:$K$50000,"致命")+COUNTIFS(缺陷明细!$A$2:$A$50000,$B$4,缺陷明细!$G$2:$G$50000,$C13,缺陷明细!$Q$2:$Q$50000,"已关闭",缺陷明细!$J$2:$J$50000,"验收测试",缺陷明细!$K$2:$K$50000,"严重")</f>
        <v>0</v>
      </c>
      <c r="Y13" s="70">
        <f>COUNTIFS(缺陷明细!$A$2:$A$50000,$B$4,缺陷明细!$G$2:$G$50000,$C13,缺陷明细!$J$2:$J$50000,"运维测试",缺陷明细!$AA$2:$AA$50000,"&lt;&gt;丢弃",缺陷明细!$AA$2:$AA$50000,"&lt;&gt;设计如此",缺陷明细!$AA$2:$AA$50000,"&lt;&gt;重复Bug")</f>
        <v>0</v>
      </c>
      <c r="Z13" s="71">
        <f>COUNTIFS(缺陷明细!$A$2:$A$50000,$B$4,缺陷明细!$G$2:$G$50000,$C13,缺陷明细!$Q$2:$Q$50000,"已关闭",缺陷明细!$J$2:$J$50000,"运维测试")</f>
        <v>0</v>
      </c>
      <c r="AA13" s="72">
        <f>COUNTIFS(缺陷明细!$A$2:$A$50000,$B$4,缺陷明细!$G$2:$G$50000,$C13,缺陷明细!$J$2:$J$50000,"运维测试",缺陷明细!$K$2:$K$50000,"致命",缺陷明细!$AA$2:$AA$50000,"&lt;&gt;丢弃",缺陷明细!$AA$2:$AA$50000,"&lt;&gt;设计如此",缺陷明细!$AA$2:$AA$50000,"&lt;&gt;重复Bug")+COUNTIFS(缺陷明细!$A$2:$A$50000,$B$4,缺陷明细!$G$2:$G$50000,$C13,缺陷明细!$J$2:$J$50000,"运维测试",缺陷明细!$K$2:$K$50000,"严重",缺陷明细!$AA$2:$AA$50000,"&lt;&gt;丢弃",缺陷明细!$AA$2:$AA$50000,"&lt;&gt;设计如此",缺陷明细!$AA$2:$AA$50000,"&lt;&gt;重复Bug")</f>
        <v>0</v>
      </c>
      <c r="AB13" s="73">
        <f>COUNTIFS(缺陷明细!$A$2:$A$50000,$B$4,缺陷明细!$G$2:$G$50000,$C13,缺陷明细!$Q$2:$Q$50000,"已关闭",缺陷明细!$J$2:$J$50000,"运维测试",缺陷明细!$K$2:$K$50000,"致命")+COUNTIFS(缺陷明细!$A$2:$A$50000,$B$4,缺陷明细!$G$2:$G$50000,$C13,缺陷明细!$Q$2:$Q$50000,"已关闭",缺陷明细!$J$2:$J$50000,"运维测试",缺陷明细!$K$2:$K$50000,"严重")</f>
        <v>0</v>
      </c>
      <c r="AC13" s="68">
        <f t="shared" si="0"/>
        <v>0</v>
      </c>
      <c r="AD13" s="60">
        <f t="shared" si="0"/>
        <v>0</v>
      </c>
      <c r="AE13" s="60">
        <f t="shared" si="1"/>
        <v>0</v>
      </c>
      <c r="AF13" s="60">
        <f t="shared" si="1"/>
        <v>0</v>
      </c>
      <c r="AG13" s="60">
        <f t="shared" si="2"/>
        <v>0</v>
      </c>
      <c r="AH13" s="60">
        <f t="shared" si="2"/>
        <v>0</v>
      </c>
      <c r="AI13" s="60">
        <f t="shared" si="3"/>
        <v>0</v>
      </c>
      <c r="AJ13" s="61">
        <f t="shared" si="3"/>
        <v>0</v>
      </c>
      <c r="AK13" s="151"/>
    </row>
    <row r="14" spans="1:37">
      <c r="A14">
        <v>10</v>
      </c>
      <c r="B14" s="57"/>
      <c r="C14" s="58"/>
      <c r="D14" s="84"/>
      <c r="E14" s="82"/>
      <c r="F14" s="165"/>
      <c r="G14" s="166"/>
      <c r="H14" s="305">
        <f>COUNTIFS(缺陷明细!$A$2:$A$50000,$B$4,缺陷明细!$G$2:$G$50000,$C14,缺陷明细!$J$2:$J$50000,"评审",缺陷明细!$AA$2:$AA$50000,"&lt;&gt;丢弃",缺陷明细!$AA$2:$AA$50000,"&lt;&gt;设计如此",缺陷明细!$AA$2:$AA$50000,"&lt;&gt;重复Bug")</f>
        <v>0</v>
      </c>
      <c r="I14" s="161">
        <f>COUNTIFS(缺陷明细!$A$2:$A$50000,$B$4,缺陷明细!$G$2:$G$50000,$C14,缺陷明细!$Q$2:$Q$50000,"已关闭",缺陷明细!$J$2:$J$50000,"评审")</f>
        <v>0</v>
      </c>
      <c r="J14" s="161">
        <f>COUNTIFS(缺陷明细!$A$2:$A$50000,$B$4,缺陷明细!$G$2:$G$50000,$C14,缺陷明细!$J$2:$J$50000,"单元测试",缺陷明细!$AA$2:$AA$50000,"&lt;&gt;丢弃",缺陷明细!$AA$2:$AA$50000,"&lt;&gt;设计如此",缺陷明细!$AA$2:$AA$50000,"&lt;&gt;重复Bug")</f>
        <v>0</v>
      </c>
      <c r="K14" s="162">
        <f>COUNTIFS(缺陷明细!$A$2:$A$50000,$B$4,缺陷明细!$G$2:$G$50000,$C14,缺陷明细!$Q$2:$Q$50000,"已关闭",缺陷明细!$J$2:$J$50000,"单元测试")</f>
        <v>0</v>
      </c>
      <c r="L14" s="163"/>
      <c r="M14" s="164"/>
      <c r="N14" s="72">
        <f>COUNTIFS(缺陷明细!$A$2:$A$50000,$B$4,缺陷明细!$G$2:$G$50000,$C14,缺陷明细!$J$2:$J$50000,"系统测试案例评审",缺陷明细!$AA$2:$AA$50000,"&lt;&gt;丢弃",缺陷明细!$AA$2:$AA$50000,"&lt;&gt;设计如此",缺陷明细!$AA$2:$AA$50000,"&lt;&gt;重复Bug")</f>
        <v>0</v>
      </c>
      <c r="O14" s="72">
        <f>COUNTIFS(缺陷明细!$A$2:$A$50000,$B$4,缺陷明细!$G$2:$G$50000,$C14,缺陷明细!$Q$2:$Q$50000,"已关闭",缺陷明细!$J$2:$J$50000,"系统测试案例评审")</f>
        <v>0</v>
      </c>
      <c r="P14" s="72">
        <f>COUNTIFS(缺陷明细!$A$2:$A$50000,$B$4,缺陷明细!$G$2:$G$50000,$C14,缺陷明细!$J$2:$J$50000,"系统测试",缺陷明细!$AA$2:$AA$50000,"&lt;&gt;丢弃",缺陷明细!$AA$2:$AA$50000,"&lt;&gt;设计如此",缺陷明细!$AA$2:$AA$50000,"&lt;&gt;重复Bug")</f>
        <v>0</v>
      </c>
      <c r="Q14" s="72">
        <f>COUNTIFS(缺陷明细!$A$2:$A$50000,$B$4,缺陷明细!$G$2:$G$50000,$C14,缺陷明细!$Q$2:$Q$50000,"已关闭",缺陷明细!$J$2:$J$50000,"系统测试")</f>
        <v>0</v>
      </c>
      <c r="R14" s="72">
        <f>COUNTIFS(缺陷明细!$A$2:$A$50000,$B$4,缺陷明细!$G$2:$G$50000,$C14,缺陷明细!$AA$2:$AA$50000,"丢弃",缺陷明细!$J$2:$J$50000,"系统测试")+COUNTIFS(缺陷明细!$A$2:$A$50000,$B$4,缺陷明细!$G$2:$G$50000,$C14,缺陷明细!$AA$2:$AA$50000,"设计如此",缺陷明细!$J$2:$J$50000,"系统测试"+COUNTIFS(缺陷明细!$A$2:$A$50000,$B$4,缺陷明细!$G$2:$G$50000,$C14,缺陷明细!$AA$2:$AA$50000,"重复Bug",缺陷明细!$J$2:$J$50000,"系统测试"))</f>
        <v>0</v>
      </c>
      <c r="S14" s="72">
        <f>COUNTIFS(缺陷明细!$A$2:$A$50000,$B$4,缺陷明细!$G$2:$G$50000,$C14,缺陷明细!$J$2:$J$50000,"系统测试",缺陷明细!$K$2:$K$50000,"致命",缺陷明细!$AA$2:$AA$50000,"&lt;&gt;丢弃",缺陷明细!$AA$2:$AA$50000,"&lt;&gt;设计如此",缺陷明细!$AA$2:$AA$50000,"&lt;&gt;重复Bug")+COUNTIFS(缺陷明细!$A$2:$A$50000,$B$4,缺陷明细!$G$2:$G$50000,$C14,缺陷明细!$J$2:$J$50000,"系统测试",缺陷明细!$K$2:$K$50000,"严重",缺陷明细!$AA$2:$AA$50000,"&lt;&gt;丢弃",缺陷明细!$AA$2:$AA$50000,"&lt;&gt;设计如此",缺陷明细!$AA$2:$AA$50000,"&lt;&gt;重复Bug")</f>
        <v>0</v>
      </c>
      <c r="T14" s="73">
        <f>COUNTIFS(缺陷明细!$A$2:$A$50000,$B$4,缺陷明细!$G$2:$G$50000,$C14,缺陷明细!$Q$2:$Q$50000,"已关闭",缺陷明细!$J$2:$J$50000,"系统测试",缺陷明细!$K$2:$K$50000,"致命")+COUNTIFS(缺陷明细!$A$2:$A$50000,$B$4,缺陷明细!$G$2:$G$50000,$C14,缺陷明细!$Q$2:$Q$50000,"已关闭",缺陷明细!$J$2:$J$50000,"系统测试",缺陷明细!$K$2:$K$50000,"严重")</f>
        <v>0</v>
      </c>
      <c r="U14" s="74">
        <f>COUNTIFS(缺陷明细!$A$2:$A$50000,$B$4,缺陷明细!$G$2:$G$50000,$C14,缺陷明细!$J$2:$J$50000,"验收测试",缺陷明细!$AA$2:$AA$50000,"&lt;&gt;丢弃",缺陷明细!$AA$2:$AA$50000,"&lt;&gt;设计如此",缺陷明细!$AA$2:$AA$50000,"&lt;&gt;重复Bug")</f>
        <v>0</v>
      </c>
      <c r="V14" s="75">
        <f>COUNTIFS(缺陷明细!$A$2:$A$50000,$B$4,缺陷明细!$G$2:$G$50000,$C14,缺陷明细!$Q$2:$Q$50000,"已关闭",缺陷明细!$J$2:$J$50000,"验收测试")</f>
        <v>0</v>
      </c>
      <c r="W14" s="75">
        <f>COUNTIFS(缺陷明细!$A$2:$A$50000,$B$4,缺陷明细!$G$2:$G$50000,$C14,缺陷明细!$J$2:$J$50000,"验收测试",缺陷明细!$K$2:$K$50000,"致命",缺陷明细!$AA$2:$AA$50000,"&lt;&gt;丢弃",缺陷明细!$AA$2:$AA$50000,"&lt;&gt;设计如此",缺陷明细!$AA$2:$AA$50000,"&lt;&gt;重复Bug")+COUNTIFS(缺陷明细!$A$2:$A$50000,$B$4,缺陷明细!$G$2:$G$50000,$C14,缺陷明细!$J$2:$J$50000,"验收测试",缺陷明细!$K$2:$K$50000,"严重",缺陷明细!$AA$2:$AA$50000,"&lt;&gt;丢弃",缺陷明细!$AA$2:$AA$50000,"&lt;&gt;设计如此",缺陷明细!$AA$2:$AA$50000,"&lt;&gt;重复Bug")</f>
        <v>0</v>
      </c>
      <c r="X14" s="76">
        <f>COUNTIFS(缺陷明细!$A$2:$A$50000,$B$4,缺陷明细!$G$2:$G$50000,$C14,缺陷明细!$Q$2:$Q$50000,"已关闭",缺陷明细!$J$2:$J$50000,"验收测试",缺陷明细!$K$2:$K$50000,"致命")+COUNTIFS(缺陷明细!$A$2:$A$50000,$B$4,缺陷明细!$G$2:$G$50000,$C14,缺陷明细!$Q$2:$Q$50000,"已关闭",缺陷明细!$J$2:$J$50000,"验收测试",缺陷明细!$K$2:$K$50000,"严重")</f>
        <v>0</v>
      </c>
      <c r="Y14" s="70">
        <f>COUNTIFS(缺陷明细!$A$2:$A$50000,$B$4,缺陷明细!$G$2:$G$50000,$C14,缺陷明细!$J$2:$J$50000,"运维测试",缺陷明细!$AA$2:$AA$50000,"&lt;&gt;丢弃",缺陷明细!$AA$2:$AA$50000,"&lt;&gt;设计如此",缺陷明细!$AA$2:$AA$50000,"&lt;&gt;重复Bug")</f>
        <v>0</v>
      </c>
      <c r="Z14" s="71">
        <f>COUNTIFS(缺陷明细!$A$2:$A$50000,$B$4,缺陷明细!$G$2:$G$50000,$C14,缺陷明细!$Q$2:$Q$50000,"已关闭",缺陷明细!$J$2:$J$50000,"运维测试")</f>
        <v>0</v>
      </c>
      <c r="AA14" s="72">
        <f>COUNTIFS(缺陷明细!$A$2:$A$50000,$B$4,缺陷明细!$G$2:$G$50000,$C14,缺陷明细!$J$2:$J$50000,"运维测试",缺陷明细!$K$2:$K$50000,"致命",缺陷明细!$AA$2:$AA$50000,"&lt;&gt;丢弃",缺陷明细!$AA$2:$AA$50000,"&lt;&gt;设计如此",缺陷明细!$AA$2:$AA$50000,"&lt;&gt;重复Bug")+COUNTIFS(缺陷明细!$A$2:$A$50000,$B$4,缺陷明细!$G$2:$G$50000,$C14,缺陷明细!$J$2:$J$50000,"运维测试",缺陷明细!$K$2:$K$50000,"严重",缺陷明细!$AA$2:$AA$50000,"&lt;&gt;丢弃",缺陷明细!$AA$2:$AA$50000,"&lt;&gt;设计如此",缺陷明细!$AA$2:$AA$50000,"&lt;&gt;重复Bug")</f>
        <v>0</v>
      </c>
      <c r="AB14" s="73">
        <f>COUNTIFS(缺陷明细!$A$2:$A$50000,$B$4,缺陷明细!$G$2:$G$50000,$C14,缺陷明细!$Q$2:$Q$50000,"已关闭",缺陷明细!$J$2:$J$50000,"运维测试",缺陷明细!$K$2:$K$50000,"致命")+COUNTIFS(缺陷明细!$A$2:$A$50000,$B$4,缺陷明细!$G$2:$G$50000,$C14,缺陷明细!$Q$2:$Q$50000,"已关闭",缺陷明细!$J$2:$J$50000,"运维测试",缺陷明细!$K$2:$K$50000,"严重")</f>
        <v>0</v>
      </c>
      <c r="AC14" s="68">
        <f t="shared" si="0"/>
        <v>0</v>
      </c>
      <c r="AD14" s="60">
        <f t="shared" si="0"/>
        <v>0</v>
      </c>
      <c r="AE14" s="60">
        <f t="shared" si="1"/>
        <v>0</v>
      </c>
      <c r="AF14" s="60">
        <f t="shared" si="1"/>
        <v>0</v>
      </c>
      <c r="AG14" s="60">
        <f t="shared" si="2"/>
        <v>0</v>
      </c>
      <c r="AH14" s="60">
        <f t="shared" si="2"/>
        <v>0</v>
      </c>
      <c r="AI14" s="60">
        <f t="shared" si="3"/>
        <v>0</v>
      </c>
      <c r="AJ14" s="61">
        <f t="shared" si="3"/>
        <v>0</v>
      </c>
      <c r="AK14" s="151"/>
    </row>
    <row r="15" spans="1:37">
      <c r="A15">
        <v>11</v>
      </c>
      <c r="B15" s="57"/>
      <c r="C15" s="58"/>
      <c r="D15" s="84"/>
      <c r="E15" s="82"/>
      <c r="F15" s="165"/>
      <c r="G15" s="166"/>
      <c r="H15" s="305">
        <f>COUNTIFS(缺陷明细!$A$2:$A$50000,$B$4,缺陷明细!$G$2:$G$50000,$C15,缺陷明细!$J$2:$J$50000,"评审",缺陷明细!$AA$2:$AA$50000,"&lt;&gt;丢弃",缺陷明细!$AA$2:$AA$50000,"&lt;&gt;设计如此",缺陷明细!$AA$2:$AA$50000,"&lt;&gt;重复Bug")</f>
        <v>0</v>
      </c>
      <c r="I15" s="161">
        <f>COUNTIFS(缺陷明细!$A$2:$A$50000,$B$4,缺陷明细!$G$2:$G$50000,$C15,缺陷明细!$Q$2:$Q$50000,"已关闭",缺陷明细!$J$2:$J$50000,"评审")</f>
        <v>0</v>
      </c>
      <c r="J15" s="161">
        <f>COUNTIFS(缺陷明细!$A$2:$A$50000,$B$4,缺陷明细!$G$2:$G$50000,$C15,缺陷明细!$J$2:$J$50000,"单元测试",缺陷明细!$AA$2:$AA$50000,"&lt;&gt;丢弃",缺陷明细!$AA$2:$AA$50000,"&lt;&gt;设计如此",缺陷明细!$AA$2:$AA$50000,"&lt;&gt;重复Bug")</f>
        <v>0</v>
      </c>
      <c r="K15" s="162">
        <f>COUNTIFS(缺陷明细!$A$2:$A$50000,$B$4,缺陷明细!$G$2:$G$50000,$C15,缺陷明细!$Q$2:$Q$50000,"已关闭",缺陷明细!$J$2:$J$50000,"单元测试")</f>
        <v>0</v>
      </c>
      <c r="L15" s="163"/>
      <c r="M15" s="164"/>
      <c r="N15" s="72">
        <f>COUNTIFS(缺陷明细!$A$2:$A$50000,$B$4,缺陷明细!$G$2:$G$50000,$C15,缺陷明细!$J$2:$J$50000,"系统测试案例评审",缺陷明细!$AA$2:$AA$50000,"&lt;&gt;丢弃",缺陷明细!$AA$2:$AA$50000,"&lt;&gt;设计如此",缺陷明细!$AA$2:$AA$50000,"&lt;&gt;重复Bug")</f>
        <v>0</v>
      </c>
      <c r="O15" s="72">
        <f>COUNTIFS(缺陷明细!$A$2:$A$50000,$B$4,缺陷明细!$G$2:$G$50000,$C15,缺陷明细!$Q$2:$Q$50000,"已关闭",缺陷明细!$J$2:$J$50000,"系统测试案例评审")</f>
        <v>0</v>
      </c>
      <c r="P15" s="72">
        <f>COUNTIFS(缺陷明细!$A$2:$A$50000,$B$4,缺陷明细!$G$2:$G$50000,$C15,缺陷明细!$J$2:$J$50000,"系统测试",缺陷明细!$AA$2:$AA$50000,"&lt;&gt;丢弃",缺陷明细!$AA$2:$AA$50000,"&lt;&gt;设计如此",缺陷明细!$AA$2:$AA$50000,"&lt;&gt;重复Bug")</f>
        <v>0</v>
      </c>
      <c r="Q15" s="72">
        <f>COUNTIFS(缺陷明细!$A$2:$A$50000,$B$4,缺陷明细!$G$2:$G$50000,$C15,缺陷明细!$Q$2:$Q$50000,"已关闭",缺陷明细!$J$2:$J$50000,"系统测试")</f>
        <v>0</v>
      </c>
      <c r="R15" s="72">
        <f>COUNTIFS(缺陷明细!$A$2:$A$50000,$B$4,缺陷明细!$G$2:$G$50000,$C15,缺陷明细!$AA$2:$AA$50000,"丢弃",缺陷明细!$J$2:$J$50000,"系统测试")+COUNTIFS(缺陷明细!$A$2:$A$50000,$B$4,缺陷明细!$G$2:$G$50000,$C15,缺陷明细!$AA$2:$AA$50000,"设计如此",缺陷明细!$J$2:$J$50000,"系统测试"+COUNTIFS(缺陷明细!$A$2:$A$50000,$B$4,缺陷明细!$G$2:$G$50000,$C15,缺陷明细!$AA$2:$AA$50000,"重复Bug",缺陷明细!$J$2:$J$50000,"系统测试"))</f>
        <v>0</v>
      </c>
      <c r="S15" s="72">
        <f>COUNTIFS(缺陷明细!$A$2:$A$50000,$B$4,缺陷明细!$G$2:$G$50000,$C15,缺陷明细!$J$2:$J$50000,"系统测试",缺陷明细!$K$2:$K$50000,"致命",缺陷明细!$AA$2:$AA$50000,"&lt;&gt;丢弃",缺陷明细!$AA$2:$AA$50000,"&lt;&gt;设计如此",缺陷明细!$AA$2:$AA$50000,"&lt;&gt;重复Bug")+COUNTIFS(缺陷明细!$A$2:$A$50000,$B$4,缺陷明细!$G$2:$G$50000,$C15,缺陷明细!$J$2:$J$50000,"系统测试",缺陷明细!$K$2:$K$50000,"严重",缺陷明细!$AA$2:$AA$50000,"&lt;&gt;丢弃",缺陷明细!$AA$2:$AA$50000,"&lt;&gt;设计如此",缺陷明细!$AA$2:$AA$50000,"&lt;&gt;重复Bug")</f>
        <v>0</v>
      </c>
      <c r="T15" s="73">
        <f>COUNTIFS(缺陷明细!$A$2:$A$50000,$B$4,缺陷明细!$G$2:$G$50000,$C15,缺陷明细!$Q$2:$Q$50000,"已关闭",缺陷明细!$J$2:$J$50000,"系统测试",缺陷明细!$K$2:$K$50000,"致命")+COUNTIFS(缺陷明细!$A$2:$A$50000,$B$4,缺陷明细!$G$2:$G$50000,$C15,缺陷明细!$Q$2:$Q$50000,"已关闭",缺陷明细!$J$2:$J$50000,"系统测试",缺陷明细!$K$2:$K$50000,"严重")</f>
        <v>0</v>
      </c>
      <c r="U15" s="74">
        <f>COUNTIFS(缺陷明细!$A$2:$A$50000,$B$4,缺陷明细!$G$2:$G$50000,$C15,缺陷明细!$J$2:$J$50000,"验收测试",缺陷明细!$AA$2:$AA$50000,"&lt;&gt;丢弃",缺陷明细!$AA$2:$AA$50000,"&lt;&gt;设计如此",缺陷明细!$AA$2:$AA$50000,"&lt;&gt;重复Bug")</f>
        <v>0</v>
      </c>
      <c r="V15" s="75">
        <f>COUNTIFS(缺陷明细!$A$2:$A$50000,$B$4,缺陷明细!$G$2:$G$50000,$C15,缺陷明细!$Q$2:$Q$50000,"已关闭",缺陷明细!$J$2:$J$50000,"验收测试")</f>
        <v>0</v>
      </c>
      <c r="W15" s="75">
        <f>COUNTIFS(缺陷明细!$A$2:$A$50000,$B$4,缺陷明细!$G$2:$G$50000,$C15,缺陷明细!$J$2:$J$50000,"验收测试",缺陷明细!$K$2:$K$50000,"致命",缺陷明细!$AA$2:$AA$50000,"&lt;&gt;丢弃",缺陷明细!$AA$2:$AA$50000,"&lt;&gt;设计如此",缺陷明细!$AA$2:$AA$50000,"&lt;&gt;重复Bug")+COUNTIFS(缺陷明细!$A$2:$A$50000,$B$4,缺陷明细!$G$2:$G$50000,$C15,缺陷明细!$J$2:$J$50000,"验收测试",缺陷明细!$K$2:$K$50000,"严重",缺陷明细!$AA$2:$AA$50000,"&lt;&gt;丢弃",缺陷明细!$AA$2:$AA$50000,"&lt;&gt;设计如此",缺陷明细!$AA$2:$AA$50000,"&lt;&gt;重复Bug")</f>
        <v>0</v>
      </c>
      <c r="X15" s="76">
        <f>COUNTIFS(缺陷明细!$A$2:$A$50000,$B$4,缺陷明细!$G$2:$G$50000,$C15,缺陷明细!$Q$2:$Q$50000,"已关闭",缺陷明细!$J$2:$J$50000,"验收测试",缺陷明细!$K$2:$K$50000,"致命")+COUNTIFS(缺陷明细!$A$2:$A$50000,$B$4,缺陷明细!$G$2:$G$50000,$C15,缺陷明细!$Q$2:$Q$50000,"已关闭",缺陷明细!$J$2:$J$50000,"验收测试",缺陷明细!$K$2:$K$50000,"严重")</f>
        <v>0</v>
      </c>
      <c r="Y15" s="70">
        <f>COUNTIFS(缺陷明细!$A$2:$A$50000,$B$4,缺陷明细!$G$2:$G$50000,$C15,缺陷明细!$J$2:$J$50000,"运维测试",缺陷明细!$AA$2:$AA$50000,"&lt;&gt;丢弃",缺陷明细!$AA$2:$AA$50000,"&lt;&gt;设计如此",缺陷明细!$AA$2:$AA$50000,"&lt;&gt;重复Bug")</f>
        <v>0</v>
      </c>
      <c r="Z15" s="71">
        <f>COUNTIFS(缺陷明细!$A$2:$A$50000,$B$4,缺陷明细!$G$2:$G$50000,$C15,缺陷明细!$Q$2:$Q$50000,"已关闭",缺陷明细!$J$2:$J$50000,"运维测试")</f>
        <v>0</v>
      </c>
      <c r="AA15" s="72">
        <f>COUNTIFS(缺陷明细!$A$2:$A$50000,$B$4,缺陷明细!$G$2:$G$50000,$C15,缺陷明细!$J$2:$J$50000,"运维测试",缺陷明细!$K$2:$K$50000,"致命",缺陷明细!$AA$2:$AA$50000,"&lt;&gt;丢弃",缺陷明细!$AA$2:$AA$50000,"&lt;&gt;设计如此",缺陷明细!$AA$2:$AA$50000,"&lt;&gt;重复Bug")+COUNTIFS(缺陷明细!$A$2:$A$50000,$B$4,缺陷明细!$G$2:$G$50000,$C15,缺陷明细!$J$2:$J$50000,"运维测试",缺陷明细!$K$2:$K$50000,"严重",缺陷明细!$AA$2:$AA$50000,"&lt;&gt;丢弃",缺陷明细!$AA$2:$AA$50000,"&lt;&gt;设计如此",缺陷明细!$AA$2:$AA$50000,"&lt;&gt;重复Bug")</f>
        <v>0</v>
      </c>
      <c r="AB15" s="73">
        <f>COUNTIFS(缺陷明细!$A$2:$A$50000,$B$4,缺陷明细!$G$2:$G$50000,$C15,缺陷明细!$Q$2:$Q$50000,"已关闭",缺陷明细!$J$2:$J$50000,"运维测试",缺陷明细!$K$2:$K$50000,"致命")+COUNTIFS(缺陷明细!$A$2:$A$50000,$B$4,缺陷明细!$G$2:$G$50000,$C15,缺陷明细!$Q$2:$Q$50000,"已关闭",缺陷明细!$J$2:$J$50000,"运维测试",缺陷明细!$K$2:$K$50000,"严重")</f>
        <v>0</v>
      </c>
      <c r="AC15" s="68">
        <f t="shared" si="0"/>
        <v>0</v>
      </c>
      <c r="AD15" s="60">
        <f t="shared" si="0"/>
        <v>0</v>
      </c>
      <c r="AE15" s="60">
        <f t="shared" si="1"/>
        <v>0</v>
      </c>
      <c r="AF15" s="60">
        <f t="shared" si="1"/>
        <v>0</v>
      </c>
      <c r="AG15" s="60">
        <f t="shared" si="2"/>
        <v>0</v>
      </c>
      <c r="AH15" s="60">
        <f t="shared" si="2"/>
        <v>0</v>
      </c>
      <c r="AI15" s="60">
        <f t="shared" si="3"/>
        <v>0</v>
      </c>
      <c r="AJ15" s="61">
        <f t="shared" si="3"/>
        <v>0</v>
      </c>
      <c r="AK15" s="151"/>
    </row>
    <row r="16" spans="1:37">
      <c r="A16">
        <v>12</v>
      </c>
      <c r="B16" s="57"/>
      <c r="C16" s="58"/>
      <c r="D16" s="84"/>
      <c r="E16" s="82"/>
      <c r="F16" s="165"/>
      <c r="G16" s="166"/>
      <c r="H16" s="305">
        <f>COUNTIFS(缺陷明细!$A$2:$A$50000,$B$4,缺陷明细!$G$2:$G$50000,$C16,缺陷明细!$J$2:$J$50000,"评审",缺陷明细!$AA$2:$AA$50000,"&lt;&gt;丢弃",缺陷明细!$AA$2:$AA$50000,"&lt;&gt;设计如此",缺陷明细!$AA$2:$AA$50000,"&lt;&gt;重复Bug")</f>
        <v>0</v>
      </c>
      <c r="I16" s="161">
        <f>COUNTIFS(缺陷明细!$A$2:$A$50000,$B$4,缺陷明细!$G$2:$G$50000,$C16,缺陷明细!$Q$2:$Q$50000,"已关闭",缺陷明细!$J$2:$J$50000,"评审")</f>
        <v>0</v>
      </c>
      <c r="J16" s="161">
        <f>COUNTIFS(缺陷明细!$A$2:$A$50000,$B$4,缺陷明细!$G$2:$G$50000,$C16,缺陷明细!$J$2:$J$50000,"单元测试",缺陷明细!$AA$2:$AA$50000,"&lt;&gt;丢弃",缺陷明细!$AA$2:$AA$50000,"&lt;&gt;设计如此",缺陷明细!$AA$2:$AA$50000,"&lt;&gt;重复Bug")</f>
        <v>0</v>
      </c>
      <c r="K16" s="162">
        <f>COUNTIFS(缺陷明细!$A$2:$A$50000,$B$4,缺陷明细!$G$2:$G$50000,$C16,缺陷明细!$Q$2:$Q$50000,"已关闭",缺陷明细!$J$2:$J$50000,"单元测试")</f>
        <v>0</v>
      </c>
      <c r="L16" s="163"/>
      <c r="M16" s="164"/>
      <c r="N16" s="72">
        <f>COUNTIFS(缺陷明细!$A$2:$A$50000,$B$4,缺陷明细!$G$2:$G$50000,$C16,缺陷明细!$J$2:$J$50000,"系统测试案例评审",缺陷明细!$AA$2:$AA$50000,"&lt;&gt;丢弃",缺陷明细!$AA$2:$AA$50000,"&lt;&gt;设计如此",缺陷明细!$AA$2:$AA$50000,"&lt;&gt;重复Bug")</f>
        <v>0</v>
      </c>
      <c r="O16" s="72">
        <f>COUNTIFS(缺陷明细!$A$2:$A$50000,$B$4,缺陷明细!$G$2:$G$50000,$C16,缺陷明细!$Q$2:$Q$50000,"已关闭",缺陷明细!$J$2:$J$50000,"系统测试案例评审")</f>
        <v>0</v>
      </c>
      <c r="P16" s="72">
        <f>COUNTIFS(缺陷明细!$A$2:$A$50000,$B$4,缺陷明细!$G$2:$G$50000,$C16,缺陷明细!$J$2:$J$50000,"系统测试",缺陷明细!$AA$2:$AA$50000,"&lt;&gt;丢弃",缺陷明细!$AA$2:$AA$50000,"&lt;&gt;设计如此",缺陷明细!$AA$2:$AA$50000,"&lt;&gt;重复Bug")</f>
        <v>0</v>
      </c>
      <c r="Q16" s="72">
        <f>COUNTIFS(缺陷明细!$A$2:$A$50000,$B$4,缺陷明细!$G$2:$G$50000,$C16,缺陷明细!$Q$2:$Q$50000,"已关闭",缺陷明细!$J$2:$J$50000,"系统测试")</f>
        <v>0</v>
      </c>
      <c r="R16" s="72">
        <f>COUNTIFS(缺陷明细!$A$2:$A$50000,$B$4,缺陷明细!$G$2:$G$50000,$C16,缺陷明细!$AA$2:$AA$50000,"丢弃",缺陷明细!$J$2:$J$50000,"系统测试")+COUNTIFS(缺陷明细!$A$2:$A$50000,$B$4,缺陷明细!$G$2:$G$50000,$C16,缺陷明细!$AA$2:$AA$50000,"设计如此",缺陷明细!$J$2:$J$50000,"系统测试"+COUNTIFS(缺陷明细!$A$2:$A$50000,$B$4,缺陷明细!$G$2:$G$50000,$C16,缺陷明细!$AA$2:$AA$50000,"重复Bug",缺陷明细!$J$2:$J$50000,"系统测试"))</f>
        <v>0</v>
      </c>
      <c r="S16" s="72">
        <f>COUNTIFS(缺陷明细!$A$2:$A$50000,$B$4,缺陷明细!$G$2:$G$50000,$C16,缺陷明细!$J$2:$J$50000,"系统测试",缺陷明细!$K$2:$K$50000,"致命",缺陷明细!$AA$2:$AA$50000,"&lt;&gt;丢弃",缺陷明细!$AA$2:$AA$50000,"&lt;&gt;设计如此",缺陷明细!$AA$2:$AA$50000,"&lt;&gt;重复Bug")+COUNTIFS(缺陷明细!$A$2:$A$50000,$B$4,缺陷明细!$G$2:$G$50000,$C16,缺陷明细!$J$2:$J$50000,"系统测试",缺陷明细!$K$2:$K$50000,"严重",缺陷明细!$AA$2:$AA$50000,"&lt;&gt;丢弃",缺陷明细!$AA$2:$AA$50000,"&lt;&gt;设计如此",缺陷明细!$AA$2:$AA$50000,"&lt;&gt;重复Bug")</f>
        <v>0</v>
      </c>
      <c r="T16" s="73">
        <f>COUNTIFS(缺陷明细!$A$2:$A$50000,$B$4,缺陷明细!$G$2:$G$50000,$C16,缺陷明细!$Q$2:$Q$50000,"已关闭",缺陷明细!$J$2:$J$50000,"系统测试",缺陷明细!$K$2:$K$50000,"致命")+COUNTIFS(缺陷明细!$A$2:$A$50000,$B$4,缺陷明细!$G$2:$G$50000,$C16,缺陷明细!$Q$2:$Q$50000,"已关闭",缺陷明细!$J$2:$J$50000,"系统测试",缺陷明细!$K$2:$K$50000,"严重")</f>
        <v>0</v>
      </c>
      <c r="U16" s="74">
        <f>COUNTIFS(缺陷明细!$A$2:$A$50000,$B$4,缺陷明细!$G$2:$G$50000,$C16,缺陷明细!$J$2:$J$50000,"验收测试",缺陷明细!$AA$2:$AA$50000,"&lt;&gt;丢弃",缺陷明细!$AA$2:$AA$50000,"&lt;&gt;设计如此",缺陷明细!$AA$2:$AA$50000,"&lt;&gt;重复Bug")</f>
        <v>0</v>
      </c>
      <c r="V16" s="75">
        <f>COUNTIFS(缺陷明细!$A$2:$A$50000,$B$4,缺陷明细!$G$2:$G$50000,$C16,缺陷明细!$Q$2:$Q$50000,"已关闭",缺陷明细!$J$2:$J$50000,"验收测试")</f>
        <v>0</v>
      </c>
      <c r="W16" s="75">
        <f>COUNTIFS(缺陷明细!$A$2:$A$50000,$B$4,缺陷明细!$G$2:$G$50000,$C16,缺陷明细!$J$2:$J$50000,"验收测试",缺陷明细!$K$2:$K$50000,"致命",缺陷明细!$AA$2:$AA$50000,"&lt;&gt;丢弃",缺陷明细!$AA$2:$AA$50000,"&lt;&gt;设计如此",缺陷明细!$AA$2:$AA$50000,"&lt;&gt;重复Bug")+COUNTIFS(缺陷明细!$A$2:$A$50000,$B$4,缺陷明细!$G$2:$G$50000,$C16,缺陷明细!$J$2:$J$50000,"验收测试",缺陷明细!$K$2:$K$50000,"严重",缺陷明细!$AA$2:$AA$50000,"&lt;&gt;丢弃",缺陷明细!$AA$2:$AA$50000,"&lt;&gt;设计如此",缺陷明细!$AA$2:$AA$50000,"&lt;&gt;重复Bug")</f>
        <v>0</v>
      </c>
      <c r="X16" s="76">
        <f>COUNTIFS(缺陷明细!$A$2:$A$50000,$B$4,缺陷明细!$G$2:$G$50000,$C16,缺陷明细!$Q$2:$Q$50000,"已关闭",缺陷明细!$J$2:$J$50000,"验收测试",缺陷明细!$K$2:$K$50000,"致命")+COUNTIFS(缺陷明细!$A$2:$A$50000,$B$4,缺陷明细!$G$2:$G$50000,$C16,缺陷明细!$Q$2:$Q$50000,"已关闭",缺陷明细!$J$2:$J$50000,"验收测试",缺陷明细!$K$2:$K$50000,"严重")</f>
        <v>0</v>
      </c>
      <c r="Y16" s="70">
        <f>COUNTIFS(缺陷明细!$A$2:$A$50000,$B$4,缺陷明细!$G$2:$G$50000,$C16,缺陷明细!$J$2:$J$50000,"运维测试",缺陷明细!$AA$2:$AA$50000,"&lt;&gt;丢弃",缺陷明细!$AA$2:$AA$50000,"&lt;&gt;设计如此",缺陷明细!$AA$2:$AA$50000,"&lt;&gt;重复Bug")</f>
        <v>0</v>
      </c>
      <c r="Z16" s="71">
        <f>COUNTIFS(缺陷明细!$A$2:$A$50000,$B$4,缺陷明细!$G$2:$G$50000,$C16,缺陷明细!$Q$2:$Q$50000,"已关闭",缺陷明细!$J$2:$J$50000,"运维测试")</f>
        <v>0</v>
      </c>
      <c r="AA16" s="72">
        <f>COUNTIFS(缺陷明细!$A$2:$A$50000,$B$4,缺陷明细!$G$2:$G$50000,$C16,缺陷明细!$J$2:$J$50000,"运维测试",缺陷明细!$K$2:$K$50000,"致命",缺陷明细!$AA$2:$AA$50000,"&lt;&gt;丢弃",缺陷明细!$AA$2:$AA$50000,"&lt;&gt;设计如此",缺陷明细!$AA$2:$AA$50000,"&lt;&gt;重复Bug")+COUNTIFS(缺陷明细!$A$2:$A$50000,$B$4,缺陷明细!$G$2:$G$50000,$C16,缺陷明细!$J$2:$J$50000,"运维测试",缺陷明细!$K$2:$K$50000,"严重",缺陷明细!$AA$2:$AA$50000,"&lt;&gt;丢弃",缺陷明细!$AA$2:$AA$50000,"&lt;&gt;设计如此",缺陷明细!$AA$2:$AA$50000,"&lt;&gt;重复Bug")</f>
        <v>0</v>
      </c>
      <c r="AB16" s="73">
        <f>COUNTIFS(缺陷明细!$A$2:$A$50000,$B$4,缺陷明细!$G$2:$G$50000,$C16,缺陷明细!$Q$2:$Q$50000,"已关闭",缺陷明细!$J$2:$J$50000,"运维测试",缺陷明细!$K$2:$K$50000,"致命")+COUNTIFS(缺陷明细!$A$2:$A$50000,$B$4,缺陷明细!$G$2:$G$50000,$C16,缺陷明细!$Q$2:$Q$50000,"已关闭",缺陷明细!$J$2:$J$50000,"运维测试",缺陷明细!$K$2:$K$50000,"严重")</f>
        <v>0</v>
      </c>
      <c r="AC16" s="68">
        <f t="shared" si="0"/>
        <v>0</v>
      </c>
      <c r="AD16" s="60">
        <f t="shared" si="0"/>
        <v>0</v>
      </c>
      <c r="AE16" s="60">
        <f t="shared" si="1"/>
        <v>0</v>
      </c>
      <c r="AF16" s="60">
        <f t="shared" si="1"/>
        <v>0</v>
      </c>
      <c r="AG16" s="60">
        <f t="shared" si="2"/>
        <v>0</v>
      </c>
      <c r="AH16" s="60">
        <f t="shared" si="2"/>
        <v>0</v>
      </c>
      <c r="AI16" s="60">
        <f t="shared" si="3"/>
        <v>0</v>
      </c>
      <c r="AJ16" s="61">
        <f t="shared" si="3"/>
        <v>0</v>
      </c>
      <c r="AK16" s="151"/>
    </row>
    <row r="17" spans="1:37">
      <c r="A17">
        <v>13</v>
      </c>
      <c r="B17" s="57"/>
      <c r="C17" s="58"/>
      <c r="D17" s="84"/>
      <c r="E17" s="82"/>
      <c r="F17" s="165"/>
      <c r="G17" s="166"/>
      <c r="H17" s="305">
        <f>COUNTIFS(缺陷明细!$A$2:$A$50000,$B$4,缺陷明细!$G$2:$G$50000,$C17,缺陷明细!$J$2:$J$50000,"评审",缺陷明细!$AA$2:$AA$50000,"&lt;&gt;丢弃",缺陷明细!$AA$2:$AA$50000,"&lt;&gt;设计如此",缺陷明细!$AA$2:$AA$50000,"&lt;&gt;重复Bug")</f>
        <v>0</v>
      </c>
      <c r="I17" s="161">
        <f>COUNTIFS(缺陷明细!$A$2:$A$50000,$B$4,缺陷明细!$G$2:$G$50000,$C17,缺陷明细!$Q$2:$Q$50000,"已关闭",缺陷明细!$J$2:$J$50000,"评审")</f>
        <v>0</v>
      </c>
      <c r="J17" s="161">
        <f>COUNTIFS(缺陷明细!$A$2:$A$50000,$B$4,缺陷明细!$G$2:$G$50000,$C17,缺陷明细!$J$2:$J$50000,"单元测试",缺陷明细!$AA$2:$AA$50000,"&lt;&gt;丢弃",缺陷明细!$AA$2:$AA$50000,"&lt;&gt;设计如此",缺陷明细!$AA$2:$AA$50000,"&lt;&gt;重复Bug")</f>
        <v>0</v>
      </c>
      <c r="K17" s="162">
        <f>COUNTIFS(缺陷明细!$A$2:$A$50000,$B$4,缺陷明细!$G$2:$G$50000,$C17,缺陷明细!$Q$2:$Q$50000,"已关闭",缺陷明细!$J$2:$J$50000,"单元测试")</f>
        <v>0</v>
      </c>
      <c r="L17" s="163"/>
      <c r="M17" s="164"/>
      <c r="N17" s="72">
        <f>COUNTIFS(缺陷明细!$A$2:$A$50000,$B$4,缺陷明细!$G$2:$G$50000,$C17,缺陷明细!$J$2:$J$50000,"系统测试案例评审",缺陷明细!$AA$2:$AA$50000,"&lt;&gt;丢弃",缺陷明细!$AA$2:$AA$50000,"&lt;&gt;设计如此",缺陷明细!$AA$2:$AA$50000,"&lt;&gt;重复Bug")</f>
        <v>0</v>
      </c>
      <c r="O17" s="72">
        <f>COUNTIFS(缺陷明细!$A$2:$A$50000,$B$4,缺陷明细!$G$2:$G$50000,$C17,缺陷明细!$Q$2:$Q$50000,"已关闭",缺陷明细!$J$2:$J$50000,"系统测试案例评审")</f>
        <v>0</v>
      </c>
      <c r="P17" s="72">
        <f>COUNTIFS(缺陷明细!$A$2:$A$50000,$B$4,缺陷明细!$G$2:$G$50000,$C17,缺陷明细!$J$2:$J$50000,"系统测试",缺陷明细!$AA$2:$AA$50000,"&lt;&gt;丢弃",缺陷明细!$AA$2:$AA$50000,"&lt;&gt;设计如此",缺陷明细!$AA$2:$AA$50000,"&lt;&gt;重复Bug")</f>
        <v>0</v>
      </c>
      <c r="Q17" s="72">
        <f>COUNTIFS(缺陷明细!$A$2:$A$50000,$B$4,缺陷明细!$G$2:$G$50000,$C17,缺陷明细!$Q$2:$Q$50000,"已关闭",缺陷明细!$J$2:$J$50000,"系统测试")</f>
        <v>0</v>
      </c>
      <c r="R17" s="72">
        <f>COUNTIFS(缺陷明细!$A$2:$A$50000,$B$4,缺陷明细!$G$2:$G$50000,$C17,缺陷明细!$AA$2:$AA$50000,"丢弃",缺陷明细!$J$2:$J$50000,"系统测试")+COUNTIFS(缺陷明细!$A$2:$A$50000,$B$4,缺陷明细!$G$2:$G$50000,$C17,缺陷明细!$AA$2:$AA$50000,"设计如此",缺陷明细!$J$2:$J$50000,"系统测试"+COUNTIFS(缺陷明细!$A$2:$A$50000,$B$4,缺陷明细!$G$2:$G$50000,$C17,缺陷明细!$AA$2:$AA$50000,"重复Bug",缺陷明细!$J$2:$J$50000,"系统测试"))</f>
        <v>0</v>
      </c>
      <c r="S17" s="72">
        <f>COUNTIFS(缺陷明细!$A$2:$A$50000,$B$4,缺陷明细!$G$2:$G$50000,$C17,缺陷明细!$J$2:$J$50000,"系统测试",缺陷明细!$K$2:$K$50000,"致命",缺陷明细!$AA$2:$AA$50000,"&lt;&gt;丢弃",缺陷明细!$AA$2:$AA$50000,"&lt;&gt;设计如此",缺陷明细!$AA$2:$AA$50000,"&lt;&gt;重复Bug")+COUNTIFS(缺陷明细!$A$2:$A$50000,$B$4,缺陷明细!$G$2:$G$50000,$C17,缺陷明细!$J$2:$J$50000,"系统测试",缺陷明细!$K$2:$K$50000,"严重",缺陷明细!$AA$2:$AA$50000,"&lt;&gt;丢弃",缺陷明细!$AA$2:$AA$50000,"&lt;&gt;设计如此",缺陷明细!$AA$2:$AA$50000,"&lt;&gt;重复Bug")</f>
        <v>0</v>
      </c>
      <c r="T17" s="73">
        <f>COUNTIFS(缺陷明细!$A$2:$A$50000,$B$4,缺陷明细!$G$2:$G$50000,$C17,缺陷明细!$Q$2:$Q$50000,"已关闭",缺陷明细!$J$2:$J$50000,"系统测试",缺陷明细!$K$2:$K$50000,"致命")+COUNTIFS(缺陷明细!$A$2:$A$50000,$B$4,缺陷明细!$G$2:$G$50000,$C17,缺陷明细!$Q$2:$Q$50000,"已关闭",缺陷明细!$J$2:$J$50000,"系统测试",缺陷明细!$K$2:$K$50000,"严重")</f>
        <v>0</v>
      </c>
      <c r="U17" s="74">
        <f>COUNTIFS(缺陷明细!$A$2:$A$50000,$B$4,缺陷明细!$G$2:$G$50000,$C17,缺陷明细!$J$2:$J$50000,"验收测试",缺陷明细!$AA$2:$AA$50000,"&lt;&gt;丢弃",缺陷明细!$AA$2:$AA$50000,"&lt;&gt;设计如此",缺陷明细!$AA$2:$AA$50000,"&lt;&gt;重复Bug")</f>
        <v>0</v>
      </c>
      <c r="V17" s="75">
        <f>COUNTIFS(缺陷明细!$A$2:$A$50000,$B$4,缺陷明细!$G$2:$G$50000,$C17,缺陷明细!$Q$2:$Q$50000,"已关闭",缺陷明细!$J$2:$J$50000,"验收测试")</f>
        <v>0</v>
      </c>
      <c r="W17" s="75">
        <f>COUNTIFS(缺陷明细!$A$2:$A$50000,$B$4,缺陷明细!$G$2:$G$50000,$C17,缺陷明细!$J$2:$J$50000,"验收测试",缺陷明细!$K$2:$K$50000,"致命",缺陷明细!$AA$2:$AA$50000,"&lt;&gt;丢弃",缺陷明细!$AA$2:$AA$50000,"&lt;&gt;设计如此",缺陷明细!$AA$2:$AA$50000,"&lt;&gt;重复Bug")+COUNTIFS(缺陷明细!$A$2:$A$50000,$B$4,缺陷明细!$G$2:$G$50000,$C17,缺陷明细!$J$2:$J$50000,"验收测试",缺陷明细!$K$2:$K$50000,"严重",缺陷明细!$AA$2:$AA$50000,"&lt;&gt;丢弃",缺陷明细!$AA$2:$AA$50000,"&lt;&gt;设计如此",缺陷明细!$AA$2:$AA$50000,"&lt;&gt;重复Bug")</f>
        <v>0</v>
      </c>
      <c r="X17" s="76">
        <f>COUNTIFS(缺陷明细!$A$2:$A$50000,$B$4,缺陷明细!$G$2:$G$50000,$C17,缺陷明细!$Q$2:$Q$50000,"已关闭",缺陷明细!$J$2:$J$50000,"验收测试",缺陷明细!$K$2:$K$50000,"致命")+COUNTIFS(缺陷明细!$A$2:$A$50000,$B$4,缺陷明细!$G$2:$G$50000,$C17,缺陷明细!$Q$2:$Q$50000,"已关闭",缺陷明细!$J$2:$J$50000,"验收测试",缺陷明细!$K$2:$K$50000,"严重")</f>
        <v>0</v>
      </c>
      <c r="Y17" s="70">
        <f>COUNTIFS(缺陷明细!$A$2:$A$50000,$B$4,缺陷明细!$G$2:$G$50000,$C17,缺陷明细!$J$2:$J$50000,"运维测试",缺陷明细!$AA$2:$AA$50000,"&lt;&gt;丢弃",缺陷明细!$AA$2:$AA$50000,"&lt;&gt;设计如此",缺陷明细!$AA$2:$AA$50000,"&lt;&gt;重复Bug")</f>
        <v>0</v>
      </c>
      <c r="Z17" s="71">
        <f>COUNTIFS(缺陷明细!$A$2:$A$50000,$B$4,缺陷明细!$G$2:$G$50000,$C17,缺陷明细!$Q$2:$Q$50000,"已关闭",缺陷明细!$J$2:$J$50000,"运维测试")</f>
        <v>0</v>
      </c>
      <c r="AA17" s="72">
        <f>COUNTIFS(缺陷明细!$A$2:$A$50000,$B$4,缺陷明细!$G$2:$G$50000,$C17,缺陷明细!$J$2:$J$50000,"运维测试",缺陷明细!$K$2:$K$50000,"致命",缺陷明细!$AA$2:$AA$50000,"&lt;&gt;丢弃",缺陷明细!$AA$2:$AA$50000,"&lt;&gt;设计如此",缺陷明细!$AA$2:$AA$50000,"&lt;&gt;重复Bug")+COUNTIFS(缺陷明细!$A$2:$A$50000,$B$4,缺陷明细!$G$2:$G$50000,$C17,缺陷明细!$J$2:$J$50000,"运维测试",缺陷明细!$K$2:$K$50000,"严重",缺陷明细!$AA$2:$AA$50000,"&lt;&gt;丢弃",缺陷明细!$AA$2:$AA$50000,"&lt;&gt;设计如此",缺陷明细!$AA$2:$AA$50000,"&lt;&gt;重复Bug")</f>
        <v>0</v>
      </c>
      <c r="AB17" s="73">
        <f>COUNTIFS(缺陷明细!$A$2:$A$50000,$B$4,缺陷明细!$G$2:$G$50000,$C17,缺陷明细!$Q$2:$Q$50000,"已关闭",缺陷明细!$J$2:$J$50000,"运维测试",缺陷明细!$K$2:$K$50000,"致命")+COUNTIFS(缺陷明细!$A$2:$A$50000,$B$4,缺陷明细!$G$2:$G$50000,$C17,缺陷明细!$Q$2:$Q$50000,"已关闭",缺陷明细!$J$2:$J$50000,"运维测试",缺陷明细!$K$2:$K$50000,"严重")</f>
        <v>0</v>
      </c>
      <c r="AC17" s="68">
        <f t="shared" si="0"/>
        <v>0</v>
      </c>
      <c r="AD17" s="60">
        <f t="shared" si="0"/>
        <v>0</v>
      </c>
      <c r="AE17" s="60">
        <f t="shared" si="1"/>
        <v>0</v>
      </c>
      <c r="AF17" s="60">
        <f t="shared" si="1"/>
        <v>0</v>
      </c>
      <c r="AG17" s="60">
        <f t="shared" si="2"/>
        <v>0</v>
      </c>
      <c r="AH17" s="60">
        <f t="shared" si="2"/>
        <v>0</v>
      </c>
      <c r="AI17" s="60">
        <f t="shared" si="3"/>
        <v>0</v>
      </c>
      <c r="AJ17" s="61">
        <f t="shared" si="3"/>
        <v>0</v>
      </c>
      <c r="AK17" s="151"/>
    </row>
    <row r="18" spans="1:37">
      <c r="A18">
        <v>14</v>
      </c>
      <c r="B18" s="57"/>
      <c r="C18" s="58"/>
      <c r="D18" s="84"/>
      <c r="E18" s="82"/>
      <c r="F18" s="165"/>
      <c r="G18" s="166"/>
      <c r="H18" s="305">
        <f>COUNTIFS(缺陷明细!$A$2:$A$50000,$B$4,缺陷明细!$G$2:$G$50000,$C18,缺陷明细!$J$2:$J$50000,"评审",缺陷明细!$AA$2:$AA$50000,"&lt;&gt;丢弃",缺陷明细!$AA$2:$AA$50000,"&lt;&gt;设计如此",缺陷明细!$AA$2:$AA$50000,"&lt;&gt;重复Bug")</f>
        <v>0</v>
      </c>
      <c r="I18" s="161">
        <f>COUNTIFS(缺陷明细!$A$2:$A$50000,$B$4,缺陷明细!$G$2:$G$50000,$C18,缺陷明细!$Q$2:$Q$50000,"已关闭",缺陷明细!$J$2:$J$50000,"评审")</f>
        <v>0</v>
      </c>
      <c r="J18" s="161">
        <f>COUNTIFS(缺陷明细!$A$2:$A$50000,$B$4,缺陷明细!$G$2:$G$50000,$C18,缺陷明细!$J$2:$J$50000,"单元测试",缺陷明细!$AA$2:$AA$50000,"&lt;&gt;丢弃",缺陷明细!$AA$2:$AA$50000,"&lt;&gt;设计如此",缺陷明细!$AA$2:$AA$50000,"&lt;&gt;重复Bug")</f>
        <v>0</v>
      </c>
      <c r="K18" s="162">
        <f>COUNTIFS(缺陷明细!$A$2:$A$50000,$B$4,缺陷明细!$G$2:$G$50000,$C18,缺陷明细!$Q$2:$Q$50000,"已关闭",缺陷明细!$J$2:$J$50000,"单元测试")</f>
        <v>0</v>
      </c>
      <c r="L18" s="163"/>
      <c r="M18" s="164"/>
      <c r="N18" s="72">
        <f>COUNTIFS(缺陷明细!$A$2:$A$50000,$B$4,缺陷明细!$G$2:$G$50000,$C18,缺陷明细!$J$2:$J$50000,"系统测试案例评审",缺陷明细!$AA$2:$AA$50000,"&lt;&gt;丢弃",缺陷明细!$AA$2:$AA$50000,"&lt;&gt;设计如此",缺陷明细!$AA$2:$AA$50000,"&lt;&gt;重复Bug")</f>
        <v>0</v>
      </c>
      <c r="O18" s="72">
        <f>COUNTIFS(缺陷明细!$A$2:$A$50000,$B$4,缺陷明细!$G$2:$G$50000,$C18,缺陷明细!$Q$2:$Q$50000,"已关闭",缺陷明细!$J$2:$J$50000,"系统测试案例评审")</f>
        <v>0</v>
      </c>
      <c r="P18" s="72">
        <f>COUNTIFS(缺陷明细!$A$2:$A$50000,$B$4,缺陷明细!$G$2:$G$50000,$C18,缺陷明细!$J$2:$J$50000,"系统测试",缺陷明细!$AA$2:$AA$50000,"&lt;&gt;丢弃",缺陷明细!$AA$2:$AA$50000,"&lt;&gt;设计如此",缺陷明细!$AA$2:$AA$50000,"&lt;&gt;重复Bug")</f>
        <v>0</v>
      </c>
      <c r="Q18" s="72">
        <f>COUNTIFS(缺陷明细!$A$2:$A$50000,$B$4,缺陷明细!$G$2:$G$50000,$C18,缺陷明细!$Q$2:$Q$50000,"已关闭",缺陷明细!$J$2:$J$50000,"系统测试")</f>
        <v>0</v>
      </c>
      <c r="R18" s="72">
        <f>COUNTIFS(缺陷明细!$A$2:$A$50000,$B$4,缺陷明细!$G$2:$G$50000,$C18,缺陷明细!$AA$2:$AA$50000,"丢弃",缺陷明细!$J$2:$J$50000,"系统测试")+COUNTIFS(缺陷明细!$A$2:$A$50000,$B$4,缺陷明细!$G$2:$G$50000,$C18,缺陷明细!$AA$2:$AA$50000,"设计如此",缺陷明细!$J$2:$J$50000,"系统测试"+COUNTIFS(缺陷明细!$A$2:$A$50000,$B$4,缺陷明细!$G$2:$G$50000,$C18,缺陷明细!$AA$2:$AA$50000,"重复Bug",缺陷明细!$J$2:$J$50000,"系统测试"))</f>
        <v>0</v>
      </c>
      <c r="S18" s="72">
        <f>COUNTIFS(缺陷明细!$A$2:$A$50000,$B$4,缺陷明细!$G$2:$G$50000,$C18,缺陷明细!$J$2:$J$50000,"系统测试",缺陷明细!$K$2:$K$50000,"致命",缺陷明细!$AA$2:$AA$50000,"&lt;&gt;丢弃",缺陷明细!$AA$2:$AA$50000,"&lt;&gt;设计如此",缺陷明细!$AA$2:$AA$50000,"&lt;&gt;重复Bug")+COUNTIFS(缺陷明细!$A$2:$A$50000,$B$4,缺陷明细!$G$2:$G$50000,$C18,缺陷明细!$J$2:$J$50000,"系统测试",缺陷明细!$K$2:$K$50000,"严重",缺陷明细!$AA$2:$AA$50000,"&lt;&gt;丢弃",缺陷明细!$AA$2:$AA$50000,"&lt;&gt;设计如此",缺陷明细!$AA$2:$AA$50000,"&lt;&gt;重复Bug")</f>
        <v>0</v>
      </c>
      <c r="T18" s="73">
        <f>COUNTIFS(缺陷明细!$A$2:$A$50000,$B$4,缺陷明细!$G$2:$G$50000,$C18,缺陷明细!$Q$2:$Q$50000,"已关闭",缺陷明细!$J$2:$J$50000,"系统测试",缺陷明细!$K$2:$K$50000,"致命")+COUNTIFS(缺陷明细!$A$2:$A$50000,$B$4,缺陷明细!$G$2:$G$50000,$C18,缺陷明细!$Q$2:$Q$50000,"已关闭",缺陷明细!$J$2:$J$50000,"系统测试",缺陷明细!$K$2:$K$50000,"严重")</f>
        <v>0</v>
      </c>
      <c r="U18" s="74">
        <f>COUNTIFS(缺陷明细!$A$2:$A$50000,$B$4,缺陷明细!$G$2:$G$50000,$C18,缺陷明细!$J$2:$J$50000,"验收测试",缺陷明细!$AA$2:$AA$50000,"&lt;&gt;丢弃",缺陷明细!$AA$2:$AA$50000,"&lt;&gt;设计如此",缺陷明细!$AA$2:$AA$50000,"&lt;&gt;重复Bug")</f>
        <v>0</v>
      </c>
      <c r="V18" s="75">
        <f>COUNTIFS(缺陷明细!$A$2:$A$50000,$B$4,缺陷明细!$G$2:$G$50000,$C18,缺陷明细!$Q$2:$Q$50000,"已关闭",缺陷明细!$J$2:$J$50000,"验收测试")</f>
        <v>0</v>
      </c>
      <c r="W18" s="75">
        <f>COUNTIFS(缺陷明细!$A$2:$A$50000,$B$4,缺陷明细!$G$2:$G$50000,$C18,缺陷明细!$J$2:$J$50000,"验收测试",缺陷明细!$K$2:$K$50000,"致命",缺陷明细!$AA$2:$AA$50000,"&lt;&gt;丢弃",缺陷明细!$AA$2:$AA$50000,"&lt;&gt;设计如此",缺陷明细!$AA$2:$AA$50000,"&lt;&gt;重复Bug")+COUNTIFS(缺陷明细!$A$2:$A$50000,$B$4,缺陷明细!$G$2:$G$50000,$C18,缺陷明细!$J$2:$J$50000,"验收测试",缺陷明细!$K$2:$K$50000,"严重",缺陷明细!$AA$2:$AA$50000,"&lt;&gt;丢弃",缺陷明细!$AA$2:$AA$50000,"&lt;&gt;设计如此",缺陷明细!$AA$2:$AA$50000,"&lt;&gt;重复Bug")</f>
        <v>0</v>
      </c>
      <c r="X18" s="76">
        <f>COUNTIFS(缺陷明细!$A$2:$A$50000,$B$4,缺陷明细!$G$2:$G$50000,$C18,缺陷明细!$Q$2:$Q$50000,"已关闭",缺陷明细!$J$2:$J$50000,"验收测试",缺陷明细!$K$2:$K$50000,"致命")+COUNTIFS(缺陷明细!$A$2:$A$50000,$B$4,缺陷明细!$G$2:$G$50000,$C18,缺陷明细!$Q$2:$Q$50000,"已关闭",缺陷明细!$J$2:$J$50000,"验收测试",缺陷明细!$K$2:$K$50000,"严重")</f>
        <v>0</v>
      </c>
      <c r="Y18" s="70">
        <f>COUNTIFS(缺陷明细!$A$2:$A$50000,$B$4,缺陷明细!$G$2:$G$50000,$C18,缺陷明细!$J$2:$J$50000,"运维测试",缺陷明细!$AA$2:$AA$50000,"&lt;&gt;丢弃",缺陷明细!$AA$2:$AA$50000,"&lt;&gt;设计如此",缺陷明细!$AA$2:$AA$50000,"&lt;&gt;重复Bug")</f>
        <v>0</v>
      </c>
      <c r="Z18" s="71">
        <f>COUNTIFS(缺陷明细!$A$2:$A$50000,$B$4,缺陷明细!$G$2:$G$50000,$C18,缺陷明细!$Q$2:$Q$50000,"已关闭",缺陷明细!$J$2:$J$50000,"运维测试")</f>
        <v>0</v>
      </c>
      <c r="AA18" s="72">
        <f>COUNTIFS(缺陷明细!$A$2:$A$50000,$B$4,缺陷明细!$G$2:$G$50000,$C18,缺陷明细!$J$2:$J$50000,"运维测试",缺陷明细!$K$2:$K$50000,"致命",缺陷明细!$AA$2:$AA$50000,"&lt;&gt;丢弃",缺陷明细!$AA$2:$AA$50000,"&lt;&gt;设计如此",缺陷明细!$AA$2:$AA$50000,"&lt;&gt;重复Bug")+COUNTIFS(缺陷明细!$A$2:$A$50000,$B$4,缺陷明细!$G$2:$G$50000,$C18,缺陷明细!$J$2:$J$50000,"运维测试",缺陷明细!$K$2:$K$50000,"严重",缺陷明细!$AA$2:$AA$50000,"&lt;&gt;丢弃",缺陷明细!$AA$2:$AA$50000,"&lt;&gt;设计如此",缺陷明细!$AA$2:$AA$50000,"&lt;&gt;重复Bug")</f>
        <v>0</v>
      </c>
      <c r="AB18" s="73">
        <f>COUNTIFS(缺陷明细!$A$2:$A$50000,$B$4,缺陷明细!$G$2:$G$50000,$C18,缺陷明细!$Q$2:$Q$50000,"已关闭",缺陷明细!$J$2:$J$50000,"运维测试",缺陷明细!$K$2:$K$50000,"致命")+COUNTIFS(缺陷明细!$A$2:$A$50000,$B$4,缺陷明细!$G$2:$G$50000,$C18,缺陷明细!$Q$2:$Q$50000,"已关闭",缺陷明细!$J$2:$J$50000,"运维测试",缺陷明细!$K$2:$K$50000,"严重")</f>
        <v>0</v>
      </c>
      <c r="AC18" s="68">
        <f t="shared" si="0"/>
        <v>0</v>
      </c>
      <c r="AD18" s="60">
        <f t="shared" si="0"/>
        <v>0</v>
      </c>
      <c r="AE18" s="60">
        <f t="shared" si="1"/>
        <v>0</v>
      </c>
      <c r="AF18" s="60">
        <f t="shared" si="1"/>
        <v>0</v>
      </c>
      <c r="AG18" s="60">
        <f t="shared" si="2"/>
        <v>0</v>
      </c>
      <c r="AH18" s="60">
        <f t="shared" si="2"/>
        <v>0</v>
      </c>
      <c r="AI18" s="60">
        <f t="shared" si="3"/>
        <v>0</v>
      </c>
      <c r="AJ18" s="61">
        <f t="shared" si="3"/>
        <v>0</v>
      </c>
      <c r="AK18" s="151"/>
    </row>
    <row r="19" spans="1:37">
      <c r="A19">
        <v>15</v>
      </c>
      <c r="B19" s="57"/>
      <c r="C19" s="58"/>
      <c r="D19" s="84"/>
      <c r="E19" s="82"/>
      <c r="F19" s="165"/>
      <c r="G19" s="166"/>
      <c r="H19" s="305">
        <f>COUNTIFS(缺陷明细!$A$2:$A$50000,$B$4,缺陷明细!$G$2:$G$50000,$C19,缺陷明细!$J$2:$J$50000,"评审",缺陷明细!$AA$2:$AA$50000,"&lt;&gt;丢弃",缺陷明细!$AA$2:$AA$50000,"&lt;&gt;设计如此",缺陷明细!$AA$2:$AA$50000,"&lt;&gt;重复Bug")</f>
        <v>0</v>
      </c>
      <c r="I19" s="161">
        <f>COUNTIFS(缺陷明细!$A$2:$A$50000,$B$4,缺陷明细!$G$2:$G$50000,$C19,缺陷明细!$Q$2:$Q$50000,"已关闭",缺陷明细!$J$2:$J$50000,"评审")</f>
        <v>0</v>
      </c>
      <c r="J19" s="161">
        <f>COUNTIFS(缺陷明细!$A$2:$A$50000,$B$4,缺陷明细!$G$2:$G$50000,$C19,缺陷明细!$J$2:$J$50000,"单元测试",缺陷明细!$AA$2:$AA$50000,"&lt;&gt;丢弃",缺陷明细!$AA$2:$AA$50000,"&lt;&gt;设计如此",缺陷明细!$AA$2:$AA$50000,"&lt;&gt;重复Bug")</f>
        <v>0</v>
      </c>
      <c r="K19" s="162">
        <f>COUNTIFS(缺陷明细!$A$2:$A$50000,$B$4,缺陷明细!$G$2:$G$50000,$C19,缺陷明细!$Q$2:$Q$50000,"已关闭",缺陷明细!$J$2:$J$50000,"单元测试")</f>
        <v>0</v>
      </c>
      <c r="L19" s="163"/>
      <c r="M19" s="164"/>
      <c r="N19" s="72">
        <f>COUNTIFS(缺陷明细!$A$2:$A$50000,$B$4,缺陷明细!$G$2:$G$50000,$C19,缺陷明细!$J$2:$J$50000,"系统测试案例评审",缺陷明细!$AA$2:$AA$50000,"&lt;&gt;丢弃",缺陷明细!$AA$2:$AA$50000,"&lt;&gt;设计如此",缺陷明细!$AA$2:$AA$50000,"&lt;&gt;重复Bug")</f>
        <v>0</v>
      </c>
      <c r="O19" s="72">
        <f>COUNTIFS(缺陷明细!$A$2:$A$50000,$B$4,缺陷明细!$G$2:$G$50000,$C19,缺陷明细!$Q$2:$Q$50000,"已关闭",缺陷明细!$J$2:$J$50000,"系统测试案例评审")</f>
        <v>0</v>
      </c>
      <c r="P19" s="72">
        <f>COUNTIFS(缺陷明细!$A$2:$A$50000,$B$4,缺陷明细!$G$2:$G$50000,$C19,缺陷明细!$J$2:$J$50000,"系统测试",缺陷明细!$AA$2:$AA$50000,"&lt;&gt;丢弃",缺陷明细!$AA$2:$AA$50000,"&lt;&gt;设计如此",缺陷明细!$AA$2:$AA$50000,"&lt;&gt;重复Bug")</f>
        <v>0</v>
      </c>
      <c r="Q19" s="72">
        <f>COUNTIFS(缺陷明细!$A$2:$A$50000,$B$4,缺陷明细!$G$2:$G$50000,$C19,缺陷明细!$Q$2:$Q$50000,"已关闭",缺陷明细!$J$2:$J$50000,"系统测试")</f>
        <v>0</v>
      </c>
      <c r="R19" s="72">
        <f>COUNTIFS(缺陷明细!$A$2:$A$50000,$B$4,缺陷明细!$G$2:$G$50000,$C19,缺陷明细!$AA$2:$AA$50000,"丢弃",缺陷明细!$J$2:$J$50000,"系统测试")+COUNTIFS(缺陷明细!$A$2:$A$50000,$B$4,缺陷明细!$G$2:$G$50000,$C19,缺陷明细!$AA$2:$AA$50000,"设计如此",缺陷明细!$J$2:$J$50000,"系统测试"+COUNTIFS(缺陷明细!$A$2:$A$50000,$B$4,缺陷明细!$G$2:$G$50000,$C19,缺陷明细!$AA$2:$AA$50000,"重复Bug",缺陷明细!$J$2:$J$50000,"系统测试"))</f>
        <v>0</v>
      </c>
      <c r="S19" s="72">
        <f>COUNTIFS(缺陷明细!$A$2:$A$50000,$B$4,缺陷明细!$G$2:$G$50000,$C19,缺陷明细!$J$2:$J$50000,"系统测试",缺陷明细!$K$2:$K$50000,"致命",缺陷明细!$AA$2:$AA$50000,"&lt;&gt;丢弃",缺陷明细!$AA$2:$AA$50000,"&lt;&gt;设计如此",缺陷明细!$AA$2:$AA$50000,"&lt;&gt;重复Bug")+COUNTIFS(缺陷明细!$A$2:$A$50000,$B$4,缺陷明细!$G$2:$G$50000,$C19,缺陷明细!$J$2:$J$50000,"系统测试",缺陷明细!$K$2:$K$50000,"严重",缺陷明细!$AA$2:$AA$50000,"&lt;&gt;丢弃",缺陷明细!$AA$2:$AA$50000,"&lt;&gt;设计如此",缺陷明细!$AA$2:$AA$50000,"&lt;&gt;重复Bug")</f>
        <v>0</v>
      </c>
      <c r="T19" s="73">
        <f>COUNTIFS(缺陷明细!$A$2:$A$50000,$B$4,缺陷明细!$G$2:$G$50000,$C19,缺陷明细!$Q$2:$Q$50000,"已关闭",缺陷明细!$J$2:$J$50000,"系统测试",缺陷明细!$K$2:$K$50000,"致命")+COUNTIFS(缺陷明细!$A$2:$A$50000,$B$4,缺陷明细!$G$2:$G$50000,$C19,缺陷明细!$Q$2:$Q$50000,"已关闭",缺陷明细!$J$2:$J$50000,"系统测试",缺陷明细!$K$2:$K$50000,"严重")</f>
        <v>0</v>
      </c>
      <c r="U19" s="74">
        <f>COUNTIFS(缺陷明细!$A$2:$A$50000,$B$4,缺陷明细!$G$2:$G$50000,$C19,缺陷明细!$J$2:$J$50000,"验收测试",缺陷明细!$AA$2:$AA$50000,"&lt;&gt;丢弃",缺陷明细!$AA$2:$AA$50000,"&lt;&gt;设计如此",缺陷明细!$AA$2:$AA$50000,"&lt;&gt;重复Bug")</f>
        <v>0</v>
      </c>
      <c r="V19" s="75">
        <f>COUNTIFS(缺陷明细!$A$2:$A$50000,$B$4,缺陷明细!$G$2:$G$50000,$C19,缺陷明细!$Q$2:$Q$50000,"已关闭",缺陷明细!$J$2:$J$50000,"验收测试")</f>
        <v>0</v>
      </c>
      <c r="W19" s="75">
        <f>COUNTIFS(缺陷明细!$A$2:$A$50000,$B$4,缺陷明细!$G$2:$G$50000,$C19,缺陷明细!$J$2:$J$50000,"验收测试",缺陷明细!$K$2:$K$50000,"致命",缺陷明细!$AA$2:$AA$50000,"&lt;&gt;丢弃",缺陷明细!$AA$2:$AA$50000,"&lt;&gt;设计如此",缺陷明细!$AA$2:$AA$50000,"&lt;&gt;重复Bug")+COUNTIFS(缺陷明细!$A$2:$A$50000,$B$4,缺陷明细!$G$2:$G$50000,$C19,缺陷明细!$J$2:$J$50000,"验收测试",缺陷明细!$K$2:$K$50000,"严重",缺陷明细!$AA$2:$AA$50000,"&lt;&gt;丢弃",缺陷明细!$AA$2:$AA$50000,"&lt;&gt;设计如此",缺陷明细!$AA$2:$AA$50000,"&lt;&gt;重复Bug")</f>
        <v>0</v>
      </c>
      <c r="X19" s="76">
        <f>COUNTIFS(缺陷明细!$A$2:$A$50000,$B$4,缺陷明细!$G$2:$G$50000,$C19,缺陷明细!$Q$2:$Q$50000,"已关闭",缺陷明细!$J$2:$J$50000,"验收测试",缺陷明细!$K$2:$K$50000,"致命")+COUNTIFS(缺陷明细!$A$2:$A$50000,$B$4,缺陷明细!$G$2:$G$50000,$C19,缺陷明细!$Q$2:$Q$50000,"已关闭",缺陷明细!$J$2:$J$50000,"验收测试",缺陷明细!$K$2:$K$50000,"严重")</f>
        <v>0</v>
      </c>
      <c r="Y19" s="70">
        <f>COUNTIFS(缺陷明细!$A$2:$A$50000,$B$4,缺陷明细!$G$2:$G$50000,$C19,缺陷明细!$J$2:$J$50000,"运维测试",缺陷明细!$AA$2:$AA$50000,"&lt;&gt;丢弃",缺陷明细!$AA$2:$AA$50000,"&lt;&gt;设计如此",缺陷明细!$AA$2:$AA$50000,"&lt;&gt;重复Bug")</f>
        <v>0</v>
      </c>
      <c r="Z19" s="71">
        <f>COUNTIFS(缺陷明细!$A$2:$A$50000,$B$4,缺陷明细!$G$2:$G$50000,$C19,缺陷明细!$Q$2:$Q$50000,"已关闭",缺陷明细!$J$2:$J$50000,"运维测试")</f>
        <v>0</v>
      </c>
      <c r="AA19" s="72">
        <f>COUNTIFS(缺陷明细!$A$2:$A$50000,$B$4,缺陷明细!$G$2:$G$50000,$C19,缺陷明细!$J$2:$J$50000,"运维测试",缺陷明细!$K$2:$K$50000,"致命",缺陷明细!$AA$2:$AA$50000,"&lt;&gt;丢弃",缺陷明细!$AA$2:$AA$50000,"&lt;&gt;设计如此",缺陷明细!$AA$2:$AA$50000,"&lt;&gt;重复Bug")+COUNTIFS(缺陷明细!$A$2:$A$50000,$B$4,缺陷明细!$G$2:$G$50000,$C19,缺陷明细!$J$2:$J$50000,"运维测试",缺陷明细!$K$2:$K$50000,"严重",缺陷明细!$AA$2:$AA$50000,"&lt;&gt;丢弃",缺陷明细!$AA$2:$AA$50000,"&lt;&gt;设计如此",缺陷明细!$AA$2:$AA$50000,"&lt;&gt;重复Bug")</f>
        <v>0</v>
      </c>
      <c r="AB19" s="73">
        <f>COUNTIFS(缺陷明细!$A$2:$A$50000,$B$4,缺陷明细!$G$2:$G$50000,$C19,缺陷明细!$Q$2:$Q$50000,"已关闭",缺陷明细!$J$2:$J$50000,"运维测试",缺陷明细!$K$2:$K$50000,"致命")+COUNTIFS(缺陷明细!$A$2:$A$50000,$B$4,缺陷明细!$G$2:$G$50000,$C19,缺陷明细!$Q$2:$Q$50000,"已关闭",缺陷明细!$J$2:$J$50000,"运维测试",缺陷明细!$K$2:$K$50000,"严重")</f>
        <v>0</v>
      </c>
      <c r="AC19" s="68">
        <f t="shared" si="0"/>
        <v>0</v>
      </c>
      <c r="AD19" s="60">
        <f t="shared" si="0"/>
        <v>0</v>
      </c>
      <c r="AE19" s="60">
        <f t="shared" si="1"/>
        <v>0</v>
      </c>
      <c r="AF19" s="60">
        <f t="shared" si="1"/>
        <v>0</v>
      </c>
      <c r="AG19" s="60">
        <f t="shared" si="2"/>
        <v>0</v>
      </c>
      <c r="AH19" s="60">
        <f t="shared" si="2"/>
        <v>0</v>
      </c>
      <c r="AI19" s="60">
        <f t="shared" si="3"/>
        <v>0</v>
      </c>
      <c r="AJ19" s="61">
        <f t="shared" si="3"/>
        <v>0</v>
      </c>
      <c r="AK19" s="151"/>
    </row>
    <row r="20" spans="1:37">
      <c r="A20">
        <v>16</v>
      </c>
      <c r="B20" s="57"/>
      <c r="C20" s="58"/>
      <c r="D20" s="84"/>
      <c r="E20" s="82"/>
      <c r="F20" s="165"/>
      <c r="G20" s="166"/>
      <c r="H20" s="305">
        <f>COUNTIFS(缺陷明细!$A$2:$A$50000,$B$4,缺陷明细!$G$2:$G$50000,$C20,缺陷明细!$J$2:$J$50000,"评审",缺陷明细!$AA$2:$AA$50000,"&lt;&gt;丢弃",缺陷明细!$AA$2:$AA$50000,"&lt;&gt;设计如此",缺陷明细!$AA$2:$AA$50000,"&lt;&gt;重复Bug")</f>
        <v>0</v>
      </c>
      <c r="I20" s="161">
        <f>COUNTIFS(缺陷明细!$A$2:$A$50000,$B$4,缺陷明细!$G$2:$G$50000,$C20,缺陷明细!$Q$2:$Q$50000,"已关闭",缺陷明细!$J$2:$J$50000,"评审")</f>
        <v>0</v>
      </c>
      <c r="J20" s="161">
        <f>COUNTIFS(缺陷明细!$A$2:$A$50000,$B$4,缺陷明细!$G$2:$G$50000,$C20,缺陷明细!$J$2:$J$50000,"单元测试",缺陷明细!$AA$2:$AA$50000,"&lt;&gt;丢弃",缺陷明细!$AA$2:$AA$50000,"&lt;&gt;设计如此",缺陷明细!$AA$2:$AA$50000,"&lt;&gt;重复Bug")</f>
        <v>0</v>
      </c>
      <c r="K20" s="162">
        <f>COUNTIFS(缺陷明细!$A$2:$A$50000,$B$4,缺陷明细!$G$2:$G$50000,$C20,缺陷明细!$Q$2:$Q$50000,"已关闭",缺陷明细!$J$2:$J$50000,"单元测试")</f>
        <v>0</v>
      </c>
      <c r="L20" s="163"/>
      <c r="M20" s="164"/>
      <c r="N20" s="72">
        <f>COUNTIFS(缺陷明细!$A$2:$A$50000,$B$4,缺陷明细!$G$2:$G$50000,$C20,缺陷明细!$J$2:$J$50000,"系统测试案例评审",缺陷明细!$AA$2:$AA$50000,"&lt;&gt;丢弃",缺陷明细!$AA$2:$AA$50000,"&lt;&gt;设计如此",缺陷明细!$AA$2:$AA$50000,"&lt;&gt;重复Bug")</f>
        <v>0</v>
      </c>
      <c r="O20" s="72">
        <f>COUNTIFS(缺陷明细!$A$2:$A$50000,$B$4,缺陷明细!$G$2:$G$50000,$C20,缺陷明细!$Q$2:$Q$50000,"已关闭",缺陷明细!$J$2:$J$50000,"系统测试案例评审")</f>
        <v>0</v>
      </c>
      <c r="P20" s="72">
        <f>COUNTIFS(缺陷明细!$A$2:$A$50000,$B$4,缺陷明细!$G$2:$G$50000,$C20,缺陷明细!$J$2:$J$50000,"系统测试",缺陷明细!$AA$2:$AA$50000,"&lt;&gt;丢弃",缺陷明细!$AA$2:$AA$50000,"&lt;&gt;设计如此",缺陷明细!$AA$2:$AA$50000,"&lt;&gt;重复Bug")</f>
        <v>0</v>
      </c>
      <c r="Q20" s="72">
        <f>COUNTIFS(缺陷明细!$A$2:$A$50000,$B$4,缺陷明细!$G$2:$G$50000,$C20,缺陷明细!$Q$2:$Q$50000,"已关闭",缺陷明细!$J$2:$J$50000,"系统测试")</f>
        <v>0</v>
      </c>
      <c r="R20" s="72">
        <f>COUNTIFS(缺陷明细!$A$2:$A$50000,$B$4,缺陷明细!$G$2:$G$50000,$C20,缺陷明细!$AA$2:$AA$50000,"丢弃",缺陷明细!$J$2:$J$50000,"系统测试")+COUNTIFS(缺陷明细!$A$2:$A$50000,$B$4,缺陷明细!$G$2:$G$50000,$C20,缺陷明细!$AA$2:$AA$50000,"设计如此",缺陷明细!$J$2:$J$50000,"系统测试"+COUNTIFS(缺陷明细!$A$2:$A$50000,$B$4,缺陷明细!$G$2:$G$50000,$C20,缺陷明细!$AA$2:$AA$50000,"重复Bug",缺陷明细!$J$2:$J$50000,"系统测试"))</f>
        <v>0</v>
      </c>
      <c r="S20" s="72">
        <f>COUNTIFS(缺陷明细!$A$2:$A$50000,$B$4,缺陷明细!$G$2:$G$50000,$C20,缺陷明细!$J$2:$J$50000,"系统测试",缺陷明细!$K$2:$K$50000,"致命",缺陷明细!$AA$2:$AA$50000,"&lt;&gt;丢弃",缺陷明细!$AA$2:$AA$50000,"&lt;&gt;设计如此",缺陷明细!$AA$2:$AA$50000,"&lt;&gt;重复Bug")+COUNTIFS(缺陷明细!$A$2:$A$50000,$B$4,缺陷明细!$G$2:$G$50000,$C20,缺陷明细!$J$2:$J$50000,"系统测试",缺陷明细!$K$2:$K$50000,"严重",缺陷明细!$AA$2:$AA$50000,"&lt;&gt;丢弃",缺陷明细!$AA$2:$AA$50000,"&lt;&gt;设计如此",缺陷明细!$AA$2:$AA$50000,"&lt;&gt;重复Bug")</f>
        <v>0</v>
      </c>
      <c r="T20" s="73">
        <f>COUNTIFS(缺陷明细!$A$2:$A$50000,$B$4,缺陷明细!$G$2:$G$50000,$C20,缺陷明细!$Q$2:$Q$50000,"已关闭",缺陷明细!$J$2:$J$50000,"系统测试",缺陷明细!$K$2:$K$50000,"致命")+COUNTIFS(缺陷明细!$A$2:$A$50000,$B$4,缺陷明细!$G$2:$G$50000,$C20,缺陷明细!$Q$2:$Q$50000,"已关闭",缺陷明细!$J$2:$J$50000,"系统测试",缺陷明细!$K$2:$K$50000,"严重")</f>
        <v>0</v>
      </c>
      <c r="U20" s="74">
        <f>COUNTIFS(缺陷明细!$A$2:$A$50000,$B$4,缺陷明细!$G$2:$G$50000,$C20,缺陷明细!$J$2:$J$50000,"验收测试",缺陷明细!$AA$2:$AA$50000,"&lt;&gt;丢弃",缺陷明细!$AA$2:$AA$50000,"&lt;&gt;设计如此",缺陷明细!$AA$2:$AA$50000,"&lt;&gt;重复Bug")</f>
        <v>0</v>
      </c>
      <c r="V20" s="75">
        <f>COUNTIFS(缺陷明细!$A$2:$A$50000,$B$4,缺陷明细!$G$2:$G$50000,$C20,缺陷明细!$Q$2:$Q$50000,"已关闭",缺陷明细!$J$2:$J$50000,"验收测试")</f>
        <v>0</v>
      </c>
      <c r="W20" s="75">
        <f>COUNTIFS(缺陷明细!$A$2:$A$50000,$B$4,缺陷明细!$G$2:$G$50000,$C20,缺陷明细!$J$2:$J$50000,"验收测试",缺陷明细!$K$2:$K$50000,"致命",缺陷明细!$AA$2:$AA$50000,"&lt;&gt;丢弃",缺陷明细!$AA$2:$AA$50000,"&lt;&gt;设计如此",缺陷明细!$AA$2:$AA$50000,"&lt;&gt;重复Bug")+COUNTIFS(缺陷明细!$A$2:$A$50000,$B$4,缺陷明细!$G$2:$G$50000,$C20,缺陷明细!$J$2:$J$50000,"验收测试",缺陷明细!$K$2:$K$50000,"严重",缺陷明细!$AA$2:$AA$50000,"&lt;&gt;丢弃",缺陷明细!$AA$2:$AA$50000,"&lt;&gt;设计如此",缺陷明细!$AA$2:$AA$50000,"&lt;&gt;重复Bug")</f>
        <v>0</v>
      </c>
      <c r="X20" s="76">
        <f>COUNTIFS(缺陷明细!$A$2:$A$50000,$B$4,缺陷明细!$G$2:$G$50000,$C20,缺陷明细!$Q$2:$Q$50000,"已关闭",缺陷明细!$J$2:$J$50000,"验收测试",缺陷明细!$K$2:$K$50000,"致命")+COUNTIFS(缺陷明细!$A$2:$A$50000,$B$4,缺陷明细!$G$2:$G$50000,$C20,缺陷明细!$Q$2:$Q$50000,"已关闭",缺陷明细!$J$2:$J$50000,"验收测试",缺陷明细!$K$2:$K$50000,"严重")</f>
        <v>0</v>
      </c>
      <c r="Y20" s="70">
        <f>COUNTIFS(缺陷明细!$A$2:$A$50000,$B$4,缺陷明细!$G$2:$G$50000,$C20,缺陷明细!$J$2:$J$50000,"运维测试",缺陷明细!$AA$2:$AA$50000,"&lt;&gt;丢弃",缺陷明细!$AA$2:$AA$50000,"&lt;&gt;设计如此",缺陷明细!$AA$2:$AA$50000,"&lt;&gt;重复Bug")</f>
        <v>0</v>
      </c>
      <c r="Z20" s="71">
        <f>COUNTIFS(缺陷明细!$A$2:$A$50000,$B$4,缺陷明细!$G$2:$G$50000,$C20,缺陷明细!$Q$2:$Q$50000,"已关闭",缺陷明细!$J$2:$J$50000,"运维测试")</f>
        <v>0</v>
      </c>
      <c r="AA20" s="72">
        <f>COUNTIFS(缺陷明细!$A$2:$A$50000,$B$4,缺陷明细!$G$2:$G$50000,$C20,缺陷明细!$J$2:$J$50000,"运维测试",缺陷明细!$K$2:$K$50000,"致命",缺陷明细!$AA$2:$AA$50000,"&lt;&gt;丢弃",缺陷明细!$AA$2:$AA$50000,"&lt;&gt;设计如此",缺陷明细!$AA$2:$AA$50000,"&lt;&gt;重复Bug")+COUNTIFS(缺陷明细!$A$2:$A$50000,$B$4,缺陷明细!$G$2:$G$50000,$C20,缺陷明细!$J$2:$J$50000,"运维测试",缺陷明细!$K$2:$K$50000,"严重",缺陷明细!$AA$2:$AA$50000,"&lt;&gt;丢弃",缺陷明细!$AA$2:$AA$50000,"&lt;&gt;设计如此",缺陷明细!$AA$2:$AA$50000,"&lt;&gt;重复Bug")</f>
        <v>0</v>
      </c>
      <c r="AB20" s="73">
        <f>COUNTIFS(缺陷明细!$A$2:$A$50000,$B$4,缺陷明细!$G$2:$G$50000,$C20,缺陷明细!$Q$2:$Q$50000,"已关闭",缺陷明细!$J$2:$J$50000,"运维测试",缺陷明细!$K$2:$K$50000,"致命")+COUNTIFS(缺陷明细!$A$2:$A$50000,$B$4,缺陷明细!$G$2:$G$50000,$C20,缺陷明细!$Q$2:$Q$50000,"已关闭",缺陷明细!$J$2:$J$50000,"运维测试",缺陷明细!$K$2:$K$50000,"严重")</f>
        <v>0</v>
      </c>
      <c r="AC20" s="68">
        <f t="shared" si="0"/>
        <v>0</v>
      </c>
      <c r="AD20" s="60">
        <f t="shared" si="0"/>
        <v>0</v>
      </c>
      <c r="AE20" s="60">
        <f t="shared" si="1"/>
        <v>0</v>
      </c>
      <c r="AF20" s="60">
        <f t="shared" si="1"/>
        <v>0</v>
      </c>
      <c r="AG20" s="60">
        <f t="shared" si="2"/>
        <v>0</v>
      </c>
      <c r="AH20" s="60">
        <f t="shared" si="2"/>
        <v>0</v>
      </c>
      <c r="AI20" s="60">
        <f t="shared" si="3"/>
        <v>0</v>
      </c>
      <c r="AJ20" s="61">
        <f t="shared" si="3"/>
        <v>0</v>
      </c>
      <c r="AK20" s="151"/>
    </row>
    <row r="21" spans="1:37">
      <c r="A21">
        <v>17</v>
      </c>
      <c r="B21" s="57"/>
      <c r="C21" s="58"/>
      <c r="D21" s="84"/>
      <c r="E21" s="82"/>
      <c r="F21" s="165"/>
      <c r="G21" s="166"/>
      <c r="H21" s="305">
        <f>COUNTIFS(缺陷明细!$A$2:$A$50000,$B$4,缺陷明细!$G$2:$G$50000,$C21,缺陷明细!$J$2:$J$50000,"评审",缺陷明细!$AA$2:$AA$50000,"&lt;&gt;丢弃",缺陷明细!$AA$2:$AA$50000,"&lt;&gt;设计如此",缺陷明细!$AA$2:$AA$50000,"&lt;&gt;重复Bug")</f>
        <v>0</v>
      </c>
      <c r="I21" s="161">
        <f>COUNTIFS(缺陷明细!$A$2:$A$50000,$B$4,缺陷明细!$G$2:$G$50000,$C21,缺陷明细!$Q$2:$Q$50000,"已关闭",缺陷明细!$J$2:$J$50000,"评审")</f>
        <v>0</v>
      </c>
      <c r="J21" s="161">
        <f>COUNTIFS(缺陷明细!$A$2:$A$50000,$B$4,缺陷明细!$G$2:$G$50000,$C21,缺陷明细!$J$2:$J$50000,"单元测试",缺陷明细!$AA$2:$AA$50000,"&lt;&gt;丢弃",缺陷明细!$AA$2:$AA$50000,"&lt;&gt;设计如此",缺陷明细!$AA$2:$AA$50000,"&lt;&gt;重复Bug")</f>
        <v>0</v>
      </c>
      <c r="K21" s="162">
        <f>COUNTIFS(缺陷明细!$A$2:$A$50000,$B$4,缺陷明细!$G$2:$G$50000,$C21,缺陷明细!$Q$2:$Q$50000,"已关闭",缺陷明细!$J$2:$J$50000,"单元测试")</f>
        <v>0</v>
      </c>
      <c r="L21" s="163"/>
      <c r="M21" s="164"/>
      <c r="N21" s="72">
        <f>COUNTIFS(缺陷明细!$A$2:$A$50000,$B$4,缺陷明细!$G$2:$G$50000,$C21,缺陷明细!$J$2:$J$50000,"系统测试案例评审",缺陷明细!$AA$2:$AA$50000,"&lt;&gt;丢弃",缺陷明细!$AA$2:$AA$50000,"&lt;&gt;设计如此",缺陷明细!$AA$2:$AA$50000,"&lt;&gt;重复Bug")</f>
        <v>0</v>
      </c>
      <c r="O21" s="72">
        <f>COUNTIFS(缺陷明细!$A$2:$A$50000,$B$4,缺陷明细!$G$2:$G$50000,$C21,缺陷明细!$Q$2:$Q$50000,"已关闭",缺陷明细!$J$2:$J$50000,"系统测试案例评审")</f>
        <v>0</v>
      </c>
      <c r="P21" s="72">
        <f>COUNTIFS(缺陷明细!$A$2:$A$50000,$B$4,缺陷明细!$G$2:$G$50000,$C21,缺陷明细!$J$2:$J$50000,"系统测试",缺陷明细!$AA$2:$AA$50000,"&lt;&gt;丢弃",缺陷明细!$AA$2:$AA$50000,"&lt;&gt;设计如此",缺陷明细!$AA$2:$AA$50000,"&lt;&gt;重复Bug")</f>
        <v>0</v>
      </c>
      <c r="Q21" s="72">
        <f>COUNTIFS(缺陷明细!$A$2:$A$50000,$B$4,缺陷明细!$G$2:$G$50000,$C21,缺陷明细!$Q$2:$Q$50000,"已关闭",缺陷明细!$J$2:$J$50000,"系统测试")</f>
        <v>0</v>
      </c>
      <c r="R21" s="72">
        <f>COUNTIFS(缺陷明细!$A$2:$A$50000,$B$4,缺陷明细!$G$2:$G$50000,$C21,缺陷明细!$AA$2:$AA$50000,"丢弃",缺陷明细!$J$2:$J$50000,"系统测试")+COUNTIFS(缺陷明细!$A$2:$A$50000,$B$4,缺陷明细!$G$2:$G$50000,$C21,缺陷明细!$AA$2:$AA$50000,"设计如此",缺陷明细!$J$2:$J$50000,"系统测试"+COUNTIFS(缺陷明细!$A$2:$A$50000,$B$4,缺陷明细!$G$2:$G$50000,$C21,缺陷明细!$AA$2:$AA$50000,"重复Bug",缺陷明细!$J$2:$J$50000,"系统测试"))</f>
        <v>0</v>
      </c>
      <c r="S21" s="72">
        <f>COUNTIFS(缺陷明细!$A$2:$A$50000,$B$4,缺陷明细!$G$2:$G$50000,$C21,缺陷明细!$J$2:$J$50000,"系统测试",缺陷明细!$K$2:$K$50000,"致命",缺陷明细!$AA$2:$AA$50000,"&lt;&gt;丢弃",缺陷明细!$AA$2:$AA$50000,"&lt;&gt;设计如此",缺陷明细!$AA$2:$AA$50000,"&lt;&gt;重复Bug")+COUNTIFS(缺陷明细!$A$2:$A$50000,$B$4,缺陷明细!$G$2:$G$50000,$C21,缺陷明细!$J$2:$J$50000,"系统测试",缺陷明细!$K$2:$K$50000,"严重",缺陷明细!$AA$2:$AA$50000,"&lt;&gt;丢弃",缺陷明细!$AA$2:$AA$50000,"&lt;&gt;设计如此",缺陷明细!$AA$2:$AA$50000,"&lt;&gt;重复Bug")</f>
        <v>0</v>
      </c>
      <c r="T21" s="73">
        <f>COUNTIFS(缺陷明细!$A$2:$A$50000,$B$4,缺陷明细!$G$2:$G$50000,$C21,缺陷明细!$Q$2:$Q$50000,"已关闭",缺陷明细!$J$2:$J$50000,"系统测试",缺陷明细!$K$2:$K$50000,"致命")+COUNTIFS(缺陷明细!$A$2:$A$50000,$B$4,缺陷明细!$G$2:$G$50000,$C21,缺陷明细!$Q$2:$Q$50000,"已关闭",缺陷明细!$J$2:$J$50000,"系统测试",缺陷明细!$K$2:$K$50000,"严重")</f>
        <v>0</v>
      </c>
      <c r="U21" s="74">
        <f>COUNTIFS(缺陷明细!$A$2:$A$50000,$B$4,缺陷明细!$G$2:$G$50000,$C21,缺陷明细!$J$2:$J$50000,"验收测试",缺陷明细!$AA$2:$AA$50000,"&lt;&gt;丢弃",缺陷明细!$AA$2:$AA$50000,"&lt;&gt;设计如此",缺陷明细!$AA$2:$AA$50000,"&lt;&gt;重复Bug")</f>
        <v>0</v>
      </c>
      <c r="V21" s="75">
        <f>COUNTIFS(缺陷明细!$A$2:$A$50000,$B$4,缺陷明细!$G$2:$G$50000,$C21,缺陷明细!$Q$2:$Q$50000,"已关闭",缺陷明细!$J$2:$J$50000,"验收测试")</f>
        <v>0</v>
      </c>
      <c r="W21" s="75">
        <f>COUNTIFS(缺陷明细!$A$2:$A$50000,$B$4,缺陷明细!$G$2:$G$50000,$C21,缺陷明细!$J$2:$J$50000,"验收测试",缺陷明细!$K$2:$K$50000,"致命",缺陷明细!$AA$2:$AA$50000,"&lt;&gt;丢弃",缺陷明细!$AA$2:$AA$50000,"&lt;&gt;设计如此",缺陷明细!$AA$2:$AA$50000,"&lt;&gt;重复Bug")+COUNTIFS(缺陷明细!$A$2:$A$50000,$B$4,缺陷明细!$G$2:$G$50000,$C21,缺陷明细!$J$2:$J$50000,"验收测试",缺陷明细!$K$2:$K$50000,"严重",缺陷明细!$AA$2:$AA$50000,"&lt;&gt;丢弃",缺陷明细!$AA$2:$AA$50000,"&lt;&gt;设计如此",缺陷明细!$AA$2:$AA$50000,"&lt;&gt;重复Bug")</f>
        <v>0</v>
      </c>
      <c r="X21" s="76">
        <f>COUNTIFS(缺陷明细!$A$2:$A$50000,$B$4,缺陷明细!$G$2:$G$50000,$C21,缺陷明细!$Q$2:$Q$50000,"已关闭",缺陷明细!$J$2:$J$50000,"验收测试",缺陷明细!$K$2:$K$50000,"致命")+COUNTIFS(缺陷明细!$A$2:$A$50000,$B$4,缺陷明细!$G$2:$G$50000,$C21,缺陷明细!$Q$2:$Q$50000,"已关闭",缺陷明细!$J$2:$J$50000,"验收测试",缺陷明细!$K$2:$K$50000,"严重")</f>
        <v>0</v>
      </c>
      <c r="Y21" s="70">
        <f>COUNTIFS(缺陷明细!$A$2:$A$50000,$B$4,缺陷明细!$G$2:$G$50000,$C21,缺陷明细!$J$2:$J$50000,"运维测试",缺陷明细!$AA$2:$AA$50000,"&lt;&gt;丢弃",缺陷明细!$AA$2:$AA$50000,"&lt;&gt;设计如此",缺陷明细!$AA$2:$AA$50000,"&lt;&gt;重复Bug")</f>
        <v>0</v>
      </c>
      <c r="Z21" s="71">
        <f>COUNTIFS(缺陷明细!$A$2:$A$50000,$B$4,缺陷明细!$G$2:$G$50000,$C21,缺陷明细!$Q$2:$Q$50000,"已关闭",缺陷明细!$J$2:$J$50000,"运维测试")</f>
        <v>0</v>
      </c>
      <c r="AA21" s="72">
        <f>COUNTIFS(缺陷明细!$A$2:$A$50000,$B$4,缺陷明细!$G$2:$G$50000,$C21,缺陷明细!$J$2:$J$50000,"运维测试",缺陷明细!$K$2:$K$50000,"致命",缺陷明细!$AA$2:$AA$50000,"&lt;&gt;丢弃",缺陷明细!$AA$2:$AA$50000,"&lt;&gt;设计如此",缺陷明细!$AA$2:$AA$50000,"&lt;&gt;重复Bug")+COUNTIFS(缺陷明细!$A$2:$A$50000,$B$4,缺陷明细!$G$2:$G$50000,$C21,缺陷明细!$J$2:$J$50000,"运维测试",缺陷明细!$K$2:$K$50000,"严重",缺陷明细!$AA$2:$AA$50000,"&lt;&gt;丢弃",缺陷明细!$AA$2:$AA$50000,"&lt;&gt;设计如此",缺陷明细!$AA$2:$AA$50000,"&lt;&gt;重复Bug")</f>
        <v>0</v>
      </c>
      <c r="AB21" s="73">
        <f>COUNTIFS(缺陷明细!$A$2:$A$50000,$B$4,缺陷明细!$G$2:$G$50000,$C21,缺陷明细!$Q$2:$Q$50000,"已关闭",缺陷明细!$J$2:$J$50000,"运维测试",缺陷明细!$K$2:$K$50000,"致命")+COUNTIFS(缺陷明细!$A$2:$A$50000,$B$4,缺陷明细!$G$2:$G$50000,$C21,缺陷明细!$Q$2:$Q$50000,"已关闭",缺陷明细!$J$2:$J$50000,"运维测试",缺陷明细!$K$2:$K$50000,"严重")</f>
        <v>0</v>
      </c>
      <c r="AC21" s="68">
        <f t="shared" si="0"/>
        <v>0</v>
      </c>
      <c r="AD21" s="60">
        <f t="shared" si="0"/>
        <v>0</v>
      </c>
      <c r="AE21" s="60">
        <f t="shared" si="1"/>
        <v>0</v>
      </c>
      <c r="AF21" s="60">
        <f t="shared" si="1"/>
        <v>0</v>
      </c>
      <c r="AG21" s="60">
        <f t="shared" si="2"/>
        <v>0</v>
      </c>
      <c r="AH21" s="60">
        <f t="shared" si="2"/>
        <v>0</v>
      </c>
      <c r="AI21" s="60">
        <f t="shared" si="3"/>
        <v>0</v>
      </c>
      <c r="AJ21" s="61">
        <f t="shared" si="3"/>
        <v>0</v>
      </c>
      <c r="AK21" s="151"/>
    </row>
    <row r="22" spans="1:37">
      <c r="A22">
        <v>18</v>
      </c>
      <c r="B22" s="57"/>
      <c r="C22" s="58"/>
      <c r="D22" s="84"/>
      <c r="E22" s="82"/>
      <c r="F22" s="165"/>
      <c r="G22" s="166"/>
      <c r="H22" s="305">
        <f>COUNTIFS(缺陷明细!$A$2:$A$50000,$B$4,缺陷明细!$G$2:$G$50000,$C22,缺陷明细!$J$2:$J$50000,"评审",缺陷明细!$AA$2:$AA$50000,"&lt;&gt;丢弃",缺陷明细!$AA$2:$AA$50000,"&lt;&gt;设计如此",缺陷明细!$AA$2:$AA$50000,"&lt;&gt;重复Bug")</f>
        <v>0</v>
      </c>
      <c r="I22" s="161">
        <f>COUNTIFS(缺陷明细!$A$2:$A$50000,$B$4,缺陷明细!$G$2:$G$50000,$C22,缺陷明细!$Q$2:$Q$50000,"已关闭",缺陷明细!$J$2:$J$50000,"评审")</f>
        <v>0</v>
      </c>
      <c r="J22" s="161">
        <f>COUNTIFS(缺陷明细!$A$2:$A$50000,$B$4,缺陷明细!$G$2:$G$50000,$C22,缺陷明细!$J$2:$J$50000,"单元测试",缺陷明细!$AA$2:$AA$50000,"&lt;&gt;丢弃",缺陷明细!$AA$2:$AA$50000,"&lt;&gt;设计如此",缺陷明细!$AA$2:$AA$50000,"&lt;&gt;重复Bug")</f>
        <v>0</v>
      </c>
      <c r="K22" s="162">
        <f>COUNTIFS(缺陷明细!$A$2:$A$50000,$B$4,缺陷明细!$G$2:$G$50000,$C22,缺陷明细!$Q$2:$Q$50000,"已关闭",缺陷明细!$J$2:$J$50000,"单元测试")</f>
        <v>0</v>
      </c>
      <c r="L22" s="163"/>
      <c r="M22" s="164"/>
      <c r="N22" s="72">
        <f>COUNTIFS(缺陷明细!$A$2:$A$50000,$B$4,缺陷明细!$G$2:$G$50000,$C22,缺陷明细!$J$2:$J$50000,"系统测试案例评审",缺陷明细!$AA$2:$AA$50000,"&lt;&gt;丢弃",缺陷明细!$AA$2:$AA$50000,"&lt;&gt;设计如此",缺陷明细!$AA$2:$AA$50000,"&lt;&gt;重复Bug")</f>
        <v>0</v>
      </c>
      <c r="O22" s="72">
        <f>COUNTIFS(缺陷明细!$A$2:$A$50000,$B$4,缺陷明细!$G$2:$G$50000,$C22,缺陷明细!$Q$2:$Q$50000,"已关闭",缺陷明细!$J$2:$J$50000,"系统测试案例评审")</f>
        <v>0</v>
      </c>
      <c r="P22" s="72">
        <f>COUNTIFS(缺陷明细!$A$2:$A$50000,$B$4,缺陷明细!$G$2:$G$50000,$C22,缺陷明细!$J$2:$J$50000,"系统测试",缺陷明细!$AA$2:$AA$50000,"&lt;&gt;丢弃",缺陷明细!$AA$2:$AA$50000,"&lt;&gt;设计如此",缺陷明细!$AA$2:$AA$50000,"&lt;&gt;重复Bug")</f>
        <v>0</v>
      </c>
      <c r="Q22" s="72">
        <f>COUNTIFS(缺陷明细!$A$2:$A$50000,$B$4,缺陷明细!$G$2:$G$50000,$C22,缺陷明细!$Q$2:$Q$50000,"已关闭",缺陷明细!$J$2:$J$50000,"系统测试")</f>
        <v>0</v>
      </c>
      <c r="R22" s="72">
        <f>COUNTIFS(缺陷明细!$A$2:$A$50000,$B$4,缺陷明细!$G$2:$G$50000,$C22,缺陷明细!$AA$2:$AA$50000,"丢弃",缺陷明细!$J$2:$J$50000,"系统测试")+COUNTIFS(缺陷明细!$A$2:$A$50000,$B$4,缺陷明细!$G$2:$G$50000,$C22,缺陷明细!$AA$2:$AA$50000,"设计如此",缺陷明细!$J$2:$J$50000,"系统测试"+COUNTIFS(缺陷明细!$A$2:$A$50000,$B$4,缺陷明细!$G$2:$G$50000,$C22,缺陷明细!$AA$2:$AA$50000,"重复Bug",缺陷明细!$J$2:$J$50000,"系统测试"))</f>
        <v>0</v>
      </c>
      <c r="S22" s="72">
        <f>COUNTIFS(缺陷明细!$A$2:$A$50000,$B$4,缺陷明细!$G$2:$G$50000,$C22,缺陷明细!$J$2:$J$50000,"系统测试",缺陷明细!$K$2:$K$50000,"致命",缺陷明细!$AA$2:$AA$50000,"&lt;&gt;丢弃",缺陷明细!$AA$2:$AA$50000,"&lt;&gt;设计如此",缺陷明细!$AA$2:$AA$50000,"&lt;&gt;重复Bug")+COUNTIFS(缺陷明细!$A$2:$A$50000,$B$4,缺陷明细!$G$2:$G$50000,$C22,缺陷明细!$J$2:$J$50000,"系统测试",缺陷明细!$K$2:$K$50000,"严重",缺陷明细!$AA$2:$AA$50000,"&lt;&gt;丢弃",缺陷明细!$AA$2:$AA$50000,"&lt;&gt;设计如此",缺陷明细!$AA$2:$AA$50000,"&lt;&gt;重复Bug")</f>
        <v>0</v>
      </c>
      <c r="T22" s="73">
        <f>COUNTIFS(缺陷明细!$A$2:$A$50000,$B$4,缺陷明细!$G$2:$G$50000,$C22,缺陷明细!$Q$2:$Q$50000,"已关闭",缺陷明细!$J$2:$J$50000,"系统测试",缺陷明细!$K$2:$K$50000,"致命")+COUNTIFS(缺陷明细!$A$2:$A$50000,$B$4,缺陷明细!$G$2:$G$50000,$C22,缺陷明细!$Q$2:$Q$50000,"已关闭",缺陷明细!$J$2:$J$50000,"系统测试",缺陷明细!$K$2:$K$50000,"严重")</f>
        <v>0</v>
      </c>
      <c r="U22" s="74">
        <f>COUNTIFS(缺陷明细!$A$2:$A$50000,$B$4,缺陷明细!$G$2:$G$50000,$C22,缺陷明细!$J$2:$J$50000,"验收测试",缺陷明细!$AA$2:$AA$50000,"&lt;&gt;丢弃",缺陷明细!$AA$2:$AA$50000,"&lt;&gt;设计如此",缺陷明细!$AA$2:$AA$50000,"&lt;&gt;重复Bug")</f>
        <v>0</v>
      </c>
      <c r="V22" s="75">
        <f>COUNTIFS(缺陷明细!$A$2:$A$50000,$B$4,缺陷明细!$G$2:$G$50000,$C22,缺陷明细!$Q$2:$Q$50000,"已关闭",缺陷明细!$J$2:$J$50000,"验收测试")</f>
        <v>0</v>
      </c>
      <c r="W22" s="75">
        <f>COUNTIFS(缺陷明细!$A$2:$A$50000,$B$4,缺陷明细!$G$2:$G$50000,$C22,缺陷明细!$J$2:$J$50000,"验收测试",缺陷明细!$K$2:$K$50000,"致命",缺陷明细!$AA$2:$AA$50000,"&lt;&gt;丢弃",缺陷明细!$AA$2:$AA$50000,"&lt;&gt;设计如此",缺陷明细!$AA$2:$AA$50000,"&lt;&gt;重复Bug")+COUNTIFS(缺陷明细!$A$2:$A$50000,$B$4,缺陷明细!$G$2:$G$50000,$C22,缺陷明细!$J$2:$J$50000,"验收测试",缺陷明细!$K$2:$K$50000,"严重",缺陷明细!$AA$2:$AA$50000,"&lt;&gt;丢弃",缺陷明细!$AA$2:$AA$50000,"&lt;&gt;设计如此",缺陷明细!$AA$2:$AA$50000,"&lt;&gt;重复Bug")</f>
        <v>0</v>
      </c>
      <c r="X22" s="76">
        <f>COUNTIFS(缺陷明细!$A$2:$A$50000,$B$4,缺陷明细!$G$2:$G$50000,$C22,缺陷明细!$Q$2:$Q$50000,"已关闭",缺陷明细!$J$2:$J$50000,"验收测试",缺陷明细!$K$2:$K$50000,"致命")+COUNTIFS(缺陷明细!$A$2:$A$50000,$B$4,缺陷明细!$G$2:$G$50000,$C22,缺陷明细!$Q$2:$Q$50000,"已关闭",缺陷明细!$J$2:$J$50000,"验收测试",缺陷明细!$K$2:$K$50000,"严重")</f>
        <v>0</v>
      </c>
      <c r="Y22" s="70">
        <f>COUNTIFS(缺陷明细!$A$2:$A$50000,$B$4,缺陷明细!$G$2:$G$50000,$C22,缺陷明细!$J$2:$J$50000,"运维测试",缺陷明细!$AA$2:$AA$50000,"&lt;&gt;丢弃",缺陷明细!$AA$2:$AA$50000,"&lt;&gt;设计如此",缺陷明细!$AA$2:$AA$50000,"&lt;&gt;重复Bug")</f>
        <v>0</v>
      </c>
      <c r="Z22" s="71">
        <f>COUNTIFS(缺陷明细!$A$2:$A$50000,$B$4,缺陷明细!$G$2:$G$50000,$C22,缺陷明细!$Q$2:$Q$50000,"已关闭",缺陷明细!$J$2:$J$50000,"运维测试")</f>
        <v>0</v>
      </c>
      <c r="AA22" s="72">
        <f>COUNTIFS(缺陷明细!$A$2:$A$50000,$B$4,缺陷明细!$G$2:$G$50000,$C22,缺陷明细!$J$2:$J$50000,"运维测试",缺陷明细!$K$2:$K$50000,"致命",缺陷明细!$AA$2:$AA$50000,"&lt;&gt;丢弃",缺陷明细!$AA$2:$AA$50000,"&lt;&gt;设计如此",缺陷明细!$AA$2:$AA$50000,"&lt;&gt;重复Bug")+COUNTIFS(缺陷明细!$A$2:$A$50000,$B$4,缺陷明细!$G$2:$G$50000,$C22,缺陷明细!$J$2:$J$50000,"运维测试",缺陷明细!$K$2:$K$50000,"严重",缺陷明细!$AA$2:$AA$50000,"&lt;&gt;丢弃",缺陷明细!$AA$2:$AA$50000,"&lt;&gt;设计如此",缺陷明细!$AA$2:$AA$50000,"&lt;&gt;重复Bug")</f>
        <v>0</v>
      </c>
      <c r="AB22" s="73">
        <f>COUNTIFS(缺陷明细!$A$2:$A$50000,$B$4,缺陷明细!$G$2:$G$50000,$C22,缺陷明细!$Q$2:$Q$50000,"已关闭",缺陷明细!$J$2:$J$50000,"运维测试",缺陷明细!$K$2:$K$50000,"致命")+COUNTIFS(缺陷明细!$A$2:$A$50000,$B$4,缺陷明细!$G$2:$G$50000,$C22,缺陷明细!$Q$2:$Q$50000,"已关闭",缺陷明细!$J$2:$J$50000,"运维测试",缺陷明细!$K$2:$K$50000,"严重")</f>
        <v>0</v>
      </c>
      <c r="AC22" s="68">
        <f t="shared" si="0"/>
        <v>0</v>
      </c>
      <c r="AD22" s="60">
        <f t="shared" si="0"/>
        <v>0</v>
      </c>
      <c r="AE22" s="60">
        <f t="shared" si="1"/>
        <v>0</v>
      </c>
      <c r="AF22" s="60">
        <f t="shared" si="1"/>
        <v>0</v>
      </c>
      <c r="AG22" s="60">
        <f t="shared" si="2"/>
        <v>0</v>
      </c>
      <c r="AH22" s="60">
        <f t="shared" si="2"/>
        <v>0</v>
      </c>
      <c r="AI22" s="60">
        <f t="shared" si="3"/>
        <v>0</v>
      </c>
      <c r="AJ22" s="61">
        <f t="shared" si="3"/>
        <v>0</v>
      </c>
      <c r="AK22" s="151"/>
    </row>
    <row r="23" spans="1:37">
      <c r="A23">
        <v>19</v>
      </c>
      <c r="B23" s="57"/>
      <c r="C23" s="58"/>
      <c r="D23" s="84"/>
      <c r="E23" s="82"/>
      <c r="F23" s="165"/>
      <c r="G23" s="166"/>
      <c r="H23" s="305">
        <f>COUNTIFS(缺陷明细!$A$2:$A$50000,$B$4,缺陷明细!$G$2:$G$50000,$C23,缺陷明细!$J$2:$J$50000,"评审",缺陷明细!$AA$2:$AA$50000,"&lt;&gt;丢弃",缺陷明细!$AA$2:$AA$50000,"&lt;&gt;设计如此",缺陷明细!$AA$2:$AA$50000,"&lt;&gt;重复Bug")</f>
        <v>0</v>
      </c>
      <c r="I23" s="161">
        <f>COUNTIFS(缺陷明细!$A$2:$A$50000,$B$4,缺陷明细!$G$2:$G$50000,$C23,缺陷明细!$Q$2:$Q$50000,"已关闭",缺陷明细!$J$2:$J$50000,"评审")</f>
        <v>0</v>
      </c>
      <c r="J23" s="161">
        <f>COUNTIFS(缺陷明细!$A$2:$A$50000,$B$4,缺陷明细!$G$2:$G$50000,$C23,缺陷明细!$J$2:$J$50000,"单元测试",缺陷明细!$AA$2:$AA$50000,"&lt;&gt;丢弃",缺陷明细!$AA$2:$AA$50000,"&lt;&gt;设计如此",缺陷明细!$AA$2:$AA$50000,"&lt;&gt;重复Bug")</f>
        <v>0</v>
      </c>
      <c r="K23" s="162">
        <f>COUNTIFS(缺陷明细!$A$2:$A$50000,$B$4,缺陷明细!$G$2:$G$50000,$C23,缺陷明细!$Q$2:$Q$50000,"已关闭",缺陷明细!$J$2:$J$50000,"单元测试")</f>
        <v>0</v>
      </c>
      <c r="L23" s="163"/>
      <c r="M23" s="164"/>
      <c r="N23" s="72">
        <f>COUNTIFS(缺陷明细!$A$2:$A$50000,$B$4,缺陷明细!$G$2:$G$50000,$C23,缺陷明细!$J$2:$J$50000,"系统测试案例评审",缺陷明细!$AA$2:$AA$50000,"&lt;&gt;丢弃",缺陷明细!$AA$2:$AA$50000,"&lt;&gt;设计如此",缺陷明细!$AA$2:$AA$50000,"&lt;&gt;重复Bug")</f>
        <v>0</v>
      </c>
      <c r="O23" s="72">
        <f>COUNTIFS(缺陷明细!$A$2:$A$50000,$B$4,缺陷明细!$G$2:$G$50000,$C23,缺陷明细!$Q$2:$Q$50000,"已关闭",缺陷明细!$J$2:$J$50000,"系统测试案例评审")</f>
        <v>0</v>
      </c>
      <c r="P23" s="72">
        <f>COUNTIFS(缺陷明细!$A$2:$A$50000,$B$4,缺陷明细!$G$2:$G$50000,$C23,缺陷明细!$J$2:$J$50000,"系统测试",缺陷明细!$AA$2:$AA$50000,"&lt;&gt;丢弃",缺陷明细!$AA$2:$AA$50000,"&lt;&gt;设计如此",缺陷明细!$AA$2:$AA$50000,"&lt;&gt;重复Bug")</f>
        <v>0</v>
      </c>
      <c r="Q23" s="72">
        <f>COUNTIFS(缺陷明细!$A$2:$A$50000,$B$4,缺陷明细!$G$2:$G$50000,$C23,缺陷明细!$Q$2:$Q$50000,"已关闭",缺陷明细!$J$2:$J$50000,"系统测试")</f>
        <v>0</v>
      </c>
      <c r="R23" s="72">
        <f>COUNTIFS(缺陷明细!$A$2:$A$50000,$B$4,缺陷明细!$G$2:$G$50000,$C23,缺陷明细!$AA$2:$AA$50000,"丢弃",缺陷明细!$J$2:$J$50000,"系统测试")+COUNTIFS(缺陷明细!$A$2:$A$50000,$B$4,缺陷明细!$G$2:$G$50000,$C23,缺陷明细!$AA$2:$AA$50000,"设计如此",缺陷明细!$J$2:$J$50000,"系统测试"+COUNTIFS(缺陷明细!$A$2:$A$50000,$B$4,缺陷明细!$G$2:$G$50000,$C23,缺陷明细!$AA$2:$AA$50000,"重复Bug",缺陷明细!$J$2:$J$50000,"系统测试"))</f>
        <v>0</v>
      </c>
      <c r="S23" s="72">
        <f>COUNTIFS(缺陷明细!$A$2:$A$50000,$B$4,缺陷明细!$G$2:$G$50000,$C23,缺陷明细!$J$2:$J$50000,"系统测试",缺陷明细!$K$2:$K$50000,"致命",缺陷明细!$AA$2:$AA$50000,"&lt;&gt;丢弃",缺陷明细!$AA$2:$AA$50000,"&lt;&gt;设计如此",缺陷明细!$AA$2:$AA$50000,"&lt;&gt;重复Bug")+COUNTIFS(缺陷明细!$A$2:$A$50000,$B$4,缺陷明细!$G$2:$G$50000,$C23,缺陷明细!$J$2:$J$50000,"系统测试",缺陷明细!$K$2:$K$50000,"严重",缺陷明细!$AA$2:$AA$50000,"&lt;&gt;丢弃",缺陷明细!$AA$2:$AA$50000,"&lt;&gt;设计如此",缺陷明细!$AA$2:$AA$50000,"&lt;&gt;重复Bug")</f>
        <v>0</v>
      </c>
      <c r="T23" s="73">
        <f>COUNTIFS(缺陷明细!$A$2:$A$50000,$B$4,缺陷明细!$G$2:$G$50000,$C23,缺陷明细!$Q$2:$Q$50000,"已关闭",缺陷明细!$J$2:$J$50000,"系统测试",缺陷明细!$K$2:$K$50000,"致命")+COUNTIFS(缺陷明细!$A$2:$A$50000,$B$4,缺陷明细!$G$2:$G$50000,$C23,缺陷明细!$Q$2:$Q$50000,"已关闭",缺陷明细!$J$2:$J$50000,"系统测试",缺陷明细!$K$2:$K$50000,"严重")</f>
        <v>0</v>
      </c>
      <c r="U23" s="74">
        <f>COUNTIFS(缺陷明细!$A$2:$A$50000,$B$4,缺陷明细!$G$2:$G$50000,$C23,缺陷明细!$J$2:$J$50000,"验收测试",缺陷明细!$AA$2:$AA$50000,"&lt;&gt;丢弃",缺陷明细!$AA$2:$AA$50000,"&lt;&gt;设计如此",缺陷明细!$AA$2:$AA$50000,"&lt;&gt;重复Bug")</f>
        <v>0</v>
      </c>
      <c r="V23" s="75">
        <f>COUNTIFS(缺陷明细!$A$2:$A$50000,$B$4,缺陷明细!$G$2:$G$50000,$C23,缺陷明细!$Q$2:$Q$50000,"已关闭",缺陷明细!$J$2:$J$50000,"验收测试")</f>
        <v>0</v>
      </c>
      <c r="W23" s="75">
        <f>COUNTIFS(缺陷明细!$A$2:$A$50000,$B$4,缺陷明细!$G$2:$G$50000,$C23,缺陷明细!$J$2:$J$50000,"验收测试",缺陷明细!$K$2:$K$50000,"致命",缺陷明细!$AA$2:$AA$50000,"&lt;&gt;丢弃",缺陷明细!$AA$2:$AA$50000,"&lt;&gt;设计如此",缺陷明细!$AA$2:$AA$50000,"&lt;&gt;重复Bug")+COUNTIFS(缺陷明细!$A$2:$A$50000,$B$4,缺陷明细!$G$2:$G$50000,$C23,缺陷明细!$J$2:$J$50000,"验收测试",缺陷明细!$K$2:$K$50000,"严重",缺陷明细!$AA$2:$AA$50000,"&lt;&gt;丢弃",缺陷明细!$AA$2:$AA$50000,"&lt;&gt;设计如此",缺陷明细!$AA$2:$AA$50000,"&lt;&gt;重复Bug")</f>
        <v>0</v>
      </c>
      <c r="X23" s="76">
        <f>COUNTIFS(缺陷明细!$A$2:$A$50000,$B$4,缺陷明细!$G$2:$G$50000,$C23,缺陷明细!$Q$2:$Q$50000,"已关闭",缺陷明细!$J$2:$J$50000,"验收测试",缺陷明细!$K$2:$K$50000,"致命")+COUNTIFS(缺陷明细!$A$2:$A$50000,$B$4,缺陷明细!$G$2:$G$50000,$C23,缺陷明细!$Q$2:$Q$50000,"已关闭",缺陷明细!$J$2:$J$50000,"验收测试",缺陷明细!$K$2:$K$50000,"严重")</f>
        <v>0</v>
      </c>
      <c r="Y23" s="70">
        <f>COUNTIFS(缺陷明细!$A$2:$A$50000,$B$4,缺陷明细!$G$2:$G$50000,$C23,缺陷明细!$J$2:$J$50000,"运维测试",缺陷明细!$AA$2:$AA$50000,"&lt;&gt;丢弃",缺陷明细!$AA$2:$AA$50000,"&lt;&gt;设计如此",缺陷明细!$AA$2:$AA$50000,"&lt;&gt;重复Bug")</f>
        <v>0</v>
      </c>
      <c r="Z23" s="71">
        <f>COUNTIFS(缺陷明细!$A$2:$A$50000,$B$4,缺陷明细!$G$2:$G$50000,$C23,缺陷明细!$Q$2:$Q$50000,"已关闭",缺陷明细!$J$2:$J$50000,"运维测试")</f>
        <v>0</v>
      </c>
      <c r="AA23" s="72">
        <f>COUNTIFS(缺陷明细!$A$2:$A$50000,$B$4,缺陷明细!$G$2:$G$50000,$C23,缺陷明细!$J$2:$J$50000,"运维测试",缺陷明细!$K$2:$K$50000,"致命",缺陷明细!$AA$2:$AA$50000,"&lt;&gt;丢弃",缺陷明细!$AA$2:$AA$50000,"&lt;&gt;设计如此",缺陷明细!$AA$2:$AA$50000,"&lt;&gt;重复Bug")+COUNTIFS(缺陷明细!$A$2:$A$50000,$B$4,缺陷明细!$G$2:$G$50000,$C23,缺陷明细!$J$2:$J$50000,"运维测试",缺陷明细!$K$2:$K$50000,"严重",缺陷明细!$AA$2:$AA$50000,"&lt;&gt;丢弃",缺陷明细!$AA$2:$AA$50000,"&lt;&gt;设计如此",缺陷明细!$AA$2:$AA$50000,"&lt;&gt;重复Bug")</f>
        <v>0</v>
      </c>
      <c r="AB23" s="73">
        <f>COUNTIFS(缺陷明细!$A$2:$A$50000,$B$4,缺陷明细!$G$2:$G$50000,$C23,缺陷明细!$Q$2:$Q$50000,"已关闭",缺陷明细!$J$2:$J$50000,"运维测试",缺陷明细!$K$2:$K$50000,"致命")+COUNTIFS(缺陷明细!$A$2:$A$50000,$B$4,缺陷明细!$G$2:$G$50000,$C23,缺陷明细!$Q$2:$Q$50000,"已关闭",缺陷明细!$J$2:$J$50000,"运维测试",缺陷明细!$K$2:$K$50000,"严重")</f>
        <v>0</v>
      </c>
      <c r="AC23" s="68">
        <f t="shared" si="0"/>
        <v>0</v>
      </c>
      <c r="AD23" s="60">
        <f t="shared" si="0"/>
        <v>0</v>
      </c>
      <c r="AE23" s="60">
        <f t="shared" si="1"/>
        <v>0</v>
      </c>
      <c r="AF23" s="60">
        <f t="shared" si="1"/>
        <v>0</v>
      </c>
      <c r="AG23" s="60">
        <f t="shared" si="2"/>
        <v>0</v>
      </c>
      <c r="AH23" s="60">
        <f t="shared" si="2"/>
        <v>0</v>
      </c>
      <c r="AI23" s="60">
        <f t="shared" si="3"/>
        <v>0</v>
      </c>
      <c r="AJ23" s="61">
        <f t="shared" si="3"/>
        <v>0</v>
      </c>
      <c r="AK23" s="151"/>
    </row>
    <row r="24" spans="1:37">
      <c r="A24">
        <v>20</v>
      </c>
      <c r="B24" s="57"/>
      <c r="C24" s="58"/>
      <c r="D24" s="84"/>
      <c r="E24" s="82"/>
      <c r="F24" s="165"/>
      <c r="G24" s="166"/>
      <c r="H24" s="305">
        <f>COUNTIFS(缺陷明细!$A$2:$A$50000,$B$4,缺陷明细!$G$2:$G$50000,$C24,缺陷明细!$J$2:$J$50000,"评审",缺陷明细!$AA$2:$AA$50000,"&lt;&gt;丢弃",缺陷明细!$AA$2:$AA$50000,"&lt;&gt;设计如此",缺陷明细!$AA$2:$AA$50000,"&lt;&gt;重复Bug")</f>
        <v>0</v>
      </c>
      <c r="I24" s="161">
        <f>COUNTIFS(缺陷明细!$A$2:$A$50000,$B$4,缺陷明细!$G$2:$G$50000,$C24,缺陷明细!$Q$2:$Q$50000,"已关闭",缺陷明细!$J$2:$J$50000,"评审")</f>
        <v>0</v>
      </c>
      <c r="J24" s="161">
        <f>COUNTIFS(缺陷明细!$A$2:$A$50000,$B$4,缺陷明细!$G$2:$G$50000,$C24,缺陷明细!$J$2:$J$50000,"单元测试",缺陷明细!$AA$2:$AA$50000,"&lt;&gt;丢弃",缺陷明细!$AA$2:$AA$50000,"&lt;&gt;设计如此",缺陷明细!$AA$2:$AA$50000,"&lt;&gt;重复Bug")</f>
        <v>0</v>
      </c>
      <c r="K24" s="162">
        <f>COUNTIFS(缺陷明细!$A$2:$A$50000,$B$4,缺陷明细!$G$2:$G$50000,$C24,缺陷明细!$Q$2:$Q$50000,"已关闭",缺陷明细!$J$2:$J$50000,"单元测试")</f>
        <v>0</v>
      </c>
      <c r="L24" s="163"/>
      <c r="M24" s="164"/>
      <c r="N24" s="72">
        <f>COUNTIFS(缺陷明细!$A$2:$A$50000,$B$4,缺陷明细!$G$2:$G$50000,$C24,缺陷明细!$J$2:$J$50000,"系统测试案例评审",缺陷明细!$AA$2:$AA$50000,"&lt;&gt;丢弃",缺陷明细!$AA$2:$AA$50000,"&lt;&gt;设计如此",缺陷明细!$AA$2:$AA$50000,"&lt;&gt;重复Bug")</f>
        <v>0</v>
      </c>
      <c r="O24" s="72">
        <f>COUNTIFS(缺陷明细!$A$2:$A$50000,$B$4,缺陷明细!$G$2:$G$50000,$C24,缺陷明细!$Q$2:$Q$50000,"已关闭",缺陷明细!$J$2:$J$50000,"系统测试案例评审")</f>
        <v>0</v>
      </c>
      <c r="P24" s="72">
        <f>COUNTIFS(缺陷明细!$A$2:$A$50000,$B$4,缺陷明细!$G$2:$G$50000,$C24,缺陷明细!$J$2:$J$50000,"系统测试",缺陷明细!$AA$2:$AA$50000,"&lt;&gt;丢弃",缺陷明细!$AA$2:$AA$50000,"&lt;&gt;设计如此",缺陷明细!$AA$2:$AA$50000,"&lt;&gt;重复Bug")</f>
        <v>0</v>
      </c>
      <c r="Q24" s="72">
        <f>COUNTIFS(缺陷明细!$A$2:$A$50000,$B$4,缺陷明细!$G$2:$G$50000,$C24,缺陷明细!$Q$2:$Q$50000,"已关闭",缺陷明细!$J$2:$J$50000,"系统测试")</f>
        <v>0</v>
      </c>
      <c r="R24" s="72">
        <f>COUNTIFS(缺陷明细!$A$2:$A$50000,$B$4,缺陷明细!$G$2:$G$50000,$C24,缺陷明细!$AA$2:$AA$50000,"丢弃",缺陷明细!$J$2:$J$50000,"系统测试")+COUNTIFS(缺陷明细!$A$2:$A$50000,$B$4,缺陷明细!$G$2:$G$50000,$C24,缺陷明细!$AA$2:$AA$50000,"设计如此",缺陷明细!$J$2:$J$50000,"系统测试"+COUNTIFS(缺陷明细!$A$2:$A$50000,$B$4,缺陷明细!$G$2:$G$50000,$C24,缺陷明细!$AA$2:$AA$50000,"重复Bug",缺陷明细!$J$2:$J$50000,"系统测试"))</f>
        <v>0</v>
      </c>
      <c r="S24" s="72">
        <f>COUNTIFS(缺陷明细!$A$2:$A$50000,$B$4,缺陷明细!$G$2:$G$50000,$C24,缺陷明细!$J$2:$J$50000,"系统测试",缺陷明细!$K$2:$K$50000,"致命",缺陷明细!$AA$2:$AA$50000,"&lt;&gt;丢弃",缺陷明细!$AA$2:$AA$50000,"&lt;&gt;设计如此",缺陷明细!$AA$2:$AA$50000,"&lt;&gt;重复Bug")+COUNTIFS(缺陷明细!$A$2:$A$50000,$B$4,缺陷明细!$G$2:$G$50000,$C24,缺陷明细!$J$2:$J$50000,"系统测试",缺陷明细!$K$2:$K$50000,"严重",缺陷明细!$AA$2:$AA$50000,"&lt;&gt;丢弃",缺陷明细!$AA$2:$AA$50000,"&lt;&gt;设计如此",缺陷明细!$AA$2:$AA$50000,"&lt;&gt;重复Bug")</f>
        <v>0</v>
      </c>
      <c r="T24" s="73">
        <f>COUNTIFS(缺陷明细!$A$2:$A$50000,$B$4,缺陷明细!$G$2:$G$50000,$C24,缺陷明细!$Q$2:$Q$50000,"已关闭",缺陷明细!$J$2:$J$50000,"系统测试",缺陷明细!$K$2:$K$50000,"致命")+COUNTIFS(缺陷明细!$A$2:$A$50000,$B$4,缺陷明细!$G$2:$G$50000,$C24,缺陷明细!$Q$2:$Q$50000,"已关闭",缺陷明细!$J$2:$J$50000,"系统测试",缺陷明细!$K$2:$K$50000,"严重")</f>
        <v>0</v>
      </c>
      <c r="U24" s="74">
        <f>COUNTIFS(缺陷明细!$A$2:$A$50000,$B$4,缺陷明细!$G$2:$G$50000,$C24,缺陷明细!$J$2:$J$50000,"验收测试",缺陷明细!$AA$2:$AA$50000,"&lt;&gt;丢弃",缺陷明细!$AA$2:$AA$50000,"&lt;&gt;设计如此",缺陷明细!$AA$2:$AA$50000,"&lt;&gt;重复Bug")</f>
        <v>0</v>
      </c>
      <c r="V24" s="75">
        <f>COUNTIFS(缺陷明细!$A$2:$A$50000,$B$4,缺陷明细!$G$2:$G$50000,$C24,缺陷明细!$Q$2:$Q$50000,"已关闭",缺陷明细!$J$2:$J$50000,"验收测试")</f>
        <v>0</v>
      </c>
      <c r="W24" s="75">
        <f>COUNTIFS(缺陷明细!$A$2:$A$50000,$B$4,缺陷明细!$G$2:$G$50000,$C24,缺陷明细!$J$2:$J$50000,"验收测试",缺陷明细!$K$2:$K$50000,"致命",缺陷明细!$AA$2:$AA$50000,"&lt;&gt;丢弃",缺陷明细!$AA$2:$AA$50000,"&lt;&gt;设计如此",缺陷明细!$AA$2:$AA$50000,"&lt;&gt;重复Bug")+COUNTIFS(缺陷明细!$A$2:$A$50000,$B$4,缺陷明细!$G$2:$G$50000,$C24,缺陷明细!$J$2:$J$50000,"验收测试",缺陷明细!$K$2:$K$50000,"严重",缺陷明细!$AA$2:$AA$50000,"&lt;&gt;丢弃",缺陷明细!$AA$2:$AA$50000,"&lt;&gt;设计如此",缺陷明细!$AA$2:$AA$50000,"&lt;&gt;重复Bug")</f>
        <v>0</v>
      </c>
      <c r="X24" s="76">
        <f>COUNTIFS(缺陷明细!$A$2:$A$50000,$B$4,缺陷明细!$G$2:$G$50000,$C24,缺陷明细!$Q$2:$Q$50000,"已关闭",缺陷明细!$J$2:$J$50000,"验收测试",缺陷明细!$K$2:$K$50000,"致命")+COUNTIFS(缺陷明细!$A$2:$A$50000,$B$4,缺陷明细!$G$2:$G$50000,$C24,缺陷明细!$Q$2:$Q$50000,"已关闭",缺陷明细!$J$2:$J$50000,"验收测试",缺陷明细!$K$2:$K$50000,"严重")</f>
        <v>0</v>
      </c>
      <c r="Y24" s="70">
        <f>COUNTIFS(缺陷明细!$A$2:$A$50000,$B$4,缺陷明细!$G$2:$G$50000,$C24,缺陷明细!$J$2:$J$50000,"运维测试",缺陷明细!$AA$2:$AA$50000,"&lt;&gt;丢弃",缺陷明细!$AA$2:$AA$50000,"&lt;&gt;设计如此",缺陷明细!$AA$2:$AA$50000,"&lt;&gt;重复Bug")</f>
        <v>0</v>
      </c>
      <c r="Z24" s="71">
        <f>COUNTIFS(缺陷明细!$A$2:$A$50000,$B$4,缺陷明细!$G$2:$G$50000,$C24,缺陷明细!$Q$2:$Q$50000,"已关闭",缺陷明细!$J$2:$J$50000,"运维测试")</f>
        <v>0</v>
      </c>
      <c r="AA24" s="72">
        <f>COUNTIFS(缺陷明细!$A$2:$A$50000,$B$4,缺陷明细!$G$2:$G$50000,$C24,缺陷明细!$J$2:$J$50000,"运维测试",缺陷明细!$K$2:$K$50000,"致命",缺陷明细!$AA$2:$AA$50000,"&lt;&gt;丢弃",缺陷明细!$AA$2:$AA$50000,"&lt;&gt;设计如此",缺陷明细!$AA$2:$AA$50000,"&lt;&gt;重复Bug")+COUNTIFS(缺陷明细!$A$2:$A$50000,$B$4,缺陷明细!$G$2:$G$50000,$C24,缺陷明细!$J$2:$J$50000,"运维测试",缺陷明细!$K$2:$K$50000,"严重",缺陷明细!$AA$2:$AA$50000,"&lt;&gt;丢弃",缺陷明细!$AA$2:$AA$50000,"&lt;&gt;设计如此",缺陷明细!$AA$2:$AA$50000,"&lt;&gt;重复Bug")</f>
        <v>0</v>
      </c>
      <c r="AB24" s="73">
        <f>COUNTIFS(缺陷明细!$A$2:$A$50000,$B$4,缺陷明细!$G$2:$G$50000,$C24,缺陷明细!$Q$2:$Q$50000,"已关闭",缺陷明细!$J$2:$J$50000,"运维测试",缺陷明细!$K$2:$K$50000,"致命")+COUNTIFS(缺陷明细!$A$2:$A$50000,$B$4,缺陷明细!$G$2:$G$50000,$C24,缺陷明细!$Q$2:$Q$50000,"已关闭",缺陷明细!$J$2:$J$50000,"运维测试",缺陷明细!$K$2:$K$50000,"严重")</f>
        <v>0</v>
      </c>
      <c r="AC24" s="68">
        <f t="shared" si="0"/>
        <v>0</v>
      </c>
      <c r="AD24" s="60">
        <f t="shared" si="0"/>
        <v>0</v>
      </c>
      <c r="AE24" s="60">
        <f t="shared" si="1"/>
        <v>0</v>
      </c>
      <c r="AF24" s="60">
        <f t="shared" si="1"/>
        <v>0</v>
      </c>
      <c r="AG24" s="60">
        <f t="shared" si="2"/>
        <v>0</v>
      </c>
      <c r="AH24" s="60">
        <f t="shared" si="2"/>
        <v>0</v>
      </c>
      <c r="AI24" s="60">
        <f t="shared" si="3"/>
        <v>0</v>
      </c>
      <c r="AJ24" s="61">
        <f t="shared" si="3"/>
        <v>0</v>
      </c>
      <c r="AK24" s="151"/>
    </row>
    <row r="25" spans="1:37">
      <c r="A25">
        <v>21</v>
      </c>
      <c r="B25" s="57"/>
      <c r="C25" s="58"/>
      <c r="D25" s="84"/>
      <c r="E25" s="82"/>
      <c r="F25" s="165"/>
      <c r="G25" s="166"/>
      <c r="H25" s="305">
        <f>COUNTIFS(缺陷明细!$A$2:$A$50000,$B$4,缺陷明细!$G$2:$G$50000,$C25,缺陷明细!$J$2:$J$50000,"评审",缺陷明细!$AA$2:$AA$50000,"&lt;&gt;丢弃",缺陷明细!$AA$2:$AA$50000,"&lt;&gt;设计如此",缺陷明细!$AA$2:$AA$50000,"&lt;&gt;重复Bug")</f>
        <v>0</v>
      </c>
      <c r="I25" s="161">
        <f>COUNTIFS(缺陷明细!$A$2:$A$50000,$B$4,缺陷明细!$G$2:$G$50000,$C25,缺陷明细!$Q$2:$Q$50000,"已关闭",缺陷明细!$J$2:$J$50000,"评审")</f>
        <v>0</v>
      </c>
      <c r="J25" s="161">
        <f>COUNTIFS(缺陷明细!$A$2:$A$50000,$B$4,缺陷明细!$G$2:$G$50000,$C25,缺陷明细!$J$2:$J$50000,"单元测试",缺陷明细!$AA$2:$AA$50000,"&lt;&gt;丢弃",缺陷明细!$AA$2:$AA$50000,"&lt;&gt;设计如此",缺陷明细!$AA$2:$AA$50000,"&lt;&gt;重复Bug")</f>
        <v>0</v>
      </c>
      <c r="K25" s="162">
        <f>COUNTIFS(缺陷明细!$A$2:$A$50000,$B$4,缺陷明细!$G$2:$G$50000,$C25,缺陷明细!$Q$2:$Q$50000,"已关闭",缺陷明细!$J$2:$J$50000,"单元测试")</f>
        <v>0</v>
      </c>
      <c r="L25" s="163"/>
      <c r="M25" s="164"/>
      <c r="N25" s="72">
        <f>COUNTIFS(缺陷明细!$A$2:$A$50000,$B$4,缺陷明细!$G$2:$G$50000,$C25,缺陷明细!$J$2:$J$50000,"系统测试案例评审",缺陷明细!$AA$2:$AA$50000,"&lt;&gt;丢弃",缺陷明细!$AA$2:$AA$50000,"&lt;&gt;设计如此",缺陷明细!$AA$2:$AA$50000,"&lt;&gt;重复Bug")</f>
        <v>0</v>
      </c>
      <c r="O25" s="72">
        <f>COUNTIFS(缺陷明细!$A$2:$A$50000,$B$4,缺陷明细!$G$2:$G$50000,$C25,缺陷明细!$Q$2:$Q$50000,"已关闭",缺陷明细!$J$2:$J$50000,"系统测试案例评审")</f>
        <v>0</v>
      </c>
      <c r="P25" s="72">
        <f>COUNTIFS(缺陷明细!$A$2:$A$50000,$B$4,缺陷明细!$G$2:$G$50000,$C25,缺陷明细!$J$2:$J$50000,"系统测试",缺陷明细!$AA$2:$AA$50000,"&lt;&gt;丢弃",缺陷明细!$AA$2:$AA$50000,"&lt;&gt;设计如此",缺陷明细!$AA$2:$AA$50000,"&lt;&gt;重复Bug")</f>
        <v>0</v>
      </c>
      <c r="Q25" s="72">
        <f>COUNTIFS(缺陷明细!$A$2:$A$50000,$B$4,缺陷明细!$G$2:$G$50000,$C25,缺陷明细!$Q$2:$Q$50000,"已关闭",缺陷明细!$J$2:$J$50000,"系统测试")</f>
        <v>0</v>
      </c>
      <c r="R25" s="72">
        <f>COUNTIFS(缺陷明细!$A$2:$A$50000,$B$4,缺陷明细!$G$2:$G$50000,$C25,缺陷明细!$AA$2:$AA$50000,"丢弃",缺陷明细!$J$2:$J$50000,"系统测试")+COUNTIFS(缺陷明细!$A$2:$A$50000,$B$4,缺陷明细!$G$2:$G$50000,$C25,缺陷明细!$AA$2:$AA$50000,"设计如此",缺陷明细!$J$2:$J$50000,"系统测试"+COUNTIFS(缺陷明细!$A$2:$A$50000,$B$4,缺陷明细!$G$2:$G$50000,$C25,缺陷明细!$AA$2:$AA$50000,"重复Bug",缺陷明细!$J$2:$J$50000,"系统测试"))</f>
        <v>0</v>
      </c>
      <c r="S25" s="72">
        <f>COUNTIFS(缺陷明细!$A$2:$A$50000,$B$4,缺陷明细!$G$2:$G$50000,$C25,缺陷明细!$J$2:$J$50000,"系统测试",缺陷明细!$K$2:$K$50000,"致命",缺陷明细!$AA$2:$AA$50000,"&lt;&gt;丢弃",缺陷明细!$AA$2:$AA$50000,"&lt;&gt;设计如此",缺陷明细!$AA$2:$AA$50000,"&lt;&gt;重复Bug")+COUNTIFS(缺陷明细!$A$2:$A$50000,$B$4,缺陷明细!$G$2:$G$50000,$C25,缺陷明细!$J$2:$J$50000,"系统测试",缺陷明细!$K$2:$K$50000,"严重",缺陷明细!$AA$2:$AA$50000,"&lt;&gt;丢弃",缺陷明细!$AA$2:$AA$50000,"&lt;&gt;设计如此",缺陷明细!$AA$2:$AA$50000,"&lt;&gt;重复Bug")</f>
        <v>0</v>
      </c>
      <c r="T25" s="73">
        <f>COUNTIFS(缺陷明细!$A$2:$A$50000,$B$4,缺陷明细!$G$2:$G$50000,$C25,缺陷明细!$Q$2:$Q$50000,"已关闭",缺陷明细!$J$2:$J$50000,"系统测试",缺陷明细!$K$2:$K$50000,"致命")+COUNTIFS(缺陷明细!$A$2:$A$50000,$B$4,缺陷明细!$G$2:$G$50000,$C25,缺陷明细!$Q$2:$Q$50000,"已关闭",缺陷明细!$J$2:$J$50000,"系统测试",缺陷明细!$K$2:$K$50000,"严重")</f>
        <v>0</v>
      </c>
      <c r="U25" s="74">
        <f>COUNTIFS(缺陷明细!$A$2:$A$50000,$B$4,缺陷明细!$G$2:$G$50000,$C25,缺陷明细!$J$2:$J$50000,"验收测试",缺陷明细!$AA$2:$AA$50000,"&lt;&gt;丢弃",缺陷明细!$AA$2:$AA$50000,"&lt;&gt;设计如此",缺陷明细!$AA$2:$AA$50000,"&lt;&gt;重复Bug")</f>
        <v>0</v>
      </c>
      <c r="V25" s="75">
        <f>COUNTIFS(缺陷明细!$A$2:$A$50000,$B$4,缺陷明细!$G$2:$G$50000,$C25,缺陷明细!$Q$2:$Q$50000,"已关闭",缺陷明细!$J$2:$J$50000,"验收测试")</f>
        <v>0</v>
      </c>
      <c r="W25" s="75">
        <f>COUNTIFS(缺陷明细!$A$2:$A$50000,$B$4,缺陷明细!$G$2:$G$50000,$C25,缺陷明细!$J$2:$J$50000,"验收测试",缺陷明细!$K$2:$K$50000,"致命",缺陷明细!$AA$2:$AA$50000,"&lt;&gt;丢弃",缺陷明细!$AA$2:$AA$50000,"&lt;&gt;设计如此",缺陷明细!$AA$2:$AA$50000,"&lt;&gt;重复Bug")+COUNTIFS(缺陷明细!$A$2:$A$50000,$B$4,缺陷明细!$G$2:$G$50000,$C25,缺陷明细!$J$2:$J$50000,"验收测试",缺陷明细!$K$2:$K$50000,"严重",缺陷明细!$AA$2:$AA$50000,"&lt;&gt;丢弃",缺陷明细!$AA$2:$AA$50000,"&lt;&gt;设计如此",缺陷明细!$AA$2:$AA$50000,"&lt;&gt;重复Bug")</f>
        <v>0</v>
      </c>
      <c r="X25" s="76">
        <f>COUNTIFS(缺陷明细!$A$2:$A$50000,$B$4,缺陷明细!$G$2:$G$50000,$C25,缺陷明细!$Q$2:$Q$50000,"已关闭",缺陷明细!$J$2:$J$50000,"验收测试",缺陷明细!$K$2:$K$50000,"致命")+COUNTIFS(缺陷明细!$A$2:$A$50000,$B$4,缺陷明细!$G$2:$G$50000,$C25,缺陷明细!$Q$2:$Q$50000,"已关闭",缺陷明细!$J$2:$J$50000,"验收测试",缺陷明细!$K$2:$K$50000,"严重")</f>
        <v>0</v>
      </c>
      <c r="Y25" s="70">
        <f>COUNTIFS(缺陷明细!$A$2:$A$50000,$B$4,缺陷明细!$G$2:$G$50000,$C25,缺陷明细!$J$2:$J$50000,"运维测试",缺陷明细!$AA$2:$AA$50000,"&lt;&gt;丢弃",缺陷明细!$AA$2:$AA$50000,"&lt;&gt;设计如此",缺陷明细!$AA$2:$AA$50000,"&lt;&gt;重复Bug")</f>
        <v>0</v>
      </c>
      <c r="Z25" s="71">
        <f>COUNTIFS(缺陷明细!$A$2:$A$50000,$B$4,缺陷明细!$G$2:$G$50000,$C25,缺陷明细!$Q$2:$Q$50000,"已关闭",缺陷明细!$J$2:$J$50000,"运维测试")</f>
        <v>0</v>
      </c>
      <c r="AA25" s="72">
        <f>COUNTIFS(缺陷明细!$A$2:$A$50000,$B$4,缺陷明细!$G$2:$G$50000,$C25,缺陷明细!$J$2:$J$50000,"运维测试",缺陷明细!$K$2:$K$50000,"致命",缺陷明细!$AA$2:$AA$50000,"&lt;&gt;丢弃",缺陷明细!$AA$2:$AA$50000,"&lt;&gt;设计如此",缺陷明细!$AA$2:$AA$50000,"&lt;&gt;重复Bug")+COUNTIFS(缺陷明细!$A$2:$A$50000,$B$4,缺陷明细!$G$2:$G$50000,$C25,缺陷明细!$J$2:$J$50000,"运维测试",缺陷明细!$K$2:$K$50000,"严重",缺陷明细!$AA$2:$AA$50000,"&lt;&gt;丢弃",缺陷明细!$AA$2:$AA$50000,"&lt;&gt;设计如此",缺陷明细!$AA$2:$AA$50000,"&lt;&gt;重复Bug")</f>
        <v>0</v>
      </c>
      <c r="AB25" s="73">
        <f>COUNTIFS(缺陷明细!$A$2:$A$50000,$B$4,缺陷明细!$G$2:$G$50000,$C25,缺陷明细!$Q$2:$Q$50000,"已关闭",缺陷明细!$J$2:$J$50000,"运维测试",缺陷明细!$K$2:$K$50000,"致命")+COUNTIFS(缺陷明细!$A$2:$A$50000,$B$4,缺陷明细!$G$2:$G$50000,$C25,缺陷明细!$Q$2:$Q$50000,"已关闭",缺陷明细!$J$2:$J$50000,"运维测试",缺陷明细!$K$2:$K$50000,"严重")</f>
        <v>0</v>
      </c>
      <c r="AC25" s="68">
        <f t="shared" si="0"/>
        <v>0</v>
      </c>
      <c r="AD25" s="60">
        <f t="shared" si="0"/>
        <v>0</v>
      </c>
      <c r="AE25" s="60">
        <f t="shared" si="1"/>
        <v>0</v>
      </c>
      <c r="AF25" s="60">
        <f t="shared" si="1"/>
        <v>0</v>
      </c>
      <c r="AG25" s="60">
        <f t="shared" si="2"/>
        <v>0</v>
      </c>
      <c r="AH25" s="60">
        <f t="shared" si="2"/>
        <v>0</v>
      </c>
      <c r="AI25" s="60">
        <f t="shared" si="3"/>
        <v>0</v>
      </c>
      <c r="AJ25" s="61">
        <f t="shared" si="3"/>
        <v>0</v>
      </c>
      <c r="AK25" s="151"/>
    </row>
    <row r="26" spans="1:37">
      <c r="A26">
        <v>22</v>
      </c>
      <c r="B26" s="57"/>
      <c r="C26" s="58"/>
      <c r="D26" s="84"/>
      <c r="E26" s="82"/>
      <c r="F26" s="165"/>
      <c r="G26" s="166"/>
      <c r="H26" s="305">
        <f>COUNTIFS(缺陷明细!$A$2:$A$50000,$B$4,缺陷明细!$G$2:$G$50000,$C26,缺陷明细!$J$2:$J$50000,"评审",缺陷明细!$AA$2:$AA$50000,"&lt;&gt;丢弃",缺陷明细!$AA$2:$AA$50000,"&lt;&gt;设计如此",缺陷明细!$AA$2:$AA$50000,"&lt;&gt;重复Bug")</f>
        <v>0</v>
      </c>
      <c r="I26" s="161">
        <f>COUNTIFS(缺陷明细!$A$2:$A$50000,$B$4,缺陷明细!$G$2:$G$50000,$C26,缺陷明细!$Q$2:$Q$50000,"已关闭",缺陷明细!$J$2:$J$50000,"评审")</f>
        <v>0</v>
      </c>
      <c r="J26" s="161">
        <f>COUNTIFS(缺陷明细!$A$2:$A$50000,$B$4,缺陷明细!$G$2:$G$50000,$C26,缺陷明细!$J$2:$J$50000,"单元测试",缺陷明细!$AA$2:$AA$50000,"&lt;&gt;丢弃",缺陷明细!$AA$2:$AA$50000,"&lt;&gt;设计如此",缺陷明细!$AA$2:$AA$50000,"&lt;&gt;重复Bug")</f>
        <v>0</v>
      </c>
      <c r="K26" s="162">
        <f>COUNTIFS(缺陷明细!$A$2:$A$50000,$B$4,缺陷明细!$G$2:$G$50000,$C26,缺陷明细!$Q$2:$Q$50000,"已关闭",缺陷明细!$J$2:$J$50000,"单元测试")</f>
        <v>0</v>
      </c>
      <c r="L26" s="163"/>
      <c r="M26" s="164"/>
      <c r="N26" s="72">
        <f>COUNTIFS(缺陷明细!$A$2:$A$50000,$B$4,缺陷明细!$G$2:$G$50000,$C26,缺陷明细!$J$2:$J$50000,"系统测试案例评审",缺陷明细!$AA$2:$AA$50000,"&lt;&gt;丢弃",缺陷明细!$AA$2:$AA$50000,"&lt;&gt;设计如此",缺陷明细!$AA$2:$AA$50000,"&lt;&gt;重复Bug")</f>
        <v>0</v>
      </c>
      <c r="O26" s="72">
        <f>COUNTIFS(缺陷明细!$A$2:$A$50000,$B$4,缺陷明细!$G$2:$G$50000,$C26,缺陷明细!$Q$2:$Q$50000,"已关闭",缺陷明细!$J$2:$J$50000,"系统测试案例评审")</f>
        <v>0</v>
      </c>
      <c r="P26" s="72">
        <f>COUNTIFS(缺陷明细!$A$2:$A$50000,$B$4,缺陷明细!$G$2:$G$50000,$C26,缺陷明细!$J$2:$J$50000,"系统测试",缺陷明细!$AA$2:$AA$50000,"&lt;&gt;丢弃",缺陷明细!$AA$2:$AA$50000,"&lt;&gt;设计如此",缺陷明细!$AA$2:$AA$50000,"&lt;&gt;重复Bug")</f>
        <v>0</v>
      </c>
      <c r="Q26" s="72">
        <f>COUNTIFS(缺陷明细!$A$2:$A$50000,$B$4,缺陷明细!$G$2:$G$50000,$C26,缺陷明细!$Q$2:$Q$50000,"已关闭",缺陷明细!$J$2:$J$50000,"系统测试")</f>
        <v>0</v>
      </c>
      <c r="R26" s="72">
        <f>COUNTIFS(缺陷明细!$A$2:$A$50000,$B$4,缺陷明细!$G$2:$G$50000,$C26,缺陷明细!$AA$2:$AA$50000,"丢弃",缺陷明细!$J$2:$J$50000,"系统测试")+COUNTIFS(缺陷明细!$A$2:$A$50000,$B$4,缺陷明细!$G$2:$G$50000,$C26,缺陷明细!$AA$2:$AA$50000,"设计如此",缺陷明细!$J$2:$J$50000,"系统测试"+COUNTIFS(缺陷明细!$A$2:$A$50000,$B$4,缺陷明细!$G$2:$G$50000,$C26,缺陷明细!$AA$2:$AA$50000,"重复Bug",缺陷明细!$J$2:$J$50000,"系统测试"))</f>
        <v>0</v>
      </c>
      <c r="S26" s="72">
        <f>COUNTIFS(缺陷明细!$A$2:$A$50000,$B$4,缺陷明细!$G$2:$G$50000,$C26,缺陷明细!$J$2:$J$50000,"系统测试",缺陷明细!$K$2:$K$50000,"致命",缺陷明细!$AA$2:$AA$50000,"&lt;&gt;丢弃",缺陷明细!$AA$2:$AA$50000,"&lt;&gt;设计如此",缺陷明细!$AA$2:$AA$50000,"&lt;&gt;重复Bug")+COUNTIFS(缺陷明细!$A$2:$A$50000,$B$4,缺陷明细!$G$2:$G$50000,$C26,缺陷明细!$J$2:$J$50000,"系统测试",缺陷明细!$K$2:$K$50000,"严重",缺陷明细!$AA$2:$AA$50000,"&lt;&gt;丢弃",缺陷明细!$AA$2:$AA$50000,"&lt;&gt;设计如此",缺陷明细!$AA$2:$AA$50000,"&lt;&gt;重复Bug")</f>
        <v>0</v>
      </c>
      <c r="T26" s="73">
        <f>COUNTIFS(缺陷明细!$A$2:$A$50000,$B$4,缺陷明细!$G$2:$G$50000,$C26,缺陷明细!$Q$2:$Q$50000,"已关闭",缺陷明细!$J$2:$J$50000,"系统测试",缺陷明细!$K$2:$K$50000,"致命")+COUNTIFS(缺陷明细!$A$2:$A$50000,$B$4,缺陷明细!$G$2:$G$50000,$C26,缺陷明细!$Q$2:$Q$50000,"已关闭",缺陷明细!$J$2:$J$50000,"系统测试",缺陷明细!$K$2:$K$50000,"严重")</f>
        <v>0</v>
      </c>
      <c r="U26" s="74">
        <f>COUNTIFS(缺陷明细!$A$2:$A$50000,$B$4,缺陷明细!$G$2:$G$50000,$C26,缺陷明细!$J$2:$J$50000,"验收测试",缺陷明细!$AA$2:$AA$50000,"&lt;&gt;丢弃",缺陷明细!$AA$2:$AA$50000,"&lt;&gt;设计如此",缺陷明细!$AA$2:$AA$50000,"&lt;&gt;重复Bug")</f>
        <v>0</v>
      </c>
      <c r="V26" s="75">
        <f>COUNTIFS(缺陷明细!$A$2:$A$50000,$B$4,缺陷明细!$G$2:$G$50000,$C26,缺陷明细!$Q$2:$Q$50000,"已关闭",缺陷明细!$J$2:$J$50000,"验收测试")</f>
        <v>0</v>
      </c>
      <c r="W26" s="75">
        <f>COUNTIFS(缺陷明细!$A$2:$A$50000,$B$4,缺陷明细!$G$2:$G$50000,$C26,缺陷明细!$J$2:$J$50000,"验收测试",缺陷明细!$K$2:$K$50000,"致命",缺陷明细!$AA$2:$AA$50000,"&lt;&gt;丢弃",缺陷明细!$AA$2:$AA$50000,"&lt;&gt;设计如此",缺陷明细!$AA$2:$AA$50000,"&lt;&gt;重复Bug")+COUNTIFS(缺陷明细!$A$2:$A$50000,$B$4,缺陷明细!$G$2:$G$50000,$C26,缺陷明细!$J$2:$J$50000,"验收测试",缺陷明细!$K$2:$K$50000,"严重",缺陷明细!$AA$2:$AA$50000,"&lt;&gt;丢弃",缺陷明细!$AA$2:$AA$50000,"&lt;&gt;设计如此",缺陷明细!$AA$2:$AA$50000,"&lt;&gt;重复Bug")</f>
        <v>0</v>
      </c>
      <c r="X26" s="76">
        <f>COUNTIFS(缺陷明细!$A$2:$A$50000,$B$4,缺陷明细!$G$2:$G$50000,$C26,缺陷明细!$Q$2:$Q$50000,"已关闭",缺陷明细!$J$2:$J$50000,"验收测试",缺陷明细!$K$2:$K$50000,"致命")+COUNTIFS(缺陷明细!$A$2:$A$50000,$B$4,缺陷明细!$G$2:$G$50000,$C26,缺陷明细!$Q$2:$Q$50000,"已关闭",缺陷明细!$J$2:$J$50000,"验收测试",缺陷明细!$K$2:$K$50000,"严重")</f>
        <v>0</v>
      </c>
      <c r="Y26" s="70">
        <f>COUNTIFS(缺陷明细!$A$2:$A$50000,$B$4,缺陷明细!$G$2:$G$50000,$C26,缺陷明细!$J$2:$J$50000,"运维测试",缺陷明细!$AA$2:$AA$50000,"&lt;&gt;丢弃",缺陷明细!$AA$2:$AA$50000,"&lt;&gt;设计如此",缺陷明细!$AA$2:$AA$50000,"&lt;&gt;重复Bug")</f>
        <v>0</v>
      </c>
      <c r="Z26" s="71">
        <f>COUNTIFS(缺陷明细!$A$2:$A$50000,$B$4,缺陷明细!$G$2:$G$50000,$C26,缺陷明细!$Q$2:$Q$50000,"已关闭",缺陷明细!$J$2:$J$50000,"运维测试")</f>
        <v>0</v>
      </c>
      <c r="AA26" s="72">
        <f>COUNTIFS(缺陷明细!$A$2:$A$50000,$B$4,缺陷明细!$G$2:$G$50000,$C26,缺陷明细!$J$2:$J$50000,"运维测试",缺陷明细!$K$2:$K$50000,"致命",缺陷明细!$AA$2:$AA$50000,"&lt;&gt;丢弃",缺陷明细!$AA$2:$AA$50000,"&lt;&gt;设计如此",缺陷明细!$AA$2:$AA$50000,"&lt;&gt;重复Bug")+COUNTIFS(缺陷明细!$A$2:$A$50000,$B$4,缺陷明细!$G$2:$G$50000,$C26,缺陷明细!$J$2:$J$50000,"运维测试",缺陷明细!$K$2:$K$50000,"严重",缺陷明细!$AA$2:$AA$50000,"&lt;&gt;丢弃",缺陷明细!$AA$2:$AA$50000,"&lt;&gt;设计如此",缺陷明细!$AA$2:$AA$50000,"&lt;&gt;重复Bug")</f>
        <v>0</v>
      </c>
      <c r="AB26" s="73">
        <f>COUNTIFS(缺陷明细!$A$2:$A$50000,$B$4,缺陷明细!$G$2:$G$50000,$C26,缺陷明细!$Q$2:$Q$50000,"已关闭",缺陷明细!$J$2:$J$50000,"运维测试",缺陷明细!$K$2:$K$50000,"致命")+COUNTIFS(缺陷明细!$A$2:$A$50000,$B$4,缺陷明细!$G$2:$G$50000,$C26,缺陷明细!$Q$2:$Q$50000,"已关闭",缺陷明细!$J$2:$J$50000,"运维测试",缺陷明细!$K$2:$K$50000,"严重")</f>
        <v>0</v>
      </c>
      <c r="AC26" s="68">
        <f t="shared" si="0"/>
        <v>0</v>
      </c>
      <c r="AD26" s="60">
        <f t="shared" si="0"/>
        <v>0</v>
      </c>
      <c r="AE26" s="60">
        <f t="shared" si="1"/>
        <v>0</v>
      </c>
      <c r="AF26" s="60">
        <f t="shared" si="1"/>
        <v>0</v>
      </c>
      <c r="AG26" s="60">
        <f t="shared" si="2"/>
        <v>0</v>
      </c>
      <c r="AH26" s="60">
        <f t="shared" si="2"/>
        <v>0</v>
      </c>
      <c r="AI26" s="60">
        <f t="shared" si="3"/>
        <v>0</v>
      </c>
      <c r="AJ26" s="61">
        <f t="shared" si="3"/>
        <v>0</v>
      </c>
      <c r="AK26" s="151"/>
    </row>
    <row r="27" spans="1:37">
      <c r="A27">
        <v>23</v>
      </c>
      <c r="B27" s="57"/>
      <c r="C27" s="58"/>
      <c r="D27" s="84"/>
      <c r="E27" s="82"/>
      <c r="F27" s="165"/>
      <c r="G27" s="166"/>
      <c r="H27" s="305">
        <f>COUNTIFS(缺陷明细!$A$2:$A$50000,$B$4,缺陷明细!$G$2:$G$50000,$C27,缺陷明细!$J$2:$J$50000,"评审",缺陷明细!$AA$2:$AA$50000,"&lt;&gt;丢弃",缺陷明细!$AA$2:$AA$50000,"&lt;&gt;设计如此",缺陷明细!$AA$2:$AA$50000,"&lt;&gt;重复Bug")</f>
        <v>0</v>
      </c>
      <c r="I27" s="161">
        <f>COUNTIFS(缺陷明细!$A$2:$A$50000,$B$4,缺陷明细!$G$2:$G$50000,$C27,缺陷明细!$Q$2:$Q$50000,"已关闭",缺陷明细!$J$2:$J$50000,"评审")</f>
        <v>0</v>
      </c>
      <c r="J27" s="161">
        <f>COUNTIFS(缺陷明细!$A$2:$A$50000,$B$4,缺陷明细!$G$2:$G$50000,$C27,缺陷明细!$J$2:$J$50000,"单元测试",缺陷明细!$AA$2:$AA$50000,"&lt;&gt;丢弃",缺陷明细!$AA$2:$AA$50000,"&lt;&gt;设计如此",缺陷明细!$AA$2:$AA$50000,"&lt;&gt;重复Bug")</f>
        <v>0</v>
      </c>
      <c r="K27" s="162">
        <f>COUNTIFS(缺陷明细!$A$2:$A$50000,$B$4,缺陷明细!$G$2:$G$50000,$C27,缺陷明细!$Q$2:$Q$50000,"已关闭",缺陷明细!$J$2:$J$50000,"单元测试")</f>
        <v>0</v>
      </c>
      <c r="L27" s="163"/>
      <c r="M27" s="164"/>
      <c r="N27" s="72">
        <f>COUNTIFS(缺陷明细!$A$2:$A$50000,$B$4,缺陷明细!$G$2:$G$50000,$C27,缺陷明细!$J$2:$J$50000,"系统测试案例评审",缺陷明细!$AA$2:$AA$50000,"&lt;&gt;丢弃",缺陷明细!$AA$2:$AA$50000,"&lt;&gt;设计如此",缺陷明细!$AA$2:$AA$50000,"&lt;&gt;重复Bug")</f>
        <v>0</v>
      </c>
      <c r="O27" s="72">
        <f>COUNTIFS(缺陷明细!$A$2:$A$50000,$B$4,缺陷明细!$G$2:$G$50000,$C27,缺陷明细!$Q$2:$Q$50000,"已关闭",缺陷明细!$J$2:$J$50000,"系统测试案例评审")</f>
        <v>0</v>
      </c>
      <c r="P27" s="72">
        <f>COUNTIFS(缺陷明细!$A$2:$A$50000,$B$4,缺陷明细!$G$2:$G$50000,$C27,缺陷明细!$J$2:$J$50000,"系统测试",缺陷明细!$AA$2:$AA$50000,"&lt;&gt;丢弃",缺陷明细!$AA$2:$AA$50000,"&lt;&gt;设计如此",缺陷明细!$AA$2:$AA$50000,"&lt;&gt;重复Bug")</f>
        <v>0</v>
      </c>
      <c r="Q27" s="72">
        <f>COUNTIFS(缺陷明细!$A$2:$A$50000,$B$4,缺陷明细!$G$2:$G$50000,$C27,缺陷明细!$Q$2:$Q$50000,"已关闭",缺陷明细!$J$2:$J$50000,"系统测试")</f>
        <v>0</v>
      </c>
      <c r="R27" s="72">
        <f>COUNTIFS(缺陷明细!$A$2:$A$50000,$B$4,缺陷明细!$G$2:$G$50000,$C27,缺陷明细!$AA$2:$AA$50000,"丢弃",缺陷明细!$J$2:$J$50000,"系统测试")+COUNTIFS(缺陷明细!$A$2:$A$50000,$B$4,缺陷明细!$G$2:$G$50000,$C27,缺陷明细!$AA$2:$AA$50000,"设计如此",缺陷明细!$J$2:$J$50000,"系统测试"+COUNTIFS(缺陷明细!$A$2:$A$50000,$B$4,缺陷明细!$G$2:$G$50000,$C27,缺陷明细!$AA$2:$AA$50000,"重复Bug",缺陷明细!$J$2:$J$50000,"系统测试"))</f>
        <v>0</v>
      </c>
      <c r="S27" s="72">
        <f>COUNTIFS(缺陷明细!$A$2:$A$50000,$B$4,缺陷明细!$G$2:$G$50000,$C27,缺陷明细!$J$2:$J$50000,"系统测试",缺陷明细!$K$2:$K$50000,"致命",缺陷明细!$AA$2:$AA$50000,"&lt;&gt;丢弃",缺陷明细!$AA$2:$AA$50000,"&lt;&gt;设计如此",缺陷明细!$AA$2:$AA$50000,"&lt;&gt;重复Bug")+COUNTIFS(缺陷明细!$A$2:$A$50000,$B$4,缺陷明细!$G$2:$G$50000,$C27,缺陷明细!$J$2:$J$50000,"系统测试",缺陷明细!$K$2:$K$50000,"严重",缺陷明细!$AA$2:$AA$50000,"&lt;&gt;丢弃",缺陷明细!$AA$2:$AA$50000,"&lt;&gt;设计如此",缺陷明细!$AA$2:$AA$50000,"&lt;&gt;重复Bug")</f>
        <v>0</v>
      </c>
      <c r="T27" s="73">
        <f>COUNTIFS(缺陷明细!$A$2:$A$50000,$B$4,缺陷明细!$G$2:$G$50000,$C27,缺陷明细!$Q$2:$Q$50000,"已关闭",缺陷明细!$J$2:$J$50000,"系统测试",缺陷明细!$K$2:$K$50000,"致命")+COUNTIFS(缺陷明细!$A$2:$A$50000,$B$4,缺陷明细!$G$2:$G$50000,$C27,缺陷明细!$Q$2:$Q$50000,"已关闭",缺陷明细!$J$2:$J$50000,"系统测试",缺陷明细!$K$2:$K$50000,"严重")</f>
        <v>0</v>
      </c>
      <c r="U27" s="74">
        <f>COUNTIFS(缺陷明细!$A$2:$A$50000,$B$4,缺陷明细!$G$2:$G$50000,$C27,缺陷明细!$J$2:$J$50000,"验收测试",缺陷明细!$AA$2:$AA$50000,"&lt;&gt;丢弃",缺陷明细!$AA$2:$AA$50000,"&lt;&gt;设计如此",缺陷明细!$AA$2:$AA$50000,"&lt;&gt;重复Bug")</f>
        <v>0</v>
      </c>
      <c r="V27" s="75">
        <f>COUNTIFS(缺陷明细!$A$2:$A$50000,$B$4,缺陷明细!$G$2:$G$50000,$C27,缺陷明细!$Q$2:$Q$50000,"已关闭",缺陷明细!$J$2:$J$50000,"验收测试")</f>
        <v>0</v>
      </c>
      <c r="W27" s="75">
        <f>COUNTIFS(缺陷明细!$A$2:$A$50000,$B$4,缺陷明细!$G$2:$G$50000,$C27,缺陷明细!$J$2:$J$50000,"验收测试",缺陷明细!$K$2:$K$50000,"致命",缺陷明细!$AA$2:$AA$50000,"&lt;&gt;丢弃",缺陷明细!$AA$2:$AA$50000,"&lt;&gt;设计如此",缺陷明细!$AA$2:$AA$50000,"&lt;&gt;重复Bug")+COUNTIFS(缺陷明细!$A$2:$A$50000,$B$4,缺陷明细!$G$2:$G$50000,$C27,缺陷明细!$J$2:$J$50000,"验收测试",缺陷明细!$K$2:$K$50000,"严重",缺陷明细!$AA$2:$AA$50000,"&lt;&gt;丢弃",缺陷明细!$AA$2:$AA$50000,"&lt;&gt;设计如此",缺陷明细!$AA$2:$AA$50000,"&lt;&gt;重复Bug")</f>
        <v>0</v>
      </c>
      <c r="X27" s="76">
        <f>COUNTIFS(缺陷明细!$A$2:$A$50000,$B$4,缺陷明细!$G$2:$G$50000,$C27,缺陷明细!$Q$2:$Q$50000,"已关闭",缺陷明细!$J$2:$J$50000,"验收测试",缺陷明细!$K$2:$K$50000,"致命")+COUNTIFS(缺陷明细!$A$2:$A$50000,$B$4,缺陷明细!$G$2:$G$50000,$C27,缺陷明细!$Q$2:$Q$50000,"已关闭",缺陷明细!$J$2:$J$50000,"验收测试",缺陷明细!$K$2:$K$50000,"严重")</f>
        <v>0</v>
      </c>
      <c r="Y27" s="70">
        <f>COUNTIFS(缺陷明细!$A$2:$A$50000,$B$4,缺陷明细!$G$2:$G$50000,$C27,缺陷明细!$J$2:$J$50000,"运维测试",缺陷明细!$AA$2:$AA$50000,"&lt;&gt;丢弃",缺陷明细!$AA$2:$AA$50000,"&lt;&gt;设计如此",缺陷明细!$AA$2:$AA$50000,"&lt;&gt;重复Bug")</f>
        <v>0</v>
      </c>
      <c r="Z27" s="71">
        <f>COUNTIFS(缺陷明细!$A$2:$A$50000,$B$4,缺陷明细!$G$2:$G$50000,$C27,缺陷明细!$Q$2:$Q$50000,"已关闭",缺陷明细!$J$2:$J$50000,"运维测试")</f>
        <v>0</v>
      </c>
      <c r="AA27" s="72">
        <f>COUNTIFS(缺陷明细!$A$2:$A$50000,$B$4,缺陷明细!$G$2:$G$50000,$C27,缺陷明细!$J$2:$J$50000,"运维测试",缺陷明细!$K$2:$K$50000,"致命",缺陷明细!$AA$2:$AA$50000,"&lt;&gt;丢弃",缺陷明细!$AA$2:$AA$50000,"&lt;&gt;设计如此",缺陷明细!$AA$2:$AA$50000,"&lt;&gt;重复Bug")+COUNTIFS(缺陷明细!$A$2:$A$50000,$B$4,缺陷明细!$G$2:$G$50000,$C27,缺陷明细!$J$2:$J$50000,"运维测试",缺陷明细!$K$2:$K$50000,"严重",缺陷明细!$AA$2:$AA$50000,"&lt;&gt;丢弃",缺陷明细!$AA$2:$AA$50000,"&lt;&gt;设计如此",缺陷明细!$AA$2:$AA$50000,"&lt;&gt;重复Bug")</f>
        <v>0</v>
      </c>
      <c r="AB27" s="73">
        <f>COUNTIFS(缺陷明细!$A$2:$A$50000,$B$4,缺陷明细!$G$2:$G$50000,$C27,缺陷明细!$Q$2:$Q$50000,"已关闭",缺陷明细!$J$2:$J$50000,"运维测试",缺陷明细!$K$2:$K$50000,"致命")+COUNTIFS(缺陷明细!$A$2:$A$50000,$B$4,缺陷明细!$G$2:$G$50000,$C27,缺陷明细!$Q$2:$Q$50000,"已关闭",缺陷明细!$J$2:$J$50000,"运维测试",缺陷明细!$K$2:$K$50000,"严重")</f>
        <v>0</v>
      </c>
      <c r="AC27" s="68">
        <f t="shared" si="0"/>
        <v>0</v>
      </c>
      <c r="AD27" s="60">
        <f t="shared" si="0"/>
        <v>0</v>
      </c>
      <c r="AE27" s="60">
        <f t="shared" si="1"/>
        <v>0</v>
      </c>
      <c r="AF27" s="60">
        <f t="shared" si="1"/>
        <v>0</v>
      </c>
      <c r="AG27" s="60">
        <f t="shared" si="2"/>
        <v>0</v>
      </c>
      <c r="AH27" s="60">
        <f t="shared" si="2"/>
        <v>0</v>
      </c>
      <c r="AI27" s="60">
        <f t="shared" si="3"/>
        <v>0</v>
      </c>
      <c r="AJ27" s="61">
        <f t="shared" si="3"/>
        <v>0</v>
      </c>
      <c r="AK27" s="151"/>
    </row>
    <row r="28" spans="1:37">
      <c r="A28">
        <v>24</v>
      </c>
      <c r="B28" s="57"/>
      <c r="C28" s="58"/>
      <c r="D28" s="84"/>
      <c r="E28" s="82"/>
      <c r="F28" s="165"/>
      <c r="G28" s="166"/>
      <c r="H28" s="305">
        <f>COUNTIFS(缺陷明细!$A$2:$A$50000,$B$4,缺陷明细!$G$2:$G$50000,$C28,缺陷明细!$J$2:$J$50000,"评审",缺陷明细!$AA$2:$AA$50000,"&lt;&gt;丢弃",缺陷明细!$AA$2:$AA$50000,"&lt;&gt;设计如此",缺陷明细!$AA$2:$AA$50000,"&lt;&gt;重复Bug")</f>
        <v>0</v>
      </c>
      <c r="I28" s="161">
        <f>COUNTIFS(缺陷明细!$A$2:$A$50000,$B$4,缺陷明细!$G$2:$G$50000,$C28,缺陷明细!$Q$2:$Q$50000,"已关闭",缺陷明细!$J$2:$J$50000,"评审")</f>
        <v>0</v>
      </c>
      <c r="J28" s="161">
        <f>COUNTIFS(缺陷明细!$A$2:$A$50000,$B$4,缺陷明细!$G$2:$G$50000,$C28,缺陷明细!$J$2:$J$50000,"单元测试",缺陷明细!$AA$2:$AA$50000,"&lt;&gt;丢弃",缺陷明细!$AA$2:$AA$50000,"&lt;&gt;设计如此",缺陷明细!$AA$2:$AA$50000,"&lt;&gt;重复Bug")</f>
        <v>0</v>
      </c>
      <c r="K28" s="162">
        <f>COUNTIFS(缺陷明细!$A$2:$A$50000,$B$4,缺陷明细!$G$2:$G$50000,$C28,缺陷明细!$Q$2:$Q$50000,"已关闭",缺陷明细!$J$2:$J$50000,"单元测试")</f>
        <v>0</v>
      </c>
      <c r="L28" s="163"/>
      <c r="M28" s="164"/>
      <c r="N28" s="72">
        <f>COUNTIFS(缺陷明细!$A$2:$A$50000,$B$4,缺陷明细!$G$2:$G$50000,$C28,缺陷明细!$J$2:$J$50000,"系统测试案例评审",缺陷明细!$AA$2:$AA$50000,"&lt;&gt;丢弃",缺陷明细!$AA$2:$AA$50000,"&lt;&gt;设计如此",缺陷明细!$AA$2:$AA$50000,"&lt;&gt;重复Bug")</f>
        <v>0</v>
      </c>
      <c r="O28" s="72">
        <f>COUNTIFS(缺陷明细!$A$2:$A$50000,$B$4,缺陷明细!$G$2:$G$50000,$C28,缺陷明细!$Q$2:$Q$50000,"已关闭",缺陷明细!$J$2:$J$50000,"系统测试案例评审")</f>
        <v>0</v>
      </c>
      <c r="P28" s="72">
        <f>COUNTIFS(缺陷明细!$A$2:$A$50000,$B$4,缺陷明细!$G$2:$G$50000,$C28,缺陷明细!$J$2:$J$50000,"系统测试",缺陷明细!$AA$2:$AA$50000,"&lt;&gt;丢弃",缺陷明细!$AA$2:$AA$50000,"&lt;&gt;设计如此",缺陷明细!$AA$2:$AA$50000,"&lt;&gt;重复Bug")</f>
        <v>0</v>
      </c>
      <c r="Q28" s="72">
        <f>COUNTIFS(缺陷明细!$A$2:$A$50000,$B$4,缺陷明细!$G$2:$G$50000,$C28,缺陷明细!$Q$2:$Q$50000,"已关闭",缺陷明细!$J$2:$J$50000,"系统测试")</f>
        <v>0</v>
      </c>
      <c r="R28" s="72">
        <f>COUNTIFS(缺陷明细!$A$2:$A$50000,$B$4,缺陷明细!$G$2:$G$50000,$C28,缺陷明细!$AA$2:$AA$50000,"丢弃",缺陷明细!$J$2:$J$50000,"系统测试")+COUNTIFS(缺陷明细!$A$2:$A$50000,$B$4,缺陷明细!$G$2:$G$50000,$C28,缺陷明细!$AA$2:$AA$50000,"设计如此",缺陷明细!$J$2:$J$50000,"系统测试"+COUNTIFS(缺陷明细!$A$2:$A$50000,$B$4,缺陷明细!$G$2:$G$50000,$C28,缺陷明细!$AA$2:$AA$50000,"重复Bug",缺陷明细!$J$2:$J$50000,"系统测试"))</f>
        <v>0</v>
      </c>
      <c r="S28" s="72">
        <f>COUNTIFS(缺陷明细!$A$2:$A$50000,$B$4,缺陷明细!$G$2:$G$50000,$C28,缺陷明细!$J$2:$J$50000,"系统测试",缺陷明细!$K$2:$K$50000,"致命",缺陷明细!$AA$2:$AA$50000,"&lt;&gt;丢弃",缺陷明细!$AA$2:$AA$50000,"&lt;&gt;设计如此",缺陷明细!$AA$2:$AA$50000,"&lt;&gt;重复Bug")+COUNTIFS(缺陷明细!$A$2:$A$50000,$B$4,缺陷明细!$G$2:$G$50000,$C28,缺陷明细!$J$2:$J$50000,"系统测试",缺陷明细!$K$2:$K$50000,"严重",缺陷明细!$AA$2:$AA$50000,"&lt;&gt;丢弃",缺陷明细!$AA$2:$AA$50000,"&lt;&gt;设计如此",缺陷明细!$AA$2:$AA$50000,"&lt;&gt;重复Bug")</f>
        <v>0</v>
      </c>
      <c r="T28" s="73">
        <f>COUNTIFS(缺陷明细!$A$2:$A$50000,$B$4,缺陷明细!$G$2:$G$50000,$C28,缺陷明细!$Q$2:$Q$50000,"已关闭",缺陷明细!$J$2:$J$50000,"系统测试",缺陷明细!$K$2:$K$50000,"致命")+COUNTIFS(缺陷明细!$A$2:$A$50000,$B$4,缺陷明细!$G$2:$G$50000,$C28,缺陷明细!$Q$2:$Q$50000,"已关闭",缺陷明细!$J$2:$J$50000,"系统测试",缺陷明细!$K$2:$K$50000,"严重")</f>
        <v>0</v>
      </c>
      <c r="U28" s="74">
        <f>COUNTIFS(缺陷明细!$A$2:$A$50000,$B$4,缺陷明细!$G$2:$G$50000,$C28,缺陷明细!$J$2:$J$50000,"验收测试",缺陷明细!$AA$2:$AA$50000,"&lt;&gt;丢弃",缺陷明细!$AA$2:$AA$50000,"&lt;&gt;设计如此",缺陷明细!$AA$2:$AA$50000,"&lt;&gt;重复Bug")</f>
        <v>0</v>
      </c>
      <c r="V28" s="75">
        <f>COUNTIFS(缺陷明细!$A$2:$A$50000,$B$4,缺陷明细!$G$2:$G$50000,$C28,缺陷明细!$Q$2:$Q$50000,"已关闭",缺陷明细!$J$2:$J$50000,"验收测试")</f>
        <v>0</v>
      </c>
      <c r="W28" s="75">
        <f>COUNTIFS(缺陷明细!$A$2:$A$50000,$B$4,缺陷明细!$G$2:$G$50000,$C28,缺陷明细!$J$2:$J$50000,"验收测试",缺陷明细!$K$2:$K$50000,"致命",缺陷明细!$AA$2:$AA$50000,"&lt;&gt;丢弃",缺陷明细!$AA$2:$AA$50000,"&lt;&gt;设计如此",缺陷明细!$AA$2:$AA$50000,"&lt;&gt;重复Bug")+COUNTIFS(缺陷明细!$A$2:$A$50000,$B$4,缺陷明细!$G$2:$G$50000,$C28,缺陷明细!$J$2:$J$50000,"验收测试",缺陷明细!$K$2:$K$50000,"严重",缺陷明细!$AA$2:$AA$50000,"&lt;&gt;丢弃",缺陷明细!$AA$2:$AA$50000,"&lt;&gt;设计如此",缺陷明细!$AA$2:$AA$50000,"&lt;&gt;重复Bug")</f>
        <v>0</v>
      </c>
      <c r="X28" s="76">
        <f>COUNTIFS(缺陷明细!$A$2:$A$50000,$B$4,缺陷明细!$G$2:$G$50000,$C28,缺陷明细!$Q$2:$Q$50000,"已关闭",缺陷明细!$J$2:$J$50000,"验收测试",缺陷明细!$K$2:$K$50000,"致命")+COUNTIFS(缺陷明细!$A$2:$A$50000,$B$4,缺陷明细!$G$2:$G$50000,$C28,缺陷明细!$Q$2:$Q$50000,"已关闭",缺陷明细!$J$2:$J$50000,"验收测试",缺陷明细!$K$2:$K$50000,"严重")</f>
        <v>0</v>
      </c>
      <c r="Y28" s="70">
        <f>COUNTIFS(缺陷明细!$A$2:$A$50000,$B$4,缺陷明细!$G$2:$G$50000,$C28,缺陷明细!$J$2:$J$50000,"运维测试",缺陷明细!$AA$2:$AA$50000,"&lt;&gt;丢弃",缺陷明细!$AA$2:$AA$50000,"&lt;&gt;设计如此",缺陷明细!$AA$2:$AA$50000,"&lt;&gt;重复Bug")</f>
        <v>0</v>
      </c>
      <c r="Z28" s="71">
        <f>COUNTIFS(缺陷明细!$A$2:$A$50000,$B$4,缺陷明细!$G$2:$G$50000,$C28,缺陷明细!$Q$2:$Q$50000,"已关闭",缺陷明细!$J$2:$J$50000,"运维测试")</f>
        <v>0</v>
      </c>
      <c r="AA28" s="72">
        <f>COUNTIFS(缺陷明细!$A$2:$A$50000,$B$4,缺陷明细!$G$2:$G$50000,$C28,缺陷明细!$J$2:$J$50000,"运维测试",缺陷明细!$K$2:$K$50000,"致命",缺陷明细!$AA$2:$AA$50000,"&lt;&gt;丢弃",缺陷明细!$AA$2:$AA$50000,"&lt;&gt;设计如此",缺陷明细!$AA$2:$AA$50000,"&lt;&gt;重复Bug")+COUNTIFS(缺陷明细!$A$2:$A$50000,$B$4,缺陷明细!$G$2:$G$50000,$C28,缺陷明细!$J$2:$J$50000,"运维测试",缺陷明细!$K$2:$K$50000,"严重",缺陷明细!$AA$2:$AA$50000,"&lt;&gt;丢弃",缺陷明细!$AA$2:$AA$50000,"&lt;&gt;设计如此",缺陷明细!$AA$2:$AA$50000,"&lt;&gt;重复Bug")</f>
        <v>0</v>
      </c>
      <c r="AB28" s="73">
        <f>COUNTIFS(缺陷明细!$A$2:$A$50000,$B$4,缺陷明细!$G$2:$G$50000,$C28,缺陷明细!$Q$2:$Q$50000,"已关闭",缺陷明细!$J$2:$J$50000,"运维测试",缺陷明细!$K$2:$K$50000,"致命")+COUNTIFS(缺陷明细!$A$2:$A$50000,$B$4,缺陷明细!$G$2:$G$50000,$C28,缺陷明细!$Q$2:$Q$50000,"已关闭",缺陷明细!$J$2:$J$50000,"运维测试",缺陷明细!$K$2:$K$50000,"严重")</f>
        <v>0</v>
      </c>
      <c r="AC28" s="68">
        <f t="shared" si="0"/>
        <v>0</v>
      </c>
      <c r="AD28" s="60">
        <f t="shared" si="0"/>
        <v>0</v>
      </c>
      <c r="AE28" s="60">
        <f t="shared" si="1"/>
        <v>0</v>
      </c>
      <c r="AF28" s="60">
        <f t="shared" si="1"/>
        <v>0</v>
      </c>
      <c r="AG28" s="60">
        <f t="shared" si="2"/>
        <v>0</v>
      </c>
      <c r="AH28" s="60">
        <f t="shared" si="2"/>
        <v>0</v>
      </c>
      <c r="AI28" s="60">
        <f t="shared" si="3"/>
        <v>0</v>
      </c>
      <c r="AJ28" s="61">
        <f t="shared" si="3"/>
        <v>0</v>
      </c>
      <c r="AK28" s="151"/>
    </row>
    <row r="29" spans="1:37">
      <c r="A29">
        <v>25</v>
      </c>
      <c r="B29" s="57"/>
      <c r="C29" s="58"/>
      <c r="D29" s="84"/>
      <c r="E29" s="82"/>
      <c r="F29" s="165"/>
      <c r="G29" s="166"/>
      <c r="H29" s="305">
        <f>COUNTIFS(缺陷明细!$A$2:$A$50000,$B$4,缺陷明细!$G$2:$G$50000,$C29,缺陷明细!$J$2:$J$50000,"评审",缺陷明细!$AA$2:$AA$50000,"&lt;&gt;丢弃",缺陷明细!$AA$2:$AA$50000,"&lt;&gt;设计如此",缺陷明细!$AA$2:$AA$50000,"&lt;&gt;重复Bug")</f>
        <v>0</v>
      </c>
      <c r="I29" s="161">
        <f>COUNTIFS(缺陷明细!$A$2:$A$50000,$B$4,缺陷明细!$G$2:$G$50000,$C29,缺陷明细!$Q$2:$Q$50000,"已关闭",缺陷明细!$J$2:$J$50000,"评审")</f>
        <v>0</v>
      </c>
      <c r="J29" s="161">
        <f>COUNTIFS(缺陷明细!$A$2:$A$50000,$B$4,缺陷明细!$G$2:$G$50000,$C29,缺陷明细!$J$2:$J$50000,"单元测试",缺陷明细!$AA$2:$AA$50000,"&lt;&gt;丢弃",缺陷明细!$AA$2:$AA$50000,"&lt;&gt;设计如此",缺陷明细!$AA$2:$AA$50000,"&lt;&gt;重复Bug")</f>
        <v>0</v>
      </c>
      <c r="K29" s="162">
        <f>COUNTIFS(缺陷明细!$A$2:$A$50000,$B$4,缺陷明细!$G$2:$G$50000,$C29,缺陷明细!$Q$2:$Q$50000,"已关闭",缺陷明细!$J$2:$J$50000,"单元测试")</f>
        <v>0</v>
      </c>
      <c r="L29" s="163"/>
      <c r="M29" s="164"/>
      <c r="N29" s="72">
        <f>COUNTIFS(缺陷明细!$A$2:$A$50000,$B$4,缺陷明细!$G$2:$G$50000,$C29,缺陷明细!$J$2:$J$50000,"系统测试案例评审",缺陷明细!$AA$2:$AA$50000,"&lt;&gt;丢弃",缺陷明细!$AA$2:$AA$50000,"&lt;&gt;设计如此",缺陷明细!$AA$2:$AA$50000,"&lt;&gt;重复Bug")</f>
        <v>0</v>
      </c>
      <c r="O29" s="72">
        <f>COUNTIFS(缺陷明细!$A$2:$A$50000,$B$4,缺陷明细!$G$2:$G$50000,$C29,缺陷明细!$Q$2:$Q$50000,"已关闭",缺陷明细!$J$2:$J$50000,"系统测试案例评审")</f>
        <v>0</v>
      </c>
      <c r="P29" s="72">
        <f>COUNTIFS(缺陷明细!$A$2:$A$50000,$B$4,缺陷明细!$G$2:$G$50000,$C29,缺陷明细!$J$2:$J$50000,"系统测试",缺陷明细!$AA$2:$AA$50000,"&lt;&gt;丢弃",缺陷明细!$AA$2:$AA$50000,"&lt;&gt;设计如此",缺陷明细!$AA$2:$AA$50000,"&lt;&gt;重复Bug")</f>
        <v>0</v>
      </c>
      <c r="Q29" s="72">
        <f>COUNTIFS(缺陷明细!$A$2:$A$50000,$B$4,缺陷明细!$G$2:$G$50000,$C29,缺陷明细!$Q$2:$Q$50000,"已关闭",缺陷明细!$J$2:$J$50000,"系统测试")</f>
        <v>0</v>
      </c>
      <c r="R29" s="72">
        <f>COUNTIFS(缺陷明细!$A$2:$A$50000,$B$4,缺陷明细!$G$2:$G$50000,$C29,缺陷明细!$AA$2:$AA$50000,"丢弃",缺陷明细!$J$2:$J$50000,"系统测试")+COUNTIFS(缺陷明细!$A$2:$A$50000,$B$4,缺陷明细!$G$2:$G$50000,$C29,缺陷明细!$AA$2:$AA$50000,"设计如此",缺陷明细!$J$2:$J$50000,"系统测试"+COUNTIFS(缺陷明细!$A$2:$A$50000,$B$4,缺陷明细!$G$2:$G$50000,$C29,缺陷明细!$AA$2:$AA$50000,"重复Bug",缺陷明细!$J$2:$J$50000,"系统测试"))</f>
        <v>0</v>
      </c>
      <c r="S29" s="72">
        <f>COUNTIFS(缺陷明细!$A$2:$A$50000,$B$4,缺陷明细!$G$2:$G$50000,$C29,缺陷明细!$J$2:$J$50000,"系统测试",缺陷明细!$K$2:$K$50000,"致命",缺陷明细!$AA$2:$AA$50000,"&lt;&gt;丢弃",缺陷明细!$AA$2:$AA$50000,"&lt;&gt;设计如此",缺陷明细!$AA$2:$AA$50000,"&lt;&gt;重复Bug")+COUNTIFS(缺陷明细!$A$2:$A$50000,$B$4,缺陷明细!$G$2:$G$50000,$C29,缺陷明细!$J$2:$J$50000,"系统测试",缺陷明细!$K$2:$K$50000,"严重",缺陷明细!$AA$2:$AA$50000,"&lt;&gt;丢弃",缺陷明细!$AA$2:$AA$50000,"&lt;&gt;设计如此",缺陷明细!$AA$2:$AA$50000,"&lt;&gt;重复Bug")</f>
        <v>0</v>
      </c>
      <c r="T29" s="73">
        <f>COUNTIFS(缺陷明细!$A$2:$A$50000,$B$4,缺陷明细!$G$2:$G$50000,$C29,缺陷明细!$Q$2:$Q$50000,"已关闭",缺陷明细!$J$2:$J$50000,"系统测试",缺陷明细!$K$2:$K$50000,"致命")+COUNTIFS(缺陷明细!$A$2:$A$50000,$B$4,缺陷明细!$G$2:$G$50000,$C29,缺陷明细!$Q$2:$Q$50000,"已关闭",缺陷明细!$J$2:$J$50000,"系统测试",缺陷明细!$K$2:$K$50000,"严重")</f>
        <v>0</v>
      </c>
      <c r="U29" s="74">
        <f>COUNTIFS(缺陷明细!$A$2:$A$50000,$B$4,缺陷明细!$G$2:$G$50000,$C29,缺陷明细!$J$2:$J$50000,"验收测试",缺陷明细!$AA$2:$AA$50000,"&lt;&gt;丢弃",缺陷明细!$AA$2:$AA$50000,"&lt;&gt;设计如此",缺陷明细!$AA$2:$AA$50000,"&lt;&gt;重复Bug")</f>
        <v>0</v>
      </c>
      <c r="V29" s="75">
        <f>COUNTIFS(缺陷明细!$A$2:$A$50000,$B$4,缺陷明细!$G$2:$G$50000,$C29,缺陷明细!$Q$2:$Q$50000,"已关闭",缺陷明细!$J$2:$J$50000,"验收测试")</f>
        <v>0</v>
      </c>
      <c r="W29" s="75">
        <f>COUNTIFS(缺陷明细!$A$2:$A$50000,$B$4,缺陷明细!$G$2:$G$50000,$C29,缺陷明细!$J$2:$J$50000,"验收测试",缺陷明细!$K$2:$K$50000,"致命",缺陷明细!$AA$2:$AA$50000,"&lt;&gt;丢弃",缺陷明细!$AA$2:$AA$50000,"&lt;&gt;设计如此",缺陷明细!$AA$2:$AA$50000,"&lt;&gt;重复Bug")+COUNTIFS(缺陷明细!$A$2:$A$50000,$B$4,缺陷明细!$G$2:$G$50000,$C29,缺陷明细!$J$2:$J$50000,"验收测试",缺陷明细!$K$2:$K$50000,"严重",缺陷明细!$AA$2:$AA$50000,"&lt;&gt;丢弃",缺陷明细!$AA$2:$AA$50000,"&lt;&gt;设计如此",缺陷明细!$AA$2:$AA$50000,"&lt;&gt;重复Bug")</f>
        <v>0</v>
      </c>
      <c r="X29" s="76">
        <f>COUNTIFS(缺陷明细!$A$2:$A$50000,$B$4,缺陷明细!$G$2:$G$50000,$C29,缺陷明细!$Q$2:$Q$50000,"已关闭",缺陷明细!$J$2:$J$50000,"验收测试",缺陷明细!$K$2:$K$50000,"致命")+COUNTIFS(缺陷明细!$A$2:$A$50000,$B$4,缺陷明细!$G$2:$G$50000,$C29,缺陷明细!$Q$2:$Q$50000,"已关闭",缺陷明细!$J$2:$J$50000,"验收测试",缺陷明细!$K$2:$K$50000,"严重")</f>
        <v>0</v>
      </c>
      <c r="Y29" s="70">
        <f>COUNTIFS(缺陷明细!$A$2:$A$50000,$B$4,缺陷明细!$G$2:$G$50000,$C29,缺陷明细!$J$2:$J$50000,"运维测试",缺陷明细!$AA$2:$AA$50000,"&lt;&gt;丢弃",缺陷明细!$AA$2:$AA$50000,"&lt;&gt;设计如此",缺陷明细!$AA$2:$AA$50000,"&lt;&gt;重复Bug")</f>
        <v>0</v>
      </c>
      <c r="Z29" s="71">
        <f>COUNTIFS(缺陷明细!$A$2:$A$50000,$B$4,缺陷明细!$G$2:$G$50000,$C29,缺陷明细!$Q$2:$Q$50000,"已关闭",缺陷明细!$J$2:$J$50000,"运维测试")</f>
        <v>0</v>
      </c>
      <c r="AA29" s="72">
        <f>COUNTIFS(缺陷明细!$A$2:$A$50000,$B$4,缺陷明细!$G$2:$G$50000,$C29,缺陷明细!$J$2:$J$50000,"运维测试",缺陷明细!$K$2:$K$50000,"致命",缺陷明细!$AA$2:$AA$50000,"&lt;&gt;丢弃",缺陷明细!$AA$2:$AA$50000,"&lt;&gt;设计如此",缺陷明细!$AA$2:$AA$50000,"&lt;&gt;重复Bug")+COUNTIFS(缺陷明细!$A$2:$A$50000,$B$4,缺陷明细!$G$2:$G$50000,$C29,缺陷明细!$J$2:$J$50000,"运维测试",缺陷明细!$K$2:$K$50000,"严重",缺陷明细!$AA$2:$AA$50000,"&lt;&gt;丢弃",缺陷明细!$AA$2:$AA$50000,"&lt;&gt;设计如此",缺陷明细!$AA$2:$AA$50000,"&lt;&gt;重复Bug")</f>
        <v>0</v>
      </c>
      <c r="AB29" s="73">
        <f>COUNTIFS(缺陷明细!$A$2:$A$50000,$B$4,缺陷明细!$G$2:$G$50000,$C29,缺陷明细!$Q$2:$Q$50000,"已关闭",缺陷明细!$J$2:$J$50000,"运维测试",缺陷明细!$K$2:$K$50000,"致命")+COUNTIFS(缺陷明细!$A$2:$A$50000,$B$4,缺陷明细!$G$2:$G$50000,$C29,缺陷明细!$Q$2:$Q$50000,"已关闭",缺陷明细!$J$2:$J$50000,"运维测试",缺陷明细!$K$2:$K$50000,"严重")</f>
        <v>0</v>
      </c>
      <c r="AC29" s="68">
        <f t="shared" si="0"/>
        <v>0</v>
      </c>
      <c r="AD29" s="60">
        <f t="shared" si="0"/>
        <v>0</v>
      </c>
      <c r="AE29" s="60">
        <f t="shared" si="1"/>
        <v>0</v>
      </c>
      <c r="AF29" s="60">
        <f t="shared" si="1"/>
        <v>0</v>
      </c>
      <c r="AG29" s="60">
        <f t="shared" si="2"/>
        <v>0</v>
      </c>
      <c r="AH29" s="60">
        <f t="shared" si="2"/>
        <v>0</v>
      </c>
      <c r="AI29" s="60">
        <f t="shared" si="3"/>
        <v>0</v>
      </c>
      <c r="AJ29" s="61">
        <f t="shared" si="3"/>
        <v>0</v>
      </c>
      <c r="AK29" s="151"/>
    </row>
    <row r="30" spans="1:37">
      <c r="A30">
        <v>26</v>
      </c>
      <c r="B30" s="57"/>
      <c r="C30" s="58"/>
      <c r="D30" s="84"/>
      <c r="E30" s="82"/>
      <c r="F30" s="165"/>
      <c r="G30" s="166"/>
      <c r="H30" s="305">
        <f>COUNTIFS(缺陷明细!$A$2:$A$50000,$B$4,缺陷明细!$G$2:$G$50000,$C30,缺陷明细!$J$2:$J$50000,"评审",缺陷明细!$AA$2:$AA$50000,"&lt;&gt;丢弃",缺陷明细!$AA$2:$AA$50000,"&lt;&gt;设计如此",缺陷明细!$AA$2:$AA$50000,"&lt;&gt;重复Bug")</f>
        <v>0</v>
      </c>
      <c r="I30" s="161">
        <f>COUNTIFS(缺陷明细!$A$2:$A$50000,$B$4,缺陷明细!$G$2:$G$50000,$C30,缺陷明细!$Q$2:$Q$50000,"已关闭",缺陷明细!$J$2:$J$50000,"评审")</f>
        <v>0</v>
      </c>
      <c r="J30" s="161">
        <f>COUNTIFS(缺陷明细!$A$2:$A$50000,$B$4,缺陷明细!$G$2:$G$50000,$C30,缺陷明细!$J$2:$J$50000,"单元测试",缺陷明细!$AA$2:$AA$50000,"&lt;&gt;丢弃",缺陷明细!$AA$2:$AA$50000,"&lt;&gt;设计如此",缺陷明细!$AA$2:$AA$50000,"&lt;&gt;重复Bug")</f>
        <v>0</v>
      </c>
      <c r="K30" s="162">
        <f>COUNTIFS(缺陷明细!$A$2:$A$50000,$B$4,缺陷明细!$G$2:$G$50000,$C30,缺陷明细!$Q$2:$Q$50000,"已关闭",缺陷明细!$J$2:$J$50000,"单元测试")</f>
        <v>0</v>
      </c>
      <c r="L30" s="163"/>
      <c r="M30" s="164"/>
      <c r="N30" s="72">
        <f>COUNTIFS(缺陷明细!$A$2:$A$50000,$B$4,缺陷明细!$G$2:$G$50000,$C30,缺陷明细!$J$2:$J$50000,"系统测试案例评审",缺陷明细!$AA$2:$AA$50000,"&lt;&gt;丢弃",缺陷明细!$AA$2:$AA$50000,"&lt;&gt;设计如此",缺陷明细!$AA$2:$AA$50000,"&lt;&gt;重复Bug")</f>
        <v>0</v>
      </c>
      <c r="O30" s="72">
        <f>COUNTIFS(缺陷明细!$A$2:$A$50000,$B$4,缺陷明细!$G$2:$G$50000,$C30,缺陷明细!$Q$2:$Q$50000,"已关闭",缺陷明细!$J$2:$J$50000,"系统测试案例评审")</f>
        <v>0</v>
      </c>
      <c r="P30" s="72">
        <f>COUNTIFS(缺陷明细!$A$2:$A$50000,$B$4,缺陷明细!$G$2:$G$50000,$C30,缺陷明细!$J$2:$J$50000,"系统测试",缺陷明细!$AA$2:$AA$50000,"&lt;&gt;丢弃",缺陷明细!$AA$2:$AA$50000,"&lt;&gt;设计如此",缺陷明细!$AA$2:$AA$50000,"&lt;&gt;重复Bug")</f>
        <v>0</v>
      </c>
      <c r="Q30" s="72">
        <f>COUNTIFS(缺陷明细!$A$2:$A$50000,$B$4,缺陷明细!$G$2:$G$50000,$C30,缺陷明细!$Q$2:$Q$50000,"已关闭",缺陷明细!$J$2:$J$50000,"系统测试")</f>
        <v>0</v>
      </c>
      <c r="R30" s="72">
        <f>COUNTIFS(缺陷明细!$A$2:$A$50000,$B$4,缺陷明细!$G$2:$G$50000,$C30,缺陷明细!$AA$2:$AA$50000,"丢弃",缺陷明细!$J$2:$J$50000,"系统测试")+COUNTIFS(缺陷明细!$A$2:$A$50000,$B$4,缺陷明细!$G$2:$G$50000,$C30,缺陷明细!$AA$2:$AA$50000,"设计如此",缺陷明细!$J$2:$J$50000,"系统测试"+COUNTIFS(缺陷明细!$A$2:$A$50000,$B$4,缺陷明细!$G$2:$G$50000,$C30,缺陷明细!$AA$2:$AA$50000,"重复Bug",缺陷明细!$J$2:$J$50000,"系统测试"))</f>
        <v>0</v>
      </c>
      <c r="S30" s="72">
        <f>COUNTIFS(缺陷明细!$A$2:$A$50000,$B$4,缺陷明细!$G$2:$G$50000,$C30,缺陷明细!$J$2:$J$50000,"系统测试",缺陷明细!$K$2:$K$50000,"致命",缺陷明细!$AA$2:$AA$50000,"&lt;&gt;丢弃",缺陷明细!$AA$2:$AA$50000,"&lt;&gt;设计如此",缺陷明细!$AA$2:$AA$50000,"&lt;&gt;重复Bug")+COUNTIFS(缺陷明细!$A$2:$A$50000,$B$4,缺陷明细!$G$2:$G$50000,$C30,缺陷明细!$J$2:$J$50000,"系统测试",缺陷明细!$K$2:$K$50000,"严重",缺陷明细!$AA$2:$AA$50000,"&lt;&gt;丢弃",缺陷明细!$AA$2:$AA$50000,"&lt;&gt;设计如此",缺陷明细!$AA$2:$AA$50000,"&lt;&gt;重复Bug")</f>
        <v>0</v>
      </c>
      <c r="T30" s="73">
        <f>COUNTIFS(缺陷明细!$A$2:$A$50000,$B$4,缺陷明细!$G$2:$G$50000,$C30,缺陷明细!$Q$2:$Q$50000,"已关闭",缺陷明细!$J$2:$J$50000,"系统测试",缺陷明细!$K$2:$K$50000,"致命")+COUNTIFS(缺陷明细!$A$2:$A$50000,$B$4,缺陷明细!$G$2:$G$50000,$C30,缺陷明细!$Q$2:$Q$50000,"已关闭",缺陷明细!$J$2:$J$50000,"系统测试",缺陷明细!$K$2:$K$50000,"严重")</f>
        <v>0</v>
      </c>
      <c r="U30" s="74">
        <f>COUNTIFS(缺陷明细!$A$2:$A$50000,$B$4,缺陷明细!$G$2:$G$50000,$C30,缺陷明细!$J$2:$J$50000,"验收测试",缺陷明细!$AA$2:$AA$50000,"&lt;&gt;丢弃",缺陷明细!$AA$2:$AA$50000,"&lt;&gt;设计如此",缺陷明细!$AA$2:$AA$50000,"&lt;&gt;重复Bug")</f>
        <v>0</v>
      </c>
      <c r="V30" s="75">
        <f>COUNTIFS(缺陷明细!$A$2:$A$50000,$B$4,缺陷明细!$G$2:$G$50000,$C30,缺陷明细!$Q$2:$Q$50000,"已关闭",缺陷明细!$J$2:$J$50000,"验收测试")</f>
        <v>0</v>
      </c>
      <c r="W30" s="75">
        <f>COUNTIFS(缺陷明细!$A$2:$A$50000,$B$4,缺陷明细!$G$2:$G$50000,$C30,缺陷明细!$J$2:$J$50000,"验收测试",缺陷明细!$K$2:$K$50000,"致命",缺陷明细!$AA$2:$AA$50000,"&lt;&gt;丢弃",缺陷明细!$AA$2:$AA$50000,"&lt;&gt;设计如此",缺陷明细!$AA$2:$AA$50000,"&lt;&gt;重复Bug")+COUNTIFS(缺陷明细!$A$2:$A$50000,$B$4,缺陷明细!$G$2:$G$50000,$C30,缺陷明细!$J$2:$J$50000,"验收测试",缺陷明细!$K$2:$K$50000,"严重",缺陷明细!$AA$2:$AA$50000,"&lt;&gt;丢弃",缺陷明细!$AA$2:$AA$50000,"&lt;&gt;设计如此",缺陷明细!$AA$2:$AA$50000,"&lt;&gt;重复Bug")</f>
        <v>0</v>
      </c>
      <c r="X30" s="76">
        <f>COUNTIFS(缺陷明细!$A$2:$A$50000,$B$4,缺陷明细!$G$2:$G$50000,$C30,缺陷明细!$Q$2:$Q$50000,"已关闭",缺陷明细!$J$2:$J$50000,"验收测试",缺陷明细!$K$2:$K$50000,"致命")+COUNTIFS(缺陷明细!$A$2:$A$50000,$B$4,缺陷明细!$G$2:$G$50000,$C30,缺陷明细!$Q$2:$Q$50000,"已关闭",缺陷明细!$J$2:$J$50000,"验收测试",缺陷明细!$K$2:$K$50000,"严重")</f>
        <v>0</v>
      </c>
      <c r="Y30" s="70">
        <f>COUNTIFS(缺陷明细!$A$2:$A$50000,$B$4,缺陷明细!$G$2:$G$50000,$C30,缺陷明细!$J$2:$J$50000,"运维测试",缺陷明细!$AA$2:$AA$50000,"&lt;&gt;丢弃",缺陷明细!$AA$2:$AA$50000,"&lt;&gt;设计如此",缺陷明细!$AA$2:$AA$50000,"&lt;&gt;重复Bug")</f>
        <v>0</v>
      </c>
      <c r="Z30" s="71">
        <f>COUNTIFS(缺陷明细!$A$2:$A$50000,$B$4,缺陷明细!$G$2:$G$50000,$C30,缺陷明细!$Q$2:$Q$50000,"已关闭",缺陷明细!$J$2:$J$50000,"运维测试")</f>
        <v>0</v>
      </c>
      <c r="AA30" s="72">
        <f>COUNTIFS(缺陷明细!$A$2:$A$50000,$B$4,缺陷明细!$G$2:$G$50000,$C30,缺陷明细!$J$2:$J$50000,"运维测试",缺陷明细!$K$2:$K$50000,"致命",缺陷明细!$AA$2:$AA$50000,"&lt;&gt;丢弃",缺陷明细!$AA$2:$AA$50000,"&lt;&gt;设计如此",缺陷明细!$AA$2:$AA$50000,"&lt;&gt;重复Bug")+COUNTIFS(缺陷明细!$A$2:$A$50000,$B$4,缺陷明细!$G$2:$G$50000,$C30,缺陷明细!$J$2:$J$50000,"运维测试",缺陷明细!$K$2:$K$50000,"严重",缺陷明细!$AA$2:$AA$50000,"&lt;&gt;丢弃",缺陷明细!$AA$2:$AA$50000,"&lt;&gt;设计如此",缺陷明细!$AA$2:$AA$50000,"&lt;&gt;重复Bug")</f>
        <v>0</v>
      </c>
      <c r="AB30" s="73">
        <f>COUNTIFS(缺陷明细!$A$2:$A$50000,$B$4,缺陷明细!$G$2:$G$50000,$C30,缺陷明细!$Q$2:$Q$50000,"已关闭",缺陷明细!$J$2:$J$50000,"运维测试",缺陷明细!$K$2:$K$50000,"致命")+COUNTIFS(缺陷明细!$A$2:$A$50000,$B$4,缺陷明细!$G$2:$G$50000,$C30,缺陷明细!$Q$2:$Q$50000,"已关闭",缺陷明细!$J$2:$J$50000,"运维测试",缺陷明细!$K$2:$K$50000,"严重")</f>
        <v>0</v>
      </c>
      <c r="AC30" s="68">
        <f t="shared" si="0"/>
        <v>0</v>
      </c>
      <c r="AD30" s="60">
        <f t="shared" si="0"/>
        <v>0</v>
      </c>
      <c r="AE30" s="60">
        <f t="shared" si="1"/>
        <v>0</v>
      </c>
      <c r="AF30" s="60">
        <f t="shared" si="1"/>
        <v>0</v>
      </c>
      <c r="AG30" s="60">
        <f t="shared" si="2"/>
        <v>0</v>
      </c>
      <c r="AH30" s="60">
        <f t="shared" si="2"/>
        <v>0</v>
      </c>
      <c r="AI30" s="60">
        <f t="shared" si="3"/>
        <v>0</v>
      </c>
      <c r="AJ30" s="61">
        <f t="shared" si="3"/>
        <v>0</v>
      </c>
      <c r="AK30" s="151"/>
    </row>
    <row r="31" spans="1:37">
      <c r="A31">
        <v>27</v>
      </c>
      <c r="B31" s="57"/>
      <c r="C31" s="58"/>
      <c r="D31" s="84"/>
      <c r="E31" s="82"/>
      <c r="F31" s="165"/>
      <c r="G31" s="166"/>
      <c r="H31" s="305">
        <f>COUNTIFS(缺陷明细!$A$2:$A$50000,$B$4,缺陷明细!$G$2:$G$50000,$C31,缺陷明细!$J$2:$J$50000,"评审",缺陷明细!$AA$2:$AA$50000,"&lt;&gt;丢弃",缺陷明细!$AA$2:$AA$50000,"&lt;&gt;设计如此",缺陷明细!$AA$2:$AA$50000,"&lt;&gt;重复Bug")</f>
        <v>0</v>
      </c>
      <c r="I31" s="161">
        <f>COUNTIFS(缺陷明细!$A$2:$A$50000,$B$4,缺陷明细!$G$2:$G$50000,$C31,缺陷明细!$Q$2:$Q$50000,"已关闭",缺陷明细!$J$2:$J$50000,"评审")</f>
        <v>0</v>
      </c>
      <c r="J31" s="161">
        <f>COUNTIFS(缺陷明细!$A$2:$A$50000,$B$4,缺陷明细!$G$2:$G$50000,$C31,缺陷明细!$J$2:$J$50000,"单元测试",缺陷明细!$AA$2:$AA$50000,"&lt;&gt;丢弃",缺陷明细!$AA$2:$AA$50000,"&lt;&gt;设计如此",缺陷明细!$AA$2:$AA$50000,"&lt;&gt;重复Bug")</f>
        <v>0</v>
      </c>
      <c r="K31" s="162">
        <f>COUNTIFS(缺陷明细!$A$2:$A$50000,$B$4,缺陷明细!$G$2:$G$50000,$C31,缺陷明细!$Q$2:$Q$50000,"已关闭",缺陷明细!$J$2:$J$50000,"单元测试")</f>
        <v>0</v>
      </c>
      <c r="L31" s="163"/>
      <c r="M31" s="164"/>
      <c r="N31" s="72">
        <f>COUNTIFS(缺陷明细!$A$2:$A$50000,$B$4,缺陷明细!$G$2:$G$50000,$C31,缺陷明细!$J$2:$J$50000,"系统测试案例评审",缺陷明细!$AA$2:$AA$50000,"&lt;&gt;丢弃",缺陷明细!$AA$2:$AA$50000,"&lt;&gt;设计如此",缺陷明细!$AA$2:$AA$50000,"&lt;&gt;重复Bug")</f>
        <v>0</v>
      </c>
      <c r="O31" s="72">
        <f>COUNTIFS(缺陷明细!$A$2:$A$50000,$B$4,缺陷明细!$G$2:$G$50000,$C31,缺陷明细!$Q$2:$Q$50000,"已关闭",缺陷明细!$J$2:$J$50000,"系统测试案例评审")</f>
        <v>0</v>
      </c>
      <c r="P31" s="72">
        <f>COUNTIFS(缺陷明细!$A$2:$A$50000,$B$4,缺陷明细!$G$2:$G$50000,$C31,缺陷明细!$J$2:$J$50000,"系统测试",缺陷明细!$AA$2:$AA$50000,"&lt;&gt;丢弃",缺陷明细!$AA$2:$AA$50000,"&lt;&gt;设计如此",缺陷明细!$AA$2:$AA$50000,"&lt;&gt;重复Bug")</f>
        <v>0</v>
      </c>
      <c r="Q31" s="72">
        <f>COUNTIFS(缺陷明细!$A$2:$A$50000,$B$4,缺陷明细!$G$2:$G$50000,$C31,缺陷明细!$Q$2:$Q$50000,"已关闭",缺陷明细!$J$2:$J$50000,"系统测试")</f>
        <v>0</v>
      </c>
      <c r="R31" s="72">
        <f>COUNTIFS(缺陷明细!$A$2:$A$50000,$B$4,缺陷明细!$G$2:$G$50000,$C31,缺陷明细!$AA$2:$AA$50000,"丢弃",缺陷明细!$J$2:$J$50000,"系统测试")+COUNTIFS(缺陷明细!$A$2:$A$50000,$B$4,缺陷明细!$G$2:$G$50000,$C31,缺陷明细!$AA$2:$AA$50000,"设计如此",缺陷明细!$J$2:$J$50000,"系统测试"+COUNTIFS(缺陷明细!$A$2:$A$50000,$B$4,缺陷明细!$G$2:$G$50000,$C31,缺陷明细!$AA$2:$AA$50000,"重复Bug",缺陷明细!$J$2:$J$50000,"系统测试"))</f>
        <v>0</v>
      </c>
      <c r="S31" s="72">
        <f>COUNTIFS(缺陷明细!$A$2:$A$50000,$B$4,缺陷明细!$G$2:$G$50000,$C31,缺陷明细!$J$2:$J$50000,"系统测试",缺陷明细!$K$2:$K$50000,"致命",缺陷明细!$AA$2:$AA$50000,"&lt;&gt;丢弃",缺陷明细!$AA$2:$AA$50000,"&lt;&gt;设计如此",缺陷明细!$AA$2:$AA$50000,"&lt;&gt;重复Bug")+COUNTIFS(缺陷明细!$A$2:$A$50000,$B$4,缺陷明细!$G$2:$G$50000,$C31,缺陷明细!$J$2:$J$50000,"系统测试",缺陷明细!$K$2:$K$50000,"严重",缺陷明细!$AA$2:$AA$50000,"&lt;&gt;丢弃",缺陷明细!$AA$2:$AA$50000,"&lt;&gt;设计如此",缺陷明细!$AA$2:$AA$50000,"&lt;&gt;重复Bug")</f>
        <v>0</v>
      </c>
      <c r="T31" s="73">
        <f>COUNTIFS(缺陷明细!$A$2:$A$50000,$B$4,缺陷明细!$G$2:$G$50000,$C31,缺陷明细!$Q$2:$Q$50000,"已关闭",缺陷明细!$J$2:$J$50000,"系统测试",缺陷明细!$K$2:$K$50000,"致命")+COUNTIFS(缺陷明细!$A$2:$A$50000,$B$4,缺陷明细!$G$2:$G$50000,$C31,缺陷明细!$Q$2:$Q$50000,"已关闭",缺陷明细!$J$2:$J$50000,"系统测试",缺陷明细!$K$2:$K$50000,"严重")</f>
        <v>0</v>
      </c>
      <c r="U31" s="74">
        <f>COUNTIFS(缺陷明细!$A$2:$A$50000,$B$4,缺陷明细!$G$2:$G$50000,$C31,缺陷明细!$J$2:$J$50000,"验收测试",缺陷明细!$AA$2:$AA$50000,"&lt;&gt;丢弃",缺陷明细!$AA$2:$AA$50000,"&lt;&gt;设计如此",缺陷明细!$AA$2:$AA$50000,"&lt;&gt;重复Bug")</f>
        <v>0</v>
      </c>
      <c r="V31" s="75">
        <f>COUNTIFS(缺陷明细!$A$2:$A$50000,$B$4,缺陷明细!$G$2:$G$50000,$C31,缺陷明细!$Q$2:$Q$50000,"已关闭",缺陷明细!$J$2:$J$50000,"验收测试")</f>
        <v>0</v>
      </c>
      <c r="W31" s="75">
        <f>COUNTIFS(缺陷明细!$A$2:$A$50000,$B$4,缺陷明细!$G$2:$G$50000,$C31,缺陷明细!$J$2:$J$50000,"验收测试",缺陷明细!$K$2:$K$50000,"致命",缺陷明细!$AA$2:$AA$50000,"&lt;&gt;丢弃",缺陷明细!$AA$2:$AA$50000,"&lt;&gt;设计如此",缺陷明细!$AA$2:$AA$50000,"&lt;&gt;重复Bug")+COUNTIFS(缺陷明细!$A$2:$A$50000,$B$4,缺陷明细!$G$2:$G$50000,$C31,缺陷明细!$J$2:$J$50000,"验收测试",缺陷明细!$K$2:$K$50000,"严重",缺陷明细!$AA$2:$AA$50000,"&lt;&gt;丢弃",缺陷明细!$AA$2:$AA$50000,"&lt;&gt;设计如此",缺陷明细!$AA$2:$AA$50000,"&lt;&gt;重复Bug")</f>
        <v>0</v>
      </c>
      <c r="X31" s="76">
        <f>COUNTIFS(缺陷明细!$A$2:$A$50000,$B$4,缺陷明细!$G$2:$G$50000,$C31,缺陷明细!$Q$2:$Q$50000,"已关闭",缺陷明细!$J$2:$J$50000,"验收测试",缺陷明细!$K$2:$K$50000,"致命")+COUNTIFS(缺陷明细!$A$2:$A$50000,$B$4,缺陷明细!$G$2:$G$50000,$C31,缺陷明细!$Q$2:$Q$50000,"已关闭",缺陷明细!$J$2:$J$50000,"验收测试",缺陷明细!$K$2:$K$50000,"严重")</f>
        <v>0</v>
      </c>
      <c r="Y31" s="70">
        <f>COUNTIFS(缺陷明细!$A$2:$A$50000,$B$4,缺陷明细!$G$2:$G$50000,$C31,缺陷明细!$J$2:$J$50000,"运维测试",缺陷明细!$AA$2:$AA$50000,"&lt;&gt;丢弃",缺陷明细!$AA$2:$AA$50000,"&lt;&gt;设计如此",缺陷明细!$AA$2:$AA$50000,"&lt;&gt;重复Bug")</f>
        <v>0</v>
      </c>
      <c r="Z31" s="71">
        <f>COUNTIFS(缺陷明细!$A$2:$A$50000,$B$4,缺陷明细!$G$2:$G$50000,$C31,缺陷明细!$Q$2:$Q$50000,"已关闭",缺陷明细!$J$2:$J$50000,"运维测试")</f>
        <v>0</v>
      </c>
      <c r="AA31" s="72">
        <f>COUNTIFS(缺陷明细!$A$2:$A$50000,$B$4,缺陷明细!$G$2:$G$50000,$C31,缺陷明细!$J$2:$J$50000,"运维测试",缺陷明细!$K$2:$K$50000,"致命",缺陷明细!$AA$2:$AA$50000,"&lt;&gt;丢弃",缺陷明细!$AA$2:$AA$50000,"&lt;&gt;设计如此",缺陷明细!$AA$2:$AA$50000,"&lt;&gt;重复Bug")+COUNTIFS(缺陷明细!$A$2:$A$50000,$B$4,缺陷明细!$G$2:$G$50000,$C31,缺陷明细!$J$2:$J$50000,"运维测试",缺陷明细!$K$2:$K$50000,"严重",缺陷明细!$AA$2:$AA$50000,"&lt;&gt;丢弃",缺陷明细!$AA$2:$AA$50000,"&lt;&gt;设计如此",缺陷明细!$AA$2:$AA$50000,"&lt;&gt;重复Bug")</f>
        <v>0</v>
      </c>
      <c r="AB31" s="73">
        <f>COUNTIFS(缺陷明细!$A$2:$A$50000,$B$4,缺陷明细!$G$2:$G$50000,$C31,缺陷明细!$Q$2:$Q$50000,"已关闭",缺陷明细!$J$2:$J$50000,"运维测试",缺陷明细!$K$2:$K$50000,"致命")+COUNTIFS(缺陷明细!$A$2:$A$50000,$B$4,缺陷明细!$G$2:$G$50000,$C31,缺陷明细!$Q$2:$Q$50000,"已关闭",缺陷明细!$J$2:$J$50000,"运维测试",缺陷明细!$K$2:$K$50000,"严重")</f>
        <v>0</v>
      </c>
      <c r="AC31" s="68">
        <f t="shared" si="0"/>
        <v>0</v>
      </c>
      <c r="AD31" s="60">
        <f t="shared" si="0"/>
        <v>0</v>
      </c>
      <c r="AE31" s="60">
        <f t="shared" si="1"/>
        <v>0</v>
      </c>
      <c r="AF31" s="60">
        <f t="shared" si="1"/>
        <v>0</v>
      </c>
      <c r="AG31" s="60">
        <f t="shared" si="2"/>
        <v>0</v>
      </c>
      <c r="AH31" s="60">
        <f t="shared" si="2"/>
        <v>0</v>
      </c>
      <c r="AI31" s="60">
        <f t="shared" si="3"/>
        <v>0</v>
      </c>
      <c r="AJ31" s="61">
        <f t="shared" si="3"/>
        <v>0</v>
      </c>
      <c r="AK31" s="151"/>
    </row>
    <row r="32" spans="1:37">
      <c r="A32">
        <v>28</v>
      </c>
      <c r="B32" s="57"/>
      <c r="C32" s="58"/>
      <c r="D32" s="84"/>
      <c r="E32" s="82"/>
      <c r="F32" s="165"/>
      <c r="G32" s="166"/>
      <c r="H32" s="305">
        <f>COUNTIFS(缺陷明细!$A$2:$A$50000,$B$4,缺陷明细!$G$2:$G$50000,$C32,缺陷明细!$J$2:$J$50000,"评审",缺陷明细!$AA$2:$AA$50000,"&lt;&gt;丢弃",缺陷明细!$AA$2:$AA$50000,"&lt;&gt;设计如此",缺陷明细!$AA$2:$AA$50000,"&lt;&gt;重复Bug")</f>
        <v>0</v>
      </c>
      <c r="I32" s="161">
        <f>COUNTIFS(缺陷明细!$A$2:$A$50000,$B$4,缺陷明细!$G$2:$G$50000,$C32,缺陷明细!$Q$2:$Q$50000,"已关闭",缺陷明细!$J$2:$J$50000,"评审")</f>
        <v>0</v>
      </c>
      <c r="J32" s="161">
        <f>COUNTIFS(缺陷明细!$A$2:$A$50000,$B$4,缺陷明细!$G$2:$G$50000,$C32,缺陷明细!$J$2:$J$50000,"单元测试",缺陷明细!$AA$2:$AA$50000,"&lt;&gt;丢弃",缺陷明细!$AA$2:$AA$50000,"&lt;&gt;设计如此",缺陷明细!$AA$2:$AA$50000,"&lt;&gt;重复Bug")</f>
        <v>0</v>
      </c>
      <c r="K32" s="162">
        <f>COUNTIFS(缺陷明细!$A$2:$A$50000,$B$4,缺陷明细!$G$2:$G$50000,$C32,缺陷明细!$Q$2:$Q$50000,"已关闭",缺陷明细!$J$2:$J$50000,"单元测试")</f>
        <v>0</v>
      </c>
      <c r="L32" s="163"/>
      <c r="M32" s="164"/>
      <c r="N32" s="72">
        <f>COUNTIFS(缺陷明细!$A$2:$A$50000,$B$4,缺陷明细!$G$2:$G$50000,$C32,缺陷明细!$J$2:$J$50000,"系统测试案例评审",缺陷明细!$AA$2:$AA$50000,"&lt;&gt;丢弃",缺陷明细!$AA$2:$AA$50000,"&lt;&gt;设计如此",缺陷明细!$AA$2:$AA$50000,"&lt;&gt;重复Bug")</f>
        <v>0</v>
      </c>
      <c r="O32" s="72">
        <f>COUNTIFS(缺陷明细!$A$2:$A$50000,$B$4,缺陷明细!$G$2:$G$50000,$C32,缺陷明细!$Q$2:$Q$50000,"已关闭",缺陷明细!$J$2:$J$50000,"系统测试案例评审")</f>
        <v>0</v>
      </c>
      <c r="P32" s="72">
        <f>COUNTIFS(缺陷明细!$A$2:$A$50000,$B$4,缺陷明细!$G$2:$G$50000,$C32,缺陷明细!$J$2:$J$50000,"系统测试",缺陷明细!$AA$2:$AA$50000,"&lt;&gt;丢弃",缺陷明细!$AA$2:$AA$50000,"&lt;&gt;设计如此",缺陷明细!$AA$2:$AA$50000,"&lt;&gt;重复Bug")</f>
        <v>0</v>
      </c>
      <c r="Q32" s="72">
        <f>COUNTIFS(缺陷明细!$A$2:$A$50000,$B$4,缺陷明细!$G$2:$G$50000,$C32,缺陷明细!$Q$2:$Q$50000,"已关闭",缺陷明细!$J$2:$J$50000,"系统测试")</f>
        <v>0</v>
      </c>
      <c r="R32" s="72">
        <f>COUNTIFS(缺陷明细!$A$2:$A$50000,$B$4,缺陷明细!$G$2:$G$50000,$C32,缺陷明细!$AA$2:$AA$50000,"丢弃",缺陷明细!$J$2:$J$50000,"系统测试")+COUNTIFS(缺陷明细!$A$2:$A$50000,$B$4,缺陷明细!$G$2:$G$50000,$C32,缺陷明细!$AA$2:$AA$50000,"设计如此",缺陷明细!$J$2:$J$50000,"系统测试"+COUNTIFS(缺陷明细!$A$2:$A$50000,$B$4,缺陷明细!$G$2:$G$50000,$C32,缺陷明细!$AA$2:$AA$50000,"重复Bug",缺陷明细!$J$2:$J$50000,"系统测试"))</f>
        <v>0</v>
      </c>
      <c r="S32" s="72">
        <f>COUNTIFS(缺陷明细!$A$2:$A$50000,$B$4,缺陷明细!$G$2:$G$50000,$C32,缺陷明细!$J$2:$J$50000,"系统测试",缺陷明细!$K$2:$K$50000,"致命",缺陷明细!$AA$2:$AA$50000,"&lt;&gt;丢弃",缺陷明细!$AA$2:$AA$50000,"&lt;&gt;设计如此",缺陷明细!$AA$2:$AA$50000,"&lt;&gt;重复Bug")+COUNTIFS(缺陷明细!$A$2:$A$50000,$B$4,缺陷明细!$G$2:$G$50000,$C32,缺陷明细!$J$2:$J$50000,"系统测试",缺陷明细!$K$2:$K$50000,"严重",缺陷明细!$AA$2:$AA$50000,"&lt;&gt;丢弃",缺陷明细!$AA$2:$AA$50000,"&lt;&gt;设计如此",缺陷明细!$AA$2:$AA$50000,"&lt;&gt;重复Bug")</f>
        <v>0</v>
      </c>
      <c r="T32" s="73">
        <f>COUNTIFS(缺陷明细!$A$2:$A$50000,$B$4,缺陷明细!$G$2:$G$50000,$C32,缺陷明细!$Q$2:$Q$50000,"已关闭",缺陷明细!$J$2:$J$50000,"系统测试",缺陷明细!$K$2:$K$50000,"致命")+COUNTIFS(缺陷明细!$A$2:$A$50000,$B$4,缺陷明细!$G$2:$G$50000,$C32,缺陷明细!$Q$2:$Q$50000,"已关闭",缺陷明细!$J$2:$J$50000,"系统测试",缺陷明细!$K$2:$K$50000,"严重")</f>
        <v>0</v>
      </c>
      <c r="U32" s="74">
        <f>COUNTIFS(缺陷明细!$A$2:$A$50000,$B$4,缺陷明细!$G$2:$G$50000,$C32,缺陷明细!$J$2:$J$50000,"验收测试",缺陷明细!$AA$2:$AA$50000,"&lt;&gt;丢弃",缺陷明细!$AA$2:$AA$50000,"&lt;&gt;设计如此",缺陷明细!$AA$2:$AA$50000,"&lt;&gt;重复Bug")</f>
        <v>0</v>
      </c>
      <c r="V32" s="75">
        <f>COUNTIFS(缺陷明细!$A$2:$A$50000,$B$4,缺陷明细!$G$2:$G$50000,$C32,缺陷明细!$Q$2:$Q$50000,"已关闭",缺陷明细!$J$2:$J$50000,"验收测试")</f>
        <v>0</v>
      </c>
      <c r="W32" s="75">
        <f>COUNTIFS(缺陷明细!$A$2:$A$50000,$B$4,缺陷明细!$G$2:$G$50000,$C32,缺陷明细!$J$2:$J$50000,"验收测试",缺陷明细!$K$2:$K$50000,"致命",缺陷明细!$AA$2:$AA$50000,"&lt;&gt;丢弃",缺陷明细!$AA$2:$AA$50000,"&lt;&gt;设计如此",缺陷明细!$AA$2:$AA$50000,"&lt;&gt;重复Bug")+COUNTIFS(缺陷明细!$A$2:$A$50000,$B$4,缺陷明细!$G$2:$G$50000,$C32,缺陷明细!$J$2:$J$50000,"验收测试",缺陷明细!$K$2:$K$50000,"严重",缺陷明细!$AA$2:$AA$50000,"&lt;&gt;丢弃",缺陷明细!$AA$2:$AA$50000,"&lt;&gt;设计如此",缺陷明细!$AA$2:$AA$50000,"&lt;&gt;重复Bug")</f>
        <v>0</v>
      </c>
      <c r="X32" s="76">
        <f>COUNTIFS(缺陷明细!$A$2:$A$50000,$B$4,缺陷明细!$G$2:$G$50000,$C32,缺陷明细!$Q$2:$Q$50000,"已关闭",缺陷明细!$J$2:$J$50000,"验收测试",缺陷明细!$K$2:$K$50000,"致命")+COUNTIFS(缺陷明细!$A$2:$A$50000,$B$4,缺陷明细!$G$2:$G$50000,$C32,缺陷明细!$Q$2:$Q$50000,"已关闭",缺陷明细!$J$2:$J$50000,"验收测试",缺陷明细!$K$2:$K$50000,"严重")</f>
        <v>0</v>
      </c>
      <c r="Y32" s="70">
        <f>COUNTIFS(缺陷明细!$A$2:$A$50000,$B$4,缺陷明细!$G$2:$G$50000,$C32,缺陷明细!$J$2:$J$50000,"运维测试",缺陷明细!$AA$2:$AA$50000,"&lt;&gt;丢弃",缺陷明细!$AA$2:$AA$50000,"&lt;&gt;设计如此",缺陷明细!$AA$2:$AA$50000,"&lt;&gt;重复Bug")</f>
        <v>0</v>
      </c>
      <c r="Z32" s="71">
        <f>COUNTIFS(缺陷明细!$A$2:$A$50000,$B$4,缺陷明细!$G$2:$G$50000,$C32,缺陷明细!$Q$2:$Q$50000,"已关闭",缺陷明细!$J$2:$J$50000,"运维测试")</f>
        <v>0</v>
      </c>
      <c r="AA32" s="72">
        <f>COUNTIFS(缺陷明细!$A$2:$A$50000,$B$4,缺陷明细!$G$2:$G$50000,$C32,缺陷明细!$J$2:$J$50000,"运维测试",缺陷明细!$K$2:$K$50000,"致命",缺陷明细!$AA$2:$AA$50000,"&lt;&gt;丢弃",缺陷明细!$AA$2:$AA$50000,"&lt;&gt;设计如此",缺陷明细!$AA$2:$AA$50000,"&lt;&gt;重复Bug")+COUNTIFS(缺陷明细!$A$2:$A$50000,$B$4,缺陷明细!$G$2:$G$50000,$C32,缺陷明细!$J$2:$J$50000,"运维测试",缺陷明细!$K$2:$K$50000,"严重",缺陷明细!$AA$2:$AA$50000,"&lt;&gt;丢弃",缺陷明细!$AA$2:$AA$50000,"&lt;&gt;设计如此",缺陷明细!$AA$2:$AA$50000,"&lt;&gt;重复Bug")</f>
        <v>0</v>
      </c>
      <c r="AB32" s="73">
        <f>COUNTIFS(缺陷明细!$A$2:$A$50000,$B$4,缺陷明细!$G$2:$G$50000,$C32,缺陷明细!$Q$2:$Q$50000,"已关闭",缺陷明细!$J$2:$J$50000,"运维测试",缺陷明细!$K$2:$K$50000,"致命")+COUNTIFS(缺陷明细!$A$2:$A$50000,$B$4,缺陷明细!$G$2:$G$50000,$C32,缺陷明细!$Q$2:$Q$50000,"已关闭",缺陷明细!$J$2:$J$50000,"运维测试",缺陷明细!$K$2:$K$50000,"严重")</f>
        <v>0</v>
      </c>
      <c r="AC32" s="68">
        <f t="shared" si="0"/>
        <v>0</v>
      </c>
      <c r="AD32" s="60">
        <f t="shared" si="0"/>
        <v>0</v>
      </c>
      <c r="AE32" s="60">
        <f t="shared" si="1"/>
        <v>0</v>
      </c>
      <c r="AF32" s="60">
        <f t="shared" si="1"/>
        <v>0</v>
      </c>
      <c r="AG32" s="60">
        <f t="shared" si="2"/>
        <v>0</v>
      </c>
      <c r="AH32" s="60">
        <f t="shared" si="2"/>
        <v>0</v>
      </c>
      <c r="AI32" s="60">
        <f t="shared" si="3"/>
        <v>0</v>
      </c>
      <c r="AJ32" s="61">
        <f t="shared" si="3"/>
        <v>0</v>
      </c>
      <c r="AK32" s="151"/>
    </row>
    <row r="33" spans="1:37">
      <c r="A33">
        <v>29</v>
      </c>
      <c r="B33" s="57"/>
      <c r="C33" s="58"/>
      <c r="D33" s="84"/>
      <c r="E33" s="82"/>
      <c r="F33" s="165"/>
      <c r="G33" s="166"/>
      <c r="H33" s="305">
        <f>COUNTIFS(缺陷明细!$A$2:$A$50000,$B$4,缺陷明细!$G$2:$G$50000,$C33,缺陷明细!$J$2:$J$50000,"评审",缺陷明细!$AA$2:$AA$50000,"&lt;&gt;丢弃",缺陷明细!$AA$2:$AA$50000,"&lt;&gt;设计如此",缺陷明细!$AA$2:$AA$50000,"&lt;&gt;重复Bug")</f>
        <v>0</v>
      </c>
      <c r="I33" s="161">
        <f>COUNTIFS(缺陷明细!$A$2:$A$50000,$B$4,缺陷明细!$G$2:$G$50000,$C33,缺陷明细!$Q$2:$Q$50000,"已关闭",缺陷明细!$J$2:$J$50000,"评审")</f>
        <v>0</v>
      </c>
      <c r="J33" s="161">
        <f>COUNTIFS(缺陷明细!$A$2:$A$50000,$B$4,缺陷明细!$G$2:$G$50000,$C33,缺陷明细!$J$2:$J$50000,"单元测试",缺陷明细!$AA$2:$AA$50000,"&lt;&gt;丢弃",缺陷明细!$AA$2:$AA$50000,"&lt;&gt;设计如此",缺陷明细!$AA$2:$AA$50000,"&lt;&gt;重复Bug")</f>
        <v>0</v>
      </c>
      <c r="K33" s="162">
        <f>COUNTIFS(缺陷明细!$A$2:$A$50000,$B$4,缺陷明细!$G$2:$G$50000,$C33,缺陷明细!$Q$2:$Q$50000,"已关闭",缺陷明细!$J$2:$J$50000,"单元测试")</f>
        <v>0</v>
      </c>
      <c r="L33" s="163"/>
      <c r="M33" s="164"/>
      <c r="N33" s="72">
        <f>COUNTIFS(缺陷明细!$A$2:$A$50000,$B$4,缺陷明细!$G$2:$G$50000,$C33,缺陷明细!$J$2:$J$50000,"系统测试案例评审",缺陷明细!$AA$2:$AA$50000,"&lt;&gt;丢弃",缺陷明细!$AA$2:$AA$50000,"&lt;&gt;设计如此",缺陷明细!$AA$2:$AA$50000,"&lt;&gt;重复Bug")</f>
        <v>0</v>
      </c>
      <c r="O33" s="72">
        <f>COUNTIFS(缺陷明细!$A$2:$A$50000,$B$4,缺陷明细!$G$2:$G$50000,$C33,缺陷明细!$Q$2:$Q$50000,"已关闭",缺陷明细!$J$2:$J$50000,"系统测试案例评审")</f>
        <v>0</v>
      </c>
      <c r="P33" s="72">
        <f>COUNTIFS(缺陷明细!$A$2:$A$50000,$B$4,缺陷明细!$G$2:$G$50000,$C33,缺陷明细!$J$2:$J$50000,"系统测试",缺陷明细!$AA$2:$AA$50000,"&lt;&gt;丢弃",缺陷明细!$AA$2:$AA$50000,"&lt;&gt;设计如此",缺陷明细!$AA$2:$AA$50000,"&lt;&gt;重复Bug")</f>
        <v>0</v>
      </c>
      <c r="Q33" s="72">
        <f>COUNTIFS(缺陷明细!$A$2:$A$50000,$B$4,缺陷明细!$G$2:$G$50000,$C33,缺陷明细!$Q$2:$Q$50000,"已关闭",缺陷明细!$J$2:$J$50000,"系统测试")</f>
        <v>0</v>
      </c>
      <c r="R33" s="72">
        <f>COUNTIFS(缺陷明细!$A$2:$A$50000,$B$4,缺陷明细!$G$2:$G$50000,$C33,缺陷明细!$AA$2:$AA$50000,"丢弃",缺陷明细!$J$2:$J$50000,"系统测试")+COUNTIFS(缺陷明细!$A$2:$A$50000,$B$4,缺陷明细!$G$2:$G$50000,$C33,缺陷明细!$AA$2:$AA$50000,"设计如此",缺陷明细!$J$2:$J$50000,"系统测试"+COUNTIFS(缺陷明细!$A$2:$A$50000,$B$4,缺陷明细!$G$2:$G$50000,$C33,缺陷明细!$AA$2:$AA$50000,"重复Bug",缺陷明细!$J$2:$J$50000,"系统测试"))</f>
        <v>0</v>
      </c>
      <c r="S33" s="72">
        <f>COUNTIFS(缺陷明细!$A$2:$A$50000,$B$4,缺陷明细!$G$2:$G$50000,$C33,缺陷明细!$J$2:$J$50000,"系统测试",缺陷明细!$K$2:$K$50000,"致命",缺陷明细!$AA$2:$AA$50000,"&lt;&gt;丢弃",缺陷明细!$AA$2:$AA$50000,"&lt;&gt;设计如此",缺陷明细!$AA$2:$AA$50000,"&lt;&gt;重复Bug")+COUNTIFS(缺陷明细!$A$2:$A$50000,$B$4,缺陷明细!$G$2:$G$50000,$C33,缺陷明细!$J$2:$J$50000,"系统测试",缺陷明细!$K$2:$K$50000,"严重",缺陷明细!$AA$2:$AA$50000,"&lt;&gt;丢弃",缺陷明细!$AA$2:$AA$50000,"&lt;&gt;设计如此",缺陷明细!$AA$2:$AA$50000,"&lt;&gt;重复Bug")</f>
        <v>0</v>
      </c>
      <c r="T33" s="73">
        <f>COUNTIFS(缺陷明细!$A$2:$A$50000,$B$4,缺陷明细!$G$2:$G$50000,$C33,缺陷明细!$Q$2:$Q$50000,"已关闭",缺陷明细!$J$2:$J$50000,"系统测试",缺陷明细!$K$2:$K$50000,"致命")+COUNTIFS(缺陷明细!$A$2:$A$50000,$B$4,缺陷明细!$G$2:$G$50000,$C33,缺陷明细!$Q$2:$Q$50000,"已关闭",缺陷明细!$J$2:$J$50000,"系统测试",缺陷明细!$K$2:$K$50000,"严重")</f>
        <v>0</v>
      </c>
      <c r="U33" s="74">
        <f>COUNTIFS(缺陷明细!$A$2:$A$50000,$B$4,缺陷明细!$G$2:$G$50000,$C33,缺陷明细!$J$2:$J$50000,"验收测试",缺陷明细!$AA$2:$AA$50000,"&lt;&gt;丢弃",缺陷明细!$AA$2:$AA$50000,"&lt;&gt;设计如此",缺陷明细!$AA$2:$AA$50000,"&lt;&gt;重复Bug")</f>
        <v>0</v>
      </c>
      <c r="V33" s="75">
        <f>COUNTIFS(缺陷明细!$A$2:$A$50000,$B$4,缺陷明细!$G$2:$G$50000,$C33,缺陷明细!$Q$2:$Q$50000,"已关闭",缺陷明细!$J$2:$J$50000,"验收测试")</f>
        <v>0</v>
      </c>
      <c r="W33" s="75">
        <f>COUNTIFS(缺陷明细!$A$2:$A$50000,$B$4,缺陷明细!$G$2:$G$50000,$C33,缺陷明细!$J$2:$J$50000,"验收测试",缺陷明细!$K$2:$K$50000,"致命",缺陷明细!$AA$2:$AA$50000,"&lt;&gt;丢弃",缺陷明细!$AA$2:$AA$50000,"&lt;&gt;设计如此",缺陷明细!$AA$2:$AA$50000,"&lt;&gt;重复Bug")+COUNTIFS(缺陷明细!$A$2:$A$50000,$B$4,缺陷明细!$G$2:$G$50000,$C33,缺陷明细!$J$2:$J$50000,"验收测试",缺陷明细!$K$2:$K$50000,"严重",缺陷明细!$AA$2:$AA$50000,"&lt;&gt;丢弃",缺陷明细!$AA$2:$AA$50000,"&lt;&gt;设计如此",缺陷明细!$AA$2:$AA$50000,"&lt;&gt;重复Bug")</f>
        <v>0</v>
      </c>
      <c r="X33" s="76">
        <f>COUNTIFS(缺陷明细!$A$2:$A$50000,$B$4,缺陷明细!$G$2:$G$50000,$C33,缺陷明细!$Q$2:$Q$50000,"已关闭",缺陷明细!$J$2:$J$50000,"验收测试",缺陷明细!$K$2:$K$50000,"致命")+COUNTIFS(缺陷明细!$A$2:$A$50000,$B$4,缺陷明细!$G$2:$G$50000,$C33,缺陷明细!$Q$2:$Q$50000,"已关闭",缺陷明细!$J$2:$J$50000,"验收测试",缺陷明细!$K$2:$K$50000,"严重")</f>
        <v>0</v>
      </c>
      <c r="Y33" s="70">
        <f>COUNTIFS(缺陷明细!$A$2:$A$50000,$B$4,缺陷明细!$G$2:$G$50000,$C33,缺陷明细!$J$2:$J$50000,"运维测试",缺陷明细!$AA$2:$AA$50000,"&lt;&gt;丢弃",缺陷明细!$AA$2:$AA$50000,"&lt;&gt;设计如此",缺陷明细!$AA$2:$AA$50000,"&lt;&gt;重复Bug")</f>
        <v>0</v>
      </c>
      <c r="Z33" s="71">
        <f>COUNTIFS(缺陷明细!$A$2:$A$50000,$B$4,缺陷明细!$G$2:$G$50000,$C33,缺陷明细!$Q$2:$Q$50000,"已关闭",缺陷明细!$J$2:$J$50000,"运维测试")</f>
        <v>0</v>
      </c>
      <c r="AA33" s="72">
        <f>COUNTIFS(缺陷明细!$A$2:$A$50000,$B$4,缺陷明细!$G$2:$G$50000,$C33,缺陷明细!$J$2:$J$50000,"运维测试",缺陷明细!$K$2:$K$50000,"致命",缺陷明细!$AA$2:$AA$50000,"&lt;&gt;丢弃",缺陷明细!$AA$2:$AA$50000,"&lt;&gt;设计如此",缺陷明细!$AA$2:$AA$50000,"&lt;&gt;重复Bug")+COUNTIFS(缺陷明细!$A$2:$A$50000,$B$4,缺陷明细!$G$2:$G$50000,$C33,缺陷明细!$J$2:$J$50000,"运维测试",缺陷明细!$K$2:$K$50000,"严重",缺陷明细!$AA$2:$AA$50000,"&lt;&gt;丢弃",缺陷明细!$AA$2:$AA$50000,"&lt;&gt;设计如此",缺陷明细!$AA$2:$AA$50000,"&lt;&gt;重复Bug")</f>
        <v>0</v>
      </c>
      <c r="AB33" s="73">
        <f>COUNTIFS(缺陷明细!$A$2:$A$50000,$B$4,缺陷明细!$G$2:$G$50000,$C33,缺陷明细!$Q$2:$Q$50000,"已关闭",缺陷明细!$J$2:$J$50000,"运维测试",缺陷明细!$K$2:$K$50000,"致命")+COUNTIFS(缺陷明细!$A$2:$A$50000,$B$4,缺陷明细!$G$2:$G$50000,$C33,缺陷明细!$Q$2:$Q$50000,"已关闭",缺陷明细!$J$2:$J$50000,"运维测试",缺陷明细!$K$2:$K$50000,"严重")</f>
        <v>0</v>
      </c>
      <c r="AC33" s="68">
        <f t="shared" si="0"/>
        <v>0</v>
      </c>
      <c r="AD33" s="60">
        <f t="shared" si="0"/>
        <v>0</v>
      </c>
      <c r="AE33" s="60">
        <f t="shared" si="1"/>
        <v>0</v>
      </c>
      <c r="AF33" s="60">
        <f t="shared" si="1"/>
        <v>0</v>
      </c>
      <c r="AG33" s="60">
        <f t="shared" si="2"/>
        <v>0</v>
      </c>
      <c r="AH33" s="60">
        <f t="shared" si="2"/>
        <v>0</v>
      </c>
      <c r="AI33" s="60">
        <f t="shared" si="3"/>
        <v>0</v>
      </c>
      <c r="AJ33" s="61">
        <f t="shared" si="3"/>
        <v>0</v>
      </c>
      <c r="AK33" s="151"/>
    </row>
    <row r="34" spans="1:37">
      <c r="A34">
        <v>30</v>
      </c>
      <c r="B34" s="57"/>
      <c r="C34" s="58"/>
      <c r="D34" s="84"/>
      <c r="E34" s="82"/>
      <c r="F34" s="165"/>
      <c r="G34" s="166"/>
      <c r="H34" s="305">
        <f>COUNTIFS(缺陷明细!$A$2:$A$50000,$B$4,缺陷明细!$G$2:$G$50000,$C34,缺陷明细!$J$2:$J$50000,"评审",缺陷明细!$AA$2:$AA$50000,"&lt;&gt;丢弃",缺陷明细!$AA$2:$AA$50000,"&lt;&gt;设计如此",缺陷明细!$AA$2:$AA$50000,"&lt;&gt;重复Bug")</f>
        <v>0</v>
      </c>
      <c r="I34" s="161">
        <f>COUNTIFS(缺陷明细!$A$2:$A$50000,$B$4,缺陷明细!$G$2:$G$50000,$C34,缺陷明细!$Q$2:$Q$50000,"已关闭",缺陷明细!$J$2:$J$50000,"评审")</f>
        <v>0</v>
      </c>
      <c r="J34" s="161">
        <f>COUNTIFS(缺陷明细!$A$2:$A$50000,$B$4,缺陷明细!$G$2:$G$50000,$C34,缺陷明细!$J$2:$J$50000,"单元测试",缺陷明细!$AA$2:$AA$50000,"&lt;&gt;丢弃",缺陷明细!$AA$2:$AA$50000,"&lt;&gt;设计如此",缺陷明细!$AA$2:$AA$50000,"&lt;&gt;重复Bug")</f>
        <v>0</v>
      </c>
      <c r="K34" s="162">
        <f>COUNTIFS(缺陷明细!$A$2:$A$50000,$B$4,缺陷明细!$G$2:$G$50000,$C34,缺陷明细!$Q$2:$Q$50000,"已关闭",缺陷明细!$J$2:$J$50000,"单元测试")</f>
        <v>0</v>
      </c>
      <c r="L34" s="163"/>
      <c r="M34" s="164"/>
      <c r="N34" s="72">
        <f>COUNTIFS(缺陷明细!$A$2:$A$50000,$B$4,缺陷明细!$G$2:$G$50000,$C34,缺陷明细!$J$2:$J$50000,"系统测试案例评审",缺陷明细!$AA$2:$AA$50000,"&lt;&gt;丢弃",缺陷明细!$AA$2:$AA$50000,"&lt;&gt;设计如此",缺陷明细!$AA$2:$AA$50000,"&lt;&gt;重复Bug")</f>
        <v>0</v>
      </c>
      <c r="O34" s="72">
        <f>COUNTIFS(缺陷明细!$A$2:$A$50000,$B$4,缺陷明细!$G$2:$G$50000,$C34,缺陷明细!$Q$2:$Q$50000,"已关闭",缺陷明细!$J$2:$J$50000,"系统测试案例评审")</f>
        <v>0</v>
      </c>
      <c r="P34" s="72">
        <f>COUNTIFS(缺陷明细!$A$2:$A$50000,$B$4,缺陷明细!$G$2:$G$50000,$C34,缺陷明细!$J$2:$J$50000,"系统测试",缺陷明细!$AA$2:$AA$50000,"&lt;&gt;丢弃",缺陷明细!$AA$2:$AA$50000,"&lt;&gt;设计如此",缺陷明细!$AA$2:$AA$50000,"&lt;&gt;重复Bug")</f>
        <v>0</v>
      </c>
      <c r="Q34" s="72">
        <f>COUNTIFS(缺陷明细!$A$2:$A$50000,$B$4,缺陷明细!$G$2:$G$50000,$C34,缺陷明细!$Q$2:$Q$50000,"已关闭",缺陷明细!$J$2:$J$50000,"系统测试")</f>
        <v>0</v>
      </c>
      <c r="R34" s="72">
        <f>COUNTIFS(缺陷明细!$A$2:$A$50000,$B$4,缺陷明细!$G$2:$G$50000,$C34,缺陷明细!$AA$2:$AA$50000,"丢弃",缺陷明细!$J$2:$J$50000,"系统测试")+COUNTIFS(缺陷明细!$A$2:$A$50000,$B$4,缺陷明细!$G$2:$G$50000,$C34,缺陷明细!$AA$2:$AA$50000,"设计如此",缺陷明细!$J$2:$J$50000,"系统测试"+COUNTIFS(缺陷明细!$A$2:$A$50000,$B$4,缺陷明细!$G$2:$G$50000,$C34,缺陷明细!$AA$2:$AA$50000,"重复Bug",缺陷明细!$J$2:$J$50000,"系统测试"))</f>
        <v>0</v>
      </c>
      <c r="S34" s="72">
        <f>COUNTIFS(缺陷明细!$A$2:$A$50000,$B$4,缺陷明细!$G$2:$G$50000,$C34,缺陷明细!$J$2:$J$50000,"系统测试",缺陷明细!$K$2:$K$50000,"致命",缺陷明细!$AA$2:$AA$50000,"&lt;&gt;丢弃",缺陷明细!$AA$2:$AA$50000,"&lt;&gt;设计如此",缺陷明细!$AA$2:$AA$50000,"&lt;&gt;重复Bug")+COUNTIFS(缺陷明细!$A$2:$A$50000,$B$4,缺陷明细!$G$2:$G$50000,$C34,缺陷明细!$J$2:$J$50000,"系统测试",缺陷明细!$K$2:$K$50000,"严重",缺陷明细!$AA$2:$AA$50000,"&lt;&gt;丢弃",缺陷明细!$AA$2:$AA$50000,"&lt;&gt;设计如此",缺陷明细!$AA$2:$AA$50000,"&lt;&gt;重复Bug")</f>
        <v>0</v>
      </c>
      <c r="T34" s="73">
        <f>COUNTIFS(缺陷明细!$A$2:$A$50000,$B$4,缺陷明细!$G$2:$G$50000,$C34,缺陷明细!$Q$2:$Q$50000,"已关闭",缺陷明细!$J$2:$J$50000,"系统测试",缺陷明细!$K$2:$K$50000,"致命")+COUNTIFS(缺陷明细!$A$2:$A$50000,$B$4,缺陷明细!$G$2:$G$50000,$C34,缺陷明细!$Q$2:$Q$50000,"已关闭",缺陷明细!$J$2:$J$50000,"系统测试",缺陷明细!$K$2:$K$50000,"严重")</f>
        <v>0</v>
      </c>
      <c r="U34" s="74">
        <f>COUNTIFS(缺陷明细!$A$2:$A$50000,$B$4,缺陷明细!$G$2:$G$50000,$C34,缺陷明细!$J$2:$J$50000,"验收测试",缺陷明细!$AA$2:$AA$50000,"&lt;&gt;丢弃",缺陷明细!$AA$2:$AA$50000,"&lt;&gt;设计如此",缺陷明细!$AA$2:$AA$50000,"&lt;&gt;重复Bug")</f>
        <v>0</v>
      </c>
      <c r="V34" s="75">
        <f>COUNTIFS(缺陷明细!$A$2:$A$50000,$B$4,缺陷明细!$G$2:$G$50000,$C34,缺陷明细!$Q$2:$Q$50000,"已关闭",缺陷明细!$J$2:$J$50000,"验收测试")</f>
        <v>0</v>
      </c>
      <c r="W34" s="75">
        <f>COUNTIFS(缺陷明细!$A$2:$A$50000,$B$4,缺陷明细!$G$2:$G$50000,$C34,缺陷明细!$J$2:$J$50000,"验收测试",缺陷明细!$K$2:$K$50000,"致命",缺陷明细!$AA$2:$AA$50000,"&lt;&gt;丢弃",缺陷明细!$AA$2:$AA$50000,"&lt;&gt;设计如此",缺陷明细!$AA$2:$AA$50000,"&lt;&gt;重复Bug")+COUNTIFS(缺陷明细!$A$2:$A$50000,$B$4,缺陷明细!$G$2:$G$50000,$C34,缺陷明细!$J$2:$J$50000,"验收测试",缺陷明细!$K$2:$K$50000,"严重",缺陷明细!$AA$2:$AA$50000,"&lt;&gt;丢弃",缺陷明细!$AA$2:$AA$50000,"&lt;&gt;设计如此",缺陷明细!$AA$2:$AA$50000,"&lt;&gt;重复Bug")</f>
        <v>0</v>
      </c>
      <c r="X34" s="76">
        <f>COUNTIFS(缺陷明细!$A$2:$A$50000,$B$4,缺陷明细!$G$2:$G$50000,$C34,缺陷明细!$Q$2:$Q$50000,"已关闭",缺陷明细!$J$2:$J$50000,"验收测试",缺陷明细!$K$2:$K$50000,"致命")+COUNTIFS(缺陷明细!$A$2:$A$50000,$B$4,缺陷明细!$G$2:$G$50000,$C34,缺陷明细!$Q$2:$Q$50000,"已关闭",缺陷明细!$J$2:$J$50000,"验收测试",缺陷明细!$K$2:$K$50000,"严重")</f>
        <v>0</v>
      </c>
      <c r="Y34" s="70">
        <f>COUNTIFS(缺陷明细!$A$2:$A$50000,$B$4,缺陷明细!$G$2:$G$50000,$C34,缺陷明细!$J$2:$J$50000,"运维测试",缺陷明细!$AA$2:$AA$50000,"&lt;&gt;丢弃",缺陷明细!$AA$2:$AA$50000,"&lt;&gt;设计如此",缺陷明细!$AA$2:$AA$50000,"&lt;&gt;重复Bug")</f>
        <v>0</v>
      </c>
      <c r="Z34" s="71">
        <f>COUNTIFS(缺陷明细!$A$2:$A$50000,$B$4,缺陷明细!$G$2:$G$50000,$C34,缺陷明细!$Q$2:$Q$50000,"已关闭",缺陷明细!$J$2:$J$50000,"运维测试")</f>
        <v>0</v>
      </c>
      <c r="AA34" s="72">
        <f>COUNTIFS(缺陷明细!$A$2:$A$50000,$B$4,缺陷明细!$G$2:$G$50000,$C34,缺陷明细!$J$2:$J$50000,"运维测试",缺陷明细!$K$2:$K$50000,"致命",缺陷明细!$AA$2:$AA$50000,"&lt;&gt;丢弃",缺陷明细!$AA$2:$AA$50000,"&lt;&gt;设计如此",缺陷明细!$AA$2:$AA$50000,"&lt;&gt;重复Bug")+COUNTIFS(缺陷明细!$A$2:$A$50000,$B$4,缺陷明细!$G$2:$G$50000,$C34,缺陷明细!$J$2:$J$50000,"运维测试",缺陷明细!$K$2:$K$50000,"严重",缺陷明细!$AA$2:$AA$50000,"&lt;&gt;丢弃",缺陷明细!$AA$2:$AA$50000,"&lt;&gt;设计如此",缺陷明细!$AA$2:$AA$50000,"&lt;&gt;重复Bug")</f>
        <v>0</v>
      </c>
      <c r="AB34" s="73">
        <f>COUNTIFS(缺陷明细!$A$2:$A$50000,$B$4,缺陷明细!$G$2:$G$50000,$C34,缺陷明细!$Q$2:$Q$50000,"已关闭",缺陷明细!$J$2:$J$50000,"运维测试",缺陷明细!$K$2:$K$50000,"致命")+COUNTIFS(缺陷明细!$A$2:$A$50000,$B$4,缺陷明细!$G$2:$G$50000,$C34,缺陷明细!$Q$2:$Q$50000,"已关闭",缺陷明细!$J$2:$J$50000,"运维测试",缺陷明细!$K$2:$K$50000,"严重")</f>
        <v>0</v>
      </c>
      <c r="AC34" s="68">
        <f t="shared" si="0"/>
        <v>0</v>
      </c>
      <c r="AD34" s="60">
        <f t="shared" si="0"/>
        <v>0</v>
      </c>
      <c r="AE34" s="60">
        <f t="shared" si="1"/>
        <v>0</v>
      </c>
      <c r="AF34" s="60">
        <f t="shared" si="1"/>
        <v>0</v>
      </c>
      <c r="AG34" s="60">
        <f t="shared" si="2"/>
        <v>0</v>
      </c>
      <c r="AH34" s="60">
        <f t="shared" si="2"/>
        <v>0</v>
      </c>
      <c r="AI34" s="60">
        <f t="shared" si="3"/>
        <v>0</v>
      </c>
      <c r="AJ34" s="61">
        <f t="shared" si="3"/>
        <v>0</v>
      </c>
      <c r="AK34" s="151"/>
    </row>
    <row r="35" spans="1:37">
      <c r="A35">
        <v>31</v>
      </c>
      <c r="B35" s="57"/>
      <c r="C35" s="58"/>
      <c r="D35" s="84"/>
      <c r="E35" s="82"/>
      <c r="F35" s="165"/>
      <c r="G35" s="166"/>
      <c r="H35" s="305">
        <f>COUNTIFS(缺陷明细!$A$2:$A$50000,$B$4,缺陷明细!$G$2:$G$50000,$C35,缺陷明细!$J$2:$J$50000,"评审",缺陷明细!$AA$2:$AA$50000,"&lt;&gt;丢弃",缺陷明细!$AA$2:$AA$50000,"&lt;&gt;设计如此",缺陷明细!$AA$2:$AA$50000,"&lt;&gt;重复Bug")</f>
        <v>0</v>
      </c>
      <c r="I35" s="161">
        <f>COUNTIFS(缺陷明细!$A$2:$A$50000,$B$4,缺陷明细!$G$2:$G$50000,$C35,缺陷明细!$Q$2:$Q$50000,"已关闭",缺陷明细!$J$2:$J$50000,"评审")</f>
        <v>0</v>
      </c>
      <c r="J35" s="161">
        <f>COUNTIFS(缺陷明细!$A$2:$A$50000,$B$4,缺陷明细!$G$2:$G$50000,$C35,缺陷明细!$J$2:$J$50000,"单元测试",缺陷明细!$AA$2:$AA$50000,"&lt;&gt;丢弃",缺陷明细!$AA$2:$AA$50000,"&lt;&gt;设计如此",缺陷明细!$AA$2:$AA$50000,"&lt;&gt;重复Bug")</f>
        <v>0</v>
      </c>
      <c r="K35" s="162">
        <f>COUNTIFS(缺陷明细!$A$2:$A$50000,$B$4,缺陷明细!$G$2:$G$50000,$C35,缺陷明细!$Q$2:$Q$50000,"已关闭",缺陷明细!$J$2:$J$50000,"单元测试")</f>
        <v>0</v>
      </c>
      <c r="L35" s="163"/>
      <c r="M35" s="164"/>
      <c r="N35" s="72">
        <f>COUNTIFS(缺陷明细!$A$2:$A$50000,$B$4,缺陷明细!$G$2:$G$50000,$C35,缺陷明细!$J$2:$J$50000,"系统测试案例评审",缺陷明细!$AA$2:$AA$50000,"&lt;&gt;丢弃",缺陷明细!$AA$2:$AA$50000,"&lt;&gt;设计如此",缺陷明细!$AA$2:$AA$50000,"&lt;&gt;重复Bug")</f>
        <v>0</v>
      </c>
      <c r="O35" s="72">
        <f>COUNTIFS(缺陷明细!$A$2:$A$50000,$B$4,缺陷明细!$G$2:$G$50000,$C35,缺陷明细!$Q$2:$Q$50000,"已关闭",缺陷明细!$J$2:$J$50000,"系统测试案例评审")</f>
        <v>0</v>
      </c>
      <c r="P35" s="72">
        <f>COUNTIFS(缺陷明细!$A$2:$A$50000,$B$4,缺陷明细!$G$2:$G$50000,$C35,缺陷明细!$J$2:$J$50000,"系统测试",缺陷明细!$AA$2:$AA$50000,"&lt;&gt;丢弃",缺陷明细!$AA$2:$AA$50000,"&lt;&gt;设计如此",缺陷明细!$AA$2:$AA$50000,"&lt;&gt;重复Bug")</f>
        <v>0</v>
      </c>
      <c r="Q35" s="72">
        <f>COUNTIFS(缺陷明细!$A$2:$A$50000,$B$4,缺陷明细!$G$2:$G$50000,$C35,缺陷明细!$Q$2:$Q$50000,"已关闭",缺陷明细!$J$2:$J$50000,"系统测试")</f>
        <v>0</v>
      </c>
      <c r="R35" s="72">
        <f>COUNTIFS(缺陷明细!$A$2:$A$50000,$B$4,缺陷明细!$G$2:$G$50000,$C35,缺陷明细!$AA$2:$AA$50000,"丢弃",缺陷明细!$J$2:$J$50000,"系统测试")+COUNTIFS(缺陷明细!$A$2:$A$50000,$B$4,缺陷明细!$G$2:$G$50000,$C35,缺陷明细!$AA$2:$AA$50000,"设计如此",缺陷明细!$J$2:$J$50000,"系统测试"+COUNTIFS(缺陷明细!$A$2:$A$50000,$B$4,缺陷明细!$G$2:$G$50000,$C35,缺陷明细!$AA$2:$AA$50000,"重复Bug",缺陷明细!$J$2:$J$50000,"系统测试"))</f>
        <v>0</v>
      </c>
      <c r="S35" s="72">
        <f>COUNTIFS(缺陷明细!$A$2:$A$50000,$B$4,缺陷明细!$G$2:$G$50000,$C35,缺陷明细!$J$2:$J$50000,"系统测试",缺陷明细!$K$2:$K$50000,"致命",缺陷明细!$AA$2:$AA$50000,"&lt;&gt;丢弃",缺陷明细!$AA$2:$AA$50000,"&lt;&gt;设计如此",缺陷明细!$AA$2:$AA$50000,"&lt;&gt;重复Bug")+COUNTIFS(缺陷明细!$A$2:$A$50000,$B$4,缺陷明细!$G$2:$G$50000,$C35,缺陷明细!$J$2:$J$50000,"系统测试",缺陷明细!$K$2:$K$50000,"严重",缺陷明细!$AA$2:$AA$50000,"&lt;&gt;丢弃",缺陷明细!$AA$2:$AA$50000,"&lt;&gt;设计如此",缺陷明细!$AA$2:$AA$50000,"&lt;&gt;重复Bug")</f>
        <v>0</v>
      </c>
      <c r="T35" s="73">
        <f>COUNTIFS(缺陷明细!$A$2:$A$50000,$B$4,缺陷明细!$G$2:$G$50000,$C35,缺陷明细!$Q$2:$Q$50000,"已关闭",缺陷明细!$J$2:$J$50000,"系统测试",缺陷明细!$K$2:$K$50000,"致命")+COUNTIFS(缺陷明细!$A$2:$A$50000,$B$4,缺陷明细!$G$2:$G$50000,$C35,缺陷明细!$Q$2:$Q$50000,"已关闭",缺陷明细!$J$2:$J$50000,"系统测试",缺陷明细!$K$2:$K$50000,"严重")</f>
        <v>0</v>
      </c>
      <c r="U35" s="74">
        <f>COUNTIFS(缺陷明细!$A$2:$A$50000,$B$4,缺陷明细!$G$2:$G$50000,$C35,缺陷明细!$J$2:$J$50000,"验收测试",缺陷明细!$AA$2:$AA$50000,"&lt;&gt;丢弃",缺陷明细!$AA$2:$AA$50000,"&lt;&gt;设计如此",缺陷明细!$AA$2:$AA$50000,"&lt;&gt;重复Bug")</f>
        <v>0</v>
      </c>
      <c r="V35" s="75">
        <f>COUNTIFS(缺陷明细!$A$2:$A$50000,$B$4,缺陷明细!$G$2:$G$50000,$C35,缺陷明细!$Q$2:$Q$50000,"已关闭",缺陷明细!$J$2:$J$50000,"验收测试")</f>
        <v>0</v>
      </c>
      <c r="W35" s="75">
        <f>COUNTIFS(缺陷明细!$A$2:$A$50000,$B$4,缺陷明细!$G$2:$G$50000,$C35,缺陷明细!$J$2:$J$50000,"验收测试",缺陷明细!$K$2:$K$50000,"致命",缺陷明细!$AA$2:$AA$50000,"&lt;&gt;丢弃",缺陷明细!$AA$2:$AA$50000,"&lt;&gt;设计如此",缺陷明细!$AA$2:$AA$50000,"&lt;&gt;重复Bug")+COUNTIFS(缺陷明细!$A$2:$A$50000,$B$4,缺陷明细!$G$2:$G$50000,$C35,缺陷明细!$J$2:$J$50000,"验收测试",缺陷明细!$K$2:$K$50000,"严重",缺陷明细!$AA$2:$AA$50000,"&lt;&gt;丢弃",缺陷明细!$AA$2:$AA$50000,"&lt;&gt;设计如此",缺陷明细!$AA$2:$AA$50000,"&lt;&gt;重复Bug")</f>
        <v>0</v>
      </c>
      <c r="X35" s="76">
        <f>COUNTIFS(缺陷明细!$A$2:$A$50000,$B$4,缺陷明细!$G$2:$G$50000,$C35,缺陷明细!$Q$2:$Q$50000,"已关闭",缺陷明细!$J$2:$J$50000,"验收测试",缺陷明细!$K$2:$K$50000,"致命")+COUNTIFS(缺陷明细!$A$2:$A$50000,$B$4,缺陷明细!$G$2:$G$50000,$C35,缺陷明细!$Q$2:$Q$50000,"已关闭",缺陷明细!$J$2:$J$50000,"验收测试",缺陷明细!$K$2:$K$50000,"严重")</f>
        <v>0</v>
      </c>
      <c r="Y35" s="70">
        <f>COUNTIFS(缺陷明细!$A$2:$A$50000,$B$4,缺陷明细!$G$2:$G$50000,$C35,缺陷明细!$J$2:$J$50000,"运维测试",缺陷明细!$AA$2:$AA$50000,"&lt;&gt;丢弃",缺陷明细!$AA$2:$AA$50000,"&lt;&gt;设计如此",缺陷明细!$AA$2:$AA$50000,"&lt;&gt;重复Bug")</f>
        <v>0</v>
      </c>
      <c r="Z35" s="71">
        <f>COUNTIFS(缺陷明细!$A$2:$A$50000,$B$4,缺陷明细!$G$2:$G$50000,$C35,缺陷明细!$Q$2:$Q$50000,"已关闭",缺陷明细!$J$2:$J$50000,"运维测试")</f>
        <v>0</v>
      </c>
      <c r="AA35" s="72">
        <f>COUNTIFS(缺陷明细!$A$2:$A$50000,$B$4,缺陷明细!$G$2:$G$50000,$C35,缺陷明细!$J$2:$J$50000,"运维测试",缺陷明细!$K$2:$K$50000,"致命",缺陷明细!$AA$2:$AA$50000,"&lt;&gt;丢弃",缺陷明细!$AA$2:$AA$50000,"&lt;&gt;设计如此",缺陷明细!$AA$2:$AA$50000,"&lt;&gt;重复Bug")+COUNTIFS(缺陷明细!$A$2:$A$50000,$B$4,缺陷明细!$G$2:$G$50000,$C35,缺陷明细!$J$2:$J$50000,"运维测试",缺陷明细!$K$2:$K$50000,"严重",缺陷明细!$AA$2:$AA$50000,"&lt;&gt;丢弃",缺陷明细!$AA$2:$AA$50000,"&lt;&gt;设计如此",缺陷明细!$AA$2:$AA$50000,"&lt;&gt;重复Bug")</f>
        <v>0</v>
      </c>
      <c r="AB35" s="73">
        <f>COUNTIFS(缺陷明细!$A$2:$A$50000,$B$4,缺陷明细!$G$2:$G$50000,$C35,缺陷明细!$Q$2:$Q$50000,"已关闭",缺陷明细!$J$2:$J$50000,"运维测试",缺陷明细!$K$2:$K$50000,"致命")+COUNTIFS(缺陷明细!$A$2:$A$50000,$B$4,缺陷明细!$G$2:$G$50000,$C35,缺陷明细!$Q$2:$Q$50000,"已关闭",缺陷明细!$J$2:$J$50000,"运维测试",缺陷明细!$K$2:$K$50000,"严重")</f>
        <v>0</v>
      </c>
      <c r="AC35" s="68">
        <f t="shared" si="0"/>
        <v>0</v>
      </c>
      <c r="AD35" s="60">
        <f t="shared" si="0"/>
        <v>0</v>
      </c>
      <c r="AE35" s="60">
        <f t="shared" si="1"/>
        <v>0</v>
      </c>
      <c r="AF35" s="60">
        <f t="shared" si="1"/>
        <v>0</v>
      </c>
      <c r="AG35" s="60">
        <f t="shared" si="2"/>
        <v>0</v>
      </c>
      <c r="AH35" s="60">
        <f t="shared" si="2"/>
        <v>0</v>
      </c>
      <c r="AI35" s="60">
        <f t="shared" si="3"/>
        <v>0</v>
      </c>
      <c r="AJ35" s="61">
        <f t="shared" si="3"/>
        <v>0</v>
      </c>
      <c r="AK35" s="151"/>
    </row>
    <row r="36" spans="1:37">
      <c r="A36">
        <v>32</v>
      </c>
      <c r="B36" s="57"/>
      <c r="C36" s="58"/>
      <c r="D36" s="84"/>
      <c r="E36" s="82"/>
      <c r="F36" s="165"/>
      <c r="G36" s="166"/>
      <c r="H36" s="305">
        <f>COUNTIFS(缺陷明细!$A$2:$A$50000,$B$4,缺陷明细!$G$2:$G$50000,$C36,缺陷明细!$J$2:$J$50000,"评审",缺陷明细!$AA$2:$AA$50000,"&lt;&gt;丢弃",缺陷明细!$AA$2:$AA$50000,"&lt;&gt;设计如此",缺陷明细!$AA$2:$AA$50000,"&lt;&gt;重复Bug")</f>
        <v>0</v>
      </c>
      <c r="I36" s="161">
        <f>COUNTIFS(缺陷明细!$A$2:$A$50000,$B$4,缺陷明细!$G$2:$G$50000,$C36,缺陷明细!$Q$2:$Q$50000,"已关闭",缺陷明细!$J$2:$J$50000,"评审")</f>
        <v>0</v>
      </c>
      <c r="J36" s="161">
        <f>COUNTIFS(缺陷明细!$A$2:$A$50000,$B$4,缺陷明细!$G$2:$G$50000,$C36,缺陷明细!$J$2:$J$50000,"单元测试",缺陷明细!$AA$2:$AA$50000,"&lt;&gt;丢弃",缺陷明细!$AA$2:$AA$50000,"&lt;&gt;设计如此",缺陷明细!$AA$2:$AA$50000,"&lt;&gt;重复Bug")</f>
        <v>0</v>
      </c>
      <c r="K36" s="162">
        <f>COUNTIFS(缺陷明细!$A$2:$A$50000,$B$4,缺陷明细!$G$2:$G$50000,$C36,缺陷明细!$Q$2:$Q$50000,"已关闭",缺陷明细!$J$2:$J$50000,"单元测试")</f>
        <v>0</v>
      </c>
      <c r="L36" s="163"/>
      <c r="M36" s="164"/>
      <c r="N36" s="72">
        <f>COUNTIFS(缺陷明细!$A$2:$A$50000,$B$4,缺陷明细!$G$2:$G$50000,$C36,缺陷明细!$J$2:$J$50000,"系统测试案例评审",缺陷明细!$AA$2:$AA$50000,"&lt;&gt;丢弃",缺陷明细!$AA$2:$AA$50000,"&lt;&gt;设计如此",缺陷明细!$AA$2:$AA$50000,"&lt;&gt;重复Bug")</f>
        <v>0</v>
      </c>
      <c r="O36" s="72">
        <f>COUNTIFS(缺陷明细!$A$2:$A$50000,$B$4,缺陷明细!$G$2:$G$50000,$C36,缺陷明细!$Q$2:$Q$50000,"已关闭",缺陷明细!$J$2:$J$50000,"系统测试案例评审")</f>
        <v>0</v>
      </c>
      <c r="P36" s="72">
        <f>COUNTIFS(缺陷明细!$A$2:$A$50000,$B$4,缺陷明细!$G$2:$G$50000,$C36,缺陷明细!$J$2:$J$50000,"系统测试",缺陷明细!$AA$2:$AA$50000,"&lt;&gt;丢弃",缺陷明细!$AA$2:$AA$50000,"&lt;&gt;设计如此",缺陷明细!$AA$2:$AA$50000,"&lt;&gt;重复Bug")</f>
        <v>0</v>
      </c>
      <c r="Q36" s="72">
        <f>COUNTIFS(缺陷明细!$A$2:$A$50000,$B$4,缺陷明细!$G$2:$G$50000,$C36,缺陷明细!$Q$2:$Q$50000,"已关闭",缺陷明细!$J$2:$J$50000,"系统测试")</f>
        <v>0</v>
      </c>
      <c r="R36" s="72">
        <f>COUNTIFS(缺陷明细!$A$2:$A$50000,$B$4,缺陷明细!$G$2:$G$50000,$C36,缺陷明细!$AA$2:$AA$50000,"丢弃",缺陷明细!$J$2:$J$50000,"系统测试")+COUNTIFS(缺陷明细!$A$2:$A$50000,$B$4,缺陷明细!$G$2:$G$50000,$C36,缺陷明细!$AA$2:$AA$50000,"设计如此",缺陷明细!$J$2:$J$50000,"系统测试"+COUNTIFS(缺陷明细!$A$2:$A$50000,$B$4,缺陷明细!$G$2:$G$50000,$C36,缺陷明细!$AA$2:$AA$50000,"重复Bug",缺陷明细!$J$2:$J$50000,"系统测试"))</f>
        <v>0</v>
      </c>
      <c r="S36" s="72">
        <f>COUNTIFS(缺陷明细!$A$2:$A$50000,$B$4,缺陷明细!$G$2:$G$50000,$C36,缺陷明细!$J$2:$J$50000,"系统测试",缺陷明细!$K$2:$K$50000,"致命",缺陷明细!$AA$2:$AA$50000,"&lt;&gt;丢弃",缺陷明细!$AA$2:$AA$50000,"&lt;&gt;设计如此",缺陷明细!$AA$2:$AA$50000,"&lt;&gt;重复Bug")+COUNTIFS(缺陷明细!$A$2:$A$50000,$B$4,缺陷明细!$G$2:$G$50000,$C36,缺陷明细!$J$2:$J$50000,"系统测试",缺陷明细!$K$2:$K$50000,"严重",缺陷明细!$AA$2:$AA$50000,"&lt;&gt;丢弃",缺陷明细!$AA$2:$AA$50000,"&lt;&gt;设计如此",缺陷明细!$AA$2:$AA$50000,"&lt;&gt;重复Bug")</f>
        <v>0</v>
      </c>
      <c r="T36" s="73">
        <f>COUNTIFS(缺陷明细!$A$2:$A$50000,$B$4,缺陷明细!$G$2:$G$50000,$C36,缺陷明细!$Q$2:$Q$50000,"已关闭",缺陷明细!$J$2:$J$50000,"系统测试",缺陷明细!$K$2:$K$50000,"致命")+COUNTIFS(缺陷明细!$A$2:$A$50000,$B$4,缺陷明细!$G$2:$G$50000,$C36,缺陷明细!$Q$2:$Q$50000,"已关闭",缺陷明细!$J$2:$J$50000,"系统测试",缺陷明细!$K$2:$K$50000,"严重")</f>
        <v>0</v>
      </c>
      <c r="U36" s="74">
        <f>COUNTIFS(缺陷明细!$A$2:$A$50000,$B$4,缺陷明细!$G$2:$G$50000,$C36,缺陷明细!$J$2:$J$50000,"验收测试",缺陷明细!$AA$2:$AA$50000,"&lt;&gt;丢弃",缺陷明细!$AA$2:$AA$50000,"&lt;&gt;设计如此",缺陷明细!$AA$2:$AA$50000,"&lt;&gt;重复Bug")</f>
        <v>0</v>
      </c>
      <c r="V36" s="75">
        <f>COUNTIFS(缺陷明细!$A$2:$A$50000,$B$4,缺陷明细!$G$2:$G$50000,$C36,缺陷明细!$Q$2:$Q$50000,"已关闭",缺陷明细!$J$2:$J$50000,"验收测试")</f>
        <v>0</v>
      </c>
      <c r="W36" s="75">
        <f>COUNTIFS(缺陷明细!$A$2:$A$50000,$B$4,缺陷明细!$G$2:$G$50000,$C36,缺陷明细!$J$2:$J$50000,"验收测试",缺陷明细!$K$2:$K$50000,"致命",缺陷明细!$AA$2:$AA$50000,"&lt;&gt;丢弃",缺陷明细!$AA$2:$AA$50000,"&lt;&gt;设计如此",缺陷明细!$AA$2:$AA$50000,"&lt;&gt;重复Bug")+COUNTIFS(缺陷明细!$A$2:$A$50000,$B$4,缺陷明细!$G$2:$G$50000,$C36,缺陷明细!$J$2:$J$50000,"验收测试",缺陷明细!$K$2:$K$50000,"严重",缺陷明细!$AA$2:$AA$50000,"&lt;&gt;丢弃",缺陷明细!$AA$2:$AA$50000,"&lt;&gt;设计如此",缺陷明细!$AA$2:$AA$50000,"&lt;&gt;重复Bug")</f>
        <v>0</v>
      </c>
      <c r="X36" s="76">
        <f>COUNTIFS(缺陷明细!$A$2:$A$50000,$B$4,缺陷明细!$G$2:$G$50000,$C36,缺陷明细!$Q$2:$Q$50000,"已关闭",缺陷明细!$J$2:$J$50000,"验收测试",缺陷明细!$K$2:$K$50000,"致命")+COUNTIFS(缺陷明细!$A$2:$A$50000,$B$4,缺陷明细!$G$2:$G$50000,$C36,缺陷明细!$Q$2:$Q$50000,"已关闭",缺陷明细!$J$2:$J$50000,"验收测试",缺陷明细!$K$2:$K$50000,"严重")</f>
        <v>0</v>
      </c>
      <c r="Y36" s="70">
        <f>COUNTIFS(缺陷明细!$A$2:$A$50000,$B$4,缺陷明细!$G$2:$G$50000,$C36,缺陷明细!$J$2:$J$50000,"运维测试",缺陷明细!$AA$2:$AA$50000,"&lt;&gt;丢弃",缺陷明细!$AA$2:$AA$50000,"&lt;&gt;设计如此",缺陷明细!$AA$2:$AA$50000,"&lt;&gt;重复Bug")</f>
        <v>0</v>
      </c>
      <c r="Z36" s="71">
        <f>COUNTIFS(缺陷明细!$A$2:$A$50000,$B$4,缺陷明细!$G$2:$G$50000,$C36,缺陷明细!$Q$2:$Q$50000,"已关闭",缺陷明细!$J$2:$J$50000,"运维测试")</f>
        <v>0</v>
      </c>
      <c r="AA36" s="72">
        <f>COUNTIFS(缺陷明细!$A$2:$A$50000,$B$4,缺陷明细!$G$2:$G$50000,$C36,缺陷明细!$J$2:$J$50000,"运维测试",缺陷明细!$K$2:$K$50000,"致命",缺陷明细!$AA$2:$AA$50000,"&lt;&gt;丢弃",缺陷明细!$AA$2:$AA$50000,"&lt;&gt;设计如此",缺陷明细!$AA$2:$AA$50000,"&lt;&gt;重复Bug")+COUNTIFS(缺陷明细!$A$2:$A$50000,$B$4,缺陷明细!$G$2:$G$50000,$C36,缺陷明细!$J$2:$J$50000,"运维测试",缺陷明细!$K$2:$K$50000,"严重",缺陷明细!$AA$2:$AA$50000,"&lt;&gt;丢弃",缺陷明细!$AA$2:$AA$50000,"&lt;&gt;设计如此",缺陷明细!$AA$2:$AA$50000,"&lt;&gt;重复Bug")</f>
        <v>0</v>
      </c>
      <c r="AB36" s="73">
        <f>COUNTIFS(缺陷明细!$A$2:$A$50000,$B$4,缺陷明细!$G$2:$G$50000,$C36,缺陷明细!$Q$2:$Q$50000,"已关闭",缺陷明细!$J$2:$J$50000,"运维测试",缺陷明细!$K$2:$K$50000,"致命")+COUNTIFS(缺陷明细!$A$2:$A$50000,$B$4,缺陷明细!$G$2:$G$50000,$C36,缺陷明细!$Q$2:$Q$50000,"已关闭",缺陷明细!$J$2:$J$50000,"运维测试",缺陷明细!$K$2:$K$50000,"严重")</f>
        <v>0</v>
      </c>
      <c r="AC36" s="68">
        <f t="shared" si="0"/>
        <v>0</v>
      </c>
      <c r="AD36" s="60">
        <f t="shared" si="0"/>
        <v>0</v>
      </c>
      <c r="AE36" s="60">
        <f t="shared" si="1"/>
        <v>0</v>
      </c>
      <c r="AF36" s="60">
        <f t="shared" si="1"/>
        <v>0</v>
      </c>
      <c r="AG36" s="60">
        <f t="shared" si="2"/>
        <v>0</v>
      </c>
      <c r="AH36" s="60">
        <f t="shared" si="2"/>
        <v>0</v>
      </c>
      <c r="AI36" s="60">
        <f t="shared" si="3"/>
        <v>0</v>
      </c>
      <c r="AJ36" s="61">
        <f t="shared" si="3"/>
        <v>0</v>
      </c>
      <c r="AK36" s="151"/>
    </row>
    <row r="37" spans="1:37">
      <c r="A37">
        <v>33</v>
      </c>
      <c r="B37" s="57"/>
      <c r="C37" s="58"/>
      <c r="D37" s="84"/>
      <c r="E37" s="82"/>
      <c r="F37" s="165"/>
      <c r="G37" s="166"/>
      <c r="H37" s="305">
        <f>COUNTIFS(缺陷明细!$A$2:$A$50000,$B$4,缺陷明细!$G$2:$G$50000,$C37,缺陷明细!$J$2:$J$50000,"评审",缺陷明细!$AA$2:$AA$50000,"&lt;&gt;丢弃",缺陷明细!$AA$2:$AA$50000,"&lt;&gt;设计如此",缺陷明细!$AA$2:$AA$50000,"&lt;&gt;重复Bug")</f>
        <v>0</v>
      </c>
      <c r="I37" s="161">
        <f>COUNTIFS(缺陷明细!$A$2:$A$50000,$B$4,缺陷明细!$G$2:$G$50000,$C37,缺陷明细!$Q$2:$Q$50000,"已关闭",缺陷明细!$J$2:$J$50000,"评审")</f>
        <v>0</v>
      </c>
      <c r="J37" s="161">
        <f>COUNTIFS(缺陷明细!$A$2:$A$50000,$B$4,缺陷明细!$G$2:$G$50000,$C37,缺陷明细!$J$2:$J$50000,"单元测试",缺陷明细!$AA$2:$AA$50000,"&lt;&gt;丢弃",缺陷明细!$AA$2:$AA$50000,"&lt;&gt;设计如此",缺陷明细!$AA$2:$AA$50000,"&lt;&gt;重复Bug")</f>
        <v>0</v>
      </c>
      <c r="K37" s="162">
        <f>COUNTIFS(缺陷明细!$A$2:$A$50000,$B$4,缺陷明细!$G$2:$G$50000,$C37,缺陷明细!$Q$2:$Q$50000,"已关闭",缺陷明细!$J$2:$J$50000,"单元测试")</f>
        <v>0</v>
      </c>
      <c r="L37" s="163"/>
      <c r="M37" s="164"/>
      <c r="N37" s="72">
        <f>COUNTIFS(缺陷明细!$A$2:$A$50000,$B$4,缺陷明细!$G$2:$G$50000,$C37,缺陷明细!$J$2:$J$50000,"系统测试案例评审",缺陷明细!$AA$2:$AA$50000,"&lt;&gt;丢弃",缺陷明细!$AA$2:$AA$50000,"&lt;&gt;设计如此",缺陷明细!$AA$2:$AA$50000,"&lt;&gt;重复Bug")</f>
        <v>0</v>
      </c>
      <c r="O37" s="72">
        <f>COUNTIFS(缺陷明细!$A$2:$A$50000,$B$4,缺陷明细!$G$2:$G$50000,$C37,缺陷明细!$Q$2:$Q$50000,"已关闭",缺陷明细!$J$2:$J$50000,"系统测试案例评审")</f>
        <v>0</v>
      </c>
      <c r="P37" s="72">
        <f>COUNTIFS(缺陷明细!$A$2:$A$50000,$B$4,缺陷明细!$G$2:$G$50000,$C37,缺陷明细!$J$2:$J$50000,"系统测试",缺陷明细!$AA$2:$AA$50000,"&lt;&gt;丢弃",缺陷明细!$AA$2:$AA$50000,"&lt;&gt;设计如此",缺陷明细!$AA$2:$AA$50000,"&lt;&gt;重复Bug")</f>
        <v>0</v>
      </c>
      <c r="Q37" s="72">
        <f>COUNTIFS(缺陷明细!$A$2:$A$50000,$B$4,缺陷明细!$G$2:$G$50000,$C37,缺陷明细!$Q$2:$Q$50000,"已关闭",缺陷明细!$J$2:$J$50000,"系统测试")</f>
        <v>0</v>
      </c>
      <c r="R37" s="72">
        <f>COUNTIFS(缺陷明细!$A$2:$A$50000,$B$4,缺陷明细!$G$2:$G$50000,$C37,缺陷明细!$AA$2:$AA$50000,"丢弃",缺陷明细!$J$2:$J$50000,"系统测试")+COUNTIFS(缺陷明细!$A$2:$A$50000,$B$4,缺陷明细!$G$2:$G$50000,$C37,缺陷明细!$AA$2:$AA$50000,"设计如此",缺陷明细!$J$2:$J$50000,"系统测试"+COUNTIFS(缺陷明细!$A$2:$A$50000,$B$4,缺陷明细!$G$2:$G$50000,$C37,缺陷明细!$AA$2:$AA$50000,"重复Bug",缺陷明细!$J$2:$J$50000,"系统测试"))</f>
        <v>0</v>
      </c>
      <c r="S37" s="72">
        <f>COUNTIFS(缺陷明细!$A$2:$A$50000,$B$4,缺陷明细!$G$2:$G$50000,$C37,缺陷明细!$J$2:$J$50000,"系统测试",缺陷明细!$K$2:$K$50000,"致命",缺陷明细!$AA$2:$AA$50000,"&lt;&gt;丢弃",缺陷明细!$AA$2:$AA$50000,"&lt;&gt;设计如此",缺陷明细!$AA$2:$AA$50000,"&lt;&gt;重复Bug")+COUNTIFS(缺陷明细!$A$2:$A$50000,$B$4,缺陷明细!$G$2:$G$50000,$C37,缺陷明细!$J$2:$J$50000,"系统测试",缺陷明细!$K$2:$K$50000,"严重",缺陷明细!$AA$2:$AA$50000,"&lt;&gt;丢弃",缺陷明细!$AA$2:$AA$50000,"&lt;&gt;设计如此",缺陷明细!$AA$2:$AA$50000,"&lt;&gt;重复Bug")</f>
        <v>0</v>
      </c>
      <c r="T37" s="73">
        <f>COUNTIFS(缺陷明细!$A$2:$A$50000,$B$4,缺陷明细!$G$2:$G$50000,$C37,缺陷明细!$Q$2:$Q$50000,"已关闭",缺陷明细!$J$2:$J$50000,"系统测试",缺陷明细!$K$2:$K$50000,"致命")+COUNTIFS(缺陷明细!$A$2:$A$50000,$B$4,缺陷明细!$G$2:$G$50000,$C37,缺陷明细!$Q$2:$Q$50000,"已关闭",缺陷明细!$J$2:$J$50000,"系统测试",缺陷明细!$K$2:$K$50000,"严重")</f>
        <v>0</v>
      </c>
      <c r="U37" s="74">
        <f>COUNTIFS(缺陷明细!$A$2:$A$50000,$B$4,缺陷明细!$G$2:$G$50000,$C37,缺陷明细!$J$2:$J$50000,"验收测试",缺陷明细!$AA$2:$AA$50000,"&lt;&gt;丢弃",缺陷明细!$AA$2:$AA$50000,"&lt;&gt;设计如此",缺陷明细!$AA$2:$AA$50000,"&lt;&gt;重复Bug")</f>
        <v>0</v>
      </c>
      <c r="V37" s="75">
        <f>COUNTIFS(缺陷明细!$A$2:$A$50000,$B$4,缺陷明细!$G$2:$G$50000,$C37,缺陷明细!$Q$2:$Q$50000,"已关闭",缺陷明细!$J$2:$J$50000,"验收测试")</f>
        <v>0</v>
      </c>
      <c r="W37" s="75">
        <f>COUNTIFS(缺陷明细!$A$2:$A$50000,$B$4,缺陷明细!$G$2:$G$50000,$C37,缺陷明细!$J$2:$J$50000,"验收测试",缺陷明细!$K$2:$K$50000,"致命",缺陷明细!$AA$2:$AA$50000,"&lt;&gt;丢弃",缺陷明细!$AA$2:$AA$50000,"&lt;&gt;设计如此",缺陷明细!$AA$2:$AA$50000,"&lt;&gt;重复Bug")+COUNTIFS(缺陷明细!$A$2:$A$50000,$B$4,缺陷明细!$G$2:$G$50000,$C37,缺陷明细!$J$2:$J$50000,"验收测试",缺陷明细!$K$2:$K$50000,"严重",缺陷明细!$AA$2:$AA$50000,"&lt;&gt;丢弃",缺陷明细!$AA$2:$AA$50000,"&lt;&gt;设计如此",缺陷明细!$AA$2:$AA$50000,"&lt;&gt;重复Bug")</f>
        <v>0</v>
      </c>
      <c r="X37" s="76">
        <f>COUNTIFS(缺陷明细!$A$2:$A$50000,$B$4,缺陷明细!$G$2:$G$50000,$C37,缺陷明细!$Q$2:$Q$50000,"已关闭",缺陷明细!$J$2:$J$50000,"验收测试",缺陷明细!$K$2:$K$50000,"致命")+COUNTIFS(缺陷明细!$A$2:$A$50000,$B$4,缺陷明细!$G$2:$G$50000,$C37,缺陷明细!$Q$2:$Q$50000,"已关闭",缺陷明细!$J$2:$J$50000,"验收测试",缺陷明细!$K$2:$K$50000,"严重")</f>
        <v>0</v>
      </c>
      <c r="Y37" s="70">
        <f>COUNTIFS(缺陷明细!$A$2:$A$50000,$B$4,缺陷明细!$G$2:$G$50000,$C37,缺陷明细!$J$2:$J$50000,"运维测试",缺陷明细!$AA$2:$AA$50000,"&lt;&gt;丢弃",缺陷明细!$AA$2:$AA$50000,"&lt;&gt;设计如此",缺陷明细!$AA$2:$AA$50000,"&lt;&gt;重复Bug")</f>
        <v>0</v>
      </c>
      <c r="Z37" s="71">
        <f>COUNTIFS(缺陷明细!$A$2:$A$50000,$B$4,缺陷明细!$G$2:$G$50000,$C37,缺陷明细!$Q$2:$Q$50000,"已关闭",缺陷明细!$J$2:$J$50000,"运维测试")</f>
        <v>0</v>
      </c>
      <c r="AA37" s="72">
        <f>COUNTIFS(缺陷明细!$A$2:$A$50000,$B$4,缺陷明细!$G$2:$G$50000,$C37,缺陷明细!$J$2:$J$50000,"运维测试",缺陷明细!$K$2:$K$50000,"致命",缺陷明细!$AA$2:$AA$50000,"&lt;&gt;丢弃",缺陷明细!$AA$2:$AA$50000,"&lt;&gt;设计如此",缺陷明细!$AA$2:$AA$50000,"&lt;&gt;重复Bug")+COUNTIFS(缺陷明细!$A$2:$A$50000,$B$4,缺陷明细!$G$2:$G$50000,$C37,缺陷明细!$J$2:$J$50000,"运维测试",缺陷明细!$K$2:$K$50000,"严重",缺陷明细!$AA$2:$AA$50000,"&lt;&gt;丢弃",缺陷明细!$AA$2:$AA$50000,"&lt;&gt;设计如此",缺陷明细!$AA$2:$AA$50000,"&lt;&gt;重复Bug")</f>
        <v>0</v>
      </c>
      <c r="AB37" s="73">
        <f>COUNTIFS(缺陷明细!$A$2:$A$50000,$B$4,缺陷明细!$G$2:$G$50000,$C37,缺陷明细!$Q$2:$Q$50000,"已关闭",缺陷明细!$J$2:$J$50000,"运维测试",缺陷明细!$K$2:$K$50000,"致命")+COUNTIFS(缺陷明细!$A$2:$A$50000,$B$4,缺陷明细!$G$2:$G$50000,$C37,缺陷明细!$Q$2:$Q$50000,"已关闭",缺陷明细!$J$2:$J$50000,"运维测试",缺陷明细!$K$2:$K$50000,"严重")</f>
        <v>0</v>
      </c>
      <c r="AC37" s="68">
        <f t="shared" si="0"/>
        <v>0</v>
      </c>
      <c r="AD37" s="60">
        <f t="shared" si="0"/>
        <v>0</v>
      </c>
      <c r="AE37" s="60">
        <f t="shared" si="1"/>
        <v>0</v>
      </c>
      <c r="AF37" s="60">
        <f t="shared" si="1"/>
        <v>0</v>
      </c>
      <c r="AG37" s="60">
        <f t="shared" si="2"/>
        <v>0</v>
      </c>
      <c r="AH37" s="60">
        <f t="shared" si="2"/>
        <v>0</v>
      </c>
      <c r="AI37" s="60">
        <f t="shared" si="3"/>
        <v>0</v>
      </c>
      <c r="AJ37" s="61">
        <f t="shared" si="3"/>
        <v>0</v>
      </c>
      <c r="AK37" s="151"/>
    </row>
    <row r="38" spans="1:37">
      <c r="A38">
        <v>34</v>
      </c>
      <c r="B38" s="57"/>
      <c r="C38" s="58"/>
      <c r="D38" s="84"/>
      <c r="E38" s="82"/>
      <c r="F38" s="165"/>
      <c r="G38" s="166"/>
      <c r="H38" s="305">
        <f>COUNTIFS(缺陷明细!$A$2:$A$50000,$B$4,缺陷明细!$G$2:$G$50000,$C38,缺陷明细!$J$2:$J$50000,"评审",缺陷明细!$AA$2:$AA$50000,"&lt;&gt;丢弃",缺陷明细!$AA$2:$AA$50000,"&lt;&gt;设计如此",缺陷明细!$AA$2:$AA$50000,"&lt;&gt;重复Bug")</f>
        <v>0</v>
      </c>
      <c r="I38" s="161">
        <f>COUNTIFS(缺陷明细!$A$2:$A$50000,$B$4,缺陷明细!$G$2:$G$50000,$C38,缺陷明细!$Q$2:$Q$50000,"已关闭",缺陷明细!$J$2:$J$50000,"评审")</f>
        <v>0</v>
      </c>
      <c r="J38" s="161">
        <f>COUNTIFS(缺陷明细!$A$2:$A$50000,$B$4,缺陷明细!$G$2:$G$50000,$C38,缺陷明细!$J$2:$J$50000,"单元测试",缺陷明细!$AA$2:$AA$50000,"&lt;&gt;丢弃",缺陷明细!$AA$2:$AA$50000,"&lt;&gt;设计如此",缺陷明细!$AA$2:$AA$50000,"&lt;&gt;重复Bug")</f>
        <v>0</v>
      </c>
      <c r="K38" s="162">
        <f>COUNTIFS(缺陷明细!$A$2:$A$50000,$B$4,缺陷明细!$G$2:$G$50000,$C38,缺陷明细!$Q$2:$Q$50000,"已关闭",缺陷明细!$J$2:$J$50000,"单元测试")</f>
        <v>0</v>
      </c>
      <c r="L38" s="163"/>
      <c r="M38" s="164"/>
      <c r="N38" s="72">
        <f>COUNTIFS(缺陷明细!$A$2:$A$50000,$B$4,缺陷明细!$G$2:$G$50000,$C38,缺陷明细!$J$2:$J$50000,"系统测试案例评审",缺陷明细!$AA$2:$AA$50000,"&lt;&gt;丢弃",缺陷明细!$AA$2:$AA$50000,"&lt;&gt;设计如此",缺陷明细!$AA$2:$AA$50000,"&lt;&gt;重复Bug")</f>
        <v>0</v>
      </c>
      <c r="O38" s="72">
        <f>COUNTIFS(缺陷明细!$A$2:$A$50000,$B$4,缺陷明细!$G$2:$G$50000,$C38,缺陷明细!$Q$2:$Q$50000,"已关闭",缺陷明细!$J$2:$J$50000,"系统测试案例评审")</f>
        <v>0</v>
      </c>
      <c r="P38" s="72">
        <f>COUNTIFS(缺陷明细!$A$2:$A$50000,$B$4,缺陷明细!$G$2:$G$50000,$C38,缺陷明细!$J$2:$J$50000,"系统测试",缺陷明细!$AA$2:$AA$50000,"&lt;&gt;丢弃",缺陷明细!$AA$2:$AA$50000,"&lt;&gt;设计如此",缺陷明细!$AA$2:$AA$50000,"&lt;&gt;重复Bug")</f>
        <v>0</v>
      </c>
      <c r="Q38" s="72">
        <f>COUNTIFS(缺陷明细!$A$2:$A$50000,$B$4,缺陷明细!$G$2:$G$50000,$C38,缺陷明细!$Q$2:$Q$50000,"已关闭",缺陷明细!$J$2:$J$50000,"系统测试")</f>
        <v>0</v>
      </c>
      <c r="R38" s="72">
        <f>COUNTIFS(缺陷明细!$A$2:$A$50000,$B$4,缺陷明细!$G$2:$G$50000,$C38,缺陷明细!$AA$2:$AA$50000,"丢弃",缺陷明细!$J$2:$J$50000,"系统测试")+COUNTIFS(缺陷明细!$A$2:$A$50000,$B$4,缺陷明细!$G$2:$G$50000,$C38,缺陷明细!$AA$2:$AA$50000,"设计如此",缺陷明细!$J$2:$J$50000,"系统测试"+COUNTIFS(缺陷明细!$A$2:$A$50000,$B$4,缺陷明细!$G$2:$G$50000,$C38,缺陷明细!$AA$2:$AA$50000,"重复Bug",缺陷明细!$J$2:$J$50000,"系统测试"))</f>
        <v>0</v>
      </c>
      <c r="S38" s="72">
        <f>COUNTIFS(缺陷明细!$A$2:$A$50000,$B$4,缺陷明细!$G$2:$G$50000,$C38,缺陷明细!$J$2:$J$50000,"系统测试",缺陷明细!$K$2:$K$50000,"致命",缺陷明细!$AA$2:$AA$50000,"&lt;&gt;丢弃",缺陷明细!$AA$2:$AA$50000,"&lt;&gt;设计如此",缺陷明细!$AA$2:$AA$50000,"&lt;&gt;重复Bug")+COUNTIFS(缺陷明细!$A$2:$A$50000,$B$4,缺陷明细!$G$2:$G$50000,$C38,缺陷明细!$J$2:$J$50000,"系统测试",缺陷明细!$K$2:$K$50000,"严重",缺陷明细!$AA$2:$AA$50000,"&lt;&gt;丢弃",缺陷明细!$AA$2:$AA$50000,"&lt;&gt;设计如此",缺陷明细!$AA$2:$AA$50000,"&lt;&gt;重复Bug")</f>
        <v>0</v>
      </c>
      <c r="T38" s="73">
        <f>COUNTIFS(缺陷明细!$A$2:$A$50000,$B$4,缺陷明细!$G$2:$G$50000,$C38,缺陷明细!$Q$2:$Q$50000,"已关闭",缺陷明细!$J$2:$J$50000,"系统测试",缺陷明细!$K$2:$K$50000,"致命")+COUNTIFS(缺陷明细!$A$2:$A$50000,$B$4,缺陷明细!$G$2:$G$50000,$C38,缺陷明细!$Q$2:$Q$50000,"已关闭",缺陷明细!$J$2:$J$50000,"系统测试",缺陷明细!$K$2:$K$50000,"严重")</f>
        <v>0</v>
      </c>
      <c r="U38" s="74">
        <f>COUNTIFS(缺陷明细!$A$2:$A$50000,$B$4,缺陷明细!$G$2:$G$50000,$C38,缺陷明细!$J$2:$J$50000,"验收测试",缺陷明细!$AA$2:$AA$50000,"&lt;&gt;丢弃",缺陷明细!$AA$2:$AA$50000,"&lt;&gt;设计如此",缺陷明细!$AA$2:$AA$50000,"&lt;&gt;重复Bug")</f>
        <v>0</v>
      </c>
      <c r="V38" s="75">
        <f>COUNTIFS(缺陷明细!$A$2:$A$50000,$B$4,缺陷明细!$G$2:$G$50000,$C38,缺陷明细!$Q$2:$Q$50000,"已关闭",缺陷明细!$J$2:$J$50000,"验收测试")</f>
        <v>0</v>
      </c>
      <c r="W38" s="75">
        <f>COUNTIFS(缺陷明细!$A$2:$A$50000,$B$4,缺陷明细!$G$2:$G$50000,$C38,缺陷明细!$J$2:$J$50000,"验收测试",缺陷明细!$K$2:$K$50000,"致命",缺陷明细!$AA$2:$AA$50000,"&lt;&gt;丢弃",缺陷明细!$AA$2:$AA$50000,"&lt;&gt;设计如此",缺陷明细!$AA$2:$AA$50000,"&lt;&gt;重复Bug")+COUNTIFS(缺陷明细!$A$2:$A$50000,$B$4,缺陷明细!$G$2:$G$50000,$C38,缺陷明细!$J$2:$J$50000,"验收测试",缺陷明细!$K$2:$K$50000,"严重",缺陷明细!$AA$2:$AA$50000,"&lt;&gt;丢弃",缺陷明细!$AA$2:$AA$50000,"&lt;&gt;设计如此",缺陷明细!$AA$2:$AA$50000,"&lt;&gt;重复Bug")</f>
        <v>0</v>
      </c>
      <c r="X38" s="76">
        <f>COUNTIFS(缺陷明细!$A$2:$A$50000,$B$4,缺陷明细!$G$2:$G$50000,$C38,缺陷明细!$Q$2:$Q$50000,"已关闭",缺陷明细!$J$2:$J$50000,"验收测试",缺陷明细!$K$2:$K$50000,"致命")+COUNTIFS(缺陷明细!$A$2:$A$50000,$B$4,缺陷明细!$G$2:$G$50000,$C38,缺陷明细!$Q$2:$Q$50000,"已关闭",缺陷明细!$J$2:$J$50000,"验收测试",缺陷明细!$K$2:$K$50000,"严重")</f>
        <v>0</v>
      </c>
      <c r="Y38" s="70">
        <f>COUNTIFS(缺陷明细!$A$2:$A$50000,$B$4,缺陷明细!$G$2:$G$50000,$C38,缺陷明细!$J$2:$J$50000,"运维测试",缺陷明细!$AA$2:$AA$50000,"&lt;&gt;丢弃",缺陷明细!$AA$2:$AA$50000,"&lt;&gt;设计如此",缺陷明细!$AA$2:$AA$50000,"&lt;&gt;重复Bug")</f>
        <v>0</v>
      </c>
      <c r="Z38" s="71">
        <f>COUNTIFS(缺陷明细!$A$2:$A$50000,$B$4,缺陷明细!$G$2:$G$50000,$C38,缺陷明细!$Q$2:$Q$50000,"已关闭",缺陷明细!$J$2:$J$50000,"运维测试")</f>
        <v>0</v>
      </c>
      <c r="AA38" s="72">
        <f>COUNTIFS(缺陷明细!$A$2:$A$50000,$B$4,缺陷明细!$G$2:$G$50000,$C38,缺陷明细!$J$2:$J$50000,"运维测试",缺陷明细!$K$2:$K$50000,"致命",缺陷明细!$AA$2:$AA$50000,"&lt;&gt;丢弃",缺陷明细!$AA$2:$AA$50000,"&lt;&gt;设计如此",缺陷明细!$AA$2:$AA$50000,"&lt;&gt;重复Bug")+COUNTIFS(缺陷明细!$A$2:$A$50000,$B$4,缺陷明细!$G$2:$G$50000,$C38,缺陷明细!$J$2:$J$50000,"运维测试",缺陷明细!$K$2:$K$50000,"严重",缺陷明细!$AA$2:$AA$50000,"&lt;&gt;丢弃",缺陷明细!$AA$2:$AA$50000,"&lt;&gt;设计如此",缺陷明细!$AA$2:$AA$50000,"&lt;&gt;重复Bug")</f>
        <v>0</v>
      </c>
      <c r="AB38" s="73">
        <f>COUNTIFS(缺陷明细!$A$2:$A$50000,$B$4,缺陷明细!$G$2:$G$50000,$C38,缺陷明细!$Q$2:$Q$50000,"已关闭",缺陷明细!$J$2:$J$50000,"运维测试",缺陷明细!$K$2:$K$50000,"致命")+COUNTIFS(缺陷明细!$A$2:$A$50000,$B$4,缺陷明细!$G$2:$G$50000,$C38,缺陷明细!$Q$2:$Q$50000,"已关闭",缺陷明细!$J$2:$J$50000,"运维测试",缺陷明细!$K$2:$K$50000,"严重")</f>
        <v>0</v>
      </c>
      <c r="AC38" s="68">
        <f t="shared" si="0"/>
        <v>0</v>
      </c>
      <c r="AD38" s="60">
        <f t="shared" si="0"/>
        <v>0</v>
      </c>
      <c r="AE38" s="60">
        <f t="shared" si="1"/>
        <v>0</v>
      </c>
      <c r="AF38" s="60">
        <f t="shared" si="1"/>
        <v>0</v>
      </c>
      <c r="AG38" s="60">
        <f t="shared" si="2"/>
        <v>0</v>
      </c>
      <c r="AH38" s="60">
        <f t="shared" si="2"/>
        <v>0</v>
      </c>
      <c r="AI38" s="60">
        <f t="shared" si="3"/>
        <v>0</v>
      </c>
      <c r="AJ38" s="61">
        <f t="shared" si="3"/>
        <v>0</v>
      </c>
      <c r="AK38" s="151"/>
    </row>
    <row r="39" spans="1:37">
      <c r="A39">
        <v>35</v>
      </c>
      <c r="B39" s="57"/>
      <c r="C39" s="58"/>
      <c r="D39" s="84"/>
      <c r="E39" s="82"/>
      <c r="F39" s="165"/>
      <c r="G39" s="166"/>
      <c r="H39" s="305">
        <f>COUNTIFS(缺陷明细!$A$2:$A$50000,$B$4,缺陷明细!$G$2:$G$50000,$C39,缺陷明细!$J$2:$J$50000,"评审",缺陷明细!$AA$2:$AA$50000,"&lt;&gt;丢弃",缺陷明细!$AA$2:$AA$50000,"&lt;&gt;设计如此",缺陷明细!$AA$2:$AA$50000,"&lt;&gt;重复Bug")</f>
        <v>0</v>
      </c>
      <c r="I39" s="161">
        <f>COUNTIFS(缺陷明细!$A$2:$A$50000,$B$4,缺陷明细!$G$2:$G$50000,$C39,缺陷明细!$Q$2:$Q$50000,"已关闭",缺陷明细!$J$2:$J$50000,"评审")</f>
        <v>0</v>
      </c>
      <c r="J39" s="161">
        <f>COUNTIFS(缺陷明细!$A$2:$A$50000,$B$4,缺陷明细!$G$2:$G$50000,$C39,缺陷明细!$J$2:$J$50000,"单元测试",缺陷明细!$AA$2:$AA$50000,"&lt;&gt;丢弃",缺陷明细!$AA$2:$AA$50000,"&lt;&gt;设计如此",缺陷明细!$AA$2:$AA$50000,"&lt;&gt;重复Bug")</f>
        <v>0</v>
      </c>
      <c r="K39" s="162">
        <f>COUNTIFS(缺陷明细!$A$2:$A$50000,$B$4,缺陷明细!$G$2:$G$50000,$C39,缺陷明细!$Q$2:$Q$50000,"已关闭",缺陷明细!$J$2:$J$50000,"单元测试")</f>
        <v>0</v>
      </c>
      <c r="L39" s="163"/>
      <c r="M39" s="164"/>
      <c r="N39" s="72">
        <f>COUNTIFS(缺陷明细!$A$2:$A$50000,$B$4,缺陷明细!$G$2:$G$50000,$C39,缺陷明细!$J$2:$J$50000,"系统测试案例评审",缺陷明细!$AA$2:$AA$50000,"&lt;&gt;丢弃",缺陷明细!$AA$2:$AA$50000,"&lt;&gt;设计如此",缺陷明细!$AA$2:$AA$50000,"&lt;&gt;重复Bug")</f>
        <v>0</v>
      </c>
      <c r="O39" s="72">
        <f>COUNTIFS(缺陷明细!$A$2:$A$50000,$B$4,缺陷明细!$G$2:$G$50000,$C39,缺陷明细!$Q$2:$Q$50000,"已关闭",缺陷明细!$J$2:$J$50000,"系统测试案例评审")</f>
        <v>0</v>
      </c>
      <c r="P39" s="72">
        <f>COUNTIFS(缺陷明细!$A$2:$A$50000,$B$4,缺陷明细!$G$2:$G$50000,$C39,缺陷明细!$J$2:$J$50000,"系统测试",缺陷明细!$AA$2:$AA$50000,"&lt;&gt;丢弃",缺陷明细!$AA$2:$AA$50000,"&lt;&gt;设计如此",缺陷明细!$AA$2:$AA$50000,"&lt;&gt;重复Bug")</f>
        <v>0</v>
      </c>
      <c r="Q39" s="72">
        <f>COUNTIFS(缺陷明细!$A$2:$A$50000,$B$4,缺陷明细!$G$2:$G$50000,$C39,缺陷明细!$Q$2:$Q$50000,"已关闭",缺陷明细!$J$2:$J$50000,"系统测试")</f>
        <v>0</v>
      </c>
      <c r="R39" s="72">
        <f>COUNTIFS(缺陷明细!$A$2:$A$50000,$B$4,缺陷明细!$G$2:$G$50000,$C39,缺陷明细!$AA$2:$AA$50000,"丢弃",缺陷明细!$J$2:$J$50000,"系统测试")+COUNTIFS(缺陷明细!$A$2:$A$50000,$B$4,缺陷明细!$G$2:$G$50000,$C39,缺陷明细!$AA$2:$AA$50000,"设计如此",缺陷明细!$J$2:$J$50000,"系统测试"+COUNTIFS(缺陷明细!$A$2:$A$50000,$B$4,缺陷明细!$G$2:$G$50000,$C39,缺陷明细!$AA$2:$AA$50000,"重复Bug",缺陷明细!$J$2:$J$50000,"系统测试"))</f>
        <v>0</v>
      </c>
      <c r="S39" s="72">
        <f>COUNTIFS(缺陷明细!$A$2:$A$50000,$B$4,缺陷明细!$G$2:$G$50000,$C39,缺陷明细!$J$2:$J$50000,"系统测试",缺陷明细!$K$2:$K$50000,"致命",缺陷明细!$AA$2:$AA$50000,"&lt;&gt;丢弃",缺陷明细!$AA$2:$AA$50000,"&lt;&gt;设计如此",缺陷明细!$AA$2:$AA$50000,"&lt;&gt;重复Bug")+COUNTIFS(缺陷明细!$A$2:$A$50000,$B$4,缺陷明细!$G$2:$G$50000,$C39,缺陷明细!$J$2:$J$50000,"系统测试",缺陷明细!$K$2:$K$50000,"严重",缺陷明细!$AA$2:$AA$50000,"&lt;&gt;丢弃",缺陷明细!$AA$2:$AA$50000,"&lt;&gt;设计如此",缺陷明细!$AA$2:$AA$50000,"&lt;&gt;重复Bug")</f>
        <v>0</v>
      </c>
      <c r="T39" s="73">
        <f>COUNTIFS(缺陷明细!$A$2:$A$50000,$B$4,缺陷明细!$G$2:$G$50000,$C39,缺陷明细!$Q$2:$Q$50000,"已关闭",缺陷明细!$J$2:$J$50000,"系统测试",缺陷明细!$K$2:$K$50000,"致命")+COUNTIFS(缺陷明细!$A$2:$A$50000,$B$4,缺陷明细!$G$2:$G$50000,$C39,缺陷明细!$Q$2:$Q$50000,"已关闭",缺陷明细!$J$2:$J$50000,"系统测试",缺陷明细!$K$2:$K$50000,"严重")</f>
        <v>0</v>
      </c>
      <c r="U39" s="74">
        <f>COUNTIFS(缺陷明细!$A$2:$A$50000,$B$4,缺陷明细!$G$2:$G$50000,$C39,缺陷明细!$J$2:$J$50000,"验收测试",缺陷明细!$AA$2:$AA$50000,"&lt;&gt;丢弃",缺陷明细!$AA$2:$AA$50000,"&lt;&gt;设计如此",缺陷明细!$AA$2:$AA$50000,"&lt;&gt;重复Bug")</f>
        <v>0</v>
      </c>
      <c r="V39" s="75">
        <f>COUNTIFS(缺陷明细!$A$2:$A$50000,$B$4,缺陷明细!$G$2:$G$50000,$C39,缺陷明细!$Q$2:$Q$50000,"已关闭",缺陷明细!$J$2:$J$50000,"验收测试")</f>
        <v>0</v>
      </c>
      <c r="W39" s="75">
        <f>COUNTIFS(缺陷明细!$A$2:$A$50000,$B$4,缺陷明细!$G$2:$G$50000,$C39,缺陷明细!$J$2:$J$50000,"验收测试",缺陷明细!$K$2:$K$50000,"致命",缺陷明细!$AA$2:$AA$50000,"&lt;&gt;丢弃",缺陷明细!$AA$2:$AA$50000,"&lt;&gt;设计如此",缺陷明细!$AA$2:$AA$50000,"&lt;&gt;重复Bug")+COUNTIFS(缺陷明细!$A$2:$A$50000,$B$4,缺陷明细!$G$2:$G$50000,$C39,缺陷明细!$J$2:$J$50000,"验收测试",缺陷明细!$K$2:$K$50000,"严重",缺陷明细!$AA$2:$AA$50000,"&lt;&gt;丢弃",缺陷明细!$AA$2:$AA$50000,"&lt;&gt;设计如此",缺陷明细!$AA$2:$AA$50000,"&lt;&gt;重复Bug")</f>
        <v>0</v>
      </c>
      <c r="X39" s="76">
        <f>COUNTIFS(缺陷明细!$A$2:$A$50000,$B$4,缺陷明细!$G$2:$G$50000,$C39,缺陷明细!$Q$2:$Q$50000,"已关闭",缺陷明细!$J$2:$J$50000,"验收测试",缺陷明细!$K$2:$K$50000,"致命")+COUNTIFS(缺陷明细!$A$2:$A$50000,$B$4,缺陷明细!$G$2:$G$50000,$C39,缺陷明细!$Q$2:$Q$50000,"已关闭",缺陷明细!$J$2:$J$50000,"验收测试",缺陷明细!$K$2:$K$50000,"严重")</f>
        <v>0</v>
      </c>
      <c r="Y39" s="70">
        <f>COUNTIFS(缺陷明细!$A$2:$A$50000,$B$4,缺陷明细!$G$2:$G$50000,$C39,缺陷明细!$J$2:$J$50000,"运维测试",缺陷明细!$AA$2:$AA$50000,"&lt;&gt;丢弃",缺陷明细!$AA$2:$AA$50000,"&lt;&gt;设计如此",缺陷明细!$AA$2:$AA$50000,"&lt;&gt;重复Bug")</f>
        <v>0</v>
      </c>
      <c r="Z39" s="71">
        <f>COUNTIFS(缺陷明细!$A$2:$A$50000,$B$4,缺陷明细!$G$2:$G$50000,$C39,缺陷明细!$Q$2:$Q$50000,"已关闭",缺陷明细!$J$2:$J$50000,"运维测试")</f>
        <v>0</v>
      </c>
      <c r="AA39" s="72">
        <f>COUNTIFS(缺陷明细!$A$2:$A$50000,$B$4,缺陷明细!$G$2:$G$50000,$C39,缺陷明细!$J$2:$J$50000,"运维测试",缺陷明细!$K$2:$K$50000,"致命",缺陷明细!$AA$2:$AA$50000,"&lt;&gt;丢弃",缺陷明细!$AA$2:$AA$50000,"&lt;&gt;设计如此",缺陷明细!$AA$2:$AA$50000,"&lt;&gt;重复Bug")+COUNTIFS(缺陷明细!$A$2:$A$50000,$B$4,缺陷明细!$G$2:$G$50000,$C39,缺陷明细!$J$2:$J$50000,"运维测试",缺陷明细!$K$2:$K$50000,"严重",缺陷明细!$AA$2:$AA$50000,"&lt;&gt;丢弃",缺陷明细!$AA$2:$AA$50000,"&lt;&gt;设计如此",缺陷明细!$AA$2:$AA$50000,"&lt;&gt;重复Bug")</f>
        <v>0</v>
      </c>
      <c r="AB39" s="73">
        <f>COUNTIFS(缺陷明细!$A$2:$A$50000,$B$4,缺陷明细!$G$2:$G$50000,$C39,缺陷明细!$Q$2:$Q$50000,"已关闭",缺陷明细!$J$2:$J$50000,"运维测试",缺陷明细!$K$2:$K$50000,"致命")+COUNTIFS(缺陷明细!$A$2:$A$50000,$B$4,缺陷明细!$G$2:$G$50000,$C39,缺陷明细!$Q$2:$Q$50000,"已关闭",缺陷明细!$J$2:$J$50000,"运维测试",缺陷明细!$K$2:$K$50000,"严重")</f>
        <v>0</v>
      </c>
      <c r="AC39" s="68">
        <f t="shared" si="0"/>
        <v>0</v>
      </c>
      <c r="AD39" s="60">
        <f t="shared" si="0"/>
        <v>0</v>
      </c>
      <c r="AE39" s="60">
        <f t="shared" si="1"/>
        <v>0</v>
      </c>
      <c r="AF39" s="60">
        <f t="shared" si="1"/>
        <v>0</v>
      </c>
      <c r="AG39" s="60">
        <f t="shared" si="2"/>
        <v>0</v>
      </c>
      <c r="AH39" s="60">
        <f t="shared" si="2"/>
        <v>0</v>
      </c>
      <c r="AI39" s="60">
        <f t="shared" si="3"/>
        <v>0</v>
      </c>
      <c r="AJ39" s="61">
        <f t="shared" si="3"/>
        <v>0</v>
      </c>
      <c r="AK39" s="151"/>
    </row>
    <row r="40" spans="1:37">
      <c r="A40">
        <v>36</v>
      </c>
      <c r="B40" s="57"/>
      <c r="C40" s="58"/>
      <c r="D40" s="84"/>
      <c r="E40" s="82"/>
      <c r="F40" s="165"/>
      <c r="G40" s="166"/>
      <c r="H40" s="305">
        <f>COUNTIFS(缺陷明细!$A$2:$A$50000,$B$4,缺陷明细!$G$2:$G$50000,$C40,缺陷明细!$J$2:$J$50000,"评审",缺陷明细!$AA$2:$AA$50000,"&lt;&gt;丢弃",缺陷明细!$AA$2:$AA$50000,"&lt;&gt;设计如此",缺陷明细!$AA$2:$AA$50000,"&lt;&gt;重复Bug")</f>
        <v>0</v>
      </c>
      <c r="I40" s="161">
        <f>COUNTIFS(缺陷明细!$A$2:$A$50000,$B$4,缺陷明细!$G$2:$G$50000,$C40,缺陷明细!$Q$2:$Q$50000,"已关闭",缺陷明细!$J$2:$J$50000,"评审")</f>
        <v>0</v>
      </c>
      <c r="J40" s="161">
        <f>COUNTIFS(缺陷明细!$A$2:$A$50000,$B$4,缺陷明细!$G$2:$G$50000,$C40,缺陷明细!$J$2:$J$50000,"单元测试",缺陷明细!$AA$2:$AA$50000,"&lt;&gt;丢弃",缺陷明细!$AA$2:$AA$50000,"&lt;&gt;设计如此",缺陷明细!$AA$2:$AA$50000,"&lt;&gt;重复Bug")</f>
        <v>0</v>
      </c>
      <c r="K40" s="162">
        <f>COUNTIFS(缺陷明细!$A$2:$A$50000,$B$4,缺陷明细!$G$2:$G$50000,$C40,缺陷明细!$Q$2:$Q$50000,"已关闭",缺陷明细!$J$2:$J$50000,"单元测试")</f>
        <v>0</v>
      </c>
      <c r="L40" s="163"/>
      <c r="M40" s="164"/>
      <c r="N40" s="72">
        <f>COUNTIFS(缺陷明细!$A$2:$A$50000,$B$4,缺陷明细!$G$2:$G$50000,$C40,缺陷明细!$J$2:$J$50000,"系统测试案例评审",缺陷明细!$AA$2:$AA$50000,"&lt;&gt;丢弃",缺陷明细!$AA$2:$AA$50000,"&lt;&gt;设计如此",缺陷明细!$AA$2:$AA$50000,"&lt;&gt;重复Bug")</f>
        <v>0</v>
      </c>
      <c r="O40" s="72">
        <f>COUNTIFS(缺陷明细!$A$2:$A$50000,$B$4,缺陷明细!$G$2:$G$50000,$C40,缺陷明细!$Q$2:$Q$50000,"已关闭",缺陷明细!$J$2:$J$50000,"系统测试案例评审")</f>
        <v>0</v>
      </c>
      <c r="P40" s="72">
        <f>COUNTIFS(缺陷明细!$A$2:$A$50000,$B$4,缺陷明细!$G$2:$G$50000,$C40,缺陷明细!$J$2:$J$50000,"系统测试",缺陷明细!$AA$2:$AA$50000,"&lt;&gt;丢弃",缺陷明细!$AA$2:$AA$50000,"&lt;&gt;设计如此",缺陷明细!$AA$2:$AA$50000,"&lt;&gt;重复Bug")</f>
        <v>0</v>
      </c>
      <c r="Q40" s="72">
        <f>COUNTIFS(缺陷明细!$A$2:$A$50000,$B$4,缺陷明细!$G$2:$G$50000,$C40,缺陷明细!$Q$2:$Q$50000,"已关闭",缺陷明细!$J$2:$J$50000,"系统测试")</f>
        <v>0</v>
      </c>
      <c r="R40" s="72">
        <f>COUNTIFS(缺陷明细!$A$2:$A$50000,$B$4,缺陷明细!$G$2:$G$50000,$C40,缺陷明细!$AA$2:$AA$50000,"丢弃",缺陷明细!$J$2:$J$50000,"系统测试")+COUNTIFS(缺陷明细!$A$2:$A$50000,$B$4,缺陷明细!$G$2:$G$50000,$C40,缺陷明细!$AA$2:$AA$50000,"设计如此",缺陷明细!$J$2:$J$50000,"系统测试"+COUNTIFS(缺陷明细!$A$2:$A$50000,$B$4,缺陷明细!$G$2:$G$50000,$C40,缺陷明细!$AA$2:$AA$50000,"重复Bug",缺陷明细!$J$2:$J$50000,"系统测试"))</f>
        <v>0</v>
      </c>
      <c r="S40" s="72">
        <f>COUNTIFS(缺陷明细!$A$2:$A$50000,$B$4,缺陷明细!$G$2:$G$50000,$C40,缺陷明细!$J$2:$J$50000,"系统测试",缺陷明细!$K$2:$K$50000,"致命",缺陷明细!$AA$2:$AA$50000,"&lt;&gt;丢弃",缺陷明细!$AA$2:$AA$50000,"&lt;&gt;设计如此",缺陷明细!$AA$2:$AA$50000,"&lt;&gt;重复Bug")+COUNTIFS(缺陷明细!$A$2:$A$50000,$B$4,缺陷明细!$G$2:$G$50000,$C40,缺陷明细!$J$2:$J$50000,"系统测试",缺陷明细!$K$2:$K$50000,"严重",缺陷明细!$AA$2:$AA$50000,"&lt;&gt;丢弃",缺陷明细!$AA$2:$AA$50000,"&lt;&gt;设计如此",缺陷明细!$AA$2:$AA$50000,"&lt;&gt;重复Bug")</f>
        <v>0</v>
      </c>
      <c r="T40" s="73">
        <f>COUNTIFS(缺陷明细!$A$2:$A$50000,$B$4,缺陷明细!$G$2:$G$50000,$C40,缺陷明细!$Q$2:$Q$50000,"已关闭",缺陷明细!$J$2:$J$50000,"系统测试",缺陷明细!$K$2:$K$50000,"致命")+COUNTIFS(缺陷明细!$A$2:$A$50000,$B$4,缺陷明细!$G$2:$G$50000,$C40,缺陷明细!$Q$2:$Q$50000,"已关闭",缺陷明细!$J$2:$J$50000,"系统测试",缺陷明细!$K$2:$K$50000,"严重")</f>
        <v>0</v>
      </c>
      <c r="U40" s="74">
        <f>COUNTIFS(缺陷明细!$A$2:$A$50000,$B$4,缺陷明细!$G$2:$G$50000,$C40,缺陷明细!$J$2:$J$50000,"验收测试",缺陷明细!$AA$2:$AA$50000,"&lt;&gt;丢弃",缺陷明细!$AA$2:$AA$50000,"&lt;&gt;设计如此",缺陷明细!$AA$2:$AA$50000,"&lt;&gt;重复Bug")</f>
        <v>0</v>
      </c>
      <c r="V40" s="75">
        <f>COUNTIFS(缺陷明细!$A$2:$A$50000,$B$4,缺陷明细!$G$2:$G$50000,$C40,缺陷明细!$Q$2:$Q$50000,"已关闭",缺陷明细!$J$2:$J$50000,"验收测试")</f>
        <v>0</v>
      </c>
      <c r="W40" s="75">
        <f>COUNTIFS(缺陷明细!$A$2:$A$50000,$B$4,缺陷明细!$G$2:$G$50000,$C40,缺陷明细!$J$2:$J$50000,"验收测试",缺陷明细!$K$2:$K$50000,"致命",缺陷明细!$AA$2:$AA$50000,"&lt;&gt;丢弃",缺陷明细!$AA$2:$AA$50000,"&lt;&gt;设计如此",缺陷明细!$AA$2:$AA$50000,"&lt;&gt;重复Bug")+COUNTIFS(缺陷明细!$A$2:$A$50000,$B$4,缺陷明细!$G$2:$G$50000,$C40,缺陷明细!$J$2:$J$50000,"验收测试",缺陷明细!$K$2:$K$50000,"严重",缺陷明细!$AA$2:$AA$50000,"&lt;&gt;丢弃",缺陷明细!$AA$2:$AA$50000,"&lt;&gt;设计如此",缺陷明细!$AA$2:$AA$50000,"&lt;&gt;重复Bug")</f>
        <v>0</v>
      </c>
      <c r="X40" s="76">
        <f>COUNTIFS(缺陷明细!$A$2:$A$50000,$B$4,缺陷明细!$G$2:$G$50000,$C40,缺陷明细!$Q$2:$Q$50000,"已关闭",缺陷明细!$J$2:$J$50000,"验收测试",缺陷明细!$K$2:$K$50000,"致命")+COUNTIFS(缺陷明细!$A$2:$A$50000,$B$4,缺陷明细!$G$2:$G$50000,$C40,缺陷明细!$Q$2:$Q$50000,"已关闭",缺陷明细!$J$2:$J$50000,"验收测试",缺陷明细!$K$2:$K$50000,"严重")</f>
        <v>0</v>
      </c>
      <c r="Y40" s="70">
        <f>COUNTIFS(缺陷明细!$A$2:$A$50000,$B$4,缺陷明细!$G$2:$G$50000,$C40,缺陷明细!$J$2:$J$50000,"运维测试",缺陷明细!$AA$2:$AA$50000,"&lt;&gt;丢弃",缺陷明细!$AA$2:$AA$50000,"&lt;&gt;设计如此",缺陷明细!$AA$2:$AA$50000,"&lt;&gt;重复Bug")</f>
        <v>0</v>
      </c>
      <c r="Z40" s="71">
        <f>COUNTIFS(缺陷明细!$A$2:$A$50000,$B$4,缺陷明细!$G$2:$G$50000,$C40,缺陷明细!$Q$2:$Q$50000,"已关闭",缺陷明细!$J$2:$J$50000,"运维测试")</f>
        <v>0</v>
      </c>
      <c r="AA40" s="72">
        <f>COUNTIFS(缺陷明细!$A$2:$A$50000,$B$4,缺陷明细!$G$2:$G$50000,$C40,缺陷明细!$J$2:$J$50000,"运维测试",缺陷明细!$K$2:$K$50000,"致命",缺陷明细!$AA$2:$AA$50000,"&lt;&gt;丢弃",缺陷明细!$AA$2:$AA$50000,"&lt;&gt;设计如此",缺陷明细!$AA$2:$AA$50000,"&lt;&gt;重复Bug")+COUNTIFS(缺陷明细!$A$2:$A$50000,$B$4,缺陷明细!$G$2:$G$50000,$C40,缺陷明细!$J$2:$J$50000,"运维测试",缺陷明细!$K$2:$K$50000,"严重",缺陷明细!$AA$2:$AA$50000,"&lt;&gt;丢弃",缺陷明细!$AA$2:$AA$50000,"&lt;&gt;设计如此",缺陷明细!$AA$2:$AA$50000,"&lt;&gt;重复Bug")</f>
        <v>0</v>
      </c>
      <c r="AB40" s="73">
        <f>COUNTIFS(缺陷明细!$A$2:$A$50000,$B$4,缺陷明细!$G$2:$G$50000,$C40,缺陷明细!$Q$2:$Q$50000,"已关闭",缺陷明细!$J$2:$J$50000,"运维测试",缺陷明细!$K$2:$K$50000,"致命")+COUNTIFS(缺陷明细!$A$2:$A$50000,$B$4,缺陷明细!$G$2:$G$50000,$C40,缺陷明细!$Q$2:$Q$50000,"已关闭",缺陷明细!$J$2:$J$50000,"运维测试",缺陷明细!$K$2:$K$50000,"严重")</f>
        <v>0</v>
      </c>
      <c r="AC40" s="68">
        <f t="shared" si="0"/>
        <v>0</v>
      </c>
      <c r="AD40" s="60">
        <f t="shared" si="0"/>
        <v>0</v>
      </c>
      <c r="AE40" s="60">
        <f t="shared" si="1"/>
        <v>0</v>
      </c>
      <c r="AF40" s="60">
        <f t="shared" si="1"/>
        <v>0</v>
      </c>
      <c r="AG40" s="60">
        <f t="shared" si="2"/>
        <v>0</v>
      </c>
      <c r="AH40" s="60">
        <f t="shared" si="2"/>
        <v>0</v>
      </c>
      <c r="AI40" s="60">
        <f t="shared" si="3"/>
        <v>0</v>
      </c>
      <c r="AJ40" s="61">
        <f t="shared" si="3"/>
        <v>0</v>
      </c>
      <c r="AK40" s="151"/>
    </row>
    <row r="41" spans="1:37">
      <c r="A41">
        <v>37</v>
      </c>
      <c r="B41" s="57"/>
      <c r="C41" s="58"/>
      <c r="D41" s="84"/>
      <c r="E41" s="82"/>
      <c r="F41" s="165"/>
      <c r="G41" s="166"/>
      <c r="H41" s="305">
        <f>COUNTIFS(缺陷明细!$A$2:$A$50000,$B$4,缺陷明细!$G$2:$G$50000,$C41,缺陷明细!$J$2:$J$50000,"评审",缺陷明细!$AA$2:$AA$50000,"&lt;&gt;丢弃",缺陷明细!$AA$2:$AA$50000,"&lt;&gt;设计如此",缺陷明细!$AA$2:$AA$50000,"&lt;&gt;重复Bug")</f>
        <v>0</v>
      </c>
      <c r="I41" s="161">
        <f>COUNTIFS(缺陷明细!$A$2:$A$50000,$B$4,缺陷明细!$G$2:$G$50000,$C41,缺陷明细!$Q$2:$Q$50000,"已关闭",缺陷明细!$J$2:$J$50000,"评审")</f>
        <v>0</v>
      </c>
      <c r="J41" s="161">
        <f>COUNTIFS(缺陷明细!$A$2:$A$50000,$B$4,缺陷明细!$G$2:$G$50000,$C41,缺陷明细!$J$2:$J$50000,"单元测试",缺陷明细!$AA$2:$AA$50000,"&lt;&gt;丢弃",缺陷明细!$AA$2:$AA$50000,"&lt;&gt;设计如此",缺陷明细!$AA$2:$AA$50000,"&lt;&gt;重复Bug")</f>
        <v>0</v>
      </c>
      <c r="K41" s="162">
        <f>COUNTIFS(缺陷明细!$A$2:$A$50000,$B$4,缺陷明细!$G$2:$G$50000,$C41,缺陷明细!$Q$2:$Q$50000,"已关闭",缺陷明细!$J$2:$J$50000,"单元测试")</f>
        <v>0</v>
      </c>
      <c r="L41" s="163"/>
      <c r="M41" s="164"/>
      <c r="N41" s="72">
        <f>COUNTIFS(缺陷明细!$A$2:$A$50000,$B$4,缺陷明细!$G$2:$G$50000,$C41,缺陷明细!$J$2:$J$50000,"系统测试案例评审",缺陷明细!$AA$2:$AA$50000,"&lt;&gt;丢弃",缺陷明细!$AA$2:$AA$50000,"&lt;&gt;设计如此",缺陷明细!$AA$2:$AA$50000,"&lt;&gt;重复Bug")</f>
        <v>0</v>
      </c>
      <c r="O41" s="72">
        <f>COUNTIFS(缺陷明细!$A$2:$A$50000,$B$4,缺陷明细!$G$2:$G$50000,$C41,缺陷明细!$Q$2:$Q$50000,"已关闭",缺陷明细!$J$2:$J$50000,"系统测试案例评审")</f>
        <v>0</v>
      </c>
      <c r="P41" s="72">
        <f>COUNTIFS(缺陷明细!$A$2:$A$50000,$B$4,缺陷明细!$G$2:$G$50000,$C41,缺陷明细!$J$2:$J$50000,"系统测试",缺陷明细!$AA$2:$AA$50000,"&lt;&gt;丢弃",缺陷明细!$AA$2:$AA$50000,"&lt;&gt;设计如此",缺陷明细!$AA$2:$AA$50000,"&lt;&gt;重复Bug")</f>
        <v>0</v>
      </c>
      <c r="Q41" s="72">
        <f>COUNTIFS(缺陷明细!$A$2:$A$50000,$B$4,缺陷明细!$G$2:$G$50000,$C41,缺陷明细!$Q$2:$Q$50000,"已关闭",缺陷明细!$J$2:$J$50000,"系统测试")</f>
        <v>0</v>
      </c>
      <c r="R41" s="72">
        <f>COUNTIFS(缺陷明细!$A$2:$A$50000,$B$4,缺陷明细!$G$2:$G$50000,$C41,缺陷明细!$AA$2:$AA$50000,"丢弃",缺陷明细!$J$2:$J$50000,"系统测试")+COUNTIFS(缺陷明细!$A$2:$A$50000,$B$4,缺陷明细!$G$2:$G$50000,$C41,缺陷明细!$AA$2:$AA$50000,"设计如此",缺陷明细!$J$2:$J$50000,"系统测试"+COUNTIFS(缺陷明细!$A$2:$A$50000,$B$4,缺陷明细!$G$2:$G$50000,$C41,缺陷明细!$AA$2:$AA$50000,"重复Bug",缺陷明细!$J$2:$J$50000,"系统测试"))</f>
        <v>0</v>
      </c>
      <c r="S41" s="72">
        <f>COUNTIFS(缺陷明细!$A$2:$A$50000,$B$4,缺陷明细!$G$2:$G$50000,$C41,缺陷明细!$J$2:$J$50000,"系统测试",缺陷明细!$K$2:$K$50000,"致命",缺陷明细!$AA$2:$AA$50000,"&lt;&gt;丢弃",缺陷明细!$AA$2:$AA$50000,"&lt;&gt;设计如此",缺陷明细!$AA$2:$AA$50000,"&lt;&gt;重复Bug")+COUNTIFS(缺陷明细!$A$2:$A$50000,$B$4,缺陷明细!$G$2:$G$50000,$C41,缺陷明细!$J$2:$J$50000,"系统测试",缺陷明细!$K$2:$K$50000,"严重",缺陷明细!$AA$2:$AA$50000,"&lt;&gt;丢弃",缺陷明细!$AA$2:$AA$50000,"&lt;&gt;设计如此",缺陷明细!$AA$2:$AA$50000,"&lt;&gt;重复Bug")</f>
        <v>0</v>
      </c>
      <c r="T41" s="73">
        <f>COUNTIFS(缺陷明细!$A$2:$A$50000,$B$4,缺陷明细!$G$2:$G$50000,$C41,缺陷明细!$Q$2:$Q$50000,"已关闭",缺陷明细!$J$2:$J$50000,"系统测试",缺陷明细!$K$2:$K$50000,"致命")+COUNTIFS(缺陷明细!$A$2:$A$50000,$B$4,缺陷明细!$G$2:$G$50000,$C41,缺陷明细!$Q$2:$Q$50000,"已关闭",缺陷明细!$J$2:$J$50000,"系统测试",缺陷明细!$K$2:$K$50000,"严重")</f>
        <v>0</v>
      </c>
      <c r="U41" s="74">
        <f>COUNTIFS(缺陷明细!$A$2:$A$50000,$B$4,缺陷明细!$G$2:$G$50000,$C41,缺陷明细!$J$2:$J$50000,"验收测试",缺陷明细!$AA$2:$AA$50000,"&lt;&gt;丢弃",缺陷明细!$AA$2:$AA$50000,"&lt;&gt;设计如此",缺陷明细!$AA$2:$AA$50000,"&lt;&gt;重复Bug")</f>
        <v>0</v>
      </c>
      <c r="V41" s="75">
        <f>COUNTIFS(缺陷明细!$A$2:$A$50000,$B$4,缺陷明细!$G$2:$G$50000,$C41,缺陷明细!$Q$2:$Q$50000,"已关闭",缺陷明细!$J$2:$J$50000,"验收测试")</f>
        <v>0</v>
      </c>
      <c r="W41" s="75">
        <f>COUNTIFS(缺陷明细!$A$2:$A$50000,$B$4,缺陷明细!$G$2:$G$50000,$C41,缺陷明细!$J$2:$J$50000,"验收测试",缺陷明细!$K$2:$K$50000,"致命",缺陷明细!$AA$2:$AA$50000,"&lt;&gt;丢弃",缺陷明细!$AA$2:$AA$50000,"&lt;&gt;设计如此",缺陷明细!$AA$2:$AA$50000,"&lt;&gt;重复Bug")+COUNTIFS(缺陷明细!$A$2:$A$50000,$B$4,缺陷明细!$G$2:$G$50000,$C41,缺陷明细!$J$2:$J$50000,"验收测试",缺陷明细!$K$2:$K$50000,"严重",缺陷明细!$AA$2:$AA$50000,"&lt;&gt;丢弃",缺陷明细!$AA$2:$AA$50000,"&lt;&gt;设计如此",缺陷明细!$AA$2:$AA$50000,"&lt;&gt;重复Bug")</f>
        <v>0</v>
      </c>
      <c r="X41" s="76">
        <f>COUNTIFS(缺陷明细!$A$2:$A$50000,$B$4,缺陷明细!$G$2:$G$50000,$C41,缺陷明细!$Q$2:$Q$50000,"已关闭",缺陷明细!$J$2:$J$50000,"验收测试",缺陷明细!$K$2:$K$50000,"致命")+COUNTIFS(缺陷明细!$A$2:$A$50000,$B$4,缺陷明细!$G$2:$G$50000,$C41,缺陷明细!$Q$2:$Q$50000,"已关闭",缺陷明细!$J$2:$J$50000,"验收测试",缺陷明细!$K$2:$K$50000,"严重")</f>
        <v>0</v>
      </c>
      <c r="Y41" s="70">
        <f>COUNTIFS(缺陷明细!$A$2:$A$50000,$B$4,缺陷明细!$G$2:$G$50000,$C41,缺陷明细!$J$2:$J$50000,"运维测试",缺陷明细!$AA$2:$AA$50000,"&lt;&gt;丢弃",缺陷明细!$AA$2:$AA$50000,"&lt;&gt;设计如此",缺陷明细!$AA$2:$AA$50000,"&lt;&gt;重复Bug")</f>
        <v>0</v>
      </c>
      <c r="Z41" s="71">
        <f>COUNTIFS(缺陷明细!$A$2:$A$50000,$B$4,缺陷明细!$G$2:$G$50000,$C41,缺陷明细!$Q$2:$Q$50000,"已关闭",缺陷明细!$J$2:$J$50000,"运维测试")</f>
        <v>0</v>
      </c>
      <c r="AA41" s="72">
        <f>COUNTIFS(缺陷明细!$A$2:$A$50000,$B$4,缺陷明细!$G$2:$G$50000,$C41,缺陷明细!$J$2:$J$50000,"运维测试",缺陷明细!$K$2:$K$50000,"致命",缺陷明细!$AA$2:$AA$50000,"&lt;&gt;丢弃",缺陷明细!$AA$2:$AA$50000,"&lt;&gt;设计如此",缺陷明细!$AA$2:$AA$50000,"&lt;&gt;重复Bug")+COUNTIFS(缺陷明细!$A$2:$A$50000,$B$4,缺陷明细!$G$2:$G$50000,$C41,缺陷明细!$J$2:$J$50000,"运维测试",缺陷明细!$K$2:$K$50000,"严重",缺陷明细!$AA$2:$AA$50000,"&lt;&gt;丢弃",缺陷明细!$AA$2:$AA$50000,"&lt;&gt;设计如此",缺陷明细!$AA$2:$AA$50000,"&lt;&gt;重复Bug")</f>
        <v>0</v>
      </c>
      <c r="AB41" s="73">
        <f>COUNTIFS(缺陷明细!$A$2:$A$50000,$B$4,缺陷明细!$G$2:$G$50000,$C41,缺陷明细!$Q$2:$Q$50000,"已关闭",缺陷明细!$J$2:$J$50000,"运维测试",缺陷明细!$K$2:$K$50000,"致命")+COUNTIFS(缺陷明细!$A$2:$A$50000,$B$4,缺陷明细!$G$2:$G$50000,$C41,缺陷明细!$Q$2:$Q$50000,"已关闭",缺陷明细!$J$2:$J$50000,"运维测试",缺陷明细!$K$2:$K$50000,"严重")</f>
        <v>0</v>
      </c>
      <c r="AC41" s="68">
        <f t="shared" si="0"/>
        <v>0</v>
      </c>
      <c r="AD41" s="60">
        <f t="shared" si="0"/>
        <v>0</v>
      </c>
      <c r="AE41" s="60">
        <f t="shared" si="1"/>
        <v>0</v>
      </c>
      <c r="AF41" s="60">
        <f t="shared" si="1"/>
        <v>0</v>
      </c>
      <c r="AG41" s="60">
        <f t="shared" si="2"/>
        <v>0</v>
      </c>
      <c r="AH41" s="60">
        <f t="shared" si="2"/>
        <v>0</v>
      </c>
      <c r="AI41" s="60">
        <f t="shared" si="3"/>
        <v>0</v>
      </c>
      <c r="AJ41" s="61">
        <f t="shared" si="3"/>
        <v>0</v>
      </c>
      <c r="AK41" s="151"/>
    </row>
    <row r="42" spans="1:37">
      <c r="A42">
        <v>38</v>
      </c>
      <c r="B42" s="57"/>
      <c r="C42" s="58"/>
      <c r="D42" s="84"/>
      <c r="E42" s="82"/>
      <c r="F42" s="165"/>
      <c r="G42" s="166"/>
      <c r="H42" s="305">
        <f>COUNTIFS(缺陷明细!$A$2:$A$50000,$B$4,缺陷明细!$G$2:$G$50000,$C42,缺陷明细!$J$2:$J$50000,"评审",缺陷明细!$AA$2:$AA$50000,"&lt;&gt;丢弃",缺陷明细!$AA$2:$AA$50000,"&lt;&gt;设计如此",缺陷明细!$AA$2:$AA$50000,"&lt;&gt;重复Bug")</f>
        <v>0</v>
      </c>
      <c r="I42" s="161">
        <f>COUNTIFS(缺陷明细!$A$2:$A$50000,$B$4,缺陷明细!$G$2:$G$50000,$C42,缺陷明细!$Q$2:$Q$50000,"已关闭",缺陷明细!$J$2:$J$50000,"评审")</f>
        <v>0</v>
      </c>
      <c r="J42" s="161">
        <f>COUNTIFS(缺陷明细!$A$2:$A$50000,$B$4,缺陷明细!$G$2:$G$50000,$C42,缺陷明细!$J$2:$J$50000,"单元测试",缺陷明细!$AA$2:$AA$50000,"&lt;&gt;丢弃",缺陷明细!$AA$2:$AA$50000,"&lt;&gt;设计如此",缺陷明细!$AA$2:$AA$50000,"&lt;&gt;重复Bug")</f>
        <v>0</v>
      </c>
      <c r="K42" s="162">
        <f>COUNTIFS(缺陷明细!$A$2:$A$50000,$B$4,缺陷明细!$G$2:$G$50000,$C42,缺陷明细!$Q$2:$Q$50000,"已关闭",缺陷明细!$J$2:$J$50000,"单元测试")</f>
        <v>0</v>
      </c>
      <c r="L42" s="163"/>
      <c r="M42" s="164"/>
      <c r="N42" s="72">
        <f>COUNTIFS(缺陷明细!$A$2:$A$50000,$B$4,缺陷明细!$G$2:$G$50000,$C42,缺陷明细!$J$2:$J$50000,"系统测试案例评审",缺陷明细!$AA$2:$AA$50000,"&lt;&gt;丢弃",缺陷明细!$AA$2:$AA$50000,"&lt;&gt;设计如此",缺陷明细!$AA$2:$AA$50000,"&lt;&gt;重复Bug")</f>
        <v>0</v>
      </c>
      <c r="O42" s="72">
        <f>COUNTIFS(缺陷明细!$A$2:$A$50000,$B$4,缺陷明细!$G$2:$G$50000,$C42,缺陷明细!$Q$2:$Q$50000,"已关闭",缺陷明细!$J$2:$J$50000,"系统测试案例评审")</f>
        <v>0</v>
      </c>
      <c r="P42" s="72">
        <f>COUNTIFS(缺陷明细!$A$2:$A$50000,$B$4,缺陷明细!$G$2:$G$50000,$C42,缺陷明细!$J$2:$J$50000,"系统测试",缺陷明细!$AA$2:$AA$50000,"&lt;&gt;丢弃",缺陷明细!$AA$2:$AA$50000,"&lt;&gt;设计如此",缺陷明细!$AA$2:$AA$50000,"&lt;&gt;重复Bug")</f>
        <v>0</v>
      </c>
      <c r="Q42" s="72">
        <f>COUNTIFS(缺陷明细!$A$2:$A$50000,$B$4,缺陷明细!$G$2:$G$50000,$C42,缺陷明细!$Q$2:$Q$50000,"已关闭",缺陷明细!$J$2:$J$50000,"系统测试")</f>
        <v>0</v>
      </c>
      <c r="R42" s="72">
        <f>COUNTIFS(缺陷明细!$A$2:$A$50000,$B$4,缺陷明细!$G$2:$G$50000,$C42,缺陷明细!$AA$2:$AA$50000,"丢弃",缺陷明细!$J$2:$J$50000,"系统测试")+COUNTIFS(缺陷明细!$A$2:$A$50000,$B$4,缺陷明细!$G$2:$G$50000,$C42,缺陷明细!$AA$2:$AA$50000,"设计如此",缺陷明细!$J$2:$J$50000,"系统测试"+COUNTIFS(缺陷明细!$A$2:$A$50000,$B$4,缺陷明细!$G$2:$G$50000,$C42,缺陷明细!$AA$2:$AA$50000,"重复Bug",缺陷明细!$J$2:$J$50000,"系统测试"))</f>
        <v>0</v>
      </c>
      <c r="S42" s="72">
        <f>COUNTIFS(缺陷明细!$A$2:$A$50000,$B$4,缺陷明细!$G$2:$G$50000,$C42,缺陷明细!$J$2:$J$50000,"系统测试",缺陷明细!$K$2:$K$50000,"致命",缺陷明细!$AA$2:$AA$50000,"&lt;&gt;丢弃",缺陷明细!$AA$2:$AA$50000,"&lt;&gt;设计如此",缺陷明细!$AA$2:$AA$50000,"&lt;&gt;重复Bug")+COUNTIFS(缺陷明细!$A$2:$A$50000,$B$4,缺陷明细!$G$2:$G$50000,$C42,缺陷明细!$J$2:$J$50000,"系统测试",缺陷明细!$K$2:$K$50000,"严重",缺陷明细!$AA$2:$AA$50000,"&lt;&gt;丢弃",缺陷明细!$AA$2:$AA$50000,"&lt;&gt;设计如此",缺陷明细!$AA$2:$AA$50000,"&lt;&gt;重复Bug")</f>
        <v>0</v>
      </c>
      <c r="T42" s="73">
        <f>COUNTIFS(缺陷明细!$A$2:$A$50000,$B$4,缺陷明细!$G$2:$G$50000,$C42,缺陷明细!$Q$2:$Q$50000,"已关闭",缺陷明细!$J$2:$J$50000,"系统测试",缺陷明细!$K$2:$K$50000,"致命")+COUNTIFS(缺陷明细!$A$2:$A$50000,$B$4,缺陷明细!$G$2:$G$50000,$C42,缺陷明细!$Q$2:$Q$50000,"已关闭",缺陷明细!$J$2:$J$50000,"系统测试",缺陷明细!$K$2:$K$50000,"严重")</f>
        <v>0</v>
      </c>
      <c r="U42" s="74">
        <f>COUNTIFS(缺陷明细!$A$2:$A$50000,$B$4,缺陷明细!$G$2:$G$50000,$C42,缺陷明细!$J$2:$J$50000,"验收测试",缺陷明细!$AA$2:$AA$50000,"&lt;&gt;丢弃",缺陷明细!$AA$2:$AA$50000,"&lt;&gt;设计如此",缺陷明细!$AA$2:$AA$50000,"&lt;&gt;重复Bug")</f>
        <v>0</v>
      </c>
      <c r="V42" s="75">
        <f>COUNTIFS(缺陷明细!$A$2:$A$50000,$B$4,缺陷明细!$G$2:$G$50000,$C42,缺陷明细!$Q$2:$Q$50000,"已关闭",缺陷明细!$J$2:$J$50000,"验收测试")</f>
        <v>0</v>
      </c>
      <c r="W42" s="75">
        <f>COUNTIFS(缺陷明细!$A$2:$A$50000,$B$4,缺陷明细!$G$2:$G$50000,$C42,缺陷明细!$J$2:$J$50000,"验收测试",缺陷明细!$K$2:$K$50000,"致命",缺陷明细!$AA$2:$AA$50000,"&lt;&gt;丢弃",缺陷明细!$AA$2:$AA$50000,"&lt;&gt;设计如此",缺陷明细!$AA$2:$AA$50000,"&lt;&gt;重复Bug")+COUNTIFS(缺陷明细!$A$2:$A$50000,$B$4,缺陷明细!$G$2:$G$50000,$C42,缺陷明细!$J$2:$J$50000,"验收测试",缺陷明细!$K$2:$K$50000,"严重",缺陷明细!$AA$2:$AA$50000,"&lt;&gt;丢弃",缺陷明细!$AA$2:$AA$50000,"&lt;&gt;设计如此",缺陷明细!$AA$2:$AA$50000,"&lt;&gt;重复Bug")</f>
        <v>0</v>
      </c>
      <c r="X42" s="76">
        <f>COUNTIFS(缺陷明细!$A$2:$A$50000,$B$4,缺陷明细!$G$2:$G$50000,$C42,缺陷明细!$Q$2:$Q$50000,"已关闭",缺陷明细!$J$2:$J$50000,"验收测试",缺陷明细!$K$2:$K$50000,"致命")+COUNTIFS(缺陷明细!$A$2:$A$50000,$B$4,缺陷明细!$G$2:$G$50000,$C42,缺陷明细!$Q$2:$Q$50000,"已关闭",缺陷明细!$J$2:$J$50000,"验收测试",缺陷明细!$K$2:$K$50000,"严重")</f>
        <v>0</v>
      </c>
      <c r="Y42" s="70">
        <f>COUNTIFS(缺陷明细!$A$2:$A$50000,$B$4,缺陷明细!$G$2:$G$50000,$C42,缺陷明细!$J$2:$J$50000,"运维测试",缺陷明细!$AA$2:$AA$50000,"&lt;&gt;丢弃",缺陷明细!$AA$2:$AA$50000,"&lt;&gt;设计如此",缺陷明细!$AA$2:$AA$50000,"&lt;&gt;重复Bug")</f>
        <v>0</v>
      </c>
      <c r="Z42" s="71">
        <f>COUNTIFS(缺陷明细!$A$2:$A$50000,$B$4,缺陷明细!$G$2:$G$50000,$C42,缺陷明细!$Q$2:$Q$50000,"已关闭",缺陷明细!$J$2:$J$50000,"运维测试")</f>
        <v>0</v>
      </c>
      <c r="AA42" s="72">
        <f>COUNTIFS(缺陷明细!$A$2:$A$50000,$B$4,缺陷明细!$G$2:$G$50000,$C42,缺陷明细!$J$2:$J$50000,"运维测试",缺陷明细!$K$2:$K$50000,"致命",缺陷明细!$AA$2:$AA$50000,"&lt;&gt;丢弃",缺陷明细!$AA$2:$AA$50000,"&lt;&gt;设计如此",缺陷明细!$AA$2:$AA$50000,"&lt;&gt;重复Bug")+COUNTIFS(缺陷明细!$A$2:$A$50000,$B$4,缺陷明细!$G$2:$G$50000,$C42,缺陷明细!$J$2:$J$50000,"运维测试",缺陷明细!$K$2:$K$50000,"严重",缺陷明细!$AA$2:$AA$50000,"&lt;&gt;丢弃",缺陷明细!$AA$2:$AA$50000,"&lt;&gt;设计如此",缺陷明细!$AA$2:$AA$50000,"&lt;&gt;重复Bug")</f>
        <v>0</v>
      </c>
      <c r="AB42" s="73">
        <f>COUNTIFS(缺陷明细!$A$2:$A$50000,$B$4,缺陷明细!$G$2:$G$50000,$C42,缺陷明细!$Q$2:$Q$50000,"已关闭",缺陷明细!$J$2:$J$50000,"运维测试",缺陷明细!$K$2:$K$50000,"致命")+COUNTIFS(缺陷明细!$A$2:$A$50000,$B$4,缺陷明细!$G$2:$G$50000,$C42,缺陷明细!$Q$2:$Q$50000,"已关闭",缺陷明细!$J$2:$J$50000,"运维测试",缺陷明细!$K$2:$K$50000,"严重")</f>
        <v>0</v>
      </c>
      <c r="AC42" s="68">
        <f t="shared" si="0"/>
        <v>0</v>
      </c>
      <c r="AD42" s="60">
        <f t="shared" si="0"/>
        <v>0</v>
      </c>
      <c r="AE42" s="60">
        <f t="shared" si="1"/>
        <v>0</v>
      </c>
      <c r="AF42" s="60">
        <f t="shared" si="1"/>
        <v>0</v>
      </c>
      <c r="AG42" s="60">
        <f t="shared" si="2"/>
        <v>0</v>
      </c>
      <c r="AH42" s="60">
        <f t="shared" si="2"/>
        <v>0</v>
      </c>
      <c r="AI42" s="60">
        <f t="shared" si="3"/>
        <v>0</v>
      </c>
      <c r="AJ42" s="61">
        <f t="shared" si="3"/>
        <v>0</v>
      </c>
      <c r="AK42" s="151"/>
    </row>
    <row r="43" spans="1:37">
      <c r="A43">
        <v>39</v>
      </c>
      <c r="B43" s="57"/>
      <c r="C43" s="58"/>
      <c r="D43" s="84"/>
      <c r="E43" s="82"/>
      <c r="F43" s="165"/>
      <c r="G43" s="166"/>
      <c r="H43" s="305">
        <f>COUNTIFS(缺陷明细!$A$2:$A$50000,$B$4,缺陷明细!$G$2:$G$50000,$C43,缺陷明细!$J$2:$J$50000,"评审",缺陷明细!$AA$2:$AA$50000,"&lt;&gt;丢弃",缺陷明细!$AA$2:$AA$50000,"&lt;&gt;设计如此",缺陷明细!$AA$2:$AA$50000,"&lt;&gt;重复Bug")</f>
        <v>0</v>
      </c>
      <c r="I43" s="161">
        <f>COUNTIFS(缺陷明细!$A$2:$A$50000,$B$4,缺陷明细!$G$2:$G$50000,$C43,缺陷明细!$Q$2:$Q$50000,"已关闭",缺陷明细!$J$2:$J$50000,"评审")</f>
        <v>0</v>
      </c>
      <c r="J43" s="161">
        <f>COUNTIFS(缺陷明细!$A$2:$A$50000,$B$4,缺陷明细!$G$2:$G$50000,$C43,缺陷明细!$J$2:$J$50000,"单元测试",缺陷明细!$AA$2:$AA$50000,"&lt;&gt;丢弃",缺陷明细!$AA$2:$AA$50000,"&lt;&gt;设计如此",缺陷明细!$AA$2:$AA$50000,"&lt;&gt;重复Bug")</f>
        <v>0</v>
      </c>
      <c r="K43" s="162">
        <f>COUNTIFS(缺陷明细!$A$2:$A$50000,$B$4,缺陷明细!$G$2:$G$50000,$C43,缺陷明细!$Q$2:$Q$50000,"已关闭",缺陷明细!$J$2:$J$50000,"单元测试")</f>
        <v>0</v>
      </c>
      <c r="L43" s="163"/>
      <c r="M43" s="164"/>
      <c r="N43" s="72">
        <f>COUNTIFS(缺陷明细!$A$2:$A$50000,$B$4,缺陷明细!$G$2:$G$50000,$C43,缺陷明细!$J$2:$J$50000,"系统测试案例评审",缺陷明细!$AA$2:$AA$50000,"&lt;&gt;丢弃",缺陷明细!$AA$2:$AA$50000,"&lt;&gt;设计如此",缺陷明细!$AA$2:$AA$50000,"&lt;&gt;重复Bug")</f>
        <v>0</v>
      </c>
      <c r="O43" s="72">
        <f>COUNTIFS(缺陷明细!$A$2:$A$50000,$B$4,缺陷明细!$G$2:$G$50000,$C43,缺陷明细!$Q$2:$Q$50000,"已关闭",缺陷明细!$J$2:$J$50000,"系统测试案例评审")</f>
        <v>0</v>
      </c>
      <c r="P43" s="72">
        <f>COUNTIFS(缺陷明细!$A$2:$A$50000,$B$4,缺陷明细!$G$2:$G$50000,$C43,缺陷明细!$J$2:$J$50000,"系统测试",缺陷明细!$AA$2:$AA$50000,"&lt;&gt;丢弃",缺陷明细!$AA$2:$AA$50000,"&lt;&gt;设计如此",缺陷明细!$AA$2:$AA$50000,"&lt;&gt;重复Bug")</f>
        <v>0</v>
      </c>
      <c r="Q43" s="72">
        <f>COUNTIFS(缺陷明细!$A$2:$A$50000,$B$4,缺陷明细!$G$2:$G$50000,$C43,缺陷明细!$Q$2:$Q$50000,"已关闭",缺陷明细!$J$2:$J$50000,"系统测试")</f>
        <v>0</v>
      </c>
      <c r="R43" s="72">
        <f>COUNTIFS(缺陷明细!$A$2:$A$50000,$B$4,缺陷明细!$G$2:$G$50000,$C43,缺陷明细!$AA$2:$AA$50000,"丢弃",缺陷明细!$J$2:$J$50000,"系统测试")+COUNTIFS(缺陷明细!$A$2:$A$50000,$B$4,缺陷明细!$G$2:$G$50000,$C43,缺陷明细!$AA$2:$AA$50000,"设计如此",缺陷明细!$J$2:$J$50000,"系统测试"+COUNTIFS(缺陷明细!$A$2:$A$50000,$B$4,缺陷明细!$G$2:$G$50000,$C43,缺陷明细!$AA$2:$AA$50000,"重复Bug",缺陷明细!$J$2:$J$50000,"系统测试"))</f>
        <v>0</v>
      </c>
      <c r="S43" s="72">
        <f>COUNTIFS(缺陷明细!$A$2:$A$50000,$B$4,缺陷明细!$G$2:$G$50000,$C43,缺陷明细!$J$2:$J$50000,"系统测试",缺陷明细!$K$2:$K$50000,"致命",缺陷明细!$AA$2:$AA$50000,"&lt;&gt;丢弃",缺陷明细!$AA$2:$AA$50000,"&lt;&gt;设计如此",缺陷明细!$AA$2:$AA$50000,"&lt;&gt;重复Bug")+COUNTIFS(缺陷明细!$A$2:$A$50000,$B$4,缺陷明细!$G$2:$G$50000,$C43,缺陷明细!$J$2:$J$50000,"系统测试",缺陷明细!$K$2:$K$50000,"严重",缺陷明细!$AA$2:$AA$50000,"&lt;&gt;丢弃",缺陷明细!$AA$2:$AA$50000,"&lt;&gt;设计如此",缺陷明细!$AA$2:$AA$50000,"&lt;&gt;重复Bug")</f>
        <v>0</v>
      </c>
      <c r="T43" s="73">
        <f>COUNTIFS(缺陷明细!$A$2:$A$50000,$B$4,缺陷明细!$G$2:$G$50000,$C43,缺陷明细!$Q$2:$Q$50000,"已关闭",缺陷明细!$J$2:$J$50000,"系统测试",缺陷明细!$K$2:$K$50000,"致命")+COUNTIFS(缺陷明细!$A$2:$A$50000,$B$4,缺陷明细!$G$2:$G$50000,$C43,缺陷明细!$Q$2:$Q$50000,"已关闭",缺陷明细!$J$2:$J$50000,"系统测试",缺陷明细!$K$2:$K$50000,"严重")</f>
        <v>0</v>
      </c>
      <c r="U43" s="74">
        <f>COUNTIFS(缺陷明细!$A$2:$A$50000,$B$4,缺陷明细!$G$2:$G$50000,$C43,缺陷明细!$J$2:$J$50000,"验收测试",缺陷明细!$AA$2:$AA$50000,"&lt;&gt;丢弃",缺陷明细!$AA$2:$AA$50000,"&lt;&gt;设计如此",缺陷明细!$AA$2:$AA$50000,"&lt;&gt;重复Bug")</f>
        <v>0</v>
      </c>
      <c r="V43" s="75">
        <f>COUNTIFS(缺陷明细!$A$2:$A$50000,$B$4,缺陷明细!$G$2:$G$50000,$C43,缺陷明细!$Q$2:$Q$50000,"已关闭",缺陷明细!$J$2:$J$50000,"验收测试")</f>
        <v>0</v>
      </c>
      <c r="W43" s="75">
        <f>COUNTIFS(缺陷明细!$A$2:$A$50000,$B$4,缺陷明细!$G$2:$G$50000,$C43,缺陷明细!$J$2:$J$50000,"验收测试",缺陷明细!$K$2:$K$50000,"致命",缺陷明细!$AA$2:$AA$50000,"&lt;&gt;丢弃",缺陷明细!$AA$2:$AA$50000,"&lt;&gt;设计如此",缺陷明细!$AA$2:$AA$50000,"&lt;&gt;重复Bug")+COUNTIFS(缺陷明细!$A$2:$A$50000,$B$4,缺陷明细!$G$2:$G$50000,$C43,缺陷明细!$J$2:$J$50000,"验收测试",缺陷明细!$K$2:$K$50000,"严重",缺陷明细!$AA$2:$AA$50000,"&lt;&gt;丢弃",缺陷明细!$AA$2:$AA$50000,"&lt;&gt;设计如此",缺陷明细!$AA$2:$AA$50000,"&lt;&gt;重复Bug")</f>
        <v>0</v>
      </c>
      <c r="X43" s="76">
        <f>COUNTIFS(缺陷明细!$A$2:$A$50000,$B$4,缺陷明细!$G$2:$G$50000,$C43,缺陷明细!$Q$2:$Q$50000,"已关闭",缺陷明细!$J$2:$J$50000,"验收测试",缺陷明细!$K$2:$K$50000,"致命")+COUNTIFS(缺陷明细!$A$2:$A$50000,$B$4,缺陷明细!$G$2:$G$50000,$C43,缺陷明细!$Q$2:$Q$50000,"已关闭",缺陷明细!$J$2:$J$50000,"验收测试",缺陷明细!$K$2:$K$50000,"严重")</f>
        <v>0</v>
      </c>
      <c r="Y43" s="70">
        <f>COUNTIFS(缺陷明细!$A$2:$A$50000,$B$4,缺陷明细!$G$2:$G$50000,$C43,缺陷明细!$J$2:$J$50000,"运维测试",缺陷明细!$AA$2:$AA$50000,"&lt;&gt;丢弃",缺陷明细!$AA$2:$AA$50000,"&lt;&gt;设计如此",缺陷明细!$AA$2:$AA$50000,"&lt;&gt;重复Bug")</f>
        <v>0</v>
      </c>
      <c r="Z43" s="71">
        <f>COUNTIFS(缺陷明细!$A$2:$A$50000,$B$4,缺陷明细!$G$2:$G$50000,$C43,缺陷明细!$Q$2:$Q$50000,"已关闭",缺陷明细!$J$2:$J$50000,"运维测试")</f>
        <v>0</v>
      </c>
      <c r="AA43" s="72">
        <f>COUNTIFS(缺陷明细!$A$2:$A$50000,$B$4,缺陷明细!$G$2:$G$50000,$C43,缺陷明细!$J$2:$J$50000,"运维测试",缺陷明细!$K$2:$K$50000,"致命",缺陷明细!$AA$2:$AA$50000,"&lt;&gt;丢弃",缺陷明细!$AA$2:$AA$50000,"&lt;&gt;设计如此",缺陷明细!$AA$2:$AA$50000,"&lt;&gt;重复Bug")+COUNTIFS(缺陷明细!$A$2:$A$50000,$B$4,缺陷明细!$G$2:$G$50000,$C43,缺陷明细!$J$2:$J$50000,"运维测试",缺陷明细!$K$2:$K$50000,"严重",缺陷明细!$AA$2:$AA$50000,"&lt;&gt;丢弃",缺陷明细!$AA$2:$AA$50000,"&lt;&gt;设计如此",缺陷明细!$AA$2:$AA$50000,"&lt;&gt;重复Bug")</f>
        <v>0</v>
      </c>
      <c r="AB43" s="73">
        <f>COUNTIFS(缺陷明细!$A$2:$A$50000,$B$4,缺陷明细!$G$2:$G$50000,$C43,缺陷明细!$Q$2:$Q$50000,"已关闭",缺陷明细!$J$2:$J$50000,"运维测试",缺陷明细!$K$2:$K$50000,"致命")+COUNTIFS(缺陷明细!$A$2:$A$50000,$B$4,缺陷明细!$G$2:$G$50000,$C43,缺陷明细!$Q$2:$Q$50000,"已关闭",缺陷明细!$J$2:$J$50000,"运维测试",缺陷明细!$K$2:$K$50000,"严重")</f>
        <v>0</v>
      </c>
      <c r="AC43" s="68">
        <f t="shared" si="0"/>
        <v>0</v>
      </c>
      <c r="AD43" s="60">
        <f t="shared" si="0"/>
        <v>0</v>
      </c>
      <c r="AE43" s="60">
        <f t="shared" si="1"/>
        <v>0</v>
      </c>
      <c r="AF43" s="60">
        <f t="shared" si="1"/>
        <v>0</v>
      </c>
      <c r="AG43" s="60">
        <f t="shared" si="2"/>
        <v>0</v>
      </c>
      <c r="AH43" s="60">
        <f t="shared" si="2"/>
        <v>0</v>
      </c>
      <c r="AI43" s="60">
        <f t="shared" si="3"/>
        <v>0</v>
      </c>
      <c r="AJ43" s="61">
        <f t="shared" si="3"/>
        <v>0</v>
      </c>
      <c r="AK43" s="151"/>
    </row>
    <row r="44" spans="1:37">
      <c r="A44">
        <v>40</v>
      </c>
      <c r="B44" s="57"/>
      <c r="C44" s="58"/>
      <c r="D44" s="84"/>
      <c r="E44" s="82"/>
      <c r="F44" s="165"/>
      <c r="G44" s="166"/>
      <c r="H44" s="305">
        <f>COUNTIFS(缺陷明细!$A$2:$A$50000,$B$4,缺陷明细!$G$2:$G$50000,$C44,缺陷明细!$J$2:$J$50000,"评审",缺陷明细!$AA$2:$AA$50000,"&lt;&gt;丢弃",缺陷明细!$AA$2:$AA$50000,"&lt;&gt;设计如此",缺陷明细!$AA$2:$AA$50000,"&lt;&gt;重复Bug")</f>
        <v>0</v>
      </c>
      <c r="I44" s="161">
        <f>COUNTIFS(缺陷明细!$A$2:$A$50000,$B$4,缺陷明细!$G$2:$G$50000,$C44,缺陷明细!$Q$2:$Q$50000,"已关闭",缺陷明细!$J$2:$J$50000,"评审")</f>
        <v>0</v>
      </c>
      <c r="J44" s="161">
        <f>COUNTIFS(缺陷明细!$A$2:$A$50000,$B$4,缺陷明细!$G$2:$G$50000,$C44,缺陷明细!$J$2:$J$50000,"单元测试",缺陷明细!$AA$2:$AA$50000,"&lt;&gt;丢弃",缺陷明细!$AA$2:$AA$50000,"&lt;&gt;设计如此",缺陷明细!$AA$2:$AA$50000,"&lt;&gt;重复Bug")</f>
        <v>0</v>
      </c>
      <c r="K44" s="162">
        <f>COUNTIFS(缺陷明细!$A$2:$A$50000,$B$4,缺陷明细!$G$2:$G$50000,$C44,缺陷明细!$Q$2:$Q$50000,"已关闭",缺陷明细!$J$2:$J$50000,"单元测试")</f>
        <v>0</v>
      </c>
      <c r="L44" s="163"/>
      <c r="M44" s="164"/>
      <c r="N44" s="72">
        <f>COUNTIFS(缺陷明细!$A$2:$A$50000,$B$4,缺陷明细!$G$2:$G$50000,$C44,缺陷明细!$J$2:$J$50000,"系统测试案例评审",缺陷明细!$AA$2:$AA$50000,"&lt;&gt;丢弃",缺陷明细!$AA$2:$AA$50000,"&lt;&gt;设计如此",缺陷明细!$AA$2:$AA$50000,"&lt;&gt;重复Bug")</f>
        <v>0</v>
      </c>
      <c r="O44" s="72">
        <f>COUNTIFS(缺陷明细!$A$2:$A$50000,$B$4,缺陷明细!$G$2:$G$50000,$C44,缺陷明细!$Q$2:$Q$50000,"已关闭",缺陷明细!$J$2:$J$50000,"系统测试案例评审")</f>
        <v>0</v>
      </c>
      <c r="P44" s="72">
        <f>COUNTIFS(缺陷明细!$A$2:$A$50000,$B$4,缺陷明细!$G$2:$G$50000,$C44,缺陷明细!$J$2:$J$50000,"系统测试",缺陷明细!$AA$2:$AA$50000,"&lt;&gt;丢弃",缺陷明细!$AA$2:$AA$50000,"&lt;&gt;设计如此",缺陷明细!$AA$2:$AA$50000,"&lt;&gt;重复Bug")</f>
        <v>0</v>
      </c>
      <c r="Q44" s="72">
        <f>COUNTIFS(缺陷明细!$A$2:$A$50000,$B$4,缺陷明细!$G$2:$G$50000,$C44,缺陷明细!$Q$2:$Q$50000,"已关闭",缺陷明细!$J$2:$J$50000,"系统测试")</f>
        <v>0</v>
      </c>
      <c r="R44" s="72">
        <f>COUNTIFS(缺陷明细!$A$2:$A$50000,$B$4,缺陷明细!$G$2:$G$50000,$C44,缺陷明细!$AA$2:$AA$50000,"丢弃",缺陷明细!$J$2:$J$50000,"系统测试")+COUNTIFS(缺陷明细!$A$2:$A$50000,$B$4,缺陷明细!$G$2:$G$50000,$C44,缺陷明细!$AA$2:$AA$50000,"设计如此",缺陷明细!$J$2:$J$50000,"系统测试"+COUNTIFS(缺陷明细!$A$2:$A$50000,$B$4,缺陷明细!$G$2:$G$50000,$C44,缺陷明细!$AA$2:$AA$50000,"重复Bug",缺陷明细!$J$2:$J$50000,"系统测试"))</f>
        <v>0</v>
      </c>
      <c r="S44" s="72">
        <f>COUNTIFS(缺陷明细!$A$2:$A$50000,$B$4,缺陷明细!$G$2:$G$50000,$C44,缺陷明细!$J$2:$J$50000,"系统测试",缺陷明细!$K$2:$K$50000,"致命",缺陷明细!$AA$2:$AA$50000,"&lt;&gt;丢弃",缺陷明细!$AA$2:$AA$50000,"&lt;&gt;设计如此",缺陷明细!$AA$2:$AA$50000,"&lt;&gt;重复Bug")+COUNTIFS(缺陷明细!$A$2:$A$50000,$B$4,缺陷明细!$G$2:$G$50000,$C44,缺陷明细!$J$2:$J$50000,"系统测试",缺陷明细!$K$2:$K$50000,"严重",缺陷明细!$AA$2:$AA$50000,"&lt;&gt;丢弃",缺陷明细!$AA$2:$AA$50000,"&lt;&gt;设计如此",缺陷明细!$AA$2:$AA$50000,"&lt;&gt;重复Bug")</f>
        <v>0</v>
      </c>
      <c r="T44" s="73">
        <f>COUNTIFS(缺陷明细!$A$2:$A$50000,$B$4,缺陷明细!$G$2:$G$50000,$C44,缺陷明细!$Q$2:$Q$50000,"已关闭",缺陷明细!$J$2:$J$50000,"系统测试",缺陷明细!$K$2:$K$50000,"致命")+COUNTIFS(缺陷明细!$A$2:$A$50000,$B$4,缺陷明细!$G$2:$G$50000,$C44,缺陷明细!$Q$2:$Q$50000,"已关闭",缺陷明细!$J$2:$J$50000,"系统测试",缺陷明细!$K$2:$K$50000,"严重")</f>
        <v>0</v>
      </c>
      <c r="U44" s="74">
        <f>COUNTIFS(缺陷明细!$A$2:$A$50000,$B$4,缺陷明细!$G$2:$G$50000,$C44,缺陷明细!$J$2:$J$50000,"验收测试",缺陷明细!$AA$2:$AA$50000,"&lt;&gt;丢弃",缺陷明细!$AA$2:$AA$50000,"&lt;&gt;设计如此",缺陷明细!$AA$2:$AA$50000,"&lt;&gt;重复Bug")</f>
        <v>0</v>
      </c>
      <c r="V44" s="75">
        <f>COUNTIFS(缺陷明细!$A$2:$A$50000,$B$4,缺陷明细!$G$2:$G$50000,$C44,缺陷明细!$Q$2:$Q$50000,"已关闭",缺陷明细!$J$2:$J$50000,"验收测试")</f>
        <v>0</v>
      </c>
      <c r="W44" s="75">
        <f>COUNTIFS(缺陷明细!$A$2:$A$50000,$B$4,缺陷明细!$G$2:$G$50000,$C44,缺陷明细!$J$2:$J$50000,"验收测试",缺陷明细!$K$2:$K$50000,"致命",缺陷明细!$AA$2:$AA$50000,"&lt;&gt;丢弃",缺陷明细!$AA$2:$AA$50000,"&lt;&gt;设计如此",缺陷明细!$AA$2:$AA$50000,"&lt;&gt;重复Bug")+COUNTIFS(缺陷明细!$A$2:$A$50000,$B$4,缺陷明细!$G$2:$G$50000,$C44,缺陷明细!$J$2:$J$50000,"验收测试",缺陷明细!$K$2:$K$50000,"严重",缺陷明细!$AA$2:$AA$50000,"&lt;&gt;丢弃",缺陷明细!$AA$2:$AA$50000,"&lt;&gt;设计如此",缺陷明细!$AA$2:$AA$50000,"&lt;&gt;重复Bug")</f>
        <v>0</v>
      </c>
      <c r="X44" s="76">
        <f>COUNTIFS(缺陷明细!$A$2:$A$50000,$B$4,缺陷明细!$G$2:$G$50000,$C44,缺陷明细!$Q$2:$Q$50000,"已关闭",缺陷明细!$J$2:$J$50000,"验收测试",缺陷明细!$K$2:$K$50000,"致命")+COUNTIFS(缺陷明细!$A$2:$A$50000,$B$4,缺陷明细!$G$2:$G$50000,$C44,缺陷明细!$Q$2:$Q$50000,"已关闭",缺陷明细!$J$2:$J$50000,"验收测试",缺陷明细!$K$2:$K$50000,"严重")</f>
        <v>0</v>
      </c>
      <c r="Y44" s="70">
        <f>COUNTIFS(缺陷明细!$A$2:$A$50000,$B$4,缺陷明细!$G$2:$G$50000,$C44,缺陷明细!$J$2:$J$50000,"运维测试",缺陷明细!$AA$2:$AA$50000,"&lt;&gt;丢弃",缺陷明细!$AA$2:$AA$50000,"&lt;&gt;设计如此",缺陷明细!$AA$2:$AA$50000,"&lt;&gt;重复Bug")</f>
        <v>0</v>
      </c>
      <c r="Z44" s="71">
        <f>COUNTIFS(缺陷明细!$A$2:$A$50000,$B$4,缺陷明细!$G$2:$G$50000,$C44,缺陷明细!$Q$2:$Q$50000,"已关闭",缺陷明细!$J$2:$J$50000,"运维测试")</f>
        <v>0</v>
      </c>
      <c r="AA44" s="72">
        <f>COUNTIFS(缺陷明细!$A$2:$A$50000,$B$4,缺陷明细!$G$2:$G$50000,$C44,缺陷明细!$J$2:$J$50000,"运维测试",缺陷明细!$K$2:$K$50000,"致命",缺陷明细!$AA$2:$AA$50000,"&lt;&gt;丢弃",缺陷明细!$AA$2:$AA$50000,"&lt;&gt;设计如此",缺陷明细!$AA$2:$AA$50000,"&lt;&gt;重复Bug")+COUNTIFS(缺陷明细!$A$2:$A$50000,$B$4,缺陷明细!$G$2:$G$50000,$C44,缺陷明细!$J$2:$J$50000,"运维测试",缺陷明细!$K$2:$K$50000,"严重",缺陷明细!$AA$2:$AA$50000,"&lt;&gt;丢弃",缺陷明细!$AA$2:$AA$50000,"&lt;&gt;设计如此",缺陷明细!$AA$2:$AA$50000,"&lt;&gt;重复Bug")</f>
        <v>0</v>
      </c>
      <c r="AB44" s="73">
        <f>COUNTIFS(缺陷明细!$A$2:$A$50000,$B$4,缺陷明细!$G$2:$G$50000,$C44,缺陷明细!$Q$2:$Q$50000,"已关闭",缺陷明细!$J$2:$J$50000,"运维测试",缺陷明细!$K$2:$K$50000,"致命")+COUNTIFS(缺陷明细!$A$2:$A$50000,$B$4,缺陷明细!$G$2:$G$50000,$C44,缺陷明细!$Q$2:$Q$50000,"已关闭",缺陷明细!$J$2:$J$50000,"运维测试",缺陷明细!$K$2:$K$50000,"严重")</f>
        <v>0</v>
      </c>
      <c r="AC44" s="68">
        <f t="shared" si="0"/>
        <v>0</v>
      </c>
      <c r="AD44" s="60">
        <f t="shared" si="0"/>
        <v>0</v>
      </c>
      <c r="AE44" s="60">
        <f t="shared" si="1"/>
        <v>0</v>
      </c>
      <c r="AF44" s="60">
        <f t="shared" si="1"/>
        <v>0</v>
      </c>
      <c r="AG44" s="60">
        <f t="shared" si="2"/>
        <v>0</v>
      </c>
      <c r="AH44" s="60">
        <f t="shared" si="2"/>
        <v>0</v>
      </c>
      <c r="AI44" s="60">
        <f t="shared" si="3"/>
        <v>0</v>
      </c>
      <c r="AJ44" s="61">
        <f t="shared" si="3"/>
        <v>0</v>
      </c>
      <c r="AK44" s="151"/>
    </row>
    <row r="45" spans="1:37">
      <c r="A45">
        <v>41</v>
      </c>
      <c r="B45" s="57"/>
      <c r="C45" s="58"/>
      <c r="D45" s="84"/>
      <c r="E45" s="82"/>
      <c r="F45" s="165"/>
      <c r="G45" s="166"/>
      <c r="H45" s="305">
        <f>COUNTIFS(缺陷明细!$A$2:$A$50000,$B$4,缺陷明细!$G$2:$G$50000,$C45,缺陷明细!$J$2:$J$50000,"评审",缺陷明细!$AA$2:$AA$50000,"&lt;&gt;丢弃",缺陷明细!$AA$2:$AA$50000,"&lt;&gt;设计如此",缺陷明细!$AA$2:$AA$50000,"&lt;&gt;重复Bug")</f>
        <v>0</v>
      </c>
      <c r="I45" s="161">
        <f>COUNTIFS(缺陷明细!$A$2:$A$50000,$B$4,缺陷明细!$G$2:$G$50000,$C45,缺陷明细!$Q$2:$Q$50000,"已关闭",缺陷明细!$J$2:$J$50000,"评审")</f>
        <v>0</v>
      </c>
      <c r="J45" s="161">
        <f>COUNTIFS(缺陷明细!$A$2:$A$50000,$B$4,缺陷明细!$G$2:$G$50000,$C45,缺陷明细!$J$2:$J$50000,"单元测试",缺陷明细!$AA$2:$AA$50000,"&lt;&gt;丢弃",缺陷明细!$AA$2:$AA$50000,"&lt;&gt;设计如此",缺陷明细!$AA$2:$AA$50000,"&lt;&gt;重复Bug")</f>
        <v>0</v>
      </c>
      <c r="K45" s="162">
        <f>COUNTIFS(缺陷明细!$A$2:$A$50000,$B$4,缺陷明细!$G$2:$G$50000,$C45,缺陷明细!$Q$2:$Q$50000,"已关闭",缺陷明细!$J$2:$J$50000,"单元测试")</f>
        <v>0</v>
      </c>
      <c r="L45" s="163"/>
      <c r="M45" s="164"/>
      <c r="N45" s="72">
        <f>COUNTIFS(缺陷明细!$A$2:$A$50000,$B$4,缺陷明细!$G$2:$G$50000,$C45,缺陷明细!$J$2:$J$50000,"系统测试案例评审",缺陷明细!$AA$2:$AA$50000,"&lt;&gt;丢弃",缺陷明细!$AA$2:$AA$50000,"&lt;&gt;设计如此",缺陷明细!$AA$2:$AA$50000,"&lt;&gt;重复Bug")</f>
        <v>0</v>
      </c>
      <c r="O45" s="72">
        <f>COUNTIFS(缺陷明细!$A$2:$A$50000,$B$4,缺陷明细!$G$2:$G$50000,$C45,缺陷明细!$Q$2:$Q$50000,"已关闭",缺陷明细!$J$2:$J$50000,"系统测试案例评审")</f>
        <v>0</v>
      </c>
      <c r="P45" s="72">
        <f>COUNTIFS(缺陷明细!$A$2:$A$50000,$B$4,缺陷明细!$G$2:$G$50000,$C45,缺陷明细!$J$2:$J$50000,"系统测试",缺陷明细!$AA$2:$AA$50000,"&lt;&gt;丢弃",缺陷明细!$AA$2:$AA$50000,"&lt;&gt;设计如此",缺陷明细!$AA$2:$AA$50000,"&lt;&gt;重复Bug")</f>
        <v>0</v>
      </c>
      <c r="Q45" s="72">
        <f>COUNTIFS(缺陷明细!$A$2:$A$50000,$B$4,缺陷明细!$G$2:$G$50000,$C45,缺陷明细!$Q$2:$Q$50000,"已关闭",缺陷明细!$J$2:$J$50000,"系统测试")</f>
        <v>0</v>
      </c>
      <c r="R45" s="72">
        <f>COUNTIFS(缺陷明细!$A$2:$A$50000,$B$4,缺陷明细!$G$2:$G$50000,$C45,缺陷明细!$AA$2:$AA$50000,"丢弃",缺陷明细!$J$2:$J$50000,"系统测试")+COUNTIFS(缺陷明细!$A$2:$A$50000,$B$4,缺陷明细!$G$2:$G$50000,$C45,缺陷明细!$AA$2:$AA$50000,"设计如此",缺陷明细!$J$2:$J$50000,"系统测试"+COUNTIFS(缺陷明细!$A$2:$A$50000,$B$4,缺陷明细!$G$2:$G$50000,$C45,缺陷明细!$AA$2:$AA$50000,"重复Bug",缺陷明细!$J$2:$J$50000,"系统测试"))</f>
        <v>0</v>
      </c>
      <c r="S45" s="72">
        <f>COUNTIFS(缺陷明细!$A$2:$A$50000,$B$4,缺陷明细!$G$2:$G$50000,$C45,缺陷明细!$J$2:$J$50000,"系统测试",缺陷明细!$K$2:$K$50000,"致命",缺陷明细!$AA$2:$AA$50000,"&lt;&gt;丢弃",缺陷明细!$AA$2:$AA$50000,"&lt;&gt;设计如此",缺陷明细!$AA$2:$AA$50000,"&lt;&gt;重复Bug")+COUNTIFS(缺陷明细!$A$2:$A$50000,$B$4,缺陷明细!$G$2:$G$50000,$C45,缺陷明细!$J$2:$J$50000,"系统测试",缺陷明细!$K$2:$K$50000,"严重",缺陷明细!$AA$2:$AA$50000,"&lt;&gt;丢弃",缺陷明细!$AA$2:$AA$50000,"&lt;&gt;设计如此",缺陷明细!$AA$2:$AA$50000,"&lt;&gt;重复Bug")</f>
        <v>0</v>
      </c>
      <c r="T45" s="73">
        <f>COUNTIFS(缺陷明细!$A$2:$A$50000,$B$4,缺陷明细!$G$2:$G$50000,$C45,缺陷明细!$Q$2:$Q$50000,"已关闭",缺陷明细!$J$2:$J$50000,"系统测试",缺陷明细!$K$2:$K$50000,"致命")+COUNTIFS(缺陷明细!$A$2:$A$50000,$B$4,缺陷明细!$G$2:$G$50000,$C45,缺陷明细!$Q$2:$Q$50000,"已关闭",缺陷明细!$J$2:$J$50000,"系统测试",缺陷明细!$K$2:$K$50000,"严重")</f>
        <v>0</v>
      </c>
      <c r="U45" s="74">
        <f>COUNTIFS(缺陷明细!$A$2:$A$50000,$B$4,缺陷明细!$G$2:$G$50000,$C45,缺陷明细!$J$2:$J$50000,"验收测试",缺陷明细!$AA$2:$AA$50000,"&lt;&gt;丢弃",缺陷明细!$AA$2:$AA$50000,"&lt;&gt;设计如此",缺陷明细!$AA$2:$AA$50000,"&lt;&gt;重复Bug")</f>
        <v>0</v>
      </c>
      <c r="V45" s="75">
        <f>COUNTIFS(缺陷明细!$A$2:$A$50000,$B$4,缺陷明细!$G$2:$G$50000,$C45,缺陷明细!$Q$2:$Q$50000,"已关闭",缺陷明细!$J$2:$J$50000,"验收测试")</f>
        <v>0</v>
      </c>
      <c r="W45" s="75">
        <f>COUNTIFS(缺陷明细!$A$2:$A$50000,$B$4,缺陷明细!$G$2:$G$50000,$C45,缺陷明细!$J$2:$J$50000,"验收测试",缺陷明细!$K$2:$K$50000,"致命",缺陷明细!$AA$2:$AA$50000,"&lt;&gt;丢弃",缺陷明细!$AA$2:$AA$50000,"&lt;&gt;设计如此",缺陷明细!$AA$2:$AA$50000,"&lt;&gt;重复Bug")+COUNTIFS(缺陷明细!$A$2:$A$50000,$B$4,缺陷明细!$G$2:$G$50000,$C45,缺陷明细!$J$2:$J$50000,"验收测试",缺陷明细!$K$2:$K$50000,"严重",缺陷明细!$AA$2:$AA$50000,"&lt;&gt;丢弃",缺陷明细!$AA$2:$AA$50000,"&lt;&gt;设计如此",缺陷明细!$AA$2:$AA$50000,"&lt;&gt;重复Bug")</f>
        <v>0</v>
      </c>
      <c r="X45" s="76">
        <f>COUNTIFS(缺陷明细!$A$2:$A$50000,$B$4,缺陷明细!$G$2:$G$50000,$C45,缺陷明细!$Q$2:$Q$50000,"已关闭",缺陷明细!$J$2:$J$50000,"验收测试",缺陷明细!$K$2:$K$50000,"致命")+COUNTIFS(缺陷明细!$A$2:$A$50000,$B$4,缺陷明细!$G$2:$G$50000,$C45,缺陷明细!$Q$2:$Q$50000,"已关闭",缺陷明细!$J$2:$J$50000,"验收测试",缺陷明细!$K$2:$K$50000,"严重")</f>
        <v>0</v>
      </c>
      <c r="Y45" s="70">
        <f>COUNTIFS(缺陷明细!$A$2:$A$50000,$B$4,缺陷明细!$G$2:$G$50000,$C45,缺陷明细!$J$2:$J$50000,"运维测试",缺陷明细!$AA$2:$AA$50000,"&lt;&gt;丢弃",缺陷明细!$AA$2:$AA$50000,"&lt;&gt;设计如此",缺陷明细!$AA$2:$AA$50000,"&lt;&gt;重复Bug")</f>
        <v>0</v>
      </c>
      <c r="Z45" s="71">
        <f>COUNTIFS(缺陷明细!$A$2:$A$50000,$B$4,缺陷明细!$G$2:$G$50000,$C45,缺陷明细!$Q$2:$Q$50000,"已关闭",缺陷明细!$J$2:$J$50000,"运维测试")</f>
        <v>0</v>
      </c>
      <c r="AA45" s="72">
        <f>COUNTIFS(缺陷明细!$A$2:$A$50000,$B$4,缺陷明细!$G$2:$G$50000,$C45,缺陷明细!$J$2:$J$50000,"运维测试",缺陷明细!$K$2:$K$50000,"致命",缺陷明细!$AA$2:$AA$50000,"&lt;&gt;丢弃",缺陷明细!$AA$2:$AA$50000,"&lt;&gt;设计如此",缺陷明细!$AA$2:$AA$50000,"&lt;&gt;重复Bug")+COUNTIFS(缺陷明细!$A$2:$A$50000,$B$4,缺陷明细!$G$2:$G$50000,$C45,缺陷明细!$J$2:$J$50000,"运维测试",缺陷明细!$K$2:$K$50000,"严重",缺陷明细!$AA$2:$AA$50000,"&lt;&gt;丢弃",缺陷明细!$AA$2:$AA$50000,"&lt;&gt;设计如此",缺陷明细!$AA$2:$AA$50000,"&lt;&gt;重复Bug")</f>
        <v>0</v>
      </c>
      <c r="AB45" s="73">
        <f>COUNTIFS(缺陷明细!$A$2:$A$50000,$B$4,缺陷明细!$G$2:$G$50000,$C45,缺陷明细!$Q$2:$Q$50000,"已关闭",缺陷明细!$J$2:$J$50000,"运维测试",缺陷明细!$K$2:$K$50000,"致命")+COUNTIFS(缺陷明细!$A$2:$A$50000,$B$4,缺陷明细!$G$2:$G$50000,$C45,缺陷明细!$Q$2:$Q$50000,"已关闭",缺陷明细!$J$2:$J$50000,"运维测试",缺陷明细!$K$2:$K$50000,"严重")</f>
        <v>0</v>
      </c>
      <c r="AC45" s="68">
        <f t="shared" si="0"/>
        <v>0</v>
      </c>
      <c r="AD45" s="60">
        <f t="shared" si="0"/>
        <v>0</v>
      </c>
      <c r="AE45" s="60">
        <f t="shared" si="1"/>
        <v>0</v>
      </c>
      <c r="AF45" s="60">
        <f t="shared" si="1"/>
        <v>0</v>
      </c>
      <c r="AG45" s="60">
        <f t="shared" si="2"/>
        <v>0</v>
      </c>
      <c r="AH45" s="60">
        <f t="shared" si="2"/>
        <v>0</v>
      </c>
      <c r="AI45" s="60">
        <f t="shared" si="3"/>
        <v>0</v>
      </c>
      <c r="AJ45" s="61">
        <f t="shared" si="3"/>
        <v>0</v>
      </c>
      <c r="AK45" s="151"/>
    </row>
    <row r="46" spans="1:37">
      <c r="A46">
        <v>42</v>
      </c>
      <c r="B46" s="57"/>
      <c r="C46" s="58"/>
      <c r="D46" s="84"/>
      <c r="E46" s="82"/>
      <c r="F46" s="165"/>
      <c r="G46" s="166"/>
      <c r="H46" s="305">
        <f>COUNTIFS(缺陷明细!$A$2:$A$50000,$B$4,缺陷明细!$G$2:$G$50000,$C46,缺陷明细!$J$2:$J$50000,"评审",缺陷明细!$AA$2:$AA$50000,"&lt;&gt;丢弃",缺陷明细!$AA$2:$AA$50000,"&lt;&gt;设计如此",缺陷明细!$AA$2:$AA$50000,"&lt;&gt;重复Bug")</f>
        <v>0</v>
      </c>
      <c r="I46" s="161">
        <f>COUNTIFS(缺陷明细!$A$2:$A$50000,$B$4,缺陷明细!$G$2:$G$50000,$C46,缺陷明细!$Q$2:$Q$50000,"已关闭",缺陷明细!$J$2:$J$50000,"评审")</f>
        <v>0</v>
      </c>
      <c r="J46" s="161">
        <f>COUNTIFS(缺陷明细!$A$2:$A$50000,$B$4,缺陷明细!$G$2:$G$50000,$C46,缺陷明细!$J$2:$J$50000,"单元测试",缺陷明细!$AA$2:$AA$50000,"&lt;&gt;丢弃",缺陷明细!$AA$2:$AA$50000,"&lt;&gt;设计如此",缺陷明细!$AA$2:$AA$50000,"&lt;&gt;重复Bug")</f>
        <v>0</v>
      </c>
      <c r="K46" s="162">
        <f>COUNTIFS(缺陷明细!$A$2:$A$50000,$B$4,缺陷明细!$G$2:$G$50000,$C46,缺陷明细!$Q$2:$Q$50000,"已关闭",缺陷明细!$J$2:$J$50000,"单元测试")</f>
        <v>0</v>
      </c>
      <c r="L46" s="163"/>
      <c r="M46" s="164"/>
      <c r="N46" s="72">
        <f>COUNTIFS(缺陷明细!$A$2:$A$50000,$B$4,缺陷明细!$G$2:$G$50000,$C46,缺陷明细!$J$2:$J$50000,"系统测试案例评审",缺陷明细!$AA$2:$AA$50000,"&lt;&gt;丢弃",缺陷明细!$AA$2:$AA$50000,"&lt;&gt;设计如此",缺陷明细!$AA$2:$AA$50000,"&lt;&gt;重复Bug")</f>
        <v>0</v>
      </c>
      <c r="O46" s="72">
        <f>COUNTIFS(缺陷明细!$A$2:$A$50000,$B$4,缺陷明细!$G$2:$G$50000,$C46,缺陷明细!$Q$2:$Q$50000,"已关闭",缺陷明细!$J$2:$J$50000,"系统测试案例评审")</f>
        <v>0</v>
      </c>
      <c r="P46" s="72">
        <f>COUNTIFS(缺陷明细!$A$2:$A$50000,$B$4,缺陷明细!$G$2:$G$50000,$C46,缺陷明细!$J$2:$J$50000,"系统测试",缺陷明细!$AA$2:$AA$50000,"&lt;&gt;丢弃",缺陷明细!$AA$2:$AA$50000,"&lt;&gt;设计如此",缺陷明细!$AA$2:$AA$50000,"&lt;&gt;重复Bug")</f>
        <v>0</v>
      </c>
      <c r="Q46" s="72">
        <f>COUNTIFS(缺陷明细!$A$2:$A$50000,$B$4,缺陷明细!$G$2:$G$50000,$C46,缺陷明细!$Q$2:$Q$50000,"已关闭",缺陷明细!$J$2:$J$50000,"系统测试")</f>
        <v>0</v>
      </c>
      <c r="R46" s="72">
        <f>COUNTIFS(缺陷明细!$A$2:$A$50000,$B$4,缺陷明细!$G$2:$G$50000,$C46,缺陷明细!$AA$2:$AA$50000,"丢弃",缺陷明细!$J$2:$J$50000,"系统测试")+COUNTIFS(缺陷明细!$A$2:$A$50000,$B$4,缺陷明细!$G$2:$G$50000,$C46,缺陷明细!$AA$2:$AA$50000,"设计如此",缺陷明细!$J$2:$J$50000,"系统测试"+COUNTIFS(缺陷明细!$A$2:$A$50000,$B$4,缺陷明细!$G$2:$G$50000,$C46,缺陷明细!$AA$2:$AA$50000,"重复Bug",缺陷明细!$J$2:$J$50000,"系统测试"))</f>
        <v>0</v>
      </c>
      <c r="S46" s="72">
        <f>COUNTIFS(缺陷明细!$A$2:$A$50000,$B$4,缺陷明细!$G$2:$G$50000,$C46,缺陷明细!$J$2:$J$50000,"系统测试",缺陷明细!$K$2:$K$50000,"致命",缺陷明细!$AA$2:$AA$50000,"&lt;&gt;丢弃",缺陷明细!$AA$2:$AA$50000,"&lt;&gt;设计如此",缺陷明细!$AA$2:$AA$50000,"&lt;&gt;重复Bug")+COUNTIFS(缺陷明细!$A$2:$A$50000,$B$4,缺陷明细!$G$2:$G$50000,$C46,缺陷明细!$J$2:$J$50000,"系统测试",缺陷明细!$K$2:$K$50000,"严重",缺陷明细!$AA$2:$AA$50000,"&lt;&gt;丢弃",缺陷明细!$AA$2:$AA$50000,"&lt;&gt;设计如此",缺陷明细!$AA$2:$AA$50000,"&lt;&gt;重复Bug")</f>
        <v>0</v>
      </c>
      <c r="T46" s="73">
        <f>COUNTIFS(缺陷明细!$A$2:$A$50000,$B$4,缺陷明细!$G$2:$G$50000,$C46,缺陷明细!$Q$2:$Q$50000,"已关闭",缺陷明细!$J$2:$J$50000,"系统测试",缺陷明细!$K$2:$K$50000,"致命")+COUNTIFS(缺陷明细!$A$2:$A$50000,$B$4,缺陷明细!$G$2:$G$50000,$C46,缺陷明细!$Q$2:$Q$50000,"已关闭",缺陷明细!$J$2:$J$50000,"系统测试",缺陷明细!$K$2:$K$50000,"严重")</f>
        <v>0</v>
      </c>
      <c r="U46" s="74">
        <f>COUNTIFS(缺陷明细!$A$2:$A$50000,$B$4,缺陷明细!$G$2:$G$50000,$C46,缺陷明细!$J$2:$J$50000,"验收测试",缺陷明细!$AA$2:$AA$50000,"&lt;&gt;丢弃",缺陷明细!$AA$2:$AA$50000,"&lt;&gt;设计如此",缺陷明细!$AA$2:$AA$50000,"&lt;&gt;重复Bug")</f>
        <v>0</v>
      </c>
      <c r="V46" s="75">
        <f>COUNTIFS(缺陷明细!$A$2:$A$50000,$B$4,缺陷明细!$G$2:$G$50000,$C46,缺陷明细!$Q$2:$Q$50000,"已关闭",缺陷明细!$J$2:$J$50000,"验收测试")</f>
        <v>0</v>
      </c>
      <c r="W46" s="75">
        <f>COUNTIFS(缺陷明细!$A$2:$A$50000,$B$4,缺陷明细!$G$2:$G$50000,$C46,缺陷明细!$J$2:$J$50000,"验收测试",缺陷明细!$K$2:$K$50000,"致命",缺陷明细!$AA$2:$AA$50000,"&lt;&gt;丢弃",缺陷明细!$AA$2:$AA$50000,"&lt;&gt;设计如此",缺陷明细!$AA$2:$AA$50000,"&lt;&gt;重复Bug")+COUNTIFS(缺陷明细!$A$2:$A$50000,$B$4,缺陷明细!$G$2:$G$50000,$C46,缺陷明细!$J$2:$J$50000,"验收测试",缺陷明细!$K$2:$K$50000,"严重",缺陷明细!$AA$2:$AA$50000,"&lt;&gt;丢弃",缺陷明细!$AA$2:$AA$50000,"&lt;&gt;设计如此",缺陷明细!$AA$2:$AA$50000,"&lt;&gt;重复Bug")</f>
        <v>0</v>
      </c>
      <c r="X46" s="76">
        <f>COUNTIFS(缺陷明细!$A$2:$A$50000,$B$4,缺陷明细!$G$2:$G$50000,$C46,缺陷明细!$Q$2:$Q$50000,"已关闭",缺陷明细!$J$2:$J$50000,"验收测试",缺陷明细!$K$2:$K$50000,"致命")+COUNTIFS(缺陷明细!$A$2:$A$50000,$B$4,缺陷明细!$G$2:$G$50000,$C46,缺陷明细!$Q$2:$Q$50000,"已关闭",缺陷明细!$J$2:$J$50000,"验收测试",缺陷明细!$K$2:$K$50000,"严重")</f>
        <v>0</v>
      </c>
      <c r="Y46" s="70">
        <f>COUNTIFS(缺陷明细!$A$2:$A$50000,$B$4,缺陷明细!$G$2:$G$50000,$C46,缺陷明细!$J$2:$J$50000,"运维测试",缺陷明细!$AA$2:$AA$50000,"&lt;&gt;丢弃",缺陷明细!$AA$2:$AA$50000,"&lt;&gt;设计如此",缺陷明细!$AA$2:$AA$50000,"&lt;&gt;重复Bug")</f>
        <v>0</v>
      </c>
      <c r="Z46" s="71">
        <f>COUNTIFS(缺陷明细!$A$2:$A$50000,$B$4,缺陷明细!$G$2:$G$50000,$C46,缺陷明细!$Q$2:$Q$50000,"已关闭",缺陷明细!$J$2:$J$50000,"运维测试")</f>
        <v>0</v>
      </c>
      <c r="AA46" s="72">
        <f>COUNTIFS(缺陷明细!$A$2:$A$50000,$B$4,缺陷明细!$G$2:$G$50000,$C46,缺陷明细!$J$2:$J$50000,"运维测试",缺陷明细!$K$2:$K$50000,"致命",缺陷明细!$AA$2:$AA$50000,"&lt;&gt;丢弃",缺陷明细!$AA$2:$AA$50000,"&lt;&gt;设计如此",缺陷明细!$AA$2:$AA$50000,"&lt;&gt;重复Bug")+COUNTIFS(缺陷明细!$A$2:$A$50000,$B$4,缺陷明细!$G$2:$G$50000,$C46,缺陷明细!$J$2:$J$50000,"运维测试",缺陷明细!$K$2:$K$50000,"严重",缺陷明细!$AA$2:$AA$50000,"&lt;&gt;丢弃",缺陷明细!$AA$2:$AA$50000,"&lt;&gt;设计如此",缺陷明细!$AA$2:$AA$50000,"&lt;&gt;重复Bug")</f>
        <v>0</v>
      </c>
      <c r="AB46" s="73">
        <f>COUNTIFS(缺陷明细!$A$2:$A$50000,$B$4,缺陷明细!$G$2:$G$50000,$C46,缺陷明细!$Q$2:$Q$50000,"已关闭",缺陷明细!$J$2:$J$50000,"运维测试",缺陷明细!$K$2:$K$50000,"致命")+COUNTIFS(缺陷明细!$A$2:$A$50000,$B$4,缺陷明细!$G$2:$G$50000,$C46,缺陷明细!$Q$2:$Q$50000,"已关闭",缺陷明细!$J$2:$J$50000,"运维测试",缺陷明细!$K$2:$K$50000,"严重")</f>
        <v>0</v>
      </c>
      <c r="AC46" s="68">
        <f t="shared" si="0"/>
        <v>0</v>
      </c>
      <c r="AD46" s="60">
        <f t="shared" si="0"/>
        <v>0</v>
      </c>
      <c r="AE46" s="60">
        <f t="shared" si="1"/>
        <v>0</v>
      </c>
      <c r="AF46" s="60">
        <f t="shared" si="1"/>
        <v>0</v>
      </c>
      <c r="AG46" s="60">
        <f t="shared" si="2"/>
        <v>0</v>
      </c>
      <c r="AH46" s="60">
        <f t="shared" si="2"/>
        <v>0</v>
      </c>
      <c r="AI46" s="60">
        <f t="shared" si="3"/>
        <v>0</v>
      </c>
      <c r="AJ46" s="61">
        <f t="shared" si="3"/>
        <v>0</v>
      </c>
      <c r="AK46" s="151"/>
    </row>
    <row r="47" spans="1:37">
      <c r="A47">
        <v>43</v>
      </c>
      <c r="B47" s="57"/>
      <c r="C47" s="58"/>
      <c r="D47" s="84"/>
      <c r="E47" s="82"/>
      <c r="F47" s="165"/>
      <c r="G47" s="166"/>
      <c r="H47" s="305">
        <f>COUNTIFS(缺陷明细!$A$2:$A$50000,$B$4,缺陷明细!$G$2:$G$50000,$C47,缺陷明细!$J$2:$J$50000,"评审",缺陷明细!$AA$2:$AA$50000,"&lt;&gt;丢弃",缺陷明细!$AA$2:$AA$50000,"&lt;&gt;设计如此",缺陷明细!$AA$2:$AA$50000,"&lt;&gt;重复Bug")</f>
        <v>0</v>
      </c>
      <c r="I47" s="161">
        <f>COUNTIFS(缺陷明细!$A$2:$A$50000,$B$4,缺陷明细!$G$2:$G$50000,$C47,缺陷明细!$Q$2:$Q$50000,"已关闭",缺陷明细!$J$2:$J$50000,"评审")</f>
        <v>0</v>
      </c>
      <c r="J47" s="161">
        <f>COUNTIFS(缺陷明细!$A$2:$A$50000,$B$4,缺陷明细!$G$2:$G$50000,$C47,缺陷明细!$J$2:$J$50000,"单元测试",缺陷明细!$AA$2:$AA$50000,"&lt;&gt;丢弃",缺陷明细!$AA$2:$AA$50000,"&lt;&gt;设计如此",缺陷明细!$AA$2:$AA$50000,"&lt;&gt;重复Bug")</f>
        <v>0</v>
      </c>
      <c r="K47" s="162">
        <f>COUNTIFS(缺陷明细!$A$2:$A$50000,$B$4,缺陷明细!$G$2:$G$50000,$C47,缺陷明细!$Q$2:$Q$50000,"已关闭",缺陷明细!$J$2:$J$50000,"单元测试")</f>
        <v>0</v>
      </c>
      <c r="L47" s="163"/>
      <c r="M47" s="164"/>
      <c r="N47" s="72">
        <f>COUNTIFS(缺陷明细!$A$2:$A$50000,$B$4,缺陷明细!$G$2:$G$50000,$C47,缺陷明细!$J$2:$J$50000,"系统测试案例评审",缺陷明细!$AA$2:$AA$50000,"&lt;&gt;丢弃",缺陷明细!$AA$2:$AA$50000,"&lt;&gt;设计如此",缺陷明细!$AA$2:$AA$50000,"&lt;&gt;重复Bug")</f>
        <v>0</v>
      </c>
      <c r="O47" s="72">
        <f>COUNTIFS(缺陷明细!$A$2:$A$50000,$B$4,缺陷明细!$G$2:$G$50000,$C47,缺陷明细!$Q$2:$Q$50000,"已关闭",缺陷明细!$J$2:$J$50000,"系统测试案例评审")</f>
        <v>0</v>
      </c>
      <c r="P47" s="72">
        <f>COUNTIFS(缺陷明细!$A$2:$A$50000,$B$4,缺陷明细!$G$2:$G$50000,$C47,缺陷明细!$J$2:$J$50000,"系统测试",缺陷明细!$AA$2:$AA$50000,"&lt;&gt;丢弃",缺陷明细!$AA$2:$AA$50000,"&lt;&gt;设计如此",缺陷明细!$AA$2:$AA$50000,"&lt;&gt;重复Bug")</f>
        <v>0</v>
      </c>
      <c r="Q47" s="72">
        <f>COUNTIFS(缺陷明细!$A$2:$A$50000,$B$4,缺陷明细!$G$2:$G$50000,$C47,缺陷明细!$Q$2:$Q$50000,"已关闭",缺陷明细!$J$2:$J$50000,"系统测试")</f>
        <v>0</v>
      </c>
      <c r="R47" s="72">
        <f>COUNTIFS(缺陷明细!$A$2:$A$50000,$B$4,缺陷明细!$G$2:$G$50000,$C47,缺陷明细!$AA$2:$AA$50000,"丢弃",缺陷明细!$J$2:$J$50000,"系统测试")+COUNTIFS(缺陷明细!$A$2:$A$50000,$B$4,缺陷明细!$G$2:$G$50000,$C47,缺陷明细!$AA$2:$AA$50000,"设计如此",缺陷明细!$J$2:$J$50000,"系统测试"+COUNTIFS(缺陷明细!$A$2:$A$50000,$B$4,缺陷明细!$G$2:$G$50000,$C47,缺陷明细!$AA$2:$AA$50000,"重复Bug",缺陷明细!$J$2:$J$50000,"系统测试"))</f>
        <v>0</v>
      </c>
      <c r="S47" s="72">
        <f>COUNTIFS(缺陷明细!$A$2:$A$50000,$B$4,缺陷明细!$G$2:$G$50000,$C47,缺陷明细!$J$2:$J$50000,"系统测试",缺陷明细!$K$2:$K$50000,"致命",缺陷明细!$AA$2:$AA$50000,"&lt;&gt;丢弃",缺陷明细!$AA$2:$AA$50000,"&lt;&gt;设计如此",缺陷明细!$AA$2:$AA$50000,"&lt;&gt;重复Bug")+COUNTIFS(缺陷明细!$A$2:$A$50000,$B$4,缺陷明细!$G$2:$G$50000,$C47,缺陷明细!$J$2:$J$50000,"系统测试",缺陷明细!$K$2:$K$50000,"严重",缺陷明细!$AA$2:$AA$50000,"&lt;&gt;丢弃",缺陷明细!$AA$2:$AA$50000,"&lt;&gt;设计如此",缺陷明细!$AA$2:$AA$50000,"&lt;&gt;重复Bug")</f>
        <v>0</v>
      </c>
      <c r="T47" s="73">
        <f>COUNTIFS(缺陷明细!$A$2:$A$50000,$B$4,缺陷明细!$G$2:$G$50000,$C47,缺陷明细!$Q$2:$Q$50000,"已关闭",缺陷明细!$J$2:$J$50000,"系统测试",缺陷明细!$K$2:$K$50000,"致命")+COUNTIFS(缺陷明细!$A$2:$A$50000,$B$4,缺陷明细!$G$2:$G$50000,$C47,缺陷明细!$Q$2:$Q$50000,"已关闭",缺陷明细!$J$2:$J$50000,"系统测试",缺陷明细!$K$2:$K$50000,"严重")</f>
        <v>0</v>
      </c>
      <c r="U47" s="74">
        <f>COUNTIFS(缺陷明细!$A$2:$A$50000,$B$4,缺陷明细!$G$2:$G$50000,$C47,缺陷明细!$J$2:$J$50000,"验收测试",缺陷明细!$AA$2:$AA$50000,"&lt;&gt;丢弃",缺陷明细!$AA$2:$AA$50000,"&lt;&gt;设计如此",缺陷明细!$AA$2:$AA$50000,"&lt;&gt;重复Bug")</f>
        <v>0</v>
      </c>
      <c r="V47" s="75">
        <f>COUNTIFS(缺陷明细!$A$2:$A$50000,$B$4,缺陷明细!$G$2:$G$50000,$C47,缺陷明细!$Q$2:$Q$50000,"已关闭",缺陷明细!$J$2:$J$50000,"验收测试")</f>
        <v>0</v>
      </c>
      <c r="W47" s="75">
        <f>COUNTIFS(缺陷明细!$A$2:$A$50000,$B$4,缺陷明细!$G$2:$G$50000,$C47,缺陷明细!$J$2:$J$50000,"验收测试",缺陷明细!$K$2:$K$50000,"致命",缺陷明细!$AA$2:$AA$50000,"&lt;&gt;丢弃",缺陷明细!$AA$2:$AA$50000,"&lt;&gt;设计如此",缺陷明细!$AA$2:$AA$50000,"&lt;&gt;重复Bug")+COUNTIFS(缺陷明细!$A$2:$A$50000,$B$4,缺陷明细!$G$2:$G$50000,$C47,缺陷明细!$J$2:$J$50000,"验收测试",缺陷明细!$K$2:$K$50000,"严重",缺陷明细!$AA$2:$AA$50000,"&lt;&gt;丢弃",缺陷明细!$AA$2:$AA$50000,"&lt;&gt;设计如此",缺陷明细!$AA$2:$AA$50000,"&lt;&gt;重复Bug")</f>
        <v>0</v>
      </c>
      <c r="X47" s="76">
        <f>COUNTIFS(缺陷明细!$A$2:$A$50000,$B$4,缺陷明细!$G$2:$G$50000,$C47,缺陷明细!$Q$2:$Q$50000,"已关闭",缺陷明细!$J$2:$J$50000,"验收测试",缺陷明细!$K$2:$K$50000,"致命")+COUNTIFS(缺陷明细!$A$2:$A$50000,$B$4,缺陷明细!$G$2:$G$50000,$C47,缺陷明细!$Q$2:$Q$50000,"已关闭",缺陷明细!$J$2:$J$50000,"验收测试",缺陷明细!$K$2:$K$50000,"严重")</f>
        <v>0</v>
      </c>
      <c r="Y47" s="70">
        <f>COUNTIFS(缺陷明细!$A$2:$A$50000,$B$4,缺陷明细!$G$2:$G$50000,$C47,缺陷明细!$J$2:$J$50000,"运维测试",缺陷明细!$AA$2:$AA$50000,"&lt;&gt;丢弃",缺陷明细!$AA$2:$AA$50000,"&lt;&gt;设计如此",缺陷明细!$AA$2:$AA$50000,"&lt;&gt;重复Bug")</f>
        <v>0</v>
      </c>
      <c r="Z47" s="71">
        <f>COUNTIFS(缺陷明细!$A$2:$A$50000,$B$4,缺陷明细!$G$2:$G$50000,$C47,缺陷明细!$Q$2:$Q$50000,"已关闭",缺陷明细!$J$2:$J$50000,"运维测试")</f>
        <v>0</v>
      </c>
      <c r="AA47" s="72">
        <f>COUNTIFS(缺陷明细!$A$2:$A$50000,$B$4,缺陷明细!$G$2:$G$50000,$C47,缺陷明细!$J$2:$J$50000,"运维测试",缺陷明细!$K$2:$K$50000,"致命",缺陷明细!$AA$2:$AA$50000,"&lt;&gt;丢弃",缺陷明细!$AA$2:$AA$50000,"&lt;&gt;设计如此",缺陷明细!$AA$2:$AA$50000,"&lt;&gt;重复Bug")+COUNTIFS(缺陷明细!$A$2:$A$50000,$B$4,缺陷明细!$G$2:$G$50000,$C47,缺陷明细!$J$2:$J$50000,"运维测试",缺陷明细!$K$2:$K$50000,"严重",缺陷明细!$AA$2:$AA$50000,"&lt;&gt;丢弃",缺陷明细!$AA$2:$AA$50000,"&lt;&gt;设计如此",缺陷明细!$AA$2:$AA$50000,"&lt;&gt;重复Bug")</f>
        <v>0</v>
      </c>
      <c r="AB47" s="73">
        <f>COUNTIFS(缺陷明细!$A$2:$A$50000,$B$4,缺陷明细!$G$2:$G$50000,$C47,缺陷明细!$Q$2:$Q$50000,"已关闭",缺陷明细!$J$2:$J$50000,"运维测试",缺陷明细!$K$2:$K$50000,"致命")+COUNTIFS(缺陷明细!$A$2:$A$50000,$B$4,缺陷明细!$G$2:$G$50000,$C47,缺陷明细!$Q$2:$Q$50000,"已关闭",缺陷明细!$J$2:$J$50000,"运维测试",缺陷明细!$K$2:$K$50000,"严重")</f>
        <v>0</v>
      </c>
      <c r="AC47" s="68">
        <f t="shared" si="0"/>
        <v>0</v>
      </c>
      <c r="AD47" s="60">
        <f t="shared" si="0"/>
        <v>0</v>
      </c>
      <c r="AE47" s="60">
        <f t="shared" si="1"/>
        <v>0</v>
      </c>
      <c r="AF47" s="60">
        <f t="shared" si="1"/>
        <v>0</v>
      </c>
      <c r="AG47" s="60">
        <f t="shared" si="2"/>
        <v>0</v>
      </c>
      <c r="AH47" s="60">
        <f t="shared" si="2"/>
        <v>0</v>
      </c>
      <c r="AI47" s="60">
        <f t="shared" si="3"/>
        <v>0</v>
      </c>
      <c r="AJ47" s="61">
        <f t="shared" si="3"/>
        <v>0</v>
      </c>
      <c r="AK47" s="151"/>
    </row>
    <row r="48" spans="1:37">
      <c r="A48">
        <v>44</v>
      </c>
      <c r="B48" s="57"/>
      <c r="C48" s="58"/>
      <c r="D48" s="84"/>
      <c r="E48" s="82"/>
      <c r="F48" s="165"/>
      <c r="G48" s="166"/>
      <c r="H48" s="305">
        <f>COUNTIFS(缺陷明细!$A$2:$A$50000,$B$4,缺陷明细!$G$2:$G$50000,$C48,缺陷明细!$J$2:$J$50000,"评审",缺陷明细!$AA$2:$AA$50000,"&lt;&gt;丢弃",缺陷明细!$AA$2:$AA$50000,"&lt;&gt;设计如此",缺陷明细!$AA$2:$AA$50000,"&lt;&gt;重复Bug")</f>
        <v>0</v>
      </c>
      <c r="I48" s="161">
        <f>COUNTIFS(缺陷明细!$A$2:$A$50000,$B$4,缺陷明细!$G$2:$G$50000,$C48,缺陷明细!$Q$2:$Q$50000,"已关闭",缺陷明细!$J$2:$J$50000,"评审")</f>
        <v>0</v>
      </c>
      <c r="J48" s="161">
        <f>COUNTIFS(缺陷明细!$A$2:$A$50000,$B$4,缺陷明细!$G$2:$G$50000,$C48,缺陷明细!$J$2:$J$50000,"单元测试",缺陷明细!$AA$2:$AA$50000,"&lt;&gt;丢弃",缺陷明细!$AA$2:$AA$50000,"&lt;&gt;设计如此",缺陷明细!$AA$2:$AA$50000,"&lt;&gt;重复Bug")</f>
        <v>0</v>
      </c>
      <c r="K48" s="162">
        <f>COUNTIFS(缺陷明细!$A$2:$A$50000,$B$4,缺陷明细!$G$2:$G$50000,$C48,缺陷明细!$Q$2:$Q$50000,"已关闭",缺陷明细!$J$2:$J$50000,"单元测试")</f>
        <v>0</v>
      </c>
      <c r="L48" s="163"/>
      <c r="M48" s="164"/>
      <c r="N48" s="72">
        <f>COUNTIFS(缺陷明细!$A$2:$A$50000,$B$4,缺陷明细!$G$2:$G$50000,$C48,缺陷明细!$J$2:$J$50000,"系统测试案例评审",缺陷明细!$AA$2:$AA$50000,"&lt;&gt;丢弃",缺陷明细!$AA$2:$AA$50000,"&lt;&gt;设计如此",缺陷明细!$AA$2:$AA$50000,"&lt;&gt;重复Bug")</f>
        <v>0</v>
      </c>
      <c r="O48" s="72">
        <f>COUNTIFS(缺陷明细!$A$2:$A$50000,$B$4,缺陷明细!$G$2:$G$50000,$C48,缺陷明细!$Q$2:$Q$50000,"已关闭",缺陷明细!$J$2:$J$50000,"系统测试案例评审")</f>
        <v>0</v>
      </c>
      <c r="P48" s="72">
        <f>COUNTIFS(缺陷明细!$A$2:$A$50000,$B$4,缺陷明细!$G$2:$G$50000,$C48,缺陷明细!$J$2:$J$50000,"系统测试",缺陷明细!$AA$2:$AA$50000,"&lt;&gt;丢弃",缺陷明细!$AA$2:$AA$50000,"&lt;&gt;设计如此",缺陷明细!$AA$2:$AA$50000,"&lt;&gt;重复Bug")</f>
        <v>0</v>
      </c>
      <c r="Q48" s="72">
        <f>COUNTIFS(缺陷明细!$A$2:$A$50000,$B$4,缺陷明细!$G$2:$G$50000,$C48,缺陷明细!$Q$2:$Q$50000,"已关闭",缺陷明细!$J$2:$J$50000,"系统测试")</f>
        <v>0</v>
      </c>
      <c r="R48" s="72">
        <f>COUNTIFS(缺陷明细!$A$2:$A$50000,$B$4,缺陷明细!$G$2:$G$50000,$C48,缺陷明细!$AA$2:$AA$50000,"丢弃",缺陷明细!$J$2:$J$50000,"系统测试")+COUNTIFS(缺陷明细!$A$2:$A$50000,$B$4,缺陷明细!$G$2:$G$50000,$C48,缺陷明细!$AA$2:$AA$50000,"设计如此",缺陷明细!$J$2:$J$50000,"系统测试"+COUNTIFS(缺陷明细!$A$2:$A$50000,$B$4,缺陷明细!$G$2:$G$50000,$C48,缺陷明细!$AA$2:$AA$50000,"重复Bug",缺陷明细!$J$2:$J$50000,"系统测试"))</f>
        <v>0</v>
      </c>
      <c r="S48" s="72">
        <f>COUNTIFS(缺陷明细!$A$2:$A$50000,$B$4,缺陷明细!$G$2:$G$50000,$C48,缺陷明细!$J$2:$J$50000,"系统测试",缺陷明细!$K$2:$K$50000,"致命",缺陷明细!$AA$2:$AA$50000,"&lt;&gt;丢弃",缺陷明细!$AA$2:$AA$50000,"&lt;&gt;设计如此",缺陷明细!$AA$2:$AA$50000,"&lt;&gt;重复Bug")+COUNTIFS(缺陷明细!$A$2:$A$50000,$B$4,缺陷明细!$G$2:$G$50000,$C48,缺陷明细!$J$2:$J$50000,"系统测试",缺陷明细!$K$2:$K$50000,"严重",缺陷明细!$AA$2:$AA$50000,"&lt;&gt;丢弃",缺陷明细!$AA$2:$AA$50000,"&lt;&gt;设计如此",缺陷明细!$AA$2:$AA$50000,"&lt;&gt;重复Bug")</f>
        <v>0</v>
      </c>
      <c r="T48" s="73">
        <f>COUNTIFS(缺陷明细!$A$2:$A$50000,$B$4,缺陷明细!$G$2:$G$50000,$C48,缺陷明细!$Q$2:$Q$50000,"已关闭",缺陷明细!$J$2:$J$50000,"系统测试",缺陷明细!$K$2:$K$50000,"致命")+COUNTIFS(缺陷明细!$A$2:$A$50000,$B$4,缺陷明细!$G$2:$G$50000,$C48,缺陷明细!$Q$2:$Q$50000,"已关闭",缺陷明细!$J$2:$J$50000,"系统测试",缺陷明细!$K$2:$K$50000,"严重")</f>
        <v>0</v>
      </c>
      <c r="U48" s="74">
        <f>COUNTIFS(缺陷明细!$A$2:$A$50000,$B$4,缺陷明细!$G$2:$G$50000,$C48,缺陷明细!$J$2:$J$50000,"验收测试",缺陷明细!$AA$2:$AA$50000,"&lt;&gt;丢弃",缺陷明细!$AA$2:$AA$50000,"&lt;&gt;设计如此",缺陷明细!$AA$2:$AA$50000,"&lt;&gt;重复Bug")</f>
        <v>0</v>
      </c>
      <c r="V48" s="75">
        <f>COUNTIFS(缺陷明细!$A$2:$A$50000,$B$4,缺陷明细!$G$2:$G$50000,$C48,缺陷明细!$Q$2:$Q$50000,"已关闭",缺陷明细!$J$2:$J$50000,"验收测试")</f>
        <v>0</v>
      </c>
      <c r="W48" s="75">
        <f>COUNTIFS(缺陷明细!$A$2:$A$50000,$B$4,缺陷明细!$G$2:$G$50000,$C48,缺陷明细!$J$2:$J$50000,"验收测试",缺陷明细!$K$2:$K$50000,"致命",缺陷明细!$AA$2:$AA$50000,"&lt;&gt;丢弃",缺陷明细!$AA$2:$AA$50000,"&lt;&gt;设计如此",缺陷明细!$AA$2:$AA$50000,"&lt;&gt;重复Bug")+COUNTIFS(缺陷明细!$A$2:$A$50000,$B$4,缺陷明细!$G$2:$G$50000,$C48,缺陷明细!$J$2:$J$50000,"验收测试",缺陷明细!$K$2:$K$50000,"严重",缺陷明细!$AA$2:$AA$50000,"&lt;&gt;丢弃",缺陷明细!$AA$2:$AA$50000,"&lt;&gt;设计如此",缺陷明细!$AA$2:$AA$50000,"&lt;&gt;重复Bug")</f>
        <v>0</v>
      </c>
      <c r="X48" s="76">
        <f>COUNTIFS(缺陷明细!$A$2:$A$50000,$B$4,缺陷明细!$G$2:$G$50000,$C48,缺陷明细!$Q$2:$Q$50000,"已关闭",缺陷明细!$J$2:$J$50000,"验收测试",缺陷明细!$K$2:$K$50000,"致命")+COUNTIFS(缺陷明细!$A$2:$A$50000,$B$4,缺陷明细!$G$2:$G$50000,$C48,缺陷明细!$Q$2:$Q$50000,"已关闭",缺陷明细!$J$2:$J$50000,"验收测试",缺陷明细!$K$2:$K$50000,"严重")</f>
        <v>0</v>
      </c>
      <c r="Y48" s="70">
        <f>COUNTIFS(缺陷明细!$A$2:$A$50000,$B$4,缺陷明细!$G$2:$G$50000,$C48,缺陷明细!$J$2:$J$50000,"运维测试",缺陷明细!$AA$2:$AA$50000,"&lt;&gt;丢弃",缺陷明细!$AA$2:$AA$50000,"&lt;&gt;设计如此",缺陷明细!$AA$2:$AA$50000,"&lt;&gt;重复Bug")</f>
        <v>0</v>
      </c>
      <c r="Z48" s="71">
        <f>COUNTIFS(缺陷明细!$A$2:$A$50000,$B$4,缺陷明细!$G$2:$G$50000,$C48,缺陷明细!$Q$2:$Q$50000,"已关闭",缺陷明细!$J$2:$J$50000,"运维测试")</f>
        <v>0</v>
      </c>
      <c r="AA48" s="72">
        <f>COUNTIFS(缺陷明细!$A$2:$A$50000,$B$4,缺陷明细!$G$2:$G$50000,$C48,缺陷明细!$J$2:$J$50000,"运维测试",缺陷明细!$K$2:$K$50000,"致命",缺陷明细!$AA$2:$AA$50000,"&lt;&gt;丢弃",缺陷明细!$AA$2:$AA$50000,"&lt;&gt;设计如此",缺陷明细!$AA$2:$AA$50000,"&lt;&gt;重复Bug")+COUNTIFS(缺陷明细!$A$2:$A$50000,$B$4,缺陷明细!$G$2:$G$50000,$C48,缺陷明细!$J$2:$J$50000,"运维测试",缺陷明细!$K$2:$K$50000,"严重",缺陷明细!$AA$2:$AA$50000,"&lt;&gt;丢弃",缺陷明细!$AA$2:$AA$50000,"&lt;&gt;设计如此",缺陷明细!$AA$2:$AA$50000,"&lt;&gt;重复Bug")</f>
        <v>0</v>
      </c>
      <c r="AB48" s="73">
        <f>COUNTIFS(缺陷明细!$A$2:$A$50000,$B$4,缺陷明细!$G$2:$G$50000,$C48,缺陷明细!$Q$2:$Q$50000,"已关闭",缺陷明细!$J$2:$J$50000,"运维测试",缺陷明细!$K$2:$K$50000,"致命")+COUNTIFS(缺陷明细!$A$2:$A$50000,$B$4,缺陷明细!$G$2:$G$50000,$C48,缺陷明细!$Q$2:$Q$50000,"已关闭",缺陷明细!$J$2:$J$50000,"运维测试",缺陷明细!$K$2:$K$50000,"严重")</f>
        <v>0</v>
      </c>
      <c r="AC48" s="68">
        <f t="shared" si="0"/>
        <v>0</v>
      </c>
      <c r="AD48" s="60">
        <f t="shared" si="0"/>
        <v>0</v>
      </c>
      <c r="AE48" s="60">
        <f t="shared" si="1"/>
        <v>0</v>
      </c>
      <c r="AF48" s="60">
        <f t="shared" si="1"/>
        <v>0</v>
      </c>
      <c r="AG48" s="60">
        <f t="shared" si="2"/>
        <v>0</v>
      </c>
      <c r="AH48" s="60">
        <f t="shared" si="2"/>
        <v>0</v>
      </c>
      <c r="AI48" s="60">
        <f t="shared" si="3"/>
        <v>0</v>
      </c>
      <c r="AJ48" s="61">
        <f t="shared" si="3"/>
        <v>0</v>
      </c>
      <c r="AK48" s="151"/>
    </row>
    <row r="49" spans="1:37">
      <c r="A49">
        <v>45</v>
      </c>
      <c r="B49" s="57"/>
      <c r="C49" s="58"/>
      <c r="D49" s="84"/>
      <c r="E49" s="82"/>
      <c r="F49" s="165"/>
      <c r="G49" s="166"/>
      <c r="H49" s="305">
        <f>COUNTIFS(缺陷明细!$A$2:$A$50000,$B$4,缺陷明细!$G$2:$G$50000,$C49,缺陷明细!$J$2:$J$50000,"评审",缺陷明细!$AA$2:$AA$50000,"&lt;&gt;丢弃",缺陷明细!$AA$2:$AA$50000,"&lt;&gt;设计如此",缺陷明细!$AA$2:$AA$50000,"&lt;&gt;重复Bug")</f>
        <v>0</v>
      </c>
      <c r="I49" s="161">
        <f>COUNTIFS(缺陷明细!$A$2:$A$50000,$B$4,缺陷明细!$G$2:$G$50000,$C49,缺陷明细!$Q$2:$Q$50000,"已关闭",缺陷明细!$J$2:$J$50000,"评审")</f>
        <v>0</v>
      </c>
      <c r="J49" s="161">
        <f>COUNTIFS(缺陷明细!$A$2:$A$50000,$B$4,缺陷明细!$G$2:$G$50000,$C49,缺陷明细!$J$2:$J$50000,"单元测试",缺陷明细!$AA$2:$AA$50000,"&lt;&gt;丢弃",缺陷明细!$AA$2:$AA$50000,"&lt;&gt;设计如此",缺陷明细!$AA$2:$AA$50000,"&lt;&gt;重复Bug")</f>
        <v>0</v>
      </c>
      <c r="K49" s="162">
        <f>COUNTIFS(缺陷明细!$A$2:$A$50000,$B$4,缺陷明细!$G$2:$G$50000,$C49,缺陷明细!$Q$2:$Q$50000,"已关闭",缺陷明细!$J$2:$J$50000,"单元测试")</f>
        <v>0</v>
      </c>
      <c r="L49" s="163"/>
      <c r="M49" s="164"/>
      <c r="N49" s="72">
        <f>COUNTIFS(缺陷明细!$A$2:$A$50000,$B$4,缺陷明细!$G$2:$G$50000,$C49,缺陷明细!$J$2:$J$50000,"系统测试案例评审",缺陷明细!$AA$2:$AA$50000,"&lt;&gt;丢弃",缺陷明细!$AA$2:$AA$50000,"&lt;&gt;设计如此",缺陷明细!$AA$2:$AA$50000,"&lt;&gt;重复Bug")</f>
        <v>0</v>
      </c>
      <c r="O49" s="72">
        <f>COUNTIFS(缺陷明细!$A$2:$A$50000,$B$4,缺陷明细!$G$2:$G$50000,$C49,缺陷明细!$Q$2:$Q$50000,"已关闭",缺陷明细!$J$2:$J$50000,"系统测试案例评审")</f>
        <v>0</v>
      </c>
      <c r="P49" s="72">
        <f>COUNTIFS(缺陷明细!$A$2:$A$50000,$B$4,缺陷明细!$G$2:$G$50000,$C49,缺陷明细!$J$2:$J$50000,"系统测试",缺陷明细!$AA$2:$AA$50000,"&lt;&gt;丢弃",缺陷明细!$AA$2:$AA$50000,"&lt;&gt;设计如此",缺陷明细!$AA$2:$AA$50000,"&lt;&gt;重复Bug")</f>
        <v>0</v>
      </c>
      <c r="Q49" s="72">
        <f>COUNTIFS(缺陷明细!$A$2:$A$50000,$B$4,缺陷明细!$G$2:$G$50000,$C49,缺陷明细!$Q$2:$Q$50000,"已关闭",缺陷明细!$J$2:$J$50000,"系统测试")</f>
        <v>0</v>
      </c>
      <c r="R49" s="72">
        <f>COUNTIFS(缺陷明细!$A$2:$A$50000,$B$4,缺陷明细!$G$2:$G$50000,$C49,缺陷明细!$AA$2:$AA$50000,"丢弃",缺陷明细!$J$2:$J$50000,"系统测试")+COUNTIFS(缺陷明细!$A$2:$A$50000,$B$4,缺陷明细!$G$2:$G$50000,$C49,缺陷明细!$AA$2:$AA$50000,"设计如此",缺陷明细!$J$2:$J$50000,"系统测试"+COUNTIFS(缺陷明细!$A$2:$A$50000,$B$4,缺陷明细!$G$2:$G$50000,$C49,缺陷明细!$AA$2:$AA$50000,"重复Bug",缺陷明细!$J$2:$J$50000,"系统测试"))</f>
        <v>0</v>
      </c>
      <c r="S49" s="72">
        <f>COUNTIFS(缺陷明细!$A$2:$A$50000,$B$4,缺陷明细!$G$2:$G$50000,$C49,缺陷明细!$J$2:$J$50000,"系统测试",缺陷明细!$K$2:$K$50000,"致命",缺陷明细!$AA$2:$AA$50000,"&lt;&gt;丢弃",缺陷明细!$AA$2:$AA$50000,"&lt;&gt;设计如此",缺陷明细!$AA$2:$AA$50000,"&lt;&gt;重复Bug")+COUNTIFS(缺陷明细!$A$2:$A$50000,$B$4,缺陷明细!$G$2:$G$50000,$C49,缺陷明细!$J$2:$J$50000,"系统测试",缺陷明细!$K$2:$K$50000,"严重",缺陷明细!$AA$2:$AA$50000,"&lt;&gt;丢弃",缺陷明细!$AA$2:$AA$50000,"&lt;&gt;设计如此",缺陷明细!$AA$2:$AA$50000,"&lt;&gt;重复Bug")</f>
        <v>0</v>
      </c>
      <c r="T49" s="73">
        <f>COUNTIFS(缺陷明细!$A$2:$A$50000,$B$4,缺陷明细!$G$2:$G$50000,$C49,缺陷明细!$Q$2:$Q$50000,"已关闭",缺陷明细!$J$2:$J$50000,"系统测试",缺陷明细!$K$2:$K$50000,"致命")+COUNTIFS(缺陷明细!$A$2:$A$50000,$B$4,缺陷明细!$G$2:$G$50000,$C49,缺陷明细!$Q$2:$Q$50000,"已关闭",缺陷明细!$J$2:$J$50000,"系统测试",缺陷明细!$K$2:$K$50000,"严重")</f>
        <v>0</v>
      </c>
      <c r="U49" s="74">
        <f>COUNTIFS(缺陷明细!$A$2:$A$50000,$B$4,缺陷明细!$G$2:$G$50000,$C49,缺陷明细!$J$2:$J$50000,"验收测试",缺陷明细!$AA$2:$AA$50000,"&lt;&gt;丢弃",缺陷明细!$AA$2:$AA$50000,"&lt;&gt;设计如此",缺陷明细!$AA$2:$AA$50000,"&lt;&gt;重复Bug")</f>
        <v>0</v>
      </c>
      <c r="V49" s="75">
        <f>COUNTIFS(缺陷明细!$A$2:$A$50000,$B$4,缺陷明细!$G$2:$G$50000,$C49,缺陷明细!$Q$2:$Q$50000,"已关闭",缺陷明细!$J$2:$J$50000,"验收测试")</f>
        <v>0</v>
      </c>
      <c r="W49" s="75">
        <f>COUNTIFS(缺陷明细!$A$2:$A$50000,$B$4,缺陷明细!$G$2:$G$50000,$C49,缺陷明细!$J$2:$J$50000,"验收测试",缺陷明细!$K$2:$K$50000,"致命",缺陷明细!$AA$2:$AA$50000,"&lt;&gt;丢弃",缺陷明细!$AA$2:$AA$50000,"&lt;&gt;设计如此",缺陷明细!$AA$2:$AA$50000,"&lt;&gt;重复Bug")+COUNTIFS(缺陷明细!$A$2:$A$50000,$B$4,缺陷明细!$G$2:$G$50000,$C49,缺陷明细!$J$2:$J$50000,"验收测试",缺陷明细!$K$2:$K$50000,"严重",缺陷明细!$AA$2:$AA$50000,"&lt;&gt;丢弃",缺陷明细!$AA$2:$AA$50000,"&lt;&gt;设计如此",缺陷明细!$AA$2:$AA$50000,"&lt;&gt;重复Bug")</f>
        <v>0</v>
      </c>
      <c r="X49" s="76">
        <f>COUNTIFS(缺陷明细!$A$2:$A$50000,$B$4,缺陷明细!$G$2:$G$50000,$C49,缺陷明细!$Q$2:$Q$50000,"已关闭",缺陷明细!$J$2:$J$50000,"验收测试",缺陷明细!$K$2:$K$50000,"致命")+COUNTIFS(缺陷明细!$A$2:$A$50000,$B$4,缺陷明细!$G$2:$G$50000,$C49,缺陷明细!$Q$2:$Q$50000,"已关闭",缺陷明细!$J$2:$J$50000,"验收测试",缺陷明细!$K$2:$K$50000,"严重")</f>
        <v>0</v>
      </c>
      <c r="Y49" s="70">
        <f>COUNTIFS(缺陷明细!$A$2:$A$50000,$B$4,缺陷明细!$G$2:$G$50000,$C49,缺陷明细!$J$2:$J$50000,"运维测试",缺陷明细!$AA$2:$AA$50000,"&lt;&gt;丢弃",缺陷明细!$AA$2:$AA$50000,"&lt;&gt;设计如此",缺陷明细!$AA$2:$AA$50000,"&lt;&gt;重复Bug")</f>
        <v>0</v>
      </c>
      <c r="Z49" s="71">
        <f>COUNTIFS(缺陷明细!$A$2:$A$50000,$B$4,缺陷明细!$G$2:$G$50000,$C49,缺陷明细!$Q$2:$Q$50000,"已关闭",缺陷明细!$J$2:$J$50000,"运维测试")</f>
        <v>0</v>
      </c>
      <c r="AA49" s="72">
        <f>COUNTIFS(缺陷明细!$A$2:$A$50000,$B$4,缺陷明细!$G$2:$G$50000,$C49,缺陷明细!$J$2:$J$50000,"运维测试",缺陷明细!$K$2:$K$50000,"致命",缺陷明细!$AA$2:$AA$50000,"&lt;&gt;丢弃",缺陷明细!$AA$2:$AA$50000,"&lt;&gt;设计如此",缺陷明细!$AA$2:$AA$50000,"&lt;&gt;重复Bug")+COUNTIFS(缺陷明细!$A$2:$A$50000,$B$4,缺陷明细!$G$2:$G$50000,$C49,缺陷明细!$J$2:$J$50000,"运维测试",缺陷明细!$K$2:$K$50000,"严重",缺陷明细!$AA$2:$AA$50000,"&lt;&gt;丢弃",缺陷明细!$AA$2:$AA$50000,"&lt;&gt;设计如此",缺陷明细!$AA$2:$AA$50000,"&lt;&gt;重复Bug")</f>
        <v>0</v>
      </c>
      <c r="AB49" s="73">
        <f>COUNTIFS(缺陷明细!$A$2:$A$50000,$B$4,缺陷明细!$G$2:$G$50000,$C49,缺陷明细!$Q$2:$Q$50000,"已关闭",缺陷明细!$J$2:$J$50000,"运维测试",缺陷明细!$K$2:$K$50000,"致命")+COUNTIFS(缺陷明细!$A$2:$A$50000,$B$4,缺陷明细!$G$2:$G$50000,$C49,缺陷明细!$Q$2:$Q$50000,"已关闭",缺陷明细!$J$2:$J$50000,"运维测试",缺陷明细!$K$2:$K$50000,"严重")</f>
        <v>0</v>
      </c>
      <c r="AC49" s="68">
        <f t="shared" si="0"/>
        <v>0</v>
      </c>
      <c r="AD49" s="60">
        <f t="shared" si="0"/>
        <v>0</v>
      </c>
      <c r="AE49" s="60">
        <f t="shared" si="1"/>
        <v>0</v>
      </c>
      <c r="AF49" s="60">
        <f t="shared" si="1"/>
        <v>0</v>
      </c>
      <c r="AG49" s="60">
        <f t="shared" si="2"/>
        <v>0</v>
      </c>
      <c r="AH49" s="60">
        <f t="shared" si="2"/>
        <v>0</v>
      </c>
      <c r="AI49" s="60">
        <f t="shared" si="3"/>
        <v>0</v>
      </c>
      <c r="AJ49" s="61">
        <f t="shared" si="3"/>
        <v>0</v>
      </c>
      <c r="AK49" s="151"/>
    </row>
    <row r="50" spans="1:37">
      <c r="A50">
        <v>46</v>
      </c>
      <c r="B50" s="57"/>
      <c r="C50" s="58"/>
      <c r="D50" s="84"/>
      <c r="E50" s="82"/>
      <c r="F50" s="165"/>
      <c r="G50" s="166"/>
      <c r="H50" s="305">
        <f>COUNTIFS(缺陷明细!$A$2:$A$50000,$B$4,缺陷明细!$G$2:$G$50000,$C50,缺陷明细!$J$2:$J$50000,"评审",缺陷明细!$AA$2:$AA$50000,"&lt;&gt;丢弃",缺陷明细!$AA$2:$AA$50000,"&lt;&gt;设计如此",缺陷明细!$AA$2:$AA$50000,"&lt;&gt;重复Bug")</f>
        <v>0</v>
      </c>
      <c r="I50" s="161">
        <f>COUNTIFS(缺陷明细!$A$2:$A$50000,$B$4,缺陷明细!$G$2:$G$50000,$C50,缺陷明细!$Q$2:$Q$50000,"已关闭",缺陷明细!$J$2:$J$50000,"评审")</f>
        <v>0</v>
      </c>
      <c r="J50" s="161">
        <f>COUNTIFS(缺陷明细!$A$2:$A$50000,$B$4,缺陷明细!$G$2:$G$50000,$C50,缺陷明细!$J$2:$J$50000,"单元测试",缺陷明细!$AA$2:$AA$50000,"&lt;&gt;丢弃",缺陷明细!$AA$2:$AA$50000,"&lt;&gt;设计如此",缺陷明细!$AA$2:$AA$50000,"&lt;&gt;重复Bug")</f>
        <v>0</v>
      </c>
      <c r="K50" s="162">
        <f>COUNTIFS(缺陷明细!$A$2:$A$50000,$B$4,缺陷明细!$G$2:$G$50000,$C50,缺陷明细!$Q$2:$Q$50000,"已关闭",缺陷明细!$J$2:$J$50000,"单元测试")</f>
        <v>0</v>
      </c>
      <c r="L50" s="163"/>
      <c r="M50" s="164"/>
      <c r="N50" s="72">
        <f>COUNTIFS(缺陷明细!$A$2:$A$50000,$B$4,缺陷明细!$G$2:$G$50000,$C50,缺陷明细!$J$2:$J$50000,"系统测试案例评审",缺陷明细!$AA$2:$AA$50000,"&lt;&gt;丢弃",缺陷明细!$AA$2:$AA$50000,"&lt;&gt;设计如此",缺陷明细!$AA$2:$AA$50000,"&lt;&gt;重复Bug")</f>
        <v>0</v>
      </c>
      <c r="O50" s="72">
        <f>COUNTIFS(缺陷明细!$A$2:$A$50000,$B$4,缺陷明细!$G$2:$G$50000,$C50,缺陷明细!$Q$2:$Q$50000,"已关闭",缺陷明细!$J$2:$J$50000,"系统测试案例评审")</f>
        <v>0</v>
      </c>
      <c r="P50" s="72">
        <f>COUNTIFS(缺陷明细!$A$2:$A$50000,$B$4,缺陷明细!$G$2:$G$50000,$C50,缺陷明细!$J$2:$J$50000,"系统测试",缺陷明细!$AA$2:$AA$50000,"&lt;&gt;丢弃",缺陷明细!$AA$2:$AA$50000,"&lt;&gt;设计如此",缺陷明细!$AA$2:$AA$50000,"&lt;&gt;重复Bug")</f>
        <v>0</v>
      </c>
      <c r="Q50" s="72">
        <f>COUNTIFS(缺陷明细!$A$2:$A$50000,$B$4,缺陷明细!$G$2:$G$50000,$C50,缺陷明细!$Q$2:$Q$50000,"已关闭",缺陷明细!$J$2:$J$50000,"系统测试")</f>
        <v>0</v>
      </c>
      <c r="R50" s="72">
        <f>COUNTIFS(缺陷明细!$A$2:$A$50000,$B$4,缺陷明细!$G$2:$G$50000,$C50,缺陷明细!$AA$2:$AA$50000,"丢弃",缺陷明细!$J$2:$J$50000,"系统测试")+COUNTIFS(缺陷明细!$A$2:$A$50000,$B$4,缺陷明细!$G$2:$G$50000,$C50,缺陷明细!$AA$2:$AA$50000,"设计如此",缺陷明细!$J$2:$J$50000,"系统测试"+COUNTIFS(缺陷明细!$A$2:$A$50000,$B$4,缺陷明细!$G$2:$G$50000,$C50,缺陷明细!$AA$2:$AA$50000,"重复Bug",缺陷明细!$J$2:$J$50000,"系统测试"))</f>
        <v>0</v>
      </c>
      <c r="S50" s="72">
        <f>COUNTIFS(缺陷明细!$A$2:$A$50000,$B$4,缺陷明细!$G$2:$G$50000,$C50,缺陷明细!$J$2:$J$50000,"系统测试",缺陷明细!$K$2:$K$50000,"致命",缺陷明细!$AA$2:$AA$50000,"&lt;&gt;丢弃",缺陷明细!$AA$2:$AA$50000,"&lt;&gt;设计如此",缺陷明细!$AA$2:$AA$50000,"&lt;&gt;重复Bug")+COUNTIFS(缺陷明细!$A$2:$A$50000,$B$4,缺陷明细!$G$2:$G$50000,$C50,缺陷明细!$J$2:$J$50000,"系统测试",缺陷明细!$K$2:$K$50000,"严重",缺陷明细!$AA$2:$AA$50000,"&lt;&gt;丢弃",缺陷明细!$AA$2:$AA$50000,"&lt;&gt;设计如此",缺陷明细!$AA$2:$AA$50000,"&lt;&gt;重复Bug")</f>
        <v>0</v>
      </c>
      <c r="T50" s="73">
        <f>COUNTIFS(缺陷明细!$A$2:$A$50000,$B$4,缺陷明细!$G$2:$G$50000,$C50,缺陷明细!$Q$2:$Q$50000,"已关闭",缺陷明细!$J$2:$J$50000,"系统测试",缺陷明细!$K$2:$K$50000,"致命")+COUNTIFS(缺陷明细!$A$2:$A$50000,$B$4,缺陷明细!$G$2:$G$50000,$C50,缺陷明细!$Q$2:$Q$50000,"已关闭",缺陷明细!$J$2:$J$50000,"系统测试",缺陷明细!$K$2:$K$50000,"严重")</f>
        <v>0</v>
      </c>
      <c r="U50" s="74">
        <f>COUNTIFS(缺陷明细!$A$2:$A$50000,$B$4,缺陷明细!$G$2:$G$50000,$C50,缺陷明细!$J$2:$J$50000,"验收测试",缺陷明细!$AA$2:$AA$50000,"&lt;&gt;丢弃",缺陷明细!$AA$2:$AA$50000,"&lt;&gt;设计如此",缺陷明细!$AA$2:$AA$50000,"&lt;&gt;重复Bug")</f>
        <v>0</v>
      </c>
      <c r="V50" s="75">
        <f>COUNTIFS(缺陷明细!$A$2:$A$50000,$B$4,缺陷明细!$G$2:$G$50000,$C50,缺陷明细!$Q$2:$Q$50000,"已关闭",缺陷明细!$J$2:$J$50000,"验收测试")</f>
        <v>0</v>
      </c>
      <c r="W50" s="75">
        <f>COUNTIFS(缺陷明细!$A$2:$A$50000,$B$4,缺陷明细!$G$2:$G$50000,$C50,缺陷明细!$J$2:$J$50000,"验收测试",缺陷明细!$K$2:$K$50000,"致命",缺陷明细!$AA$2:$AA$50000,"&lt;&gt;丢弃",缺陷明细!$AA$2:$AA$50000,"&lt;&gt;设计如此",缺陷明细!$AA$2:$AA$50000,"&lt;&gt;重复Bug")+COUNTIFS(缺陷明细!$A$2:$A$50000,$B$4,缺陷明细!$G$2:$G$50000,$C50,缺陷明细!$J$2:$J$50000,"验收测试",缺陷明细!$K$2:$K$50000,"严重",缺陷明细!$AA$2:$AA$50000,"&lt;&gt;丢弃",缺陷明细!$AA$2:$AA$50000,"&lt;&gt;设计如此",缺陷明细!$AA$2:$AA$50000,"&lt;&gt;重复Bug")</f>
        <v>0</v>
      </c>
      <c r="X50" s="76">
        <f>COUNTIFS(缺陷明细!$A$2:$A$50000,$B$4,缺陷明细!$G$2:$G$50000,$C50,缺陷明细!$Q$2:$Q$50000,"已关闭",缺陷明细!$J$2:$J$50000,"验收测试",缺陷明细!$K$2:$K$50000,"致命")+COUNTIFS(缺陷明细!$A$2:$A$50000,$B$4,缺陷明细!$G$2:$G$50000,$C50,缺陷明细!$Q$2:$Q$50000,"已关闭",缺陷明细!$J$2:$J$50000,"验收测试",缺陷明细!$K$2:$K$50000,"严重")</f>
        <v>0</v>
      </c>
      <c r="Y50" s="70">
        <f>COUNTIFS(缺陷明细!$A$2:$A$50000,$B$4,缺陷明细!$G$2:$G$50000,$C50,缺陷明细!$J$2:$J$50000,"运维测试",缺陷明细!$AA$2:$AA$50000,"&lt;&gt;丢弃",缺陷明细!$AA$2:$AA$50000,"&lt;&gt;设计如此",缺陷明细!$AA$2:$AA$50000,"&lt;&gt;重复Bug")</f>
        <v>0</v>
      </c>
      <c r="Z50" s="71">
        <f>COUNTIFS(缺陷明细!$A$2:$A$50000,$B$4,缺陷明细!$G$2:$G$50000,$C50,缺陷明细!$Q$2:$Q$50000,"已关闭",缺陷明细!$J$2:$J$50000,"运维测试")</f>
        <v>0</v>
      </c>
      <c r="AA50" s="72">
        <f>COUNTIFS(缺陷明细!$A$2:$A$50000,$B$4,缺陷明细!$G$2:$G$50000,$C50,缺陷明细!$J$2:$J$50000,"运维测试",缺陷明细!$K$2:$K$50000,"致命",缺陷明细!$AA$2:$AA$50000,"&lt;&gt;丢弃",缺陷明细!$AA$2:$AA$50000,"&lt;&gt;设计如此",缺陷明细!$AA$2:$AA$50000,"&lt;&gt;重复Bug")+COUNTIFS(缺陷明细!$A$2:$A$50000,$B$4,缺陷明细!$G$2:$G$50000,$C50,缺陷明细!$J$2:$J$50000,"运维测试",缺陷明细!$K$2:$K$50000,"严重",缺陷明细!$AA$2:$AA$50000,"&lt;&gt;丢弃",缺陷明细!$AA$2:$AA$50000,"&lt;&gt;设计如此",缺陷明细!$AA$2:$AA$50000,"&lt;&gt;重复Bug")</f>
        <v>0</v>
      </c>
      <c r="AB50" s="73">
        <f>COUNTIFS(缺陷明细!$A$2:$A$50000,$B$4,缺陷明细!$G$2:$G$50000,$C50,缺陷明细!$Q$2:$Q$50000,"已关闭",缺陷明细!$J$2:$J$50000,"运维测试",缺陷明细!$K$2:$K$50000,"致命")+COUNTIFS(缺陷明细!$A$2:$A$50000,$B$4,缺陷明细!$G$2:$G$50000,$C50,缺陷明细!$Q$2:$Q$50000,"已关闭",缺陷明细!$J$2:$J$50000,"运维测试",缺陷明细!$K$2:$K$50000,"严重")</f>
        <v>0</v>
      </c>
      <c r="AC50" s="68">
        <f t="shared" si="0"/>
        <v>0</v>
      </c>
      <c r="AD50" s="60">
        <f t="shared" si="0"/>
        <v>0</v>
      </c>
      <c r="AE50" s="60">
        <f t="shared" si="1"/>
        <v>0</v>
      </c>
      <c r="AF50" s="60">
        <f t="shared" si="1"/>
        <v>0</v>
      </c>
      <c r="AG50" s="60">
        <f t="shared" si="2"/>
        <v>0</v>
      </c>
      <c r="AH50" s="60">
        <f t="shared" si="2"/>
        <v>0</v>
      </c>
      <c r="AI50" s="60">
        <f t="shared" si="3"/>
        <v>0</v>
      </c>
      <c r="AJ50" s="61">
        <f t="shared" si="3"/>
        <v>0</v>
      </c>
      <c r="AK50" s="151"/>
    </row>
    <row r="51" spans="1:37">
      <c r="A51">
        <v>47</v>
      </c>
      <c r="B51" s="57"/>
      <c r="C51" s="58"/>
      <c r="D51" s="84"/>
      <c r="E51" s="82"/>
      <c r="F51" s="165"/>
      <c r="G51" s="166"/>
      <c r="H51" s="305">
        <f>COUNTIFS(缺陷明细!$A$2:$A$50000,$B$4,缺陷明细!$G$2:$G$50000,$C51,缺陷明细!$J$2:$J$50000,"评审",缺陷明细!$AA$2:$AA$50000,"&lt;&gt;丢弃",缺陷明细!$AA$2:$AA$50000,"&lt;&gt;设计如此",缺陷明细!$AA$2:$AA$50000,"&lt;&gt;重复Bug")</f>
        <v>0</v>
      </c>
      <c r="I51" s="161">
        <f>COUNTIFS(缺陷明细!$A$2:$A$50000,$B$4,缺陷明细!$G$2:$G$50000,$C51,缺陷明细!$Q$2:$Q$50000,"已关闭",缺陷明细!$J$2:$J$50000,"评审")</f>
        <v>0</v>
      </c>
      <c r="J51" s="161">
        <f>COUNTIFS(缺陷明细!$A$2:$A$50000,$B$4,缺陷明细!$G$2:$G$50000,$C51,缺陷明细!$J$2:$J$50000,"单元测试",缺陷明细!$AA$2:$AA$50000,"&lt;&gt;丢弃",缺陷明细!$AA$2:$AA$50000,"&lt;&gt;设计如此",缺陷明细!$AA$2:$AA$50000,"&lt;&gt;重复Bug")</f>
        <v>0</v>
      </c>
      <c r="K51" s="162">
        <f>COUNTIFS(缺陷明细!$A$2:$A$50000,$B$4,缺陷明细!$G$2:$G$50000,$C51,缺陷明细!$Q$2:$Q$50000,"已关闭",缺陷明细!$J$2:$J$50000,"单元测试")</f>
        <v>0</v>
      </c>
      <c r="L51" s="163"/>
      <c r="M51" s="164"/>
      <c r="N51" s="72">
        <f>COUNTIFS(缺陷明细!$A$2:$A$50000,$B$4,缺陷明细!$G$2:$G$50000,$C51,缺陷明细!$J$2:$J$50000,"系统测试案例评审",缺陷明细!$AA$2:$AA$50000,"&lt;&gt;丢弃",缺陷明细!$AA$2:$AA$50000,"&lt;&gt;设计如此",缺陷明细!$AA$2:$AA$50000,"&lt;&gt;重复Bug")</f>
        <v>0</v>
      </c>
      <c r="O51" s="72">
        <f>COUNTIFS(缺陷明细!$A$2:$A$50000,$B$4,缺陷明细!$G$2:$G$50000,$C51,缺陷明细!$Q$2:$Q$50000,"已关闭",缺陷明细!$J$2:$J$50000,"系统测试案例评审")</f>
        <v>0</v>
      </c>
      <c r="P51" s="72">
        <f>COUNTIFS(缺陷明细!$A$2:$A$50000,$B$4,缺陷明细!$G$2:$G$50000,$C51,缺陷明细!$J$2:$J$50000,"系统测试",缺陷明细!$AA$2:$AA$50000,"&lt;&gt;丢弃",缺陷明细!$AA$2:$AA$50000,"&lt;&gt;设计如此",缺陷明细!$AA$2:$AA$50000,"&lt;&gt;重复Bug")</f>
        <v>0</v>
      </c>
      <c r="Q51" s="72">
        <f>COUNTIFS(缺陷明细!$A$2:$A$50000,$B$4,缺陷明细!$G$2:$G$50000,$C51,缺陷明细!$Q$2:$Q$50000,"已关闭",缺陷明细!$J$2:$J$50000,"系统测试")</f>
        <v>0</v>
      </c>
      <c r="R51" s="72">
        <f>COUNTIFS(缺陷明细!$A$2:$A$50000,$B$4,缺陷明细!$G$2:$G$50000,$C51,缺陷明细!$AA$2:$AA$50000,"丢弃",缺陷明细!$J$2:$J$50000,"系统测试")+COUNTIFS(缺陷明细!$A$2:$A$50000,$B$4,缺陷明细!$G$2:$G$50000,$C51,缺陷明细!$AA$2:$AA$50000,"设计如此",缺陷明细!$J$2:$J$50000,"系统测试"+COUNTIFS(缺陷明细!$A$2:$A$50000,$B$4,缺陷明细!$G$2:$G$50000,$C51,缺陷明细!$AA$2:$AA$50000,"重复Bug",缺陷明细!$J$2:$J$50000,"系统测试"))</f>
        <v>0</v>
      </c>
      <c r="S51" s="72">
        <f>COUNTIFS(缺陷明细!$A$2:$A$50000,$B$4,缺陷明细!$G$2:$G$50000,$C51,缺陷明细!$J$2:$J$50000,"系统测试",缺陷明细!$K$2:$K$50000,"致命",缺陷明细!$AA$2:$AA$50000,"&lt;&gt;丢弃",缺陷明细!$AA$2:$AA$50000,"&lt;&gt;设计如此",缺陷明细!$AA$2:$AA$50000,"&lt;&gt;重复Bug")+COUNTIFS(缺陷明细!$A$2:$A$50000,$B$4,缺陷明细!$G$2:$G$50000,$C51,缺陷明细!$J$2:$J$50000,"系统测试",缺陷明细!$K$2:$K$50000,"严重",缺陷明细!$AA$2:$AA$50000,"&lt;&gt;丢弃",缺陷明细!$AA$2:$AA$50000,"&lt;&gt;设计如此",缺陷明细!$AA$2:$AA$50000,"&lt;&gt;重复Bug")</f>
        <v>0</v>
      </c>
      <c r="T51" s="73">
        <f>COUNTIFS(缺陷明细!$A$2:$A$50000,$B$4,缺陷明细!$G$2:$G$50000,$C51,缺陷明细!$Q$2:$Q$50000,"已关闭",缺陷明细!$J$2:$J$50000,"系统测试",缺陷明细!$K$2:$K$50000,"致命")+COUNTIFS(缺陷明细!$A$2:$A$50000,$B$4,缺陷明细!$G$2:$G$50000,$C51,缺陷明细!$Q$2:$Q$50000,"已关闭",缺陷明细!$J$2:$J$50000,"系统测试",缺陷明细!$K$2:$K$50000,"严重")</f>
        <v>0</v>
      </c>
      <c r="U51" s="74">
        <f>COUNTIFS(缺陷明细!$A$2:$A$50000,$B$4,缺陷明细!$G$2:$G$50000,$C51,缺陷明细!$J$2:$J$50000,"验收测试",缺陷明细!$AA$2:$AA$50000,"&lt;&gt;丢弃",缺陷明细!$AA$2:$AA$50000,"&lt;&gt;设计如此",缺陷明细!$AA$2:$AA$50000,"&lt;&gt;重复Bug")</f>
        <v>0</v>
      </c>
      <c r="V51" s="75">
        <f>COUNTIFS(缺陷明细!$A$2:$A$50000,$B$4,缺陷明细!$G$2:$G$50000,$C51,缺陷明细!$Q$2:$Q$50000,"已关闭",缺陷明细!$J$2:$J$50000,"验收测试")</f>
        <v>0</v>
      </c>
      <c r="W51" s="75">
        <f>COUNTIFS(缺陷明细!$A$2:$A$50000,$B$4,缺陷明细!$G$2:$G$50000,$C51,缺陷明细!$J$2:$J$50000,"验收测试",缺陷明细!$K$2:$K$50000,"致命",缺陷明细!$AA$2:$AA$50000,"&lt;&gt;丢弃",缺陷明细!$AA$2:$AA$50000,"&lt;&gt;设计如此",缺陷明细!$AA$2:$AA$50000,"&lt;&gt;重复Bug")+COUNTIFS(缺陷明细!$A$2:$A$50000,$B$4,缺陷明细!$G$2:$G$50000,$C51,缺陷明细!$J$2:$J$50000,"验收测试",缺陷明细!$K$2:$K$50000,"严重",缺陷明细!$AA$2:$AA$50000,"&lt;&gt;丢弃",缺陷明细!$AA$2:$AA$50000,"&lt;&gt;设计如此",缺陷明细!$AA$2:$AA$50000,"&lt;&gt;重复Bug")</f>
        <v>0</v>
      </c>
      <c r="X51" s="76">
        <f>COUNTIFS(缺陷明细!$A$2:$A$50000,$B$4,缺陷明细!$G$2:$G$50000,$C51,缺陷明细!$Q$2:$Q$50000,"已关闭",缺陷明细!$J$2:$J$50000,"验收测试",缺陷明细!$K$2:$K$50000,"致命")+COUNTIFS(缺陷明细!$A$2:$A$50000,$B$4,缺陷明细!$G$2:$G$50000,$C51,缺陷明细!$Q$2:$Q$50000,"已关闭",缺陷明细!$J$2:$J$50000,"验收测试",缺陷明细!$K$2:$K$50000,"严重")</f>
        <v>0</v>
      </c>
      <c r="Y51" s="70">
        <f>COUNTIFS(缺陷明细!$A$2:$A$50000,$B$4,缺陷明细!$G$2:$G$50000,$C51,缺陷明细!$J$2:$J$50000,"运维测试",缺陷明细!$AA$2:$AA$50000,"&lt;&gt;丢弃",缺陷明细!$AA$2:$AA$50000,"&lt;&gt;设计如此",缺陷明细!$AA$2:$AA$50000,"&lt;&gt;重复Bug")</f>
        <v>0</v>
      </c>
      <c r="Z51" s="71">
        <f>COUNTIFS(缺陷明细!$A$2:$A$50000,$B$4,缺陷明细!$G$2:$G$50000,$C51,缺陷明细!$Q$2:$Q$50000,"已关闭",缺陷明细!$J$2:$J$50000,"运维测试")</f>
        <v>0</v>
      </c>
      <c r="AA51" s="72">
        <f>COUNTIFS(缺陷明细!$A$2:$A$50000,$B$4,缺陷明细!$G$2:$G$50000,$C51,缺陷明细!$J$2:$J$50000,"运维测试",缺陷明细!$K$2:$K$50000,"致命",缺陷明细!$AA$2:$AA$50000,"&lt;&gt;丢弃",缺陷明细!$AA$2:$AA$50000,"&lt;&gt;设计如此",缺陷明细!$AA$2:$AA$50000,"&lt;&gt;重复Bug")+COUNTIFS(缺陷明细!$A$2:$A$50000,$B$4,缺陷明细!$G$2:$G$50000,$C51,缺陷明细!$J$2:$J$50000,"运维测试",缺陷明细!$K$2:$K$50000,"严重",缺陷明细!$AA$2:$AA$50000,"&lt;&gt;丢弃",缺陷明细!$AA$2:$AA$50000,"&lt;&gt;设计如此",缺陷明细!$AA$2:$AA$50000,"&lt;&gt;重复Bug")</f>
        <v>0</v>
      </c>
      <c r="AB51" s="73">
        <f>COUNTIFS(缺陷明细!$A$2:$A$50000,$B$4,缺陷明细!$G$2:$G$50000,$C51,缺陷明细!$Q$2:$Q$50000,"已关闭",缺陷明细!$J$2:$J$50000,"运维测试",缺陷明细!$K$2:$K$50000,"致命")+COUNTIFS(缺陷明细!$A$2:$A$50000,$B$4,缺陷明细!$G$2:$G$50000,$C51,缺陷明细!$Q$2:$Q$50000,"已关闭",缺陷明细!$J$2:$J$50000,"运维测试",缺陷明细!$K$2:$K$50000,"严重")</f>
        <v>0</v>
      </c>
      <c r="AC51" s="68">
        <f t="shared" si="0"/>
        <v>0</v>
      </c>
      <c r="AD51" s="60">
        <f t="shared" si="0"/>
        <v>0</v>
      </c>
      <c r="AE51" s="60">
        <f t="shared" si="1"/>
        <v>0</v>
      </c>
      <c r="AF51" s="60">
        <f t="shared" si="1"/>
        <v>0</v>
      </c>
      <c r="AG51" s="60">
        <f t="shared" si="2"/>
        <v>0</v>
      </c>
      <c r="AH51" s="60">
        <f t="shared" si="2"/>
        <v>0</v>
      </c>
      <c r="AI51" s="60">
        <f t="shared" si="3"/>
        <v>0</v>
      </c>
      <c r="AJ51" s="61">
        <f t="shared" si="3"/>
        <v>0</v>
      </c>
      <c r="AK51" s="151"/>
    </row>
    <row r="52" spans="1:37">
      <c r="A52">
        <v>48</v>
      </c>
      <c r="B52" s="57"/>
      <c r="C52" s="58"/>
      <c r="D52" s="84"/>
      <c r="E52" s="82"/>
      <c r="F52" s="165"/>
      <c r="G52" s="166"/>
      <c r="H52" s="305">
        <f>COUNTIFS(缺陷明细!$A$2:$A$50000,$B$4,缺陷明细!$G$2:$G$50000,$C52,缺陷明细!$J$2:$J$50000,"评审",缺陷明细!$AA$2:$AA$50000,"&lt;&gt;丢弃",缺陷明细!$AA$2:$AA$50000,"&lt;&gt;设计如此",缺陷明细!$AA$2:$AA$50000,"&lt;&gt;重复Bug")</f>
        <v>0</v>
      </c>
      <c r="I52" s="161">
        <f>COUNTIFS(缺陷明细!$A$2:$A$50000,$B$4,缺陷明细!$G$2:$G$50000,$C52,缺陷明细!$Q$2:$Q$50000,"已关闭",缺陷明细!$J$2:$J$50000,"评审")</f>
        <v>0</v>
      </c>
      <c r="J52" s="161">
        <f>COUNTIFS(缺陷明细!$A$2:$A$50000,$B$4,缺陷明细!$G$2:$G$50000,$C52,缺陷明细!$J$2:$J$50000,"单元测试",缺陷明细!$AA$2:$AA$50000,"&lt;&gt;丢弃",缺陷明细!$AA$2:$AA$50000,"&lt;&gt;设计如此",缺陷明细!$AA$2:$AA$50000,"&lt;&gt;重复Bug")</f>
        <v>0</v>
      </c>
      <c r="K52" s="162">
        <f>COUNTIFS(缺陷明细!$A$2:$A$50000,$B$4,缺陷明细!$G$2:$G$50000,$C52,缺陷明细!$Q$2:$Q$50000,"已关闭",缺陷明细!$J$2:$J$50000,"单元测试")</f>
        <v>0</v>
      </c>
      <c r="L52" s="163"/>
      <c r="M52" s="164"/>
      <c r="N52" s="72">
        <f>COUNTIFS(缺陷明细!$A$2:$A$50000,$B$4,缺陷明细!$G$2:$G$50000,$C52,缺陷明细!$J$2:$J$50000,"系统测试案例评审",缺陷明细!$AA$2:$AA$50000,"&lt;&gt;丢弃",缺陷明细!$AA$2:$AA$50000,"&lt;&gt;设计如此",缺陷明细!$AA$2:$AA$50000,"&lt;&gt;重复Bug")</f>
        <v>0</v>
      </c>
      <c r="O52" s="72">
        <f>COUNTIFS(缺陷明细!$A$2:$A$50000,$B$4,缺陷明细!$G$2:$G$50000,$C52,缺陷明细!$Q$2:$Q$50000,"已关闭",缺陷明细!$J$2:$J$50000,"系统测试案例评审")</f>
        <v>0</v>
      </c>
      <c r="P52" s="72">
        <f>COUNTIFS(缺陷明细!$A$2:$A$50000,$B$4,缺陷明细!$G$2:$G$50000,$C52,缺陷明细!$J$2:$J$50000,"系统测试",缺陷明细!$AA$2:$AA$50000,"&lt;&gt;丢弃",缺陷明细!$AA$2:$AA$50000,"&lt;&gt;设计如此",缺陷明细!$AA$2:$AA$50000,"&lt;&gt;重复Bug")</f>
        <v>0</v>
      </c>
      <c r="Q52" s="72">
        <f>COUNTIFS(缺陷明细!$A$2:$A$50000,$B$4,缺陷明细!$G$2:$G$50000,$C52,缺陷明细!$Q$2:$Q$50000,"已关闭",缺陷明细!$J$2:$J$50000,"系统测试")</f>
        <v>0</v>
      </c>
      <c r="R52" s="72">
        <f>COUNTIFS(缺陷明细!$A$2:$A$50000,$B$4,缺陷明细!$G$2:$G$50000,$C52,缺陷明细!$AA$2:$AA$50000,"丢弃",缺陷明细!$J$2:$J$50000,"系统测试")+COUNTIFS(缺陷明细!$A$2:$A$50000,$B$4,缺陷明细!$G$2:$G$50000,$C52,缺陷明细!$AA$2:$AA$50000,"设计如此",缺陷明细!$J$2:$J$50000,"系统测试"+COUNTIFS(缺陷明细!$A$2:$A$50000,$B$4,缺陷明细!$G$2:$G$50000,$C52,缺陷明细!$AA$2:$AA$50000,"重复Bug",缺陷明细!$J$2:$J$50000,"系统测试"))</f>
        <v>0</v>
      </c>
      <c r="S52" s="72">
        <f>COUNTIFS(缺陷明细!$A$2:$A$50000,$B$4,缺陷明细!$G$2:$G$50000,$C52,缺陷明细!$J$2:$J$50000,"系统测试",缺陷明细!$K$2:$K$50000,"致命",缺陷明细!$AA$2:$AA$50000,"&lt;&gt;丢弃",缺陷明细!$AA$2:$AA$50000,"&lt;&gt;设计如此",缺陷明细!$AA$2:$AA$50000,"&lt;&gt;重复Bug")+COUNTIFS(缺陷明细!$A$2:$A$50000,$B$4,缺陷明细!$G$2:$G$50000,$C52,缺陷明细!$J$2:$J$50000,"系统测试",缺陷明细!$K$2:$K$50000,"严重",缺陷明细!$AA$2:$AA$50000,"&lt;&gt;丢弃",缺陷明细!$AA$2:$AA$50000,"&lt;&gt;设计如此",缺陷明细!$AA$2:$AA$50000,"&lt;&gt;重复Bug")</f>
        <v>0</v>
      </c>
      <c r="T52" s="73">
        <f>COUNTIFS(缺陷明细!$A$2:$A$50000,$B$4,缺陷明细!$G$2:$G$50000,$C52,缺陷明细!$Q$2:$Q$50000,"已关闭",缺陷明细!$J$2:$J$50000,"系统测试",缺陷明细!$K$2:$K$50000,"致命")+COUNTIFS(缺陷明细!$A$2:$A$50000,$B$4,缺陷明细!$G$2:$G$50000,$C52,缺陷明细!$Q$2:$Q$50000,"已关闭",缺陷明细!$J$2:$J$50000,"系统测试",缺陷明细!$K$2:$K$50000,"严重")</f>
        <v>0</v>
      </c>
      <c r="U52" s="74">
        <f>COUNTIFS(缺陷明细!$A$2:$A$50000,$B$4,缺陷明细!$G$2:$G$50000,$C52,缺陷明细!$J$2:$J$50000,"验收测试",缺陷明细!$AA$2:$AA$50000,"&lt;&gt;丢弃",缺陷明细!$AA$2:$AA$50000,"&lt;&gt;设计如此",缺陷明细!$AA$2:$AA$50000,"&lt;&gt;重复Bug")</f>
        <v>0</v>
      </c>
      <c r="V52" s="75">
        <f>COUNTIFS(缺陷明细!$A$2:$A$50000,$B$4,缺陷明细!$G$2:$G$50000,$C52,缺陷明细!$Q$2:$Q$50000,"已关闭",缺陷明细!$J$2:$J$50000,"验收测试")</f>
        <v>0</v>
      </c>
      <c r="W52" s="75">
        <f>COUNTIFS(缺陷明细!$A$2:$A$50000,$B$4,缺陷明细!$G$2:$G$50000,$C52,缺陷明细!$J$2:$J$50000,"验收测试",缺陷明细!$K$2:$K$50000,"致命",缺陷明细!$AA$2:$AA$50000,"&lt;&gt;丢弃",缺陷明细!$AA$2:$AA$50000,"&lt;&gt;设计如此",缺陷明细!$AA$2:$AA$50000,"&lt;&gt;重复Bug")+COUNTIFS(缺陷明细!$A$2:$A$50000,$B$4,缺陷明细!$G$2:$G$50000,$C52,缺陷明细!$J$2:$J$50000,"验收测试",缺陷明细!$K$2:$K$50000,"严重",缺陷明细!$AA$2:$AA$50000,"&lt;&gt;丢弃",缺陷明细!$AA$2:$AA$50000,"&lt;&gt;设计如此",缺陷明细!$AA$2:$AA$50000,"&lt;&gt;重复Bug")</f>
        <v>0</v>
      </c>
      <c r="X52" s="76">
        <f>COUNTIFS(缺陷明细!$A$2:$A$50000,$B$4,缺陷明细!$G$2:$G$50000,$C52,缺陷明细!$Q$2:$Q$50000,"已关闭",缺陷明细!$J$2:$J$50000,"验收测试",缺陷明细!$K$2:$K$50000,"致命")+COUNTIFS(缺陷明细!$A$2:$A$50000,$B$4,缺陷明细!$G$2:$G$50000,$C52,缺陷明细!$Q$2:$Q$50000,"已关闭",缺陷明细!$J$2:$J$50000,"验收测试",缺陷明细!$K$2:$K$50000,"严重")</f>
        <v>0</v>
      </c>
      <c r="Y52" s="70">
        <f>COUNTIFS(缺陷明细!$A$2:$A$50000,$B$4,缺陷明细!$G$2:$G$50000,$C52,缺陷明细!$J$2:$J$50000,"运维测试",缺陷明细!$AA$2:$AA$50000,"&lt;&gt;丢弃",缺陷明细!$AA$2:$AA$50000,"&lt;&gt;设计如此",缺陷明细!$AA$2:$AA$50000,"&lt;&gt;重复Bug")</f>
        <v>0</v>
      </c>
      <c r="Z52" s="71">
        <f>COUNTIFS(缺陷明细!$A$2:$A$50000,$B$4,缺陷明细!$G$2:$G$50000,$C52,缺陷明细!$Q$2:$Q$50000,"已关闭",缺陷明细!$J$2:$J$50000,"运维测试")</f>
        <v>0</v>
      </c>
      <c r="AA52" s="72">
        <f>COUNTIFS(缺陷明细!$A$2:$A$50000,$B$4,缺陷明细!$G$2:$G$50000,$C52,缺陷明细!$J$2:$J$50000,"运维测试",缺陷明细!$K$2:$K$50000,"致命",缺陷明细!$AA$2:$AA$50000,"&lt;&gt;丢弃",缺陷明细!$AA$2:$AA$50000,"&lt;&gt;设计如此",缺陷明细!$AA$2:$AA$50000,"&lt;&gt;重复Bug")+COUNTIFS(缺陷明细!$A$2:$A$50000,$B$4,缺陷明细!$G$2:$G$50000,$C52,缺陷明细!$J$2:$J$50000,"运维测试",缺陷明细!$K$2:$K$50000,"严重",缺陷明细!$AA$2:$AA$50000,"&lt;&gt;丢弃",缺陷明细!$AA$2:$AA$50000,"&lt;&gt;设计如此",缺陷明细!$AA$2:$AA$50000,"&lt;&gt;重复Bug")</f>
        <v>0</v>
      </c>
      <c r="AB52" s="73">
        <f>COUNTIFS(缺陷明细!$A$2:$A$50000,$B$4,缺陷明细!$G$2:$G$50000,$C52,缺陷明细!$Q$2:$Q$50000,"已关闭",缺陷明细!$J$2:$J$50000,"运维测试",缺陷明细!$K$2:$K$50000,"致命")+COUNTIFS(缺陷明细!$A$2:$A$50000,$B$4,缺陷明细!$G$2:$G$50000,$C52,缺陷明细!$Q$2:$Q$50000,"已关闭",缺陷明细!$J$2:$J$50000,"运维测试",缺陷明细!$K$2:$K$50000,"严重")</f>
        <v>0</v>
      </c>
      <c r="AC52" s="68">
        <f t="shared" si="0"/>
        <v>0</v>
      </c>
      <c r="AD52" s="60">
        <f t="shared" si="0"/>
        <v>0</v>
      </c>
      <c r="AE52" s="60">
        <f t="shared" si="1"/>
        <v>0</v>
      </c>
      <c r="AF52" s="60">
        <f t="shared" si="1"/>
        <v>0</v>
      </c>
      <c r="AG52" s="60">
        <f t="shared" si="2"/>
        <v>0</v>
      </c>
      <c r="AH52" s="60">
        <f t="shared" si="2"/>
        <v>0</v>
      </c>
      <c r="AI52" s="60">
        <f t="shared" si="3"/>
        <v>0</v>
      </c>
      <c r="AJ52" s="61">
        <f t="shared" si="3"/>
        <v>0</v>
      </c>
      <c r="AK52" s="151"/>
    </row>
    <row r="53" spans="1:37">
      <c r="A53">
        <v>49</v>
      </c>
      <c r="B53" s="57"/>
      <c r="C53" s="58"/>
      <c r="D53" s="84"/>
      <c r="E53" s="82"/>
      <c r="F53" s="165"/>
      <c r="G53" s="166"/>
      <c r="H53" s="305">
        <f>COUNTIFS(缺陷明细!$A$2:$A$50000,$B$4,缺陷明细!$G$2:$G$50000,$C53,缺陷明细!$J$2:$J$50000,"评审",缺陷明细!$AA$2:$AA$50000,"&lt;&gt;丢弃",缺陷明细!$AA$2:$AA$50000,"&lt;&gt;设计如此",缺陷明细!$AA$2:$AA$50000,"&lt;&gt;重复Bug")</f>
        <v>0</v>
      </c>
      <c r="I53" s="161">
        <f>COUNTIFS(缺陷明细!$A$2:$A$50000,$B$4,缺陷明细!$G$2:$G$50000,$C53,缺陷明细!$Q$2:$Q$50000,"已关闭",缺陷明细!$J$2:$J$50000,"评审")</f>
        <v>0</v>
      </c>
      <c r="J53" s="161">
        <f>COUNTIFS(缺陷明细!$A$2:$A$50000,$B$4,缺陷明细!$G$2:$G$50000,$C53,缺陷明细!$J$2:$J$50000,"单元测试",缺陷明细!$AA$2:$AA$50000,"&lt;&gt;丢弃",缺陷明细!$AA$2:$AA$50000,"&lt;&gt;设计如此",缺陷明细!$AA$2:$AA$50000,"&lt;&gt;重复Bug")</f>
        <v>0</v>
      </c>
      <c r="K53" s="162">
        <f>COUNTIFS(缺陷明细!$A$2:$A$50000,$B$4,缺陷明细!$G$2:$G$50000,$C53,缺陷明细!$Q$2:$Q$50000,"已关闭",缺陷明细!$J$2:$J$50000,"单元测试")</f>
        <v>0</v>
      </c>
      <c r="L53" s="163"/>
      <c r="M53" s="164"/>
      <c r="N53" s="72">
        <f>COUNTIFS(缺陷明细!$A$2:$A$50000,$B$4,缺陷明细!$G$2:$G$50000,$C53,缺陷明细!$J$2:$J$50000,"系统测试案例评审",缺陷明细!$AA$2:$AA$50000,"&lt;&gt;丢弃",缺陷明细!$AA$2:$AA$50000,"&lt;&gt;设计如此",缺陷明细!$AA$2:$AA$50000,"&lt;&gt;重复Bug")</f>
        <v>0</v>
      </c>
      <c r="O53" s="72">
        <f>COUNTIFS(缺陷明细!$A$2:$A$50000,$B$4,缺陷明细!$G$2:$G$50000,$C53,缺陷明细!$Q$2:$Q$50000,"已关闭",缺陷明细!$J$2:$J$50000,"系统测试案例评审")</f>
        <v>0</v>
      </c>
      <c r="P53" s="72">
        <f>COUNTIFS(缺陷明细!$A$2:$A$50000,$B$4,缺陷明细!$G$2:$G$50000,$C53,缺陷明细!$J$2:$J$50000,"系统测试",缺陷明细!$AA$2:$AA$50000,"&lt;&gt;丢弃",缺陷明细!$AA$2:$AA$50000,"&lt;&gt;设计如此",缺陷明细!$AA$2:$AA$50000,"&lt;&gt;重复Bug")</f>
        <v>0</v>
      </c>
      <c r="Q53" s="72">
        <f>COUNTIFS(缺陷明细!$A$2:$A$50000,$B$4,缺陷明细!$G$2:$G$50000,$C53,缺陷明细!$Q$2:$Q$50000,"已关闭",缺陷明细!$J$2:$J$50000,"系统测试")</f>
        <v>0</v>
      </c>
      <c r="R53" s="72">
        <f>COUNTIFS(缺陷明细!$A$2:$A$50000,$B$4,缺陷明细!$G$2:$G$50000,$C53,缺陷明细!$AA$2:$AA$50000,"丢弃",缺陷明细!$J$2:$J$50000,"系统测试")+COUNTIFS(缺陷明细!$A$2:$A$50000,$B$4,缺陷明细!$G$2:$G$50000,$C53,缺陷明细!$AA$2:$AA$50000,"设计如此",缺陷明细!$J$2:$J$50000,"系统测试"+COUNTIFS(缺陷明细!$A$2:$A$50000,$B$4,缺陷明细!$G$2:$G$50000,$C53,缺陷明细!$AA$2:$AA$50000,"重复Bug",缺陷明细!$J$2:$J$50000,"系统测试"))</f>
        <v>0</v>
      </c>
      <c r="S53" s="72">
        <f>COUNTIFS(缺陷明细!$A$2:$A$50000,$B$4,缺陷明细!$G$2:$G$50000,$C53,缺陷明细!$J$2:$J$50000,"系统测试",缺陷明细!$K$2:$K$50000,"致命",缺陷明细!$AA$2:$AA$50000,"&lt;&gt;丢弃",缺陷明细!$AA$2:$AA$50000,"&lt;&gt;设计如此",缺陷明细!$AA$2:$AA$50000,"&lt;&gt;重复Bug")+COUNTIFS(缺陷明细!$A$2:$A$50000,$B$4,缺陷明细!$G$2:$G$50000,$C53,缺陷明细!$J$2:$J$50000,"系统测试",缺陷明细!$K$2:$K$50000,"严重",缺陷明细!$AA$2:$AA$50000,"&lt;&gt;丢弃",缺陷明细!$AA$2:$AA$50000,"&lt;&gt;设计如此",缺陷明细!$AA$2:$AA$50000,"&lt;&gt;重复Bug")</f>
        <v>0</v>
      </c>
      <c r="T53" s="73">
        <f>COUNTIFS(缺陷明细!$A$2:$A$50000,$B$4,缺陷明细!$G$2:$G$50000,$C53,缺陷明细!$Q$2:$Q$50000,"已关闭",缺陷明细!$J$2:$J$50000,"系统测试",缺陷明细!$K$2:$K$50000,"致命")+COUNTIFS(缺陷明细!$A$2:$A$50000,$B$4,缺陷明细!$G$2:$G$50000,$C53,缺陷明细!$Q$2:$Q$50000,"已关闭",缺陷明细!$J$2:$J$50000,"系统测试",缺陷明细!$K$2:$K$50000,"严重")</f>
        <v>0</v>
      </c>
      <c r="U53" s="74">
        <f>COUNTIFS(缺陷明细!$A$2:$A$50000,$B$4,缺陷明细!$G$2:$G$50000,$C53,缺陷明细!$J$2:$J$50000,"验收测试",缺陷明细!$AA$2:$AA$50000,"&lt;&gt;丢弃",缺陷明细!$AA$2:$AA$50000,"&lt;&gt;设计如此",缺陷明细!$AA$2:$AA$50000,"&lt;&gt;重复Bug")</f>
        <v>0</v>
      </c>
      <c r="V53" s="75">
        <f>COUNTIFS(缺陷明细!$A$2:$A$50000,$B$4,缺陷明细!$G$2:$G$50000,$C53,缺陷明细!$Q$2:$Q$50000,"已关闭",缺陷明细!$J$2:$J$50000,"验收测试")</f>
        <v>0</v>
      </c>
      <c r="W53" s="75">
        <f>COUNTIFS(缺陷明细!$A$2:$A$50000,$B$4,缺陷明细!$G$2:$G$50000,$C53,缺陷明细!$J$2:$J$50000,"验收测试",缺陷明细!$K$2:$K$50000,"致命",缺陷明细!$AA$2:$AA$50000,"&lt;&gt;丢弃",缺陷明细!$AA$2:$AA$50000,"&lt;&gt;设计如此",缺陷明细!$AA$2:$AA$50000,"&lt;&gt;重复Bug")+COUNTIFS(缺陷明细!$A$2:$A$50000,$B$4,缺陷明细!$G$2:$G$50000,$C53,缺陷明细!$J$2:$J$50000,"验收测试",缺陷明细!$K$2:$K$50000,"严重",缺陷明细!$AA$2:$AA$50000,"&lt;&gt;丢弃",缺陷明细!$AA$2:$AA$50000,"&lt;&gt;设计如此",缺陷明细!$AA$2:$AA$50000,"&lt;&gt;重复Bug")</f>
        <v>0</v>
      </c>
      <c r="X53" s="76">
        <f>COUNTIFS(缺陷明细!$A$2:$A$50000,$B$4,缺陷明细!$G$2:$G$50000,$C53,缺陷明细!$Q$2:$Q$50000,"已关闭",缺陷明细!$J$2:$J$50000,"验收测试",缺陷明细!$K$2:$K$50000,"致命")+COUNTIFS(缺陷明细!$A$2:$A$50000,$B$4,缺陷明细!$G$2:$G$50000,$C53,缺陷明细!$Q$2:$Q$50000,"已关闭",缺陷明细!$J$2:$J$50000,"验收测试",缺陷明细!$K$2:$K$50000,"严重")</f>
        <v>0</v>
      </c>
      <c r="Y53" s="70">
        <f>COUNTIFS(缺陷明细!$A$2:$A$50000,$B$4,缺陷明细!$G$2:$G$50000,$C53,缺陷明细!$J$2:$J$50000,"运维测试",缺陷明细!$AA$2:$AA$50000,"&lt;&gt;丢弃",缺陷明细!$AA$2:$AA$50000,"&lt;&gt;设计如此",缺陷明细!$AA$2:$AA$50000,"&lt;&gt;重复Bug")</f>
        <v>0</v>
      </c>
      <c r="Z53" s="71">
        <f>COUNTIFS(缺陷明细!$A$2:$A$50000,$B$4,缺陷明细!$G$2:$G$50000,$C53,缺陷明细!$Q$2:$Q$50000,"已关闭",缺陷明细!$J$2:$J$50000,"运维测试")</f>
        <v>0</v>
      </c>
      <c r="AA53" s="72">
        <f>COUNTIFS(缺陷明细!$A$2:$A$50000,$B$4,缺陷明细!$G$2:$G$50000,$C53,缺陷明细!$J$2:$J$50000,"运维测试",缺陷明细!$K$2:$K$50000,"致命",缺陷明细!$AA$2:$AA$50000,"&lt;&gt;丢弃",缺陷明细!$AA$2:$AA$50000,"&lt;&gt;设计如此",缺陷明细!$AA$2:$AA$50000,"&lt;&gt;重复Bug")+COUNTIFS(缺陷明细!$A$2:$A$50000,$B$4,缺陷明细!$G$2:$G$50000,$C53,缺陷明细!$J$2:$J$50000,"运维测试",缺陷明细!$K$2:$K$50000,"严重",缺陷明细!$AA$2:$AA$50000,"&lt;&gt;丢弃",缺陷明细!$AA$2:$AA$50000,"&lt;&gt;设计如此",缺陷明细!$AA$2:$AA$50000,"&lt;&gt;重复Bug")</f>
        <v>0</v>
      </c>
      <c r="AB53" s="73">
        <f>COUNTIFS(缺陷明细!$A$2:$A$50000,$B$4,缺陷明细!$G$2:$G$50000,$C53,缺陷明细!$Q$2:$Q$50000,"已关闭",缺陷明细!$J$2:$J$50000,"运维测试",缺陷明细!$K$2:$K$50000,"致命")+COUNTIFS(缺陷明细!$A$2:$A$50000,$B$4,缺陷明细!$G$2:$G$50000,$C53,缺陷明细!$Q$2:$Q$50000,"已关闭",缺陷明细!$J$2:$J$50000,"运维测试",缺陷明细!$K$2:$K$50000,"严重")</f>
        <v>0</v>
      </c>
      <c r="AC53" s="68">
        <f t="shared" si="0"/>
        <v>0</v>
      </c>
      <c r="AD53" s="60">
        <f t="shared" si="0"/>
        <v>0</v>
      </c>
      <c r="AE53" s="60">
        <f t="shared" si="1"/>
        <v>0</v>
      </c>
      <c r="AF53" s="60">
        <f t="shared" si="1"/>
        <v>0</v>
      </c>
      <c r="AG53" s="60">
        <f t="shared" si="2"/>
        <v>0</v>
      </c>
      <c r="AH53" s="60">
        <f t="shared" si="2"/>
        <v>0</v>
      </c>
      <c r="AI53" s="60">
        <f t="shared" si="3"/>
        <v>0</v>
      </c>
      <c r="AJ53" s="61">
        <f t="shared" si="3"/>
        <v>0</v>
      </c>
      <c r="AK53" s="151"/>
    </row>
    <row r="54" spans="1:37">
      <c r="A54">
        <v>50</v>
      </c>
      <c r="B54" s="57"/>
      <c r="C54" s="58"/>
      <c r="D54" s="84"/>
      <c r="E54" s="82"/>
      <c r="F54" s="165"/>
      <c r="G54" s="166"/>
      <c r="H54" s="305">
        <f>COUNTIFS(缺陷明细!$A$2:$A$50000,$B$4,缺陷明细!$G$2:$G$50000,$C54,缺陷明细!$J$2:$J$50000,"评审",缺陷明细!$AA$2:$AA$50000,"&lt;&gt;丢弃",缺陷明细!$AA$2:$AA$50000,"&lt;&gt;设计如此",缺陷明细!$AA$2:$AA$50000,"&lt;&gt;重复Bug")</f>
        <v>0</v>
      </c>
      <c r="I54" s="161">
        <f>COUNTIFS(缺陷明细!$A$2:$A$50000,$B$4,缺陷明细!$G$2:$G$50000,$C54,缺陷明细!$Q$2:$Q$50000,"已关闭",缺陷明细!$J$2:$J$50000,"评审")</f>
        <v>0</v>
      </c>
      <c r="J54" s="161">
        <f>COUNTIFS(缺陷明细!$A$2:$A$50000,$B$4,缺陷明细!$G$2:$G$50000,$C54,缺陷明细!$J$2:$J$50000,"单元测试",缺陷明细!$AA$2:$AA$50000,"&lt;&gt;丢弃",缺陷明细!$AA$2:$AA$50000,"&lt;&gt;设计如此",缺陷明细!$AA$2:$AA$50000,"&lt;&gt;重复Bug")</f>
        <v>0</v>
      </c>
      <c r="K54" s="162">
        <f>COUNTIFS(缺陷明细!$A$2:$A$50000,$B$4,缺陷明细!$G$2:$G$50000,$C54,缺陷明细!$Q$2:$Q$50000,"已关闭",缺陷明细!$J$2:$J$50000,"单元测试")</f>
        <v>0</v>
      </c>
      <c r="L54" s="163"/>
      <c r="M54" s="164"/>
      <c r="N54" s="72">
        <f>COUNTIFS(缺陷明细!$A$2:$A$50000,$B$4,缺陷明细!$G$2:$G$50000,$C54,缺陷明细!$J$2:$J$50000,"系统测试案例评审",缺陷明细!$AA$2:$AA$50000,"&lt;&gt;丢弃",缺陷明细!$AA$2:$AA$50000,"&lt;&gt;设计如此",缺陷明细!$AA$2:$AA$50000,"&lt;&gt;重复Bug")</f>
        <v>0</v>
      </c>
      <c r="O54" s="72">
        <f>COUNTIFS(缺陷明细!$A$2:$A$50000,$B$4,缺陷明细!$G$2:$G$50000,$C54,缺陷明细!$Q$2:$Q$50000,"已关闭",缺陷明细!$J$2:$J$50000,"系统测试案例评审")</f>
        <v>0</v>
      </c>
      <c r="P54" s="72">
        <f>COUNTIFS(缺陷明细!$A$2:$A$50000,$B$4,缺陷明细!$G$2:$G$50000,$C54,缺陷明细!$J$2:$J$50000,"系统测试",缺陷明细!$AA$2:$AA$50000,"&lt;&gt;丢弃",缺陷明细!$AA$2:$AA$50000,"&lt;&gt;设计如此",缺陷明细!$AA$2:$AA$50000,"&lt;&gt;重复Bug")</f>
        <v>0</v>
      </c>
      <c r="Q54" s="72">
        <f>COUNTIFS(缺陷明细!$A$2:$A$50000,$B$4,缺陷明细!$G$2:$G$50000,$C54,缺陷明细!$Q$2:$Q$50000,"已关闭",缺陷明细!$J$2:$J$50000,"系统测试")</f>
        <v>0</v>
      </c>
      <c r="R54" s="72">
        <f>COUNTIFS(缺陷明细!$A$2:$A$50000,$B$4,缺陷明细!$G$2:$G$50000,$C54,缺陷明细!$AA$2:$AA$50000,"丢弃",缺陷明细!$J$2:$J$50000,"系统测试")+COUNTIFS(缺陷明细!$A$2:$A$50000,$B$4,缺陷明细!$G$2:$G$50000,$C54,缺陷明细!$AA$2:$AA$50000,"设计如此",缺陷明细!$J$2:$J$50000,"系统测试"+COUNTIFS(缺陷明细!$A$2:$A$50000,$B$4,缺陷明细!$G$2:$G$50000,$C54,缺陷明细!$AA$2:$AA$50000,"重复Bug",缺陷明细!$J$2:$J$50000,"系统测试"))</f>
        <v>0</v>
      </c>
      <c r="S54" s="72">
        <f>COUNTIFS(缺陷明细!$A$2:$A$50000,$B$4,缺陷明细!$G$2:$G$50000,$C54,缺陷明细!$J$2:$J$50000,"系统测试",缺陷明细!$K$2:$K$50000,"致命",缺陷明细!$AA$2:$AA$50000,"&lt;&gt;丢弃",缺陷明细!$AA$2:$AA$50000,"&lt;&gt;设计如此",缺陷明细!$AA$2:$AA$50000,"&lt;&gt;重复Bug")+COUNTIFS(缺陷明细!$A$2:$A$50000,$B$4,缺陷明细!$G$2:$G$50000,$C54,缺陷明细!$J$2:$J$50000,"系统测试",缺陷明细!$K$2:$K$50000,"严重",缺陷明细!$AA$2:$AA$50000,"&lt;&gt;丢弃",缺陷明细!$AA$2:$AA$50000,"&lt;&gt;设计如此",缺陷明细!$AA$2:$AA$50000,"&lt;&gt;重复Bug")</f>
        <v>0</v>
      </c>
      <c r="T54" s="73">
        <f>COUNTIFS(缺陷明细!$A$2:$A$50000,$B$4,缺陷明细!$G$2:$G$50000,$C54,缺陷明细!$Q$2:$Q$50000,"已关闭",缺陷明细!$J$2:$J$50000,"系统测试",缺陷明细!$K$2:$K$50000,"致命")+COUNTIFS(缺陷明细!$A$2:$A$50000,$B$4,缺陷明细!$G$2:$G$50000,$C54,缺陷明细!$Q$2:$Q$50000,"已关闭",缺陷明细!$J$2:$J$50000,"系统测试",缺陷明细!$K$2:$K$50000,"严重")</f>
        <v>0</v>
      </c>
      <c r="U54" s="74">
        <f>COUNTIFS(缺陷明细!$A$2:$A$50000,$B$4,缺陷明细!$G$2:$G$50000,$C54,缺陷明细!$J$2:$J$50000,"验收测试",缺陷明细!$AA$2:$AA$50000,"&lt;&gt;丢弃",缺陷明细!$AA$2:$AA$50000,"&lt;&gt;设计如此",缺陷明细!$AA$2:$AA$50000,"&lt;&gt;重复Bug")</f>
        <v>0</v>
      </c>
      <c r="V54" s="75">
        <f>COUNTIFS(缺陷明细!$A$2:$A$50000,$B$4,缺陷明细!$G$2:$G$50000,$C54,缺陷明细!$Q$2:$Q$50000,"已关闭",缺陷明细!$J$2:$J$50000,"验收测试")</f>
        <v>0</v>
      </c>
      <c r="W54" s="75">
        <f>COUNTIFS(缺陷明细!$A$2:$A$50000,$B$4,缺陷明细!$G$2:$G$50000,$C54,缺陷明细!$J$2:$J$50000,"验收测试",缺陷明细!$K$2:$K$50000,"致命",缺陷明细!$AA$2:$AA$50000,"&lt;&gt;丢弃",缺陷明细!$AA$2:$AA$50000,"&lt;&gt;设计如此",缺陷明细!$AA$2:$AA$50000,"&lt;&gt;重复Bug")+COUNTIFS(缺陷明细!$A$2:$A$50000,$B$4,缺陷明细!$G$2:$G$50000,$C54,缺陷明细!$J$2:$J$50000,"验收测试",缺陷明细!$K$2:$K$50000,"严重",缺陷明细!$AA$2:$AA$50000,"&lt;&gt;丢弃",缺陷明细!$AA$2:$AA$50000,"&lt;&gt;设计如此",缺陷明细!$AA$2:$AA$50000,"&lt;&gt;重复Bug")</f>
        <v>0</v>
      </c>
      <c r="X54" s="76">
        <f>COUNTIFS(缺陷明细!$A$2:$A$50000,$B$4,缺陷明细!$G$2:$G$50000,$C54,缺陷明细!$Q$2:$Q$50000,"已关闭",缺陷明细!$J$2:$J$50000,"验收测试",缺陷明细!$K$2:$K$50000,"致命")+COUNTIFS(缺陷明细!$A$2:$A$50000,$B$4,缺陷明细!$G$2:$G$50000,$C54,缺陷明细!$Q$2:$Q$50000,"已关闭",缺陷明细!$J$2:$J$50000,"验收测试",缺陷明细!$K$2:$K$50000,"严重")</f>
        <v>0</v>
      </c>
      <c r="Y54" s="70">
        <f>COUNTIFS(缺陷明细!$A$2:$A$50000,$B$4,缺陷明细!$G$2:$G$50000,$C54,缺陷明细!$J$2:$J$50000,"运维测试",缺陷明细!$AA$2:$AA$50000,"&lt;&gt;丢弃",缺陷明细!$AA$2:$AA$50000,"&lt;&gt;设计如此",缺陷明细!$AA$2:$AA$50000,"&lt;&gt;重复Bug")</f>
        <v>0</v>
      </c>
      <c r="Z54" s="71">
        <f>COUNTIFS(缺陷明细!$A$2:$A$50000,$B$4,缺陷明细!$G$2:$G$50000,$C54,缺陷明细!$Q$2:$Q$50000,"已关闭",缺陷明细!$J$2:$J$50000,"运维测试")</f>
        <v>0</v>
      </c>
      <c r="AA54" s="72">
        <f>COUNTIFS(缺陷明细!$A$2:$A$50000,$B$4,缺陷明细!$G$2:$G$50000,$C54,缺陷明细!$J$2:$J$50000,"运维测试",缺陷明细!$K$2:$K$50000,"致命",缺陷明细!$AA$2:$AA$50000,"&lt;&gt;丢弃",缺陷明细!$AA$2:$AA$50000,"&lt;&gt;设计如此",缺陷明细!$AA$2:$AA$50000,"&lt;&gt;重复Bug")+COUNTIFS(缺陷明细!$A$2:$A$50000,$B$4,缺陷明细!$G$2:$G$50000,$C54,缺陷明细!$J$2:$J$50000,"运维测试",缺陷明细!$K$2:$K$50000,"严重",缺陷明细!$AA$2:$AA$50000,"&lt;&gt;丢弃",缺陷明细!$AA$2:$AA$50000,"&lt;&gt;设计如此",缺陷明细!$AA$2:$AA$50000,"&lt;&gt;重复Bug")</f>
        <v>0</v>
      </c>
      <c r="AB54" s="73">
        <f>COUNTIFS(缺陷明细!$A$2:$A$50000,$B$4,缺陷明细!$G$2:$G$50000,$C54,缺陷明细!$Q$2:$Q$50000,"已关闭",缺陷明细!$J$2:$J$50000,"运维测试",缺陷明细!$K$2:$K$50000,"致命")+COUNTIFS(缺陷明细!$A$2:$A$50000,$B$4,缺陷明细!$G$2:$G$50000,$C54,缺陷明细!$Q$2:$Q$50000,"已关闭",缺陷明细!$J$2:$J$50000,"运维测试",缺陷明细!$K$2:$K$50000,"严重")</f>
        <v>0</v>
      </c>
      <c r="AC54" s="68">
        <f t="shared" si="0"/>
        <v>0</v>
      </c>
      <c r="AD54" s="60">
        <f t="shared" si="0"/>
        <v>0</v>
      </c>
      <c r="AE54" s="60">
        <f t="shared" si="1"/>
        <v>0</v>
      </c>
      <c r="AF54" s="60">
        <f t="shared" si="1"/>
        <v>0</v>
      </c>
      <c r="AG54" s="60">
        <f t="shared" si="2"/>
        <v>0</v>
      </c>
      <c r="AH54" s="60">
        <f t="shared" si="2"/>
        <v>0</v>
      </c>
      <c r="AI54" s="60">
        <f t="shared" si="3"/>
        <v>0</v>
      </c>
      <c r="AJ54" s="61">
        <f t="shared" si="3"/>
        <v>0</v>
      </c>
      <c r="AK54" s="151"/>
    </row>
    <row r="55" spans="1:37" ht="13.8" thickBot="1">
      <c r="B55" s="147"/>
      <c r="C55" s="109"/>
      <c r="D55" s="85"/>
      <c r="E55" s="156"/>
      <c r="F55" s="169"/>
      <c r="G55" s="170"/>
      <c r="H55" s="306">
        <f>COUNTIFS(缺陷明细!$A$2:$A$50000,$B$4,缺陷明细!$G$2:$G$50000,$C55,缺陷明细!$J$2:$J$50000,"评审",缺陷明细!$AA$2:$AA$50000,"&lt;&gt;丢弃",缺陷明细!$AA$2:$AA$50000,"&lt;&gt;设计如此",缺陷明细!$AA$2:$AA$50000,"&lt;&gt;重复Bug")</f>
        <v>0</v>
      </c>
      <c r="I55" s="307">
        <f>COUNTIFS(缺陷明细!$A$2:$A$50000,$B$4,缺陷明细!$G$2:$G$50000,$C55,缺陷明细!$Q$2:$Q$50000,"已关闭",缺陷明细!$J$2:$J$50000,"评审")</f>
        <v>0</v>
      </c>
      <c r="J55" s="307">
        <f>COUNTIFS(缺陷明细!$A$2:$A$50000,$B$4,缺陷明细!$G$2:$G$50000,$C55,缺陷明细!$J$2:$J$50000,"单元测试",缺陷明细!$AA$2:$AA$50000,"&lt;&gt;丢弃",缺陷明细!$AA$2:$AA$50000,"&lt;&gt;设计如此",缺陷明细!$AA$2:$AA$50000,"&lt;&gt;重复Bug")</f>
        <v>0</v>
      </c>
      <c r="K55" s="308">
        <f>COUNTIFS(缺陷明细!$A$2:$A$50000,$B$4,缺陷明细!$G$2:$G$50000,$C55,缺陷明细!$Q$2:$Q$50000,"已关闭",缺陷明细!$J$2:$J$50000,"单元测试")</f>
        <v>0</v>
      </c>
      <c r="L55" s="309"/>
      <c r="M55" s="310"/>
      <c r="N55" s="311">
        <f>COUNTIFS(缺陷明细!$A$2:$A$50000,$B$4,缺陷明细!$G$2:$G$50000,$C55,缺陷明细!$J$2:$J$50000,"系统测试案例评审",缺陷明细!$AA$2:$AA$50000,"&lt;&gt;丢弃",缺陷明细!$AA$2:$AA$50000,"&lt;&gt;设计如此",缺陷明细!$AA$2:$AA$50000,"&lt;&gt;重复Bug")</f>
        <v>0</v>
      </c>
      <c r="O55" s="311">
        <f>COUNTIFS(缺陷明细!$A$2:$A$50000,$B$4,缺陷明细!$G$2:$G$50000,$C55,缺陷明细!$Q$2:$Q$50000,"已关闭",缺陷明细!$J$2:$J$50000,"系统测试案例评审")</f>
        <v>0</v>
      </c>
      <c r="P55" s="311">
        <f>COUNTIFS(缺陷明细!$A$2:$A$50000,$B$4,缺陷明细!$G$2:$G$50000,$C55,缺陷明细!$J$2:$J$50000,"系统测试",缺陷明细!$AA$2:$AA$50000,"&lt;&gt;丢弃",缺陷明细!$AA$2:$AA$50000,"&lt;&gt;设计如此",缺陷明细!$AA$2:$AA$50000,"&lt;&gt;重复Bug")</f>
        <v>0</v>
      </c>
      <c r="Q55" s="311">
        <f>COUNTIFS(缺陷明细!$A$2:$A$50000,$B$4,缺陷明细!$G$2:$G$50000,$C55,缺陷明细!$Q$2:$Q$50000,"已关闭",缺陷明细!$J$2:$J$50000,"系统测试")</f>
        <v>0</v>
      </c>
      <c r="R55" s="311">
        <f>COUNTIFS(缺陷明细!$A$2:$A$50000,$B$4,缺陷明细!$G$2:$G$50000,$C55,缺陷明细!$AA$2:$AA$50000,"丢弃",缺陷明细!$J$2:$J$50000,"系统测试")+COUNTIFS(缺陷明细!$A$2:$A$50000,$B$4,缺陷明细!$G$2:$G$50000,$C55,缺陷明细!$AA$2:$AA$50000,"设计如此",缺陷明细!$J$2:$J$50000,"系统测试"+COUNTIFS(缺陷明细!$A$2:$A$50000,$B$4,缺陷明细!$G$2:$G$50000,$C55,缺陷明细!$AA$2:$AA$50000,"重复Bug",缺陷明细!$J$2:$J$50000,"系统测试"))</f>
        <v>0</v>
      </c>
      <c r="S55" s="311">
        <f>COUNTIFS(缺陷明细!$A$2:$A$50000,$B$4,缺陷明细!$G$2:$G$50000,$C55,缺陷明细!$J$2:$J$50000,"系统测试",缺陷明细!$K$2:$K$50000,"致命",缺陷明细!$AA$2:$AA$50000,"&lt;&gt;丢弃",缺陷明细!$AA$2:$AA$50000,"&lt;&gt;设计如此",缺陷明细!$AA$2:$AA$50000,"&lt;&gt;重复Bug")+COUNTIFS(缺陷明细!$A$2:$A$50000,$B$4,缺陷明细!$G$2:$G$50000,$C55,缺陷明细!$J$2:$J$50000,"系统测试",缺陷明细!$K$2:$K$50000,"严重",缺陷明细!$AA$2:$AA$50000,"&lt;&gt;丢弃",缺陷明细!$AA$2:$AA$50000,"&lt;&gt;设计如此",缺陷明细!$AA$2:$AA$50000,"&lt;&gt;重复Bug")</f>
        <v>0</v>
      </c>
      <c r="T55" s="312">
        <f>COUNTIFS(缺陷明细!$A$2:$A$50000,$B$4,缺陷明细!$G$2:$G$50000,$C55,缺陷明细!$Q$2:$Q$50000,"已关闭",缺陷明细!$J$2:$J$50000,"系统测试",缺陷明细!$K$2:$K$50000,"致命")+COUNTIFS(缺陷明细!$A$2:$A$50000,$B$4,缺陷明细!$G$2:$G$50000,$C55,缺陷明细!$Q$2:$Q$50000,"已关闭",缺陷明细!$J$2:$J$50000,"系统测试",缺陷明细!$K$2:$K$50000,"严重")</f>
        <v>0</v>
      </c>
      <c r="U55" s="313">
        <f>COUNTIFS(缺陷明细!$A$2:$A$50000,$B$4,缺陷明细!$G$2:$G$50000,$C55,缺陷明细!$J$2:$J$50000,"验收测试",缺陷明细!$AA$2:$AA$50000,"&lt;&gt;丢弃",缺陷明细!$AA$2:$AA$50000,"&lt;&gt;设计如此",缺陷明细!$AA$2:$AA$50000,"&lt;&gt;重复Bug")</f>
        <v>0</v>
      </c>
      <c r="V55" s="314">
        <f>COUNTIFS(缺陷明细!$A$2:$A$50000,$B$4,缺陷明细!$G$2:$G$50000,$C55,缺陷明细!$Q$2:$Q$50000,"已关闭",缺陷明细!$J$2:$J$50000,"验收测试")</f>
        <v>0</v>
      </c>
      <c r="W55" s="314">
        <f>COUNTIFS(缺陷明细!$A$2:$A$50000,$B$4,缺陷明细!$G$2:$G$50000,$C55,缺陷明细!$J$2:$J$50000,"验收测试",缺陷明细!$K$2:$K$50000,"致命",缺陷明细!$AA$2:$AA$50000,"&lt;&gt;丢弃",缺陷明细!$AA$2:$AA$50000,"&lt;&gt;设计如此",缺陷明细!$AA$2:$AA$50000,"&lt;&gt;重复Bug")+COUNTIFS(缺陷明细!$A$2:$A$50000,$B$4,缺陷明细!$G$2:$G$50000,$C55,缺陷明细!$J$2:$J$50000,"验收测试",缺陷明细!$K$2:$K$50000,"严重",缺陷明细!$AA$2:$AA$50000,"&lt;&gt;丢弃",缺陷明细!$AA$2:$AA$50000,"&lt;&gt;设计如此",缺陷明细!$AA$2:$AA$50000,"&lt;&gt;重复Bug")</f>
        <v>0</v>
      </c>
      <c r="X55" s="315">
        <f>COUNTIFS(缺陷明细!$A$2:$A$50000,$B$4,缺陷明细!$G$2:$G$50000,$C55,缺陷明细!$Q$2:$Q$50000,"已关闭",缺陷明细!$J$2:$J$50000,"验收测试",缺陷明细!$K$2:$K$50000,"致命")+COUNTIFS(缺陷明细!$A$2:$A$50000,$B$4,缺陷明细!$G$2:$G$50000,$C55,缺陷明细!$Q$2:$Q$50000,"已关闭",缺陷明细!$J$2:$J$50000,"验收测试",缺陷明细!$K$2:$K$50000,"严重")</f>
        <v>0</v>
      </c>
      <c r="Y55" s="316">
        <f>COUNTIFS(缺陷明细!$A$2:$A$50000,$B$4,缺陷明细!$G$2:$G$50000,$C55,缺陷明细!$J$2:$J$50000,"运维测试",缺陷明细!$AA$2:$AA$50000,"&lt;&gt;丢弃",缺陷明细!$AA$2:$AA$50000,"&lt;&gt;设计如此",缺陷明细!$AA$2:$AA$50000,"&lt;&gt;重复Bug")</f>
        <v>0</v>
      </c>
      <c r="Z55" s="317">
        <f>COUNTIFS(缺陷明细!$A$2:$A$50000,$B$4,缺陷明细!$G$2:$G$50000,$C55,缺陷明细!$Q$2:$Q$50000,"已关闭",缺陷明细!$J$2:$J$50000,"运维测试")</f>
        <v>0</v>
      </c>
      <c r="AA55" s="311">
        <f>COUNTIFS(缺陷明细!$A$2:$A$50000,$B$4,缺陷明细!$G$2:$G$50000,$C55,缺陷明细!$J$2:$J$50000,"运维测试",缺陷明细!$K$2:$K$50000,"致命",缺陷明细!$AA$2:$AA$50000,"&lt;&gt;丢弃",缺陷明细!$AA$2:$AA$50000,"&lt;&gt;设计如此",缺陷明细!$AA$2:$AA$50000,"&lt;&gt;重复Bug")+COUNTIFS(缺陷明细!$A$2:$A$50000,$B$4,缺陷明细!$G$2:$G$50000,$C55,缺陷明细!$J$2:$J$50000,"运维测试",缺陷明细!$K$2:$K$50000,"严重",缺陷明细!$AA$2:$AA$50000,"&lt;&gt;丢弃",缺陷明细!$AA$2:$AA$50000,"&lt;&gt;设计如此",缺陷明细!$AA$2:$AA$50000,"&lt;&gt;重复Bug")</f>
        <v>0</v>
      </c>
      <c r="AB55" s="312">
        <f>COUNTIFS(缺陷明细!$A$2:$A$50000,$B$4,缺陷明细!$G$2:$G$50000,$C55,缺陷明细!$Q$2:$Q$50000,"已关闭",缺陷明细!$J$2:$J$50000,"运维测试",缺陷明细!$K$2:$K$50000,"致命")+COUNTIFS(缺陷明细!$A$2:$A$50000,$B$4,缺陷明细!$G$2:$G$50000,$C55,缺陷明细!$Q$2:$Q$50000,"已关闭",缺陷明细!$J$2:$J$50000,"运维测试",缺陷明细!$K$2:$K$50000,"严重")</f>
        <v>0</v>
      </c>
      <c r="AC55" s="157">
        <f t="shared" si="0"/>
        <v>0</v>
      </c>
      <c r="AD55" s="158">
        <f t="shared" si="0"/>
        <v>0</v>
      </c>
      <c r="AE55" s="158">
        <f t="shared" si="1"/>
        <v>0</v>
      </c>
      <c r="AF55" s="158">
        <f t="shared" si="1"/>
        <v>0</v>
      </c>
      <c r="AG55" s="158">
        <f t="shared" si="2"/>
        <v>0</v>
      </c>
      <c r="AH55" s="158">
        <f t="shared" si="2"/>
        <v>0</v>
      </c>
      <c r="AI55" s="158">
        <f t="shared" si="3"/>
        <v>0</v>
      </c>
      <c r="AJ55" s="148">
        <f t="shared" si="3"/>
        <v>0</v>
      </c>
      <c r="AK55" s="152"/>
    </row>
    <row r="56" spans="1:37">
      <c r="B56" s="397" t="s">
        <v>209</v>
      </c>
      <c r="C56" s="398"/>
      <c r="D56" s="142">
        <f>COUNTA(D5:D55)</f>
        <v>0</v>
      </c>
      <c r="E56" s="142">
        <f>COUNTIF(E2:E55,"是")</f>
        <v>0</v>
      </c>
      <c r="F56" s="142">
        <f>SUMIFS(F5:F500,$E$5:$E$500,"是")</f>
        <v>0</v>
      </c>
      <c r="G56" s="142">
        <f t="shared" ref="G56:AJ56" si="4">SUMIFS(G5:G500,$E$5:$E$500,"是")</f>
        <v>0</v>
      </c>
      <c r="H56" s="142">
        <f t="shared" si="4"/>
        <v>0</v>
      </c>
      <c r="I56" s="142">
        <f t="shared" si="4"/>
        <v>0</v>
      </c>
      <c r="J56" s="142">
        <f t="shared" si="4"/>
        <v>0</v>
      </c>
      <c r="K56" s="142">
        <f t="shared" si="4"/>
        <v>0</v>
      </c>
      <c r="L56" s="142">
        <f t="shared" si="4"/>
        <v>0</v>
      </c>
      <c r="M56" s="142">
        <f t="shared" si="4"/>
        <v>0</v>
      </c>
      <c r="N56" s="142">
        <f t="shared" si="4"/>
        <v>0</v>
      </c>
      <c r="O56" s="142">
        <f t="shared" si="4"/>
        <v>0</v>
      </c>
      <c r="P56" s="142">
        <f t="shared" si="4"/>
        <v>0</v>
      </c>
      <c r="Q56" s="142">
        <f t="shared" si="4"/>
        <v>0</v>
      </c>
      <c r="R56" s="142">
        <f t="shared" si="4"/>
        <v>0</v>
      </c>
      <c r="S56" s="142">
        <f t="shared" si="4"/>
        <v>0</v>
      </c>
      <c r="T56" s="142">
        <f t="shared" si="4"/>
        <v>0</v>
      </c>
      <c r="U56" s="142">
        <f t="shared" si="4"/>
        <v>0</v>
      </c>
      <c r="V56" s="142">
        <f t="shared" si="4"/>
        <v>0</v>
      </c>
      <c r="W56" s="142">
        <f t="shared" si="4"/>
        <v>0</v>
      </c>
      <c r="X56" s="142">
        <f t="shared" si="4"/>
        <v>0</v>
      </c>
      <c r="Y56" s="142">
        <f t="shared" si="4"/>
        <v>0</v>
      </c>
      <c r="Z56" s="142">
        <f t="shared" si="4"/>
        <v>0</v>
      </c>
      <c r="AA56" s="142">
        <f t="shared" si="4"/>
        <v>0</v>
      </c>
      <c r="AB56" s="142">
        <f t="shared" si="4"/>
        <v>0</v>
      </c>
      <c r="AC56" s="142">
        <f t="shared" si="4"/>
        <v>0</v>
      </c>
      <c r="AD56" s="142">
        <f t="shared" si="4"/>
        <v>0</v>
      </c>
      <c r="AE56" s="142">
        <f t="shared" si="4"/>
        <v>0</v>
      </c>
      <c r="AF56" s="142">
        <f t="shared" si="4"/>
        <v>0</v>
      </c>
      <c r="AG56" s="142">
        <f t="shared" si="4"/>
        <v>0</v>
      </c>
      <c r="AH56" s="142">
        <f t="shared" si="4"/>
        <v>0</v>
      </c>
      <c r="AI56" s="142">
        <f t="shared" si="4"/>
        <v>0</v>
      </c>
      <c r="AJ56" s="142">
        <f t="shared" si="4"/>
        <v>0</v>
      </c>
      <c r="AK56" s="30"/>
    </row>
    <row r="57" spans="1:37">
      <c r="C57" s="153"/>
      <c r="D57" s="154"/>
      <c r="E57" s="143"/>
      <c r="F57" s="143"/>
      <c r="G57" s="143"/>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row>
    <row r="59" spans="1:37">
      <c r="F59" s="98"/>
    </row>
  </sheetData>
  <mergeCells count="13">
    <mergeCell ref="AC2:AJ2"/>
    <mergeCell ref="AK2:AK3"/>
    <mergeCell ref="U2:X2"/>
    <mergeCell ref="H1:AB1"/>
    <mergeCell ref="F2:G2"/>
    <mergeCell ref="H2:K2"/>
    <mergeCell ref="L2:T2"/>
    <mergeCell ref="Y2:AB2"/>
    <mergeCell ref="B56:C56"/>
    <mergeCell ref="B2:B3"/>
    <mergeCell ref="C2:C3"/>
    <mergeCell ref="D2:D3"/>
    <mergeCell ref="E2:E3"/>
  </mergeCells>
  <phoneticPr fontId="13" type="noConversion"/>
  <dataValidations count="1">
    <dataValidation type="list" allowBlank="1" showInputMessage="1" showErrorMessage="1" sqref="E5:E55">
      <formula1>"是,否"</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6"/>
  <sheetViews>
    <sheetView workbookViewId="0">
      <selection activeCell="D36" sqref="D36"/>
    </sheetView>
  </sheetViews>
  <sheetFormatPr defaultColWidth="9.109375" defaultRowHeight="13.2"/>
  <cols>
    <col min="2" max="2" width="21.5546875" customWidth="1"/>
    <col min="3" max="3" width="27" customWidth="1"/>
    <col min="4" max="4" width="70.5546875" customWidth="1"/>
    <col min="5" max="5" width="33.33203125" customWidth="1"/>
    <col min="6" max="6" width="14" customWidth="1"/>
    <col min="7" max="7" width="16.109375" customWidth="1"/>
    <col min="8" max="9" width="41.109375" customWidth="1"/>
  </cols>
  <sheetData>
    <row r="1" spans="1:9" ht="30.75" customHeight="1">
      <c r="A1" s="1"/>
      <c r="B1" s="2" t="s">
        <v>47</v>
      </c>
      <c r="C1" s="3"/>
      <c r="E1" s="3"/>
    </row>
    <row r="2" spans="1:9" ht="5.25" customHeight="1">
      <c r="A2" s="4"/>
      <c r="B2" s="5"/>
      <c r="C2" s="6"/>
      <c r="D2" s="5"/>
      <c r="E2" s="3"/>
    </row>
    <row r="3" spans="1:9" ht="18.75" customHeight="1">
      <c r="B3" s="87" t="s">
        <v>157</v>
      </c>
      <c r="C3" s="87"/>
      <c r="D3" s="87"/>
      <c r="E3" s="6"/>
      <c r="H3" s="7"/>
      <c r="I3" s="7"/>
    </row>
    <row r="4" spans="1:9" ht="5.25" customHeight="1">
      <c r="B4" s="8"/>
      <c r="C4" s="9"/>
      <c r="D4" s="10"/>
      <c r="E4" s="9"/>
      <c r="H4" s="7"/>
      <c r="I4" s="7"/>
    </row>
    <row r="5" spans="1:9" ht="15">
      <c r="A5" s="11"/>
      <c r="B5" s="12" t="s">
        <v>49</v>
      </c>
      <c r="C5" s="12" t="s">
        <v>50</v>
      </c>
      <c r="D5" s="13" t="s">
        <v>48</v>
      </c>
      <c r="E5" s="13" t="s">
        <v>51</v>
      </c>
      <c r="F5" s="14"/>
      <c r="H5" s="7"/>
      <c r="I5" s="7"/>
    </row>
    <row r="6" spans="1:9" ht="15">
      <c r="A6" s="15"/>
      <c r="B6" s="415" t="s">
        <v>52</v>
      </c>
      <c r="C6" s="19" t="s">
        <v>158</v>
      </c>
      <c r="D6" s="20" t="s">
        <v>159</v>
      </c>
      <c r="E6" s="21" t="s">
        <v>53</v>
      </c>
      <c r="F6" s="18"/>
      <c r="H6" s="7"/>
      <c r="I6" s="7"/>
    </row>
    <row r="7" spans="1:9" ht="15">
      <c r="A7" s="15"/>
      <c r="B7" s="416"/>
      <c r="C7" s="19" t="s">
        <v>160</v>
      </c>
      <c r="D7" s="20" t="s">
        <v>54</v>
      </c>
      <c r="E7" s="21" t="s">
        <v>53</v>
      </c>
      <c r="F7" s="18"/>
      <c r="H7" s="7"/>
      <c r="I7" s="7"/>
    </row>
    <row r="8" spans="1:9" ht="26.4">
      <c r="A8" s="15"/>
      <c r="B8" s="417"/>
      <c r="C8" s="22" t="s">
        <v>161</v>
      </c>
      <c r="D8" s="20" t="s">
        <v>262</v>
      </c>
      <c r="E8" s="21" t="s">
        <v>53</v>
      </c>
      <c r="F8" s="18"/>
      <c r="H8" s="7"/>
      <c r="I8" s="7"/>
    </row>
    <row r="9" spans="1:9" ht="15">
      <c r="A9" s="15"/>
      <c r="B9" s="418" t="s">
        <v>55</v>
      </c>
      <c r="C9" s="23" t="s">
        <v>162</v>
      </c>
      <c r="D9" s="20" t="s">
        <v>176</v>
      </c>
      <c r="E9" s="17" t="s">
        <v>163</v>
      </c>
      <c r="F9" s="18"/>
      <c r="H9" s="7"/>
      <c r="I9" s="7"/>
    </row>
    <row r="10" spans="1:9" ht="15">
      <c r="A10" s="15"/>
      <c r="B10" s="419"/>
      <c r="C10" s="22" t="s">
        <v>164</v>
      </c>
      <c r="D10" s="20" t="s">
        <v>177</v>
      </c>
      <c r="E10" s="17" t="s">
        <v>163</v>
      </c>
      <c r="F10" s="18"/>
      <c r="H10" s="7"/>
      <c r="I10" s="7"/>
    </row>
    <row r="11" spans="1:9" ht="90">
      <c r="A11" s="15"/>
      <c r="B11" s="420"/>
      <c r="C11" s="24" t="s">
        <v>278</v>
      </c>
      <c r="D11" s="20" t="s">
        <v>178</v>
      </c>
      <c r="E11" s="17" t="s">
        <v>156</v>
      </c>
      <c r="F11" s="18"/>
      <c r="H11" s="7"/>
      <c r="I11" s="7"/>
    </row>
    <row r="12" spans="1:9">
      <c r="A12" s="25"/>
      <c r="B12" s="55" t="s">
        <v>57</v>
      </c>
      <c r="C12" s="22" t="s">
        <v>58</v>
      </c>
      <c r="D12" s="16" t="s">
        <v>59</v>
      </c>
      <c r="E12" s="21" t="s">
        <v>56</v>
      </c>
      <c r="F12" s="26"/>
    </row>
    <row r="13" spans="1:9">
      <c r="B13" s="27"/>
      <c r="C13" s="28"/>
      <c r="D13" s="27"/>
      <c r="E13" s="28"/>
    </row>
    <row r="15" spans="1:9">
      <c r="B15" s="87" t="s">
        <v>179</v>
      </c>
    </row>
    <row r="16" spans="1:9">
      <c r="B16" s="87"/>
    </row>
  </sheetData>
  <mergeCells count="2">
    <mergeCell ref="B6:B8"/>
    <mergeCell ref="B9:B11"/>
  </mergeCells>
  <phoneticPr fontId="13" type="noConversion"/>
  <hyperlinks>
    <hyperlink ref="C12" location="版本信息!A1" display="版本信息"/>
  </hyperlinks>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图表概览</vt:lpstr>
      <vt:lpstr>产品KPI</vt:lpstr>
      <vt:lpstr>度量指标</vt:lpstr>
      <vt:lpstr>基础度量项</vt:lpstr>
      <vt:lpstr>检查单明细</vt:lpstr>
      <vt:lpstr>缺陷明细</vt:lpstr>
      <vt:lpstr>需求明细_迭代1</vt:lpstr>
      <vt:lpstr>需求明细_迭代2</vt:lpstr>
      <vt:lpstr>需求明细_迭代3</vt:lpstr>
      <vt:lpstr>需求明细_迭代4</vt:lpstr>
      <vt:lpstr>需求明细_迭代5</vt:lpstr>
      <vt:lpstr>需求明细_迭代6</vt:lpstr>
      <vt:lpstr>需求明细_迭代7</vt:lpstr>
      <vt:lpstr>需求明细_迭代8</vt:lpstr>
      <vt:lpstr>需求明细_迭代9</vt:lpstr>
      <vt:lpstr>使用说明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Wang Nan</dc:creator>
  <cp:lastModifiedBy>冰岛咖啡</cp:lastModifiedBy>
  <dcterms:created xsi:type="dcterms:W3CDTF">2012-02-03T01:55:00Z</dcterms:created>
  <dcterms:modified xsi:type="dcterms:W3CDTF">2017-06-28T14:51:11Z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2052-10.8.0.5391</vt:lpwstr>
  </property>
</Properties>
</file>